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710490AC-939C-4067-B873-4CE13B5BF99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6" sheetId="12" r:id="rId1"/>
  </sheets>
  <definedNames>
    <definedName name="_xlnm._FilterDatabase" localSheetId="0" hidden="1">'2026'!$A$2:$WVP$63</definedName>
    <definedName name="_xlnm.Print_Area" localSheetId="0">'2026'!$A$1:$J$68</definedName>
    <definedName name="_xlnm.Print_Titles" localSheetId="0">'2026'!$2:$2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8" i="12" l="1"/>
  <c r="K41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0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suzdel</t>
        </r>
      </text>
    </comment>
    <comment ref="D2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First Kapitan Pirozhkov was</t>
        </r>
      </text>
    </comment>
    <comment ref="D28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SANKT-PETERBURG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NIZAMI Ganjavi </t>
        </r>
      </text>
    </comment>
    <comment ref="D61" authorId="0" shapeId="0" xr:uid="{B8821E25-3F86-4B8F-BEFF-27A3E82C1881}">
      <text>
        <r>
          <rPr>
            <b/>
            <sz val="9"/>
            <color indexed="81"/>
            <rFont val="Tahoma"/>
            <family val="2"/>
          </rPr>
          <t>کشتی در ابتدا به باکو شرکت Vimaro  بارگیری شده و بعدا برگشت خورده</t>
        </r>
      </text>
    </comment>
  </commentList>
</comments>
</file>

<file path=xl/sharedStrings.xml><?xml version="1.0" encoding="utf-8"?>
<sst xmlns="http://schemas.openxmlformats.org/spreadsheetml/2006/main" count="546" uniqueCount="259">
  <si>
    <t>No</t>
  </si>
  <si>
    <t>Date</t>
  </si>
  <si>
    <t>Code No</t>
  </si>
  <si>
    <t>Vessel Name</t>
  </si>
  <si>
    <t>Customer</t>
  </si>
  <si>
    <t>Quantity</t>
  </si>
  <si>
    <t>Distination</t>
  </si>
  <si>
    <t>Loading Port</t>
  </si>
  <si>
    <t>DONNEFTTRANS</t>
  </si>
  <si>
    <t>Kind - Cargo</t>
  </si>
  <si>
    <t>Gasoline 92</t>
  </si>
  <si>
    <t xml:space="preserve"> Vessels 2026</t>
  </si>
  <si>
    <t>001 - 26</t>
  </si>
  <si>
    <t>ALIANCE ENERGY CO</t>
  </si>
  <si>
    <t>31/12/2026</t>
  </si>
  <si>
    <t>KAPITAN PIROZHKOV</t>
  </si>
  <si>
    <t>DIESEL</t>
  </si>
  <si>
    <t>SOHA SAFA PETROLEUM CO</t>
  </si>
  <si>
    <t>CONSIGNEE</t>
  </si>
  <si>
    <t>SHIPPER</t>
  </si>
  <si>
    <t>OKREAM</t>
  </si>
  <si>
    <t>BONEX FZCO</t>
  </si>
  <si>
    <t>HAJI DAVUD</t>
  </si>
  <si>
    <t>NATIONAL IRANIAN OIL COMPANY (NICO)</t>
  </si>
  <si>
    <t>IRAN NOWSHAHR</t>
  </si>
  <si>
    <t>GASOLINE 92</t>
  </si>
  <si>
    <t>ASLAN KHADARCEV</t>
  </si>
  <si>
    <t>IGOR ORLOV</t>
  </si>
  <si>
    <t>BANY RAH TOOS CO / FAISAL OIL GROUP</t>
  </si>
  <si>
    <t>AMIR ABAD / ARMANIA</t>
  </si>
  <si>
    <t>002 - 26</t>
  </si>
  <si>
    <t>003 - 26</t>
  </si>
  <si>
    <t>004 - 26</t>
  </si>
  <si>
    <t>005 - 26</t>
  </si>
  <si>
    <t xml:space="preserve"> MARSHAL ZHUKOV</t>
  </si>
  <si>
    <t>SANKT-PETERBURG</t>
  </si>
  <si>
    <t>AS TANKER-3</t>
  </si>
  <si>
    <t>006 - 26</t>
  </si>
  <si>
    <t>007 - 26</t>
  </si>
  <si>
    <t>VOLGA</t>
  </si>
  <si>
    <t>008 - 26</t>
  </si>
  <si>
    <t>MAWAKER TRADING FZE</t>
  </si>
  <si>
    <t>NIZHNIY NOVGOROD</t>
  </si>
  <si>
    <t>MARLIN</t>
  </si>
  <si>
    <t>009 - 26</t>
  </si>
  <si>
    <t>010 - 26</t>
  </si>
  <si>
    <t>4183.201 BNK # 92.774 BNK SOLVEX</t>
  </si>
  <si>
    <t>کمپنی ترانسپورتی</t>
  </si>
  <si>
    <t>TRINTI</t>
  </si>
  <si>
    <t>KWADART</t>
  </si>
  <si>
    <t>NS  TRANS</t>
  </si>
  <si>
    <t>ENEYA</t>
  </si>
  <si>
    <t>Astara Marin</t>
  </si>
  <si>
    <t>NIZAMI GANJAVI</t>
  </si>
  <si>
    <t>AMIR ABAD / AFGHANISTAN</t>
  </si>
  <si>
    <t>14/1/2026</t>
  </si>
  <si>
    <t>ARMADA EXPLORER</t>
  </si>
  <si>
    <t>16/1/2026</t>
  </si>
  <si>
    <t>011 - 26</t>
  </si>
  <si>
    <t>012 - 26</t>
  </si>
  <si>
    <t>Change the route (IRA)</t>
  </si>
  <si>
    <t>Kaluga</t>
  </si>
  <si>
    <t>13/1/2026</t>
  </si>
  <si>
    <t>Afghanistan</t>
  </si>
  <si>
    <t>KALUGA</t>
  </si>
  <si>
    <t>013 - 26</t>
  </si>
  <si>
    <t>3632.778 BNK # 273.753 BNK SOLVEX</t>
  </si>
  <si>
    <t>5072.794 BNK SOLVEX#</t>
  </si>
  <si>
    <t>2799.904 BNK SOLVEX # 1344.600 Petrogas</t>
  </si>
  <si>
    <t>34092.086 BONEX # 568.094 Petrogas</t>
  </si>
  <si>
    <t>Petrogas</t>
  </si>
  <si>
    <t>3171.661 BONEX # 970.057 Petrogas</t>
  </si>
  <si>
    <t>SAMARA CITY</t>
  </si>
  <si>
    <t>21/1/2026</t>
  </si>
  <si>
    <t>014 - 26</t>
  </si>
  <si>
    <t>VOLGONEFT - 256</t>
  </si>
  <si>
    <t>SELECT ENERGY FZE</t>
  </si>
  <si>
    <t>015 - 26</t>
  </si>
  <si>
    <t>26/2/2026</t>
  </si>
  <si>
    <t>Vessel M/T ARMADA EXPLORER # Gasoline 92</t>
  </si>
  <si>
    <t>Vessel GEROY ROSSI # Gasoline 92</t>
  </si>
  <si>
    <t>Sadeq Habibyar</t>
  </si>
  <si>
    <t>NIOC-National Iranian Oil Company</t>
  </si>
  <si>
    <t>ZALPARS 2</t>
  </si>
  <si>
    <t>27/2/2026</t>
  </si>
  <si>
    <t>2939.850BNK # 872.733 SOLVEX</t>
  </si>
  <si>
    <t>3013.700 BNK # 2085.068 SOLVEX</t>
  </si>
  <si>
    <t>1984.471 BNK # 2422.706 Solvex #</t>
  </si>
  <si>
    <t>017 - 26</t>
  </si>
  <si>
    <t>018 - 26</t>
  </si>
  <si>
    <t>019 - 26</t>
  </si>
  <si>
    <t>020 - 26</t>
  </si>
  <si>
    <t>021 - 26</t>
  </si>
  <si>
    <t>022 - 26</t>
  </si>
  <si>
    <t>ELITE STAR Sherakati</t>
  </si>
  <si>
    <t>Afghanistan &amp; Armania</t>
  </si>
  <si>
    <t>YAZ</t>
  </si>
  <si>
    <t>023 - 26</t>
  </si>
  <si>
    <t>024 - 26</t>
  </si>
  <si>
    <t>025 - 26</t>
  </si>
  <si>
    <t>2543.417 Petrogas # 2359.771 BNK</t>
  </si>
  <si>
    <t xml:space="preserve">OXEN BUSINESS FZE LLC </t>
  </si>
  <si>
    <t>13/3/2026</t>
  </si>
  <si>
    <t>Sanar 17</t>
  </si>
  <si>
    <t>Armania</t>
  </si>
  <si>
    <t>Max Oil</t>
  </si>
  <si>
    <t>ZALPARS 1</t>
  </si>
  <si>
    <t>18/3/2026</t>
  </si>
  <si>
    <t>GEROY ROSSII PYATNITSHIKH</t>
  </si>
  <si>
    <t>19/3/2026</t>
  </si>
  <si>
    <t>026 - 26</t>
  </si>
  <si>
    <t>027 - 26</t>
  </si>
  <si>
    <t>028 - 26</t>
  </si>
  <si>
    <t>029 - 26</t>
  </si>
  <si>
    <t>VIMARO</t>
  </si>
  <si>
    <t>VIMARO Trading FZCO</t>
  </si>
  <si>
    <t>HNK TRADING LLC</t>
  </si>
  <si>
    <t>Baku</t>
  </si>
  <si>
    <t>BNK HUMOR</t>
  </si>
  <si>
    <t>2066.203 BONEX # 1367.344 Petrogas # 345.836 bnk</t>
  </si>
  <si>
    <t>5181.452 # Petrogas</t>
  </si>
  <si>
    <t>1484.415 Petrogas#3579.396 oxen</t>
  </si>
  <si>
    <t>2409.055 Solvex # 2638.692 Petogas</t>
  </si>
  <si>
    <t>23/3/2026</t>
  </si>
  <si>
    <t>22/3/2026</t>
  </si>
  <si>
    <t>016 - 26</t>
  </si>
  <si>
    <t>Faisal Oil Group</t>
  </si>
  <si>
    <t xml:space="preserve"> IRAN AMIRABAD</t>
  </si>
  <si>
    <t>030 - 26</t>
  </si>
  <si>
    <t>DAHI BYULBYUL</t>
  </si>
  <si>
    <t>27/3/2026</t>
  </si>
  <si>
    <t>26/3/2026</t>
  </si>
  <si>
    <t>031 - 26</t>
  </si>
  <si>
    <t>032 - 26</t>
  </si>
  <si>
    <t>033 - 26</t>
  </si>
  <si>
    <t>034 - 26</t>
  </si>
  <si>
    <t>29/3/2026</t>
  </si>
  <si>
    <t>035 - 26</t>
  </si>
  <si>
    <t>Selandia</t>
  </si>
  <si>
    <t>selandia</t>
  </si>
  <si>
    <t xml:space="preserve"> Habibi 171117 # 35$ </t>
  </si>
  <si>
    <t>Habibi &amp; NS Trans</t>
  </si>
  <si>
    <t>General NS TRANS</t>
  </si>
  <si>
    <t>nemat Saraf &amp; General NS TRANS</t>
  </si>
  <si>
    <t>178600 &amp; 55 per MT</t>
  </si>
  <si>
    <t>yaz</t>
  </si>
  <si>
    <t>General STAKSEL</t>
  </si>
  <si>
    <t xml:space="preserve">nemat Saraf &amp; General STAKSEL </t>
  </si>
  <si>
    <t>192175 &amp; 42 Per MT</t>
  </si>
  <si>
    <t>ENEYA دو کرایه دارد</t>
  </si>
  <si>
    <t>GENERAL 2026 # ORLOV</t>
  </si>
  <si>
    <t>TRINTI SHIPPING</t>
  </si>
  <si>
    <t>2098.927 SOLVEX # 2973.150 Petrogas</t>
  </si>
  <si>
    <t>AS-TANKER3</t>
  </si>
  <si>
    <t>LIANA PETROLEUM FZE</t>
  </si>
  <si>
    <t>KAZAN CITY</t>
  </si>
  <si>
    <t>036 - 26</t>
  </si>
  <si>
    <t>037 - 26</t>
  </si>
  <si>
    <t>فی تن کرایه</t>
  </si>
  <si>
    <t>4084.739 Petrogas #1414.805 BNK</t>
  </si>
  <si>
    <t>3100 Petrogas # 731.022 BNK</t>
  </si>
  <si>
    <t>907.113 BNK #2827.864 BONEX</t>
  </si>
  <si>
    <t>1512.260 BNK # 4047.819 BONEX</t>
  </si>
  <si>
    <t xml:space="preserve">3894.540 BNK# 163.398 Petrogas#1002.221 Solvex </t>
  </si>
  <si>
    <t>3550.957 MT Solvex # 1504.651 Petrogas</t>
  </si>
  <si>
    <t>632.250 BNK # 4177.038 BONEX # 427.131 Petrogas</t>
  </si>
  <si>
    <t>14/4/2026</t>
  </si>
  <si>
    <t>038 - 26</t>
  </si>
  <si>
    <t>STALINGRAD</t>
  </si>
  <si>
    <t>16/4/2026</t>
  </si>
  <si>
    <t>Sherakati with Habibi</t>
  </si>
  <si>
    <t>039 - 26</t>
  </si>
  <si>
    <t>15/4/2026</t>
  </si>
  <si>
    <t>3404.260 BNK # 1668.344 Petrogas</t>
  </si>
  <si>
    <t>2887.762 BONEX # 2222.117 BNK SOLVEX # 28.065 ???</t>
  </si>
  <si>
    <t>Gelios</t>
  </si>
  <si>
    <t>20/4/2026</t>
  </si>
  <si>
    <t>040 - 26</t>
  </si>
  <si>
    <t>18/4/2026</t>
  </si>
  <si>
    <t>BAHR AL KHALEEJ GENERAL TRADING FZE</t>
  </si>
  <si>
    <t>1208.050 Petrogas # 757.037 SOLVEX # 511.397 Humor BNK</t>
  </si>
  <si>
    <t>2474.716 BNK HUMOR</t>
  </si>
  <si>
    <t>3830.904 OLIMO #</t>
  </si>
  <si>
    <t>984.572 Rise oil # 3492.946 Olimo</t>
  </si>
  <si>
    <t xml:space="preserve">3362.622 Olimo # </t>
  </si>
  <si>
    <t>24/4/206</t>
  </si>
  <si>
    <t>VYACHESLAV PANKOV</t>
  </si>
  <si>
    <t>26/4/2026</t>
  </si>
  <si>
    <t>042 - 26</t>
  </si>
  <si>
    <t>043 - 26</t>
  </si>
  <si>
    <t>044 - 26</t>
  </si>
  <si>
    <t>5166.717 BNK-HOMUR</t>
  </si>
  <si>
    <t>29/4/2026</t>
  </si>
  <si>
    <t>Trans Oil - Habibi</t>
  </si>
  <si>
    <t>DMITRY POKROVSKY</t>
  </si>
  <si>
    <t>GRIGIRY BUGROV</t>
  </si>
  <si>
    <t>045 - 26</t>
  </si>
  <si>
    <t>046 - 26</t>
  </si>
  <si>
    <t>047 - 26</t>
  </si>
  <si>
    <t>048 - 26</t>
  </si>
  <si>
    <t>049 - 26</t>
  </si>
  <si>
    <t>Seddiqi Habibi - 2</t>
  </si>
  <si>
    <t>5126.877 OLIMO</t>
  </si>
  <si>
    <t>4774.838 OLIMO # 732.559 OXEN</t>
  </si>
  <si>
    <t>3584.026  OXEN # 2268.372 OLIMO</t>
  </si>
  <si>
    <t>Seddiqi Habibi - 1</t>
  </si>
  <si>
    <t>050 - 26</t>
  </si>
  <si>
    <t>3386.903 OXEN</t>
  </si>
  <si>
    <t>4665.195 Humor Bnk # 257.734 Olimo # 122.808 Petrogas</t>
  </si>
  <si>
    <t>2148.917 BNK -HOMUR #  451.491 solvex</t>
  </si>
  <si>
    <t>13/5/2026</t>
  </si>
  <si>
    <t>051 - 26</t>
  </si>
  <si>
    <t>052 - 26</t>
  </si>
  <si>
    <t>SELANDIA LINES</t>
  </si>
  <si>
    <t>General Astra Marine</t>
  </si>
  <si>
    <t>21/5/2026</t>
  </si>
  <si>
    <t>19/5/2026</t>
  </si>
  <si>
    <t>053 - 26</t>
  </si>
  <si>
    <t>22/5/2026</t>
  </si>
  <si>
    <t>SERGERY TERSKOV</t>
  </si>
  <si>
    <t>27/5/2026</t>
  </si>
  <si>
    <t>054 - 26</t>
  </si>
  <si>
    <t>055 - 26</t>
  </si>
  <si>
    <t>056 - 26</t>
  </si>
  <si>
    <t>5506.264  BNK HUMOR</t>
  </si>
  <si>
    <t>2650.176  BNK HUMOR</t>
  </si>
  <si>
    <t>31/5/2026</t>
  </si>
  <si>
    <t>057 - 26</t>
  </si>
  <si>
    <t>2618.966 Olimo # 619.837 BNK Solvex # 1844.037 BNK</t>
  </si>
  <si>
    <t>2473.570 BNK SOLVEX</t>
  </si>
  <si>
    <t>3909.050 BNK # 1110.499 BNK SOLVEX</t>
  </si>
  <si>
    <t>058 - 26</t>
  </si>
  <si>
    <t>Baku - Iran</t>
  </si>
  <si>
    <t>18 trans oil</t>
  </si>
  <si>
    <t>General Casper</t>
  </si>
  <si>
    <t>2972.939 SP OIL # 1332.679 solvex</t>
  </si>
  <si>
    <t>059 - 26</t>
  </si>
  <si>
    <t>دیمیرج چک شود</t>
  </si>
  <si>
    <t>14/6/2026</t>
  </si>
  <si>
    <t>060 - 26</t>
  </si>
  <si>
    <t>olimo</t>
  </si>
  <si>
    <t xml:space="preserve">1289.700 BNK Khumor # 561.813 Olimo # </t>
  </si>
  <si>
    <t>659.805 BNK Khumor # 2741.749 olimo</t>
  </si>
  <si>
    <t>569.045 BNK Khumor # 871.552 Olimo # 1455.560 OXEN # 2132.573 Khumor</t>
  </si>
  <si>
    <t>Mwkhanik Voronkov</t>
  </si>
  <si>
    <t>AmirAbad</t>
  </si>
  <si>
    <t>کرایه جک شود</t>
  </si>
  <si>
    <t>مفاد ضرر کامل چک شود</t>
  </si>
  <si>
    <t xml:space="preserve">General export </t>
  </si>
  <si>
    <t>General Export</t>
  </si>
  <si>
    <t>19/6/2026</t>
  </si>
  <si>
    <t>13/6/2026</t>
  </si>
  <si>
    <t>041 - 26</t>
  </si>
  <si>
    <t>061 - 26</t>
  </si>
  <si>
    <t>062 - 26</t>
  </si>
  <si>
    <t>20/6/2026</t>
  </si>
  <si>
    <t xml:space="preserve">Fereidin Kenar </t>
  </si>
  <si>
    <t>Noorozi</t>
  </si>
  <si>
    <t>063 - 26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</si>
</sst>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993366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b/>
      <sz val="9"/>
      <color rgb="FF7030A0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sz val="9"/>
      <color rgb="FF993366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2" fillId="3" borderId="0" xfId="0" applyFont="1" applyFill="1" applyBorder="1"/>
    <xf numFmtId="0" fontId="4" fillId="3" borderId="0" xfId="0" applyFont="1" applyFill="1" applyBorder="1"/>
    <xf numFmtId="164" fontId="4" fillId="3" borderId="0" xfId="0" applyNumberFormat="1" applyFont="1" applyFill="1" applyBorder="1" applyAlignment="1">
      <alignment horizontal="center"/>
    </xf>
    <xf numFmtId="164" fontId="5" fillId="3" borderId="0" xfId="0" applyNumberFormat="1" applyFont="1" applyFill="1" applyBorder="1" applyAlignment="1">
      <alignment horizontal="center"/>
    </xf>
    <xf numFmtId="0" fontId="4" fillId="3" borderId="0" xfId="0" applyFont="1" applyFill="1" applyBorder="1" applyAlignment="1">
      <alignment horizontal="left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4" fontId="6" fillId="3" borderId="5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center" vertical="center" wrapText="1"/>
    </xf>
    <xf numFmtId="164" fontId="9" fillId="3" borderId="0" xfId="0" applyNumberFormat="1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4" fillId="3" borderId="4" xfId="0" applyFont="1" applyFill="1" applyBorder="1"/>
    <xf numFmtId="0" fontId="6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64" fontId="5" fillId="3" borderId="6" xfId="0" applyNumberFormat="1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 vertical="center" wrapText="1"/>
    </xf>
    <xf numFmtId="165" fontId="6" fillId="3" borderId="8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164" fontId="9" fillId="3" borderId="1" xfId="0" applyNumberFormat="1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164" fontId="6" fillId="3" borderId="7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6" fillId="3" borderId="11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164" fontId="2" fillId="3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vertical="center"/>
    </xf>
    <xf numFmtId="164" fontId="9" fillId="3" borderId="8" xfId="0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164" fontId="12" fillId="3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 vertical="center"/>
    </xf>
    <xf numFmtId="164" fontId="2" fillId="3" borderId="12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 wrapText="1"/>
    </xf>
    <xf numFmtId="165" fontId="10" fillId="5" borderId="0" xfId="1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0"/>
  <sheetViews>
    <sheetView tabSelected="1" zoomScaleNormal="100" zoomScaleSheetLayoutView="100" workbookViewId="0">
      <selection activeCell="I68" sqref="I68"/>
    </sheetView>
  </sheetViews>
  <sheetFormatPr defaultRowHeight="13.2" x14ac:dyDescent="0.25"/>
  <cols>
    <col min="1" max="1" width="3.44140625" style="2" customWidth="1"/>
    <col min="2" max="2" width="9.44140625" style="2" bestFit="1" customWidth="1"/>
    <col min="3" max="3" width="7.44140625" style="2" customWidth="1"/>
    <col min="4" max="4" width="18.88671875" style="2" customWidth="1"/>
    <col min="5" max="5" width="12" style="2" customWidth="1"/>
    <col min="6" max="6" width="11.33203125" style="5" customWidth="1"/>
    <col min="7" max="7" width="19.21875" style="3" bestFit="1" customWidth="1"/>
    <col min="8" max="8" width="20.77734375" style="3" bestFit="1" customWidth="1"/>
    <col min="9" max="9" width="20.88671875" style="3" bestFit="1" customWidth="1"/>
    <col min="10" max="10" width="24.6640625" style="4" customWidth="1"/>
    <col min="11" max="11" width="8.44140625" style="4" customWidth="1"/>
    <col min="12" max="12" width="16.5546875" style="24" customWidth="1"/>
    <col min="13" max="13" width="18.88671875" style="9" customWidth="1"/>
    <col min="14" max="14" width="8.88671875" style="1"/>
    <col min="15" max="15" width="12.5546875" style="1" customWidth="1"/>
    <col min="16" max="248" width="8.88671875" style="1"/>
    <col min="249" max="249" width="5.5546875" style="1" bestFit="1" customWidth="1"/>
    <col min="250" max="250" width="9.33203125" style="1" customWidth="1"/>
    <col min="251" max="251" width="24.6640625" style="1" customWidth="1"/>
    <col min="252" max="252" width="11" style="1" bestFit="1" customWidth="1"/>
    <col min="253" max="253" width="7.5546875" style="1" bestFit="1" customWidth="1"/>
    <col min="254" max="254" width="13.5546875" style="1" customWidth="1"/>
    <col min="255" max="255" width="5.44140625" style="1" bestFit="1" customWidth="1"/>
    <col min="256" max="256" width="11.33203125" style="1" bestFit="1" customWidth="1"/>
    <col min="257" max="257" width="5.6640625" style="1" bestFit="1" customWidth="1"/>
    <col min="258" max="258" width="12" style="1" customWidth="1"/>
    <col min="259" max="259" width="15.44140625" style="1" bestFit="1" customWidth="1"/>
    <col min="260" max="261" width="15.109375" style="1" bestFit="1" customWidth="1"/>
    <col min="262" max="262" width="14.33203125" style="1" bestFit="1" customWidth="1"/>
    <col min="263" max="263" width="3.109375" style="1" customWidth="1"/>
    <col min="264" max="264" width="6.44140625" style="1" customWidth="1"/>
    <col min="265" max="504" width="8.88671875" style="1"/>
    <col min="505" max="505" width="5.5546875" style="1" bestFit="1" customWidth="1"/>
    <col min="506" max="506" width="9.33203125" style="1" customWidth="1"/>
    <col min="507" max="507" width="24.6640625" style="1" customWidth="1"/>
    <col min="508" max="508" width="11" style="1" bestFit="1" customWidth="1"/>
    <col min="509" max="509" width="7.5546875" style="1" bestFit="1" customWidth="1"/>
    <col min="510" max="510" width="13.5546875" style="1" customWidth="1"/>
    <col min="511" max="511" width="5.44140625" style="1" bestFit="1" customWidth="1"/>
    <col min="512" max="512" width="11.33203125" style="1" bestFit="1" customWidth="1"/>
    <col min="513" max="513" width="5.6640625" style="1" bestFit="1" customWidth="1"/>
    <col min="514" max="514" width="12" style="1" customWidth="1"/>
    <col min="515" max="515" width="15.44140625" style="1" bestFit="1" customWidth="1"/>
    <col min="516" max="517" width="15.109375" style="1" bestFit="1" customWidth="1"/>
    <col min="518" max="518" width="14.33203125" style="1" bestFit="1" customWidth="1"/>
    <col min="519" max="519" width="3.109375" style="1" customWidth="1"/>
    <col min="520" max="520" width="6.44140625" style="1" customWidth="1"/>
    <col min="521" max="760" width="8.88671875" style="1"/>
    <col min="761" max="761" width="5.5546875" style="1" bestFit="1" customWidth="1"/>
    <col min="762" max="762" width="9.33203125" style="1" customWidth="1"/>
    <col min="763" max="763" width="24.6640625" style="1" customWidth="1"/>
    <col min="764" max="764" width="11" style="1" bestFit="1" customWidth="1"/>
    <col min="765" max="765" width="7.5546875" style="1" bestFit="1" customWidth="1"/>
    <col min="766" max="766" width="13.5546875" style="1" customWidth="1"/>
    <col min="767" max="767" width="5.44140625" style="1" bestFit="1" customWidth="1"/>
    <col min="768" max="768" width="11.33203125" style="1" bestFit="1" customWidth="1"/>
    <col min="769" max="769" width="5.6640625" style="1" bestFit="1" customWidth="1"/>
    <col min="770" max="770" width="12" style="1" customWidth="1"/>
    <col min="771" max="771" width="15.44140625" style="1" bestFit="1" customWidth="1"/>
    <col min="772" max="773" width="15.109375" style="1" bestFit="1" customWidth="1"/>
    <col min="774" max="774" width="14.33203125" style="1" bestFit="1" customWidth="1"/>
    <col min="775" max="775" width="3.109375" style="1" customWidth="1"/>
    <col min="776" max="776" width="6.44140625" style="1" customWidth="1"/>
    <col min="777" max="1016" width="8.88671875" style="1"/>
    <col min="1017" max="1017" width="5.5546875" style="1" bestFit="1" customWidth="1"/>
    <col min="1018" max="1018" width="9.33203125" style="1" customWidth="1"/>
    <col min="1019" max="1019" width="24.6640625" style="1" customWidth="1"/>
    <col min="1020" max="1020" width="11" style="1" bestFit="1" customWidth="1"/>
    <col min="1021" max="1021" width="7.5546875" style="1" bestFit="1" customWidth="1"/>
    <col min="1022" max="1022" width="13.5546875" style="1" customWidth="1"/>
    <col min="1023" max="1023" width="5.44140625" style="1" bestFit="1" customWidth="1"/>
    <col min="1024" max="1024" width="11.33203125" style="1" bestFit="1" customWidth="1"/>
    <col min="1025" max="1025" width="5.6640625" style="1" bestFit="1" customWidth="1"/>
    <col min="1026" max="1026" width="12" style="1" customWidth="1"/>
    <col min="1027" max="1027" width="15.44140625" style="1" bestFit="1" customWidth="1"/>
    <col min="1028" max="1029" width="15.109375" style="1" bestFit="1" customWidth="1"/>
    <col min="1030" max="1030" width="14.33203125" style="1" bestFit="1" customWidth="1"/>
    <col min="1031" max="1031" width="3.109375" style="1" customWidth="1"/>
    <col min="1032" max="1032" width="6.44140625" style="1" customWidth="1"/>
    <col min="1033" max="1272" width="8.88671875" style="1"/>
    <col min="1273" max="1273" width="5.5546875" style="1" bestFit="1" customWidth="1"/>
    <col min="1274" max="1274" width="9.33203125" style="1" customWidth="1"/>
    <col min="1275" max="1275" width="24.6640625" style="1" customWidth="1"/>
    <col min="1276" max="1276" width="11" style="1" bestFit="1" customWidth="1"/>
    <col min="1277" max="1277" width="7.5546875" style="1" bestFit="1" customWidth="1"/>
    <col min="1278" max="1278" width="13.5546875" style="1" customWidth="1"/>
    <col min="1279" max="1279" width="5.44140625" style="1" bestFit="1" customWidth="1"/>
    <col min="1280" max="1280" width="11.33203125" style="1" bestFit="1" customWidth="1"/>
    <col min="1281" max="1281" width="5.6640625" style="1" bestFit="1" customWidth="1"/>
    <col min="1282" max="1282" width="12" style="1" customWidth="1"/>
    <col min="1283" max="1283" width="15.44140625" style="1" bestFit="1" customWidth="1"/>
    <col min="1284" max="1285" width="15.109375" style="1" bestFit="1" customWidth="1"/>
    <col min="1286" max="1286" width="14.33203125" style="1" bestFit="1" customWidth="1"/>
    <col min="1287" max="1287" width="3.109375" style="1" customWidth="1"/>
    <col min="1288" max="1288" width="6.44140625" style="1" customWidth="1"/>
    <col min="1289" max="1528" width="8.88671875" style="1"/>
    <col min="1529" max="1529" width="5.5546875" style="1" bestFit="1" customWidth="1"/>
    <col min="1530" max="1530" width="9.33203125" style="1" customWidth="1"/>
    <col min="1531" max="1531" width="24.6640625" style="1" customWidth="1"/>
    <col min="1532" max="1532" width="11" style="1" bestFit="1" customWidth="1"/>
    <col min="1533" max="1533" width="7.5546875" style="1" bestFit="1" customWidth="1"/>
    <col min="1534" max="1534" width="13.5546875" style="1" customWidth="1"/>
    <col min="1535" max="1535" width="5.44140625" style="1" bestFit="1" customWidth="1"/>
    <col min="1536" max="1536" width="11.33203125" style="1" bestFit="1" customWidth="1"/>
    <col min="1537" max="1537" width="5.6640625" style="1" bestFit="1" customWidth="1"/>
    <col min="1538" max="1538" width="12" style="1" customWidth="1"/>
    <col min="1539" max="1539" width="15.44140625" style="1" bestFit="1" customWidth="1"/>
    <col min="1540" max="1541" width="15.109375" style="1" bestFit="1" customWidth="1"/>
    <col min="1542" max="1542" width="14.33203125" style="1" bestFit="1" customWidth="1"/>
    <col min="1543" max="1543" width="3.109375" style="1" customWidth="1"/>
    <col min="1544" max="1544" width="6.44140625" style="1" customWidth="1"/>
    <col min="1545" max="1784" width="8.88671875" style="1"/>
    <col min="1785" max="1785" width="5.5546875" style="1" bestFit="1" customWidth="1"/>
    <col min="1786" max="1786" width="9.33203125" style="1" customWidth="1"/>
    <col min="1787" max="1787" width="24.6640625" style="1" customWidth="1"/>
    <col min="1788" max="1788" width="11" style="1" bestFit="1" customWidth="1"/>
    <col min="1789" max="1789" width="7.5546875" style="1" bestFit="1" customWidth="1"/>
    <col min="1790" max="1790" width="13.5546875" style="1" customWidth="1"/>
    <col min="1791" max="1791" width="5.44140625" style="1" bestFit="1" customWidth="1"/>
    <col min="1792" max="1792" width="11.33203125" style="1" bestFit="1" customWidth="1"/>
    <col min="1793" max="1793" width="5.6640625" style="1" bestFit="1" customWidth="1"/>
    <col min="1794" max="1794" width="12" style="1" customWidth="1"/>
    <col min="1795" max="1795" width="15.44140625" style="1" bestFit="1" customWidth="1"/>
    <col min="1796" max="1797" width="15.109375" style="1" bestFit="1" customWidth="1"/>
    <col min="1798" max="1798" width="14.33203125" style="1" bestFit="1" customWidth="1"/>
    <col min="1799" max="1799" width="3.109375" style="1" customWidth="1"/>
    <col min="1800" max="1800" width="6.44140625" style="1" customWidth="1"/>
    <col min="1801" max="2040" width="8.88671875" style="1"/>
    <col min="2041" max="2041" width="5.5546875" style="1" bestFit="1" customWidth="1"/>
    <col min="2042" max="2042" width="9.33203125" style="1" customWidth="1"/>
    <col min="2043" max="2043" width="24.6640625" style="1" customWidth="1"/>
    <col min="2044" max="2044" width="11" style="1" bestFit="1" customWidth="1"/>
    <col min="2045" max="2045" width="7.5546875" style="1" bestFit="1" customWidth="1"/>
    <col min="2046" max="2046" width="13.5546875" style="1" customWidth="1"/>
    <col min="2047" max="2047" width="5.44140625" style="1" bestFit="1" customWidth="1"/>
    <col min="2048" max="2048" width="11.33203125" style="1" bestFit="1" customWidth="1"/>
    <col min="2049" max="2049" width="5.6640625" style="1" bestFit="1" customWidth="1"/>
    <col min="2050" max="2050" width="12" style="1" customWidth="1"/>
    <col min="2051" max="2051" width="15.44140625" style="1" bestFit="1" customWidth="1"/>
    <col min="2052" max="2053" width="15.109375" style="1" bestFit="1" customWidth="1"/>
    <col min="2054" max="2054" width="14.33203125" style="1" bestFit="1" customWidth="1"/>
    <col min="2055" max="2055" width="3.109375" style="1" customWidth="1"/>
    <col min="2056" max="2056" width="6.44140625" style="1" customWidth="1"/>
    <col min="2057" max="2296" width="8.88671875" style="1"/>
    <col min="2297" max="2297" width="5.5546875" style="1" bestFit="1" customWidth="1"/>
    <col min="2298" max="2298" width="9.33203125" style="1" customWidth="1"/>
    <col min="2299" max="2299" width="24.6640625" style="1" customWidth="1"/>
    <col min="2300" max="2300" width="11" style="1" bestFit="1" customWidth="1"/>
    <col min="2301" max="2301" width="7.5546875" style="1" bestFit="1" customWidth="1"/>
    <col min="2302" max="2302" width="13.5546875" style="1" customWidth="1"/>
    <col min="2303" max="2303" width="5.44140625" style="1" bestFit="1" customWidth="1"/>
    <col min="2304" max="2304" width="11.33203125" style="1" bestFit="1" customWidth="1"/>
    <col min="2305" max="2305" width="5.6640625" style="1" bestFit="1" customWidth="1"/>
    <col min="2306" max="2306" width="12" style="1" customWidth="1"/>
    <col min="2307" max="2307" width="15.44140625" style="1" bestFit="1" customWidth="1"/>
    <col min="2308" max="2309" width="15.109375" style="1" bestFit="1" customWidth="1"/>
    <col min="2310" max="2310" width="14.33203125" style="1" bestFit="1" customWidth="1"/>
    <col min="2311" max="2311" width="3.109375" style="1" customWidth="1"/>
    <col min="2312" max="2312" width="6.44140625" style="1" customWidth="1"/>
    <col min="2313" max="2552" width="8.88671875" style="1"/>
    <col min="2553" max="2553" width="5.5546875" style="1" bestFit="1" customWidth="1"/>
    <col min="2554" max="2554" width="9.33203125" style="1" customWidth="1"/>
    <col min="2555" max="2555" width="24.6640625" style="1" customWidth="1"/>
    <col min="2556" max="2556" width="11" style="1" bestFit="1" customWidth="1"/>
    <col min="2557" max="2557" width="7.5546875" style="1" bestFit="1" customWidth="1"/>
    <col min="2558" max="2558" width="13.5546875" style="1" customWidth="1"/>
    <col min="2559" max="2559" width="5.44140625" style="1" bestFit="1" customWidth="1"/>
    <col min="2560" max="2560" width="11.33203125" style="1" bestFit="1" customWidth="1"/>
    <col min="2561" max="2561" width="5.6640625" style="1" bestFit="1" customWidth="1"/>
    <col min="2562" max="2562" width="12" style="1" customWidth="1"/>
    <col min="2563" max="2563" width="15.44140625" style="1" bestFit="1" customWidth="1"/>
    <col min="2564" max="2565" width="15.109375" style="1" bestFit="1" customWidth="1"/>
    <col min="2566" max="2566" width="14.33203125" style="1" bestFit="1" customWidth="1"/>
    <col min="2567" max="2567" width="3.109375" style="1" customWidth="1"/>
    <col min="2568" max="2568" width="6.44140625" style="1" customWidth="1"/>
    <col min="2569" max="2808" width="8.88671875" style="1"/>
    <col min="2809" max="2809" width="5.5546875" style="1" bestFit="1" customWidth="1"/>
    <col min="2810" max="2810" width="9.33203125" style="1" customWidth="1"/>
    <col min="2811" max="2811" width="24.6640625" style="1" customWidth="1"/>
    <col min="2812" max="2812" width="11" style="1" bestFit="1" customWidth="1"/>
    <col min="2813" max="2813" width="7.5546875" style="1" bestFit="1" customWidth="1"/>
    <col min="2814" max="2814" width="13.5546875" style="1" customWidth="1"/>
    <col min="2815" max="2815" width="5.44140625" style="1" bestFit="1" customWidth="1"/>
    <col min="2816" max="2816" width="11.33203125" style="1" bestFit="1" customWidth="1"/>
    <col min="2817" max="2817" width="5.6640625" style="1" bestFit="1" customWidth="1"/>
    <col min="2818" max="2818" width="12" style="1" customWidth="1"/>
    <col min="2819" max="2819" width="15.44140625" style="1" bestFit="1" customWidth="1"/>
    <col min="2820" max="2821" width="15.109375" style="1" bestFit="1" customWidth="1"/>
    <col min="2822" max="2822" width="14.33203125" style="1" bestFit="1" customWidth="1"/>
    <col min="2823" max="2823" width="3.109375" style="1" customWidth="1"/>
    <col min="2824" max="2824" width="6.44140625" style="1" customWidth="1"/>
    <col min="2825" max="3064" width="8.88671875" style="1"/>
    <col min="3065" max="3065" width="5.5546875" style="1" bestFit="1" customWidth="1"/>
    <col min="3066" max="3066" width="9.33203125" style="1" customWidth="1"/>
    <col min="3067" max="3067" width="24.6640625" style="1" customWidth="1"/>
    <col min="3068" max="3068" width="11" style="1" bestFit="1" customWidth="1"/>
    <col min="3069" max="3069" width="7.5546875" style="1" bestFit="1" customWidth="1"/>
    <col min="3070" max="3070" width="13.5546875" style="1" customWidth="1"/>
    <col min="3071" max="3071" width="5.44140625" style="1" bestFit="1" customWidth="1"/>
    <col min="3072" max="3072" width="11.33203125" style="1" bestFit="1" customWidth="1"/>
    <col min="3073" max="3073" width="5.6640625" style="1" bestFit="1" customWidth="1"/>
    <col min="3074" max="3074" width="12" style="1" customWidth="1"/>
    <col min="3075" max="3075" width="15.44140625" style="1" bestFit="1" customWidth="1"/>
    <col min="3076" max="3077" width="15.109375" style="1" bestFit="1" customWidth="1"/>
    <col min="3078" max="3078" width="14.33203125" style="1" bestFit="1" customWidth="1"/>
    <col min="3079" max="3079" width="3.109375" style="1" customWidth="1"/>
    <col min="3080" max="3080" width="6.44140625" style="1" customWidth="1"/>
    <col min="3081" max="3320" width="8.88671875" style="1"/>
    <col min="3321" max="3321" width="5.5546875" style="1" bestFit="1" customWidth="1"/>
    <col min="3322" max="3322" width="9.33203125" style="1" customWidth="1"/>
    <col min="3323" max="3323" width="24.6640625" style="1" customWidth="1"/>
    <col min="3324" max="3324" width="11" style="1" bestFit="1" customWidth="1"/>
    <col min="3325" max="3325" width="7.5546875" style="1" bestFit="1" customWidth="1"/>
    <col min="3326" max="3326" width="13.5546875" style="1" customWidth="1"/>
    <col min="3327" max="3327" width="5.44140625" style="1" bestFit="1" customWidth="1"/>
    <col min="3328" max="3328" width="11.33203125" style="1" bestFit="1" customWidth="1"/>
    <col min="3329" max="3329" width="5.6640625" style="1" bestFit="1" customWidth="1"/>
    <col min="3330" max="3330" width="12" style="1" customWidth="1"/>
    <col min="3331" max="3331" width="15.44140625" style="1" bestFit="1" customWidth="1"/>
    <col min="3332" max="3333" width="15.109375" style="1" bestFit="1" customWidth="1"/>
    <col min="3334" max="3334" width="14.33203125" style="1" bestFit="1" customWidth="1"/>
    <col min="3335" max="3335" width="3.109375" style="1" customWidth="1"/>
    <col min="3336" max="3336" width="6.44140625" style="1" customWidth="1"/>
    <col min="3337" max="3576" width="8.88671875" style="1"/>
    <col min="3577" max="3577" width="5.5546875" style="1" bestFit="1" customWidth="1"/>
    <col min="3578" max="3578" width="9.33203125" style="1" customWidth="1"/>
    <col min="3579" max="3579" width="24.6640625" style="1" customWidth="1"/>
    <col min="3580" max="3580" width="11" style="1" bestFit="1" customWidth="1"/>
    <col min="3581" max="3581" width="7.5546875" style="1" bestFit="1" customWidth="1"/>
    <col min="3582" max="3582" width="13.5546875" style="1" customWidth="1"/>
    <col min="3583" max="3583" width="5.44140625" style="1" bestFit="1" customWidth="1"/>
    <col min="3584" max="3584" width="11.33203125" style="1" bestFit="1" customWidth="1"/>
    <col min="3585" max="3585" width="5.6640625" style="1" bestFit="1" customWidth="1"/>
    <col min="3586" max="3586" width="12" style="1" customWidth="1"/>
    <col min="3587" max="3587" width="15.44140625" style="1" bestFit="1" customWidth="1"/>
    <col min="3588" max="3589" width="15.109375" style="1" bestFit="1" customWidth="1"/>
    <col min="3590" max="3590" width="14.33203125" style="1" bestFit="1" customWidth="1"/>
    <col min="3591" max="3591" width="3.109375" style="1" customWidth="1"/>
    <col min="3592" max="3592" width="6.44140625" style="1" customWidth="1"/>
    <col min="3593" max="3832" width="8.88671875" style="1"/>
    <col min="3833" max="3833" width="5.5546875" style="1" bestFit="1" customWidth="1"/>
    <col min="3834" max="3834" width="9.33203125" style="1" customWidth="1"/>
    <col min="3835" max="3835" width="24.6640625" style="1" customWidth="1"/>
    <col min="3836" max="3836" width="11" style="1" bestFit="1" customWidth="1"/>
    <col min="3837" max="3837" width="7.5546875" style="1" bestFit="1" customWidth="1"/>
    <col min="3838" max="3838" width="13.5546875" style="1" customWidth="1"/>
    <col min="3839" max="3839" width="5.44140625" style="1" bestFit="1" customWidth="1"/>
    <col min="3840" max="3840" width="11.33203125" style="1" bestFit="1" customWidth="1"/>
    <col min="3841" max="3841" width="5.6640625" style="1" bestFit="1" customWidth="1"/>
    <col min="3842" max="3842" width="12" style="1" customWidth="1"/>
    <col min="3843" max="3843" width="15.44140625" style="1" bestFit="1" customWidth="1"/>
    <col min="3844" max="3845" width="15.109375" style="1" bestFit="1" customWidth="1"/>
    <col min="3846" max="3846" width="14.33203125" style="1" bestFit="1" customWidth="1"/>
    <col min="3847" max="3847" width="3.109375" style="1" customWidth="1"/>
    <col min="3848" max="3848" width="6.44140625" style="1" customWidth="1"/>
    <col min="3849" max="4088" width="8.88671875" style="1"/>
    <col min="4089" max="4089" width="5.5546875" style="1" bestFit="1" customWidth="1"/>
    <col min="4090" max="4090" width="9.33203125" style="1" customWidth="1"/>
    <col min="4091" max="4091" width="24.6640625" style="1" customWidth="1"/>
    <col min="4092" max="4092" width="11" style="1" bestFit="1" customWidth="1"/>
    <col min="4093" max="4093" width="7.5546875" style="1" bestFit="1" customWidth="1"/>
    <col min="4094" max="4094" width="13.5546875" style="1" customWidth="1"/>
    <col min="4095" max="4095" width="5.44140625" style="1" bestFit="1" customWidth="1"/>
    <col min="4096" max="4096" width="11.33203125" style="1" bestFit="1" customWidth="1"/>
    <col min="4097" max="4097" width="5.6640625" style="1" bestFit="1" customWidth="1"/>
    <col min="4098" max="4098" width="12" style="1" customWidth="1"/>
    <col min="4099" max="4099" width="15.44140625" style="1" bestFit="1" customWidth="1"/>
    <col min="4100" max="4101" width="15.109375" style="1" bestFit="1" customWidth="1"/>
    <col min="4102" max="4102" width="14.33203125" style="1" bestFit="1" customWidth="1"/>
    <col min="4103" max="4103" width="3.109375" style="1" customWidth="1"/>
    <col min="4104" max="4104" width="6.44140625" style="1" customWidth="1"/>
    <col min="4105" max="4344" width="8.88671875" style="1"/>
    <col min="4345" max="4345" width="5.5546875" style="1" bestFit="1" customWidth="1"/>
    <col min="4346" max="4346" width="9.33203125" style="1" customWidth="1"/>
    <col min="4347" max="4347" width="24.6640625" style="1" customWidth="1"/>
    <col min="4348" max="4348" width="11" style="1" bestFit="1" customWidth="1"/>
    <col min="4349" max="4349" width="7.5546875" style="1" bestFit="1" customWidth="1"/>
    <col min="4350" max="4350" width="13.5546875" style="1" customWidth="1"/>
    <col min="4351" max="4351" width="5.44140625" style="1" bestFit="1" customWidth="1"/>
    <col min="4352" max="4352" width="11.33203125" style="1" bestFit="1" customWidth="1"/>
    <col min="4353" max="4353" width="5.6640625" style="1" bestFit="1" customWidth="1"/>
    <col min="4354" max="4354" width="12" style="1" customWidth="1"/>
    <col min="4355" max="4355" width="15.44140625" style="1" bestFit="1" customWidth="1"/>
    <col min="4356" max="4357" width="15.109375" style="1" bestFit="1" customWidth="1"/>
    <col min="4358" max="4358" width="14.33203125" style="1" bestFit="1" customWidth="1"/>
    <col min="4359" max="4359" width="3.109375" style="1" customWidth="1"/>
    <col min="4360" max="4360" width="6.44140625" style="1" customWidth="1"/>
    <col min="4361" max="4600" width="8.88671875" style="1"/>
    <col min="4601" max="4601" width="5.5546875" style="1" bestFit="1" customWidth="1"/>
    <col min="4602" max="4602" width="9.33203125" style="1" customWidth="1"/>
    <col min="4603" max="4603" width="24.6640625" style="1" customWidth="1"/>
    <col min="4604" max="4604" width="11" style="1" bestFit="1" customWidth="1"/>
    <col min="4605" max="4605" width="7.5546875" style="1" bestFit="1" customWidth="1"/>
    <col min="4606" max="4606" width="13.5546875" style="1" customWidth="1"/>
    <col min="4607" max="4607" width="5.44140625" style="1" bestFit="1" customWidth="1"/>
    <col min="4608" max="4608" width="11.33203125" style="1" bestFit="1" customWidth="1"/>
    <col min="4609" max="4609" width="5.6640625" style="1" bestFit="1" customWidth="1"/>
    <col min="4610" max="4610" width="12" style="1" customWidth="1"/>
    <col min="4611" max="4611" width="15.44140625" style="1" bestFit="1" customWidth="1"/>
    <col min="4612" max="4613" width="15.109375" style="1" bestFit="1" customWidth="1"/>
    <col min="4614" max="4614" width="14.33203125" style="1" bestFit="1" customWidth="1"/>
    <col min="4615" max="4615" width="3.109375" style="1" customWidth="1"/>
    <col min="4616" max="4616" width="6.44140625" style="1" customWidth="1"/>
    <col min="4617" max="4856" width="8.88671875" style="1"/>
    <col min="4857" max="4857" width="5.5546875" style="1" bestFit="1" customWidth="1"/>
    <col min="4858" max="4858" width="9.33203125" style="1" customWidth="1"/>
    <col min="4859" max="4859" width="24.6640625" style="1" customWidth="1"/>
    <col min="4860" max="4860" width="11" style="1" bestFit="1" customWidth="1"/>
    <col min="4861" max="4861" width="7.5546875" style="1" bestFit="1" customWidth="1"/>
    <col min="4862" max="4862" width="13.5546875" style="1" customWidth="1"/>
    <col min="4863" max="4863" width="5.44140625" style="1" bestFit="1" customWidth="1"/>
    <col min="4864" max="4864" width="11.33203125" style="1" bestFit="1" customWidth="1"/>
    <col min="4865" max="4865" width="5.6640625" style="1" bestFit="1" customWidth="1"/>
    <col min="4866" max="4866" width="12" style="1" customWidth="1"/>
    <col min="4867" max="4867" width="15.44140625" style="1" bestFit="1" customWidth="1"/>
    <col min="4868" max="4869" width="15.109375" style="1" bestFit="1" customWidth="1"/>
    <col min="4870" max="4870" width="14.33203125" style="1" bestFit="1" customWidth="1"/>
    <col min="4871" max="4871" width="3.109375" style="1" customWidth="1"/>
    <col min="4872" max="4872" width="6.44140625" style="1" customWidth="1"/>
    <col min="4873" max="5112" width="8.88671875" style="1"/>
    <col min="5113" max="5113" width="5.5546875" style="1" bestFit="1" customWidth="1"/>
    <col min="5114" max="5114" width="9.33203125" style="1" customWidth="1"/>
    <col min="5115" max="5115" width="24.6640625" style="1" customWidth="1"/>
    <col min="5116" max="5116" width="11" style="1" bestFit="1" customWidth="1"/>
    <col min="5117" max="5117" width="7.5546875" style="1" bestFit="1" customWidth="1"/>
    <col min="5118" max="5118" width="13.5546875" style="1" customWidth="1"/>
    <col min="5119" max="5119" width="5.44140625" style="1" bestFit="1" customWidth="1"/>
    <col min="5120" max="5120" width="11.33203125" style="1" bestFit="1" customWidth="1"/>
    <col min="5121" max="5121" width="5.6640625" style="1" bestFit="1" customWidth="1"/>
    <col min="5122" max="5122" width="12" style="1" customWidth="1"/>
    <col min="5123" max="5123" width="15.44140625" style="1" bestFit="1" customWidth="1"/>
    <col min="5124" max="5125" width="15.109375" style="1" bestFit="1" customWidth="1"/>
    <col min="5126" max="5126" width="14.33203125" style="1" bestFit="1" customWidth="1"/>
    <col min="5127" max="5127" width="3.109375" style="1" customWidth="1"/>
    <col min="5128" max="5128" width="6.44140625" style="1" customWidth="1"/>
    <col min="5129" max="5368" width="8.88671875" style="1"/>
    <col min="5369" max="5369" width="5.5546875" style="1" bestFit="1" customWidth="1"/>
    <col min="5370" max="5370" width="9.33203125" style="1" customWidth="1"/>
    <col min="5371" max="5371" width="24.6640625" style="1" customWidth="1"/>
    <col min="5372" max="5372" width="11" style="1" bestFit="1" customWidth="1"/>
    <col min="5373" max="5373" width="7.5546875" style="1" bestFit="1" customWidth="1"/>
    <col min="5374" max="5374" width="13.5546875" style="1" customWidth="1"/>
    <col min="5375" max="5375" width="5.44140625" style="1" bestFit="1" customWidth="1"/>
    <col min="5376" max="5376" width="11.33203125" style="1" bestFit="1" customWidth="1"/>
    <col min="5377" max="5377" width="5.6640625" style="1" bestFit="1" customWidth="1"/>
    <col min="5378" max="5378" width="12" style="1" customWidth="1"/>
    <col min="5379" max="5379" width="15.44140625" style="1" bestFit="1" customWidth="1"/>
    <col min="5380" max="5381" width="15.109375" style="1" bestFit="1" customWidth="1"/>
    <col min="5382" max="5382" width="14.33203125" style="1" bestFit="1" customWidth="1"/>
    <col min="5383" max="5383" width="3.109375" style="1" customWidth="1"/>
    <col min="5384" max="5384" width="6.44140625" style="1" customWidth="1"/>
    <col min="5385" max="5624" width="8.88671875" style="1"/>
    <col min="5625" max="5625" width="5.5546875" style="1" bestFit="1" customWidth="1"/>
    <col min="5626" max="5626" width="9.33203125" style="1" customWidth="1"/>
    <col min="5627" max="5627" width="24.6640625" style="1" customWidth="1"/>
    <col min="5628" max="5628" width="11" style="1" bestFit="1" customWidth="1"/>
    <col min="5629" max="5629" width="7.5546875" style="1" bestFit="1" customWidth="1"/>
    <col min="5630" max="5630" width="13.5546875" style="1" customWidth="1"/>
    <col min="5631" max="5631" width="5.44140625" style="1" bestFit="1" customWidth="1"/>
    <col min="5632" max="5632" width="11.33203125" style="1" bestFit="1" customWidth="1"/>
    <col min="5633" max="5633" width="5.6640625" style="1" bestFit="1" customWidth="1"/>
    <col min="5634" max="5634" width="12" style="1" customWidth="1"/>
    <col min="5635" max="5635" width="15.44140625" style="1" bestFit="1" customWidth="1"/>
    <col min="5636" max="5637" width="15.109375" style="1" bestFit="1" customWidth="1"/>
    <col min="5638" max="5638" width="14.33203125" style="1" bestFit="1" customWidth="1"/>
    <col min="5639" max="5639" width="3.109375" style="1" customWidth="1"/>
    <col min="5640" max="5640" width="6.44140625" style="1" customWidth="1"/>
    <col min="5641" max="5880" width="8.88671875" style="1"/>
    <col min="5881" max="5881" width="5.5546875" style="1" bestFit="1" customWidth="1"/>
    <col min="5882" max="5882" width="9.33203125" style="1" customWidth="1"/>
    <col min="5883" max="5883" width="24.6640625" style="1" customWidth="1"/>
    <col min="5884" max="5884" width="11" style="1" bestFit="1" customWidth="1"/>
    <col min="5885" max="5885" width="7.5546875" style="1" bestFit="1" customWidth="1"/>
    <col min="5886" max="5886" width="13.5546875" style="1" customWidth="1"/>
    <col min="5887" max="5887" width="5.44140625" style="1" bestFit="1" customWidth="1"/>
    <col min="5888" max="5888" width="11.33203125" style="1" bestFit="1" customWidth="1"/>
    <col min="5889" max="5889" width="5.6640625" style="1" bestFit="1" customWidth="1"/>
    <col min="5890" max="5890" width="12" style="1" customWidth="1"/>
    <col min="5891" max="5891" width="15.44140625" style="1" bestFit="1" customWidth="1"/>
    <col min="5892" max="5893" width="15.109375" style="1" bestFit="1" customWidth="1"/>
    <col min="5894" max="5894" width="14.33203125" style="1" bestFit="1" customWidth="1"/>
    <col min="5895" max="5895" width="3.109375" style="1" customWidth="1"/>
    <col min="5896" max="5896" width="6.44140625" style="1" customWidth="1"/>
    <col min="5897" max="6136" width="8.88671875" style="1"/>
    <col min="6137" max="6137" width="5.5546875" style="1" bestFit="1" customWidth="1"/>
    <col min="6138" max="6138" width="9.33203125" style="1" customWidth="1"/>
    <col min="6139" max="6139" width="24.6640625" style="1" customWidth="1"/>
    <col min="6140" max="6140" width="11" style="1" bestFit="1" customWidth="1"/>
    <col min="6141" max="6141" width="7.5546875" style="1" bestFit="1" customWidth="1"/>
    <col min="6142" max="6142" width="13.5546875" style="1" customWidth="1"/>
    <col min="6143" max="6143" width="5.44140625" style="1" bestFit="1" customWidth="1"/>
    <col min="6144" max="6144" width="11.33203125" style="1" bestFit="1" customWidth="1"/>
    <col min="6145" max="6145" width="5.6640625" style="1" bestFit="1" customWidth="1"/>
    <col min="6146" max="6146" width="12" style="1" customWidth="1"/>
    <col min="6147" max="6147" width="15.44140625" style="1" bestFit="1" customWidth="1"/>
    <col min="6148" max="6149" width="15.109375" style="1" bestFit="1" customWidth="1"/>
    <col min="6150" max="6150" width="14.33203125" style="1" bestFit="1" customWidth="1"/>
    <col min="6151" max="6151" width="3.109375" style="1" customWidth="1"/>
    <col min="6152" max="6152" width="6.44140625" style="1" customWidth="1"/>
    <col min="6153" max="6392" width="8.88671875" style="1"/>
    <col min="6393" max="6393" width="5.5546875" style="1" bestFit="1" customWidth="1"/>
    <col min="6394" max="6394" width="9.33203125" style="1" customWidth="1"/>
    <col min="6395" max="6395" width="24.6640625" style="1" customWidth="1"/>
    <col min="6396" max="6396" width="11" style="1" bestFit="1" customWidth="1"/>
    <col min="6397" max="6397" width="7.5546875" style="1" bestFit="1" customWidth="1"/>
    <col min="6398" max="6398" width="13.5546875" style="1" customWidth="1"/>
    <col min="6399" max="6399" width="5.44140625" style="1" bestFit="1" customWidth="1"/>
    <col min="6400" max="6400" width="11.33203125" style="1" bestFit="1" customWidth="1"/>
    <col min="6401" max="6401" width="5.6640625" style="1" bestFit="1" customWidth="1"/>
    <col min="6402" max="6402" width="12" style="1" customWidth="1"/>
    <col min="6403" max="6403" width="15.44140625" style="1" bestFit="1" customWidth="1"/>
    <col min="6404" max="6405" width="15.109375" style="1" bestFit="1" customWidth="1"/>
    <col min="6406" max="6406" width="14.33203125" style="1" bestFit="1" customWidth="1"/>
    <col min="6407" max="6407" width="3.109375" style="1" customWidth="1"/>
    <col min="6408" max="6408" width="6.44140625" style="1" customWidth="1"/>
    <col min="6409" max="6648" width="8.88671875" style="1"/>
    <col min="6649" max="6649" width="5.5546875" style="1" bestFit="1" customWidth="1"/>
    <col min="6650" max="6650" width="9.33203125" style="1" customWidth="1"/>
    <col min="6651" max="6651" width="24.6640625" style="1" customWidth="1"/>
    <col min="6652" max="6652" width="11" style="1" bestFit="1" customWidth="1"/>
    <col min="6653" max="6653" width="7.5546875" style="1" bestFit="1" customWidth="1"/>
    <col min="6654" max="6654" width="13.5546875" style="1" customWidth="1"/>
    <col min="6655" max="6655" width="5.44140625" style="1" bestFit="1" customWidth="1"/>
    <col min="6656" max="6656" width="11.33203125" style="1" bestFit="1" customWidth="1"/>
    <col min="6657" max="6657" width="5.6640625" style="1" bestFit="1" customWidth="1"/>
    <col min="6658" max="6658" width="12" style="1" customWidth="1"/>
    <col min="6659" max="6659" width="15.44140625" style="1" bestFit="1" customWidth="1"/>
    <col min="6660" max="6661" width="15.109375" style="1" bestFit="1" customWidth="1"/>
    <col min="6662" max="6662" width="14.33203125" style="1" bestFit="1" customWidth="1"/>
    <col min="6663" max="6663" width="3.109375" style="1" customWidth="1"/>
    <col min="6664" max="6664" width="6.44140625" style="1" customWidth="1"/>
    <col min="6665" max="6904" width="8.88671875" style="1"/>
    <col min="6905" max="6905" width="5.5546875" style="1" bestFit="1" customWidth="1"/>
    <col min="6906" max="6906" width="9.33203125" style="1" customWidth="1"/>
    <col min="6907" max="6907" width="24.6640625" style="1" customWidth="1"/>
    <col min="6908" max="6908" width="11" style="1" bestFit="1" customWidth="1"/>
    <col min="6909" max="6909" width="7.5546875" style="1" bestFit="1" customWidth="1"/>
    <col min="6910" max="6910" width="13.5546875" style="1" customWidth="1"/>
    <col min="6911" max="6911" width="5.44140625" style="1" bestFit="1" customWidth="1"/>
    <col min="6912" max="6912" width="11.33203125" style="1" bestFit="1" customWidth="1"/>
    <col min="6913" max="6913" width="5.6640625" style="1" bestFit="1" customWidth="1"/>
    <col min="6914" max="6914" width="12" style="1" customWidth="1"/>
    <col min="6915" max="6915" width="15.44140625" style="1" bestFit="1" customWidth="1"/>
    <col min="6916" max="6917" width="15.109375" style="1" bestFit="1" customWidth="1"/>
    <col min="6918" max="6918" width="14.33203125" style="1" bestFit="1" customWidth="1"/>
    <col min="6919" max="6919" width="3.109375" style="1" customWidth="1"/>
    <col min="6920" max="6920" width="6.44140625" style="1" customWidth="1"/>
    <col min="6921" max="7160" width="8.88671875" style="1"/>
    <col min="7161" max="7161" width="5.5546875" style="1" bestFit="1" customWidth="1"/>
    <col min="7162" max="7162" width="9.33203125" style="1" customWidth="1"/>
    <col min="7163" max="7163" width="24.6640625" style="1" customWidth="1"/>
    <col min="7164" max="7164" width="11" style="1" bestFit="1" customWidth="1"/>
    <col min="7165" max="7165" width="7.5546875" style="1" bestFit="1" customWidth="1"/>
    <col min="7166" max="7166" width="13.5546875" style="1" customWidth="1"/>
    <col min="7167" max="7167" width="5.44140625" style="1" bestFit="1" customWidth="1"/>
    <col min="7168" max="7168" width="11.33203125" style="1" bestFit="1" customWidth="1"/>
    <col min="7169" max="7169" width="5.6640625" style="1" bestFit="1" customWidth="1"/>
    <col min="7170" max="7170" width="12" style="1" customWidth="1"/>
    <col min="7171" max="7171" width="15.44140625" style="1" bestFit="1" customWidth="1"/>
    <col min="7172" max="7173" width="15.109375" style="1" bestFit="1" customWidth="1"/>
    <col min="7174" max="7174" width="14.33203125" style="1" bestFit="1" customWidth="1"/>
    <col min="7175" max="7175" width="3.109375" style="1" customWidth="1"/>
    <col min="7176" max="7176" width="6.44140625" style="1" customWidth="1"/>
    <col min="7177" max="7416" width="8.88671875" style="1"/>
    <col min="7417" max="7417" width="5.5546875" style="1" bestFit="1" customWidth="1"/>
    <col min="7418" max="7418" width="9.33203125" style="1" customWidth="1"/>
    <col min="7419" max="7419" width="24.6640625" style="1" customWidth="1"/>
    <col min="7420" max="7420" width="11" style="1" bestFit="1" customWidth="1"/>
    <col min="7421" max="7421" width="7.5546875" style="1" bestFit="1" customWidth="1"/>
    <col min="7422" max="7422" width="13.5546875" style="1" customWidth="1"/>
    <col min="7423" max="7423" width="5.44140625" style="1" bestFit="1" customWidth="1"/>
    <col min="7424" max="7424" width="11.33203125" style="1" bestFit="1" customWidth="1"/>
    <col min="7425" max="7425" width="5.6640625" style="1" bestFit="1" customWidth="1"/>
    <col min="7426" max="7426" width="12" style="1" customWidth="1"/>
    <col min="7427" max="7427" width="15.44140625" style="1" bestFit="1" customWidth="1"/>
    <col min="7428" max="7429" width="15.109375" style="1" bestFit="1" customWidth="1"/>
    <col min="7430" max="7430" width="14.33203125" style="1" bestFit="1" customWidth="1"/>
    <col min="7431" max="7431" width="3.109375" style="1" customWidth="1"/>
    <col min="7432" max="7432" width="6.44140625" style="1" customWidth="1"/>
    <col min="7433" max="7672" width="8.88671875" style="1"/>
    <col min="7673" max="7673" width="5.5546875" style="1" bestFit="1" customWidth="1"/>
    <col min="7674" max="7674" width="9.33203125" style="1" customWidth="1"/>
    <col min="7675" max="7675" width="24.6640625" style="1" customWidth="1"/>
    <col min="7676" max="7676" width="11" style="1" bestFit="1" customWidth="1"/>
    <col min="7677" max="7677" width="7.5546875" style="1" bestFit="1" customWidth="1"/>
    <col min="7678" max="7678" width="13.5546875" style="1" customWidth="1"/>
    <col min="7679" max="7679" width="5.44140625" style="1" bestFit="1" customWidth="1"/>
    <col min="7680" max="7680" width="11.33203125" style="1" bestFit="1" customWidth="1"/>
    <col min="7681" max="7681" width="5.6640625" style="1" bestFit="1" customWidth="1"/>
    <col min="7682" max="7682" width="12" style="1" customWidth="1"/>
    <col min="7683" max="7683" width="15.44140625" style="1" bestFit="1" customWidth="1"/>
    <col min="7684" max="7685" width="15.109375" style="1" bestFit="1" customWidth="1"/>
    <col min="7686" max="7686" width="14.33203125" style="1" bestFit="1" customWidth="1"/>
    <col min="7687" max="7687" width="3.109375" style="1" customWidth="1"/>
    <col min="7688" max="7688" width="6.44140625" style="1" customWidth="1"/>
    <col min="7689" max="7928" width="8.88671875" style="1"/>
    <col min="7929" max="7929" width="5.5546875" style="1" bestFit="1" customWidth="1"/>
    <col min="7930" max="7930" width="9.33203125" style="1" customWidth="1"/>
    <col min="7931" max="7931" width="24.6640625" style="1" customWidth="1"/>
    <col min="7932" max="7932" width="11" style="1" bestFit="1" customWidth="1"/>
    <col min="7933" max="7933" width="7.5546875" style="1" bestFit="1" customWidth="1"/>
    <col min="7934" max="7934" width="13.5546875" style="1" customWidth="1"/>
    <col min="7935" max="7935" width="5.44140625" style="1" bestFit="1" customWidth="1"/>
    <col min="7936" max="7936" width="11.33203125" style="1" bestFit="1" customWidth="1"/>
    <col min="7937" max="7937" width="5.6640625" style="1" bestFit="1" customWidth="1"/>
    <col min="7938" max="7938" width="12" style="1" customWidth="1"/>
    <col min="7939" max="7939" width="15.44140625" style="1" bestFit="1" customWidth="1"/>
    <col min="7940" max="7941" width="15.109375" style="1" bestFit="1" customWidth="1"/>
    <col min="7942" max="7942" width="14.33203125" style="1" bestFit="1" customWidth="1"/>
    <col min="7943" max="7943" width="3.109375" style="1" customWidth="1"/>
    <col min="7944" max="7944" width="6.44140625" style="1" customWidth="1"/>
    <col min="7945" max="8184" width="8.88671875" style="1"/>
    <col min="8185" max="8185" width="5.5546875" style="1" bestFit="1" customWidth="1"/>
    <col min="8186" max="8186" width="9.33203125" style="1" customWidth="1"/>
    <col min="8187" max="8187" width="24.6640625" style="1" customWidth="1"/>
    <col min="8188" max="8188" width="11" style="1" bestFit="1" customWidth="1"/>
    <col min="8189" max="8189" width="7.5546875" style="1" bestFit="1" customWidth="1"/>
    <col min="8190" max="8190" width="13.5546875" style="1" customWidth="1"/>
    <col min="8191" max="8191" width="5.44140625" style="1" bestFit="1" customWidth="1"/>
    <col min="8192" max="8192" width="11.33203125" style="1" bestFit="1" customWidth="1"/>
    <col min="8193" max="8193" width="5.6640625" style="1" bestFit="1" customWidth="1"/>
    <col min="8194" max="8194" width="12" style="1" customWidth="1"/>
    <col min="8195" max="8195" width="15.44140625" style="1" bestFit="1" customWidth="1"/>
    <col min="8196" max="8197" width="15.109375" style="1" bestFit="1" customWidth="1"/>
    <col min="8198" max="8198" width="14.33203125" style="1" bestFit="1" customWidth="1"/>
    <col min="8199" max="8199" width="3.109375" style="1" customWidth="1"/>
    <col min="8200" max="8200" width="6.44140625" style="1" customWidth="1"/>
    <col min="8201" max="8440" width="8.88671875" style="1"/>
    <col min="8441" max="8441" width="5.5546875" style="1" bestFit="1" customWidth="1"/>
    <col min="8442" max="8442" width="9.33203125" style="1" customWidth="1"/>
    <col min="8443" max="8443" width="24.6640625" style="1" customWidth="1"/>
    <col min="8444" max="8444" width="11" style="1" bestFit="1" customWidth="1"/>
    <col min="8445" max="8445" width="7.5546875" style="1" bestFit="1" customWidth="1"/>
    <col min="8446" max="8446" width="13.5546875" style="1" customWidth="1"/>
    <col min="8447" max="8447" width="5.44140625" style="1" bestFit="1" customWidth="1"/>
    <col min="8448" max="8448" width="11.33203125" style="1" bestFit="1" customWidth="1"/>
    <col min="8449" max="8449" width="5.6640625" style="1" bestFit="1" customWidth="1"/>
    <col min="8450" max="8450" width="12" style="1" customWidth="1"/>
    <col min="8451" max="8451" width="15.44140625" style="1" bestFit="1" customWidth="1"/>
    <col min="8452" max="8453" width="15.109375" style="1" bestFit="1" customWidth="1"/>
    <col min="8454" max="8454" width="14.33203125" style="1" bestFit="1" customWidth="1"/>
    <col min="8455" max="8455" width="3.109375" style="1" customWidth="1"/>
    <col min="8456" max="8456" width="6.44140625" style="1" customWidth="1"/>
    <col min="8457" max="8696" width="8.88671875" style="1"/>
    <col min="8697" max="8697" width="5.5546875" style="1" bestFit="1" customWidth="1"/>
    <col min="8698" max="8698" width="9.33203125" style="1" customWidth="1"/>
    <col min="8699" max="8699" width="24.6640625" style="1" customWidth="1"/>
    <col min="8700" max="8700" width="11" style="1" bestFit="1" customWidth="1"/>
    <col min="8701" max="8701" width="7.5546875" style="1" bestFit="1" customWidth="1"/>
    <col min="8702" max="8702" width="13.5546875" style="1" customWidth="1"/>
    <col min="8703" max="8703" width="5.44140625" style="1" bestFit="1" customWidth="1"/>
    <col min="8704" max="8704" width="11.33203125" style="1" bestFit="1" customWidth="1"/>
    <col min="8705" max="8705" width="5.6640625" style="1" bestFit="1" customWidth="1"/>
    <col min="8706" max="8706" width="12" style="1" customWidth="1"/>
    <col min="8707" max="8707" width="15.44140625" style="1" bestFit="1" customWidth="1"/>
    <col min="8708" max="8709" width="15.109375" style="1" bestFit="1" customWidth="1"/>
    <col min="8710" max="8710" width="14.33203125" style="1" bestFit="1" customWidth="1"/>
    <col min="8711" max="8711" width="3.109375" style="1" customWidth="1"/>
    <col min="8712" max="8712" width="6.44140625" style="1" customWidth="1"/>
    <col min="8713" max="8952" width="8.88671875" style="1"/>
    <col min="8953" max="8953" width="5.5546875" style="1" bestFit="1" customWidth="1"/>
    <col min="8954" max="8954" width="9.33203125" style="1" customWidth="1"/>
    <col min="8955" max="8955" width="24.6640625" style="1" customWidth="1"/>
    <col min="8956" max="8956" width="11" style="1" bestFit="1" customWidth="1"/>
    <col min="8957" max="8957" width="7.5546875" style="1" bestFit="1" customWidth="1"/>
    <col min="8958" max="8958" width="13.5546875" style="1" customWidth="1"/>
    <col min="8959" max="8959" width="5.44140625" style="1" bestFit="1" customWidth="1"/>
    <col min="8960" max="8960" width="11.33203125" style="1" bestFit="1" customWidth="1"/>
    <col min="8961" max="8961" width="5.6640625" style="1" bestFit="1" customWidth="1"/>
    <col min="8962" max="8962" width="12" style="1" customWidth="1"/>
    <col min="8963" max="8963" width="15.44140625" style="1" bestFit="1" customWidth="1"/>
    <col min="8964" max="8965" width="15.109375" style="1" bestFit="1" customWidth="1"/>
    <col min="8966" max="8966" width="14.33203125" style="1" bestFit="1" customWidth="1"/>
    <col min="8967" max="8967" width="3.109375" style="1" customWidth="1"/>
    <col min="8968" max="8968" width="6.44140625" style="1" customWidth="1"/>
    <col min="8969" max="9208" width="8.88671875" style="1"/>
    <col min="9209" max="9209" width="5.5546875" style="1" bestFit="1" customWidth="1"/>
    <col min="9210" max="9210" width="9.33203125" style="1" customWidth="1"/>
    <col min="9211" max="9211" width="24.6640625" style="1" customWidth="1"/>
    <col min="9212" max="9212" width="11" style="1" bestFit="1" customWidth="1"/>
    <col min="9213" max="9213" width="7.5546875" style="1" bestFit="1" customWidth="1"/>
    <col min="9214" max="9214" width="13.5546875" style="1" customWidth="1"/>
    <col min="9215" max="9215" width="5.44140625" style="1" bestFit="1" customWidth="1"/>
    <col min="9216" max="9216" width="11.33203125" style="1" bestFit="1" customWidth="1"/>
    <col min="9217" max="9217" width="5.6640625" style="1" bestFit="1" customWidth="1"/>
    <col min="9218" max="9218" width="12" style="1" customWidth="1"/>
    <col min="9219" max="9219" width="15.44140625" style="1" bestFit="1" customWidth="1"/>
    <col min="9220" max="9221" width="15.109375" style="1" bestFit="1" customWidth="1"/>
    <col min="9222" max="9222" width="14.33203125" style="1" bestFit="1" customWidth="1"/>
    <col min="9223" max="9223" width="3.109375" style="1" customWidth="1"/>
    <col min="9224" max="9224" width="6.44140625" style="1" customWidth="1"/>
    <col min="9225" max="9464" width="8.88671875" style="1"/>
    <col min="9465" max="9465" width="5.5546875" style="1" bestFit="1" customWidth="1"/>
    <col min="9466" max="9466" width="9.33203125" style="1" customWidth="1"/>
    <col min="9467" max="9467" width="24.6640625" style="1" customWidth="1"/>
    <col min="9468" max="9468" width="11" style="1" bestFit="1" customWidth="1"/>
    <col min="9469" max="9469" width="7.5546875" style="1" bestFit="1" customWidth="1"/>
    <col min="9470" max="9470" width="13.5546875" style="1" customWidth="1"/>
    <col min="9471" max="9471" width="5.44140625" style="1" bestFit="1" customWidth="1"/>
    <col min="9472" max="9472" width="11.33203125" style="1" bestFit="1" customWidth="1"/>
    <col min="9473" max="9473" width="5.6640625" style="1" bestFit="1" customWidth="1"/>
    <col min="9474" max="9474" width="12" style="1" customWidth="1"/>
    <col min="9475" max="9475" width="15.44140625" style="1" bestFit="1" customWidth="1"/>
    <col min="9476" max="9477" width="15.109375" style="1" bestFit="1" customWidth="1"/>
    <col min="9478" max="9478" width="14.33203125" style="1" bestFit="1" customWidth="1"/>
    <col min="9479" max="9479" width="3.109375" style="1" customWidth="1"/>
    <col min="9480" max="9480" width="6.44140625" style="1" customWidth="1"/>
    <col min="9481" max="9720" width="8.88671875" style="1"/>
    <col min="9721" max="9721" width="5.5546875" style="1" bestFit="1" customWidth="1"/>
    <col min="9722" max="9722" width="9.33203125" style="1" customWidth="1"/>
    <col min="9723" max="9723" width="24.6640625" style="1" customWidth="1"/>
    <col min="9724" max="9724" width="11" style="1" bestFit="1" customWidth="1"/>
    <col min="9725" max="9725" width="7.5546875" style="1" bestFit="1" customWidth="1"/>
    <col min="9726" max="9726" width="13.5546875" style="1" customWidth="1"/>
    <col min="9727" max="9727" width="5.44140625" style="1" bestFit="1" customWidth="1"/>
    <col min="9728" max="9728" width="11.33203125" style="1" bestFit="1" customWidth="1"/>
    <col min="9729" max="9729" width="5.6640625" style="1" bestFit="1" customWidth="1"/>
    <col min="9730" max="9730" width="12" style="1" customWidth="1"/>
    <col min="9731" max="9731" width="15.44140625" style="1" bestFit="1" customWidth="1"/>
    <col min="9732" max="9733" width="15.109375" style="1" bestFit="1" customWidth="1"/>
    <col min="9734" max="9734" width="14.33203125" style="1" bestFit="1" customWidth="1"/>
    <col min="9735" max="9735" width="3.109375" style="1" customWidth="1"/>
    <col min="9736" max="9736" width="6.44140625" style="1" customWidth="1"/>
    <col min="9737" max="9976" width="8.88671875" style="1"/>
    <col min="9977" max="9977" width="5.5546875" style="1" bestFit="1" customWidth="1"/>
    <col min="9978" max="9978" width="9.33203125" style="1" customWidth="1"/>
    <col min="9979" max="9979" width="24.6640625" style="1" customWidth="1"/>
    <col min="9980" max="9980" width="11" style="1" bestFit="1" customWidth="1"/>
    <col min="9981" max="9981" width="7.5546875" style="1" bestFit="1" customWidth="1"/>
    <col min="9982" max="9982" width="13.5546875" style="1" customWidth="1"/>
    <col min="9983" max="9983" width="5.44140625" style="1" bestFit="1" customWidth="1"/>
    <col min="9984" max="9984" width="11.33203125" style="1" bestFit="1" customWidth="1"/>
    <col min="9985" max="9985" width="5.6640625" style="1" bestFit="1" customWidth="1"/>
    <col min="9986" max="9986" width="12" style="1" customWidth="1"/>
    <col min="9987" max="9987" width="15.44140625" style="1" bestFit="1" customWidth="1"/>
    <col min="9988" max="9989" width="15.109375" style="1" bestFit="1" customWidth="1"/>
    <col min="9990" max="9990" width="14.33203125" style="1" bestFit="1" customWidth="1"/>
    <col min="9991" max="9991" width="3.109375" style="1" customWidth="1"/>
    <col min="9992" max="9992" width="6.44140625" style="1" customWidth="1"/>
    <col min="9993" max="10232" width="8.88671875" style="1"/>
    <col min="10233" max="10233" width="5.5546875" style="1" bestFit="1" customWidth="1"/>
    <col min="10234" max="10234" width="9.33203125" style="1" customWidth="1"/>
    <col min="10235" max="10235" width="24.6640625" style="1" customWidth="1"/>
    <col min="10236" max="10236" width="11" style="1" bestFit="1" customWidth="1"/>
    <col min="10237" max="10237" width="7.5546875" style="1" bestFit="1" customWidth="1"/>
    <col min="10238" max="10238" width="13.5546875" style="1" customWidth="1"/>
    <col min="10239" max="10239" width="5.44140625" style="1" bestFit="1" customWidth="1"/>
    <col min="10240" max="10240" width="11.33203125" style="1" bestFit="1" customWidth="1"/>
    <col min="10241" max="10241" width="5.6640625" style="1" bestFit="1" customWidth="1"/>
    <col min="10242" max="10242" width="12" style="1" customWidth="1"/>
    <col min="10243" max="10243" width="15.44140625" style="1" bestFit="1" customWidth="1"/>
    <col min="10244" max="10245" width="15.109375" style="1" bestFit="1" customWidth="1"/>
    <col min="10246" max="10246" width="14.33203125" style="1" bestFit="1" customWidth="1"/>
    <col min="10247" max="10247" width="3.109375" style="1" customWidth="1"/>
    <col min="10248" max="10248" width="6.44140625" style="1" customWidth="1"/>
    <col min="10249" max="10488" width="8.88671875" style="1"/>
    <col min="10489" max="10489" width="5.5546875" style="1" bestFit="1" customWidth="1"/>
    <col min="10490" max="10490" width="9.33203125" style="1" customWidth="1"/>
    <col min="10491" max="10491" width="24.6640625" style="1" customWidth="1"/>
    <col min="10492" max="10492" width="11" style="1" bestFit="1" customWidth="1"/>
    <col min="10493" max="10493" width="7.5546875" style="1" bestFit="1" customWidth="1"/>
    <col min="10494" max="10494" width="13.5546875" style="1" customWidth="1"/>
    <col min="10495" max="10495" width="5.44140625" style="1" bestFit="1" customWidth="1"/>
    <col min="10496" max="10496" width="11.33203125" style="1" bestFit="1" customWidth="1"/>
    <col min="10497" max="10497" width="5.6640625" style="1" bestFit="1" customWidth="1"/>
    <col min="10498" max="10498" width="12" style="1" customWidth="1"/>
    <col min="10499" max="10499" width="15.44140625" style="1" bestFit="1" customWidth="1"/>
    <col min="10500" max="10501" width="15.109375" style="1" bestFit="1" customWidth="1"/>
    <col min="10502" max="10502" width="14.33203125" style="1" bestFit="1" customWidth="1"/>
    <col min="10503" max="10503" width="3.109375" style="1" customWidth="1"/>
    <col min="10504" max="10504" width="6.44140625" style="1" customWidth="1"/>
    <col min="10505" max="10744" width="8.88671875" style="1"/>
    <col min="10745" max="10745" width="5.5546875" style="1" bestFit="1" customWidth="1"/>
    <col min="10746" max="10746" width="9.33203125" style="1" customWidth="1"/>
    <col min="10747" max="10747" width="24.6640625" style="1" customWidth="1"/>
    <col min="10748" max="10748" width="11" style="1" bestFit="1" customWidth="1"/>
    <col min="10749" max="10749" width="7.5546875" style="1" bestFit="1" customWidth="1"/>
    <col min="10750" max="10750" width="13.5546875" style="1" customWidth="1"/>
    <col min="10751" max="10751" width="5.44140625" style="1" bestFit="1" customWidth="1"/>
    <col min="10752" max="10752" width="11.33203125" style="1" bestFit="1" customWidth="1"/>
    <col min="10753" max="10753" width="5.6640625" style="1" bestFit="1" customWidth="1"/>
    <col min="10754" max="10754" width="12" style="1" customWidth="1"/>
    <col min="10755" max="10755" width="15.44140625" style="1" bestFit="1" customWidth="1"/>
    <col min="10756" max="10757" width="15.109375" style="1" bestFit="1" customWidth="1"/>
    <col min="10758" max="10758" width="14.33203125" style="1" bestFit="1" customWidth="1"/>
    <col min="10759" max="10759" width="3.109375" style="1" customWidth="1"/>
    <col min="10760" max="10760" width="6.44140625" style="1" customWidth="1"/>
    <col min="10761" max="11000" width="8.88671875" style="1"/>
    <col min="11001" max="11001" width="5.5546875" style="1" bestFit="1" customWidth="1"/>
    <col min="11002" max="11002" width="9.33203125" style="1" customWidth="1"/>
    <col min="11003" max="11003" width="24.6640625" style="1" customWidth="1"/>
    <col min="11004" max="11004" width="11" style="1" bestFit="1" customWidth="1"/>
    <col min="11005" max="11005" width="7.5546875" style="1" bestFit="1" customWidth="1"/>
    <col min="11006" max="11006" width="13.5546875" style="1" customWidth="1"/>
    <col min="11007" max="11007" width="5.44140625" style="1" bestFit="1" customWidth="1"/>
    <col min="11008" max="11008" width="11.33203125" style="1" bestFit="1" customWidth="1"/>
    <col min="11009" max="11009" width="5.6640625" style="1" bestFit="1" customWidth="1"/>
    <col min="11010" max="11010" width="12" style="1" customWidth="1"/>
    <col min="11011" max="11011" width="15.44140625" style="1" bestFit="1" customWidth="1"/>
    <col min="11012" max="11013" width="15.109375" style="1" bestFit="1" customWidth="1"/>
    <col min="11014" max="11014" width="14.33203125" style="1" bestFit="1" customWidth="1"/>
    <col min="11015" max="11015" width="3.109375" style="1" customWidth="1"/>
    <col min="11016" max="11016" width="6.44140625" style="1" customWidth="1"/>
    <col min="11017" max="11256" width="8.88671875" style="1"/>
    <col min="11257" max="11257" width="5.5546875" style="1" bestFit="1" customWidth="1"/>
    <col min="11258" max="11258" width="9.33203125" style="1" customWidth="1"/>
    <col min="11259" max="11259" width="24.6640625" style="1" customWidth="1"/>
    <col min="11260" max="11260" width="11" style="1" bestFit="1" customWidth="1"/>
    <col min="11261" max="11261" width="7.5546875" style="1" bestFit="1" customWidth="1"/>
    <col min="11262" max="11262" width="13.5546875" style="1" customWidth="1"/>
    <col min="11263" max="11263" width="5.44140625" style="1" bestFit="1" customWidth="1"/>
    <col min="11264" max="11264" width="11.33203125" style="1" bestFit="1" customWidth="1"/>
    <col min="11265" max="11265" width="5.6640625" style="1" bestFit="1" customWidth="1"/>
    <col min="11266" max="11266" width="12" style="1" customWidth="1"/>
    <col min="11267" max="11267" width="15.44140625" style="1" bestFit="1" customWidth="1"/>
    <col min="11268" max="11269" width="15.109375" style="1" bestFit="1" customWidth="1"/>
    <col min="11270" max="11270" width="14.33203125" style="1" bestFit="1" customWidth="1"/>
    <col min="11271" max="11271" width="3.109375" style="1" customWidth="1"/>
    <col min="11272" max="11272" width="6.44140625" style="1" customWidth="1"/>
    <col min="11273" max="11512" width="8.88671875" style="1"/>
    <col min="11513" max="11513" width="5.5546875" style="1" bestFit="1" customWidth="1"/>
    <col min="11514" max="11514" width="9.33203125" style="1" customWidth="1"/>
    <col min="11515" max="11515" width="24.6640625" style="1" customWidth="1"/>
    <col min="11516" max="11516" width="11" style="1" bestFit="1" customWidth="1"/>
    <col min="11517" max="11517" width="7.5546875" style="1" bestFit="1" customWidth="1"/>
    <col min="11518" max="11518" width="13.5546875" style="1" customWidth="1"/>
    <col min="11519" max="11519" width="5.44140625" style="1" bestFit="1" customWidth="1"/>
    <col min="11520" max="11520" width="11.33203125" style="1" bestFit="1" customWidth="1"/>
    <col min="11521" max="11521" width="5.6640625" style="1" bestFit="1" customWidth="1"/>
    <col min="11522" max="11522" width="12" style="1" customWidth="1"/>
    <col min="11523" max="11523" width="15.44140625" style="1" bestFit="1" customWidth="1"/>
    <col min="11524" max="11525" width="15.109375" style="1" bestFit="1" customWidth="1"/>
    <col min="11526" max="11526" width="14.33203125" style="1" bestFit="1" customWidth="1"/>
    <col min="11527" max="11527" width="3.109375" style="1" customWidth="1"/>
    <col min="11528" max="11528" width="6.44140625" style="1" customWidth="1"/>
    <col min="11529" max="11768" width="8.88671875" style="1"/>
    <col min="11769" max="11769" width="5.5546875" style="1" bestFit="1" customWidth="1"/>
    <col min="11770" max="11770" width="9.33203125" style="1" customWidth="1"/>
    <col min="11771" max="11771" width="24.6640625" style="1" customWidth="1"/>
    <col min="11772" max="11772" width="11" style="1" bestFit="1" customWidth="1"/>
    <col min="11773" max="11773" width="7.5546875" style="1" bestFit="1" customWidth="1"/>
    <col min="11774" max="11774" width="13.5546875" style="1" customWidth="1"/>
    <col min="11775" max="11775" width="5.44140625" style="1" bestFit="1" customWidth="1"/>
    <col min="11776" max="11776" width="11.33203125" style="1" bestFit="1" customWidth="1"/>
    <col min="11777" max="11777" width="5.6640625" style="1" bestFit="1" customWidth="1"/>
    <col min="11778" max="11778" width="12" style="1" customWidth="1"/>
    <col min="11779" max="11779" width="15.44140625" style="1" bestFit="1" customWidth="1"/>
    <col min="11780" max="11781" width="15.109375" style="1" bestFit="1" customWidth="1"/>
    <col min="11782" max="11782" width="14.33203125" style="1" bestFit="1" customWidth="1"/>
    <col min="11783" max="11783" width="3.109375" style="1" customWidth="1"/>
    <col min="11784" max="11784" width="6.44140625" style="1" customWidth="1"/>
    <col min="11785" max="12024" width="8.88671875" style="1"/>
    <col min="12025" max="12025" width="5.5546875" style="1" bestFit="1" customWidth="1"/>
    <col min="12026" max="12026" width="9.33203125" style="1" customWidth="1"/>
    <col min="12027" max="12027" width="24.6640625" style="1" customWidth="1"/>
    <col min="12028" max="12028" width="11" style="1" bestFit="1" customWidth="1"/>
    <col min="12029" max="12029" width="7.5546875" style="1" bestFit="1" customWidth="1"/>
    <col min="12030" max="12030" width="13.5546875" style="1" customWidth="1"/>
    <col min="12031" max="12031" width="5.44140625" style="1" bestFit="1" customWidth="1"/>
    <col min="12032" max="12032" width="11.33203125" style="1" bestFit="1" customWidth="1"/>
    <col min="12033" max="12033" width="5.6640625" style="1" bestFit="1" customWidth="1"/>
    <col min="12034" max="12034" width="12" style="1" customWidth="1"/>
    <col min="12035" max="12035" width="15.44140625" style="1" bestFit="1" customWidth="1"/>
    <col min="12036" max="12037" width="15.109375" style="1" bestFit="1" customWidth="1"/>
    <col min="12038" max="12038" width="14.33203125" style="1" bestFit="1" customWidth="1"/>
    <col min="12039" max="12039" width="3.109375" style="1" customWidth="1"/>
    <col min="12040" max="12040" width="6.44140625" style="1" customWidth="1"/>
    <col min="12041" max="12280" width="8.88671875" style="1"/>
    <col min="12281" max="12281" width="5.5546875" style="1" bestFit="1" customWidth="1"/>
    <col min="12282" max="12282" width="9.33203125" style="1" customWidth="1"/>
    <col min="12283" max="12283" width="24.6640625" style="1" customWidth="1"/>
    <col min="12284" max="12284" width="11" style="1" bestFit="1" customWidth="1"/>
    <col min="12285" max="12285" width="7.5546875" style="1" bestFit="1" customWidth="1"/>
    <col min="12286" max="12286" width="13.5546875" style="1" customWidth="1"/>
    <col min="12287" max="12287" width="5.44140625" style="1" bestFit="1" customWidth="1"/>
    <col min="12288" max="12288" width="11.33203125" style="1" bestFit="1" customWidth="1"/>
    <col min="12289" max="12289" width="5.6640625" style="1" bestFit="1" customWidth="1"/>
    <col min="12290" max="12290" width="12" style="1" customWidth="1"/>
    <col min="12291" max="12291" width="15.44140625" style="1" bestFit="1" customWidth="1"/>
    <col min="12292" max="12293" width="15.109375" style="1" bestFit="1" customWidth="1"/>
    <col min="12294" max="12294" width="14.33203125" style="1" bestFit="1" customWidth="1"/>
    <col min="12295" max="12295" width="3.109375" style="1" customWidth="1"/>
    <col min="12296" max="12296" width="6.44140625" style="1" customWidth="1"/>
    <col min="12297" max="12536" width="8.88671875" style="1"/>
    <col min="12537" max="12537" width="5.5546875" style="1" bestFit="1" customWidth="1"/>
    <col min="12538" max="12538" width="9.33203125" style="1" customWidth="1"/>
    <col min="12539" max="12539" width="24.6640625" style="1" customWidth="1"/>
    <col min="12540" max="12540" width="11" style="1" bestFit="1" customWidth="1"/>
    <col min="12541" max="12541" width="7.5546875" style="1" bestFit="1" customWidth="1"/>
    <col min="12542" max="12542" width="13.5546875" style="1" customWidth="1"/>
    <col min="12543" max="12543" width="5.44140625" style="1" bestFit="1" customWidth="1"/>
    <col min="12544" max="12544" width="11.33203125" style="1" bestFit="1" customWidth="1"/>
    <col min="12545" max="12545" width="5.6640625" style="1" bestFit="1" customWidth="1"/>
    <col min="12546" max="12546" width="12" style="1" customWidth="1"/>
    <col min="12547" max="12547" width="15.44140625" style="1" bestFit="1" customWidth="1"/>
    <col min="12548" max="12549" width="15.109375" style="1" bestFit="1" customWidth="1"/>
    <col min="12550" max="12550" width="14.33203125" style="1" bestFit="1" customWidth="1"/>
    <col min="12551" max="12551" width="3.109375" style="1" customWidth="1"/>
    <col min="12552" max="12552" width="6.44140625" style="1" customWidth="1"/>
    <col min="12553" max="12792" width="8.88671875" style="1"/>
    <col min="12793" max="12793" width="5.5546875" style="1" bestFit="1" customWidth="1"/>
    <col min="12794" max="12794" width="9.33203125" style="1" customWidth="1"/>
    <col min="12795" max="12795" width="24.6640625" style="1" customWidth="1"/>
    <col min="12796" max="12796" width="11" style="1" bestFit="1" customWidth="1"/>
    <col min="12797" max="12797" width="7.5546875" style="1" bestFit="1" customWidth="1"/>
    <col min="12798" max="12798" width="13.5546875" style="1" customWidth="1"/>
    <col min="12799" max="12799" width="5.44140625" style="1" bestFit="1" customWidth="1"/>
    <col min="12800" max="12800" width="11.33203125" style="1" bestFit="1" customWidth="1"/>
    <col min="12801" max="12801" width="5.6640625" style="1" bestFit="1" customWidth="1"/>
    <col min="12802" max="12802" width="12" style="1" customWidth="1"/>
    <col min="12803" max="12803" width="15.44140625" style="1" bestFit="1" customWidth="1"/>
    <col min="12804" max="12805" width="15.109375" style="1" bestFit="1" customWidth="1"/>
    <col min="12806" max="12806" width="14.33203125" style="1" bestFit="1" customWidth="1"/>
    <col min="12807" max="12807" width="3.109375" style="1" customWidth="1"/>
    <col min="12808" max="12808" width="6.44140625" style="1" customWidth="1"/>
    <col min="12809" max="13048" width="8.88671875" style="1"/>
    <col min="13049" max="13049" width="5.5546875" style="1" bestFit="1" customWidth="1"/>
    <col min="13050" max="13050" width="9.33203125" style="1" customWidth="1"/>
    <col min="13051" max="13051" width="24.6640625" style="1" customWidth="1"/>
    <col min="13052" max="13052" width="11" style="1" bestFit="1" customWidth="1"/>
    <col min="13053" max="13053" width="7.5546875" style="1" bestFit="1" customWidth="1"/>
    <col min="13054" max="13054" width="13.5546875" style="1" customWidth="1"/>
    <col min="13055" max="13055" width="5.44140625" style="1" bestFit="1" customWidth="1"/>
    <col min="13056" max="13056" width="11.33203125" style="1" bestFit="1" customWidth="1"/>
    <col min="13057" max="13057" width="5.6640625" style="1" bestFit="1" customWidth="1"/>
    <col min="13058" max="13058" width="12" style="1" customWidth="1"/>
    <col min="13059" max="13059" width="15.44140625" style="1" bestFit="1" customWidth="1"/>
    <col min="13060" max="13061" width="15.109375" style="1" bestFit="1" customWidth="1"/>
    <col min="13062" max="13062" width="14.33203125" style="1" bestFit="1" customWidth="1"/>
    <col min="13063" max="13063" width="3.109375" style="1" customWidth="1"/>
    <col min="13064" max="13064" width="6.44140625" style="1" customWidth="1"/>
    <col min="13065" max="13304" width="8.88671875" style="1"/>
    <col min="13305" max="13305" width="5.5546875" style="1" bestFit="1" customWidth="1"/>
    <col min="13306" max="13306" width="9.33203125" style="1" customWidth="1"/>
    <col min="13307" max="13307" width="24.6640625" style="1" customWidth="1"/>
    <col min="13308" max="13308" width="11" style="1" bestFit="1" customWidth="1"/>
    <col min="13309" max="13309" width="7.5546875" style="1" bestFit="1" customWidth="1"/>
    <col min="13310" max="13310" width="13.5546875" style="1" customWidth="1"/>
    <col min="13311" max="13311" width="5.44140625" style="1" bestFit="1" customWidth="1"/>
    <col min="13312" max="13312" width="11.33203125" style="1" bestFit="1" customWidth="1"/>
    <col min="13313" max="13313" width="5.6640625" style="1" bestFit="1" customWidth="1"/>
    <col min="13314" max="13314" width="12" style="1" customWidth="1"/>
    <col min="13315" max="13315" width="15.44140625" style="1" bestFit="1" customWidth="1"/>
    <col min="13316" max="13317" width="15.109375" style="1" bestFit="1" customWidth="1"/>
    <col min="13318" max="13318" width="14.33203125" style="1" bestFit="1" customWidth="1"/>
    <col min="13319" max="13319" width="3.109375" style="1" customWidth="1"/>
    <col min="13320" max="13320" width="6.44140625" style="1" customWidth="1"/>
    <col min="13321" max="13560" width="8.88671875" style="1"/>
    <col min="13561" max="13561" width="5.5546875" style="1" bestFit="1" customWidth="1"/>
    <col min="13562" max="13562" width="9.33203125" style="1" customWidth="1"/>
    <col min="13563" max="13563" width="24.6640625" style="1" customWidth="1"/>
    <col min="13564" max="13564" width="11" style="1" bestFit="1" customWidth="1"/>
    <col min="13565" max="13565" width="7.5546875" style="1" bestFit="1" customWidth="1"/>
    <col min="13566" max="13566" width="13.5546875" style="1" customWidth="1"/>
    <col min="13567" max="13567" width="5.44140625" style="1" bestFit="1" customWidth="1"/>
    <col min="13568" max="13568" width="11.33203125" style="1" bestFit="1" customWidth="1"/>
    <col min="13569" max="13569" width="5.6640625" style="1" bestFit="1" customWidth="1"/>
    <col min="13570" max="13570" width="12" style="1" customWidth="1"/>
    <col min="13571" max="13571" width="15.44140625" style="1" bestFit="1" customWidth="1"/>
    <col min="13572" max="13573" width="15.109375" style="1" bestFit="1" customWidth="1"/>
    <col min="13574" max="13574" width="14.33203125" style="1" bestFit="1" customWidth="1"/>
    <col min="13575" max="13575" width="3.109375" style="1" customWidth="1"/>
    <col min="13576" max="13576" width="6.44140625" style="1" customWidth="1"/>
    <col min="13577" max="13816" width="8.88671875" style="1"/>
    <col min="13817" max="13817" width="5.5546875" style="1" bestFit="1" customWidth="1"/>
    <col min="13818" max="13818" width="9.33203125" style="1" customWidth="1"/>
    <col min="13819" max="13819" width="24.6640625" style="1" customWidth="1"/>
    <col min="13820" max="13820" width="11" style="1" bestFit="1" customWidth="1"/>
    <col min="13821" max="13821" width="7.5546875" style="1" bestFit="1" customWidth="1"/>
    <col min="13822" max="13822" width="13.5546875" style="1" customWidth="1"/>
    <col min="13823" max="13823" width="5.44140625" style="1" bestFit="1" customWidth="1"/>
    <col min="13824" max="13824" width="11.33203125" style="1" bestFit="1" customWidth="1"/>
    <col min="13825" max="13825" width="5.6640625" style="1" bestFit="1" customWidth="1"/>
    <col min="13826" max="13826" width="12" style="1" customWidth="1"/>
    <col min="13827" max="13827" width="15.44140625" style="1" bestFit="1" customWidth="1"/>
    <col min="13828" max="13829" width="15.109375" style="1" bestFit="1" customWidth="1"/>
    <col min="13830" max="13830" width="14.33203125" style="1" bestFit="1" customWidth="1"/>
    <col min="13831" max="13831" width="3.109375" style="1" customWidth="1"/>
    <col min="13832" max="13832" width="6.44140625" style="1" customWidth="1"/>
    <col min="13833" max="14072" width="8.88671875" style="1"/>
    <col min="14073" max="14073" width="5.5546875" style="1" bestFit="1" customWidth="1"/>
    <col min="14074" max="14074" width="9.33203125" style="1" customWidth="1"/>
    <col min="14075" max="14075" width="24.6640625" style="1" customWidth="1"/>
    <col min="14076" max="14076" width="11" style="1" bestFit="1" customWidth="1"/>
    <col min="14077" max="14077" width="7.5546875" style="1" bestFit="1" customWidth="1"/>
    <col min="14078" max="14078" width="13.5546875" style="1" customWidth="1"/>
    <col min="14079" max="14079" width="5.44140625" style="1" bestFit="1" customWidth="1"/>
    <col min="14080" max="14080" width="11.33203125" style="1" bestFit="1" customWidth="1"/>
    <col min="14081" max="14081" width="5.6640625" style="1" bestFit="1" customWidth="1"/>
    <col min="14082" max="14082" width="12" style="1" customWidth="1"/>
    <col min="14083" max="14083" width="15.44140625" style="1" bestFit="1" customWidth="1"/>
    <col min="14084" max="14085" width="15.109375" style="1" bestFit="1" customWidth="1"/>
    <col min="14086" max="14086" width="14.33203125" style="1" bestFit="1" customWidth="1"/>
    <col min="14087" max="14087" width="3.109375" style="1" customWidth="1"/>
    <col min="14088" max="14088" width="6.44140625" style="1" customWidth="1"/>
    <col min="14089" max="14328" width="8.88671875" style="1"/>
    <col min="14329" max="14329" width="5.5546875" style="1" bestFit="1" customWidth="1"/>
    <col min="14330" max="14330" width="9.33203125" style="1" customWidth="1"/>
    <col min="14331" max="14331" width="24.6640625" style="1" customWidth="1"/>
    <col min="14332" max="14332" width="11" style="1" bestFit="1" customWidth="1"/>
    <col min="14333" max="14333" width="7.5546875" style="1" bestFit="1" customWidth="1"/>
    <col min="14334" max="14334" width="13.5546875" style="1" customWidth="1"/>
    <col min="14335" max="14335" width="5.44140625" style="1" bestFit="1" customWidth="1"/>
    <col min="14336" max="14336" width="11.33203125" style="1" bestFit="1" customWidth="1"/>
    <col min="14337" max="14337" width="5.6640625" style="1" bestFit="1" customWidth="1"/>
    <col min="14338" max="14338" width="12" style="1" customWidth="1"/>
    <col min="14339" max="14339" width="15.44140625" style="1" bestFit="1" customWidth="1"/>
    <col min="14340" max="14341" width="15.109375" style="1" bestFit="1" customWidth="1"/>
    <col min="14342" max="14342" width="14.33203125" style="1" bestFit="1" customWidth="1"/>
    <col min="14343" max="14343" width="3.109375" style="1" customWidth="1"/>
    <col min="14344" max="14344" width="6.44140625" style="1" customWidth="1"/>
    <col min="14345" max="14584" width="8.88671875" style="1"/>
    <col min="14585" max="14585" width="5.5546875" style="1" bestFit="1" customWidth="1"/>
    <col min="14586" max="14586" width="9.33203125" style="1" customWidth="1"/>
    <col min="14587" max="14587" width="24.6640625" style="1" customWidth="1"/>
    <col min="14588" max="14588" width="11" style="1" bestFit="1" customWidth="1"/>
    <col min="14589" max="14589" width="7.5546875" style="1" bestFit="1" customWidth="1"/>
    <col min="14590" max="14590" width="13.5546875" style="1" customWidth="1"/>
    <col min="14591" max="14591" width="5.44140625" style="1" bestFit="1" customWidth="1"/>
    <col min="14592" max="14592" width="11.33203125" style="1" bestFit="1" customWidth="1"/>
    <col min="14593" max="14593" width="5.6640625" style="1" bestFit="1" customWidth="1"/>
    <col min="14594" max="14594" width="12" style="1" customWidth="1"/>
    <col min="14595" max="14595" width="15.44140625" style="1" bestFit="1" customWidth="1"/>
    <col min="14596" max="14597" width="15.109375" style="1" bestFit="1" customWidth="1"/>
    <col min="14598" max="14598" width="14.33203125" style="1" bestFit="1" customWidth="1"/>
    <col min="14599" max="14599" width="3.109375" style="1" customWidth="1"/>
    <col min="14600" max="14600" width="6.44140625" style="1" customWidth="1"/>
    <col min="14601" max="14840" width="8.88671875" style="1"/>
    <col min="14841" max="14841" width="5.5546875" style="1" bestFit="1" customWidth="1"/>
    <col min="14842" max="14842" width="9.33203125" style="1" customWidth="1"/>
    <col min="14843" max="14843" width="24.6640625" style="1" customWidth="1"/>
    <col min="14844" max="14844" width="11" style="1" bestFit="1" customWidth="1"/>
    <col min="14845" max="14845" width="7.5546875" style="1" bestFit="1" customWidth="1"/>
    <col min="14846" max="14846" width="13.5546875" style="1" customWidth="1"/>
    <col min="14847" max="14847" width="5.44140625" style="1" bestFit="1" customWidth="1"/>
    <col min="14848" max="14848" width="11.33203125" style="1" bestFit="1" customWidth="1"/>
    <col min="14849" max="14849" width="5.6640625" style="1" bestFit="1" customWidth="1"/>
    <col min="14850" max="14850" width="12" style="1" customWidth="1"/>
    <col min="14851" max="14851" width="15.44140625" style="1" bestFit="1" customWidth="1"/>
    <col min="14852" max="14853" width="15.109375" style="1" bestFit="1" customWidth="1"/>
    <col min="14854" max="14854" width="14.33203125" style="1" bestFit="1" customWidth="1"/>
    <col min="14855" max="14855" width="3.109375" style="1" customWidth="1"/>
    <col min="14856" max="14856" width="6.44140625" style="1" customWidth="1"/>
    <col min="14857" max="15096" width="8.88671875" style="1"/>
    <col min="15097" max="15097" width="5.5546875" style="1" bestFit="1" customWidth="1"/>
    <col min="15098" max="15098" width="9.33203125" style="1" customWidth="1"/>
    <col min="15099" max="15099" width="24.6640625" style="1" customWidth="1"/>
    <col min="15100" max="15100" width="11" style="1" bestFit="1" customWidth="1"/>
    <col min="15101" max="15101" width="7.5546875" style="1" bestFit="1" customWidth="1"/>
    <col min="15102" max="15102" width="13.5546875" style="1" customWidth="1"/>
    <col min="15103" max="15103" width="5.44140625" style="1" bestFit="1" customWidth="1"/>
    <col min="15104" max="15104" width="11.33203125" style="1" bestFit="1" customWidth="1"/>
    <col min="15105" max="15105" width="5.6640625" style="1" bestFit="1" customWidth="1"/>
    <col min="15106" max="15106" width="12" style="1" customWidth="1"/>
    <col min="15107" max="15107" width="15.44140625" style="1" bestFit="1" customWidth="1"/>
    <col min="15108" max="15109" width="15.109375" style="1" bestFit="1" customWidth="1"/>
    <col min="15110" max="15110" width="14.33203125" style="1" bestFit="1" customWidth="1"/>
    <col min="15111" max="15111" width="3.109375" style="1" customWidth="1"/>
    <col min="15112" max="15112" width="6.44140625" style="1" customWidth="1"/>
    <col min="15113" max="15352" width="8.88671875" style="1"/>
    <col min="15353" max="15353" width="5.5546875" style="1" bestFit="1" customWidth="1"/>
    <col min="15354" max="15354" width="9.33203125" style="1" customWidth="1"/>
    <col min="15355" max="15355" width="24.6640625" style="1" customWidth="1"/>
    <col min="15356" max="15356" width="11" style="1" bestFit="1" customWidth="1"/>
    <col min="15357" max="15357" width="7.5546875" style="1" bestFit="1" customWidth="1"/>
    <col min="15358" max="15358" width="13.5546875" style="1" customWidth="1"/>
    <col min="15359" max="15359" width="5.44140625" style="1" bestFit="1" customWidth="1"/>
    <col min="15360" max="15360" width="11.33203125" style="1" bestFit="1" customWidth="1"/>
    <col min="15361" max="15361" width="5.6640625" style="1" bestFit="1" customWidth="1"/>
    <col min="15362" max="15362" width="12" style="1" customWidth="1"/>
    <col min="15363" max="15363" width="15.44140625" style="1" bestFit="1" customWidth="1"/>
    <col min="15364" max="15365" width="15.109375" style="1" bestFit="1" customWidth="1"/>
    <col min="15366" max="15366" width="14.33203125" style="1" bestFit="1" customWidth="1"/>
    <col min="15367" max="15367" width="3.109375" style="1" customWidth="1"/>
    <col min="15368" max="15368" width="6.44140625" style="1" customWidth="1"/>
    <col min="15369" max="15608" width="8.88671875" style="1"/>
    <col min="15609" max="15609" width="5.5546875" style="1" bestFit="1" customWidth="1"/>
    <col min="15610" max="15610" width="9.33203125" style="1" customWidth="1"/>
    <col min="15611" max="15611" width="24.6640625" style="1" customWidth="1"/>
    <col min="15612" max="15612" width="11" style="1" bestFit="1" customWidth="1"/>
    <col min="15613" max="15613" width="7.5546875" style="1" bestFit="1" customWidth="1"/>
    <col min="15614" max="15614" width="13.5546875" style="1" customWidth="1"/>
    <col min="15615" max="15615" width="5.44140625" style="1" bestFit="1" customWidth="1"/>
    <col min="15616" max="15616" width="11.33203125" style="1" bestFit="1" customWidth="1"/>
    <col min="15617" max="15617" width="5.6640625" style="1" bestFit="1" customWidth="1"/>
    <col min="15618" max="15618" width="12" style="1" customWidth="1"/>
    <col min="15619" max="15619" width="15.44140625" style="1" bestFit="1" customWidth="1"/>
    <col min="15620" max="15621" width="15.109375" style="1" bestFit="1" customWidth="1"/>
    <col min="15622" max="15622" width="14.33203125" style="1" bestFit="1" customWidth="1"/>
    <col min="15623" max="15623" width="3.109375" style="1" customWidth="1"/>
    <col min="15624" max="15624" width="6.44140625" style="1" customWidth="1"/>
    <col min="15625" max="15864" width="8.88671875" style="1"/>
    <col min="15865" max="15865" width="5.5546875" style="1" bestFit="1" customWidth="1"/>
    <col min="15866" max="15866" width="9.33203125" style="1" customWidth="1"/>
    <col min="15867" max="15867" width="24.6640625" style="1" customWidth="1"/>
    <col min="15868" max="15868" width="11" style="1" bestFit="1" customWidth="1"/>
    <col min="15869" max="15869" width="7.5546875" style="1" bestFit="1" customWidth="1"/>
    <col min="15870" max="15870" width="13.5546875" style="1" customWidth="1"/>
    <col min="15871" max="15871" width="5.44140625" style="1" bestFit="1" customWidth="1"/>
    <col min="15872" max="15872" width="11.33203125" style="1" bestFit="1" customWidth="1"/>
    <col min="15873" max="15873" width="5.6640625" style="1" bestFit="1" customWidth="1"/>
    <col min="15874" max="15874" width="12" style="1" customWidth="1"/>
    <col min="15875" max="15875" width="15.44140625" style="1" bestFit="1" customWidth="1"/>
    <col min="15876" max="15877" width="15.109375" style="1" bestFit="1" customWidth="1"/>
    <col min="15878" max="15878" width="14.33203125" style="1" bestFit="1" customWidth="1"/>
    <col min="15879" max="15879" width="3.109375" style="1" customWidth="1"/>
    <col min="15880" max="15880" width="6.44140625" style="1" customWidth="1"/>
    <col min="15881" max="16120" width="8.88671875" style="1"/>
    <col min="16121" max="16121" width="5.5546875" style="1" bestFit="1" customWidth="1"/>
    <col min="16122" max="16122" width="9.33203125" style="1" customWidth="1"/>
    <col min="16123" max="16123" width="24.6640625" style="1" customWidth="1"/>
    <col min="16124" max="16124" width="11" style="1" bestFit="1" customWidth="1"/>
    <col min="16125" max="16125" width="7.5546875" style="1" bestFit="1" customWidth="1"/>
    <col min="16126" max="16126" width="13.5546875" style="1" customWidth="1"/>
    <col min="16127" max="16127" width="5.44140625" style="1" bestFit="1" customWidth="1"/>
    <col min="16128" max="16128" width="11.33203125" style="1" bestFit="1" customWidth="1"/>
    <col min="16129" max="16129" width="5.6640625" style="1" bestFit="1" customWidth="1"/>
    <col min="16130" max="16130" width="12" style="1" customWidth="1"/>
    <col min="16131" max="16131" width="15.44140625" style="1" bestFit="1" customWidth="1"/>
    <col min="16132" max="16133" width="15.109375" style="1" bestFit="1" customWidth="1"/>
    <col min="16134" max="16134" width="14.33203125" style="1" bestFit="1" customWidth="1"/>
    <col min="16135" max="16135" width="3.109375" style="1" customWidth="1"/>
    <col min="16136" max="16136" width="6.44140625" style="1" customWidth="1"/>
    <col min="16137" max="16384" width="8.88671875" style="1"/>
  </cols>
  <sheetData>
    <row r="1" spans="1:15" ht="28.2" customHeight="1" thickBot="1" x14ac:dyDescent="0.3">
      <c r="A1" s="55" t="s">
        <v>11</v>
      </c>
      <c r="B1" s="55"/>
      <c r="C1" s="55"/>
      <c r="D1" s="55"/>
      <c r="E1" s="55"/>
      <c r="F1" s="55"/>
      <c r="G1" s="55"/>
      <c r="H1" s="55"/>
      <c r="I1" s="55"/>
      <c r="J1" s="55"/>
      <c r="K1" s="18"/>
    </row>
    <row r="2" spans="1:15" ht="36" customHeight="1" thickBot="1" x14ac:dyDescent="0.3">
      <c r="A2" s="22" t="s">
        <v>0</v>
      </c>
      <c r="B2" s="22" t="s">
        <v>1</v>
      </c>
      <c r="C2" s="22" t="s">
        <v>2</v>
      </c>
      <c r="D2" s="22" t="s">
        <v>3</v>
      </c>
      <c r="E2" s="23" t="s">
        <v>9</v>
      </c>
      <c r="F2" s="22" t="s">
        <v>5</v>
      </c>
      <c r="G2" s="22" t="s">
        <v>18</v>
      </c>
      <c r="H2" s="22" t="s">
        <v>6</v>
      </c>
      <c r="I2" s="23" t="s">
        <v>4</v>
      </c>
      <c r="J2" s="23" t="s">
        <v>19</v>
      </c>
      <c r="K2" s="17"/>
      <c r="L2" s="23" t="s">
        <v>158</v>
      </c>
      <c r="M2" s="23" t="s">
        <v>47</v>
      </c>
      <c r="O2" s="20" t="s">
        <v>7</v>
      </c>
    </row>
    <row r="3" spans="1:15" ht="34.950000000000003" customHeight="1" x14ac:dyDescent="0.25">
      <c r="A3" s="10">
        <v>1</v>
      </c>
      <c r="B3" s="11" t="s">
        <v>14</v>
      </c>
      <c r="C3" s="12" t="s">
        <v>12</v>
      </c>
      <c r="D3" s="31" t="s">
        <v>15</v>
      </c>
      <c r="E3" s="30" t="s">
        <v>16</v>
      </c>
      <c r="F3" s="44">
        <v>3905.1039999999998</v>
      </c>
      <c r="G3" s="31" t="s">
        <v>17</v>
      </c>
      <c r="H3" s="12" t="s">
        <v>20</v>
      </c>
      <c r="I3" s="31" t="s">
        <v>63</v>
      </c>
      <c r="J3" s="33" t="s">
        <v>21</v>
      </c>
      <c r="L3" s="35">
        <v>35</v>
      </c>
      <c r="M3" s="36" t="s">
        <v>52</v>
      </c>
    </row>
    <row r="4" spans="1:15" ht="34.950000000000003" customHeight="1" x14ac:dyDescent="0.25">
      <c r="A4" s="8">
        <v>2</v>
      </c>
      <c r="B4" s="6">
        <v>46082</v>
      </c>
      <c r="C4" s="7" t="s">
        <v>30</v>
      </c>
      <c r="D4" s="13" t="s">
        <v>34</v>
      </c>
      <c r="E4" s="29" t="s">
        <v>10</v>
      </c>
      <c r="F4" s="32">
        <v>5072.7939999999999</v>
      </c>
      <c r="G4" s="13" t="s">
        <v>13</v>
      </c>
      <c r="H4" s="7" t="s">
        <v>24</v>
      </c>
      <c r="I4" s="13" t="s">
        <v>94</v>
      </c>
      <c r="J4" s="34" t="s">
        <v>67</v>
      </c>
      <c r="L4" s="37">
        <v>35</v>
      </c>
      <c r="M4" s="38" t="s">
        <v>52</v>
      </c>
    </row>
    <row r="5" spans="1:15" ht="34.950000000000003" customHeight="1" x14ac:dyDescent="0.25">
      <c r="A5" s="8">
        <v>3</v>
      </c>
      <c r="B5" s="6">
        <v>46082</v>
      </c>
      <c r="C5" s="7" t="s">
        <v>31</v>
      </c>
      <c r="D5" s="13" t="s">
        <v>27</v>
      </c>
      <c r="E5" s="29" t="s">
        <v>16</v>
      </c>
      <c r="F5" s="32">
        <v>3779.3829999999998</v>
      </c>
      <c r="G5" s="13" t="s">
        <v>28</v>
      </c>
      <c r="H5" s="7" t="s">
        <v>29</v>
      </c>
      <c r="I5" s="13" t="s">
        <v>95</v>
      </c>
      <c r="J5" s="34" t="s">
        <v>119</v>
      </c>
      <c r="K5" s="43"/>
      <c r="L5" s="37"/>
      <c r="M5" s="38"/>
    </row>
    <row r="6" spans="1:15" ht="34.950000000000003" customHeight="1" x14ac:dyDescent="0.25">
      <c r="A6" s="8">
        <v>4</v>
      </c>
      <c r="B6" s="6">
        <v>46204</v>
      </c>
      <c r="C6" s="7" t="s">
        <v>32</v>
      </c>
      <c r="D6" s="13" t="s">
        <v>26</v>
      </c>
      <c r="E6" s="29" t="s">
        <v>16</v>
      </c>
      <c r="F6" s="32">
        <v>4031.6019999999999</v>
      </c>
      <c r="G6" s="13" t="s">
        <v>17</v>
      </c>
      <c r="H6" s="7" t="s">
        <v>20</v>
      </c>
      <c r="I6" s="13" t="s">
        <v>63</v>
      </c>
      <c r="J6" s="34" t="s">
        <v>21</v>
      </c>
      <c r="L6" s="37">
        <v>33</v>
      </c>
      <c r="M6" s="38" t="s">
        <v>51</v>
      </c>
      <c r="N6" s="42"/>
    </row>
    <row r="7" spans="1:15" ht="34.950000000000003" customHeight="1" x14ac:dyDescent="0.25">
      <c r="A7" s="8">
        <v>5</v>
      </c>
      <c r="B7" s="6">
        <v>46235</v>
      </c>
      <c r="C7" s="7" t="s">
        <v>33</v>
      </c>
      <c r="D7" s="13" t="s">
        <v>22</v>
      </c>
      <c r="E7" s="29" t="s">
        <v>25</v>
      </c>
      <c r="F7" s="32">
        <v>5019.549</v>
      </c>
      <c r="G7" s="13" t="s">
        <v>23</v>
      </c>
      <c r="H7" s="7" t="s">
        <v>24</v>
      </c>
      <c r="I7" s="13" t="s">
        <v>41</v>
      </c>
      <c r="J7" s="34" t="s">
        <v>230</v>
      </c>
      <c r="L7" s="37">
        <v>33</v>
      </c>
      <c r="M7" s="38" t="s">
        <v>51</v>
      </c>
    </row>
    <row r="8" spans="1:15" ht="34.950000000000003" customHeight="1" x14ac:dyDescent="0.25">
      <c r="A8" s="8">
        <v>6</v>
      </c>
      <c r="B8" s="6">
        <v>46296</v>
      </c>
      <c r="C8" s="7" t="s">
        <v>37</v>
      </c>
      <c r="D8" s="13" t="s">
        <v>35</v>
      </c>
      <c r="E8" s="29" t="s">
        <v>25</v>
      </c>
      <c r="F8" s="32">
        <v>4275.9750000000004</v>
      </c>
      <c r="G8" s="13" t="s">
        <v>17</v>
      </c>
      <c r="H8" s="7" t="s">
        <v>20</v>
      </c>
      <c r="I8" s="13" t="s">
        <v>63</v>
      </c>
      <c r="J8" s="34" t="s">
        <v>46</v>
      </c>
      <c r="L8" s="37">
        <v>35</v>
      </c>
      <c r="M8" s="38" t="s">
        <v>50</v>
      </c>
    </row>
    <row r="9" spans="1:15" ht="34.950000000000003" customHeight="1" x14ac:dyDescent="0.25">
      <c r="A9" s="8">
        <v>7</v>
      </c>
      <c r="B9" s="6">
        <v>46296</v>
      </c>
      <c r="C9" s="7" t="s">
        <v>38</v>
      </c>
      <c r="D9" s="13" t="s">
        <v>36</v>
      </c>
      <c r="E9" s="29" t="s">
        <v>16</v>
      </c>
      <c r="F9" s="32">
        <v>2662.569</v>
      </c>
      <c r="G9" s="13" t="s">
        <v>17</v>
      </c>
      <c r="H9" s="7" t="s">
        <v>20</v>
      </c>
      <c r="I9" s="13" t="s">
        <v>63</v>
      </c>
      <c r="J9" s="34" t="s">
        <v>70</v>
      </c>
      <c r="L9" s="37">
        <v>30</v>
      </c>
      <c r="M9" s="38" t="s">
        <v>49</v>
      </c>
    </row>
    <row r="10" spans="1:15" ht="34.950000000000003" customHeight="1" x14ac:dyDescent="0.25">
      <c r="A10" s="8">
        <v>8</v>
      </c>
      <c r="B10" s="6">
        <v>46327</v>
      </c>
      <c r="C10" s="7" t="s">
        <v>40</v>
      </c>
      <c r="D10" s="13" t="s">
        <v>39</v>
      </c>
      <c r="E10" s="29" t="s">
        <v>25</v>
      </c>
      <c r="F10" s="32">
        <v>3906.5309999999999</v>
      </c>
      <c r="G10" s="13" t="s">
        <v>17</v>
      </c>
      <c r="H10" s="7" t="s">
        <v>20</v>
      </c>
      <c r="I10" s="13" t="s">
        <v>63</v>
      </c>
      <c r="J10" s="34" t="s">
        <v>66</v>
      </c>
      <c r="L10" s="37">
        <v>35</v>
      </c>
      <c r="M10" s="38" t="s">
        <v>52</v>
      </c>
    </row>
    <row r="11" spans="1:15" ht="34.950000000000003" customHeight="1" x14ac:dyDescent="0.25">
      <c r="A11" s="8">
        <v>9</v>
      </c>
      <c r="B11" s="6">
        <v>46327</v>
      </c>
      <c r="C11" s="7" t="s">
        <v>44</v>
      </c>
      <c r="D11" s="13" t="s">
        <v>42</v>
      </c>
      <c r="E11" s="29" t="s">
        <v>16</v>
      </c>
      <c r="F11" s="32">
        <v>4329.2539999999999</v>
      </c>
      <c r="G11" s="13" t="s">
        <v>17</v>
      </c>
      <c r="H11" s="7" t="s">
        <v>20</v>
      </c>
      <c r="I11" s="13" t="s">
        <v>63</v>
      </c>
      <c r="J11" s="34" t="s">
        <v>21</v>
      </c>
      <c r="L11" s="37">
        <v>35</v>
      </c>
      <c r="M11" s="38" t="s">
        <v>50</v>
      </c>
    </row>
    <row r="12" spans="1:15" ht="34.950000000000003" customHeight="1" x14ac:dyDescent="0.25">
      <c r="A12" s="8">
        <v>10</v>
      </c>
      <c r="B12" s="6" t="s">
        <v>62</v>
      </c>
      <c r="C12" s="7" t="s">
        <v>45</v>
      </c>
      <c r="D12" s="13" t="s">
        <v>43</v>
      </c>
      <c r="E12" s="29" t="s">
        <v>16</v>
      </c>
      <c r="F12" s="32">
        <v>4141.7179999999998</v>
      </c>
      <c r="G12" s="13" t="s">
        <v>17</v>
      </c>
      <c r="H12" s="7" t="s">
        <v>20</v>
      </c>
      <c r="I12" s="13" t="s">
        <v>63</v>
      </c>
      <c r="J12" s="34" t="s">
        <v>71</v>
      </c>
      <c r="K12" s="43"/>
      <c r="L12" s="37">
        <v>32</v>
      </c>
      <c r="M12" s="41" t="s">
        <v>151</v>
      </c>
    </row>
    <row r="13" spans="1:15" ht="34.950000000000003" customHeight="1" x14ac:dyDescent="0.25">
      <c r="A13" s="8">
        <v>11</v>
      </c>
      <c r="B13" s="6" t="s">
        <v>55</v>
      </c>
      <c r="C13" s="7" t="s">
        <v>58</v>
      </c>
      <c r="D13" s="13" t="s">
        <v>53</v>
      </c>
      <c r="E13" s="29" t="s">
        <v>16</v>
      </c>
      <c r="F13" s="32">
        <v>4062.7379999999998</v>
      </c>
      <c r="G13" s="13" t="s">
        <v>28</v>
      </c>
      <c r="H13" s="7" t="s">
        <v>54</v>
      </c>
      <c r="I13" s="13" t="s">
        <v>63</v>
      </c>
      <c r="J13" s="34" t="s">
        <v>70</v>
      </c>
      <c r="L13" s="40">
        <v>33</v>
      </c>
      <c r="M13" s="41" t="s">
        <v>51</v>
      </c>
      <c r="N13" s="9" t="s">
        <v>60</v>
      </c>
    </row>
    <row r="14" spans="1:15" ht="34.950000000000003" customHeight="1" x14ac:dyDescent="0.25">
      <c r="A14" s="8">
        <v>12</v>
      </c>
      <c r="B14" s="6" t="s">
        <v>57</v>
      </c>
      <c r="C14" s="7" t="s">
        <v>59</v>
      </c>
      <c r="D14" s="13" t="s">
        <v>56</v>
      </c>
      <c r="E14" s="29" t="s">
        <v>16</v>
      </c>
      <c r="F14" s="32">
        <v>4060.18</v>
      </c>
      <c r="G14" s="13" t="s">
        <v>28</v>
      </c>
      <c r="H14" s="7" t="s">
        <v>54</v>
      </c>
      <c r="I14" s="13" t="s">
        <v>63</v>
      </c>
      <c r="J14" s="34" t="s">
        <v>69</v>
      </c>
      <c r="L14" s="40">
        <v>33</v>
      </c>
      <c r="M14" s="41" t="s">
        <v>51</v>
      </c>
      <c r="N14" s="9" t="s">
        <v>60</v>
      </c>
    </row>
    <row r="15" spans="1:15" ht="34.950000000000003" customHeight="1" x14ac:dyDescent="0.25">
      <c r="A15" s="8">
        <v>13</v>
      </c>
      <c r="B15" s="6" t="s">
        <v>73</v>
      </c>
      <c r="C15" s="7" t="s">
        <v>65</v>
      </c>
      <c r="D15" s="13" t="s">
        <v>72</v>
      </c>
      <c r="E15" s="29" t="s">
        <v>16</v>
      </c>
      <c r="F15" s="32">
        <v>4136.1710000000003</v>
      </c>
      <c r="G15" s="13" t="s">
        <v>28</v>
      </c>
      <c r="H15" s="7" t="s">
        <v>54</v>
      </c>
      <c r="I15" s="13" t="s">
        <v>63</v>
      </c>
      <c r="J15" s="34" t="s">
        <v>70</v>
      </c>
      <c r="L15" s="40">
        <v>37.5</v>
      </c>
      <c r="M15" s="41" t="s">
        <v>8</v>
      </c>
      <c r="N15" s="9"/>
    </row>
    <row r="16" spans="1:15" ht="34.950000000000003" customHeight="1" x14ac:dyDescent="0.25">
      <c r="A16" s="8">
        <v>14</v>
      </c>
      <c r="B16" s="6">
        <v>46083</v>
      </c>
      <c r="C16" s="7" t="s">
        <v>74</v>
      </c>
      <c r="D16" s="13" t="s">
        <v>195</v>
      </c>
      <c r="E16" s="29" t="s">
        <v>10</v>
      </c>
      <c r="F16" s="32">
        <v>5026.3819999999996</v>
      </c>
      <c r="G16" s="13" t="s">
        <v>82</v>
      </c>
      <c r="H16" s="7" t="s">
        <v>170</v>
      </c>
      <c r="I16" s="7" t="s">
        <v>205</v>
      </c>
      <c r="J16" s="34" t="s">
        <v>193</v>
      </c>
      <c r="L16" s="40"/>
      <c r="M16" s="41"/>
      <c r="N16" s="9"/>
    </row>
    <row r="17" spans="1:14" ht="34.950000000000003" customHeight="1" x14ac:dyDescent="0.25">
      <c r="A17" s="8">
        <v>15</v>
      </c>
      <c r="B17" s="6">
        <v>46267</v>
      </c>
      <c r="C17" s="7" t="s">
        <v>77</v>
      </c>
      <c r="D17" s="13" t="s">
        <v>64</v>
      </c>
      <c r="E17" s="29" t="s">
        <v>10</v>
      </c>
      <c r="F17" s="32">
        <v>4144.5039999999999</v>
      </c>
      <c r="G17" s="13" t="s">
        <v>76</v>
      </c>
      <c r="H17" s="7" t="s">
        <v>170</v>
      </c>
      <c r="I17" s="7" t="s">
        <v>205</v>
      </c>
      <c r="J17" s="34" t="s">
        <v>68</v>
      </c>
      <c r="K17" s="50" t="s">
        <v>247</v>
      </c>
      <c r="L17" s="40">
        <v>32</v>
      </c>
      <c r="M17" s="41" t="s">
        <v>151</v>
      </c>
      <c r="N17" s="9"/>
    </row>
    <row r="18" spans="1:14" ht="34.950000000000003" customHeight="1" x14ac:dyDescent="0.25">
      <c r="A18" s="8">
        <v>16</v>
      </c>
      <c r="B18" s="6">
        <v>46358</v>
      </c>
      <c r="C18" s="7" t="s">
        <v>125</v>
      </c>
      <c r="D18" s="13" t="s">
        <v>75</v>
      </c>
      <c r="E18" s="29" t="s">
        <v>16</v>
      </c>
      <c r="F18" s="32">
        <v>5104.7640000000001</v>
      </c>
      <c r="G18" s="13" t="s">
        <v>28</v>
      </c>
      <c r="H18" s="7" t="s">
        <v>54</v>
      </c>
      <c r="I18" s="13" t="s">
        <v>63</v>
      </c>
      <c r="J18" s="34" t="s">
        <v>70</v>
      </c>
      <c r="L18" s="40">
        <v>42</v>
      </c>
      <c r="M18" s="41" t="s">
        <v>146</v>
      </c>
      <c r="N18" s="9"/>
    </row>
    <row r="19" spans="1:14" ht="34.950000000000003" customHeight="1" x14ac:dyDescent="0.25">
      <c r="A19" s="8">
        <v>17</v>
      </c>
      <c r="B19" s="6" t="s">
        <v>78</v>
      </c>
      <c r="C19" s="7" t="s">
        <v>88</v>
      </c>
      <c r="D19" s="13" t="s">
        <v>27</v>
      </c>
      <c r="E19" s="29" t="s">
        <v>16</v>
      </c>
      <c r="F19" s="32">
        <v>3832.7939999999999</v>
      </c>
      <c r="G19" s="13" t="s">
        <v>28</v>
      </c>
      <c r="H19" s="7" t="s">
        <v>54</v>
      </c>
      <c r="I19" s="13" t="s">
        <v>63</v>
      </c>
      <c r="J19" s="34" t="s">
        <v>70</v>
      </c>
      <c r="L19" s="40">
        <v>35</v>
      </c>
      <c r="M19" s="45" t="s">
        <v>150</v>
      </c>
      <c r="N19" s="9"/>
    </row>
    <row r="20" spans="1:14" ht="34.950000000000003" customHeight="1" x14ac:dyDescent="0.25">
      <c r="A20" s="8">
        <v>18</v>
      </c>
      <c r="B20" s="6" t="s">
        <v>84</v>
      </c>
      <c r="C20" s="7" t="s">
        <v>89</v>
      </c>
      <c r="D20" s="13" t="s">
        <v>83</v>
      </c>
      <c r="E20" s="29" t="s">
        <v>10</v>
      </c>
      <c r="F20" s="32">
        <v>4407.1769999999997</v>
      </c>
      <c r="G20" s="13" t="s">
        <v>82</v>
      </c>
      <c r="H20" s="7" t="s">
        <v>170</v>
      </c>
      <c r="I20" s="7" t="s">
        <v>205</v>
      </c>
      <c r="J20" s="34" t="s">
        <v>87</v>
      </c>
      <c r="L20" s="40" t="s">
        <v>140</v>
      </c>
      <c r="M20" s="41" t="s">
        <v>141</v>
      </c>
      <c r="N20" s="9"/>
    </row>
    <row r="21" spans="1:14" ht="34.950000000000003" customHeight="1" x14ac:dyDescent="0.25">
      <c r="A21" s="8">
        <v>19</v>
      </c>
      <c r="B21" s="6">
        <v>46056</v>
      </c>
      <c r="C21" s="7" t="s">
        <v>90</v>
      </c>
      <c r="D21" s="13" t="s">
        <v>79</v>
      </c>
      <c r="E21" s="29" t="s">
        <v>10</v>
      </c>
      <c r="F21" s="32">
        <v>5060.1589999999997</v>
      </c>
      <c r="G21" s="13" t="s">
        <v>82</v>
      </c>
      <c r="H21" s="7" t="s">
        <v>24</v>
      </c>
      <c r="I21" s="7" t="s">
        <v>81</v>
      </c>
      <c r="J21" s="34" t="s">
        <v>163</v>
      </c>
      <c r="L21" s="40">
        <v>42</v>
      </c>
      <c r="M21" s="41" t="s">
        <v>51</v>
      </c>
      <c r="N21" s="9"/>
    </row>
    <row r="22" spans="1:14" ht="34.950000000000003" customHeight="1" x14ac:dyDescent="0.25">
      <c r="A22" s="8">
        <v>20</v>
      </c>
      <c r="B22" s="6">
        <v>46084</v>
      </c>
      <c r="C22" s="7" t="s">
        <v>91</v>
      </c>
      <c r="D22" s="13" t="s">
        <v>80</v>
      </c>
      <c r="E22" s="29" t="s">
        <v>10</v>
      </c>
      <c r="F22" s="32">
        <v>5181.4520000000002</v>
      </c>
      <c r="G22" s="13" t="s">
        <v>82</v>
      </c>
      <c r="H22" s="7" t="s">
        <v>24</v>
      </c>
      <c r="I22" s="7" t="s">
        <v>81</v>
      </c>
      <c r="J22" s="34" t="s">
        <v>120</v>
      </c>
      <c r="L22" s="40">
        <v>42</v>
      </c>
      <c r="M22" s="41" t="s">
        <v>142</v>
      </c>
      <c r="N22" s="9"/>
    </row>
    <row r="23" spans="1:14" ht="34.950000000000003" customHeight="1" x14ac:dyDescent="0.25">
      <c r="A23" s="8">
        <v>21</v>
      </c>
      <c r="B23" s="6">
        <v>46115</v>
      </c>
      <c r="C23" s="7" t="s">
        <v>92</v>
      </c>
      <c r="D23" s="13" t="s">
        <v>22</v>
      </c>
      <c r="E23" s="29" t="s">
        <v>10</v>
      </c>
      <c r="F23" s="32">
        <v>5098.768</v>
      </c>
      <c r="G23" s="13" t="s">
        <v>82</v>
      </c>
      <c r="H23" s="7" t="s">
        <v>24</v>
      </c>
      <c r="I23" s="7" t="s">
        <v>41</v>
      </c>
      <c r="J23" s="34" t="s">
        <v>86</v>
      </c>
      <c r="L23" s="40">
        <v>42</v>
      </c>
      <c r="M23" s="41" t="s">
        <v>51</v>
      </c>
      <c r="N23" s="9"/>
    </row>
    <row r="24" spans="1:14" ht="34.950000000000003" customHeight="1" x14ac:dyDescent="0.25">
      <c r="A24" s="8">
        <v>22</v>
      </c>
      <c r="B24" s="6">
        <v>46268</v>
      </c>
      <c r="C24" s="7" t="s">
        <v>93</v>
      </c>
      <c r="D24" s="13" t="s">
        <v>43</v>
      </c>
      <c r="E24" s="29" t="s">
        <v>10</v>
      </c>
      <c r="F24" s="32">
        <v>5414.143</v>
      </c>
      <c r="G24" s="13" t="s">
        <v>82</v>
      </c>
      <c r="H24" s="7" t="s">
        <v>24</v>
      </c>
      <c r="I24" s="7" t="s">
        <v>41</v>
      </c>
      <c r="J24" s="34" t="s">
        <v>101</v>
      </c>
      <c r="L24" s="40">
        <v>42</v>
      </c>
      <c r="M24" s="41" t="s">
        <v>151</v>
      </c>
      <c r="N24" s="9"/>
    </row>
    <row r="25" spans="1:14" ht="34.950000000000003" customHeight="1" x14ac:dyDescent="0.25">
      <c r="A25" s="8">
        <v>23</v>
      </c>
      <c r="B25" s="6">
        <v>46359</v>
      </c>
      <c r="C25" s="7" t="s">
        <v>97</v>
      </c>
      <c r="D25" s="13" t="s">
        <v>83</v>
      </c>
      <c r="E25" s="29" t="s">
        <v>10</v>
      </c>
      <c r="F25" s="32">
        <v>3812.5830000000001</v>
      </c>
      <c r="G25" s="13" t="s">
        <v>82</v>
      </c>
      <c r="H25" s="7" t="s">
        <v>170</v>
      </c>
      <c r="I25" s="7" t="s">
        <v>205</v>
      </c>
      <c r="J25" s="34" t="s">
        <v>85</v>
      </c>
      <c r="L25" s="40" t="s">
        <v>148</v>
      </c>
      <c r="M25" s="45" t="s">
        <v>147</v>
      </c>
      <c r="N25" s="9"/>
    </row>
    <row r="26" spans="1:14" ht="34.950000000000003" customHeight="1" x14ac:dyDescent="0.25">
      <c r="A26" s="8">
        <v>24</v>
      </c>
      <c r="B26" s="6">
        <v>46359</v>
      </c>
      <c r="C26" s="7" t="s">
        <v>98</v>
      </c>
      <c r="D26" s="13" t="s">
        <v>96</v>
      </c>
      <c r="E26" s="29" t="s">
        <v>10</v>
      </c>
      <c r="F26" s="32">
        <v>5063.8109999999997</v>
      </c>
      <c r="G26" s="13" t="s">
        <v>82</v>
      </c>
      <c r="H26" s="7" t="s">
        <v>170</v>
      </c>
      <c r="I26" s="7" t="s">
        <v>205</v>
      </c>
      <c r="J26" s="34" t="s">
        <v>121</v>
      </c>
      <c r="L26" s="40">
        <v>59</v>
      </c>
      <c r="M26" s="41" t="s">
        <v>145</v>
      </c>
      <c r="N26" s="9"/>
    </row>
    <row r="27" spans="1:14" ht="34.950000000000003" customHeight="1" x14ac:dyDescent="0.25">
      <c r="A27" s="8">
        <v>25</v>
      </c>
      <c r="B27" s="6" t="s">
        <v>102</v>
      </c>
      <c r="C27" s="7" t="s">
        <v>99</v>
      </c>
      <c r="D27" s="13" t="s">
        <v>103</v>
      </c>
      <c r="E27" s="29" t="s">
        <v>16</v>
      </c>
      <c r="F27" s="32">
        <v>2783.4180000000001</v>
      </c>
      <c r="G27" s="13" t="s">
        <v>116</v>
      </c>
      <c r="H27" s="7" t="s">
        <v>104</v>
      </c>
      <c r="I27" s="7" t="s">
        <v>105</v>
      </c>
      <c r="J27" s="34" t="s">
        <v>118</v>
      </c>
      <c r="K27" s="4" t="s">
        <v>237</v>
      </c>
      <c r="L27" s="40"/>
      <c r="M27" s="41"/>
      <c r="N27" s="9"/>
    </row>
    <row r="28" spans="1:14" ht="34.950000000000003" customHeight="1" x14ac:dyDescent="0.25">
      <c r="A28" s="8">
        <v>26</v>
      </c>
      <c r="B28" s="6" t="s">
        <v>107</v>
      </c>
      <c r="C28" s="7" t="s">
        <v>110</v>
      </c>
      <c r="D28" s="13" t="s">
        <v>106</v>
      </c>
      <c r="E28" s="29" t="s">
        <v>10</v>
      </c>
      <c r="F28" s="32">
        <v>4903.1880000000001</v>
      </c>
      <c r="G28" s="13" t="s">
        <v>82</v>
      </c>
      <c r="H28" s="7" t="s">
        <v>170</v>
      </c>
      <c r="I28" s="7" t="s">
        <v>205</v>
      </c>
      <c r="J28" s="34" t="s">
        <v>100</v>
      </c>
      <c r="L28" s="40" t="s">
        <v>144</v>
      </c>
      <c r="M28" s="45" t="s">
        <v>143</v>
      </c>
      <c r="N28" s="9"/>
    </row>
    <row r="29" spans="1:14" ht="34.950000000000003" customHeight="1" x14ac:dyDescent="0.25">
      <c r="A29" s="8">
        <v>27</v>
      </c>
      <c r="B29" s="6" t="s">
        <v>109</v>
      </c>
      <c r="C29" s="7" t="s">
        <v>111</v>
      </c>
      <c r="D29" s="13" t="s">
        <v>108</v>
      </c>
      <c r="E29" s="29" t="s">
        <v>10</v>
      </c>
      <c r="F29" s="32">
        <v>5236.4189999999999</v>
      </c>
      <c r="G29" s="13" t="s">
        <v>82</v>
      </c>
      <c r="H29" s="7" t="s">
        <v>24</v>
      </c>
      <c r="I29" s="7" t="s">
        <v>154</v>
      </c>
      <c r="J29" s="34" t="s">
        <v>165</v>
      </c>
      <c r="L29" s="40"/>
      <c r="M29" s="41"/>
      <c r="N29" s="9"/>
    </row>
    <row r="30" spans="1:14" ht="34.950000000000003" customHeight="1" x14ac:dyDescent="0.25">
      <c r="A30" s="8">
        <v>28</v>
      </c>
      <c r="B30" s="6" t="s">
        <v>124</v>
      </c>
      <c r="C30" s="7" t="s">
        <v>112</v>
      </c>
      <c r="D30" s="13" t="s">
        <v>22</v>
      </c>
      <c r="E30" s="29" t="s">
        <v>10</v>
      </c>
      <c r="F30" s="32">
        <v>5047.7470000000003</v>
      </c>
      <c r="G30" s="13" t="s">
        <v>82</v>
      </c>
      <c r="H30" s="7" t="s">
        <v>24</v>
      </c>
      <c r="I30" s="7" t="s">
        <v>154</v>
      </c>
      <c r="J30" s="34" t="s">
        <v>122</v>
      </c>
      <c r="L30" s="40">
        <v>60</v>
      </c>
      <c r="M30" s="41" t="s">
        <v>51</v>
      </c>
      <c r="N30" s="9"/>
    </row>
    <row r="31" spans="1:14" ht="34.950000000000003" customHeight="1" x14ac:dyDescent="0.25">
      <c r="A31" s="8">
        <v>29</v>
      </c>
      <c r="B31" s="6" t="s">
        <v>123</v>
      </c>
      <c r="C31" s="7" t="s">
        <v>113</v>
      </c>
      <c r="D31" s="13" t="s">
        <v>83</v>
      </c>
      <c r="E31" s="29" t="s">
        <v>10</v>
      </c>
      <c r="F31" s="32">
        <v>5072.6040000000003</v>
      </c>
      <c r="G31" s="13" t="s">
        <v>82</v>
      </c>
      <c r="H31" s="7" t="s">
        <v>24</v>
      </c>
      <c r="I31" s="7" t="s">
        <v>41</v>
      </c>
      <c r="J31" s="34" t="s">
        <v>173</v>
      </c>
      <c r="L31" s="40">
        <v>42</v>
      </c>
      <c r="M31" s="41" t="s">
        <v>149</v>
      </c>
      <c r="N31" s="9"/>
    </row>
    <row r="32" spans="1:14" ht="34.950000000000003" customHeight="1" x14ac:dyDescent="0.25">
      <c r="A32" s="8">
        <v>30</v>
      </c>
      <c r="B32" s="6" t="s">
        <v>123</v>
      </c>
      <c r="C32" s="7" t="s">
        <v>128</v>
      </c>
      <c r="D32" s="13" t="s">
        <v>27</v>
      </c>
      <c r="E32" s="29" t="s">
        <v>16</v>
      </c>
      <c r="F32" s="32">
        <v>3734.9769999999999</v>
      </c>
      <c r="G32" s="13" t="s">
        <v>126</v>
      </c>
      <c r="H32" s="7" t="s">
        <v>127</v>
      </c>
      <c r="I32" s="13" t="s">
        <v>63</v>
      </c>
      <c r="J32" s="34" t="s">
        <v>161</v>
      </c>
      <c r="L32" s="40">
        <v>55</v>
      </c>
      <c r="M32" s="45" t="s">
        <v>150</v>
      </c>
      <c r="N32" s="9"/>
    </row>
    <row r="33" spans="1:14" ht="34.950000000000003" customHeight="1" x14ac:dyDescent="0.25">
      <c r="A33" s="8">
        <v>31</v>
      </c>
      <c r="B33" s="6" t="s">
        <v>131</v>
      </c>
      <c r="C33" s="7" t="s">
        <v>132</v>
      </c>
      <c r="D33" s="13" t="s">
        <v>64</v>
      </c>
      <c r="E33" s="29" t="s">
        <v>16</v>
      </c>
      <c r="F33" s="32">
        <v>5499.5439999999999</v>
      </c>
      <c r="G33" s="13" t="s">
        <v>115</v>
      </c>
      <c r="H33" s="7" t="s">
        <v>117</v>
      </c>
      <c r="I33" s="7" t="s">
        <v>114</v>
      </c>
      <c r="J33" s="34" t="s">
        <v>159</v>
      </c>
      <c r="L33" s="40">
        <v>50</v>
      </c>
      <c r="M33" s="41" t="s">
        <v>138</v>
      </c>
      <c r="N33" s="9"/>
    </row>
    <row r="34" spans="1:14" ht="34.950000000000003" customHeight="1" x14ac:dyDescent="0.25">
      <c r="A34" s="8">
        <v>32</v>
      </c>
      <c r="B34" s="6" t="s">
        <v>130</v>
      </c>
      <c r="C34" s="7" t="s">
        <v>133</v>
      </c>
      <c r="D34" s="13" t="s">
        <v>129</v>
      </c>
      <c r="E34" s="29" t="s">
        <v>10</v>
      </c>
      <c r="F34" s="32">
        <v>5055.6080000000002</v>
      </c>
      <c r="G34" s="13" t="s">
        <v>82</v>
      </c>
      <c r="H34" s="7" t="s">
        <v>24</v>
      </c>
      <c r="I34" s="7" t="s">
        <v>154</v>
      </c>
      <c r="J34" s="34" t="s">
        <v>164</v>
      </c>
      <c r="L34" s="40">
        <v>60</v>
      </c>
      <c r="M34" s="41" t="s">
        <v>51</v>
      </c>
      <c r="N34" s="9"/>
    </row>
    <row r="35" spans="1:14" ht="34.950000000000003" customHeight="1" x14ac:dyDescent="0.25">
      <c r="A35" s="8">
        <v>33</v>
      </c>
      <c r="B35" s="6" t="s">
        <v>136</v>
      </c>
      <c r="C35" s="7" t="s">
        <v>134</v>
      </c>
      <c r="D35" s="51" t="s">
        <v>43</v>
      </c>
      <c r="E35" s="52" t="s">
        <v>16</v>
      </c>
      <c r="F35" s="53">
        <v>5560.0789999999997</v>
      </c>
      <c r="G35" s="13" t="s">
        <v>115</v>
      </c>
      <c r="H35" s="7" t="s">
        <v>232</v>
      </c>
      <c r="I35" s="7" t="s">
        <v>114</v>
      </c>
      <c r="J35" s="34" t="s">
        <v>162</v>
      </c>
      <c r="L35" s="40">
        <v>65</v>
      </c>
      <c r="M35" s="41" t="s">
        <v>139</v>
      </c>
      <c r="N35" s="9"/>
    </row>
    <row r="36" spans="1:14" ht="34.950000000000003" customHeight="1" x14ac:dyDescent="0.25">
      <c r="A36" s="8">
        <v>34</v>
      </c>
      <c r="B36" s="6">
        <v>46085</v>
      </c>
      <c r="C36" s="7" t="s">
        <v>135</v>
      </c>
      <c r="D36" s="13" t="s">
        <v>53</v>
      </c>
      <c r="E36" s="29" t="s">
        <v>10</v>
      </c>
      <c r="F36" s="32">
        <v>5081.8140000000003</v>
      </c>
      <c r="G36" s="13" t="s">
        <v>82</v>
      </c>
      <c r="H36" s="7" t="s">
        <v>24</v>
      </c>
      <c r="I36" s="7" t="s">
        <v>154</v>
      </c>
      <c r="J36" s="34" t="s">
        <v>174</v>
      </c>
      <c r="K36" s="46">
        <v>-28.065000000000001</v>
      </c>
      <c r="L36" s="40">
        <v>60</v>
      </c>
      <c r="M36" s="41" t="s">
        <v>51</v>
      </c>
      <c r="N36" s="9"/>
    </row>
    <row r="37" spans="1:14" ht="34.950000000000003" customHeight="1" x14ac:dyDescent="0.25">
      <c r="A37" s="8">
        <v>35</v>
      </c>
      <c r="B37" s="6">
        <v>46177</v>
      </c>
      <c r="C37" s="7" t="s">
        <v>137</v>
      </c>
      <c r="D37" s="13" t="s">
        <v>22</v>
      </c>
      <c r="E37" s="29" t="s">
        <v>10</v>
      </c>
      <c r="F37" s="32">
        <v>5072.0770000000002</v>
      </c>
      <c r="G37" s="13" t="s">
        <v>82</v>
      </c>
      <c r="H37" s="7" t="s">
        <v>24</v>
      </c>
      <c r="I37" s="7" t="s">
        <v>41</v>
      </c>
      <c r="J37" s="34" t="s">
        <v>152</v>
      </c>
      <c r="L37" s="40">
        <v>60</v>
      </c>
      <c r="M37" s="41" t="s">
        <v>51</v>
      </c>
      <c r="N37" s="9"/>
    </row>
    <row r="38" spans="1:14" ht="34.950000000000003" customHeight="1" x14ac:dyDescent="0.25">
      <c r="A38" s="8">
        <v>36</v>
      </c>
      <c r="B38" s="6">
        <v>46238</v>
      </c>
      <c r="C38" s="7" t="s">
        <v>156</v>
      </c>
      <c r="D38" s="13" t="s">
        <v>155</v>
      </c>
      <c r="E38" s="29" t="s">
        <v>10</v>
      </c>
      <c r="F38" s="32">
        <v>4305.6180000000004</v>
      </c>
      <c r="G38" s="13" t="s">
        <v>82</v>
      </c>
      <c r="H38" s="7" t="s">
        <v>24</v>
      </c>
      <c r="I38" s="7" t="s">
        <v>154</v>
      </c>
      <c r="J38" s="34" t="s">
        <v>235</v>
      </c>
      <c r="L38" s="40">
        <v>62</v>
      </c>
      <c r="M38" s="41" t="s">
        <v>8</v>
      </c>
      <c r="N38" s="9"/>
    </row>
    <row r="39" spans="1:14" ht="34.950000000000003" customHeight="1" x14ac:dyDescent="0.25">
      <c r="A39" s="8">
        <v>37</v>
      </c>
      <c r="B39" s="6">
        <v>46299</v>
      </c>
      <c r="C39" s="7" t="s">
        <v>157</v>
      </c>
      <c r="D39" s="13" t="s">
        <v>153</v>
      </c>
      <c r="E39" s="29" t="s">
        <v>10</v>
      </c>
      <c r="F39" s="32">
        <v>2476.4839999999999</v>
      </c>
      <c r="G39" s="13" t="s">
        <v>82</v>
      </c>
      <c r="H39" s="7" t="s">
        <v>24</v>
      </c>
      <c r="I39" s="7" t="s">
        <v>154</v>
      </c>
      <c r="J39" s="34" t="s">
        <v>180</v>
      </c>
      <c r="L39" s="40"/>
      <c r="M39" s="41"/>
      <c r="N39" s="9"/>
    </row>
    <row r="40" spans="1:14" ht="34.950000000000003" customHeight="1" x14ac:dyDescent="0.25">
      <c r="A40" s="8">
        <v>38</v>
      </c>
      <c r="B40" s="6" t="s">
        <v>166</v>
      </c>
      <c r="C40" s="7" t="s">
        <v>167</v>
      </c>
      <c r="D40" s="13" t="s">
        <v>96</v>
      </c>
      <c r="E40" s="29" t="s">
        <v>10</v>
      </c>
      <c r="F40" s="32">
        <v>5045.7370000000001</v>
      </c>
      <c r="G40" s="13" t="s">
        <v>82</v>
      </c>
      <c r="H40" s="7" t="s">
        <v>24</v>
      </c>
      <c r="I40" s="7" t="s">
        <v>154</v>
      </c>
      <c r="J40" s="34" t="s">
        <v>208</v>
      </c>
      <c r="L40" s="40">
        <v>62</v>
      </c>
      <c r="M40" s="41" t="s">
        <v>96</v>
      </c>
      <c r="N40" s="9"/>
    </row>
    <row r="41" spans="1:14" ht="34.950000000000003" customHeight="1" x14ac:dyDescent="0.25">
      <c r="A41" s="8">
        <v>39</v>
      </c>
      <c r="B41" s="6" t="s">
        <v>172</v>
      </c>
      <c r="C41" s="7" t="s">
        <v>171</v>
      </c>
      <c r="D41" s="13" t="s">
        <v>72</v>
      </c>
      <c r="E41" s="29" t="s">
        <v>10</v>
      </c>
      <c r="F41" s="32">
        <v>4477.518</v>
      </c>
      <c r="G41" s="13" t="s">
        <v>82</v>
      </c>
      <c r="H41" s="7" t="s">
        <v>24</v>
      </c>
      <c r="I41" s="7" t="s">
        <v>41</v>
      </c>
      <c r="J41" s="34" t="s">
        <v>183</v>
      </c>
      <c r="K41" s="4">
        <f>F42-3830.904</f>
        <v>1291.5040000000004</v>
      </c>
      <c r="L41" s="40">
        <v>65</v>
      </c>
      <c r="M41" s="41" t="s">
        <v>8</v>
      </c>
      <c r="N41" s="9"/>
    </row>
    <row r="42" spans="1:14" ht="34.950000000000003" customHeight="1" x14ac:dyDescent="0.25">
      <c r="A42" s="8">
        <v>40</v>
      </c>
      <c r="B42" s="6" t="s">
        <v>169</v>
      </c>
      <c r="C42" s="7" t="s">
        <v>177</v>
      </c>
      <c r="D42" s="13" t="s">
        <v>168</v>
      </c>
      <c r="E42" s="29" t="s">
        <v>10</v>
      </c>
      <c r="F42" s="32">
        <v>5122.4080000000004</v>
      </c>
      <c r="G42" s="13" t="s">
        <v>82</v>
      </c>
      <c r="H42" s="7" t="s">
        <v>170</v>
      </c>
      <c r="I42" s="7" t="s">
        <v>201</v>
      </c>
      <c r="J42" s="54" t="s">
        <v>182</v>
      </c>
      <c r="L42" s="40" t="s">
        <v>246</v>
      </c>
      <c r="M42" s="41" t="s">
        <v>214</v>
      </c>
      <c r="N42" s="9"/>
    </row>
    <row r="43" spans="1:14" ht="34.950000000000003" customHeight="1" x14ac:dyDescent="0.25">
      <c r="A43" s="8">
        <v>41</v>
      </c>
      <c r="B43" s="6" t="s">
        <v>178</v>
      </c>
      <c r="C43" s="7" t="s">
        <v>252</v>
      </c>
      <c r="D43" s="13" t="s">
        <v>27</v>
      </c>
      <c r="E43" s="29" t="s">
        <v>10</v>
      </c>
      <c r="F43" s="32">
        <v>3362.6219999999998</v>
      </c>
      <c r="G43" s="13" t="s">
        <v>82</v>
      </c>
      <c r="H43" s="13" t="s">
        <v>179</v>
      </c>
      <c r="I43" s="7" t="s">
        <v>41</v>
      </c>
      <c r="J43" s="34" t="s">
        <v>184</v>
      </c>
      <c r="L43" s="40">
        <v>60</v>
      </c>
      <c r="M43" s="41" t="s">
        <v>214</v>
      </c>
      <c r="N43" s="9"/>
    </row>
    <row r="44" spans="1:14" ht="34.950000000000003" customHeight="1" x14ac:dyDescent="0.25">
      <c r="A44" s="8">
        <v>42</v>
      </c>
      <c r="B44" s="6" t="s">
        <v>176</v>
      </c>
      <c r="C44" s="7" t="s">
        <v>188</v>
      </c>
      <c r="D44" s="13" t="s">
        <v>175</v>
      </c>
      <c r="E44" s="29" t="s">
        <v>10</v>
      </c>
      <c r="F44" s="32">
        <v>2474.7159999999999</v>
      </c>
      <c r="G44" s="13" t="s">
        <v>82</v>
      </c>
      <c r="H44" s="7" t="s">
        <v>170</v>
      </c>
      <c r="I44" s="7" t="s">
        <v>201</v>
      </c>
      <c r="J44" s="34" t="s">
        <v>181</v>
      </c>
      <c r="L44" s="40">
        <v>75</v>
      </c>
      <c r="M44" s="41" t="s">
        <v>214</v>
      </c>
      <c r="N44" s="9"/>
    </row>
    <row r="45" spans="1:14" ht="34.950000000000003" customHeight="1" x14ac:dyDescent="0.25">
      <c r="A45" s="8">
        <v>43</v>
      </c>
      <c r="B45" s="6" t="s">
        <v>185</v>
      </c>
      <c r="C45" s="7" t="s">
        <v>189</v>
      </c>
      <c r="D45" s="13" t="s">
        <v>108</v>
      </c>
      <c r="E45" s="29" t="s">
        <v>10</v>
      </c>
      <c r="F45" s="32">
        <v>5166.7169999999996</v>
      </c>
      <c r="G45" s="13" t="s">
        <v>82</v>
      </c>
      <c r="H45" s="7" t="s">
        <v>24</v>
      </c>
      <c r="I45" s="7" t="s">
        <v>154</v>
      </c>
      <c r="J45" s="34" t="s">
        <v>191</v>
      </c>
      <c r="L45" s="40">
        <v>67</v>
      </c>
      <c r="M45" s="41" t="s">
        <v>50</v>
      </c>
      <c r="N45" s="9"/>
    </row>
    <row r="46" spans="1:14" ht="34.950000000000003" customHeight="1" x14ac:dyDescent="0.25">
      <c r="A46" s="8">
        <v>44</v>
      </c>
      <c r="B46" s="6" t="s">
        <v>187</v>
      </c>
      <c r="C46" s="7" t="s">
        <v>190</v>
      </c>
      <c r="D46" s="13" t="s">
        <v>186</v>
      </c>
      <c r="E46" s="29" t="s">
        <v>10</v>
      </c>
      <c r="F46" s="32">
        <v>2600.4079999999999</v>
      </c>
      <c r="G46" s="13" t="s">
        <v>82</v>
      </c>
      <c r="H46" s="7" t="s">
        <v>170</v>
      </c>
      <c r="I46" s="7" t="s">
        <v>201</v>
      </c>
      <c r="J46" s="34" t="s">
        <v>209</v>
      </c>
      <c r="L46" s="40">
        <v>56</v>
      </c>
      <c r="M46" s="41" t="s">
        <v>248</v>
      </c>
      <c r="N46" s="9"/>
    </row>
    <row r="47" spans="1:14" ht="34.950000000000003" customHeight="1" x14ac:dyDescent="0.25">
      <c r="A47" s="8">
        <v>45</v>
      </c>
      <c r="B47" s="6" t="s">
        <v>192</v>
      </c>
      <c r="C47" s="7" t="s">
        <v>196</v>
      </c>
      <c r="D47" s="13" t="s">
        <v>96</v>
      </c>
      <c r="E47" s="29" t="s">
        <v>10</v>
      </c>
      <c r="F47" s="32">
        <v>5074.5680000000002</v>
      </c>
      <c r="G47" s="13" t="s">
        <v>82</v>
      </c>
      <c r="H47" s="7" t="s">
        <v>170</v>
      </c>
      <c r="I47" s="7" t="s">
        <v>201</v>
      </c>
      <c r="J47" s="34" t="s">
        <v>193</v>
      </c>
      <c r="K47" s="1"/>
      <c r="L47" s="40"/>
      <c r="M47" s="41"/>
      <c r="N47" s="9"/>
    </row>
    <row r="48" spans="1:14" ht="34.950000000000003" customHeight="1" x14ac:dyDescent="0.25">
      <c r="A48" s="8">
        <v>46</v>
      </c>
      <c r="B48" s="6" t="s">
        <v>192</v>
      </c>
      <c r="C48" s="7" t="s">
        <v>197</v>
      </c>
      <c r="D48" s="13" t="s">
        <v>168</v>
      </c>
      <c r="E48" s="29" t="s">
        <v>10</v>
      </c>
      <c r="F48" s="32">
        <v>5126.8770000000004</v>
      </c>
      <c r="G48" s="13" t="s">
        <v>82</v>
      </c>
      <c r="H48" s="7" t="s">
        <v>24</v>
      </c>
      <c r="I48" s="7" t="s">
        <v>154</v>
      </c>
      <c r="J48" s="34" t="s">
        <v>202</v>
      </c>
      <c r="L48" s="40">
        <v>75</v>
      </c>
      <c r="M48" s="41" t="s">
        <v>214</v>
      </c>
      <c r="N48" s="9"/>
    </row>
    <row r="49" spans="1:14" ht="34.950000000000003" customHeight="1" x14ac:dyDescent="0.25">
      <c r="A49" s="8">
        <v>47</v>
      </c>
      <c r="B49" s="6">
        <v>46058</v>
      </c>
      <c r="C49" s="7" t="s">
        <v>198</v>
      </c>
      <c r="D49" s="13" t="s">
        <v>64</v>
      </c>
      <c r="E49" s="29" t="s">
        <v>10</v>
      </c>
      <c r="F49" s="32">
        <v>5507.3969999999999</v>
      </c>
      <c r="G49" s="13" t="s">
        <v>82</v>
      </c>
      <c r="H49" s="7" t="s">
        <v>170</v>
      </c>
      <c r="I49" s="7" t="s">
        <v>201</v>
      </c>
      <c r="J49" s="34" t="s">
        <v>203</v>
      </c>
      <c r="L49" s="40">
        <v>65</v>
      </c>
      <c r="M49" s="41" t="s">
        <v>213</v>
      </c>
      <c r="N49" s="9"/>
    </row>
    <row r="50" spans="1:14" ht="34.950000000000003" customHeight="1" x14ac:dyDescent="0.25">
      <c r="A50" s="8">
        <v>48</v>
      </c>
      <c r="B50" s="6">
        <v>46117</v>
      </c>
      <c r="C50" s="7" t="s">
        <v>199</v>
      </c>
      <c r="D50" s="13" t="s">
        <v>194</v>
      </c>
      <c r="E50" s="29" t="s">
        <v>10</v>
      </c>
      <c r="F50" s="32">
        <v>5852.3980000000001</v>
      </c>
      <c r="G50" s="13" t="s">
        <v>82</v>
      </c>
      <c r="H50" s="7" t="s">
        <v>24</v>
      </c>
      <c r="I50" s="7" t="s">
        <v>154</v>
      </c>
      <c r="J50" s="34" t="s">
        <v>204</v>
      </c>
      <c r="K50" s="47"/>
      <c r="L50" s="40">
        <v>100</v>
      </c>
      <c r="M50" s="41" t="s">
        <v>214</v>
      </c>
      <c r="N50" s="9"/>
    </row>
    <row r="51" spans="1:14" ht="34.950000000000003" customHeight="1" x14ac:dyDescent="0.25">
      <c r="A51" s="8">
        <v>49</v>
      </c>
      <c r="B51" s="6">
        <v>46270</v>
      </c>
      <c r="C51" s="7" t="s">
        <v>200</v>
      </c>
      <c r="D51" s="13" t="s">
        <v>27</v>
      </c>
      <c r="E51" s="29" t="s">
        <v>10</v>
      </c>
      <c r="F51" s="32">
        <v>3386.9029999999998</v>
      </c>
      <c r="G51" s="13" t="s">
        <v>82</v>
      </c>
      <c r="H51" s="7" t="s">
        <v>24</v>
      </c>
      <c r="I51" s="7" t="s">
        <v>201</v>
      </c>
      <c r="J51" s="34" t="s">
        <v>207</v>
      </c>
      <c r="K51" s="47"/>
      <c r="L51" s="40">
        <v>100</v>
      </c>
      <c r="M51" s="41" t="s">
        <v>214</v>
      </c>
      <c r="N51" s="9"/>
    </row>
    <row r="52" spans="1:14" ht="34.950000000000003" customHeight="1" x14ac:dyDescent="0.25">
      <c r="A52" s="8">
        <v>50</v>
      </c>
      <c r="B52" s="6">
        <v>46300</v>
      </c>
      <c r="C52" s="7" t="s">
        <v>206</v>
      </c>
      <c r="D52" s="13" t="s">
        <v>175</v>
      </c>
      <c r="E52" s="29" t="s">
        <v>10</v>
      </c>
      <c r="F52" s="32">
        <v>2473.5700000000002</v>
      </c>
      <c r="G52" s="13" t="s">
        <v>82</v>
      </c>
      <c r="H52" s="7" t="s">
        <v>24</v>
      </c>
      <c r="I52" s="7" t="s">
        <v>201</v>
      </c>
      <c r="J52" s="34" t="s">
        <v>229</v>
      </c>
      <c r="K52" s="47"/>
      <c r="L52" s="40">
        <v>100</v>
      </c>
      <c r="M52" s="41" t="s">
        <v>214</v>
      </c>
      <c r="N52" s="9" t="s">
        <v>233</v>
      </c>
    </row>
    <row r="53" spans="1:14" ht="34.950000000000003" customHeight="1" x14ac:dyDescent="0.25">
      <c r="A53" s="8">
        <v>51</v>
      </c>
      <c r="B53" s="6" t="s">
        <v>210</v>
      </c>
      <c r="C53" s="7" t="s">
        <v>211</v>
      </c>
      <c r="D53" s="13" t="s">
        <v>75</v>
      </c>
      <c r="E53" s="29" t="s">
        <v>10</v>
      </c>
      <c r="F53" s="32">
        <v>4956.3909999999996</v>
      </c>
      <c r="G53" s="13" t="s">
        <v>82</v>
      </c>
      <c r="H53" s="7" t="s">
        <v>24</v>
      </c>
      <c r="I53" s="7" t="s">
        <v>201</v>
      </c>
      <c r="J53" s="34" t="s">
        <v>193</v>
      </c>
      <c r="K53" s="47"/>
      <c r="L53" s="40"/>
      <c r="M53" s="41"/>
      <c r="N53" s="9"/>
    </row>
    <row r="54" spans="1:14" ht="34.950000000000003" customHeight="1" x14ac:dyDescent="0.25">
      <c r="A54" s="8">
        <v>52</v>
      </c>
      <c r="B54" s="6" t="s">
        <v>216</v>
      </c>
      <c r="C54" s="7" t="s">
        <v>212</v>
      </c>
      <c r="D54" s="13" t="s">
        <v>108</v>
      </c>
      <c r="E54" s="29" t="s">
        <v>10</v>
      </c>
      <c r="F54" s="32">
        <v>4994.5209999999997</v>
      </c>
      <c r="G54" s="13" t="s">
        <v>82</v>
      </c>
      <c r="H54" s="7" t="s">
        <v>24</v>
      </c>
      <c r="I54" s="7" t="s">
        <v>201</v>
      </c>
      <c r="J54" s="34" t="s">
        <v>193</v>
      </c>
      <c r="K54" s="47"/>
      <c r="L54" s="40"/>
      <c r="M54" s="41"/>
      <c r="N54" s="9"/>
    </row>
    <row r="55" spans="1:14" ht="34.950000000000003" customHeight="1" x14ac:dyDescent="0.25">
      <c r="A55" s="8">
        <v>53</v>
      </c>
      <c r="B55" s="6" t="s">
        <v>215</v>
      </c>
      <c r="C55" s="7" t="s">
        <v>217</v>
      </c>
      <c r="D55" s="13" t="s">
        <v>186</v>
      </c>
      <c r="E55" s="29" t="s">
        <v>10</v>
      </c>
      <c r="F55" s="32">
        <v>2650.1759999999999</v>
      </c>
      <c r="G55" s="13" t="s">
        <v>82</v>
      </c>
      <c r="H55" s="7" t="s">
        <v>24</v>
      </c>
      <c r="I55" s="7" t="s">
        <v>201</v>
      </c>
      <c r="J55" s="34" t="s">
        <v>225</v>
      </c>
      <c r="K55" s="47"/>
      <c r="L55" s="40">
        <v>67</v>
      </c>
      <c r="M55" s="41" t="s">
        <v>249</v>
      </c>
      <c r="N55" s="9"/>
    </row>
    <row r="56" spans="1:14" ht="34.950000000000003" customHeight="1" x14ac:dyDescent="0.25">
      <c r="A56" s="8">
        <v>54</v>
      </c>
      <c r="B56" s="6" t="s">
        <v>218</v>
      </c>
      <c r="C56" s="7" t="s">
        <v>221</v>
      </c>
      <c r="D56" s="13" t="s">
        <v>64</v>
      </c>
      <c r="E56" s="29" t="s">
        <v>10</v>
      </c>
      <c r="F56" s="32">
        <v>5506.2640000000001</v>
      </c>
      <c r="G56" s="13" t="s">
        <v>82</v>
      </c>
      <c r="H56" s="7" t="s">
        <v>24</v>
      </c>
      <c r="I56" s="7" t="s">
        <v>201</v>
      </c>
      <c r="J56" s="34" t="s">
        <v>224</v>
      </c>
      <c r="K56" s="47"/>
      <c r="L56" s="40">
        <v>75</v>
      </c>
      <c r="M56" s="41" t="s">
        <v>213</v>
      </c>
      <c r="N56" s="9"/>
    </row>
    <row r="57" spans="1:14" ht="34.950000000000003" customHeight="1" x14ac:dyDescent="0.25">
      <c r="A57" s="8">
        <v>55</v>
      </c>
      <c r="B57" s="6" t="s">
        <v>220</v>
      </c>
      <c r="C57" s="7" t="s">
        <v>222</v>
      </c>
      <c r="D57" s="13" t="s">
        <v>219</v>
      </c>
      <c r="E57" s="29" t="s">
        <v>10</v>
      </c>
      <c r="F57" s="32">
        <v>5082.84</v>
      </c>
      <c r="G57" s="13" t="s">
        <v>82</v>
      </c>
      <c r="H57" s="7" t="s">
        <v>24</v>
      </c>
      <c r="I57" s="7" t="s">
        <v>201</v>
      </c>
      <c r="J57" s="34" t="s">
        <v>228</v>
      </c>
      <c r="K57" s="47"/>
      <c r="L57" s="40">
        <v>100</v>
      </c>
      <c r="M57" s="41" t="s">
        <v>214</v>
      </c>
      <c r="N57" s="9"/>
    </row>
    <row r="58" spans="1:14" ht="34.950000000000003" customHeight="1" x14ac:dyDescent="0.25">
      <c r="A58" s="8">
        <v>56</v>
      </c>
      <c r="B58" s="6" t="s">
        <v>226</v>
      </c>
      <c r="C58" s="7" t="s">
        <v>223</v>
      </c>
      <c r="D58" s="13" t="s">
        <v>195</v>
      </c>
      <c r="E58" s="29" t="s">
        <v>10</v>
      </c>
      <c r="F58" s="32">
        <v>5028.7299999999996</v>
      </c>
      <c r="G58" s="13" t="s">
        <v>82</v>
      </c>
      <c r="H58" s="7" t="s">
        <v>24</v>
      </c>
      <c r="I58" s="7" t="s">
        <v>201</v>
      </c>
      <c r="J58" s="34" t="s">
        <v>243</v>
      </c>
      <c r="L58" s="40">
        <v>85</v>
      </c>
      <c r="M58" s="41" t="s">
        <v>234</v>
      </c>
      <c r="N58" s="9"/>
    </row>
    <row r="59" spans="1:14" ht="34.950000000000003" customHeight="1" x14ac:dyDescent="0.25">
      <c r="A59" s="8">
        <v>57</v>
      </c>
      <c r="B59" s="6">
        <v>46028</v>
      </c>
      <c r="C59" s="7" t="s">
        <v>227</v>
      </c>
      <c r="D59" s="13" t="s">
        <v>27</v>
      </c>
      <c r="E59" s="29" t="s">
        <v>10</v>
      </c>
      <c r="F59" s="32">
        <v>3398.5540000000001</v>
      </c>
      <c r="G59" s="13" t="s">
        <v>82</v>
      </c>
      <c r="H59" s="7" t="s">
        <v>24</v>
      </c>
      <c r="I59" s="7" t="s">
        <v>201</v>
      </c>
      <c r="J59" s="34" t="s">
        <v>242</v>
      </c>
      <c r="K59" s="47"/>
      <c r="L59" s="40">
        <v>100</v>
      </c>
      <c r="M59" s="41" t="s">
        <v>214</v>
      </c>
      <c r="N59" s="9"/>
    </row>
    <row r="60" spans="1:14" ht="34.950000000000003" customHeight="1" x14ac:dyDescent="0.25">
      <c r="A60" s="8">
        <v>58</v>
      </c>
      <c r="B60" s="6">
        <v>46059</v>
      </c>
      <c r="C60" s="7" t="s">
        <v>231</v>
      </c>
      <c r="D60" s="13" t="s">
        <v>175</v>
      </c>
      <c r="E60" s="29" t="s">
        <v>10</v>
      </c>
      <c r="F60" s="32">
        <v>2530.2849999999999</v>
      </c>
      <c r="G60" s="13" t="s">
        <v>82</v>
      </c>
      <c r="H60" s="7" t="s">
        <v>24</v>
      </c>
      <c r="I60" s="7" t="s">
        <v>201</v>
      </c>
      <c r="J60" s="34" t="s">
        <v>241</v>
      </c>
      <c r="K60" s="47"/>
      <c r="L60" s="40"/>
      <c r="M60" s="49"/>
      <c r="N60" s="9"/>
    </row>
    <row r="61" spans="1:14" ht="34.950000000000003" customHeight="1" x14ac:dyDescent="0.25">
      <c r="A61" s="8">
        <v>59</v>
      </c>
      <c r="B61" s="6" t="s">
        <v>251</v>
      </c>
      <c r="C61" s="7" t="s">
        <v>236</v>
      </c>
      <c r="D61" s="13" t="s">
        <v>15</v>
      </c>
      <c r="E61" s="29" t="s">
        <v>16</v>
      </c>
      <c r="F61" s="32">
        <v>3716.4340000000002</v>
      </c>
      <c r="G61" s="13" t="s">
        <v>126</v>
      </c>
      <c r="H61" s="7" t="s">
        <v>245</v>
      </c>
      <c r="I61" s="7"/>
      <c r="J61" s="34" t="s">
        <v>160</v>
      </c>
      <c r="K61" s="47"/>
      <c r="L61" s="40"/>
      <c r="M61" s="49"/>
      <c r="N61" s="9"/>
    </row>
    <row r="62" spans="1:14" ht="34.950000000000003" customHeight="1" x14ac:dyDescent="0.25">
      <c r="A62" s="8">
        <v>60</v>
      </c>
      <c r="B62" s="6" t="s">
        <v>238</v>
      </c>
      <c r="C62" s="7" t="s">
        <v>239</v>
      </c>
      <c r="D62" s="7" t="s">
        <v>219</v>
      </c>
      <c r="E62" s="29" t="s">
        <v>10</v>
      </c>
      <c r="F62" s="32">
        <v>5038.9210000000003</v>
      </c>
      <c r="G62" s="13" t="s">
        <v>82</v>
      </c>
      <c r="H62" s="7" t="s">
        <v>24</v>
      </c>
      <c r="I62" s="7"/>
      <c r="J62" s="34" t="s">
        <v>240</v>
      </c>
      <c r="K62" s="47"/>
      <c r="L62" s="40">
        <v>100</v>
      </c>
      <c r="M62" s="41" t="s">
        <v>214</v>
      </c>
      <c r="N62" s="9"/>
    </row>
    <row r="63" spans="1:14" ht="34.950000000000003" customHeight="1" x14ac:dyDescent="0.25">
      <c r="A63" s="8">
        <v>61</v>
      </c>
      <c r="B63" s="6" t="s">
        <v>238</v>
      </c>
      <c r="C63" s="7" t="s">
        <v>253</v>
      </c>
      <c r="D63" s="7" t="s">
        <v>244</v>
      </c>
      <c r="E63" s="29" t="s">
        <v>16</v>
      </c>
      <c r="F63" s="32">
        <v>5087.0379999999996</v>
      </c>
      <c r="G63" s="13" t="s">
        <v>126</v>
      </c>
      <c r="H63" s="7" t="s">
        <v>245</v>
      </c>
      <c r="I63" s="7"/>
      <c r="J63" s="34"/>
      <c r="K63" s="47"/>
      <c r="L63" s="40"/>
      <c r="M63" s="49"/>
      <c r="N63" s="9"/>
    </row>
    <row r="64" spans="1:14" ht="34.950000000000003" customHeight="1" x14ac:dyDescent="0.25">
      <c r="A64" s="8">
        <v>62</v>
      </c>
      <c r="B64" s="6" t="s">
        <v>250</v>
      </c>
      <c r="C64" s="7" t="s">
        <v>254</v>
      </c>
      <c r="D64" s="7" t="s">
        <v>27</v>
      </c>
      <c r="E64" s="29" t="s">
        <v>16</v>
      </c>
      <c r="F64" s="32">
        <v>3699.2620000000002</v>
      </c>
      <c r="G64" s="13" t="s">
        <v>126</v>
      </c>
      <c r="H64" s="7" t="s">
        <v>245</v>
      </c>
      <c r="I64" s="7"/>
      <c r="J64" s="34"/>
      <c r="K64" s="47"/>
      <c r="L64" s="40"/>
      <c r="M64" s="49"/>
      <c r="N64" s="9"/>
    </row>
    <row r="65" spans="1:14" ht="34.950000000000003" customHeight="1" x14ac:dyDescent="0.25">
      <c r="A65" s="8">
        <v>63</v>
      </c>
      <c r="B65" s="6" t="s">
        <v>255</v>
      </c>
      <c r="C65" s="7" t="s">
        <v>258</v>
      </c>
      <c r="D65" s="13" t="s">
        <v>186</v>
      </c>
      <c r="E65" s="29" t="s">
        <v>16</v>
      </c>
      <c r="F65" s="32">
        <v>2630.6959999999999</v>
      </c>
      <c r="G65" s="13" t="s">
        <v>126</v>
      </c>
      <c r="H65" s="7" t="s">
        <v>256</v>
      </c>
      <c r="I65" s="7" t="s">
        <v>257</v>
      </c>
      <c r="J65" s="34"/>
      <c r="K65" s="47"/>
      <c r="L65" s="40"/>
      <c r="M65" s="49"/>
      <c r="N65" s="9"/>
    </row>
    <row r="66" spans="1:14" ht="34.950000000000003" customHeight="1" thickBot="1" x14ac:dyDescent="0.3">
      <c r="A66" s="25"/>
      <c r="B66" s="14"/>
      <c r="C66" s="16"/>
      <c r="D66" s="26"/>
      <c r="E66" s="15"/>
      <c r="F66" s="15"/>
      <c r="G66" s="15"/>
      <c r="H66" s="27"/>
      <c r="I66" s="27"/>
      <c r="J66" s="28"/>
      <c r="L66" s="48"/>
      <c r="M66" s="39"/>
    </row>
    <row r="67" spans="1:14" ht="4.8" customHeight="1" x14ac:dyDescent="0.25">
      <c r="F67" s="1"/>
      <c r="G67" s="1"/>
      <c r="H67" s="5"/>
      <c r="I67" s="5"/>
      <c r="J67" s="3"/>
      <c r="K67" s="3"/>
    </row>
    <row r="68" spans="1:14" ht="25.2" customHeight="1" x14ac:dyDescent="0.25">
      <c r="F68" s="21">
        <f>SUM(F3:F66)</f>
        <v>275351.63299999997</v>
      </c>
      <c r="H68" s="19"/>
      <c r="I68" s="19"/>
      <c r="J68" s="3"/>
      <c r="K68" s="3"/>
    </row>
    <row r="69" spans="1:14" ht="10.199999999999999" customHeight="1" x14ac:dyDescent="0.25">
      <c r="H69" s="5"/>
      <c r="I69" s="5"/>
      <c r="J69" s="3"/>
      <c r="K69" s="3"/>
    </row>
    <row r="70" spans="1:14" ht="15.6" customHeight="1" x14ac:dyDescent="0.25">
      <c r="C70" s="1" t="s">
        <v>62</v>
      </c>
      <c r="D70" s="21" t="s">
        <v>61</v>
      </c>
      <c r="E70" s="1" t="s">
        <v>48</v>
      </c>
    </row>
  </sheetData>
  <autoFilter ref="A2:WVP63" xr:uid="{00000000-0009-0000-0000-000003000000}"/>
  <mergeCells count="1">
    <mergeCell ref="A1:J1"/>
  </mergeCells>
  <phoneticPr fontId="13" type="noConversion"/>
  <pageMargins left="0" right="0" top="0" bottom="0" header="0.3" footer="0.3"/>
  <pageSetup paperSize="9" scale="95" orientation="landscape" r:id="rId1"/>
  <colBreaks count="1" manualBreakCount="1">
    <brk id="11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2026</vt:lpstr>
      <vt:lpstr>'2026'!Print_Area</vt:lpstr>
      <vt:lpstr>'2026'!Print_Titles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2026-07-04T06:26:19Z</dcterms:modified>
</cp:coreProperties>
</file>