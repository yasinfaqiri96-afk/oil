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-105" yWindow="-105" windowWidth="23250" windowHeight="13890"/>
  </bookViews>
  <sheets>
    <sheet name="2026" sheetId="5" r:id="rId1"/>
    <sheet name="commission" sheetId="15" r:id="rId2"/>
    <sheet name="10000 MT Gasoline# 570" sheetId="17" r:id="rId3"/>
    <sheet name="20000 MT DIESEL # 610" sheetId="16" r:id="rId4"/>
    <sheet name="20000 MT Diesel  # 600" sheetId="18" r:id="rId5"/>
    <sheet name="10000 Diesel 580" sheetId="19" r:id="rId6"/>
  </sheets>
  <definedNames>
    <definedName name="_xlnm.Print_Area" localSheetId="0">'2026'!$A$1:$L$70</definedName>
    <definedName name="_xlnm.Print_Titles" localSheetId="0">'2026'!$2:$2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3" i="17" l="1"/>
  <c r="S12" i="17"/>
  <c r="S11" i="17"/>
  <c r="S10" i="17"/>
  <c r="S9" i="17"/>
  <c r="G86" i="17"/>
  <c r="G146" i="17"/>
  <c r="G150" i="17"/>
  <c r="G164" i="17"/>
  <c r="G174" i="17"/>
  <c r="G183" i="17"/>
  <c r="G185" i="17"/>
  <c r="G332" i="16"/>
  <c r="G161" i="18"/>
  <c r="G179" i="19"/>
  <c r="G176" i="19"/>
  <c r="G9" i="19"/>
  <c r="G4" i="19"/>
  <c r="H195" i="17" l="1"/>
  <c r="P52" i="5"/>
  <c r="P45" i="5"/>
  <c r="E182" i="19"/>
  <c r="G181" i="19"/>
  <c r="G180" i="19"/>
  <c r="G178" i="19"/>
  <c r="G177" i="19"/>
  <c r="A176" i="19"/>
  <c r="A177" i="19" s="1"/>
  <c r="A178" i="19" s="1"/>
  <c r="A179" i="19" s="1"/>
  <c r="A180" i="19" s="1"/>
  <c r="A181" i="19" s="1"/>
  <c r="G175" i="19"/>
  <c r="E174" i="19"/>
  <c r="G173" i="19"/>
  <c r="G172" i="19"/>
  <c r="G174" i="19" s="1"/>
  <c r="E171" i="19"/>
  <c r="G170" i="19"/>
  <c r="G169" i="19"/>
  <c r="E168" i="19"/>
  <c r="G167" i="19"/>
  <c r="G166" i="19"/>
  <c r="A166" i="19"/>
  <c r="A167" i="19" s="1"/>
  <c r="G165" i="19"/>
  <c r="E164" i="19"/>
  <c r="G163" i="19"/>
  <c r="G162" i="19"/>
  <c r="G161" i="19"/>
  <c r="G160" i="19"/>
  <c r="G159" i="19"/>
  <c r="G158" i="19"/>
  <c r="G157" i="19"/>
  <c r="G156" i="19"/>
  <c r="G155" i="19"/>
  <c r="G154" i="19"/>
  <c r="G153" i="19"/>
  <c r="A153" i="19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G152" i="19"/>
  <c r="E151" i="19"/>
  <c r="O151" i="19" s="1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A119" i="19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G118" i="19"/>
  <c r="G151" i="19" s="1"/>
  <c r="E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A102" i="19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G101" i="19"/>
  <c r="E100" i="19"/>
  <c r="G99" i="19"/>
  <c r="G98" i="19"/>
  <c r="G100" i="19" s="1"/>
  <c r="E97" i="19"/>
  <c r="G96" i="19"/>
  <c r="G95" i="19"/>
  <c r="G97" i="19" s="1"/>
  <c r="E94" i="19"/>
  <c r="O97" i="19" s="1"/>
  <c r="P97" i="19" s="1"/>
  <c r="G93" i="19"/>
  <c r="G92" i="19"/>
  <c r="G91" i="19"/>
  <c r="E90" i="19"/>
  <c r="G89" i="19"/>
  <c r="G88" i="19"/>
  <c r="G87" i="19"/>
  <c r="G86" i="19"/>
  <c r="G85" i="19"/>
  <c r="A85" i="19"/>
  <c r="A86" i="19" s="1"/>
  <c r="A87" i="19" s="1"/>
  <c r="A88" i="19" s="1"/>
  <c r="A89" i="19" s="1"/>
  <c r="G84" i="19"/>
  <c r="G90" i="19" s="1"/>
  <c r="E83" i="19"/>
  <c r="O83" i="19" s="1"/>
  <c r="O90" i="19" s="1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A54" i="19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G53" i="19"/>
  <c r="E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A40" i="19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G39" i="19"/>
  <c r="E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8" i="19"/>
  <c r="G7" i="19"/>
  <c r="G6" i="19"/>
  <c r="G5" i="19"/>
  <c r="A5" i="19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63" i="5"/>
  <c r="J64" i="5"/>
  <c r="J62" i="5"/>
  <c r="J50" i="5"/>
  <c r="J51" i="5"/>
  <c r="J49" i="5"/>
  <c r="J65" i="5"/>
  <c r="G83" i="19" l="1"/>
  <c r="G164" i="19"/>
  <c r="G182" i="19"/>
  <c r="G168" i="19"/>
  <c r="G52" i="19"/>
  <c r="G183" i="19" s="1"/>
  <c r="E183" i="19"/>
  <c r="E186" i="19" s="1"/>
  <c r="E187" i="19" s="1"/>
  <c r="G94" i="19"/>
  <c r="G38" i="19"/>
  <c r="G117" i="19"/>
  <c r="G171" i="19"/>
  <c r="O182" i="19"/>
  <c r="E169" i="18"/>
  <c r="G168" i="18"/>
  <c r="G169" i="18" s="1"/>
  <c r="E167" i="18"/>
  <c r="G166" i="18"/>
  <c r="G165" i="18"/>
  <c r="G164" i="18"/>
  <c r="G163" i="18"/>
  <c r="G162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A147" i="18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G146" i="18"/>
  <c r="E145" i="18"/>
  <c r="G144" i="18"/>
  <c r="G143" i="18"/>
  <c r="A143" i="18"/>
  <c r="A144" i="18" s="1"/>
  <c r="G142" i="18"/>
  <c r="E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A109" i="18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G108" i="18"/>
  <c r="E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A86" i="18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G85" i="18"/>
  <c r="E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A61" i="18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G60" i="18"/>
  <c r="E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A37" i="18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G36" i="18"/>
  <c r="A36" i="18"/>
  <c r="G35" i="18"/>
  <c r="E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A5" i="18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G4" i="18"/>
  <c r="G167" i="18" l="1"/>
  <c r="G170" i="18" s="1"/>
  <c r="G107" i="18"/>
  <c r="G84" i="18"/>
  <c r="G141" i="18"/>
  <c r="G34" i="18"/>
  <c r="E170" i="18"/>
  <c r="E174" i="18" s="1"/>
  <c r="E175" i="18" s="1"/>
  <c r="G59" i="18"/>
  <c r="G145" i="18"/>
  <c r="K61" i="5" l="1"/>
  <c r="K52" i="5" l="1"/>
  <c r="J58" i="5" l="1"/>
  <c r="J56" i="5" l="1"/>
  <c r="J57" i="5"/>
  <c r="J55" i="5"/>
  <c r="K54" i="5" l="1"/>
  <c r="E188" i="17" l="1"/>
  <c r="G187" i="17"/>
  <c r="G186" i="17"/>
  <c r="A185" i="17"/>
  <c r="A186" i="17" s="1"/>
  <c r="A187" i="17" s="1"/>
  <c r="G184" i="17"/>
  <c r="G188" i="17" s="1"/>
  <c r="E183" i="17"/>
  <c r="G182" i="17"/>
  <c r="G181" i="17"/>
  <c r="G180" i="17"/>
  <c r="G179" i="17"/>
  <c r="G178" i="17"/>
  <c r="A178" i="17"/>
  <c r="A179" i="17" s="1"/>
  <c r="A180" i="17" s="1"/>
  <c r="A181" i="17" s="1"/>
  <c r="A182" i="17" s="1"/>
  <c r="G177" i="17"/>
  <c r="E176" i="17"/>
  <c r="G175" i="17"/>
  <c r="G176" i="17" s="1"/>
  <c r="E174" i="17"/>
  <c r="G173" i="17"/>
  <c r="G172" i="17"/>
  <c r="G171" i="17"/>
  <c r="G170" i="17"/>
  <c r="G169" i="17"/>
  <c r="G168" i="17"/>
  <c r="G167" i="17"/>
  <c r="G166" i="17"/>
  <c r="A166" i="17"/>
  <c r="A167" i="17" s="1"/>
  <c r="A168" i="17" s="1"/>
  <c r="A169" i="17" s="1"/>
  <c r="A170" i="17" s="1"/>
  <c r="A171" i="17" s="1"/>
  <c r="A172" i="17" s="1"/>
  <c r="A173" i="17" s="1"/>
  <c r="G165" i="17"/>
  <c r="E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A152" i="17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G151" i="17"/>
  <c r="E150" i="17"/>
  <c r="G149" i="17"/>
  <c r="G148" i="17"/>
  <c r="G147" i="17"/>
  <c r="E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A127" i="17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G126" i="17"/>
  <c r="E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A106" i="17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G105" i="17"/>
  <c r="E104" i="17"/>
  <c r="G103" i="17"/>
  <c r="G102" i="17"/>
  <c r="A102" i="17"/>
  <c r="A103" i="17" s="1"/>
  <c r="G101" i="17"/>
  <c r="E100" i="17"/>
  <c r="G99" i="17"/>
  <c r="A99" i="17"/>
  <c r="G98" i="17"/>
  <c r="E97" i="17"/>
  <c r="G96" i="17"/>
  <c r="G95" i="17"/>
  <c r="G94" i="17"/>
  <c r="G93" i="17"/>
  <c r="G92" i="17"/>
  <c r="G91" i="17"/>
  <c r="G90" i="17"/>
  <c r="A90" i="17"/>
  <c r="A91" i="17" s="1"/>
  <c r="A92" i="17" s="1"/>
  <c r="A93" i="17" s="1"/>
  <c r="A94" i="17" s="1"/>
  <c r="A95" i="17" s="1"/>
  <c r="A96" i="17" s="1"/>
  <c r="G89" i="17"/>
  <c r="G88" i="17"/>
  <c r="E88" i="17"/>
  <c r="G87" i="17"/>
  <c r="E86" i="17"/>
  <c r="G85" i="17"/>
  <c r="G84" i="17"/>
  <c r="G83" i="17"/>
  <c r="G82" i="17"/>
  <c r="A82" i="17"/>
  <c r="A83" i="17" s="1"/>
  <c r="A84" i="17" s="1"/>
  <c r="A85" i="17" s="1"/>
  <c r="G81" i="17"/>
  <c r="E80" i="17"/>
  <c r="G79" i="17"/>
  <c r="G80" i="17" s="1"/>
  <c r="E78" i="17"/>
  <c r="G77" i="17"/>
  <c r="G76" i="17"/>
  <c r="G75" i="17"/>
  <c r="G74" i="17"/>
  <c r="G73" i="17"/>
  <c r="G72" i="17"/>
  <c r="G71" i="17"/>
  <c r="G70" i="17"/>
  <c r="A70" i="17"/>
  <c r="A71" i="17" s="1"/>
  <c r="A72" i="17" s="1"/>
  <c r="A73" i="17" s="1"/>
  <c r="A74" i="17" s="1"/>
  <c r="A75" i="17" s="1"/>
  <c r="A76" i="17" s="1"/>
  <c r="A77" i="17" s="1"/>
  <c r="G69" i="17"/>
  <c r="E68" i="17"/>
  <c r="G67" i="17"/>
  <c r="G66" i="17"/>
  <c r="G65" i="17"/>
  <c r="G64" i="17"/>
  <c r="G63" i="17"/>
  <c r="G62" i="17"/>
  <c r="G61" i="17"/>
  <c r="G60" i="17"/>
  <c r="G59" i="17"/>
  <c r="G58" i="17"/>
  <c r="A58" i="17"/>
  <c r="A59" i="17" s="1"/>
  <c r="A60" i="17" s="1"/>
  <c r="A61" i="17" s="1"/>
  <c r="A62" i="17" s="1"/>
  <c r="A63" i="17" s="1"/>
  <c r="A64" i="17" s="1"/>
  <c r="A65" i="17" s="1"/>
  <c r="A66" i="17" s="1"/>
  <c r="A67" i="17" s="1"/>
  <c r="G57" i="17"/>
  <c r="E56" i="17"/>
  <c r="G55" i="17"/>
  <c r="G54" i="17"/>
  <c r="G53" i="17"/>
  <c r="G52" i="17"/>
  <c r="G51" i="17"/>
  <c r="G50" i="17"/>
  <c r="G49" i="17"/>
  <c r="G48" i="17"/>
  <c r="G47" i="17"/>
  <c r="A47" i="17"/>
  <c r="A48" i="17" s="1"/>
  <c r="A49" i="17" s="1"/>
  <c r="A50" i="17" s="1"/>
  <c r="A51" i="17" s="1"/>
  <c r="A52" i="17" s="1"/>
  <c r="A53" i="17" s="1"/>
  <c r="A54" i="17" s="1"/>
  <c r="A55" i="17" s="1"/>
  <c r="G46" i="17"/>
  <c r="E45" i="17"/>
  <c r="G44" i="17"/>
  <c r="G43" i="17"/>
  <c r="G42" i="17"/>
  <c r="G41" i="17"/>
  <c r="G40" i="17"/>
  <c r="G39" i="17"/>
  <c r="G38" i="17"/>
  <c r="A38" i="17"/>
  <c r="A39" i="17" s="1"/>
  <c r="A40" i="17" s="1"/>
  <c r="A41" i="17" s="1"/>
  <c r="A42" i="17" s="1"/>
  <c r="A43" i="17" s="1"/>
  <c r="A44" i="17" s="1"/>
  <c r="G37" i="17"/>
  <c r="E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A24" i="17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G23" i="17"/>
  <c r="E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G4" i="17"/>
  <c r="G100" i="17" l="1"/>
  <c r="G68" i="17"/>
  <c r="G97" i="17"/>
  <c r="E189" i="17"/>
  <c r="E193" i="17" s="1"/>
  <c r="E194" i="17" s="1"/>
  <c r="G36" i="17"/>
  <c r="G125" i="17"/>
  <c r="G45" i="17"/>
  <c r="G56" i="17"/>
  <c r="G22" i="17"/>
  <c r="G104" i="17"/>
  <c r="G78" i="17"/>
  <c r="E343" i="16"/>
  <c r="G342" i="16"/>
  <c r="G341" i="16"/>
  <c r="G340" i="16"/>
  <c r="G339" i="16"/>
  <c r="G338" i="16"/>
  <c r="A338" i="16"/>
  <c r="A339" i="16" s="1"/>
  <c r="A340" i="16" s="1"/>
  <c r="A341" i="16" s="1"/>
  <c r="A342" i="16" s="1"/>
  <c r="G337" i="16"/>
  <c r="G343" i="16" s="1"/>
  <c r="E336" i="16"/>
  <c r="G335" i="16"/>
  <c r="G334" i="16"/>
  <c r="G333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A306" i="16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G305" i="16"/>
  <c r="E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A289" i="16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G288" i="16"/>
  <c r="L287" i="16"/>
  <c r="E287" i="16"/>
  <c r="M286" i="16"/>
  <c r="G286" i="16"/>
  <c r="M285" i="16"/>
  <c r="G285" i="16"/>
  <c r="M284" i="16"/>
  <c r="G284" i="16"/>
  <c r="M283" i="16"/>
  <c r="G283" i="16"/>
  <c r="M282" i="16"/>
  <c r="G282" i="16"/>
  <c r="M281" i="16"/>
  <c r="G281" i="16"/>
  <c r="M280" i="16"/>
  <c r="G280" i="16"/>
  <c r="M279" i="16"/>
  <c r="G279" i="16"/>
  <c r="M278" i="16"/>
  <c r="G278" i="16"/>
  <c r="M277" i="16"/>
  <c r="G277" i="16"/>
  <c r="M276" i="16"/>
  <c r="G276" i="16"/>
  <c r="M275" i="16"/>
  <c r="G275" i="16"/>
  <c r="M274" i="16"/>
  <c r="G274" i="16"/>
  <c r="M273" i="16"/>
  <c r="G273" i="16"/>
  <c r="M272" i="16"/>
  <c r="G272" i="16"/>
  <c r="M271" i="16"/>
  <c r="G271" i="16"/>
  <c r="M270" i="16"/>
  <c r="G270" i="16"/>
  <c r="M269" i="16"/>
  <c r="G269" i="16"/>
  <c r="M268" i="16"/>
  <c r="G268" i="16"/>
  <c r="M267" i="16"/>
  <c r="G267" i="16"/>
  <c r="M266" i="16"/>
  <c r="G266" i="16"/>
  <c r="M265" i="16"/>
  <c r="G265" i="16"/>
  <c r="M264" i="16"/>
  <c r="G264" i="16"/>
  <c r="M263" i="16"/>
  <c r="G263" i="16"/>
  <c r="M262" i="16"/>
  <c r="G262" i="16"/>
  <c r="M261" i="16"/>
  <c r="G261" i="16"/>
  <c r="A261" i="16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M260" i="16"/>
  <c r="G260" i="16"/>
  <c r="L259" i="16"/>
  <c r="E259" i="16"/>
  <c r="M258" i="16"/>
  <c r="G258" i="16"/>
  <c r="M257" i="16"/>
  <c r="G257" i="16"/>
  <c r="M256" i="16"/>
  <c r="G256" i="16"/>
  <c r="M255" i="16"/>
  <c r="G255" i="16"/>
  <c r="M254" i="16"/>
  <c r="G254" i="16"/>
  <c r="M253" i="16"/>
  <c r="G253" i="16"/>
  <c r="M252" i="16"/>
  <c r="G252" i="16"/>
  <c r="A252" i="16"/>
  <c r="A253" i="16" s="1"/>
  <c r="A254" i="16" s="1"/>
  <c r="A255" i="16" s="1"/>
  <c r="A256" i="16" s="1"/>
  <c r="A257" i="16" s="1"/>
  <c r="A258" i="16" s="1"/>
  <c r="M251" i="16"/>
  <c r="G251" i="16"/>
  <c r="A251" i="16"/>
  <c r="M250" i="16"/>
  <c r="G250" i="16"/>
  <c r="E249" i="16"/>
  <c r="G248" i="16"/>
  <c r="G247" i="16"/>
  <c r="L246" i="16"/>
  <c r="E246" i="16"/>
  <c r="G245" i="16"/>
  <c r="M244" i="16"/>
  <c r="G244" i="16"/>
  <c r="M243" i="16"/>
  <c r="G243" i="16"/>
  <c r="M242" i="16"/>
  <c r="G242" i="16"/>
  <c r="M241" i="16"/>
  <c r="G241" i="16"/>
  <c r="M240" i="16"/>
  <c r="G240" i="16"/>
  <c r="M239" i="16"/>
  <c r="G239" i="16"/>
  <c r="M238" i="16"/>
  <c r="G238" i="16"/>
  <c r="M237" i="16"/>
  <c r="G237" i="16"/>
  <c r="M236" i="16"/>
  <c r="G236" i="16"/>
  <c r="M235" i="16"/>
  <c r="G235" i="16"/>
  <c r="M234" i="16"/>
  <c r="G234" i="16"/>
  <c r="M233" i="16"/>
  <c r="G233" i="16"/>
  <c r="M232" i="16"/>
  <c r="G232" i="16"/>
  <c r="M231" i="16"/>
  <c r="G231" i="16"/>
  <c r="A231" i="16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M230" i="16"/>
  <c r="G230" i="16"/>
  <c r="A230" i="16"/>
  <c r="G229" i="16"/>
  <c r="L228" i="16"/>
  <c r="E228" i="16"/>
  <c r="M227" i="16"/>
  <c r="G227" i="16"/>
  <c r="M226" i="16"/>
  <c r="G226" i="16"/>
  <c r="A226" i="16"/>
  <c r="A227" i="16" s="1"/>
  <c r="M225" i="16"/>
  <c r="M228" i="16" s="1"/>
  <c r="G225" i="16"/>
  <c r="G228" i="16" s="1"/>
  <c r="L224" i="16"/>
  <c r="E224" i="16"/>
  <c r="M223" i="16"/>
  <c r="M224" i="16" s="1"/>
  <c r="G223" i="16"/>
  <c r="G224" i="16" s="1"/>
  <c r="L222" i="16"/>
  <c r="E222" i="16"/>
  <c r="M221" i="16"/>
  <c r="G221" i="16"/>
  <c r="M220" i="16"/>
  <c r="G220" i="16"/>
  <c r="A220" i="16"/>
  <c r="A221" i="16" s="1"/>
  <c r="M219" i="16"/>
  <c r="M222" i="16" s="1"/>
  <c r="G219" i="16"/>
  <c r="G222" i="16" s="1"/>
  <c r="L218" i="16"/>
  <c r="E218" i="16"/>
  <c r="M217" i="16"/>
  <c r="G217" i="16"/>
  <c r="G216" i="16"/>
  <c r="G215" i="16"/>
  <c r="G214" i="16"/>
  <c r="G213" i="16"/>
  <c r="G212" i="16"/>
  <c r="G211" i="16"/>
  <c r="G210" i="16"/>
  <c r="M209" i="16"/>
  <c r="G209" i="16"/>
  <c r="G208" i="16"/>
  <c r="G207" i="16"/>
  <c r="G206" i="16"/>
  <c r="G205" i="16"/>
  <c r="G204" i="16"/>
  <c r="M203" i="16"/>
  <c r="G203" i="16"/>
  <c r="M202" i="16"/>
  <c r="G202" i="16"/>
  <c r="M201" i="16"/>
  <c r="G201" i="16"/>
  <c r="M200" i="16"/>
  <c r="G200" i="16"/>
  <c r="M199" i="16"/>
  <c r="G199" i="16"/>
  <c r="M198" i="16"/>
  <c r="G198" i="16"/>
  <c r="M197" i="16"/>
  <c r="G197" i="16"/>
  <c r="M196" i="16"/>
  <c r="G196" i="16"/>
  <c r="M195" i="16"/>
  <c r="G195" i="16"/>
  <c r="G194" i="16"/>
  <c r="M193" i="16"/>
  <c r="G193" i="16"/>
  <c r="M192" i="16"/>
  <c r="G192" i="16"/>
  <c r="M191" i="16"/>
  <c r="G191" i="16"/>
  <c r="M190" i="16"/>
  <c r="G190" i="16"/>
  <c r="G218" i="16" s="1"/>
  <c r="G189" i="16"/>
  <c r="G188" i="16"/>
  <c r="A188" i="16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M187" i="16"/>
  <c r="G187" i="16"/>
  <c r="E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A174" i="16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G173" i="16"/>
  <c r="L171" i="16"/>
  <c r="E171" i="16"/>
  <c r="M170" i="16"/>
  <c r="G170" i="16"/>
  <c r="M169" i="16"/>
  <c r="G169" i="16"/>
  <c r="M168" i="16"/>
  <c r="G168" i="16"/>
  <c r="M167" i="16"/>
  <c r="G167" i="16"/>
  <c r="M166" i="16"/>
  <c r="G166" i="16"/>
  <c r="M165" i="16"/>
  <c r="G165" i="16"/>
  <c r="M164" i="16"/>
  <c r="G164" i="16"/>
  <c r="M163" i="16"/>
  <c r="G163" i="16"/>
  <c r="M162" i="16"/>
  <c r="G162" i="16"/>
  <c r="M161" i="16"/>
  <c r="G161" i="16"/>
  <c r="M160" i="16"/>
  <c r="G160" i="16"/>
  <c r="M159" i="16"/>
  <c r="G159" i="16"/>
  <c r="M158" i="16"/>
  <c r="G158" i="16"/>
  <c r="M157" i="16"/>
  <c r="G157" i="16"/>
  <c r="M156" i="16"/>
  <c r="G156" i="16"/>
  <c r="M155" i="16"/>
  <c r="G155" i="16"/>
  <c r="M154" i="16"/>
  <c r="G154" i="16"/>
  <c r="A154" i="16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M153" i="16"/>
  <c r="G153" i="16"/>
  <c r="L152" i="16"/>
  <c r="E152" i="16"/>
  <c r="M151" i="16"/>
  <c r="G151" i="16"/>
  <c r="G150" i="16"/>
  <c r="M149" i="16"/>
  <c r="G149" i="16"/>
  <c r="M148" i="16"/>
  <c r="G148" i="16"/>
  <c r="G147" i="16"/>
  <c r="G146" i="16"/>
  <c r="G145" i="16"/>
  <c r="G144" i="16"/>
  <c r="M143" i="16"/>
  <c r="G143" i="16"/>
  <c r="M142" i="16"/>
  <c r="G142" i="16"/>
  <c r="M141" i="16"/>
  <c r="G141" i="16"/>
  <c r="M140" i="16"/>
  <c r="G140" i="16"/>
  <c r="M139" i="16"/>
  <c r="G139" i="16"/>
  <c r="M138" i="16"/>
  <c r="G138" i="16"/>
  <c r="M137" i="16"/>
  <c r="G137" i="16"/>
  <c r="M136" i="16"/>
  <c r="G136" i="16"/>
  <c r="M135" i="16"/>
  <c r="G135" i="16"/>
  <c r="G134" i="16"/>
  <c r="M133" i="16"/>
  <c r="G133" i="16"/>
  <c r="M132" i="16"/>
  <c r="G132" i="16"/>
  <c r="A132" i="16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M131" i="16"/>
  <c r="G131" i="16"/>
  <c r="L129" i="16"/>
  <c r="E129" i="16"/>
  <c r="G128" i="16"/>
  <c r="M127" i="16"/>
  <c r="G127" i="16"/>
  <c r="G126" i="16"/>
  <c r="M125" i="16"/>
  <c r="G125" i="16"/>
  <c r="M124" i="16"/>
  <c r="G124" i="16"/>
  <c r="G123" i="16"/>
  <c r="G122" i="16"/>
  <c r="G121" i="16"/>
  <c r="G120" i="16"/>
  <c r="G119" i="16"/>
  <c r="M118" i="16"/>
  <c r="G118" i="16"/>
  <c r="M117" i="16"/>
  <c r="G117" i="16"/>
  <c r="G116" i="16"/>
  <c r="M115" i="16"/>
  <c r="G115" i="16"/>
  <c r="M114" i="16"/>
  <c r="G114" i="16"/>
  <c r="M113" i="16"/>
  <c r="G113" i="16"/>
  <c r="G112" i="16"/>
  <c r="G111" i="16"/>
  <c r="G110" i="16"/>
  <c r="G109" i="16"/>
  <c r="M108" i="16"/>
  <c r="G108" i="16"/>
  <c r="M107" i="16"/>
  <c r="G107" i="16"/>
  <c r="G106" i="16"/>
  <c r="M105" i="16"/>
  <c r="G105" i="16"/>
  <c r="M104" i="16"/>
  <c r="G104" i="16"/>
  <c r="G103" i="16"/>
  <c r="G102" i="16"/>
  <c r="G101" i="16"/>
  <c r="G100" i="16"/>
  <c r="G99" i="16"/>
  <c r="G98" i="16"/>
  <c r="G97" i="16"/>
  <c r="M96" i="16"/>
  <c r="G96" i="16"/>
  <c r="G95" i="16"/>
  <c r="G94" i="16"/>
  <c r="M93" i="16"/>
  <c r="G93" i="16"/>
  <c r="G92" i="16"/>
  <c r="G91" i="16"/>
  <c r="M90" i="16"/>
  <c r="G90" i="16"/>
  <c r="A90" i="16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M89" i="16"/>
  <c r="G89" i="16"/>
  <c r="L88" i="16"/>
  <c r="E88" i="16"/>
  <c r="G87" i="16"/>
  <c r="G86" i="16"/>
  <c r="G85" i="16"/>
  <c r="G84" i="16"/>
  <c r="G83" i="16"/>
  <c r="G82" i="16"/>
  <c r="M81" i="16"/>
  <c r="G81" i="16"/>
  <c r="G80" i="16"/>
  <c r="G79" i="16"/>
  <c r="G78" i="16"/>
  <c r="G77" i="16"/>
  <c r="G76" i="16"/>
  <c r="G75" i="16"/>
  <c r="G74" i="16"/>
  <c r="M73" i="16"/>
  <c r="G73" i="16"/>
  <c r="G72" i="16"/>
  <c r="M71" i="16"/>
  <c r="G71" i="16"/>
  <c r="M70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M48" i="16"/>
  <c r="G48" i="16"/>
  <c r="G47" i="16"/>
  <c r="G46" i="16"/>
  <c r="G45" i="16"/>
  <c r="G44" i="16"/>
  <c r="A44" i="16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G43" i="16"/>
  <c r="L42" i="16"/>
  <c r="E42" i="16"/>
  <c r="M41" i="16"/>
  <c r="G41" i="16"/>
  <c r="M40" i="16"/>
  <c r="G40" i="16"/>
  <c r="M39" i="16"/>
  <c r="G39" i="16"/>
  <c r="M38" i="16"/>
  <c r="G38" i="16"/>
  <c r="G37" i="16"/>
  <c r="M36" i="16"/>
  <c r="G36" i="16"/>
  <c r="M35" i="16"/>
  <c r="G35" i="16"/>
  <c r="G34" i="16"/>
  <c r="G33" i="16"/>
  <c r="M32" i="16"/>
  <c r="G32" i="16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M31" i="16"/>
  <c r="G31" i="16"/>
  <c r="L30" i="16"/>
  <c r="L345" i="16" s="1"/>
  <c r="E30" i="16"/>
  <c r="E130" i="16" s="1"/>
  <c r="M29" i="16"/>
  <c r="G29" i="16"/>
  <c r="M28" i="16"/>
  <c r="G28" i="16"/>
  <c r="M27" i="16"/>
  <c r="G27" i="16"/>
  <c r="M26" i="16"/>
  <c r="G26" i="16"/>
  <c r="M25" i="16"/>
  <c r="G25" i="16"/>
  <c r="M24" i="16"/>
  <c r="G24" i="16"/>
  <c r="M23" i="16"/>
  <c r="G23" i="16"/>
  <c r="M22" i="16"/>
  <c r="G22" i="16"/>
  <c r="A22" i="16"/>
  <c r="A23" i="16" s="1"/>
  <c r="A24" i="16" s="1"/>
  <c r="A25" i="16" s="1"/>
  <c r="A26" i="16" s="1"/>
  <c r="A27" i="16" s="1"/>
  <c r="A28" i="16" s="1"/>
  <c r="A29" i="16" s="1"/>
  <c r="M21" i="16"/>
  <c r="G21" i="16"/>
  <c r="E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G6" i="16"/>
  <c r="M42" i="16" l="1"/>
  <c r="M246" i="16"/>
  <c r="M259" i="16"/>
  <c r="M171" i="16"/>
  <c r="M287" i="16"/>
  <c r="M88" i="16"/>
  <c r="G304" i="16"/>
  <c r="G42" i="16"/>
  <c r="G186" i="16"/>
  <c r="M218" i="16"/>
  <c r="G30" i="16"/>
  <c r="G129" i="16"/>
  <c r="G171" i="16"/>
  <c r="G344" i="16" s="1"/>
  <c r="G20" i="16"/>
  <c r="G130" i="16" s="1"/>
  <c r="G345" i="16" s="1"/>
  <c r="M30" i="16"/>
  <c r="G88" i="16"/>
  <c r="M129" i="16"/>
  <c r="G287" i="16"/>
  <c r="G336" i="16"/>
  <c r="G152" i="16"/>
  <c r="G246" i="16"/>
  <c r="G259" i="16"/>
  <c r="M152" i="16"/>
  <c r="G189" i="17"/>
  <c r="M345" i="16"/>
  <c r="E344" i="16"/>
  <c r="E345" i="16" s="1"/>
  <c r="E349" i="16" s="1"/>
  <c r="E350" i="16" s="1"/>
  <c r="K46" i="5"/>
  <c r="K45" i="5"/>
  <c r="J44" i="5"/>
  <c r="J43" i="5"/>
  <c r="J42" i="5"/>
  <c r="J70" i="5" l="1"/>
  <c r="L42" i="5" l="1"/>
  <c r="L43" i="5" s="1"/>
  <c r="L44" i="5" s="1"/>
  <c r="L45" i="5" s="1"/>
  <c r="L46" i="5" s="1"/>
  <c r="L47" i="5" s="1"/>
  <c r="L48" i="5" s="1"/>
  <c r="I9" i="15"/>
  <c r="I10" i="15"/>
  <c r="I11" i="15"/>
  <c r="I12" i="15"/>
  <c r="I13" i="15"/>
  <c r="F10" i="15"/>
  <c r="F11" i="15"/>
  <c r="J11" i="15" s="1"/>
  <c r="F12" i="15"/>
  <c r="F13" i="15"/>
  <c r="L49" i="5" l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K70" i="5"/>
  <c r="J10" i="15"/>
  <c r="J13" i="15"/>
  <c r="J12" i="15"/>
  <c r="F9" i="15" l="1"/>
  <c r="J9" i="15" s="1"/>
  <c r="F6" i="15" l="1"/>
  <c r="F7" i="15"/>
  <c r="F8" i="15"/>
  <c r="F5" i="15"/>
  <c r="F4" i="15"/>
  <c r="F3" i="15"/>
  <c r="F2" i="15" l="1"/>
  <c r="I2" i="15" l="1"/>
  <c r="J2" i="15" s="1"/>
  <c r="I5" i="15"/>
  <c r="J5" i="15" s="1"/>
  <c r="I8" i="15"/>
  <c r="J8" i="15" s="1"/>
  <c r="I7" i="15"/>
  <c r="J7" i="15" s="1"/>
  <c r="I6" i="15"/>
  <c r="J6" i="15" s="1"/>
  <c r="I4" i="15"/>
  <c r="J4" i="15" s="1"/>
  <c r="I3" i="15"/>
  <c r="J3" i="15" s="1"/>
  <c r="J16" i="15" l="1"/>
</calcChain>
</file>

<file path=xl/sharedStrings.xml><?xml version="1.0" encoding="utf-8"?>
<sst xmlns="http://schemas.openxmlformats.org/spreadsheetml/2006/main" count="2973" uniqueCount="767">
  <si>
    <t>No</t>
  </si>
  <si>
    <t>Date</t>
  </si>
  <si>
    <t>M-Tone</t>
  </si>
  <si>
    <t>Unit Price</t>
  </si>
  <si>
    <t>T-Credit</t>
  </si>
  <si>
    <t>T-Debit</t>
  </si>
  <si>
    <t>Balance</t>
  </si>
  <si>
    <t>Details</t>
  </si>
  <si>
    <t>Exchange Rate</t>
  </si>
  <si>
    <t>Platts</t>
  </si>
  <si>
    <t>Difference</t>
  </si>
  <si>
    <t>28/5/2025</t>
  </si>
  <si>
    <t>Paid recipt no 460 - by Blue Yildiz</t>
  </si>
  <si>
    <t>Paid recipt no 513 - by Noorzad Dubai</t>
  </si>
  <si>
    <t>20/6/2025</t>
  </si>
  <si>
    <t>AED / Ruble</t>
  </si>
  <si>
    <t>Paid recipt no 306 by GT company</t>
  </si>
  <si>
    <t>Paid recipt no 298 by GT Company</t>
  </si>
  <si>
    <t>14/7/2025</t>
  </si>
  <si>
    <t>Paid recipt no 671 to Noorzad DUBAI</t>
  </si>
  <si>
    <t>24/7/2025</t>
  </si>
  <si>
    <t>Paid recipt no 403 by GT company</t>
  </si>
  <si>
    <t>Their Recived</t>
  </si>
  <si>
    <t>Exchange rate</t>
  </si>
  <si>
    <t xml:space="preserve">Paid recipt no 548 - Noorzad </t>
  </si>
  <si>
    <t>17/9/2025</t>
  </si>
  <si>
    <t>19/9/2025</t>
  </si>
  <si>
    <t>Paid recipt no 1014 to Noorzad DUBAI</t>
  </si>
  <si>
    <t>Paid recipt no 1033 to Noorzad DUBAI</t>
  </si>
  <si>
    <t>16/12/2025</t>
  </si>
  <si>
    <t>Paid recipt no 1451 - by Noorzad Company</t>
  </si>
  <si>
    <t>23/12/2025</t>
  </si>
  <si>
    <t>29/12/2025</t>
  </si>
  <si>
    <t>Paid recipt no 665  to Noorzad Dubai</t>
  </si>
  <si>
    <t>Paid recipt no 681  to Noorzad Dubai</t>
  </si>
  <si>
    <t xml:space="preserve">20000 MT Diesel </t>
  </si>
  <si>
    <t>14/1/2026</t>
  </si>
  <si>
    <t>Paid recipt no 681  by Noorzad Dubai</t>
  </si>
  <si>
    <t>Paid recipt no 665  by Noorzad Dubai</t>
  </si>
  <si>
    <t>Our Payment</t>
  </si>
  <si>
    <t>19/1/2026</t>
  </si>
  <si>
    <t>23/1/2026</t>
  </si>
  <si>
    <t>Paid recipt no 92  by Noorzad dubai</t>
  </si>
  <si>
    <t>Contract</t>
  </si>
  <si>
    <t>FROM 22.12.2025 - 30.12.2025</t>
  </si>
  <si>
    <t>FROM 01.01.2026 -19.01.2026</t>
  </si>
  <si>
    <t>Paid recipt no 47   # 263200000 Ruble</t>
  </si>
  <si>
    <t xml:space="preserve"> Contract PTG-SOL-25-MOZ dd 23.05.2025, between "PETROGAZ TRADING" (UAE) and "SOLVEX" FZE (UAE) </t>
  </si>
  <si>
    <t>APPENDIX   № 4 dd 16.12.25 (DAP TRUSOVO) 10000 mt</t>
  </si>
  <si>
    <t>APPENDIX   № 5 dd 26.12.25 (DAP TRUSOVO) 10000 mt</t>
  </si>
  <si>
    <t xml:space="preserve">(FLOWDALE TRADING FZCO) </t>
  </si>
  <si>
    <t>№</t>
  </si>
  <si>
    <t>RWB No</t>
  </si>
  <si>
    <t xml:space="preserve">Wagons No </t>
  </si>
  <si>
    <t>Loaded quantity (MT)</t>
  </si>
  <si>
    <t>610$</t>
  </si>
  <si>
    <t>Total</t>
  </si>
  <si>
    <t>Consignee</t>
  </si>
  <si>
    <t>Destination</t>
  </si>
  <si>
    <t>Date of arrival of wagons</t>
  </si>
  <si>
    <t>Date of leak</t>
  </si>
  <si>
    <t>Quantity</t>
  </si>
  <si>
    <t>Remarks</t>
  </si>
  <si>
    <t>ЭЛ030640</t>
  </si>
  <si>
    <t>51235836</t>
  </si>
  <si>
    <t>Terminal Ilinka</t>
  </si>
  <si>
    <t>Trusowo</t>
  </si>
  <si>
    <t>ЭЛ030466</t>
  </si>
  <si>
    <t>51133239</t>
  </si>
  <si>
    <t>ЭЛ030475</t>
  </si>
  <si>
    <t>57253882</t>
  </si>
  <si>
    <t>51847481</t>
  </si>
  <si>
    <t>51227833</t>
  </si>
  <si>
    <t>76592591</t>
  </si>
  <si>
    <t>71048029</t>
  </si>
  <si>
    <t>75120113</t>
  </si>
  <si>
    <t>50498567</t>
  </si>
  <si>
    <t>75107037</t>
  </si>
  <si>
    <t>ЭЛ031053</t>
  </si>
  <si>
    <t>51181360</t>
  </si>
  <si>
    <t>ЭЛ030661</t>
  </si>
  <si>
    <t>50560218</t>
  </si>
  <si>
    <t>ЭЛ030780</t>
  </si>
  <si>
    <t>75558999</t>
  </si>
  <si>
    <t>ЭЛ030940</t>
  </si>
  <si>
    <t>51104602</t>
  </si>
  <si>
    <t>ЭЛ039645</t>
  </si>
  <si>
    <t>76711183</t>
  </si>
  <si>
    <t>76711282</t>
  </si>
  <si>
    <t>76711274</t>
  </si>
  <si>
    <t>76718238</t>
  </si>
  <si>
    <t>76718287</t>
  </si>
  <si>
    <t>57041626</t>
  </si>
  <si>
    <t>ЭЛ039574</t>
  </si>
  <si>
    <t>55323497</t>
  </si>
  <si>
    <t>54718762</t>
  </si>
  <si>
    <t>58642695</t>
  </si>
  <si>
    <t>ЭЛ154693</t>
  </si>
  <si>
    <t>75032904</t>
  </si>
  <si>
    <t>75000208</t>
  </si>
  <si>
    <t>ЭЛ108540</t>
  </si>
  <si>
    <t>50975390</t>
  </si>
  <si>
    <t>50688605</t>
  </si>
  <si>
    <t>ЭЛ108455</t>
  </si>
  <si>
    <t>58348913</t>
  </si>
  <si>
    <t>51896322</t>
  </si>
  <si>
    <t>73177032</t>
  </si>
  <si>
    <t>51813608</t>
  </si>
  <si>
    <t>57045320</t>
  </si>
  <si>
    <t>ЭЛ113609</t>
  </si>
  <si>
    <t>75191676</t>
  </si>
  <si>
    <t>ЭЛ113528</t>
  </si>
  <si>
    <t>53875696</t>
  </si>
  <si>
    <t>ЭЛ215700</t>
  </si>
  <si>
    <t>51392454</t>
  </si>
  <si>
    <t>76704915</t>
  </si>
  <si>
    <t>ЭЛ188607</t>
  </si>
  <si>
    <t>50733617</t>
  </si>
  <si>
    <t>ЭЛ187810</t>
  </si>
  <si>
    <t>76710839</t>
  </si>
  <si>
    <t>ЭЛ202596</t>
  </si>
  <si>
    <t>50464098</t>
  </si>
  <si>
    <t>ЭЛ201116</t>
  </si>
  <si>
    <t>76725266</t>
  </si>
  <si>
    <t>ЭЛ184870</t>
  </si>
  <si>
    <t>51174423</t>
  </si>
  <si>
    <t>50079391</t>
  </si>
  <si>
    <t>51141968</t>
  </si>
  <si>
    <t>57378291</t>
  </si>
  <si>
    <t>51620466</t>
  </si>
  <si>
    <t>50749019</t>
  </si>
  <si>
    <t>53871133</t>
  </si>
  <si>
    <t>51227502</t>
  </si>
  <si>
    <t>58640871</t>
  </si>
  <si>
    <t>ЭЛ215454</t>
  </si>
  <si>
    <t>51459154</t>
  </si>
  <si>
    <t>50423193</t>
  </si>
  <si>
    <t>50723469</t>
  </si>
  <si>
    <t>50162890</t>
  </si>
  <si>
    <t>ЭЛ187597</t>
  </si>
  <si>
    <t>73100604</t>
  </si>
  <si>
    <t>ЭЛ188069</t>
  </si>
  <si>
    <t>54704440</t>
  </si>
  <si>
    <t>ЭЛ188435</t>
  </si>
  <si>
    <t>73062846</t>
  </si>
  <si>
    <t>73152084</t>
  </si>
  <si>
    <t>ЭЛ202024</t>
  </si>
  <si>
    <t>73089567</t>
  </si>
  <si>
    <t>ЭЛ202201</t>
  </si>
  <si>
    <t>50561109</t>
  </si>
  <si>
    <t>73101164</t>
  </si>
  <si>
    <t>50560630</t>
  </si>
  <si>
    <t>ЭЛ202284</t>
  </si>
  <si>
    <t>50929553</t>
  </si>
  <si>
    <t>ЭЛ201926</t>
  </si>
  <si>
    <t>50579861</t>
  </si>
  <si>
    <t>ЭЛ204903</t>
  </si>
  <si>
    <t>75085415</t>
  </si>
  <si>
    <t>ЭЛ201467</t>
  </si>
  <si>
    <t>57178261</t>
  </si>
  <si>
    <t>76354497</t>
  </si>
  <si>
    <t>50484740</t>
  </si>
  <si>
    <t>50917269</t>
  </si>
  <si>
    <t>75254425</t>
  </si>
  <si>
    <t>50559954</t>
  </si>
  <si>
    <t>ЭЛ201351</t>
  </si>
  <si>
    <t>75039107</t>
  </si>
  <si>
    <t>73091555</t>
  </si>
  <si>
    <t>50580554</t>
  </si>
  <si>
    <t>54085063</t>
  </si>
  <si>
    <t>ЭЛ215127</t>
  </si>
  <si>
    <t>75250126</t>
  </si>
  <si>
    <t>76636596</t>
  </si>
  <si>
    <t>75247858</t>
  </si>
  <si>
    <t>75180430</t>
  </si>
  <si>
    <t>75250134</t>
  </si>
  <si>
    <t>ЭЛ496099</t>
  </si>
  <si>
    <t>51442564</t>
  </si>
  <si>
    <t>ЭЛ515593</t>
  </si>
  <si>
    <t>50473289</t>
  </si>
  <si>
    <t>ЭЛ496040</t>
  </si>
  <si>
    <t>76705060</t>
  </si>
  <si>
    <t>ЭЛ542125</t>
  </si>
  <si>
    <t>51442663</t>
  </si>
  <si>
    <t>ЭЛ498016</t>
  </si>
  <si>
    <t>51526952</t>
  </si>
  <si>
    <t>ЭЛ515473</t>
  </si>
  <si>
    <t>51394161</t>
  </si>
  <si>
    <t>ЭЛ541671</t>
  </si>
  <si>
    <t>51115780</t>
  </si>
  <si>
    <t>ЭЛ480290</t>
  </si>
  <si>
    <t>51594091</t>
  </si>
  <si>
    <t>56733793</t>
  </si>
  <si>
    <t>ЭЛ552916</t>
  </si>
  <si>
    <t>54099346</t>
  </si>
  <si>
    <t>ЭЛ542402</t>
  </si>
  <si>
    <t>50722701</t>
  </si>
  <si>
    <t>ЭЛ515691</t>
  </si>
  <si>
    <t>73025736</t>
  </si>
  <si>
    <t>73195869</t>
  </si>
  <si>
    <t>76414499</t>
  </si>
  <si>
    <t>ЭЛ544203</t>
  </si>
  <si>
    <t>50729615</t>
  </si>
  <si>
    <t>ЭЛ481250</t>
  </si>
  <si>
    <t>55949085</t>
  </si>
  <si>
    <t>ЭЛ481296</t>
  </si>
  <si>
    <t>73095317</t>
  </si>
  <si>
    <t>ЭЛ498163</t>
  </si>
  <si>
    <t>58709015</t>
  </si>
  <si>
    <t>ЭЛ480501</t>
  </si>
  <si>
    <t>71047054</t>
  </si>
  <si>
    <t>ЭЛ480363</t>
  </si>
  <si>
    <t>51179471</t>
  </si>
  <si>
    <t>ЭЛ549530</t>
  </si>
  <si>
    <t>75295964</t>
  </si>
  <si>
    <t>ЭЛ519211</t>
  </si>
  <si>
    <t>58643339</t>
  </si>
  <si>
    <t>ЭЛ480222</t>
  </si>
  <si>
    <t>76459296</t>
  </si>
  <si>
    <t>ЭЛ498299</t>
  </si>
  <si>
    <t>54255765</t>
  </si>
  <si>
    <t>57496598</t>
  </si>
  <si>
    <t>ЭЛ481530</t>
  </si>
  <si>
    <t>54253265</t>
  </si>
  <si>
    <t>ЭЛ481207</t>
  </si>
  <si>
    <t>76361799</t>
  </si>
  <si>
    <t>ЭЛ480536</t>
  </si>
  <si>
    <t>76913391</t>
  </si>
  <si>
    <t>51229722</t>
  </si>
  <si>
    <t>50723220</t>
  </si>
  <si>
    <t>73192676</t>
  </si>
  <si>
    <t>ЭЛ518852</t>
  </si>
  <si>
    <t>53268934</t>
  </si>
  <si>
    <t>ЭЛ549890</t>
  </si>
  <si>
    <t>75261156</t>
  </si>
  <si>
    <t>55947626</t>
  </si>
  <si>
    <t>55651681</t>
  </si>
  <si>
    <t>51156727</t>
  </si>
  <si>
    <t>ЭЛ480446</t>
  </si>
  <si>
    <t>54253364</t>
  </si>
  <si>
    <t>73214967</t>
  </si>
  <si>
    <t>51874071</t>
  </si>
  <si>
    <t>ЭЛ489578</t>
  </si>
  <si>
    <t>51175701</t>
  </si>
  <si>
    <t>Totall december:</t>
  </si>
  <si>
    <t>ЭЛ631455</t>
  </si>
  <si>
    <t>51442630</t>
  </si>
  <si>
    <t>ЭЛ638330</t>
  </si>
  <si>
    <t>51342756</t>
  </si>
  <si>
    <t>ЭЛ638187</t>
  </si>
  <si>
    <t>73020315</t>
  </si>
  <si>
    <t>ЭЛ621211</t>
  </si>
  <si>
    <t>51144186</t>
  </si>
  <si>
    <t>ЭЛ634606</t>
  </si>
  <si>
    <t>51756294</t>
  </si>
  <si>
    <t>ЭЛ631540</t>
  </si>
  <si>
    <t>51754745</t>
  </si>
  <si>
    <t>ЭЛ631689</t>
  </si>
  <si>
    <t>73119927</t>
  </si>
  <si>
    <t>73070864</t>
  </si>
  <si>
    <t>75284687</t>
  </si>
  <si>
    <t>ЭЛ638274</t>
  </si>
  <si>
    <t>73188963</t>
  </si>
  <si>
    <t>ЭЛ638400</t>
  </si>
  <si>
    <t>55305866</t>
  </si>
  <si>
    <t>75852491</t>
  </si>
  <si>
    <t>ЭЛ621439</t>
  </si>
  <si>
    <t>73211443</t>
  </si>
  <si>
    <t>ЭЛ621632</t>
  </si>
  <si>
    <t>57254617</t>
  </si>
  <si>
    <t>55054480</t>
  </si>
  <si>
    <t>76414697</t>
  </si>
  <si>
    <t>ЭЛ621556</t>
  </si>
  <si>
    <t>54750021</t>
  </si>
  <si>
    <t>73195489</t>
  </si>
  <si>
    <t>75053801</t>
  </si>
  <si>
    <t>51229060</t>
  </si>
  <si>
    <t>75284547</t>
  </si>
  <si>
    <t>ЭЛ686372</t>
  </si>
  <si>
    <t>53943965</t>
  </si>
  <si>
    <t>ЭЛ684215</t>
  </si>
  <si>
    <t>75259275</t>
  </si>
  <si>
    <t>50220755</t>
  </si>
  <si>
    <t>ЭЛ696210</t>
  </si>
  <si>
    <t>54702097</t>
  </si>
  <si>
    <t>73099079</t>
  </si>
  <si>
    <t>50938257</t>
  </si>
  <si>
    <t>57943797</t>
  </si>
  <si>
    <t>75047852</t>
  </si>
  <si>
    <t>50916980</t>
  </si>
  <si>
    <t>57371536</t>
  </si>
  <si>
    <t>57408445</t>
  </si>
  <si>
    <t>75046961</t>
  </si>
  <si>
    <t>ЭЛ686248</t>
  </si>
  <si>
    <t>73204919</t>
  </si>
  <si>
    <t>75471896</t>
  </si>
  <si>
    <t>ЭЛ686458</t>
  </si>
  <si>
    <t>51114783</t>
  </si>
  <si>
    <t>73036857</t>
  </si>
  <si>
    <t>73195646</t>
  </si>
  <si>
    <t>50939313</t>
  </si>
  <si>
    <t>APPENDIX   № 5 dd 26.12.25 (DAP TRUSOVO) 10'000 mt</t>
  </si>
  <si>
    <t>ЭЛ704594</t>
  </si>
  <si>
    <t>70730429</t>
  </si>
  <si>
    <t>ЭЛ730259</t>
  </si>
  <si>
    <t>51616753</t>
  </si>
  <si>
    <t>ЭЛ738474</t>
  </si>
  <si>
    <t>51179455</t>
  </si>
  <si>
    <t>50960525</t>
  </si>
  <si>
    <t>51228971</t>
  </si>
  <si>
    <t>51227973</t>
  </si>
  <si>
    <t>50236140</t>
  </si>
  <si>
    <t>ЭЛ743880</t>
  </si>
  <si>
    <t>50683697</t>
  </si>
  <si>
    <t>53995197</t>
  </si>
  <si>
    <t>57264293</t>
  </si>
  <si>
    <t>73080319</t>
  </si>
  <si>
    <t>55950489</t>
  </si>
  <si>
    <t>73923930</t>
  </si>
  <si>
    <t>ЭЛ780606</t>
  </si>
  <si>
    <t>51428340</t>
  </si>
  <si>
    <t>ЭЛ776272</t>
  </si>
  <si>
    <t>51368124</t>
  </si>
  <si>
    <t>ЭЛ776323</t>
  </si>
  <si>
    <t>51147270</t>
  </si>
  <si>
    <t>ЭЛ780491</t>
  </si>
  <si>
    <t>51484301</t>
  </si>
  <si>
    <t>ЭЛ780328</t>
  </si>
  <si>
    <t>50473453</t>
  </si>
  <si>
    <t>ЭЛ803905</t>
  </si>
  <si>
    <t>50221803</t>
  </si>
  <si>
    <t>ЭЛ780084</t>
  </si>
  <si>
    <t>50464767</t>
  </si>
  <si>
    <t>50726405</t>
  </si>
  <si>
    <t>73019010</t>
  </si>
  <si>
    <t>ЭЛ803963</t>
  </si>
  <si>
    <t>73215261</t>
  </si>
  <si>
    <t>75126516</t>
  </si>
  <si>
    <t>73191454</t>
  </si>
  <si>
    <t>73195661</t>
  </si>
  <si>
    <t>ЭЛ780778</t>
  </si>
  <si>
    <t>50577204</t>
  </si>
  <si>
    <t>50770999</t>
  </si>
  <si>
    <t>ЭЛ770515</t>
  </si>
  <si>
    <t>54097753</t>
  </si>
  <si>
    <t>ЭЛ770423</t>
  </si>
  <si>
    <t>51890275</t>
  </si>
  <si>
    <t>ЭЛ776497</t>
  </si>
  <si>
    <t>51229680</t>
  </si>
  <si>
    <t>ЭЛ776360</t>
  </si>
  <si>
    <t>75759092</t>
  </si>
  <si>
    <t>ЭЛ776510</t>
  </si>
  <si>
    <t>74901661</t>
  </si>
  <si>
    <t>51399970</t>
  </si>
  <si>
    <t>54084389</t>
  </si>
  <si>
    <t>50560325</t>
  </si>
  <si>
    <t>73154015</t>
  </si>
  <si>
    <t>50292416</t>
  </si>
  <si>
    <t>75210658</t>
  </si>
  <si>
    <t>75284604</t>
  </si>
  <si>
    <t>ЭЛ776147</t>
  </si>
  <si>
    <t>75261081</t>
  </si>
  <si>
    <t>73207078</t>
  </si>
  <si>
    <t>51107449</t>
  </si>
  <si>
    <t>ЭЛ791900</t>
  </si>
  <si>
    <t>50677483</t>
  </si>
  <si>
    <t>ЭМ056477</t>
  </si>
  <si>
    <t>50483361</t>
  </si>
  <si>
    <t>ЭМ041663</t>
  </si>
  <si>
    <t>53953022</t>
  </si>
  <si>
    <t>ЭМ041377</t>
  </si>
  <si>
    <t>57366981</t>
  </si>
  <si>
    <t>ЭМ188941</t>
  </si>
  <si>
    <t>51230100</t>
  </si>
  <si>
    <t>ЭМ234902</t>
  </si>
  <si>
    <t>54259114</t>
  </si>
  <si>
    <t>50749209</t>
  </si>
  <si>
    <t>53873121</t>
  </si>
  <si>
    <t>ЭМ279920</t>
  </si>
  <si>
    <t>50695394</t>
  </si>
  <si>
    <t>ЭМ275611</t>
  </si>
  <si>
    <t>73103418</t>
  </si>
  <si>
    <t>ЭМ279441</t>
  </si>
  <si>
    <t>57415218</t>
  </si>
  <si>
    <t>57040271</t>
  </si>
  <si>
    <t>58642430</t>
  </si>
  <si>
    <t>ЭМ279174</t>
  </si>
  <si>
    <t>54691498</t>
  </si>
  <si>
    <t>ЭМ279619</t>
  </si>
  <si>
    <t>75180588</t>
  </si>
  <si>
    <t>75208629</t>
  </si>
  <si>
    <t>75271288</t>
  </si>
  <si>
    <t>75103325</t>
  </si>
  <si>
    <t>75736199</t>
  </si>
  <si>
    <t>75110437</t>
  </si>
  <si>
    <t>74921263</t>
  </si>
  <si>
    <t>57913097</t>
  </si>
  <si>
    <t>50722206</t>
  </si>
  <si>
    <t>75113233</t>
  </si>
  <si>
    <t>57237083</t>
  </si>
  <si>
    <t>ЭМ279406</t>
  </si>
  <si>
    <t>ЭМ279711</t>
  </si>
  <si>
    <t>ЭМ271989</t>
  </si>
  <si>
    <t>ЭМ274823</t>
  </si>
  <si>
    <t>51142156</t>
  </si>
  <si>
    <t>ЭМ272124</t>
  </si>
  <si>
    <t>58649740</t>
  </si>
  <si>
    <t>57334054</t>
  </si>
  <si>
    <t>ЭМ345598</t>
  </si>
  <si>
    <t>51722643</t>
  </si>
  <si>
    <t>ЭМ346443</t>
  </si>
  <si>
    <t>53943932</t>
  </si>
  <si>
    <t>51527893</t>
  </si>
  <si>
    <t>ЭМ345798</t>
  </si>
  <si>
    <t>50751866</t>
  </si>
  <si>
    <t>ЭМ361891</t>
  </si>
  <si>
    <t>50772409</t>
  </si>
  <si>
    <t>50922699</t>
  </si>
  <si>
    <t>73153751</t>
  </si>
  <si>
    <t>52084092</t>
  </si>
  <si>
    <t>73993388</t>
  </si>
  <si>
    <t>75234039</t>
  </si>
  <si>
    <t>51316990</t>
  </si>
  <si>
    <t>51616639</t>
  </si>
  <si>
    <t>51102168</t>
  </si>
  <si>
    <t>50108521</t>
  </si>
  <si>
    <t>50350958</t>
  </si>
  <si>
    <t>ЭМ340880</t>
  </si>
  <si>
    <t>55051700</t>
  </si>
  <si>
    <t>73215907</t>
  </si>
  <si>
    <t>75231928</t>
  </si>
  <si>
    <t>ЭМ345787</t>
  </si>
  <si>
    <t>50939891</t>
  </si>
  <si>
    <t>73053217</t>
  </si>
  <si>
    <t>55661136</t>
  </si>
  <si>
    <t>ЭМ329389</t>
  </si>
  <si>
    <t>75180349</t>
  </si>
  <si>
    <t>75098608</t>
  </si>
  <si>
    <t>57105009</t>
  </si>
  <si>
    <t>58147711</t>
  </si>
  <si>
    <t>75123414</t>
  </si>
  <si>
    <t>ЭМ510015</t>
  </si>
  <si>
    <t>76867878</t>
  </si>
  <si>
    <t>50158898</t>
  </si>
  <si>
    <t>53962205</t>
  </si>
  <si>
    <t>ЭМ507297</t>
  </si>
  <si>
    <t>51921039</t>
  </si>
  <si>
    <t>76710698</t>
  </si>
  <si>
    <t>73059263</t>
  </si>
  <si>
    <t>73174641</t>
  </si>
  <si>
    <t>75771295</t>
  </si>
  <si>
    <t>50409275</t>
  </si>
  <si>
    <t>73047821</t>
  </si>
  <si>
    <t>73013617</t>
  </si>
  <si>
    <t>73119356</t>
  </si>
  <si>
    <t>73013765</t>
  </si>
  <si>
    <t>50487727</t>
  </si>
  <si>
    <t>ЭМ512565</t>
  </si>
  <si>
    <t>50439587</t>
  </si>
  <si>
    <t>ЭМ512406</t>
  </si>
  <si>
    <t>73132581</t>
  </si>
  <si>
    <t>ЭМ588484</t>
  </si>
  <si>
    <t>ЭМ590957</t>
  </si>
  <si>
    <t>51133072</t>
  </si>
  <si>
    <t>ЭМ597219</t>
  </si>
  <si>
    <t>51766350</t>
  </si>
  <si>
    <t>ЭМ576173</t>
  </si>
  <si>
    <t>51895662</t>
  </si>
  <si>
    <t>57499196</t>
  </si>
  <si>
    <t>51868404</t>
  </si>
  <si>
    <t>50085141</t>
  </si>
  <si>
    <t>54719364</t>
  </si>
  <si>
    <t>ЭМ596902</t>
  </si>
  <si>
    <t>57100984</t>
  </si>
  <si>
    <t>ЭМ596618</t>
  </si>
  <si>
    <t>51241362</t>
  </si>
  <si>
    <t>51741957</t>
  </si>
  <si>
    <t>54885967</t>
  </si>
  <si>
    <t>ЭМ597067</t>
  </si>
  <si>
    <t>75106930</t>
  </si>
  <si>
    <t>53872602</t>
  </si>
  <si>
    <t>75164749</t>
  </si>
  <si>
    <t>58305814</t>
  </si>
  <si>
    <t>51179745</t>
  </si>
  <si>
    <t>ЭМ655855</t>
  </si>
  <si>
    <t>51166866</t>
  </si>
  <si>
    <t>ЭМ633365</t>
  </si>
  <si>
    <t>50722859</t>
  </si>
  <si>
    <t>ЭМ654838</t>
  </si>
  <si>
    <t>54678347</t>
  </si>
  <si>
    <t>75122424</t>
  </si>
  <si>
    <t>ЭМ655058</t>
  </si>
  <si>
    <t>51176444</t>
  </si>
  <si>
    <t>51179026</t>
  </si>
  <si>
    <t>FULL TONNAGE</t>
  </si>
  <si>
    <t>LOADED</t>
  </si>
  <si>
    <t>BALANCE</t>
  </si>
  <si>
    <t>Additional Agreement  № 6 dd 14.01.26 (SPT TRUSOVO) 10000 mt</t>
  </si>
  <si>
    <t>570$</t>
  </si>
  <si>
    <t>08610077
П.к №  72</t>
  </si>
  <si>
    <r>
      <rPr>
        <sz val="11"/>
        <rFont val="Times New Roman"/>
        <family val="1"/>
        <charset val="204"/>
      </rPr>
      <t>08610077
П.к №  72</t>
    </r>
  </si>
  <si>
    <r>
      <rPr>
        <sz val="11"/>
        <rFont val="Times New Roman"/>
        <family val="1"/>
        <charset val="204"/>
      </rPr>
      <t>08610086
П.к №  72</t>
    </r>
  </si>
  <si>
    <t>08610206</t>
  </si>
  <si>
    <r>
      <rPr>
        <sz val="11"/>
        <rFont val="Times New Roman"/>
        <family val="1"/>
        <charset val="204"/>
      </rPr>
      <t>08610250
П.к №  79</t>
    </r>
  </si>
  <si>
    <r>
      <rPr>
        <sz val="11"/>
        <rFont val="Times New Roman"/>
        <family val="1"/>
        <charset val="204"/>
      </rPr>
      <t>08610251
П.к №  92</t>
    </r>
  </si>
  <si>
    <t>08610252</t>
  </si>
  <si>
    <t>08610269</t>
  </si>
  <si>
    <t>08610274</t>
  </si>
  <si>
    <t>08610275</t>
  </si>
  <si>
    <t>08610276</t>
  </si>
  <si>
    <t>08610277</t>
  </si>
  <si>
    <t>08610296</t>
  </si>
  <si>
    <t>08610300</t>
  </si>
  <si>
    <t>08610364</t>
  </si>
  <si>
    <t>57191819</t>
  </si>
  <si>
    <t>08610365</t>
  </si>
  <si>
    <t>08610371</t>
  </si>
  <si>
    <t>73154486</t>
  </si>
  <si>
    <t>08610383</t>
  </si>
  <si>
    <t>08610384</t>
  </si>
  <si>
    <t>08610385</t>
  </si>
  <si>
    <t>08610395</t>
  </si>
  <si>
    <t>08610464</t>
  </si>
  <si>
    <t>08610465</t>
  </si>
  <si>
    <t>50966092</t>
  </si>
  <si>
    <t>50786920</t>
  </si>
  <si>
    <t>50745074</t>
  </si>
  <si>
    <t>71047526</t>
  </si>
  <si>
    <t>50197391</t>
  </si>
  <si>
    <t>71048102</t>
  </si>
  <si>
    <t>75053421</t>
  </si>
  <si>
    <t>73205759</t>
  </si>
  <si>
    <t>51382430</t>
  </si>
  <si>
    <t>54705546</t>
  </si>
  <si>
    <t>71047948</t>
  </si>
  <si>
    <t>73206864</t>
  </si>
  <si>
    <t>75262634</t>
  </si>
  <si>
    <t>73116766</t>
  </si>
  <si>
    <t>54641261</t>
  </si>
  <si>
    <t>57500290</t>
  </si>
  <si>
    <t>57935694</t>
  </si>
  <si>
    <t>50273994</t>
  </si>
  <si>
    <t>73136731</t>
  </si>
  <si>
    <t>54027651</t>
  </si>
  <si>
    <t>50068758</t>
  </si>
  <si>
    <t>73196719</t>
  </si>
  <si>
    <t>57279176</t>
  </si>
  <si>
    <t>50215250</t>
  </si>
  <si>
    <t>54252804</t>
  </si>
  <si>
    <t>76843796</t>
  </si>
  <si>
    <t>55676472</t>
  </si>
  <si>
    <t>71060248</t>
  </si>
  <si>
    <t>73194672</t>
  </si>
  <si>
    <t>51180818</t>
  </si>
  <si>
    <t>73924227</t>
  </si>
  <si>
    <t>75084525</t>
  </si>
  <si>
    <t>73503286</t>
  </si>
  <si>
    <t>73197238</t>
  </si>
  <si>
    <t>75284638</t>
  </si>
  <si>
    <t>75064832</t>
  </si>
  <si>
    <t>73211989</t>
  </si>
  <si>
    <t>76778190</t>
  </si>
  <si>
    <t>75461897</t>
  </si>
  <si>
    <t>57137184</t>
  </si>
  <si>
    <t>73201725</t>
  </si>
  <si>
    <t>55054977</t>
  </si>
  <si>
    <t>57253924</t>
  </si>
  <si>
    <t>75245332</t>
  </si>
  <si>
    <t>53924262</t>
  </si>
  <si>
    <t>76078591</t>
  </si>
  <si>
    <t>75057935</t>
  </si>
  <si>
    <t>75106328</t>
  </si>
  <si>
    <t>75284653</t>
  </si>
  <si>
    <t>73186264</t>
  </si>
  <si>
    <t>50185636</t>
  </si>
  <si>
    <t>73200479</t>
  </si>
  <si>
    <t>57278855</t>
  </si>
  <si>
    <t>51126100</t>
  </si>
  <si>
    <t>51603322</t>
  </si>
  <si>
    <t>50551407</t>
  </si>
  <si>
    <t>53913653</t>
  </si>
  <si>
    <t>51152312</t>
  </si>
  <si>
    <t>73222283</t>
  </si>
  <si>
    <t>50437052</t>
  </si>
  <si>
    <t>75009449</t>
  </si>
  <si>
    <t>51337079</t>
  </si>
  <si>
    <t>73185654</t>
  </si>
  <si>
    <t>73220022</t>
  </si>
  <si>
    <t>74028846</t>
  </si>
  <si>
    <t>75112359</t>
  </si>
  <si>
    <t>57424780</t>
  </si>
  <si>
    <t>75247957</t>
  </si>
  <si>
    <t>75248336</t>
  </si>
  <si>
    <t>75121152</t>
  </si>
  <si>
    <t>51229771</t>
  </si>
  <si>
    <t>51241339</t>
  </si>
  <si>
    <t>73954430</t>
  </si>
  <si>
    <t>73198061</t>
  </si>
  <si>
    <t>75123307</t>
  </si>
  <si>
    <t>75247874</t>
  </si>
  <si>
    <t>75247916</t>
  </si>
  <si>
    <t>51141943</t>
  </si>
  <si>
    <t>50465103</t>
  </si>
  <si>
    <t>73197287</t>
  </si>
  <si>
    <t>75524298</t>
  </si>
  <si>
    <t>73236820</t>
  </si>
  <si>
    <t>75008466</t>
  </si>
  <si>
    <t>75111369</t>
  </si>
  <si>
    <t>75482190</t>
  </si>
  <si>
    <t>57192387</t>
  </si>
  <si>
    <t>75858191</t>
  </si>
  <si>
    <t>73900524</t>
  </si>
  <si>
    <t>51318293</t>
  </si>
  <si>
    <t>75081331</t>
  </si>
  <si>
    <t>55946925</t>
  </si>
  <si>
    <t>74910100</t>
  </si>
  <si>
    <t>75263889</t>
  </si>
  <si>
    <t>75251710</t>
  </si>
  <si>
    <t>73236424</t>
  </si>
  <si>
    <t>75044107</t>
  </si>
  <si>
    <t>50236801</t>
  </si>
  <si>
    <t>73184848</t>
  </si>
  <si>
    <t>76624592</t>
  </si>
  <si>
    <t>50479799</t>
  </si>
  <si>
    <t>50773522</t>
  </si>
  <si>
    <t>76718386</t>
  </si>
  <si>
    <t>76725415</t>
  </si>
  <si>
    <t>76718402</t>
  </si>
  <si>
    <t>51442655</t>
  </si>
  <si>
    <t>76725241</t>
  </si>
  <si>
    <t>73188682</t>
  </si>
  <si>
    <t>57138869</t>
  </si>
  <si>
    <t>54704291</t>
  </si>
  <si>
    <t>51229847</t>
  </si>
  <si>
    <t>58708561</t>
  </si>
  <si>
    <t>51228021</t>
  </si>
  <si>
    <t>75005066</t>
  </si>
  <si>
    <t>73964579</t>
  </si>
  <si>
    <t>75020768</t>
  </si>
  <si>
    <t>57408288</t>
  </si>
  <si>
    <t>54067681</t>
  </si>
  <si>
    <t>73181810</t>
  </si>
  <si>
    <t>73220253</t>
  </si>
  <si>
    <t>73271280</t>
  </si>
  <si>
    <t>54075957</t>
  </si>
  <si>
    <t>75034405</t>
  </si>
  <si>
    <t>54757547</t>
  </si>
  <si>
    <t>54047063</t>
  </si>
  <si>
    <t>51175974</t>
  </si>
  <si>
    <t>54640875</t>
  </si>
  <si>
    <t>51230050</t>
  </si>
  <si>
    <t>75039602</t>
  </si>
  <si>
    <t>50068865</t>
  </si>
  <si>
    <t>75105817</t>
  </si>
  <si>
    <t>73723504</t>
  </si>
  <si>
    <t xml:space="preserve"> Contract PTG-SOL-25-MOZ dd 20.06.2025, between "PETROGAZ TRADING" (UAE) and "SOLVEX" FZE (UAE) </t>
  </si>
  <si>
    <t>APPENDIX   № 6 dd 14.01.26 (DAP TRUSOVO) 20'000 mt</t>
  </si>
  <si>
    <t>600$</t>
  </si>
  <si>
    <t>ЭМ900407</t>
  </si>
  <si>
    <t>ЭМ900552</t>
  </si>
  <si>
    <t>ЭМ905317</t>
  </si>
  <si>
    <t>ЭМ905122</t>
  </si>
  <si>
    <t>ЭМ905373</t>
  </si>
  <si>
    <t>ЭМ905412</t>
  </si>
  <si>
    <t>ЭН009161</t>
  </si>
  <si>
    <t>ЭН009002</t>
  </si>
  <si>
    <t>ЭН010839</t>
  </si>
  <si>
    <t>ЭМ967696</t>
  </si>
  <si>
    <t>ЭМ967842</t>
  </si>
  <si>
    <t>ЭМ983288</t>
  </si>
  <si>
    <t>ЭМ983226</t>
  </si>
  <si>
    <t>ЭН009328</t>
  </si>
  <si>
    <t>ЭМ983098</t>
  </si>
  <si>
    <t>ЭМ972652</t>
  </si>
  <si>
    <t>ЭН056126</t>
  </si>
  <si>
    <t>ЭН056585</t>
  </si>
  <si>
    <t>ЭН054706</t>
  </si>
  <si>
    <t>ЭН053712</t>
  </si>
  <si>
    <t>ЭН054291</t>
  </si>
  <si>
    <t>ЭН054968</t>
  </si>
  <si>
    <t>ЭН056343</t>
  </si>
  <si>
    <t>ЭН055768</t>
  </si>
  <si>
    <t>ЭН055576</t>
  </si>
  <si>
    <t>ЭН055441</t>
  </si>
  <si>
    <t>ЭН039993</t>
  </si>
  <si>
    <t>ЭН040085</t>
  </si>
  <si>
    <t>ЭН040385</t>
  </si>
  <si>
    <t>ЭН040107</t>
  </si>
  <si>
    <t>ЭН039972</t>
  </si>
  <si>
    <t>ЭН040016</t>
  </si>
  <si>
    <t>ЭН040621</t>
  </si>
  <si>
    <t>ЭН015105</t>
  </si>
  <si>
    <t>ЭН079896</t>
  </si>
  <si>
    <t>ЭН079803</t>
  </si>
  <si>
    <t>ЭН079921</t>
  </si>
  <si>
    <t>ЭН109163</t>
  </si>
  <si>
    <t>ЭН080344</t>
  </si>
  <si>
    <t>ЭН080197</t>
  </si>
  <si>
    <t>ЭН080048</t>
  </si>
  <si>
    <t>ЭН080167</t>
  </si>
  <si>
    <t>ЭН079952</t>
  </si>
  <si>
    <t>ЭН109604</t>
  </si>
  <si>
    <t>ЭН092286</t>
  </si>
  <si>
    <t xml:space="preserve">Recived 150 Wagons # Gasoline </t>
  </si>
  <si>
    <t>10000 MT Gasoline 570 Fix</t>
  </si>
  <si>
    <t>20000 MT</t>
  </si>
  <si>
    <t>27/1/2026</t>
  </si>
  <si>
    <t>30/1/2026</t>
  </si>
  <si>
    <t>Paid recipt no 135  by Noorzad dubai</t>
  </si>
  <si>
    <t>Recived 158 wagons # Diesel</t>
  </si>
  <si>
    <t xml:space="preserve">Petrogas </t>
  </si>
  <si>
    <t>51688596</t>
  </si>
  <si>
    <t>ЭН394247</t>
  </si>
  <si>
    <t>73205510</t>
  </si>
  <si>
    <t>ЭН391089</t>
  </si>
  <si>
    <t>57255069</t>
  </si>
  <si>
    <t>75042242</t>
  </si>
  <si>
    <t>ЭН406193</t>
  </si>
  <si>
    <t>51501393</t>
  </si>
  <si>
    <t>51456739</t>
  </si>
  <si>
    <t>57380206</t>
  </si>
  <si>
    <t>50732007</t>
  </si>
  <si>
    <t>75218289</t>
  </si>
  <si>
    <t>55303952</t>
  </si>
  <si>
    <t>73089914</t>
  </si>
  <si>
    <t>ЭН406351</t>
  </si>
  <si>
    <t>53924460</t>
  </si>
  <si>
    <t>75049312</t>
  </si>
  <si>
    <t>ЭН410397</t>
  </si>
  <si>
    <t>55947972</t>
  </si>
  <si>
    <t>75229260</t>
  </si>
  <si>
    <t>54726237</t>
  </si>
  <si>
    <t>54602776</t>
  </si>
  <si>
    <t>ЭН406453</t>
  </si>
  <si>
    <t>75899997</t>
  </si>
  <si>
    <t>75263269</t>
  </si>
  <si>
    <t>75262436</t>
  </si>
  <si>
    <t>75107979</t>
  </si>
  <si>
    <t>73023939</t>
  </si>
  <si>
    <t>75805796</t>
  </si>
  <si>
    <t>73182479</t>
  </si>
  <si>
    <t>ЭН415035</t>
  </si>
  <si>
    <t>51600302</t>
  </si>
  <si>
    <t>Additional Agreement  № 7 dd 27.01.26 (SPT TRUSOVO) 10000 mt</t>
  </si>
  <si>
    <t>580$</t>
  </si>
  <si>
    <r>
      <rPr>
        <sz val="11"/>
        <rFont val="Times New Roman"/>
        <family val="1"/>
        <charset val="204"/>
      </rPr>
      <t>08610539
П.к №  144</t>
    </r>
  </si>
  <si>
    <r>
      <rPr>
        <sz val="11"/>
        <rFont val="Times New Roman"/>
        <family val="1"/>
        <charset val="204"/>
      </rPr>
      <t>08610540
П.к №  144</t>
    </r>
  </si>
  <si>
    <r>
      <rPr>
        <sz val="11"/>
        <rFont val="Times New Roman"/>
        <family val="1"/>
        <charset val="204"/>
      </rPr>
      <t>08610549
П.к №  147</t>
    </r>
  </si>
  <si>
    <r>
      <rPr>
        <sz val="11"/>
        <rFont val="Times New Roman"/>
        <family val="1"/>
        <charset val="204"/>
      </rPr>
      <t>08610550
П.к №  147</t>
    </r>
  </si>
  <si>
    <r>
      <rPr>
        <sz val="11"/>
        <rFont val="Times New Roman"/>
        <family val="1"/>
        <charset val="204"/>
      </rPr>
      <t>08610543
П.к №  135</t>
    </r>
  </si>
  <si>
    <r>
      <rPr>
        <sz val="11"/>
        <rFont val="Times New Roman"/>
        <family val="1"/>
        <charset val="204"/>
      </rPr>
      <t>08610544
П.к №  135</t>
    </r>
  </si>
  <si>
    <t>08610640</t>
  </si>
  <si>
    <t>08611414</t>
  </si>
  <si>
    <t>17/2/2026</t>
  </si>
  <si>
    <t>از 4 میلیون دالر حبیبی</t>
  </si>
  <si>
    <t>18/3/2026</t>
  </si>
  <si>
    <t>Piad recipt no 398 - by Noorzad Dubai</t>
  </si>
  <si>
    <t>Recived 163 wagons # Gasoline</t>
  </si>
  <si>
    <t>Piad recipt no 1231 - by Habibi 303400000</t>
  </si>
  <si>
    <t>620'585.34USD TRANSFERRED AS PER RATE 76,0251 IN RUBLES</t>
  </si>
  <si>
    <t>960'921.03USD TRANSFERRED AS PER RATE 76,0251 IN RUBLES</t>
  </si>
  <si>
    <t>Recived to 10000 MT  Gasoline 580</t>
  </si>
  <si>
    <t>شروع</t>
  </si>
  <si>
    <t>Paid recipt no 6  by Moneb Omar Habibi</t>
  </si>
  <si>
    <t>Paid recipt no 74 - by  Moneb Omar Habibi</t>
  </si>
  <si>
    <t>Paid recipt no 76 - by Moneb Omar Habibi</t>
  </si>
  <si>
    <t>Paid recipt no 78 - by Moneb Omar Habibi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</si>
</sst>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_(&quot;$&quot;* #,##0.000_);_(&quot;$&quot;* \(#,##0.000\);_(&quot;$&quot;* &quot;-&quot;??_);_(@_)"/>
    <numFmt numFmtId="168" formatCode="_-* #,##0\ [$₽-419]_-;\-* #,##0\ [$₽-419]_-;_-* &quot;-&quot;??\ [$₽-419]_-;_-@_-"/>
    <numFmt numFmtId="169" formatCode="0.0000"/>
    <numFmt numFmtId="170" formatCode="dd\.mm\.yy;@"/>
    <numFmt numFmtId="171" formatCode="[$$-C09]#,##0.00"/>
    <numFmt numFmtId="172" formatCode="#,##0.000"/>
    <numFmt numFmtId="173" formatCode="#,##0.00;[Red]#,##0.00"/>
    <numFmt numFmtId="174" formatCode="[$$-C09]#,##0.000"/>
    <numFmt numFmtId="175" formatCode="0.00000"/>
    <numFmt numFmtId="177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993366"/>
      <name val="Arial"/>
      <family val="2"/>
    </font>
    <font>
      <sz val="10"/>
      <color rgb="FF993366"/>
      <name val="Arial"/>
      <family val="2"/>
    </font>
    <font>
      <b/>
      <sz val="9"/>
      <name val="Arial"/>
      <family val="2"/>
    </font>
    <font>
      <b/>
      <sz val="10"/>
      <color rgb="FFFF00FF"/>
      <name val="Arial"/>
      <family val="2"/>
    </font>
    <font>
      <b/>
      <sz val="10"/>
      <color rgb="FF7030A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963634"/>
      <name val="Arial"/>
      <family val="2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5" tint="-0.249977111117893"/>
      <name val="Arial"/>
      <family val="2"/>
    </font>
    <font>
      <sz val="8"/>
      <name val="Arial"/>
      <family val="2"/>
    </font>
    <font>
      <sz val="11"/>
      <color rgb="FF000000"/>
      <name val="Times New Roman"/>
      <family val="1"/>
      <charset val="204"/>
    </font>
    <font>
      <b/>
      <sz val="11"/>
      <color rgb="FF00B050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Calibri"/>
      <family val="2"/>
    </font>
    <font>
      <b/>
      <i/>
      <sz val="22"/>
      <color rgb="FFFF0000"/>
      <name val="Arial"/>
      <family val="2"/>
    </font>
    <font>
      <b/>
      <sz val="11"/>
      <color rgb="FFFF0000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8FFA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EC8F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medium">
        <color indexed="64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3C3C3C"/>
      </left>
      <right style="thin">
        <color rgb="FF3C3C3C"/>
      </right>
      <top style="medium">
        <color indexed="64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333333"/>
      </left>
      <right style="thin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43" fontId="1" fillId="0" borderId="0" applyFont="0" applyFill="0" applyBorder="0" applyAlignment="0" applyProtection="0"/>
  </cellStyleXfs>
  <cellXfs count="671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166" fontId="10" fillId="2" borderId="8" xfId="1" applyNumberFormat="1" applyFont="1" applyFill="1" applyBorder="1" applyAlignment="1">
      <alignment horizontal="center" vertical="center"/>
    </xf>
    <xf numFmtId="166" fontId="9" fillId="2" borderId="11" xfId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64" fontId="8" fillId="2" borderId="5" xfId="0" applyNumberFormat="1" applyFont="1" applyFill="1" applyBorder="1" applyAlignment="1">
      <alignment horizontal="center" vertical="center"/>
    </xf>
    <xf numFmtId="166" fontId="5" fillId="2" borderId="5" xfId="1" applyNumberFormat="1" applyFont="1" applyFill="1" applyBorder="1" applyAlignment="1">
      <alignment horizontal="center" vertical="center"/>
    </xf>
    <xf numFmtId="166" fontId="3" fillId="2" borderId="5" xfId="1" applyNumberFormat="1" applyFont="1" applyFill="1" applyBorder="1" applyAlignment="1">
      <alignment horizontal="center" vertical="center"/>
    </xf>
    <xf numFmtId="166" fontId="10" fillId="2" borderId="5" xfId="1" applyNumberFormat="1" applyFont="1" applyFill="1" applyBorder="1" applyAlignment="1">
      <alignment horizontal="center" vertical="center"/>
    </xf>
    <xf numFmtId="166" fontId="11" fillId="2" borderId="5" xfId="1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4" fontId="6" fillId="2" borderId="0" xfId="0" applyNumberFormat="1" applyFont="1" applyFill="1" applyBorder="1" applyAlignment="1">
      <alignment horizontal="center"/>
    </xf>
    <xf numFmtId="3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 vertical="top"/>
    </xf>
    <xf numFmtId="165" fontId="2" fillId="2" borderId="0" xfId="0" applyNumberFormat="1" applyFont="1" applyFill="1" applyBorder="1" applyAlignment="1">
      <alignment horizontal="center" vertical="center"/>
    </xf>
    <xf numFmtId="166" fontId="11" fillId="4" borderId="7" xfId="1" applyNumberFormat="1" applyFont="1" applyFill="1" applyBorder="1" applyAlignment="1">
      <alignment horizontal="center" vertical="center"/>
    </xf>
    <xf numFmtId="44" fontId="5" fillId="4" borderId="8" xfId="1" applyNumberFormat="1" applyFont="1" applyFill="1" applyBorder="1" applyAlignment="1">
      <alignment horizontal="center" vertical="center"/>
    </xf>
    <xf numFmtId="44" fontId="5" fillId="4" borderId="16" xfId="1" applyNumberFormat="1" applyFont="1" applyFill="1" applyBorder="1" applyAlignment="1">
      <alignment horizontal="center" vertical="center"/>
    </xf>
    <xf numFmtId="168" fontId="14" fillId="2" borderId="8" xfId="0" applyNumberFormat="1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4" fontId="7" fillId="4" borderId="8" xfId="0" applyNumberFormat="1" applyFont="1" applyFill="1" applyBorder="1" applyAlignment="1">
      <alignment horizontal="center" vertical="center"/>
    </xf>
    <xf numFmtId="166" fontId="10" fillId="4" borderId="8" xfId="1" applyNumberFormat="1" applyFont="1" applyFill="1" applyBorder="1" applyAlignment="1">
      <alignment horizontal="center" vertical="center"/>
    </xf>
    <xf numFmtId="168" fontId="13" fillId="4" borderId="8" xfId="0" applyNumberFormat="1" applyFont="1" applyFill="1" applyBorder="1" applyAlignment="1">
      <alignment horizontal="left" vertical="center"/>
    </xf>
    <xf numFmtId="166" fontId="5" fillId="4" borderId="8" xfId="1" applyNumberFormat="1" applyFont="1" applyFill="1" applyBorder="1" applyAlignment="1">
      <alignment horizontal="center" vertical="center"/>
    </xf>
    <xf numFmtId="168" fontId="14" fillId="4" borderId="8" xfId="0" applyNumberFormat="1" applyFont="1" applyFill="1" applyBorder="1" applyAlignment="1">
      <alignment horizontal="left" vertical="center"/>
    </xf>
    <xf numFmtId="169" fontId="15" fillId="4" borderId="8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164" fontId="8" fillId="4" borderId="5" xfId="0" applyNumberFormat="1" applyFont="1" applyFill="1" applyBorder="1" applyAlignment="1">
      <alignment horizontal="center" vertical="center"/>
    </xf>
    <xf numFmtId="166" fontId="5" fillId="4" borderId="5" xfId="1" applyNumberFormat="1" applyFont="1" applyFill="1" applyBorder="1" applyAlignment="1">
      <alignment horizontal="center" vertical="center"/>
    </xf>
    <xf numFmtId="166" fontId="3" fillId="4" borderId="5" xfId="1" applyNumberFormat="1" applyFont="1" applyFill="1" applyBorder="1" applyAlignment="1">
      <alignment horizontal="center" vertical="center"/>
    </xf>
    <xf numFmtId="166" fontId="10" fillId="4" borderId="5" xfId="1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166" fontId="11" fillId="4" borderId="8" xfId="1" applyNumberFormat="1" applyFont="1" applyFill="1" applyBorder="1" applyAlignment="1">
      <alignment horizontal="center" vertical="center"/>
    </xf>
    <xf numFmtId="14" fontId="7" fillId="4" borderId="16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166" fontId="9" fillId="2" borderId="0" xfId="1" applyNumberFormat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0" fontId="13" fillId="4" borderId="7" xfId="0" applyNumberFormat="1" applyFont="1" applyFill="1" applyBorder="1" applyAlignment="1">
      <alignment horizontal="left" vertical="center"/>
    </xf>
    <xf numFmtId="169" fontId="15" fillId="4" borderId="7" xfId="0" applyNumberFormat="1" applyFont="1" applyFill="1" applyBorder="1" applyAlignment="1">
      <alignment horizontal="center" vertical="center"/>
    </xf>
    <xf numFmtId="166" fontId="10" fillId="4" borderId="7" xfId="1" applyNumberFormat="1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6" fontId="9" fillId="2" borderId="20" xfId="1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3" fontId="4" fillId="5" borderId="14" xfId="0" applyNumberFormat="1" applyFont="1" applyFill="1" applyBorder="1" applyAlignment="1">
      <alignment horizontal="center" vertical="center"/>
    </xf>
    <xf numFmtId="1" fontId="4" fillId="5" borderId="15" xfId="0" applyNumberFormat="1" applyFont="1" applyFill="1" applyBorder="1" applyAlignment="1">
      <alignment horizontal="center" vertical="center"/>
    </xf>
    <xf numFmtId="164" fontId="12" fillId="2" borderId="8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44" fontId="5" fillId="2" borderId="8" xfId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2" fillId="6" borderId="0" xfId="0" applyFont="1" applyFill="1" applyBorder="1"/>
    <xf numFmtId="0" fontId="7" fillId="2" borderId="8" xfId="0" applyFont="1" applyFill="1" applyBorder="1" applyAlignment="1">
      <alignment horizontal="center" vertical="center"/>
    </xf>
    <xf numFmtId="169" fontId="12" fillId="2" borderId="8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 vertical="center" wrapText="1"/>
    </xf>
    <xf numFmtId="170" fontId="13" fillId="0" borderId="14" xfId="0" applyNumberFormat="1" applyFont="1" applyFill="1" applyBorder="1" applyAlignment="1">
      <alignment horizontal="center" vertical="center" wrapText="1"/>
    </xf>
    <xf numFmtId="49" fontId="20" fillId="0" borderId="14" xfId="0" applyNumberFormat="1" applyFont="1" applyFill="1" applyBorder="1" applyAlignment="1">
      <alignment horizontal="center" vertical="center" wrapText="1"/>
    </xf>
    <xf numFmtId="2" fontId="20" fillId="0" borderId="14" xfId="0" applyNumberFormat="1" applyFont="1" applyFill="1" applyBorder="1" applyAlignment="1">
      <alignment horizontal="center" vertical="center" wrapText="1"/>
    </xf>
    <xf numFmtId="164" fontId="20" fillId="0" borderId="14" xfId="0" applyNumberFormat="1" applyFont="1" applyFill="1" applyBorder="1" applyAlignment="1">
      <alignment horizontal="center" vertical="center" wrapText="1"/>
    </xf>
    <xf numFmtId="170" fontId="21" fillId="0" borderId="27" xfId="0" applyNumberFormat="1" applyFont="1" applyFill="1" applyBorder="1" applyAlignment="1">
      <alignment horizontal="center" vertical="center" wrapText="1"/>
    </xf>
    <xf numFmtId="170" fontId="22" fillId="0" borderId="27" xfId="0" applyNumberFormat="1" applyFont="1" applyFill="1" applyBorder="1" applyAlignment="1">
      <alignment horizontal="center" vertical="center" wrapText="1"/>
    </xf>
    <xf numFmtId="170" fontId="20" fillId="0" borderId="14" xfId="0" applyNumberFormat="1" applyFont="1" applyFill="1" applyBorder="1" applyAlignment="1">
      <alignment horizontal="center" vertical="center" wrapText="1"/>
    </xf>
    <xf numFmtId="170" fontId="20" fillId="0" borderId="15" xfId="0" applyNumberFormat="1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top"/>
    </xf>
    <xf numFmtId="14" fontId="17" fillId="0" borderId="29" xfId="0" applyNumberFormat="1" applyFont="1" applyFill="1" applyBorder="1" applyAlignment="1">
      <alignment horizontal="center" vertical="top" shrinkToFit="1"/>
    </xf>
    <xf numFmtId="0" fontId="17" fillId="0" borderId="30" xfId="0" applyFont="1" applyFill="1" applyBorder="1" applyAlignment="1">
      <alignment horizontal="center" vertical="center" wrapText="1"/>
    </xf>
    <xf numFmtId="2" fontId="17" fillId="0" borderId="31" xfId="0" applyNumberFormat="1" applyFont="1" applyFill="1" applyBorder="1" applyAlignment="1">
      <alignment horizontal="center" vertical="center" wrapText="1"/>
    </xf>
    <xf numFmtId="164" fontId="17" fillId="0" borderId="31" xfId="0" applyNumberFormat="1" applyFont="1" applyFill="1" applyBorder="1" applyAlignment="1">
      <alignment horizontal="center" vertical="center" wrapText="1"/>
    </xf>
    <xf numFmtId="171" fontId="24" fillId="0" borderId="29" xfId="0" applyNumberFormat="1" applyFont="1" applyFill="1" applyBorder="1" applyAlignment="1">
      <alignment horizontal="center" vertical="top"/>
    </xf>
    <xf numFmtId="171" fontId="25" fillId="2" borderId="29" xfId="0" applyNumberFormat="1" applyFont="1" applyFill="1" applyBorder="1" applyAlignment="1">
      <alignment horizontal="center" vertical="top" wrapText="1"/>
    </xf>
    <xf numFmtId="0" fontId="25" fillId="2" borderId="32" xfId="0" applyFont="1" applyFill="1" applyBorder="1" applyAlignment="1">
      <alignment horizontal="center" vertical="top" wrapText="1"/>
    </xf>
    <xf numFmtId="0" fontId="17" fillId="0" borderId="28" xfId="0" applyFont="1" applyFill="1" applyBorder="1" applyAlignment="1">
      <alignment horizontal="center" vertical="top" wrapText="1"/>
    </xf>
    <xf numFmtId="14" fontId="17" fillId="0" borderId="29" xfId="0" applyNumberFormat="1" applyFont="1" applyFill="1" applyBorder="1" applyAlignment="1">
      <alignment horizontal="center" vertical="top"/>
    </xf>
    <xf numFmtId="172" fontId="17" fillId="0" borderId="29" xfId="0" applyNumberFormat="1" applyFont="1" applyFill="1" applyBorder="1" applyAlignment="1">
      <alignment horizontal="center" vertical="top" wrapText="1"/>
    </xf>
    <xf numFmtId="172" fontId="17" fillId="0" borderId="29" xfId="0" applyNumberFormat="1" applyFont="1" applyFill="1" applyBorder="1" applyAlignment="1">
      <alignment horizontal="center" vertical="center"/>
    </xf>
    <xf numFmtId="0" fontId="17" fillId="0" borderId="32" xfId="0" applyFont="1" applyFill="1" applyBorder="1" applyAlignment="1">
      <alignment horizontal="center" vertical="top" wrapText="1"/>
    </xf>
    <xf numFmtId="0" fontId="17" fillId="0" borderId="10" xfId="0" applyFont="1" applyFill="1" applyBorder="1" applyAlignment="1">
      <alignment horizontal="center"/>
    </xf>
    <xf numFmtId="14" fontId="17" fillId="0" borderId="8" xfId="0" applyNumberFormat="1" applyFont="1" applyFill="1" applyBorder="1" applyAlignment="1">
      <alignment horizontal="center" vertical="top" shrinkToFit="1"/>
    </xf>
    <xf numFmtId="2" fontId="17" fillId="0" borderId="8" xfId="0" applyNumberFormat="1" applyFont="1" applyFill="1" applyBorder="1" applyAlignment="1">
      <alignment horizontal="center" vertical="center" wrapText="1"/>
    </xf>
    <xf numFmtId="164" fontId="17" fillId="0" borderId="33" xfId="0" applyNumberFormat="1" applyFont="1" applyFill="1" applyBorder="1" applyAlignment="1">
      <alignment horizontal="center" vertical="center" wrapText="1"/>
    </xf>
    <xf numFmtId="171" fontId="24" fillId="0" borderId="8" xfId="0" applyNumberFormat="1" applyFont="1" applyFill="1" applyBorder="1" applyAlignment="1">
      <alignment horizontal="center" vertical="top"/>
    </xf>
    <xf numFmtId="171" fontId="25" fillId="2" borderId="8" xfId="0" applyNumberFormat="1" applyFont="1" applyFill="1" applyBorder="1" applyAlignment="1">
      <alignment horizontal="center" vertical="top" wrapText="1"/>
    </xf>
    <xf numFmtId="0" fontId="25" fillId="2" borderId="11" xfId="0" applyFont="1" applyFill="1" applyBorder="1" applyAlignment="1">
      <alignment horizontal="center" vertical="top" wrapText="1"/>
    </xf>
    <xf numFmtId="0" fontId="17" fillId="0" borderId="8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14" fontId="17" fillId="0" borderId="16" xfId="0" applyNumberFormat="1" applyFont="1" applyFill="1" applyBorder="1" applyAlignment="1">
      <alignment horizontal="center" vertical="top" shrinkToFit="1"/>
    </xf>
    <xf numFmtId="0" fontId="17" fillId="0" borderId="35" xfId="0" applyFont="1" applyFill="1" applyBorder="1" applyAlignment="1">
      <alignment horizontal="center" vertical="center" wrapText="1"/>
    </xf>
    <xf numFmtId="2" fontId="17" fillId="0" borderId="16" xfId="0" applyNumberFormat="1" applyFont="1" applyFill="1" applyBorder="1" applyAlignment="1">
      <alignment horizontal="center" vertical="center" wrapText="1"/>
    </xf>
    <xf numFmtId="164" fontId="17" fillId="0" borderId="36" xfId="0" applyNumberFormat="1" applyFont="1" applyFill="1" applyBorder="1" applyAlignment="1">
      <alignment horizontal="center" vertical="center" wrapText="1"/>
    </xf>
    <xf numFmtId="171" fontId="24" fillId="0" borderId="16" xfId="0" applyNumberFormat="1" applyFont="1" applyFill="1" applyBorder="1" applyAlignment="1">
      <alignment horizontal="center" vertical="top"/>
    </xf>
    <xf numFmtId="171" fontId="25" fillId="2" borderId="16" xfId="0" applyNumberFormat="1" applyFont="1" applyFill="1" applyBorder="1" applyAlignment="1">
      <alignment horizontal="center" vertical="top" wrapText="1"/>
    </xf>
    <xf numFmtId="0" fontId="25" fillId="2" borderId="37" xfId="0" applyFont="1" applyFill="1" applyBorder="1" applyAlignment="1">
      <alignment horizontal="center" vertical="top" wrapText="1"/>
    </xf>
    <xf numFmtId="0" fontId="17" fillId="0" borderId="12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7" borderId="14" xfId="0" applyFont="1" applyFill="1" applyBorder="1" applyAlignment="1">
      <alignment horizontal="center"/>
    </xf>
    <xf numFmtId="2" fontId="17" fillId="7" borderId="14" xfId="0" applyNumberFormat="1" applyFont="1" applyFill="1" applyBorder="1" applyAlignment="1">
      <alignment horizontal="center"/>
    </xf>
    <xf numFmtId="164" fontId="26" fillId="7" borderId="14" xfId="0" applyNumberFormat="1" applyFont="1" applyFill="1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171" fontId="26" fillId="7" borderId="14" xfId="0" applyNumberFormat="1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17" fillId="7" borderId="21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14" fontId="17" fillId="0" borderId="7" xfId="0" applyNumberFormat="1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 vertical="center" wrapText="1"/>
    </xf>
    <xf numFmtId="2" fontId="17" fillId="0" borderId="38" xfId="0" applyNumberFormat="1" applyFont="1" applyFill="1" applyBorder="1" applyAlignment="1">
      <alignment horizontal="center" vertical="center" wrapText="1"/>
    </xf>
    <xf numFmtId="164" fontId="17" fillId="0" borderId="38" xfId="0" applyNumberFormat="1" applyFont="1" applyFill="1" applyBorder="1" applyAlignment="1">
      <alignment horizontal="center" vertical="center" wrapText="1"/>
    </xf>
    <xf numFmtId="171" fontId="24" fillId="0" borderId="7" xfId="0" applyNumberFormat="1" applyFont="1" applyFill="1" applyBorder="1" applyAlignment="1">
      <alignment horizontal="center" vertical="top"/>
    </xf>
    <xf numFmtId="171" fontId="25" fillId="2" borderId="7" xfId="0" applyNumberFormat="1" applyFont="1" applyFill="1" applyBorder="1" applyAlignment="1">
      <alignment horizontal="center" vertical="top" wrapText="1"/>
    </xf>
    <xf numFmtId="0" fontId="25" fillId="2" borderId="20" xfId="0" applyFont="1" applyFill="1" applyBorder="1" applyAlignment="1">
      <alignment horizontal="center" vertical="top" wrapText="1"/>
    </xf>
    <xf numFmtId="0" fontId="17" fillId="0" borderId="2" xfId="0" applyFont="1" applyFill="1" applyBorder="1" applyAlignment="1">
      <alignment horizontal="center"/>
    </xf>
    <xf numFmtId="14" fontId="17" fillId="0" borderId="3" xfId="0" applyNumberFormat="1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164" fontId="17" fillId="0" borderId="8" xfId="0" applyNumberFormat="1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14" fontId="17" fillId="0" borderId="8" xfId="0" applyNumberFormat="1" applyFont="1" applyFill="1" applyBorder="1" applyAlignment="1">
      <alignment horizontal="center"/>
    </xf>
    <xf numFmtId="2" fontId="17" fillId="0" borderId="30" xfId="0" applyNumberFormat="1" applyFont="1" applyFill="1" applyBorder="1" applyAlignment="1">
      <alignment horizontal="center" vertical="center" wrapText="1"/>
    </xf>
    <xf numFmtId="164" fontId="17" fillId="0" borderId="30" xfId="0" applyNumberFormat="1" applyFont="1" applyFill="1" applyBorder="1" applyAlignment="1">
      <alignment horizontal="center" vertical="center" wrapText="1"/>
    </xf>
    <xf numFmtId="2" fontId="17" fillId="0" borderId="35" xfId="0" applyNumberFormat="1" applyFont="1" applyFill="1" applyBorder="1" applyAlignment="1">
      <alignment horizontal="center" vertical="center" wrapText="1"/>
    </xf>
    <xf numFmtId="164" fontId="17" fillId="0" borderId="35" xfId="0" applyNumberFormat="1" applyFont="1" applyFill="1" applyBorder="1" applyAlignment="1">
      <alignment horizontal="center" vertical="center" wrapText="1"/>
    </xf>
    <xf numFmtId="14" fontId="17" fillId="0" borderId="5" xfId="0" applyNumberFormat="1" applyFont="1" applyFill="1" applyBorder="1" applyAlignment="1">
      <alignment horizontal="center"/>
    </xf>
    <xf numFmtId="0" fontId="17" fillId="0" borderId="39" xfId="0" applyFont="1" applyFill="1" applyBorder="1" applyAlignment="1">
      <alignment horizontal="center" vertical="center" wrapText="1"/>
    </xf>
    <xf numFmtId="2" fontId="17" fillId="0" borderId="39" xfId="0" applyNumberFormat="1" applyFont="1" applyFill="1" applyBorder="1" applyAlignment="1">
      <alignment horizontal="center" vertical="center" wrapText="1"/>
    </xf>
    <xf numFmtId="164" fontId="17" fillId="0" borderId="39" xfId="0" applyNumberFormat="1" applyFont="1" applyFill="1" applyBorder="1" applyAlignment="1">
      <alignment horizontal="center" vertical="center" wrapText="1"/>
    </xf>
    <xf numFmtId="171" fontId="24" fillId="0" borderId="3" xfId="0" applyNumberFormat="1" applyFont="1" applyFill="1" applyBorder="1" applyAlignment="1">
      <alignment horizontal="center" vertical="top"/>
    </xf>
    <xf numFmtId="171" fontId="25" fillId="2" borderId="3" xfId="0" applyNumberFormat="1" applyFont="1" applyFill="1" applyBorder="1" applyAlignment="1">
      <alignment horizontal="center" vertical="top" wrapText="1"/>
    </xf>
    <xf numFmtId="0" fontId="25" fillId="2" borderId="4" xfId="0" applyFont="1" applyFill="1" applyBorder="1" applyAlignment="1">
      <alignment horizontal="center" vertical="top" wrapText="1"/>
    </xf>
    <xf numFmtId="164" fontId="17" fillId="0" borderId="3" xfId="0" applyNumberFormat="1" applyFont="1" applyFill="1" applyBorder="1" applyAlignment="1">
      <alignment horizontal="center"/>
    </xf>
    <xf numFmtId="0" fontId="27" fillId="0" borderId="0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164" fontId="17" fillId="0" borderId="16" xfId="0" applyNumberFormat="1" applyFont="1" applyFill="1" applyBorder="1" applyAlignment="1">
      <alignment horizontal="center"/>
    </xf>
    <xf numFmtId="14" fontId="17" fillId="0" borderId="40" xfId="0" applyNumberFormat="1" applyFont="1" applyFill="1" applyBorder="1" applyAlignment="1">
      <alignment horizontal="center"/>
    </xf>
    <xf numFmtId="0" fontId="17" fillId="0" borderId="41" xfId="0" applyFont="1" applyFill="1" applyBorder="1" applyAlignment="1">
      <alignment horizontal="center" vertical="center" wrapText="1"/>
    </xf>
    <xf numFmtId="2" fontId="17" fillId="0" borderId="41" xfId="0" applyNumberFormat="1" applyFont="1" applyFill="1" applyBorder="1" applyAlignment="1">
      <alignment horizontal="center" vertical="center" wrapText="1"/>
    </xf>
    <xf numFmtId="164" fontId="17" fillId="0" borderId="41" xfId="0" applyNumberFormat="1" applyFont="1" applyFill="1" applyBorder="1" applyAlignment="1">
      <alignment horizontal="center" vertical="center" wrapText="1"/>
    </xf>
    <xf numFmtId="171" fontId="24" fillId="0" borderId="5" xfId="0" applyNumberFormat="1" applyFont="1" applyFill="1" applyBorder="1" applyAlignment="1">
      <alignment horizontal="center" vertical="top"/>
    </xf>
    <xf numFmtId="171" fontId="25" fillId="2" borderId="5" xfId="0" applyNumberFormat="1" applyFont="1" applyFill="1" applyBorder="1" applyAlignment="1">
      <alignment horizontal="center" vertical="top" wrapText="1"/>
    </xf>
    <xf numFmtId="0" fontId="25" fillId="2" borderId="6" xfId="0" applyFont="1" applyFill="1" applyBorder="1" applyAlignment="1">
      <alignment horizontal="center" vertical="top" wrapText="1"/>
    </xf>
    <xf numFmtId="0" fontId="17" fillId="0" borderId="42" xfId="0" applyFont="1" applyFill="1" applyBorder="1" applyAlignment="1">
      <alignment horizontal="center"/>
    </xf>
    <xf numFmtId="0" fontId="17" fillId="0" borderId="40" xfId="0" applyFont="1" applyFill="1" applyBorder="1" applyAlignment="1">
      <alignment horizontal="center"/>
    </xf>
    <xf numFmtId="0" fontId="17" fillId="0" borderId="43" xfId="0" applyFont="1" applyFill="1" applyBorder="1" applyAlignment="1">
      <alignment horizontal="center"/>
    </xf>
    <xf numFmtId="14" fontId="17" fillId="7" borderId="14" xfId="0" applyNumberFormat="1" applyFont="1" applyFill="1" applyBorder="1" applyAlignment="1">
      <alignment horizontal="center"/>
    </xf>
    <xf numFmtId="0" fontId="17" fillId="7" borderId="14" xfId="0" applyFont="1" applyFill="1" applyBorder="1" applyAlignment="1">
      <alignment horizontal="center" vertical="center" wrapText="1"/>
    </xf>
    <xf numFmtId="2" fontId="17" fillId="7" borderId="14" xfId="0" applyNumberFormat="1" applyFont="1" applyFill="1" applyBorder="1" applyAlignment="1">
      <alignment horizontal="center" vertical="center" wrapText="1"/>
    </xf>
    <xf numFmtId="164" fontId="26" fillId="7" borderId="14" xfId="0" applyNumberFormat="1" applyFont="1" applyFill="1" applyBorder="1" applyAlignment="1">
      <alignment horizontal="center" vertical="center" wrapText="1"/>
    </xf>
    <xf numFmtId="171" fontId="13" fillId="7" borderId="14" xfId="0" applyNumberFormat="1" applyFont="1" applyFill="1" applyBorder="1" applyAlignment="1">
      <alignment horizontal="center" vertical="top"/>
    </xf>
    <xf numFmtId="171" fontId="25" fillId="7" borderId="14" xfId="0" applyNumberFormat="1" applyFont="1" applyFill="1" applyBorder="1" applyAlignment="1">
      <alignment horizontal="center" vertical="top" wrapText="1"/>
    </xf>
    <xf numFmtId="0" fontId="25" fillId="7" borderId="27" xfId="0" applyFont="1" applyFill="1" applyBorder="1" applyAlignment="1">
      <alignment horizontal="center" vertical="top" wrapText="1"/>
    </xf>
    <xf numFmtId="14" fontId="17" fillId="0" borderId="24" xfId="0" applyNumberFormat="1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 vertical="center" wrapText="1"/>
    </xf>
    <xf numFmtId="164" fontId="17" fillId="0" borderId="8" xfId="0" applyNumberFormat="1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2" fontId="17" fillId="0" borderId="5" xfId="0" applyNumberFormat="1" applyFont="1" applyFill="1" applyBorder="1" applyAlignment="1">
      <alignment horizontal="center" vertical="center" wrapText="1"/>
    </xf>
    <xf numFmtId="164" fontId="17" fillId="0" borderId="5" xfId="0" applyNumberFormat="1" applyFont="1" applyFill="1" applyBorder="1" applyAlignment="1">
      <alignment horizontal="center" vertical="center" wrapText="1"/>
    </xf>
    <xf numFmtId="172" fontId="26" fillId="7" borderId="14" xfId="0" applyNumberFormat="1" applyFont="1" applyFill="1" applyBorder="1" applyAlignment="1">
      <alignment horizontal="center"/>
    </xf>
    <xf numFmtId="172" fontId="17" fillId="0" borderId="0" xfId="0" applyNumberFormat="1" applyFont="1" applyFill="1" applyBorder="1" applyAlignment="1">
      <alignment horizontal="center"/>
    </xf>
    <xf numFmtId="171" fontId="24" fillId="0" borderId="24" xfId="0" applyNumberFormat="1" applyFont="1" applyFill="1" applyBorder="1" applyAlignment="1">
      <alignment horizontal="center" vertical="top"/>
    </xf>
    <xf numFmtId="171" fontId="25" fillId="2" borderId="24" xfId="0" applyNumberFormat="1" applyFont="1" applyFill="1" applyBorder="1" applyAlignment="1">
      <alignment horizontal="center" vertical="top" wrapText="1"/>
    </xf>
    <xf numFmtId="0" fontId="25" fillId="2" borderId="44" xfId="0" applyFont="1" applyFill="1" applyBorder="1" applyAlignment="1">
      <alignment horizontal="center" vertical="top" wrapText="1"/>
    </xf>
    <xf numFmtId="0" fontId="17" fillId="0" borderId="19" xfId="0" applyFont="1" applyFill="1" applyBorder="1" applyAlignment="1">
      <alignment horizontal="center"/>
    </xf>
    <xf numFmtId="0" fontId="17" fillId="0" borderId="20" xfId="0" applyFont="1" applyFill="1" applyBorder="1" applyAlignment="1">
      <alignment horizontal="center"/>
    </xf>
    <xf numFmtId="14" fontId="17" fillId="0" borderId="16" xfId="0" applyNumberFormat="1" applyFont="1" applyFill="1" applyBorder="1" applyAlignment="1">
      <alignment horizontal="center"/>
    </xf>
    <xf numFmtId="0" fontId="17" fillId="7" borderId="28" xfId="0" applyFont="1" applyFill="1" applyBorder="1" applyAlignment="1">
      <alignment horizontal="center"/>
    </xf>
    <xf numFmtId="0" fontId="17" fillId="7" borderId="29" xfId="0" applyFont="1" applyFill="1" applyBorder="1" applyAlignment="1">
      <alignment horizontal="center"/>
    </xf>
    <xf numFmtId="2" fontId="17" fillId="7" borderId="29" xfId="0" applyNumberFormat="1" applyFont="1" applyFill="1" applyBorder="1" applyAlignment="1">
      <alignment horizontal="center"/>
    </xf>
    <xf numFmtId="172" fontId="26" fillId="7" borderId="29" xfId="0" applyNumberFormat="1" applyFont="1" applyFill="1" applyBorder="1" applyAlignment="1">
      <alignment horizontal="center"/>
    </xf>
    <xf numFmtId="0" fontId="26" fillId="7" borderId="29" xfId="0" applyFont="1" applyFill="1" applyBorder="1" applyAlignment="1">
      <alignment horizontal="center"/>
    </xf>
    <xf numFmtId="171" fontId="26" fillId="7" borderId="29" xfId="0" applyNumberFormat="1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7" borderId="45" xfId="0" applyFont="1" applyFill="1" applyBorder="1" applyAlignment="1">
      <alignment horizontal="center"/>
    </xf>
    <xf numFmtId="172" fontId="26" fillId="8" borderId="1" xfId="0" applyNumberFormat="1" applyFont="1" applyFill="1" applyBorder="1" applyAlignment="1">
      <alignment horizontal="center"/>
    </xf>
    <xf numFmtId="0" fontId="26" fillId="8" borderId="29" xfId="0" applyFont="1" applyFill="1" applyBorder="1" applyAlignment="1">
      <alignment horizontal="center"/>
    </xf>
    <xf numFmtId="171" fontId="26" fillId="8" borderId="29" xfId="0" applyNumberFormat="1" applyFont="1" applyFill="1" applyBorder="1" applyAlignment="1">
      <alignment horizontal="center"/>
    </xf>
    <xf numFmtId="0" fontId="17" fillId="8" borderId="29" xfId="0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7" fillId="8" borderId="14" xfId="0" applyFont="1" applyFill="1" applyBorder="1" applyAlignment="1">
      <alignment horizontal="center"/>
    </xf>
    <xf numFmtId="172" fontId="26" fillId="8" borderId="14" xfId="0" applyNumberFormat="1" applyFont="1" applyFill="1" applyBorder="1" applyAlignment="1">
      <alignment horizontal="center"/>
    </xf>
    <xf numFmtId="0" fontId="26" fillId="8" borderId="14" xfId="0" applyFont="1" applyFill="1" applyBorder="1" applyAlignment="1">
      <alignment horizontal="center"/>
    </xf>
    <xf numFmtId="0" fontId="17" fillId="8" borderId="15" xfId="0" applyFont="1" applyFill="1" applyBorder="1" applyAlignment="1">
      <alignment horizontal="center"/>
    </xf>
    <xf numFmtId="164" fontId="17" fillId="0" borderId="5" xfId="0" applyNumberFormat="1" applyFont="1" applyFill="1" applyBorder="1" applyAlignment="1">
      <alignment horizontal="center"/>
    </xf>
    <xf numFmtId="0" fontId="17" fillId="7" borderId="42" xfId="0" applyFont="1" applyFill="1" applyBorder="1" applyAlignment="1">
      <alignment horizontal="center"/>
    </xf>
    <xf numFmtId="0" fontId="17" fillId="7" borderId="40" xfId="0" applyFont="1" applyFill="1" applyBorder="1" applyAlignment="1">
      <alignment horizontal="center"/>
    </xf>
    <xf numFmtId="2" fontId="17" fillId="7" borderId="40" xfId="0" applyNumberFormat="1" applyFont="1" applyFill="1" applyBorder="1" applyAlignment="1">
      <alignment horizontal="center"/>
    </xf>
    <xf numFmtId="172" fontId="26" fillId="7" borderId="40" xfId="0" applyNumberFormat="1" applyFont="1" applyFill="1" applyBorder="1" applyAlignment="1">
      <alignment horizontal="center"/>
    </xf>
    <xf numFmtId="0" fontId="26" fillId="7" borderId="40" xfId="0" applyFont="1" applyFill="1" applyBorder="1" applyAlignment="1">
      <alignment horizontal="center"/>
    </xf>
    <xf numFmtId="171" fontId="26" fillId="7" borderId="40" xfId="0" applyNumberFormat="1" applyFont="1" applyFill="1" applyBorder="1" applyAlignment="1">
      <alignment horizontal="center"/>
    </xf>
    <xf numFmtId="0" fontId="17" fillId="7" borderId="43" xfId="0" applyFont="1" applyFill="1" applyBorder="1" applyAlignment="1">
      <alignment horizontal="center"/>
    </xf>
    <xf numFmtId="0" fontId="17" fillId="7" borderId="47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center"/>
    </xf>
    <xf numFmtId="14" fontId="17" fillId="0" borderId="29" xfId="0" applyNumberFormat="1" applyFont="1" applyFill="1" applyBorder="1" applyAlignment="1">
      <alignment horizontal="center"/>
    </xf>
    <xf numFmtId="0" fontId="17" fillId="0" borderId="48" xfId="0" applyFont="1" applyFill="1" applyBorder="1" applyAlignment="1">
      <alignment horizontal="center" vertical="center" wrapText="1"/>
    </xf>
    <xf numFmtId="2" fontId="17" fillId="0" borderId="48" xfId="0" applyNumberFormat="1" applyFont="1" applyFill="1" applyBorder="1" applyAlignment="1">
      <alignment horizontal="center" vertical="center" wrapText="1"/>
    </xf>
    <xf numFmtId="164" fontId="17" fillId="0" borderId="48" xfId="0" applyNumberFormat="1" applyFont="1" applyFill="1" applyBorder="1" applyAlignment="1">
      <alignment horizontal="center" vertical="center" wrapText="1"/>
    </xf>
    <xf numFmtId="0" fontId="17" fillId="0" borderId="45" xfId="0" applyFont="1" applyFill="1" applyBorder="1" applyAlignment="1">
      <alignment horizontal="center"/>
    </xf>
    <xf numFmtId="0" fontId="17" fillId="0" borderId="29" xfId="0" applyFont="1" applyFill="1" applyBorder="1" applyAlignment="1">
      <alignment horizontal="center"/>
    </xf>
    <xf numFmtId="0" fontId="17" fillId="0" borderId="32" xfId="0" applyFont="1" applyFill="1" applyBorder="1" applyAlignment="1">
      <alignment horizontal="center"/>
    </xf>
    <xf numFmtId="0" fontId="17" fillId="0" borderId="49" xfId="0" applyFont="1" applyFill="1" applyBorder="1" applyAlignment="1">
      <alignment horizontal="center" vertical="center" wrapText="1"/>
    </xf>
    <xf numFmtId="2" fontId="17" fillId="0" borderId="49" xfId="0" applyNumberFormat="1" applyFont="1" applyFill="1" applyBorder="1" applyAlignment="1">
      <alignment horizontal="center" vertical="center" wrapText="1"/>
    </xf>
    <xf numFmtId="164" fontId="17" fillId="0" borderId="49" xfId="0" applyNumberFormat="1" applyFont="1" applyFill="1" applyBorder="1" applyAlignment="1">
      <alignment horizontal="center" vertical="center" wrapText="1"/>
    </xf>
    <xf numFmtId="0" fontId="17" fillId="0" borderId="50" xfId="0" applyFont="1" applyFill="1" applyBorder="1" applyAlignment="1">
      <alignment horizontal="center" vertical="center" wrapText="1"/>
    </xf>
    <xf numFmtId="2" fontId="17" fillId="0" borderId="50" xfId="0" applyNumberFormat="1" applyFont="1" applyFill="1" applyBorder="1" applyAlignment="1">
      <alignment horizontal="center" vertical="center" wrapText="1"/>
    </xf>
    <xf numFmtId="164" fontId="17" fillId="0" borderId="50" xfId="0" applyNumberFormat="1" applyFont="1" applyFill="1" applyBorder="1" applyAlignment="1">
      <alignment horizontal="center" vertical="center" wrapText="1"/>
    </xf>
    <xf numFmtId="0" fontId="17" fillId="0" borderId="51" xfId="0" applyFont="1" applyFill="1" applyBorder="1" applyAlignment="1">
      <alignment horizontal="center"/>
    </xf>
    <xf numFmtId="0" fontId="17" fillId="0" borderId="24" xfId="0" applyFont="1" applyFill="1" applyBorder="1" applyAlignment="1">
      <alignment horizontal="center"/>
    </xf>
    <xf numFmtId="0" fontId="17" fillId="0" borderId="44" xfId="0" applyFont="1" applyFill="1" applyBorder="1" applyAlignment="1">
      <alignment horizontal="center"/>
    </xf>
    <xf numFmtId="0" fontId="17" fillId="7" borderId="52" xfId="0" applyFont="1" applyFill="1" applyBorder="1" applyAlignment="1">
      <alignment horizontal="center"/>
    </xf>
    <xf numFmtId="0" fontId="17" fillId="7" borderId="24" xfId="0" applyFont="1" applyFill="1" applyBorder="1" applyAlignment="1">
      <alignment horizontal="center"/>
    </xf>
    <xf numFmtId="2" fontId="17" fillId="7" borderId="24" xfId="0" applyNumberFormat="1" applyFont="1" applyFill="1" applyBorder="1" applyAlignment="1">
      <alignment horizontal="center"/>
    </xf>
    <xf numFmtId="172" fontId="26" fillId="7" borderId="24" xfId="0" applyNumberFormat="1" applyFont="1" applyFill="1" applyBorder="1" applyAlignment="1">
      <alignment horizontal="center"/>
    </xf>
    <xf numFmtId="0" fontId="26" fillId="7" borderId="24" xfId="0" applyFont="1" applyFill="1" applyBorder="1" applyAlignment="1">
      <alignment horizontal="center"/>
    </xf>
    <xf numFmtId="171" fontId="26" fillId="7" borderId="24" xfId="0" applyNumberFormat="1" applyFont="1" applyFill="1" applyBorder="1" applyAlignment="1">
      <alignment horizontal="center"/>
    </xf>
    <xf numFmtId="0" fontId="17" fillId="7" borderId="44" xfId="0" applyFont="1" applyFill="1" applyBorder="1" applyAlignment="1">
      <alignment horizontal="center"/>
    </xf>
    <xf numFmtId="164" fontId="26" fillId="7" borderId="24" xfId="0" applyNumberFormat="1" applyFont="1" applyFill="1" applyBorder="1" applyAlignment="1">
      <alignment horizontal="center"/>
    </xf>
    <xf numFmtId="164" fontId="17" fillId="0" borderId="7" xfId="0" applyNumberFormat="1" applyFont="1" applyFill="1" applyBorder="1" applyAlignment="1">
      <alignment horizontal="center"/>
    </xf>
    <xf numFmtId="164" fontId="17" fillId="0" borderId="0" xfId="0" applyNumberFormat="1" applyFont="1" applyFill="1" applyBorder="1" applyAlignment="1">
      <alignment horizontal="center"/>
    </xf>
    <xf numFmtId="0" fontId="17" fillId="0" borderId="13" xfId="0" applyFont="1" applyFill="1" applyBorder="1" applyAlignment="1">
      <alignment horizontal="center"/>
    </xf>
    <xf numFmtId="14" fontId="17" fillId="0" borderId="14" xfId="0" applyNumberFormat="1" applyFont="1" applyFill="1" applyBorder="1" applyAlignment="1">
      <alignment horizontal="center"/>
    </xf>
    <xf numFmtId="0" fontId="17" fillId="0" borderId="53" xfId="0" applyFont="1" applyFill="1" applyBorder="1" applyAlignment="1">
      <alignment horizontal="center" vertical="center" wrapText="1"/>
    </xf>
    <xf numFmtId="164" fontId="17" fillId="0" borderId="53" xfId="0" applyNumberFormat="1" applyFont="1" applyFill="1" applyBorder="1" applyAlignment="1">
      <alignment horizontal="center" vertical="center" wrapText="1"/>
    </xf>
    <xf numFmtId="171" fontId="24" fillId="0" borderId="14" xfId="0" applyNumberFormat="1" applyFont="1" applyFill="1" applyBorder="1" applyAlignment="1">
      <alignment horizontal="center" vertical="top"/>
    </xf>
    <xf numFmtId="171" fontId="25" fillId="2" borderId="14" xfId="0" applyNumberFormat="1" applyFont="1" applyFill="1" applyBorder="1" applyAlignment="1">
      <alignment horizontal="center" vertical="top" wrapText="1"/>
    </xf>
    <xf numFmtId="0" fontId="25" fillId="2" borderId="15" xfId="0" applyFont="1" applyFill="1" applyBorder="1" applyAlignment="1">
      <alignment horizontal="center" vertical="top" wrapText="1"/>
    </xf>
    <xf numFmtId="0" fontId="17" fillId="0" borderId="14" xfId="0" applyFont="1" applyFill="1" applyBorder="1" applyAlignment="1">
      <alignment horizontal="center"/>
    </xf>
    <xf numFmtId="164" fontId="17" fillId="0" borderId="14" xfId="0" applyNumberFormat="1" applyFont="1" applyFill="1" applyBorder="1" applyAlignment="1">
      <alignment horizontal="center"/>
    </xf>
    <xf numFmtId="0" fontId="17" fillId="0" borderId="15" xfId="0" applyFont="1" applyFill="1" applyBorder="1" applyAlignment="1">
      <alignment horizontal="center"/>
    </xf>
    <xf numFmtId="0" fontId="17" fillId="7" borderId="51" xfId="0" applyFont="1" applyFill="1" applyBorder="1" applyAlignment="1">
      <alignment horizontal="center"/>
    </xf>
    <xf numFmtId="0" fontId="17" fillId="5" borderId="19" xfId="0" applyFont="1" applyFill="1" applyBorder="1" applyAlignment="1">
      <alignment horizontal="center"/>
    </xf>
    <xf numFmtId="14" fontId="17" fillId="5" borderId="7" xfId="0" applyNumberFormat="1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/>
    </xf>
    <xf numFmtId="1" fontId="17" fillId="5" borderId="7" xfId="0" applyNumberFormat="1" applyFont="1" applyFill="1" applyBorder="1" applyAlignment="1">
      <alignment horizontal="center"/>
    </xf>
    <xf numFmtId="172" fontId="17" fillId="5" borderId="7" xfId="0" applyNumberFormat="1" applyFont="1" applyFill="1" applyBorder="1" applyAlignment="1">
      <alignment horizontal="center"/>
    </xf>
    <xf numFmtId="171" fontId="24" fillId="5" borderId="24" xfId="0" applyNumberFormat="1" applyFont="1" applyFill="1" applyBorder="1" applyAlignment="1">
      <alignment horizontal="center" vertical="top"/>
    </xf>
    <xf numFmtId="171" fontId="25" fillId="5" borderId="24" xfId="0" applyNumberFormat="1" applyFont="1" applyFill="1" applyBorder="1" applyAlignment="1">
      <alignment horizontal="center" vertical="top" wrapText="1"/>
    </xf>
    <xf numFmtId="0" fontId="25" fillId="5" borderId="44" xfId="0" applyFont="1" applyFill="1" applyBorder="1" applyAlignment="1">
      <alignment horizontal="center" vertical="top" wrapText="1"/>
    </xf>
    <xf numFmtId="0" fontId="26" fillId="5" borderId="7" xfId="0" applyFont="1" applyFill="1" applyBorder="1" applyAlignment="1">
      <alignment horizontal="center"/>
    </xf>
    <xf numFmtId="0" fontId="17" fillId="5" borderId="20" xfId="0" applyFont="1" applyFill="1" applyBorder="1" applyAlignment="1">
      <alignment horizontal="center"/>
    </xf>
    <xf numFmtId="0" fontId="17" fillId="5" borderId="34" xfId="0" applyFont="1" applyFill="1" applyBorder="1" applyAlignment="1">
      <alignment horizontal="center"/>
    </xf>
    <xf numFmtId="14" fontId="17" fillId="5" borderId="16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1" fontId="17" fillId="5" borderId="16" xfId="0" applyNumberFormat="1" applyFont="1" applyFill="1" applyBorder="1" applyAlignment="1">
      <alignment horizontal="center"/>
    </xf>
    <xf numFmtId="172" fontId="17" fillId="5" borderId="16" xfId="0" applyNumberFormat="1" applyFont="1" applyFill="1" applyBorder="1" applyAlignment="1">
      <alignment horizontal="center"/>
    </xf>
    <xf numFmtId="171" fontId="24" fillId="5" borderId="16" xfId="0" applyNumberFormat="1" applyFont="1" applyFill="1" applyBorder="1" applyAlignment="1">
      <alignment horizontal="center" vertical="top"/>
    </xf>
    <xf numFmtId="171" fontId="25" fillId="5" borderId="16" xfId="0" applyNumberFormat="1" applyFont="1" applyFill="1" applyBorder="1" applyAlignment="1">
      <alignment horizontal="center" vertical="top" wrapText="1"/>
    </xf>
    <xf numFmtId="0" fontId="25" fillId="5" borderId="37" xfId="0" applyFont="1" applyFill="1" applyBorder="1" applyAlignment="1">
      <alignment horizontal="center" vertical="top" wrapText="1"/>
    </xf>
    <xf numFmtId="0" fontId="26" fillId="5" borderId="16" xfId="0" applyFont="1" applyFill="1" applyBorder="1" applyAlignment="1">
      <alignment horizontal="center"/>
    </xf>
    <xf numFmtId="0" fontId="17" fillId="5" borderId="37" xfId="0" applyFont="1" applyFill="1" applyBorder="1" applyAlignment="1">
      <alignment horizontal="center"/>
    </xf>
    <xf numFmtId="0" fontId="17" fillId="7" borderId="17" xfId="0" applyFont="1" applyFill="1" applyBorder="1" applyAlignment="1">
      <alignment horizontal="center"/>
    </xf>
    <xf numFmtId="2" fontId="17" fillId="7" borderId="17" xfId="0" applyNumberFormat="1" applyFont="1" applyFill="1" applyBorder="1" applyAlignment="1">
      <alignment horizontal="center"/>
    </xf>
    <xf numFmtId="172" fontId="26" fillId="7" borderId="17" xfId="0" applyNumberFormat="1" applyFont="1" applyFill="1" applyBorder="1" applyAlignment="1">
      <alignment horizontal="center"/>
    </xf>
    <xf numFmtId="0" fontId="17" fillId="0" borderId="52" xfId="0" applyFont="1" applyFill="1" applyBorder="1" applyAlignment="1">
      <alignment horizontal="center"/>
    </xf>
    <xf numFmtId="164" fontId="17" fillId="0" borderId="24" xfId="0" applyNumberFormat="1" applyFont="1" applyFill="1" applyBorder="1" applyAlignment="1">
      <alignment horizontal="center"/>
    </xf>
    <xf numFmtId="4" fontId="26" fillId="7" borderId="29" xfId="0" applyNumberFormat="1" applyFont="1" applyFill="1" applyBorder="1" applyAlignment="1">
      <alignment horizontal="center"/>
    </xf>
    <xf numFmtId="164" fontId="26" fillId="0" borderId="3" xfId="0" applyNumberFormat="1" applyFont="1" applyFill="1" applyBorder="1" applyAlignment="1">
      <alignment horizontal="center"/>
    </xf>
    <xf numFmtId="164" fontId="26" fillId="0" borderId="8" xfId="0" applyNumberFormat="1" applyFont="1" applyFill="1" applyBorder="1" applyAlignment="1">
      <alignment horizontal="center"/>
    </xf>
    <xf numFmtId="164" fontId="26" fillId="0" borderId="5" xfId="0" applyNumberFormat="1" applyFont="1" applyFill="1" applyBorder="1" applyAlignment="1">
      <alignment horizontal="center"/>
    </xf>
    <xf numFmtId="164" fontId="26" fillId="7" borderId="40" xfId="0" applyNumberFormat="1" applyFont="1" applyFill="1" applyBorder="1" applyAlignment="1">
      <alignment horizontal="center"/>
    </xf>
    <xf numFmtId="0" fontId="17" fillId="8" borderId="42" xfId="0" applyFont="1" applyFill="1" applyBorder="1" applyAlignment="1">
      <alignment horizontal="center"/>
    </xf>
    <xf numFmtId="0" fontId="17" fillId="8" borderId="40" xfId="0" applyFont="1" applyFill="1" applyBorder="1" applyAlignment="1">
      <alignment horizontal="center"/>
    </xf>
    <xf numFmtId="2" fontId="17" fillId="8" borderId="40" xfId="0" applyNumberFormat="1" applyFont="1" applyFill="1" applyBorder="1" applyAlignment="1">
      <alignment horizontal="center"/>
    </xf>
    <xf numFmtId="172" fontId="26" fillId="8" borderId="40" xfId="0" applyNumberFormat="1" applyFont="1" applyFill="1" applyBorder="1" applyAlignment="1">
      <alignment horizontal="center"/>
    </xf>
    <xf numFmtId="0" fontId="26" fillId="8" borderId="40" xfId="0" applyFont="1" applyFill="1" applyBorder="1" applyAlignment="1">
      <alignment horizontal="center"/>
    </xf>
    <xf numFmtId="171" fontId="26" fillId="8" borderId="40" xfId="0" applyNumberFormat="1" applyFont="1" applyFill="1" applyBorder="1" applyAlignment="1">
      <alignment horizontal="center"/>
    </xf>
    <xf numFmtId="0" fontId="17" fillId="8" borderId="43" xfId="0" applyFont="1" applyFill="1" applyBorder="1" applyAlignment="1">
      <alignment horizontal="center"/>
    </xf>
    <xf numFmtId="0" fontId="17" fillId="8" borderId="47" xfId="0" applyFont="1" applyFill="1" applyBorder="1" applyAlignment="1">
      <alignment horizontal="center"/>
    </xf>
    <xf numFmtId="164" fontId="26" fillId="8" borderId="40" xfId="0" applyNumberFormat="1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/>
    </xf>
    <xf numFmtId="0" fontId="17" fillId="10" borderId="14" xfId="0" applyFont="1" applyFill="1" applyBorder="1" applyAlignment="1">
      <alignment horizontal="center"/>
    </xf>
    <xf numFmtId="2" fontId="17" fillId="10" borderId="14" xfId="0" applyNumberFormat="1" applyFont="1" applyFill="1" applyBorder="1" applyAlignment="1">
      <alignment horizontal="center"/>
    </xf>
    <xf numFmtId="172" fontId="26" fillId="10" borderId="14" xfId="0" applyNumberFormat="1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171" fontId="26" fillId="10" borderId="14" xfId="0" applyNumberFormat="1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21" xfId="0" applyFont="1" applyFill="1" applyBorder="1" applyAlignment="1">
      <alignment horizontal="center"/>
    </xf>
    <xf numFmtId="164" fontId="26" fillId="10" borderId="14" xfId="0" applyNumberFormat="1" applyFont="1" applyFill="1" applyBorder="1" applyAlignment="1">
      <alignment horizontal="center"/>
    </xf>
    <xf numFmtId="2" fontId="17" fillId="0" borderId="0" xfId="0" applyNumberFormat="1" applyFont="1" applyFill="1" applyBorder="1" applyAlignment="1">
      <alignment horizontal="center"/>
    </xf>
    <xf numFmtId="173" fontId="13" fillId="0" borderId="4" xfId="0" applyNumberFormat="1" applyFont="1" applyFill="1" applyBorder="1" applyAlignment="1">
      <alignment horizontal="center" vertical="top"/>
    </xf>
    <xf numFmtId="173" fontId="13" fillId="0" borderId="11" xfId="0" applyNumberFormat="1" applyFont="1" applyFill="1" applyBorder="1" applyAlignment="1">
      <alignment horizontal="center" vertical="top"/>
    </xf>
    <xf numFmtId="173" fontId="21" fillId="0" borderId="6" xfId="0" applyNumberFormat="1" applyFont="1" applyFill="1" applyBorder="1" applyAlignment="1">
      <alignment horizontal="center" vertical="top"/>
    </xf>
    <xf numFmtId="0" fontId="13" fillId="0" borderId="28" xfId="0" applyFont="1" applyFill="1" applyBorder="1" applyAlignment="1">
      <alignment horizontal="center" vertical="center" wrapText="1"/>
    </xf>
    <xf numFmtId="170" fontId="13" fillId="0" borderId="29" xfId="0" applyNumberFormat="1" applyFont="1" applyFill="1" applyBorder="1" applyAlignment="1">
      <alignment horizontal="center" vertical="center" wrapText="1"/>
    </xf>
    <xf numFmtId="49" fontId="20" fillId="0" borderId="29" xfId="0" applyNumberFormat="1" applyFont="1" applyFill="1" applyBorder="1" applyAlignment="1">
      <alignment horizontal="center" vertical="center" wrapText="1"/>
    </xf>
    <xf numFmtId="170" fontId="20" fillId="0" borderId="29" xfId="0" applyNumberFormat="1" applyFont="1" applyFill="1" applyBorder="1" applyAlignment="1">
      <alignment horizontal="center" vertical="center" wrapText="1"/>
    </xf>
    <xf numFmtId="164" fontId="20" fillId="0" borderId="29" xfId="0" applyNumberFormat="1" applyFont="1" applyFill="1" applyBorder="1" applyAlignment="1">
      <alignment horizontal="center" vertical="center" wrapText="1"/>
    </xf>
    <xf numFmtId="49" fontId="21" fillId="0" borderId="61" xfId="0" applyNumberFormat="1" applyFont="1" applyFill="1" applyBorder="1" applyAlignment="1">
      <alignment horizontal="center" vertical="center" wrapText="1"/>
    </xf>
    <xf numFmtId="170" fontId="22" fillId="0" borderId="61" xfId="0" applyNumberFormat="1" applyFont="1" applyFill="1" applyBorder="1" applyAlignment="1">
      <alignment horizontal="center" vertical="center" wrapText="1"/>
    </xf>
    <xf numFmtId="170" fontId="20" fillId="0" borderId="32" xfId="0" applyNumberFormat="1" applyFont="1" applyFill="1" applyBorder="1" applyAlignment="1">
      <alignment horizontal="center" vertical="center" wrapText="1"/>
    </xf>
    <xf numFmtId="0" fontId="23" fillId="0" borderId="28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top" wrapText="1"/>
    </xf>
    <xf numFmtId="1" fontId="17" fillId="0" borderId="3" xfId="0" applyNumberFormat="1" applyFont="1" applyFill="1" applyBorder="1" applyAlignment="1">
      <alignment horizontal="center" vertical="top" shrinkToFit="1"/>
    </xf>
    <xf numFmtId="164" fontId="17" fillId="0" borderId="3" xfId="0" applyNumberFormat="1" applyFont="1" applyFill="1" applyBorder="1" applyAlignment="1">
      <alignment horizontal="center" vertical="top" shrinkToFit="1"/>
    </xf>
    <xf numFmtId="0" fontId="17" fillId="0" borderId="56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center" vertical="top" wrapText="1"/>
    </xf>
    <xf numFmtId="1" fontId="17" fillId="0" borderId="8" xfId="0" applyNumberFormat="1" applyFont="1" applyFill="1" applyBorder="1" applyAlignment="1">
      <alignment horizontal="center" vertical="top" shrinkToFit="1"/>
    </xf>
    <xf numFmtId="164" fontId="17" fillId="0" borderId="8" xfId="0" applyNumberFormat="1" applyFont="1" applyFill="1" applyBorder="1" applyAlignment="1">
      <alignment horizontal="center" vertical="top" shrinkToFit="1"/>
    </xf>
    <xf numFmtId="0" fontId="17" fillId="0" borderId="22" xfId="0" applyFont="1" applyFill="1" applyBorder="1" applyAlignment="1">
      <alignment horizontal="center"/>
    </xf>
    <xf numFmtId="0" fontId="17" fillId="0" borderId="26" xfId="0" applyFont="1" applyFill="1" applyBorder="1" applyAlignment="1">
      <alignment horizontal="center" vertical="top" wrapText="1"/>
    </xf>
    <xf numFmtId="1" fontId="17" fillId="0" borderId="5" xfId="0" applyNumberFormat="1" applyFont="1" applyFill="1" applyBorder="1" applyAlignment="1">
      <alignment horizontal="center" vertical="top" shrinkToFit="1"/>
    </xf>
    <xf numFmtId="164" fontId="17" fillId="0" borderId="5" xfId="0" applyNumberFormat="1" applyFont="1" applyFill="1" applyBorder="1" applyAlignment="1">
      <alignment horizontal="center" vertical="top" shrinkToFit="1"/>
    </xf>
    <xf numFmtId="171" fontId="24" fillId="0" borderId="40" xfId="0" applyNumberFormat="1" applyFont="1" applyFill="1" applyBorder="1" applyAlignment="1">
      <alignment horizontal="center" vertical="top"/>
    </xf>
    <xf numFmtId="171" fontId="25" fillId="2" borderId="40" xfId="0" applyNumberFormat="1" applyFont="1" applyFill="1" applyBorder="1" applyAlignment="1">
      <alignment horizontal="center" vertical="top" wrapText="1"/>
    </xf>
    <xf numFmtId="0" fontId="25" fillId="2" borderId="43" xfId="0" applyFont="1" applyFill="1" applyBorder="1" applyAlignment="1">
      <alignment horizontal="center" vertical="top" wrapText="1"/>
    </xf>
    <xf numFmtId="0" fontId="17" fillId="0" borderId="25" xfId="0" applyFont="1" applyFill="1" applyBorder="1" applyAlignment="1">
      <alignment horizontal="center"/>
    </xf>
    <xf numFmtId="0" fontId="17" fillId="11" borderId="13" xfId="0" applyFont="1" applyFill="1" applyBorder="1" applyAlignment="1">
      <alignment horizontal="center"/>
    </xf>
    <xf numFmtId="0" fontId="17" fillId="11" borderId="14" xfId="0" applyFont="1" applyFill="1" applyBorder="1" applyAlignment="1">
      <alignment horizontal="center"/>
    </xf>
    <xf numFmtId="0" fontId="17" fillId="11" borderId="17" xfId="0" applyFont="1" applyFill="1" applyBorder="1" applyAlignment="1">
      <alignment horizontal="center" vertical="top" wrapText="1"/>
    </xf>
    <xf numFmtId="1" fontId="17" fillId="11" borderId="14" xfId="0" applyNumberFormat="1" applyFont="1" applyFill="1" applyBorder="1" applyAlignment="1">
      <alignment horizontal="center" vertical="top" shrinkToFit="1"/>
    </xf>
    <xf numFmtId="172" fontId="26" fillId="11" borderId="14" xfId="0" applyNumberFormat="1" applyFont="1" applyFill="1" applyBorder="1" applyAlignment="1">
      <alignment horizontal="center" vertical="center" shrinkToFit="1"/>
    </xf>
    <xf numFmtId="171" fontId="26" fillId="11" borderId="14" xfId="0" applyNumberFormat="1" applyFont="1" applyFill="1" applyBorder="1" applyAlignment="1">
      <alignment horizontal="center"/>
    </xf>
    <xf numFmtId="0" fontId="17" fillId="11" borderId="27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top" wrapText="1"/>
    </xf>
    <xf numFmtId="14" fontId="17" fillId="0" borderId="62" xfId="0" applyNumberFormat="1" applyFont="1" applyFill="1" applyBorder="1" applyAlignment="1">
      <alignment horizontal="center"/>
    </xf>
    <xf numFmtId="1" fontId="17" fillId="0" borderId="22" xfId="0" applyNumberFormat="1" applyFont="1" applyFill="1" applyBorder="1" applyAlignment="1">
      <alignment horizontal="center" vertical="top" shrinkToFit="1"/>
    </xf>
    <xf numFmtId="14" fontId="17" fillId="0" borderId="63" xfId="0" applyNumberFormat="1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 vertical="top" wrapText="1"/>
    </xf>
    <xf numFmtId="1" fontId="17" fillId="0" borderId="23" xfId="0" applyNumberFormat="1" applyFont="1" applyFill="1" applyBorder="1" applyAlignment="1">
      <alignment horizontal="center" vertical="top" shrinkToFit="1"/>
    </xf>
    <xf numFmtId="164" fontId="17" fillId="0" borderId="16" xfId="0" applyNumberFormat="1" applyFont="1" applyFill="1" applyBorder="1" applyAlignment="1">
      <alignment horizontal="center" vertical="top" shrinkToFit="1"/>
    </xf>
    <xf numFmtId="164" fontId="26" fillId="11" borderId="14" xfId="0" applyNumberFormat="1" applyFont="1" applyFill="1" applyBorder="1" applyAlignment="1">
      <alignment horizontal="center"/>
    </xf>
    <xf numFmtId="0" fontId="17" fillId="11" borderId="28" xfId="0" applyFont="1" applyFill="1" applyBorder="1" applyAlignment="1">
      <alignment horizontal="center"/>
    </xf>
    <xf numFmtId="0" fontId="17" fillId="11" borderId="29" xfId="0" applyFont="1" applyFill="1" applyBorder="1" applyAlignment="1">
      <alignment horizontal="center"/>
    </xf>
    <xf numFmtId="0" fontId="17" fillId="11" borderId="32" xfId="0" applyFont="1" applyFill="1" applyBorder="1" applyAlignment="1">
      <alignment horizontal="center"/>
    </xf>
    <xf numFmtId="49" fontId="17" fillId="0" borderId="7" xfId="0" applyNumberFormat="1" applyFont="1" applyFill="1" applyBorder="1" applyAlignment="1">
      <alignment horizontal="center"/>
    </xf>
    <xf numFmtId="1" fontId="17" fillId="0" borderId="7" xfId="0" applyNumberFormat="1" applyFont="1" applyFill="1" applyBorder="1" applyAlignment="1">
      <alignment horizontal="center" vertical="top" shrinkToFit="1"/>
    </xf>
    <xf numFmtId="164" fontId="17" fillId="0" borderId="7" xfId="0" applyNumberFormat="1" applyFont="1" applyFill="1" applyBorder="1" applyAlignment="1">
      <alignment horizontal="center" vertical="top" shrinkToFit="1"/>
    </xf>
    <xf numFmtId="49" fontId="17" fillId="0" borderId="8" xfId="0" applyNumberFormat="1" applyFont="1" applyFill="1" applyBorder="1" applyAlignment="1">
      <alignment horizontal="center"/>
    </xf>
    <xf numFmtId="49" fontId="17" fillId="0" borderId="5" xfId="0" applyNumberFormat="1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 vertical="top" wrapText="1"/>
    </xf>
    <xf numFmtId="164" fontId="17" fillId="0" borderId="0" xfId="0" applyNumberFormat="1" applyFont="1" applyFill="1" applyBorder="1" applyAlignment="1">
      <alignment horizontal="center" vertical="top" shrinkToFit="1"/>
    </xf>
    <xf numFmtId="1" fontId="17" fillId="0" borderId="16" xfId="0" applyNumberFormat="1" applyFont="1" applyFill="1" applyBorder="1" applyAlignment="1">
      <alignment horizontal="center" vertical="top" shrinkToFit="1"/>
    </xf>
    <xf numFmtId="164" fontId="26" fillId="11" borderId="29" xfId="0" applyNumberFormat="1" applyFont="1" applyFill="1" applyBorder="1" applyAlignment="1">
      <alignment horizontal="center"/>
    </xf>
    <xf numFmtId="171" fontId="26" fillId="11" borderId="29" xfId="0" applyNumberFormat="1" applyFont="1" applyFill="1" applyBorder="1" applyAlignment="1">
      <alignment horizontal="center"/>
    </xf>
    <xf numFmtId="0" fontId="17" fillId="11" borderId="61" xfId="0" applyFont="1" applyFill="1" applyBorder="1" applyAlignment="1">
      <alignment horizontal="center"/>
    </xf>
    <xf numFmtId="49" fontId="17" fillId="0" borderId="3" xfId="0" applyNumberFormat="1" applyFont="1" applyFill="1" applyBorder="1" applyAlignment="1">
      <alignment horizontal="center"/>
    </xf>
    <xf numFmtId="1" fontId="17" fillId="11" borderId="1" xfId="0" applyNumberFormat="1" applyFont="1" applyFill="1" applyBorder="1" applyAlignment="1">
      <alignment horizontal="center" vertical="top" shrinkToFit="1"/>
    </xf>
    <xf numFmtId="49" fontId="17" fillId="0" borderId="3" xfId="0" applyNumberFormat="1" applyFont="1" applyFill="1" applyBorder="1" applyAlignment="1">
      <alignment horizontal="center" vertical="top" shrinkToFit="1"/>
    </xf>
    <xf numFmtId="1" fontId="17" fillId="0" borderId="1" xfId="0" applyNumberFormat="1" applyFont="1" applyFill="1" applyBorder="1" applyAlignment="1">
      <alignment horizontal="center" vertical="top" shrinkToFit="1"/>
    </xf>
    <xf numFmtId="49" fontId="17" fillId="0" borderId="8" xfId="0" applyNumberFormat="1" applyFont="1" applyFill="1" applyBorder="1" applyAlignment="1">
      <alignment horizontal="center" vertical="top" shrinkToFit="1"/>
    </xf>
    <xf numFmtId="1" fontId="17" fillId="0" borderId="33" xfId="0" applyNumberFormat="1" applyFont="1" applyFill="1" applyBorder="1" applyAlignment="1">
      <alignment horizontal="center" vertical="top" shrinkToFit="1"/>
    </xf>
    <xf numFmtId="49" fontId="17" fillId="0" borderId="5" xfId="0" applyNumberFormat="1" applyFont="1" applyFill="1" applyBorder="1" applyAlignment="1">
      <alignment horizontal="center" vertical="top" shrinkToFit="1"/>
    </xf>
    <xf numFmtId="1" fontId="17" fillId="0" borderId="64" xfId="0" applyNumberFormat="1" applyFont="1" applyFill="1" applyBorder="1" applyAlignment="1">
      <alignment horizontal="center" vertical="top" shrinkToFit="1"/>
    </xf>
    <xf numFmtId="0" fontId="17" fillId="11" borderId="42" xfId="0" applyFont="1" applyFill="1" applyBorder="1" applyAlignment="1">
      <alignment horizontal="center"/>
    </xf>
    <xf numFmtId="0" fontId="17" fillId="11" borderId="40" xfId="0" applyFont="1" applyFill="1" applyBorder="1" applyAlignment="1">
      <alignment horizontal="center"/>
    </xf>
    <xf numFmtId="164" fontId="26" fillId="11" borderId="40" xfId="0" applyNumberFormat="1" applyFont="1" applyFill="1" applyBorder="1" applyAlignment="1">
      <alignment horizontal="center"/>
    </xf>
    <xf numFmtId="171" fontId="26" fillId="11" borderId="40" xfId="0" applyNumberFormat="1" applyFont="1" applyFill="1" applyBorder="1" applyAlignment="1">
      <alignment horizontal="center"/>
    </xf>
    <xf numFmtId="0" fontId="17" fillId="11" borderId="65" xfId="0" applyFont="1" applyFill="1" applyBorder="1" applyAlignment="1">
      <alignment horizontal="center"/>
    </xf>
    <xf numFmtId="0" fontId="17" fillId="12" borderId="42" xfId="0" applyFont="1" applyFill="1" applyBorder="1" applyAlignment="1">
      <alignment horizontal="center"/>
    </xf>
    <xf numFmtId="0" fontId="17" fillId="12" borderId="40" xfId="0" applyFont="1" applyFill="1" applyBorder="1" applyAlignment="1">
      <alignment horizontal="center"/>
    </xf>
    <xf numFmtId="172" fontId="26" fillId="12" borderId="40" xfId="0" applyNumberFormat="1" applyFont="1" applyFill="1" applyBorder="1" applyAlignment="1">
      <alignment horizontal="center"/>
    </xf>
    <xf numFmtId="171" fontId="26" fillId="12" borderId="40" xfId="0" applyNumberFormat="1" applyFont="1" applyFill="1" applyBorder="1" applyAlignment="1">
      <alignment horizontal="center"/>
    </xf>
    <xf numFmtId="0" fontId="17" fillId="12" borderId="65" xfId="0" applyFont="1" applyFill="1" applyBorder="1" applyAlignment="1">
      <alignment horizontal="center"/>
    </xf>
    <xf numFmtId="0" fontId="17" fillId="12" borderId="43" xfId="0" applyFont="1" applyFill="1" applyBorder="1" applyAlignment="1">
      <alignment horizontal="center"/>
    </xf>
    <xf numFmtId="0" fontId="17" fillId="11" borderId="52" xfId="0" applyFont="1" applyFill="1" applyBorder="1" applyAlignment="1">
      <alignment horizontal="center"/>
    </xf>
    <xf numFmtId="0" fontId="17" fillId="11" borderId="24" xfId="0" applyFont="1" applyFill="1" applyBorder="1" applyAlignment="1">
      <alignment horizontal="center"/>
    </xf>
    <xf numFmtId="1" fontId="17" fillId="11" borderId="0" xfId="0" applyNumberFormat="1" applyFont="1" applyFill="1" applyBorder="1" applyAlignment="1">
      <alignment horizontal="center" vertical="top" shrinkToFit="1"/>
    </xf>
    <xf numFmtId="164" fontId="26" fillId="11" borderId="24" xfId="0" applyNumberFormat="1" applyFont="1" applyFill="1" applyBorder="1" applyAlignment="1">
      <alignment horizontal="center"/>
    </xf>
    <xf numFmtId="171" fontId="26" fillId="11" borderId="24" xfId="0" applyNumberFormat="1" applyFont="1" applyFill="1" applyBorder="1" applyAlignment="1">
      <alignment horizontal="center"/>
    </xf>
    <xf numFmtId="0" fontId="17" fillId="11" borderId="63" xfId="0" applyFont="1" applyFill="1" applyBorder="1" applyAlignment="1">
      <alignment horizontal="center"/>
    </xf>
    <xf numFmtId="0" fontId="17" fillId="11" borderId="44" xfId="0" applyFont="1" applyFill="1" applyBorder="1" applyAlignment="1">
      <alignment horizontal="center"/>
    </xf>
    <xf numFmtId="49" fontId="17" fillId="0" borderId="14" xfId="0" applyNumberFormat="1" applyFont="1" applyFill="1" applyBorder="1" applyAlignment="1">
      <alignment horizontal="center" vertical="top" shrinkToFit="1"/>
    </xf>
    <xf numFmtId="0" fontId="17" fillId="11" borderId="21" xfId="0" applyFont="1" applyFill="1" applyBorder="1" applyAlignment="1">
      <alignment horizontal="center"/>
    </xf>
    <xf numFmtId="49" fontId="17" fillId="0" borderId="24" xfId="0" applyNumberFormat="1" applyFont="1" applyFill="1" applyBorder="1" applyAlignment="1">
      <alignment horizontal="center" vertical="top" shrinkToFit="1"/>
    </xf>
    <xf numFmtId="49" fontId="17" fillId="0" borderId="7" xfId="0" applyNumberFormat="1" applyFont="1" applyFill="1" applyBorder="1" applyAlignment="1">
      <alignment horizontal="center" vertical="top" shrinkToFit="1"/>
    </xf>
    <xf numFmtId="49" fontId="17" fillId="11" borderId="14" xfId="0" applyNumberFormat="1" applyFont="1" applyFill="1" applyBorder="1" applyAlignment="1">
      <alignment horizontal="center" vertical="top" shrinkToFit="1"/>
    </xf>
    <xf numFmtId="49" fontId="17" fillId="0" borderId="40" xfId="0" applyNumberFormat="1" applyFont="1" applyFill="1" applyBorder="1" applyAlignment="1">
      <alignment horizontal="center" vertical="top" shrinkToFit="1"/>
    </xf>
    <xf numFmtId="0" fontId="17" fillId="0" borderId="47" xfId="0" applyFont="1" applyFill="1" applyBorder="1" applyAlignment="1">
      <alignment horizontal="center"/>
    </xf>
    <xf numFmtId="172" fontId="26" fillId="11" borderId="14" xfId="0" applyNumberFormat="1" applyFont="1" applyFill="1" applyBorder="1" applyAlignment="1">
      <alignment horizontal="center"/>
    </xf>
    <xf numFmtId="0" fontId="25" fillId="2" borderId="33" xfId="0" applyFont="1" applyFill="1" applyBorder="1" applyAlignment="1">
      <alignment horizontal="center" vertical="top" wrapText="1"/>
    </xf>
    <xf numFmtId="0" fontId="25" fillId="2" borderId="62" xfId="0" applyFont="1" applyFill="1" applyBorder="1" applyAlignment="1">
      <alignment horizontal="center" vertical="top" wrapText="1"/>
    </xf>
    <xf numFmtId="0" fontId="25" fillId="2" borderId="36" xfId="0" applyFont="1" applyFill="1" applyBorder="1" applyAlignment="1">
      <alignment horizontal="center" vertical="top" wrapText="1"/>
    </xf>
    <xf numFmtId="0" fontId="17" fillId="11" borderId="17" xfId="0" applyFont="1" applyFill="1" applyBorder="1" applyAlignment="1">
      <alignment horizontal="center"/>
    </xf>
    <xf numFmtId="49" fontId="17" fillId="0" borderId="16" xfId="0" applyNumberFormat="1" applyFont="1" applyFill="1" applyBorder="1" applyAlignment="1">
      <alignment horizontal="center" vertical="top" shrinkToFit="1"/>
    </xf>
    <xf numFmtId="14" fontId="17" fillId="11" borderId="29" xfId="0" applyNumberFormat="1" applyFont="1" applyFill="1" applyBorder="1" applyAlignment="1">
      <alignment horizontal="center"/>
    </xf>
    <xf numFmtId="49" fontId="17" fillId="11" borderId="29" xfId="0" applyNumberFormat="1" applyFont="1" applyFill="1" applyBorder="1" applyAlignment="1">
      <alignment horizontal="center" vertical="top" shrinkToFit="1"/>
    </xf>
    <xf numFmtId="14" fontId="17" fillId="11" borderId="40" xfId="0" applyNumberFormat="1" applyFont="1" applyFill="1" applyBorder="1" applyAlignment="1">
      <alignment horizontal="center"/>
    </xf>
    <xf numFmtId="49" fontId="17" fillId="11" borderId="40" xfId="0" applyNumberFormat="1" applyFont="1" applyFill="1" applyBorder="1" applyAlignment="1">
      <alignment horizontal="center" vertical="top" shrinkToFit="1"/>
    </xf>
    <xf numFmtId="0" fontId="17" fillId="0" borderId="31" xfId="0" applyFont="1" applyFill="1" applyBorder="1" applyAlignment="1">
      <alignment horizontal="center" vertical="center" wrapText="1"/>
    </xf>
    <xf numFmtId="0" fontId="17" fillId="13" borderId="13" xfId="0" applyFont="1" applyFill="1" applyBorder="1" applyAlignment="1">
      <alignment horizontal="center"/>
    </xf>
    <xf numFmtId="0" fontId="17" fillId="13" borderId="14" xfId="0" applyFont="1" applyFill="1" applyBorder="1" applyAlignment="1">
      <alignment horizontal="center"/>
    </xf>
    <xf numFmtId="172" fontId="26" fillId="13" borderId="14" xfId="0" applyNumberFormat="1" applyFont="1" applyFill="1" applyBorder="1" applyAlignment="1">
      <alignment horizontal="center"/>
    </xf>
    <xf numFmtId="171" fontId="26" fillId="13" borderId="14" xfId="0" applyNumberFormat="1" applyFont="1" applyFill="1" applyBorder="1" applyAlignment="1">
      <alignment horizontal="center"/>
    </xf>
    <xf numFmtId="0" fontId="17" fillId="13" borderId="15" xfId="0" applyFont="1" applyFill="1" applyBorder="1" applyAlignment="1">
      <alignment horizontal="center"/>
    </xf>
    <xf numFmtId="0" fontId="17" fillId="13" borderId="21" xfId="0" applyFont="1" applyFill="1" applyBorder="1" applyAlignment="1">
      <alignment horizontal="center"/>
    </xf>
    <xf numFmtId="164" fontId="17" fillId="0" borderId="3" xfId="0" applyNumberFormat="1" applyFont="1" applyFill="1" applyBorder="1" applyAlignment="1">
      <alignment horizontal="center" vertical="center" wrapText="1"/>
    </xf>
    <xf numFmtId="164" fontId="17" fillId="0" borderId="7" xfId="0" applyNumberFormat="1" applyFont="1" applyFill="1" applyBorder="1" applyAlignment="1">
      <alignment horizontal="center" vertical="center" wrapText="1"/>
    </xf>
    <xf numFmtId="4" fontId="26" fillId="13" borderId="14" xfId="0" applyNumberFormat="1" applyFont="1" applyFill="1" applyBorder="1" applyAlignment="1">
      <alignment horizontal="center"/>
    </xf>
    <xf numFmtId="0" fontId="17" fillId="13" borderId="28" xfId="0" applyFont="1" applyFill="1" applyBorder="1" applyAlignment="1">
      <alignment horizontal="center"/>
    </xf>
    <xf numFmtId="0" fontId="17" fillId="13" borderId="29" xfId="0" applyFont="1" applyFill="1" applyBorder="1" applyAlignment="1">
      <alignment horizontal="center"/>
    </xf>
    <xf numFmtId="0" fontId="17" fillId="13" borderId="32" xfId="0" applyFont="1" applyFill="1" applyBorder="1" applyAlignment="1">
      <alignment horizontal="center"/>
    </xf>
    <xf numFmtId="4" fontId="26" fillId="13" borderId="17" xfId="0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 wrapText="1"/>
    </xf>
    <xf numFmtId="4" fontId="17" fillId="0" borderId="0" xfId="0" applyNumberFormat="1" applyFont="1" applyFill="1" applyBorder="1" applyAlignment="1">
      <alignment horizontal="center"/>
    </xf>
    <xf numFmtId="0" fontId="17" fillId="13" borderId="47" xfId="0" applyFont="1" applyFill="1" applyBorder="1" applyAlignment="1">
      <alignment horizontal="center"/>
    </xf>
    <xf numFmtId="0" fontId="17" fillId="13" borderId="40" xfId="0" applyFont="1" applyFill="1" applyBorder="1" applyAlignment="1">
      <alignment horizontal="center"/>
    </xf>
    <xf numFmtId="0" fontId="17" fillId="13" borderId="43" xfId="0" applyFont="1" applyFill="1" applyBorder="1" applyAlignment="1">
      <alignment horizontal="center"/>
    </xf>
    <xf numFmtId="0" fontId="17" fillId="9" borderId="13" xfId="0" applyFont="1" applyFill="1" applyBorder="1" applyAlignment="1">
      <alignment horizontal="center"/>
    </xf>
    <xf numFmtId="0" fontId="17" fillId="9" borderId="14" xfId="0" applyFont="1" applyFill="1" applyBorder="1" applyAlignment="1">
      <alignment horizontal="center"/>
    </xf>
    <xf numFmtId="172" fontId="26" fillId="9" borderId="14" xfId="0" applyNumberFormat="1" applyFont="1" applyFill="1" applyBorder="1" applyAlignment="1">
      <alignment horizontal="center"/>
    </xf>
    <xf numFmtId="171" fontId="26" fillId="9" borderId="14" xfId="0" applyNumberFormat="1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21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3" fontId="4" fillId="3" borderId="29" xfId="0" applyNumberFormat="1" applyFont="1" applyFill="1" applyBorder="1" applyAlignment="1">
      <alignment horizontal="center" vertical="center"/>
    </xf>
    <xf numFmtId="166" fontId="4" fillId="3" borderId="29" xfId="1" applyNumberFormat="1" applyFont="1" applyFill="1" applyBorder="1" applyAlignment="1">
      <alignment horizontal="center" vertical="center"/>
    </xf>
    <xf numFmtId="1" fontId="4" fillId="3" borderId="32" xfId="0" applyNumberFormat="1" applyFont="1" applyFill="1" applyBorder="1" applyAlignment="1">
      <alignment horizontal="center" vertical="center"/>
    </xf>
    <xf numFmtId="166" fontId="11" fillId="2" borderId="8" xfId="1" applyNumberFormat="1" applyFont="1" applyFill="1" applyBorder="1" applyAlignment="1">
      <alignment horizontal="center" vertical="center"/>
    </xf>
    <xf numFmtId="44" fontId="7" fillId="2" borderId="8" xfId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0" fontId="13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167" fontId="5" fillId="2" borderId="3" xfId="1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6" fontId="10" fillId="2" borderId="3" xfId="1" applyNumberFormat="1" applyFont="1" applyFill="1" applyBorder="1" applyAlignment="1">
      <alignment horizontal="center" vertical="center"/>
    </xf>
    <xf numFmtId="166" fontId="11" fillId="2" borderId="3" xfId="1" applyNumberFormat="1" applyFont="1" applyFill="1" applyBorder="1" applyAlignment="1">
      <alignment horizontal="center" vertical="center"/>
    </xf>
    <xf numFmtId="166" fontId="9" fillId="2" borderId="4" xfId="1" applyNumberFormat="1" applyFont="1" applyFill="1" applyBorder="1" applyAlignment="1">
      <alignment horizontal="center" vertical="center"/>
    </xf>
    <xf numFmtId="166" fontId="9" fillId="2" borderId="6" xfId="1" applyNumberFormat="1" applyFont="1" applyFill="1" applyBorder="1" applyAlignment="1">
      <alignment horizontal="center" vertical="center"/>
    </xf>
    <xf numFmtId="14" fontId="7" fillId="14" borderId="8" xfId="0" applyNumberFormat="1" applyFont="1" applyFill="1" applyBorder="1" applyAlignment="1">
      <alignment horizontal="center" vertical="center"/>
    </xf>
    <xf numFmtId="168" fontId="14" fillId="14" borderId="8" xfId="0" applyNumberFormat="1" applyFont="1" applyFill="1" applyBorder="1" applyAlignment="1">
      <alignment horizontal="left" vertical="center"/>
    </xf>
    <xf numFmtId="169" fontId="12" fillId="14" borderId="8" xfId="0" applyNumberFormat="1" applyFont="1" applyFill="1" applyBorder="1" applyAlignment="1">
      <alignment horizontal="center" vertical="center"/>
    </xf>
    <xf numFmtId="164" fontId="8" fillId="14" borderId="8" xfId="0" applyNumberFormat="1" applyFont="1" applyFill="1" applyBorder="1" applyAlignment="1">
      <alignment horizontal="center" vertical="center"/>
    </xf>
    <xf numFmtId="44" fontId="5" fillId="14" borderId="8" xfId="1" applyNumberFormat="1" applyFont="1" applyFill="1" applyBorder="1" applyAlignment="1">
      <alignment horizontal="center" vertical="center"/>
    </xf>
    <xf numFmtId="166" fontId="10" fillId="14" borderId="8" xfId="1" applyNumberFormat="1" applyFont="1" applyFill="1" applyBorder="1" applyAlignment="1">
      <alignment horizontal="center" vertical="center"/>
    </xf>
    <xf numFmtId="166" fontId="11" fillId="14" borderId="8" xfId="1" applyNumberFormat="1" applyFont="1" applyFill="1" applyBorder="1" applyAlignment="1">
      <alignment horizontal="center" vertical="center"/>
    </xf>
    <xf numFmtId="1" fontId="12" fillId="14" borderId="8" xfId="0" applyNumberFormat="1" applyFont="1" applyFill="1" applyBorder="1" applyAlignment="1">
      <alignment horizontal="center" vertical="center"/>
    </xf>
    <xf numFmtId="164" fontId="2" fillId="14" borderId="8" xfId="0" applyNumberFormat="1" applyFont="1" applyFill="1" applyBorder="1" applyAlignment="1">
      <alignment horizontal="center"/>
    </xf>
    <xf numFmtId="164" fontId="6" fillId="14" borderId="8" xfId="0" applyNumberFormat="1" applyFont="1" applyFill="1" applyBorder="1" applyAlignment="1">
      <alignment horizontal="center"/>
    </xf>
    <xf numFmtId="1" fontId="12" fillId="4" borderId="8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center" vertical="center"/>
    </xf>
    <xf numFmtId="166" fontId="11" fillId="2" borderId="0" xfId="1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4" fontId="26" fillId="13" borderId="29" xfId="0" applyNumberFormat="1" applyFont="1" applyFill="1" applyBorder="1" applyAlignment="1">
      <alignment horizontal="center"/>
    </xf>
    <xf numFmtId="171" fontId="26" fillId="13" borderId="29" xfId="0" applyNumberFormat="1" applyFont="1" applyFill="1" applyBorder="1" applyAlignment="1">
      <alignment horizontal="center"/>
    </xf>
    <xf numFmtId="0" fontId="17" fillId="13" borderId="51" xfId="0" applyFont="1" applyFill="1" applyBorder="1" applyAlignment="1">
      <alignment horizontal="center"/>
    </xf>
    <xf numFmtId="0" fontId="17" fillId="13" borderId="24" xfId="0" applyFont="1" applyFill="1" applyBorder="1" applyAlignment="1">
      <alignment horizontal="center"/>
    </xf>
    <xf numFmtId="0" fontId="17" fillId="13" borderId="44" xfId="0" applyFont="1" applyFill="1" applyBorder="1" applyAlignment="1">
      <alignment horizontal="center"/>
    </xf>
    <xf numFmtId="0" fontId="17" fillId="0" borderId="39" xfId="0" applyFont="1" applyFill="1" applyBorder="1" applyAlignment="1">
      <alignment horizontal="left" vertical="center" wrapText="1"/>
    </xf>
    <xf numFmtId="0" fontId="17" fillId="0" borderId="30" xfId="0" applyFont="1" applyFill="1" applyBorder="1" applyAlignment="1">
      <alignment horizontal="left" vertical="center" wrapText="1"/>
    </xf>
    <xf numFmtId="0" fontId="17" fillId="0" borderId="41" xfId="0" applyFont="1" applyFill="1" applyBorder="1" applyAlignment="1">
      <alignment horizontal="left" vertical="center" wrapText="1"/>
    </xf>
    <xf numFmtId="0" fontId="17" fillId="0" borderId="38" xfId="0" applyFont="1" applyFill="1" applyBorder="1" applyAlignment="1">
      <alignment horizontal="left" vertical="center" wrapText="1"/>
    </xf>
    <xf numFmtId="0" fontId="17" fillId="0" borderId="35" xfId="0" applyFont="1" applyFill="1" applyBorder="1" applyAlignment="1">
      <alignment horizontal="left" vertical="center" wrapText="1"/>
    </xf>
    <xf numFmtId="0" fontId="17" fillId="0" borderId="53" xfId="0" applyFont="1" applyFill="1" applyBorder="1" applyAlignment="1">
      <alignment horizontal="left" vertical="center" wrapText="1"/>
    </xf>
    <xf numFmtId="164" fontId="26" fillId="13" borderId="14" xfId="0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49" fontId="21" fillId="0" borderId="27" xfId="0" applyNumberFormat="1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14" fontId="17" fillId="0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1" fontId="17" fillId="0" borderId="7" xfId="0" applyNumberFormat="1" applyFont="1" applyFill="1" applyBorder="1" applyAlignment="1">
      <alignment horizontal="center" vertical="center" shrinkToFit="1"/>
    </xf>
    <xf numFmtId="164" fontId="17" fillId="0" borderId="7" xfId="0" applyNumberFormat="1" applyFont="1" applyFill="1" applyBorder="1" applyAlignment="1">
      <alignment horizontal="center" vertical="center" shrinkToFit="1"/>
    </xf>
    <xf numFmtId="174" fontId="17" fillId="0" borderId="8" xfId="0" applyNumberFormat="1" applyFont="1" applyFill="1" applyBorder="1" applyAlignment="1">
      <alignment horizontal="center" vertical="center" shrinkToFit="1"/>
    </xf>
    <xf numFmtId="171" fontId="24" fillId="0" borderId="8" xfId="0" applyNumberFormat="1" applyFont="1" applyFill="1" applyBorder="1" applyAlignment="1">
      <alignment horizontal="center" vertical="center"/>
    </xf>
    <xf numFmtId="171" fontId="25" fillId="2" borderId="8" xfId="0" applyNumberFormat="1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1" fontId="17" fillId="0" borderId="8" xfId="0" applyNumberFormat="1" applyFont="1" applyFill="1" applyBorder="1" applyAlignment="1">
      <alignment horizontal="center" vertical="center" shrinkToFit="1"/>
    </xf>
    <xf numFmtId="164" fontId="17" fillId="0" borderId="8" xfId="0" applyNumberFormat="1" applyFont="1" applyFill="1" applyBorder="1" applyAlignment="1">
      <alignment horizontal="center" vertical="center" shrinkToFit="1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 wrapText="1"/>
    </xf>
    <xf numFmtId="1" fontId="17" fillId="0" borderId="16" xfId="0" applyNumberFormat="1" applyFont="1" applyFill="1" applyBorder="1" applyAlignment="1">
      <alignment horizontal="center" vertical="center" shrinkToFit="1"/>
    </xf>
    <xf numFmtId="164" fontId="17" fillId="0" borderId="16" xfId="0" applyNumberFormat="1" applyFont="1" applyFill="1" applyBorder="1" applyAlignment="1">
      <alignment horizontal="center" vertical="center" shrinkToFit="1"/>
    </xf>
    <xf numFmtId="174" fontId="17" fillId="0" borderId="16" xfId="0" applyNumberFormat="1" applyFont="1" applyFill="1" applyBorder="1" applyAlignment="1">
      <alignment horizontal="center" vertical="center" shrinkToFit="1"/>
    </xf>
    <xf numFmtId="171" fontId="24" fillId="0" borderId="16" xfId="0" applyNumberFormat="1" applyFont="1" applyFill="1" applyBorder="1" applyAlignment="1">
      <alignment horizontal="center" vertical="center"/>
    </xf>
    <xf numFmtId="171" fontId="25" fillId="2" borderId="16" xfId="0" applyNumberFormat="1" applyFont="1" applyFill="1" applyBorder="1" applyAlignment="1">
      <alignment horizontal="center" vertical="center" wrapText="1"/>
    </xf>
    <xf numFmtId="0" fontId="25" fillId="2" borderId="37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horizontal="center" vertical="center"/>
    </xf>
    <xf numFmtId="172" fontId="26" fillId="15" borderId="14" xfId="0" applyNumberFormat="1" applyFont="1" applyFill="1" applyBorder="1" applyAlignment="1">
      <alignment horizontal="center" vertical="center"/>
    </xf>
    <xf numFmtId="171" fontId="26" fillId="15" borderId="14" xfId="0" applyNumberFormat="1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174" fontId="17" fillId="0" borderId="7" xfId="0" applyNumberFormat="1" applyFont="1" applyFill="1" applyBorder="1" applyAlignment="1">
      <alignment horizontal="center" vertical="center" shrinkToFit="1"/>
    </xf>
    <xf numFmtId="171" fontId="24" fillId="0" borderId="7" xfId="0" applyNumberFormat="1" applyFont="1" applyFill="1" applyBorder="1" applyAlignment="1">
      <alignment horizontal="center" vertical="center"/>
    </xf>
    <xf numFmtId="171" fontId="25" fillId="2" borderId="7" xfId="0" applyNumberFormat="1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0" borderId="36" xfId="0" applyFont="1" applyFill="1" applyBorder="1" applyAlignment="1">
      <alignment horizontal="center" vertical="center" wrapText="1"/>
    </xf>
    <xf numFmtId="164" fontId="26" fillId="15" borderId="14" xfId="0" applyNumberFormat="1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center" vertical="center"/>
    </xf>
    <xf numFmtId="0" fontId="17" fillId="15" borderId="21" xfId="0" applyFont="1" applyFill="1" applyBorder="1" applyAlignment="1">
      <alignment horizontal="center" vertical="center"/>
    </xf>
    <xf numFmtId="0" fontId="17" fillId="15" borderId="14" xfId="0" applyFont="1" applyFill="1" applyBorder="1" applyAlignment="1">
      <alignment horizontal="center" vertical="center"/>
    </xf>
    <xf numFmtId="0" fontId="17" fillId="15" borderId="13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4" fontId="17" fillId="0" borderId="29" xfId="0" applyNumberFormat="1" applyFont="1" applyFill="1" applyBorder="1" applyAlignment="1">
      <alignment horizontal="center" vertical="center"/>
    </xf>
    <xf numFmtId="1" fontId="17" fillId="0" borderId="3" xfId="0" applyNumberFormat="1" applyFont="1" applyFill="1" applyBorder="1" applyAlignment="1">
      <alignment horizontal="center" vertical="center" shrinkToFit="1"/>
    </xf>
    <xf numFmtId="164" fontId="17" fillId="0" borderId="3" xfId="0" applyNumberFormat="1" applyFont="1" applyFill="1" applyBorder="1" applyAlignment="1">
      <alignment horizontal="center" vertical="center" shrinkToFit="1"/>
    </xf>
    <xf numFmtId="174" fontId="17" fillId="0" borderId="3" xfId="0" applyNumberFormat="1" applyFont="1" applyFill="1" applyBorder="1" applyAlignment="1">
      <alignment horizontal="center" vertical="center" shrinkToFit="1"/>
    </xf>
    <xf numFmtId="171" fontId="24" fillId="0" borderId="29" xfId="0" applyNumberFormat="1" applyFont="1" applyFill="1" applyBorder="1" applyAlignment="1">
      <alignment horizontal="center" vertical="center"/>
    </xf>
    <xf numFmtId="171" fontId="25" fillId="2" borderId="29" xfId="0" applyNumberFormat="1" applyFont="1" applyFill="1" applyBorder="1" applyAlignment="1">
      <alignment horizontal="center" vertical="center" wrapText="1"/>
    </xf>
    <xf numFmtId="0" fontId="25" fillId="2" borderId="32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/>
    </xf>
    <xf numFmtId="0" fontId="17" fillId="0" borderId="32" xfId="0" applyFont="1" applyFill="1" applyBorder="1" applyAlignment="1">
      <alignment horizontal="center" vertical="center"/>
    </xf>
    <xf numFmtId="14" fontId="17" fillId="0" borderId="8" xfId="0" applyNumberFormat="1" applyFont="1" applyFill="1" applyBorder="1" applyAlignment="1">
      <alignment horizontal="center" vertical="center"/>
    </xf>
    <xf numFmtId="14" fontId="17" fillId="0" borderId="5" xfId="0" applyNumberFormat="1" applyFont="1" applyFill="1" applyBorder="1" applyAlignment="1">
      <alignment horizontal="center" vertical="center"/>
    </xf>
    <xf numFmtId="1" fontId="17" fillId="0" borderId="5" xfId="0" applyNumberFormat="1" applyFont="1" applyFill="1" applyBorder="1" applyAlignment="1">
      <alignment horizontal="center" vertical="center" shrinkToFit="1"/>
    </xf>
    <xf numFmtId="164" fontId="17" fillId="0" borderId="5" xfId="0" applyNumberFormat="1" applyFont="1" applyFill="1" applyBorder="1" applyAlignment="1">
      <alignment horizontal="center" vertical="center" shrinkToFit="1"/>
    </xf>
    <xf numFmtId="174" fontId="17" fillId="0" borderId="5" xfId="0" applyNumberFormat="1" applyFont="1" applyFill="1" applyBorder="1" applyAlignment="1">
      <alignment horizontal="center" vertical="center" shrinkToFit="1"/>
    </xf>
    <xf numFmtId="171" fontId="24" fillId="0" borderId="5" xfId="0" applyNumberFormat="1" applyFont="1" applyFill="1" applyBorder="1" applyAlignment="1">
      <alignment horizontal="center" vertical="center"/>
    </xf>
    <xf numFmtId="171" fontId="25" fillId="2" borderId="5" xfId="0" applyNumberFormat="1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17" fillId="16" borderId="13" xfId="0" applyFont="1" applyFill="1" applyBorder="1" applyAlignment="1">
      <alignment horizontal="center" vertical="center"/>
    </xf>
    <xf numFmtId="0" fontId="17" fillId="16" borderId="14" xfId="0" applyFont="1" applyFill="1" applyBorder="1" applyAlignment="1">
      <alignment horizontal="center" vertical="center"/>
    </xf>
    <xf numFmtId="172" fontId="26" fillId="16" borderId="14" xfId="0" applyNumberFormat="1" applyFont="1" applyFill="1" applyBorder="1" applyAlignment="1">
      <alignment horizontal="center" vertical="center"/>
    </xf>
    <xf numFmtId="4" fontId="26" fillId="16" borderId="14" xfId="0" applyNumberFormat="1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49" fontId="24" fillId="0" borderId="29" xfId="0" applyNumberFormat="1" applyFont="1" applyFill="1" applyBorder="1" applyAlignment="1">
      <alignment horizontal="center" vertical="center" wrapText="1"/>
    </xf>
    <xf numFmtId="49" fontId="24" fillId="0" borderId="8" xfId="0" applyNumberFormat="1" applyFont="1" applyFill="1" applyBorder="1" applyAlignment="1">
      <alignment horizontal="center" vertical="center" wrapText="1"/>
    </xf>
    <xf numFmtId="49" fontId="24" fillId="0" borderId="7" xfId="0" applyNumberFormat="1" applyFont="1" applyFill="1" applyBorder="1" applyAlignment="1">
      <alignment horizontal="center" vertical="center" wrapText="1"/>
    </xf>
    <xf numFmtId="0" fontId="17" fillId="15" borderId="28" xfId="0" applyFont="1" applyFill="1" applyBorder="1" applyAlignment="1">
      <alignment horizontal="center" vertical="center"/>
    </xf>
    <xf numFmtId="0" fontId="17" fillId="15" borderId="29" xfId="0" applyFont="1" applyFill="1" applyBorder="1" applyAlignment="1">
      <alignment horizontal="center" vertical="center"/>
    </xf>
    <xf numFmtId="164" fontId="26" fillId="15" borderId="29" xfId="0" applyNumberFormat="1" applyFont="1" applyFill="1" applyBorder="1" applyAlignment="1">
      <alignment horizontal="center" vertical="center"/>
    </xf>
    <xf numFmtId="0" fontId="26" fillId="15" borderId="29" xfId="0" applyFont="1" applyFill="1" applyBorder="1" applyAlignment="1">
      <alignment horizontal="center" vertical="center"/>
    </xf>
    <xf numFmtId="171" fontId="26" fillId="15" borderId="29" xfId="0" applyNumberFormat="1" applyFont="1" applyFill="1" applyBorder="1" applyAlignment="1">
      <alignment horizontal="center" vertical="center"/>
    </xf>
    <xf numFmtId="0" fontId="17" fillId="15" borderId="32" xfId="0" applyFont="1" applyFill="1" applyBorder="1" applyAlignment="1">
      <alignment horizontal="center" vertical="center"/>
    </xf>
    <xf numFmtId="0" fontId="17" fillId="15" borderId="45" xfId="0" applyFont="1" applyFill="1" applyBorder="1" applyAlignment="1">
      <alignment horizontal="center" vertical="center"/>
    </xf>
    <xf numFmtId="14" fontId="17" fillId="0" borderId="3" xfId="0" applyNumberFormat="1" applyFont="1" applyFill="1" applyBorder="1" applyAlignment="1">
      <alignment horizontal="center" vertical="center"/>
    </xf>
    <xf numFmtId="49" fontId="17" fillId="0" borderId="29" xfId="0" applyNumberFormat="1" applyFont="1" applyFill="1" applyBorder="1" applyAlignment="1">
      <alignment horizontal="center" vertical="center"/>
    </xf>
    <xf numFmtId="164" fontId="17" fillId="0" borderId="3" xfId="0" applyNumberFormat="1" applyFont="1" applyFill="1" applyBorder="1" applyAlignment="1">
      <alignment horizontal="center" vertical="center"/>
    </xf>
    <xf numFmtId="171" fontId="24" fillId="0" borderId="3" xfId="0" applyNumberFormat="1" applyFont="1" applyFill="1" applyBorder="1" applyAlignment="1">
      <alignment horizontal="center" vertical="center"/>
    </xf>
    <xf numFmtId="171" fontId="25" fillId="2" borderId="3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49" fontId="17" fillId="0" borderId="8" xfId="0" applyNumberFormat="1" applyFont="1" applyFill="1" applyBorder="1" applyAlignment="1">
      <alignment horizontal="center" vertical="center"/>
    </xf>
    <xf numFmtId="164" fontId="17" fillId="0" borderId="8" xfId="0" applyNumberFormat="1" applyFont="1" applyFill="1" applyBorder="1" applyAlignment="1">
      <alignment horizontal="center" vertical="center"/>
    </xf>
    <xf numFmtId="49" fontId="17" fillId="0" borderId="40" xfId="0" applyNumberFormat="1" applyFont="1" applyFill="1" applyBorder="1" applyAlignment="1">
      <alignment horizontal="center" vertical="center"/>
    </xf>
    <xf numFmtId="164" fontId="17" fillId="0" borderId="5" xfId="0" applyNumberFormat="1" applyFont="1" applyFill="1" applyBorder="1" applyAlignment="1">
      <alignment horizontal="center" vertical="center"/>
    </xf>
    <xf numFmtId="0" fontId="17" fillId="15" borderId="52" xfId="0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164" fontId="26" fillId="15" borderId="24" xfId="0" applyNumberFormat="1" applyFont="1" applyFill="1" applyBorder="1" applyAlignment="1">
      <alignment horizontal="center" vertical="center"/>
    </xf>
    <xf numFmtId="0" fontId="26" fillId="15" borderId="24" xfId="0" applyFont="1" applyFill="1" applyBorder="1" applyAlignment="1">
      <alignment horizontal="center" vertical="center"/>
    </xf>
    <xf numFmtId="171" fontId="26" fillId="15" borderId="24" xfId="0" applyNumberFormat="1" applyFont="1" applyFill="1" applyBorder="1" applyAlignment="1">
      <alignment horizontal="center" vertical="center"/>
    </xf>
    <xf numFmtId="0" fontId="17" fillId="15" borderId="44" xfId="0" applyFont="1" applyFill="1" applyBorder="1" applyAlignment="1">
      <alignment horizontal="center" vertical="center"/>
    </xf>
    <xf numFmtId="0" fontId="17" fillId="15" borderId="51" xfId="0" applyFont="1" applyFill="1" applyBorder="1" applyAlignment="1">
      <alignment horizontal="center" vertical="center"/>
    </xf>
    <xf numFmtId="0" fontId="17" fillId="15" borderId="42" xfId="0" applyFont="1" applyFill="1" applyBorder="1" applyAlignment="1">
      <alignment horizontal="center" vertical="center"/>
    </xf>
    <xf numFmtId="0" fontId="17" fillId="15" borderId="40" xfId="0" applyFont="1" applyFill="1" applyBorder="1" applyAlignment="1">
      <alignment horizontal="center" vertical="center"/>
    </xf>
    <xf numFmtId="0" fontId="26" fillId="15" borderId="40" xfId="0" applyFont="1" applyFill="1" applyBorder="1" applyAlignment="1">
      <alignment horizontal="center" vertical="center"/>
    </xf>
    <xf numFmtId="171" fontId="26" fillId="15" borderId="40" xfId="0" applyNumberFormat="1" applyFont="1" applyFill="1" applyBorder="1" applyAlignment="1">
      <alignment horizontal="center" vertical="center"/>
    </xf>
    <xf numFmtId="0" fontId="17" fillId="15" borderId="43" xfId="0" applyFont="1" applyFill="1" applyBorder="1" applyAlignment="1">
      <alignment horizontal="center" vertical="center"/>
    </xf>
    <xf numFmtId="0" fontId="17" fillId="15" borderId="47" xfId="0" applyFont="1" applyFill="1" applyBorder="1" applyAlignment="1">
      <alignment horizontal="center" vertical="center"/>
    </xf>
    <xf numFmtId="171" fontId="25" fillId="2" borderId="24" xfId="0" applyNumberFormat="1" applyFont="1" applyFill="1" applyBorder="1" applyAlignment="1">
      <alignment horizontal="center" vertical="center" wrapText="1"/>
    </xf>
    <xf numFmtId="0" fontId="25" fillId="2" borderId="63" xfId="0" applyFont="1" applyFill="1" applyBorder="1" applyAlignment="1">
      <alignment horizontal="center" vertical="center" wrapText="1"/>
    </xf>
    <xf numFmtId="0" fontId="25" fillId="2" borderId="33" xfId="0" applyFont="1" applyFill="1" applyBorder="1" applyAlignment="1">
      <alignment horizontal="center" vertical="center" wrapText="1"/>
    </xf>
    <xf numFmtId="14" fontId="17" fillId="0" borderId="16" xfId="0" applyNumberFormat="1" applyFont="1" applyFill="1" applyBorder="1" applyAlignment="1">
      <alignment horizontal="center" vertical="center"/>
    </xf>
    <xf numFmtId="0" fontId="25" fillId="2" borderId="62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/>
    </xf>
    <xf numFmtId="0" fontId="25" fillId="2" borderId="36" xfId="0" applyFont="1" applyFill="1" applyBorder="1" applyAlignment="1">
      <alignment horizontal="center" vertical="center" wrapText="1"/>
    </xf>
    <xf numFmtId="172" fontId="26" fillId="15" borderId="29" xfId="0" applyNumberFormat="1" applyFont="1" applyFill="1" applyBorder="1" applyAlignment="1">
      <alignment horizontal="center" vertical="center"/>
    </xf>
    <xf numFmtId="164" fontId="17" fillId="0" borderId="1" xfId="0" applyNumberFormat="1" applyFont="1" applyFill="1" applyBorder="1" applyAlignment="1">
      <alignment horizontal="center" vertical="top" shrinkToFit="1"/>
    </xf>
    <xf numFmtId="172" fontId="26" fillId="15" borderId="40" xfId="0" applyNumberFormat="1" applyFont="1" applyFill="1" applyBorder="1" applyAlignment="1">
      <alignment horizontal="center" vertical="center"/>
    </xf>
    <xf numFmtId="171" fontId="26" fillId="16" borderId="14" xfId="0" applyNumberFormat="1" applyFont="1" applyFill="1" applyBorder="1" applyAlignment="1">
      <alignment horizontal="center" vertical="center"/>
    </xf>
    <xf numFmtId="172" fontId="26" fillId="15" borderId="24" xfId="0" applyNumberFormat="1" applyFont="1" applyFill="1" applyBorder="1" applyAlignment="1">
      <alignment horizontal="center" vertical="center"/>
    </xf>
    <xf numFmtId="164" fontId="17" fillId="0" borderId="26" xfId="0" applyNumberFormat="1" applyFont="1" applyFill="1" applyBorder="1" applyAlignment="1">
      <alignment horizontal="center" vertical="top" shrinkToFit="1"/>
    </xf>
    <xf numFmtId="0" fontId="17" fillId="0" borderId="56" xfId="0" applyFont="1" applyFill="1" applyBorder="1" applyAlignment="1">
      <alignment horizontal="center" vertical="center"/>
    </xf>
    <xf numFmtId="0" fontId="17" fillId="0" borderId="42" xfId="0" applyFont="1" applyFill="1" applyBorder="1" applyAlignment="1">
      <alignment horizontal="center" vertical="center"/>
    </xf>
    <xf numFmtId="14" fontId="17" fillId="0" borderId="40" xfId="0" applyNumberFormat="1" applyFont="1" applyFill="1" applyBorder="1" applyAlignment="1">
      <alignment horizontal="center" vertical="center"/>
    </xf>
    <xf numFmtId="0" fontId="17" fillId="0" borderId="40" xfId="0" applyFont="1" applyFill="1" applyBorder="1" applyAlignment="1">
      <alignment horizontal="center" vertical="center"/>
    </xf>
    <xf numFmtId="0" fontId="17" fillId="0" borderId="47" xfId="0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/>
    </xf>
    <xf numFmtId="171" fontId="24" fillId="0" borderId="40" xfId="0" applyNumberFormat="1" applyFont="1" applyFill="1" applyBorder="1" applyAlignment="1">
      <alignment horizontal="center" vertical="center"/>
    </xf>
    <xf numFmtId="171" fontId="25" fillId="2" borderId="40" xfId="0" applyNumberFormat="1" applyFont="1" applyFill="1" applyBorder="1" applyAlignment="1">
      <alignment horizontal="center" vertical="center" wrapText="1"/>
    </xf>
    <xf numFmtId="0" fontId="25" fillId="2" borderId="43" xfId="0" applyFont="1" applyFill="1" applyBorder="1" applyAlignment="1">
      <alignment horizontal="center" vertical="center" wrapText="1"/>
    </xf>
    <xf numFmtId="175" fontId="1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44" fontId="7" fillId="2" borderId="8" xfId="1" applyFont="1" applyFill="1" applyBorder="1" applyAlignment="1">
      <alignment horizontal="left" vertical="center" wrapText="1"/>
    </xf>
    <xf numFmtId="168" fontId="14" fillId="2" borderId="8" xfId="0" applyNumberFormat="1" applyFont="1" applyFill="1" applyBorder="1" applyAlignment="1">
      <alignment horizontal="left" vertical="center" wrapText="1"/>
    </xf>
    <xf numFmtId="0" fontId="17" fillId="15" borderId="19" xfId="0" applyFont="1" applyFill="1" applyBorder="1" applyAlignment="1">
      <alignment horizontal="center" vertical="center"/>
    </xf>
    <xf numFmtId="14" fontId="17" fillId="15" borderId="7" xfId="0" applyNumberFormat="1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164" fontId="17" fillId="15" borderId="7" xfId="0" applyNumberFormat="1" applyFont="1" applyFill="1" applyBorder="1" applyAlignment="1">
      <alignment horizontal="center" vertical="center"/>
    </xf>
    <xf numFmtId="0" fontId="17" fillId="15" borderId="20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14" fontId="17" fillId="15" borderId="5" xfId="0" applyNumberFormat="1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164" fontId="17" fillId="15" borderId="5" xfId="0" applyNumberFormat="1" applyFont="1" applyFill="1" applyBorder="1" applyAlignment="1">
      <alignment horizontal="center" vertical="center"/>
    </xf>
    <xf numFmtId="174" fontId="17" fillId="0" borderId="40" xfId="0" applyNumberFormat="1" applyFont="1" applyFill="1" applyBorder="1" applyAlignment="1">
      <alignment horizontal="center" vertical="center" shrinkToFit="1"/>
    </xf>
    <xf numFmtId="0" fontId="17" fillId="15" borderId="6" xfId="0" applyFont="1" applyFill="1" applyBorder="1" applyAlignment="1">
      <alignment horizontal="center" vertical="center"/>
    </xf>
    <xf numFmtId="164" fontId="26" fillId="15" borderId="40" xfId="0" applyNumberFormat="1" applyFont="1" applyFill="1" applyBorder="1" applyAlignment="1">
      <alignment horizontal="center" vertical="center"/>
    </xf>
    <xf numFmtId="164" fontId="29" fillId="15" borderId="14" xfId="0" applyNumberFormat="1" applyFont="1" applyFill="1" applyBorder="1" applyAlignment="1">
      <alignment horizontal="center" vertical="center"/>
    </xf>
    <xf numFmtId="172" fontId="29" fillId="15" borderId="24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/>
    <xf numFmtId="0" fontId="7" fillId="2" borderId="8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top"/>
    </xf>
    <xf numFmtId="0" fontId="13" fillId="0" borderId="55" xfId="0" applyFont="1" applyFill="1" applyBorder="1" applyAlignment="1">
      <alignment horizontal="center" vertical="top"/>
    </xf>
    <xf numFmtId="0" fontId="13" fillId="0" borderId="56" xfId="0" applyFont="1" applyFill="1" applyBorder="1" applyAlignment="1">
      <alignment horizontal="center" vertical="top"/>
    </xf>
    <xf numFmtId="0" fontId="13" fillId="0" borderId="57" xfId="0" applyFont="1" applyFill="1" applyBorder="1" applyAlignment="1">
      <alignment horizontal="center" vertical="top"/>
    </xf>
    <xf numFmtId="0" fontId="13" fillId="0" borderId="58" xfId="0" applyFont="1" applyFill="1" applyBorder="1" applyAlignment="1">
      <alignment horizontal="center" vertical="top"/>
    </xf>
    <xf numFmtId="0" fontId="13" fillId="0" borderId="22" xfId="0" applyFont="1" applyFill="1" applyBorder="1" applyAlignment="1">
      <alignment horizontal="center" vertical="top"/>
    </xf>
    <xf numFmtId="0" fontId="13" fillId="0" borderId="59" xfId="0" applyFont="1" applyFill="1" applyBorder="1" applyAlignment="1">
      <alignment horizontal="center" vertical="top"/>
    </xf>
    <xf numFmtId="0" fontId="13" fillId="0" borderId="60" xfId="0" applyFont="1" applyFill="1" applyBorder="1" applyAlignment="1">
      <alignment horizontal="center" vertical="top"/>
    </xf>
    <xf numFmtId="0" fontId="13" fillId="0" borderId="25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top" wrapText="1"/>
    </xf>
    <xf numFmtId="0" fontId="18" fillId="0" borderId="26" xfId="0" applyFont="1" applyFill="1" applyBorder="1" applyAlignment="1">
      <alignment horizontal="center" vertical="top" wrapText="1"/>
    </xf>
    <xf numFmtId="0" fontId="19" fillId="0" borderId="26" xfId="0" applyFont="1" applyFill="1" applyBorder="1" applyAlignment="1">
      <alignment horizontal="center" vertical="top" wrapText="1"/>
    </xf>
    <xf numFmtId="0" fontId="13" fillId="0" borderId="17" xfId="0" applyFont="1" applyFill="1" applyBorder="1" applyAlignment="1">
      <alignment horizontal="center" vertical="top" wrapText="1"/>
    </xf>
    <xf numFmtId="0" fontId="26" fillId="8" borderId="46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/>
    </xf>
    <xf numFmtId="0" fontId="26" fillId="8" borderId="21" xfId="0" applyFont="1" applyFill="1" applyBorder="1" applyAlignment="1">
      <alignment horizontal="center"/>
    </xf>
    <xf numFmtId="0" fontId="19" fillId="9" borderId="46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164" fontId="12" fillId="4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164" fontId="3" fillId="4" borderId="8" xfId="0" applyNumberFormat="1" applyFont="1" applyFill="1" applyBorder="1" applyAlignment="1">
      <alignment horizontal="center" vertical="center"/>
    </xf>
    <xf numFmtId="166" fontId="9" fillId="4" borderId="11" xfId="1" applyNumberFormat="1" applyFont="1" applyFill="1" applyBorder="1" applyAlignment="1">
      <alignment horizontal="center" vertical="center"/>
    </xf>
    <xf numFmtId="164" fontId="8" fillId="4" borderId="8" xfId="0" applyNumberFormat="1" applyFont="1" applyFill="1" applyBorder="1" applyAlignment="1">
      <alignment horizontal="center" vertical="center"/>
    </xf>
    <xf numFmtId="169" fontId="12" fillId="4" borderId="8" xfId="0" applyNumberFormat="1" applyFont="1" applyFill="1" applyBorder="1" applyAlignment="1">
      <alignment horizontal="center" vertical="center"/>
    </xf>
    <xf numFmtId="169" fontId="8" fillId="4" borderId="8" xfId="0" applyNumberFormat="1" applyFont="1" applyFill="1" applyBorder="1" applyAlignment="1">
      <alignment horizontal="center" vertical="center"/>
    </xf>
    <xf numFmtId="44" fontId="11" fillId="4" borderId="8" xfId="1" applyNumberFormat="1" applyFont="1" applyFill="1" applyBorder="1" applyAlignment="1">
      <alignment horizontal="center" vertical="center"/>
    </xf>
    <xf numFmtId="164" fontId="10" fillId="4" borderId="8" xfId="1" applyNumberFormat="1" applyFont="1" applyFill="1" applyBorder="1" applyAlignment="1">
      <alignment horizontal="center" vertical="center"/>
    </xf>
    <xf numFmtId="169" fontId="3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171" fontId="17" fillId="0" borderId="0" xfId="0" applyNumberFormat="1" applyFont="1" applyFill="1" applyBorder="1" applyAlignment="1">
      <alignment horizontal="center"/>
    </xf>
    <xf numFmtId="177" fontId="12" fillId="14" borderId="8" xfId="3" applyNumberFormat="1" applyFont="1" applyFill="1" applyBorder="1" applyAlignment="1">
      <alignment horizontal="center" vertical="center"/>
    </xf>
    <xf numFmtId="177" fontId="12" fillId="2" borderId="8" xfId="3" applyNumberFormat="1" applyFont="1" applyFill="1" applyBorder="1" applyAlignment="1">
      <alignment horizontal="center" vertical="center"/>
    </xf>
    <xf numFmtId="177" fontId="12" fillId="4" borderId="8" xfId="3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66" xfId="0" applyFont="1" applyFill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Обычный 2" xfId="2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168852</xdr:colOff>
      <xdr:row>0</xdr:row>
      <xdr:rowOff>0</xdr:rowOff>
    </xdr:from>
    <xdr:to>
      <xdr:col>4</xdr:col>
      <xdr:colOff>580159</xdr:colOff>
      <xdr:row>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flipH="1">
          <a:off x="168852" y="182879"/>
          <a:ext cx="4990927" cy="156210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b"/>
        <a:lstStyle/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گروپ کمپنی های</a:t>
          </a:r>
          <a:r>
            <a:rPr kumimoji="0" lang="en-US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فواد صدیقی لمیتد</a:t>
          </a: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Bell MT" panose="02020503060305020303" pitchFamily="18" charset="0"/>
              <a:ea typeface="+mn-ea"/>
              <a:cs typeface="Mehr" panose="00000700000000000000" pitchFamily="2" charset="-78"/>
            </a:rPr>
            <a:t>Fawad Saddiqi Group of Companies</a:t>
          </a:r>
          <a:endParaRPr kumimoji="0" lang="en-US" sz="2800" b="1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Bell MT" panose="02020503060305020303" pitchFamily="18" charset="0"/>
            <a:ea typeface="+mn-ea"/>
            <a:cs typeface="Mehr" panose="00000700000000000000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cs typeface="Mehr" panose="00000700000000000000" pitchFamily="2" charset="-78"/>
            </a:rPr>
            <a:t>           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cs typeface="Mehr" panose="000007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topLeftCell="A55" workbookViewId="0">
      <selection activeCell="P63" sqref="P63"/>
    </sheetView>
  </sheetViews>
  <sheetFormatPr defaultRowHeight="12.75" x14ac:dyDescent="0.2"/>
  <cols>
    <col min="1" max="1" width="4.140625" style="1" customWidth="1"/>
    <col min="2" max="2" width="11.7109375" style="1" customWidth="1"/>
    <col min="3" max="3" width="9.28515625" style="1" customWidth="1"/>
    <col min="4" max="4" width="35.140625" style="16" customWidth="1"/>
    <col min="5" max="5" width="27.140625" style="16" customWidth="1"/>
    <col min="6" max="6" width="12.85546875" style="17" customWidth="1"/>
    <col min="7" max="7" width="10.85546875" style="18" customWidth="1"/>
    <col min="8" max="8" width="8.85546875" style="19" customWidth="1"/>
    <col min="9" max="9" width="8.7109375" style="18" customWidth="1"/>
    <col min="10" max="10" width="13.85546875" style="20" customWidth="1"/>
    <col min="11" max="11" width="12.7109375" style="21" customWidth="1"/>
    <col min="12" max="12" width="15" style="22" customWidth="1"/>
    <col min="13" max="13" width="6" style="1" customWidth="1"/>
    <col min="14" max="14" width="1.140625" style="1" customWidth="1"/>
    <col min="15" max="15" width="8.85546875" style="1"/>
    <col min="16" max="16" width="10" style="1" bestFit="1" customWidth="1"/>
    <col min="17" max="254" width="8.85546875" style="1"/>
    <col min="255" max="255" width="5.5703125" style="1" bestFit="1" customWidth="1"/>
    <col min="256" max="256" width="9.28515625" style="1" customWidth="1"/>
    <col min="257" max="257" width="24.7109375" style="1" customWidth="1"/>
    <col min="258" max="258" width="11" style="1" bestFit="1" customWidth="1"/>
    <col min="259" max="259" width="7.5703125" style="1" bestFit="1" customWidth="1"/>
    <col min="260" max="260" width="13.5703125" style="1" customWidth="1"/>
    <col min="261" max="261" width="5.42578125" style="1" bestFit="1" customWidth="1"/>
    <col min="262" max="262" width="11.28515625" style="1" bestFit="1" customWidth="1"/>
    <col min="263" max="263" width="5.7109375" style="1" bestFit="1" customWidth="1"/>
    <col min="264" max="264" width="12" style="1" customWidth="1"/>
    <col min="265" max="265" width="15.42578125" style="1" bestFit="1" customWidth="1"/>
    <col min="266" max="267" width="15.140625" style="1" bestFit="1" customWidth="1"/>
    <col min="268" max="268" width="14.28515625" style="1" bestFit="1" customWidth="1"/>
    <col min="269" max="269" width="3.140625" style="1" customWidth="1"/>
    <col min="270" max="270" width="6.42578125" style="1" customWidth="1"/>
    <col min="271" max="510" width="8.85546875" style="1"/>
    <col min="511" max="511" width="5.5703125" style="1" bestFit="1" customWidth="1"/>
    <col min="512" max="512" width="9.28515625" style="1" customWidth="1"/>
    <col min="513" max="513" width="24.7109375" style="1" customWidth="1"/>
    <col min="514" max="514" width="11" style="1" bestFit="1" customWidth="1"/>
    <col min="515" max="515" width="7.5703125" style="1" bestFit="1" customWidth="1"/>
    <col min="516" max="516" width="13.5703125" style="1" customWidth="1"/>
    <col min="517" max="517" width="5.42578125" style="1" bestFit="1" customWidth="1"/>
    <col min="518" max="518" width="11.28515625" style="1" bestFit="1" customWidth="1"/>
    <col min="519" max="519" width="5.7109375" style="1" bestFit="1" customWidth="1"/>
    <col min="520" max="520" width="12" style="1" customWidth="1"/>
    <col min="521" max="521" width="15.42578125" style="1" bestFit="1" customWidth="1"/>
    <col min="522" max="523" width="15.140625" style="1" bestFit="1" customWidth="1"/>
    <col min="524" max="524" width="14.28515625" style="1" bestFit="1" customWidth="1"/>
    <col min="525" max="525" width="3.140625" style="1" customWidth="1"/>
    <col min="526" max="526" width="6.42578125" style="1" customWidth="1"/>
    <col min="527" max="766" width="8.85546875" style="1"/>
    <col min="767" max="767" width="5.5703125" style="1" bestFit="1" customWidth="1"/>
    <col min="768" max="768" width="9.28515625" style="1" customWidth="1"/>
    <col min="769" max="769" width="24.7109375" style="1" customWidth="1"/>
    <col min="770" max="770" width="11" style="1" bestFit="1" customWidth="1"/>
    <col min="771" max="771" width="7.5703125" style="1" bestFit="1" customWidth="1"/>
    <col min="772" max="772" width="13.5703125" style="1" customWidth="1"/>
    <col min="773" max="773" width="5.42578125" style="1" bestFit="1" customWidth="1"/>
    <col min="774" max="774" width="11.28515625" style="1" bestFit="1" customWidth="1"/>
    <col min="775" max="775" width="5.7109375" style="1" bestFit="1" customWidth="1"/>
    <col min="776" max="776" width="12" style="1" customWidth="1"/>
    <col min="777" max="777" width="15.42578125" style="1" bestFit="1" customWidth="1"/>
    <col min="778" max="779" width="15.140625" style="1" bestFit="1" customWidth="1"/>
    <col min="780" max="780" width="14.28515625" style="1" bestFit="1" customWidth="1"/>
    <col min="781" max="781" width="3.140625" style="1" customWidth="1"/>
    <col min="782" max="782" width="6.42578125" style="1" customWidth="1"/>
    <col min="783" max="1022" width="8.85546875" style="1"/>
    <col min="1023" max="1023" width="5.5703125" style="1" bestFit="1" customWidth="1"/>
    <col min="1024" max="1024" width="9.28515625" style="1" customWidth="1"/>
    <col min="1025" max="1025" width="24.7109375" style="1" customWidth="1"/>
    <col min="1026" max="1026" width="11" style="1" bestFit="1" customWidth="1"/>
    <col min="1027" max="1027" width="7.5703125" style="1" bestFit="1" customWidth="1"/>
    <col min="1028" max="1028" width="13.5703125" style="1" customWidth="1"/>
    <col min="1029" max="1029" width="5.42578125" style="1" bestFit="1" customWidth="1"/>
    <col min="1030" max="1030" width="11.28515625" style="1" bestFit="1" customWidth="1"/>
    <col min="1031" max="1031" width="5.7109375" style="1" bestFit="1" customWidth="1"/>
    <col min="1032" max="1032" width="12" style="1" customWidth="1"/>
    <col min="1033" max="1033" width="15.42578125" style="1" bestFit="1" customWidth="1"/>
    <col min="1034" max="1035" width="15.140625" style="1" bestFit="1" customWidth="1"/>
    <col min="1036" max="1036" width="14.28515625" style="1" bestFit="1" customWidth="1"/>
    <col min="1037" max="1037" width="3.140625" style="1" customWidth="1"/>
    <col min="1038" max="1038" width="6.42578125" style="1" customWidth="1"/>
    <col min="1039" max="1278" width="8.85546875" style="1"/>
    <col min="1279" max="1279" width="5.5703125" style="1" bestFit="1" customWidth="1"/>
    <col min="1280" max="1280" width="9.28515625" style="1" customWidth="1"/>
    <col min="1281" max="1281" width="24.7109375" style="1" customWidth="1"/>
    <col min="1282" max="1282" width="11" style="1" bestFit="1" customWidth="1"/>
    <col min="1283" max="1283" width="7.5703125" style="1" bestFit="1" customWidth="1"/>
    <col min="1284" max="1284" width="13.5703125" style="1" customWidth="1"/>
    <col min="1285" max="1285" width="5.42578125" style="1" bestFit="1" customWidth="1"/>
    <col min="1286" max="1286" width="11.28515625" style="1" bestFit="1" customWidth="1"/>
    <col min="1287" max="1287" width="5.7109375" style="1" bestFit="1" customWidth="1"/>
    <col min="1288" max="1288" width="12" style="1" customWidth="1"/>
    <col min="1289" max="1289" width="15.42578125" style="1" bestFit="1" customWidth="1"/>
    <col min="1290" max="1291" width="15.140625" style="1" bestFit="1" customWidth="1"/>
    <col min="1292" max="1292" width="14.28515625" style="1" bestFit="1" customWidth="1"/>
    <col min="1293" max="1293" width="3.140625" style="1" customWidth="1"/>
    <col min="1294" max="1294" width="6.42578125" style="1" customWidth="1"/>
    <col min="1295" max="1534" width="8.85546875" style="1"/>
    <col min="1535" max="1535" width="5.5703125" style="1" bestFit="1" customWidth="1"/>
    <col min="1536" max="1536" width="9.28515625" style="1" customWidth="1"/>
    <col min="1537" max="1537" width="24.7109375" style="1" customWidth="1"/>
    <col min="1538" max="1538" width="11" style="1" bestFit="1" customWidth="1"/>
    <col min="1539" max="1539" width="7.5703125" style="1" bestFit="1" customWidth="1"/>
    <col min="1540" max="1540" width="13.5703125" style="1" customWidth="1"/>
    <col min="1541" max="1541" width="5.42578125" style="1" bestFit="1" customWidth="1"/>
    <col min="1542" max="1542" width="11.28515625" style="1" bestFit="1" customWidth="1"/>
    <col min="1543" max="1543" width="5.7109375" style="1" bestFit="1" customWidth="1"/>
    <col min="1544" max="1544" width="12" style="1" customWidth="1"/>
    <col min="1545" max="1545" width="15.42578125" style="1" bestFit="1" customWidth="1"/>
    <col min="1546" max="1547" width="15.140625" style="1" bestFit="1" customWidth="1"/>
    <col min="1548" max="1548" width="14.28515625" style="1" bestFit="1" customWidth="1"/>
    <col min="1549" max="1549" width="3.140625" style="1" customWidth="1"/>
    <col min="1550" max="1550" width="6.42578125" style="1" customWidth="1"/>
    <col min="1551" max="1790" width="8.85546875" style="1"/>
    <col min="1791" max="1791" width="5.5703125" style="1" bestFit="1" customWidth="1"/>
    <col min="1792" max="1792" width="9.28515625" style="1" customWidth="1"/>
    <col min="1793" max="1793" width="24.7109375" style="1" customWidth="1"/>
    <col min="1794" max="1794" width="11" style="1" bestFit="1" customWidth="1"/>
    <col min="1795" max="1795" width="7.5703125" style="1" bestFit="1" customWidth="1"/>
    <col min="1796" max="1796" width="13.5703125" style="1" customWidth="1"/>
    <col min="1797" max="1797" width="5.42578125" style="1" bestFit="1" customWidth="1"/>
    <col min="1798" max="1798" width="11.28515625" style="1" bestFit="1" customWidth="1"/>
    <col min="1799" max="1799" width="5.7109375" style="1" bestFit="1" customWidth="1"/>
    <col min="1800" max="1800" width="12" style="1" customWidth="1"/>
    <col min="1801" max="1801" width="15.42578125" style="1" bestFit="1" customWidth="1"/>
    <col min="1802" max="1803" width="15.140625" style="1" bestFit="1" customWidth="1"/>
    <col min="1804" max="1804" width="14.28515625" style="1" bestFit="1" customWidth="1"/>
    <col min="1805" max="1805" width="3.140625" style="1" customWidth="1"/>
    <col min="1806" max="1806" width="6.42578125" style="1" customWidth="1"/>
    <col min="1807" max="2046" width="8.85546875" style="1"/>
    <col min="2047" max="2047" width="5.5703125" style="1" bestFit="1" customWidth="1"/>
    <col min="2048" max="2048" width="9.28515625" style="1" customWidth="1"/>
    <col min="2049" max="2049" width="24.7109375" style="1" customWidth="1"/>
    <col min="2050" max="2050" width="11" style="1" bestFit="1" customWidth="1"/>
    <col min="2051" max="2051" width="7.5703125" style="1" bestFit="1" customWidth="1"/>
    <col min="2052" max="2052" width="13.5703125" style="1" customWidth="1"/>
    <col min="2053" max="2053" width="5.42578125" style="1" bestFit="1" customWidth="1"/>
    <col min="2054" max="2054" width="11.28515625" style="1" bestFit="1" customWidth="1"/>
    <col min="2055" max="2055" width="5.7109375" style="1" bestFit="1" customWidth="1"/>
    <col min="2056" max="2056" width="12" style="1" customWidth="1"/>
    <col min="2057" max="2057" width="15.42578125" style="1" bestFit="1" customWidth="1"/>
    <col min="2058" max="2059" width="15.140625" style="1" bestFit="1" customWidth="1"/>
    <col min="2060" max="2060" width="14.28515625" style="1" bestFit="1" customWidth="1"/>
    <col min="2061" max="2061" width="3.140625" style="1" customWidth="1"/>
    <col min="2062" max="2062" width="6.42578125" style="1" customWidth="1"/>
    <col min="2063" max="2302" width="8.85546875" style="1"/>
    <col min="2303" max="2303" width="5.5703125" style="1" bestFit="1" customWidth="1"/>
    <col min="2304" max="2304" width="9.28515625" style="1" customWidth="1"/>
    <col min="2305" max="2305" width="24.7109375" style="1" customWidth="1"/>
    <col min="2306" max="2306" width="11" style="1" bestFit="1" customWidth="1"/>
    <col min="2307" max="2307" width="7.5703125" style="1" bestFit="1" customWidth="1"/>
    <col min="2308" max="2308" width="13.5703125" style="1" customWidth="1"/>
    <col min="2309" max="2309" width="5.42578125" style="1" bestFit="1" customWidth="1"/>
    <col min="2310" max="2310" width="11.28515625" style="1" bestFit="1" customWidth="1"/>
    <col min="2311" max="2311" width="5.7109375" style="1" bestFit="1" customWidth="1"/>
    <col min="2312" max="2312" width="12" style="1" customWidth="1"/>
    <col min="2313" max="2313" width="15.42578125" style="1" bestFit="1" customWidth="1"/>
    <col min="2314" max="2315" width="15.140625" style="1" bestFit="1" customWidth="1"/>
    <col min="2316" max="2316" width="14.28515625" style="1" bestFit="1" customWidth="1"/>
    <col min="2317" max="2317" width="3.140625" style="1" customWidth="1"/>
    <col min="2318" max="2318" width="6.42578125" style="1" customWidth="1"/>
    <col min="2319" max="2558" width="8.85546875" style="1"/>
    <col min="2559" max="2559" width="5.5703125" style="1" bestFit="1" customWidth="1"/>
    <col min="2560" max="2560" width="9.28515625" style="1" customWidth="1"/>
    <col min="2561" max="2561" width="24.7109375" style="1" customWidth="1"/>
    <col min="2562" max="2562" width="11" style="1" bestFit="1" customWidth="1"/>
    <col min="2563" max="2563" width="7.5703125" style="1" bestFit="1" customWidth="1"/>
    <col min="2564" max="2564" width="13.5703125" style="1" customWidth="1"/>
    <col min="2565" max="2565" width="5.42578125" style="1" bestFit="1" customWidth="1"/>
    <col min="2566" max="2566" width="11.28515625" style="1" bestFit="1" customWidth="1"/>
    <col min="2567" max="2567" width="5.7109375" style="1" bestFit="1" customWidth="1"/>
    <col min="2568" max="2568" width="12" style="1" customWidth="1"/>
    <col min="2569" max="2569" width="15.42578125" style="1" bestFit="1" customWidth="1"/>
    <col min="2570" max="2571" width="15.140625" style="1" bestFit="1" customWidth="1"/>
    <col min="2572" max="2572" width="14.28515625" style="1" bestFit="1" customWidth="1"/>
    <col min="2573" max="2573" width="3.140625" style="1" customWidth="1"/>
    <col min="2574" max="2574" width="6.42578125" style="1" customWidth="1"/>
    <col min="2575" max="2814" width="8.85546875" style="1"/>
    <col min="2815" max="2815" width="5.5703125" style="1" bestFit="1" customWidth="1"/>
    <col min="2816" max="2816" width="9.28515625" style="1" customWidth="1"/>
    <col min="2817" max="2817" width="24.7109375" style="1" customWidth="1"/>
    <col min="2818" max="2818" width="11" style="1" bestFit="1" customWidth="1"/>
    <col min="2819" max="2819" width="7.5703125" style="1" bestFit="1" customWidth="1"/>
    <col min="2820" max="2820" width="13.5703125" style="1" customWidth="1"/>
    <col min="2821" max="2821" width="5.42578125" style="1" bestFit="1" customWidth="1"/>
    <col min="2822" max="2822" width="11.28515625" style="1" bestFit="1" customWidth="1"/>
    <col min="2823" max="2823" width="5.7109375" style="1" bestFit="1" customWidth="1"/>
    <col min="2824" max="2824" width="12" style="1" customWidth="1"/>
    <col min="2825" max="2825" width="15.42578125" style="1" bestFit="1" customWidth="1"/>
    <col min="2826" max="2827" width="15.140625" style="1" bestFit="1" customWidth="1"/>
    <col min="2828" max="2828" width="14.28515625" style="1" bestFit="1" customWidth="1"/>
    <col min="2829" max="2829" width="3.140625" style="1" customWidth="1"/>
    <col min="2830" max="2830" width="6.42578125" style="1" customWidth="1"/>
    <col min="2831" max="3070" width="8.85546875" style="1"/>
    <col min="3071" max="3071" width="5.5703125" style="1" bestFit="1" customWidth="1"/>
    <col min="3072" max="3072" width="9.28515625" style="1" customWidth="1"/>
    <col min="3073" max="3073" width="24.7109375" style="1" customWidth="1"/>
    <col min="3074" max="3074" width="11" style="1" bestFit="1" customWidth="1"/>
    <col min="3075" max="3075" width="7.5703125" style="1" bestFit="1" customWidth="1"/>
    <col min="3076" max="3076" width="13.5703125" style="1" customWidth="1"/>
    <col min="3077" max="3077" width="5.42578125" style="1" bestFit="1" customWidth="1"/>
    <col min="3078" max="3078" width="11.28515625" style="1" bestFit="1" customWidth="1"/>
    <col min="3079" max="3079" width="5.7109375" style="1" bestFit="1" customWidth="1"/>
    <col min="3080" max="3080" width="12" style="1" customWidth="1"/>
    <col min="3081" max="3081" width="15.42578125" style="1" bestFit="1" customWidth="1"/>
    <col min="3082" max="3083" width="15.140625" style="1" bestFit="1" customWidth="1"/>
    <col min="3084" max="3084" width="14.28515625" style="1" bestFit="1" customWidth="1"/>
    <col min="3085" max="3085" width="3.140625" style="1" customWidth="1"/>
    <col min="3086" max="3086" width="6.42578125" style="1" customWidth="1"/>
    <col min="3087" max="3326" width="8.85546875" style="1"/>
    <col min="3327" max="3327" width="5.5703125" style="1" bestFit="1" customWidth="1"/>
    <col min="3328" max="3328" width="9.28515625" style="1" customWidth="1"/>
    <col min="3329" max="3329" width="24.7109375" style="1" customWidth="1"/>
    <col min="3330" max="3330" width="11" style="1" bestFit="1" customWidth="1"/>
    <col min="3331" max="3331" width="7.5703125" style="1" bestFit="1" customWidth="1"/>
    <col min="3332" max="3332" width="13.5703125" style="1" customWidth="1"/>
    <col min="3333" max="3333" width="5.42578125" style="1" bestFit="1" customWidth="1"/>
    <col min="3334" max="3334" width="11.28515625" style="1" bestFit="1" customWidth="1"/>
    <col min="3335" max="3335" width="5.7109375" style="1" bestFit="1" customWidth="1"/>
    <col min="3336" max="3336" width="12" style="1" customWidth="1"/>
    <col min="3337" max="3337" width="15.42578125" style="1" bestFit="1" customWidth="1"/>
    <col min="3338" max="3339" width="15.140625" style="1" bestFit="1" customWidth="1"/>
    <col min="3340" max="3340" width="14.28515625" style="1" bestFit="1" customWidth="1"/>
    <col min="3341" max="3341" width="3.140625" style="1" customWidth="1"/>
    <col min="3342" max="3342" width="6.42578125" style="1" customWidth="1"/>
    <col min="3343" max="3582" width="8.85546875" style="1"/>
    <col min="3583" max="3583" width="5.5703125" style="1" bestFit="1" customWidth="1"/>
    <col min="3584" max="3584" width="9.28515625" style="1" customWidth="1"/>
    <col min="3585" max="3585" width="24.7109375" style="1" customWidth="1"/>
    <col min="3586" max="3586" width="11" style="1" bestFit="1" customWidth="1"/>
    <col min="3587" max="3587" width="7.5703125" style="1" bestFit="1" customWidth="1"/>
    <col min="3588" max="3588" width="13.5703125" style="1" customWidth="1"/>
    <col min="3589" max="3589" width="5.42578125" style="1" bestFit="1" customWidth="1"/>
    <col min="3590" max="3590" width="11.28515625" style="1" bestFit="1" customWidth="1"/>
    <col min="3591" max="3591" width="5.7109375" style="1" bestFit="1" customWidth="1"/>
    <col min="3592" max="3592" width="12" style="1" customWidth="1"/>
    <col min="3593" max="3593" width="15.42578125" style="1" bestFit="1" customWidth="1"/>
    <col min="3594" max="3595" width="15.140625" style="1" bestFit="1" customWidth="1"/>
    <col min="3596" max="3596" width="14.28515625" style="1" bestFit="1" customWidth="1"/>
    <col min="3597" max="3597" width="3.140625" style="1" customWidth="1"/>
    <col min="3598" max="3598" width="6.42578125" style="1" customWidth="1"/>
    <col min="3599" max="3838" width="8.85546875" style="1"/>
    <col min="3839" max="3839" width="5.5703125" style="1" bestFit="1" customWidth="1"/>
    <col min="3840" max="3840" width="9.28515625" style="1" customWidth="1"/>
    <col min="3841" max="3841" width="24.7109375" style="1" customWidth="1"/>
    <col min="3842" max="3842" width="11" style="1" bestFit="1" customWidth="1"/>
    <col min="3843" max="3843" width="7.5703125" style="1" bestFit="1" customWidth="1"/>
    <col min="3844" max="3844" width="13.5703125" style="1" customWidth="1"/>
    <col min="3845" max="3845" width="5.42578125" style="1" bestFit="1" customWidth="1"/>
    <col min="3846" max="3846" width="11.28515625" style="1" bestFit="1" customWidth="1"/>
    <col min="3847" max="3847" width="5.7109375" style="1" bestFit="1" customWidth="1"/>
    <col min="3848" max="3848" width="12" style="1" customWidth="1"/>
    <col min="3849" max="3849" width="15.42578125" style="1" bestFit="1" customWidth="1"/>
    <col min="3850" max="3851" width="15.140625" style="1" bestFit="1" customWidth="1"/>
    <col min="3852" max="3852" width="14.28515625" style="1" bestFit="1" customWidth="1"/>
    <col min="3853" max="3853" width="3.140625" style="1" customWidth="1"/>
    <col min="3854" max="3854" width="6.42578125" style="1" customWidth="1"/>
    <col min="3855" max="4094" width="8.85546875" style="1"/>
    <col min="4095" max="4095" width="5.5703125" style="1" bestFit="1" customWidth="1"/>
    <col min="4096" max="4096" width="9.28515625" style="1" customWidth="1"/>
    <col min="4097" max="4097" width="24.7109375" style="1" customWidth="1"/>
    <col min="4098" max="4098" width="11" style="1" bestFit="1" customWidth="1"/>
    <col min="4099" max="4099" width="7.5703125" style="1" bestFit="1" customWidth="1"/>
    <col min="4100" max="4100" width="13.5703125" style="1" customWidth="1"/>
    <col min="4101" max="4101" width="5.42578125" style="1" bestFit="1" customWidth="1"/>
    <col min="4102" max="4102" width="11.28515625" style="1" bestFit="1" customWidth="1"/>
    <col min="4103" max="4103" width="5.7109375" style="1" bestFit="1" customWidth="1"/>
    <col min="4104" max="4104" width="12" style="1" customWidth="1"/>
    <col min="4105" max="4105" width="15.42578125" style="1" bestFit="1" customWidth="1"/>
    <col min="4106" max="4107" width="15.140625" style="1" bestFit="1" customWidth="1"/>
    <col min="4108" max="4108" width="14.28515625" style="1" bestFit="1" customWidth="1"/>
    <col min="4109" max="4109" width="3.140625" style="1" customWidth="1"/>
    <col min="4110" max="4110" width="6.42578125" style="1" customWidth="1"/>
    <col min="4111" max="4350" width="8.85546875" style="1"/>
    <col min="4351" max="4351" width="5.5703125" style="1" bestFit="1" customWidth="1"/>
    <col min="4352" max="4352" width="9.28515625" style="1" customWidth="1"/>
    <col min="4353" max="4353" width="24.7109375" style="1" customWidth="1"/>
    <col min="4354" max="4354" width="11" style="1" bestFit="1" customWidth="1"/>
    <col min="4355" max="4355" width="7.5703125" style="1" bestFit="1" customWidth="1"/>
    <col min="4356" max="4356" width="13.5703125" style="1" customWidth="1"/>
    <col min="4357" max="4357" width="5.42578125" style="1" bestFit="1" customWidth="1"/>
    <col min="4358" max="4358" width="11.28515625" style="1" bestFit="1" customWidth="1"/>
    <col min="4359" max="4359" width="5.7109375" style="1" bestFit="1" customWidth="1"/>
    <col min="4360" max="4360" width="12" style="1" customWidth="1"/>
    <col min="4361" max="4361" width="15.42578125" style="1" bestFit="1" customWidth="1"/>
    <col min="4362" max="4363" width="15.140625" style="1" bestFit="1" customWidth="1"/>
    <col min="4364" max="4364" width="14.28515625" style="1" bestFit="1" customWidth="1"/>
    <col min="4365" max="4365" width="3.140625" style="1" customWidth="1"/>
    <col min="4366" max="4366" width="6.42578125" style="1" customWidth="1"/>
    <col min="4367" max="4606" width="8.85546875" style="1"/>
    <col min="4607" max="4607" width="5.5703125" style="1" bestFit="1" customWidth="1"/>
    <col min="4608" max="4608" width="9.28515625" style="1" customWidth="1"/>
    <col min="4609" max="4609" width="24.7109375" style="1" customWidth="1"/>
    <col min="4610" max="4610" width="11" style="1" bestFit="1" customWidth="1"/>
    <col min="4611" max="4611" width="7.5703125" style="1" bestFit="1" customWidth="1"/>
    <col min="4612" max="4612" width="13.5703125" style="1" customWidth="1"/>
    <col min="4613" max="4613" width="5.42578125" style="1" bestFit="1" customWidth="1"/>
    <col min="4614" max="4614" width="11.28515625" style="1" bestFit="1" customWidth="1"/>
    <col min="4615" max="4615" width="5.7109375" style="1" bestFit="1" customWidth="1"/>
    <col min="4616" max="4616" width="12" style="1" customWidth="1"/>
    <col min="4617" max="4617" width="15.42578125" style="1" bestFit="1" customWidth="1"/>
    <col min="4618" max="4619" width="15.140625" style="1" bestFit="1" customWidth="1"/>
    <col min="4620" max="4620" width="14.28515625" style="1" bestFit="1" customWidth="1"/>
    <col min="4621" max="4621" width="3.140625" style="1" customWidth="1"/>
    <col min="4622" max="4622" width="6.42578125" style="1" customWidth="1"/>
    <col min="4623" max="4862" width="8.85546875" style="1"/>
    <col min="4863" max="4863" width="5.5703125" style="1" bestFit="1" customWidth="1"/>
    <col min="4864" max="4864" width="9.28515625" style="1" customWidth="1"/>
    <col min="4865" max="4865" width="24.7109375" style="1" customWidth="1"/>
    <col min="4866" max="4866" width="11" style="1" bestFit="1" customWidth="1"/>
    <col min="4867" max="4867" width="7.5703125" style="1" bestFit="1" customWidth="1"/>
    <col min="4868" max="4868" width="13.5703125" style="1" customWidth="1"/>
    <col min="4869" max="4869" width="5.42578125" style="1" bestFit="1" customWidth="1"/>
    <col min="4870" max="4870" width="11.28515625" style="1" bestFit="1" customWidth="1"/>
    <col min="4871" max="4871" width="5.7109375" style="1" bestFit="1" customWidth="1"/>
    <col min="4872" max="4872" width="12" style="1" customWidth="1"/>
    <col min="4873" max="4873" width="15.42578125" style="1" bestFit="1" customWidth="1"/>
    <col min="4874" max="4875" width="15.140625" style="1" bestFit="1" customWidth="1"/>
    <col min="4876" max="4876" width="14.28515625" style="1" bestFit="1" customWidth="1"/>
    <col min="4877" max="4877" width="3.140625" style="1" customWidth="1"/>
    <col min="4878" max="4878" width="6.42578125" style="1" customWidth="1"/>
    <col min="4879" max="5118" width="8.85546875" style="1"/>
    <col min="5119" max="5119" width="5.5703125" style="1" bestFit="1" customWidth="1"/>
    <col min="5120" max="5120" width="9.28515625" style="1" customWidth="1"/>
    <col min="5121" max="5121" width="24.7109375" style="1" customWidth="1"/>
    <col min="5122" max="5122" width="11" style="1" bestFit="1" customWidth="1"/>
    <col min="5123" max="5123" width="7.5703125" style="1" bestFit="1" customWidth="1"/>
    <col min="5124" max="5124" width="13.5703125" style="1" customWidth="1"/>
    <col min="5125" max="5125" width="5.42578125" style="1" bestFit="1" customWidth="1"/>
    <col min="5126" max="5126" width="11.28515625" style="1" bestFit="1" customWidth="1"/>
    <col min="5127" max="5127" width="5.7109375" style="1" bestFit="1" customWidth="1"/>
    <col min="5128" max="5128" width="12" style="1" customWidth="1"/>
    <col min="5129" max="5129" width="15.42578125" style="1" bestFit="1" customWidth="1"/>
    <col min="5130" max="5131" width="15.140625" style="1" bestFit="1" customWidth="1"/>
    <col min="5132" max="5132" width="14.28515625" style="1" bestFit="1" customWidth="1"/>
    <col min="5133" max="5133" width="3.140625" style="1" customWidth="1"/>
    <col min="5134" max="5134" width="6.42578125" style="1" customWidth="1"/>
    <col min="5135" max="5374" width="8.85546875" style="1"/>
    <col min="5375" max="5375" width="5.5703125" style="1" bestFit="1" customWidth="1"/>
    <col min="5376" max="5376" width="9.28515625" style="1" customWidth="1"/>
    <col min="5377" max="5377" width="24.7109375" style="1" customWidth="1"/>
    <col min="5378" max="5378" width="11" style="1" bestFit="1" customWidth="1"/>
    <col min="5379" max="5379" width="7.5703125" style="1" bestFit="1" customWidth="1"/>
    <col min="5380" max="5380" width="13.5703125" style="1" customWidth="1"/>
    <col min="5381" max="5381" width="5.42578125" style="1" bestFit="1" customWidth="1"/>
    <col min="5382" max="5382" width="11.28515625" style="1" bestFit="1" customWidth="1"/>
    <col min="5383" max="5383" width="5.7109375" style="1" bestFit="1" customWidth="1"/>
    <col min="5384" max="5384" width="12" style="1" customWidth="1"/>
    <col min="5385" max="5385" width="15.42578125" style="1" bestFit="1" customWidth="1"/>
    <col min="5386" max="5387" width="15.140625" style="1" bestFit="1" customWidth="1"/>
    <col min="5388" max="5388" width="14.28515625" style="1" bestFit="1" customWidth="1"/>
    <col min="5389" max="5389" width="3.140625" style="1" customWidth="1"/>
    <col min="5390" max="5390" width="6.42578125" style="1" customWidth="1"/>
    <col min="5391" max="5630" width="8.85546875" style="1"/>
    <col min="5631" max="5631" width="5.5703125" style="1" bestFit="1" customWidth="1"/>
    <col min="5632" max="5632" width="9.28515625" style="1" customWidth="1"/>
    <col min="5633" max="5633" width="24.7109375" style="1" customWidth="1"/>
    <col min="5634" max="5634" width="11" style="1" bestFit="1" customWidth="1"/>
    <col min="5635" max="5635" width="7.5703125" style="1" bestFit="1" customWidth="1"/>
    <col min="5636" max="5636" width="13.5703125" style="1" customWidth="1"/>
    <col min="5637" max="5637" width="5.42578125" style="1" bestFit="1" customWidth="1"/>
    <col min="5638" max="5638" width="11.28515625" style="1" bestFit="1" customWidth="1"/>
    <col min="5639" max="5639" width="5.7109375" style="1" bestFit="1" customWidth="1"/>
    <col min="5640" max="5640" width="12" style="1" customWidth="1"/>
    <col min="5641" max="5641" width="15.42578125" style="1" bestFit="1" customWidth="1"/>
    <col min="5642" max="5643" width="15.140625" style="1" bestFit="1" customWidth="1"/>
    <col min="5644" max="5644" width="14.28515625" style="1" bestFit="1" customWidth="1"/>
    <col min="5645" max="5645" width="3.140625" style="1" customWidth="1"/>
    <col min="5646" max="5646" width="6.42578125" style="1" customWidth="1"/>
    <col min="5647" max="5886" width="8.85546875" style="1"/>
    <col min="5887" max="5887" width="5.5703125" style="1" bestFit="1" customWidth="1"/>
    <col min="5888" max="5888" width="9.28515625" style="1" customWidth="1"/>
    <col min="5889" max="5889" width="24.7109375" style="1" customWidth="1"/>
    <col min="5890" max="5890" width="11" style="1" bestFit="1" customWidth="1"/>
    <col min="5891" max="5891" width="7.5703125" style="1" bestFit="1" customWidth="1"/>
    <col min="5892" max="5892" width="13.5703125" style="1" customWidth="1"/>
    <col min="5893" max="5893" width="5.42578125" style="1" bestFit="1" customWidth="1"/>
    <col min="5894" max="5894" width="11.28515625" style="1" bestFit="1" customWidth="1"/>
    <col min="5895" max="5895" width="5.7109375" style="1" bestFit="1" customWidth="1"/>
    <col min="5896" max="5896" width="12" style="1" customWidth="1"/>
    <col min="5897" max="5897" width="15.42578125" style="1" bestFit="1" customWidth="1"/>
    <col min="5898" max="5899" width="15.140625" style="1" bestFit="1" customWidth="1"/>
    <col min="5900" max="5900" width="14.28515625" style="1" bestFit="1" customWidth="1"/>
    <col min="5901" max="5901" width="3.140625" style="1" customWidth="1"/>
    <col min="5902" max="5902" width="6.42578125" style="1" customWidth="1"/>
    <col min="5903" max="6142" width="8.85546875" style="1"/>
    <col min="6143" max="6143" width="5.5703125" style="1" bestFit="1" customWidth="1"/>
    <col min="6144" max="6144" width="9.28515625" style="1" customWidth="1"/>
    <col min="6145" max="6145" width="24.7109375" style="1" customWidth="1"/>
    <col min="6146" max="6146" width="11" style="1" bestFit="1" customWidth="1"/>
    <col min="6147" max="6147" width="7.5703125" style="1" bestFit="1" customWidth="1"/>
    <col min="6148" max="6148" width="13.5703125" style="1" customWidth="1"/>
    <col min="6149" max="6149" width="5.42578125" style="1" bestFit="1" customWidth="1"/>
    <col min="6150" max="6150" width="11.28515625" style="1" bestFit="1" customWidth="1"/>
    <col min="6151" max="6151" width="5.7109375" style="1" bestFit="1" customWidth="1"/>
    <col min="6152" max="6152" width="12" style="1" customWidth="1"/>
    <col min="6153" max="6153" width="15.42578125" style="1" bestFit="1" customWidth="1"/>
    <col min="6154" max="6155" width="15.140625" style="1" bestFit="1" customWidth="1"/>
    <col min="6156" max="6156" width="14.28515625" style="1" bestFit="1" customWidth="1"/>
    <col min="6157" max="6157" width="3.140625" style="1" customWidth="1"/>
    <col min="6158" max="6158" width="6.42578125" style="1" customWidth="1"/>
    <col min="6159" max="6398" width="8.85546875" style="1"/>
    <col min="6399" max="6399" width="5.5703125" style="1" bestFit="1" customWidth="1"/>
    <col min="6400" max="6400" width="9.28515625" style="1" customWidth="1"/>
    <col min="6401" max="6401" width="24.7109375" style="1" customWidth="1"/>
    <col min="6402" max="6402" width="11" style="1" bestFit="1" customWidth="1"/>
    <col min="6403" max="6403" width="7.5703125" style="1" bestFit="1" customWidth="1"/>
    <col min="6404" max="6404" width="13.5703125" style="1" customWidth="1"/>
    <col min="6405" max="6405" width="5.42578125" style="1" bestFit="1" customWidth="1"/>
    <col min="6406" max="6406" width="11.28515625" style="1" bestFit="1" customWidth="1"/>
    <col min="6407" max="6407" width="5.7109375" style="1" bestFit="1" customWidth="1"/>
    <col min="6408" max="6408" width="12" style="1" customWidth="1"/>
    <col min="6409" max="6409" width="15.42578125" style="1" bestFit="1" customWidth="1"/>
    <col min="6410" max="6411" width="15.140625" style="1" bestFit="1" customWidth="1"/>
    <col min="6412" max="6412" width="14.28515625" style="1" bestFit="1" customWidth="1"/>
    <col min="6413" max="6413" width="3.140625" style="1" customWidth="1"/>
    <col min="6414" max="6414" width="6.42578125" style="1" customWidth="1"/>
    <col min="6415" max="6654" width="8.85546875" style="1"/>
    <col min="6655" max="6655" width="5.5703125" style="1" bestFit="1" customWidth="1"/>
    <col min="6656" max="6656" width="9.28515625" style="1" customWidth="1"/>
    <col min="6657" max="6657" width="24.7109375" style="1" customWidth="1"/>
    <col min="6658" max="6658" width="11" style="1" bestFit="1" customWidth="1"/>
    <col min="6659" max="6659" width="7.5703125" style="1" bestFit="1" customWidth="1"/>
    <col min="6660" max="6660" width="13.5703125" style="1" customWidth="1"/>
    <col min="6661" max="6661" width="5.42578125" style="1" bestFit="1" customWidth="1"/>
    <col min="6662" max="6662" width="11.28515625" style="1" bestFit="1" customWidth="1"/>
    <col min="6663" max="6663" width="5.7109375" style="1" bestFit="1" customWidth="1"/>
    <col min="6664" max="6664" width="12" style="1" customWidth="1"/>
    <col min="6665" max="6665" width="15.42578125" style="1" bestFit="1" customWidth="1"/>
    <col min="6666" max="6667" width="15.140625" style="1" bestFit="1" customWidth="1"/>
    <col min="6668" max="6668" width="14.28515625" style="1" bestFit="1" customWidth="1"/>
    <col min="6669" max="6669" width="3.140625" style="1" customWidth="1"/>
    <col min="6670" max="6670" width="6.42578125" style="1" customWidth="1"/>
    <col min="6671" max="6910" width="8.85546875" style="1"/>
    <col min="6911" max="6911" width="5.5703125" style="1" bestFit="1" customWidth="1"/>
    <col min="6912" max="6912" width="9.28515625" style="1" customWidth="1"/>
    <col min="6913" max="6913" width="24.7109375" style="1" customWidth="1"/>
    <col min="6914" max="6914" width="11" style="1" bestFit="1" customWidth="1"/>
    <col min="6915" max="6915" width="7.5703125" style="1" bestFit="1" customWidth="1"/>
    <col min="6916" max="6916" width="13.5703125" style="1" customWidth="1"/>
    <col min="6917" max="6917" width="5.42578125" style="1" bestFit="1" customWidth="1"/>
    <col min="6918" max="6918" width="11.28515625" style="1" bestFit="1" customWidth="1"/>
    <col min="6919" max="6919" width="5.7109375" style="1" bestFit="1" customWidth="1"/>
    <col min="6920" max="6920" width="12" style="1" customWidth="1"/>
    <col min="6921" max="6921" width="15.42578125" style="1" bestFit="1" customWidth="1"/>
    <col min="6922" max="6923" width="15.140625" style="1" bestFit="1" customWidth="1"/>
    <col min="6924" max="6924" width="14.28515625" style="1" bestFit="1" customWidth="1"/>
    <col min="6925" max="6925" width="3.140625" style="1" customWidth="1"/>
    <col min="6926" max="6926" width="6.42578125" style="1" customWidth="1"/>
    <col min="6927" max="7166" width="8.85546875" style="1"/>
    <col min="7167" max="7167" width="5.5703125" style="1" bestFit="1" customWidth="1"/>
    <col min="7168" max="7168" width="9.28515625" style="1" customWidth="1"/>
    <col min="7169" max="7169" width="24.7109375" style="1" customWidth="1"/>
    <col min="7170" max="7170" width="11" style="1" bestFit="1" customWidth="1"/>
    <col min="7171" max="7171" width="7.5703125" style="1" bestFit="1" customWidth="1"/>
    <col min="7172" max="7172" width="13.5703125" style="1" customWidth="1"/>
    <col min="7173" max="7173" width="5.42578125" style="1" bestFit="1" customWidth="1"/>
    <col min="7174" max="7174" width="11.28515625" style="1" bestFit="1" customWidth="1"/>
    <col min="7175" max="7175" width="5.7109375" style="1" bestFit="1" customWidth="1"/>
    <col min="7176" max="7176" width="12" style="1" customWidth="1"/>
    <col min="7177" max="7177" width="15.42578125" style="1" bestFit="1" customWidth="1"/>
    <col min="7178" max="7179" width="15.140625" style="1" bestFit="1" customWidth="1"/>
    <col min="7180" max="7180" width="14.28515625" style="1" bestFit="1" customWidth="1"/>
    <col min="7181" max="7181" width="3.140625" style="1" customWidth="1"/>
    <col min="7182" max="7182" width="6.42578125" style="1" customWidth="1"/>
    <col min="7183" max="7422" width="8.85546875" style="1"/>
    <col min="7423" max="7423" width="5.5703125" style="1" bestFit="1" customWidth="1"/>
    <col min="7424" max="7424" width="9.28515625" style="1" customWidth="1"/>
    <col min="7425" max="7425" width="24.7109375" style="1" customWidth="1"/>
    <col min="7426" max="7426" width="11" style="1" bestFit="1" customWidth="1"/>
    <col min="7427" max="7427" width="7.5703125" style="1" bestFit="1" customWidth="1"/>
    <col min="7428" max="7428" width="13.5703125" style="1" customWidth="1"/>
    <col min="7429" max="7429" width="5.42578125" style="1" bestFit="1" customWidth="1"/>
    <col min="7430" max="7430" width="11.28515625" style="1" bestFit="1" customWidth="1"/>
    <col min="7431" max="7431" width="5.7109375" style="1" bestFit="1" customWidth="1"/>
    <col min="7432" max="7432" width="12" style="1" customWidth="1"/>
    <col min="7433" max="7433" width="15.42578125" style="1" bestFit="1" customWidth="1"/>
    <col min="7434" max="7435" width="15.140625" style="1" bestFit="1" customWidth="1"/>
    <col min="7436" max="7436" width="14.28515625" style="1" bestFit="1" customWidth="1"/>
    <col min="7437" max="7437" width="3.140625" style="1" customWidth="1"/>
    <col min="7438" max="7438" width="6.42578125" style="1" customWidth="1"/>
    <col min="7439" max="7678" width="8.85546875" style="1"/>
    <col min="7679" max="7679" width="5.5703125" style="1" bestFit="1" customWidth="1"/>
    <col min="7680" max="7680" width="9.28515625" style="1" customWidth="1"/>
    <col min="7681" max="7681" width="24.7109375" style="1" customWidth="1"/>
    <col min="7682" max="7682" width="11" style="1" bestFit="1" customWidth="1"/>
    <col min="7683" max="7683" width="7.5703125" style="1" bestFit="1" customWidth="1"/>
    <col min="7684" max="7684" width="13.5703125" style="1" customWidth="1"/>
    <col min="7685" max="7685" width="5.42578125" style="1" bestFit="1" customWidth="1"/>
    <col min="7686" max="7686" width="11.28515625" style="1" bestFit="1" customWidth="1"/>
    <col min="7687" max="7687" width="5.7109375" style="1" bestFit="1" customWidth="1"/>
    <col min="7688" max="7688" width="12" style="1" customWidth="1"/>
    <col min="7689" max="7689" width="15.42578125" style="1" bestFit="1" customWidth="1"/>
    <col min="7690" max="7691" width="15.140625" style="1" bestFit="1" customWidth="1"/>
    <col min="7692" max="7692" width="14.28515625" style="1" bestFit="1" customWidth="1"/>
    <col min="7693" max="7693" width="3.140625" style="1" customWidth="1"/>
    <col min="7694" max="7694" width="6.42578125" style="1" customWidth="1"/>
    <col min="7695" max="7934" width="8.85546875" style="1"/>
    <col min="7935" max="7935" width="5.5703125" style="1" bestFit="1" customWidth="1"/>
    <col min="7936" max="7936" width="9.28515625" style="1" customWidth="1"/>
    <col min="7937" max="7937" width="24.7109375" style="1" customWidth="1"/>
    <col min="7938" max="7938" width="11" style="1" bestFit="1" customWidth="1"/>
    <col min="7939" max="7939" width="7.5703125" style="1" bestFit="1" customWidth="1"/>
    <col min="7940" max="7940" width="13.5703125" style="1" customWidth="1"/>
    <col min="7941" max="7941" width="5.42578125" style="1" bestFit="1" customWidth="1"/>
    <col min="7942" max="7942" width="11.28515625" style="1" bestFit="1" customWidth="1"/>
    <col min="7943" max="7943" width="5.7109375" style="1" bestFit="1" customWidth="1"/>
    <col min="7944" max="7944" width="12" style="1" customWidth="1"/>
    <col min="7945" max="7945" width="15.42578125" style="1" bestFit="1" customWidth="1"/>
    <col min="7946" max="7947" width="15.140625" style="1" bestFit="1" customWidth="1"/>
    <col min="7948" max="7948" width="14.28515625" style="1" bestFit="1" customWidth="1"/>
    <col min="7949" max="7949" width="3.140625" style="1" customWidth="1"/>
    <col min="7950" max="7950" width="6.42578125" style="1" customWidth="1"/>
    <col min="7951" max="8190" width="8.85546875" style="1"/>
    <col min="8191" max="8191" width="5.5703125" style="1" bestFit="1" customWidth="1"/>
    <col min="8192" max="8192" width="9.28515625" style="1" customWidth="1"/>
    <col min="8193" max="8193" width="24.7109375" style="1" customWidth="1"/>
    <col min="8194" max="8194" width="11" style="1" bestFit="1" customWidth="1"/>
    <col min="8195" max="8195" width="7.5703125" style="1" bestFit="1" customWidth="1"/>
    <col min="8196" max="8196" width="13.5703125" style="1" customWidth="1"/>
    <col min="8197" max="8197" width="5.42578125" style="1" bestFit="1" customWidth="1"/>
    <col min="8198" max="8198" width="11.28515625" style="1" bestFit="1" customWidth="1"/>
    <col min="8199" max="8199" width="5.7109375" style="1" bestFit="1" customWidth="1"/>
    <col min="8200" max="8200" width="12" style="1" customWidth="1"/>
    <col min="8201" max="8201" width="15.42578125" style="1" bestFit="1" customWidth="1"/>
    <col min="8202" max="8203" width="15.140625" style="1" bestFit="1" customWidth="1"/>
    <col min="8204" max="8204" width="14.28515625" style="1" bestFit="1" customWidth="1"/>
    <col min="8205" max="8205" width="3.140625" style="1" customWidth="1"/>
    <col min="8206" max="8206" width="6.42578125" style="1" customWidth="1"/>
    <col min="8207" max="8446" width="8.85546875" style="1"/>
    <col min="8447" max="8447" width="5.5703125" style="1" bestFit="1" customWidth="1"/>
    <col min="8448" max="8448" width="9.28515625" style="1" customWidth="1"/>
    <col min="8449" max="8449" width="24.7109375" style="1" customWidth="1"/>
    <col min="8450" max="8450" width="11" style="1" bestFit="1" customWidth="1"/>
    <col min="8451" max="8451" width="7.5703125" style="1" bestFit="1" customWidth="1"/>
    <col min="8452" max="8452" width="13.5703125" style="1" customWidth="1"/>
    <col min="8453" max="8453" width="5.42578125" style="1" bestFit="1" customWidth="1"/>
    <col min="8454" max="8454" width="11.28515625" style="1" bestFit="1" customWidth="1"/>
    <col min="8455" max="8455" width="5.7109375" style="1" bestFit="1" customWidth="1"/>
    <col min="8456" max="8456" width="12" style="1" customWidth="1"/>
    <col min="8457" max="8457" width="15.42578125" style="1" bestFit="1" customWidth="1"/>
    <col min="8458" max="8459" width="15.140625" style="1" bestFit="1" customWidth="1"/>
    <col min="8460" max="8460" width="14.28515625" style="1" bestFit="1" customWidth="1"/>
    <col min="8461" max="8461" width="3.140625" style="1" customWidth="1"/>
    <col min="8462" max="8462" width="6.42578125" style="1" customWidth="1"/>
    <col min="8463" max="8702" width="8.85546875" style="1"/>
    <col min="8703" max="8703" width="5.5703125" style="1" bestFit="1" customWidth="1"/>
    <col min="8704" max="8704" width="9.28515625" style="1" customWidth="1"/>
    <col min="8705" max="8705" width="24.7109375" style="1" customWidth="1"/>
    <col min="8706" max="8706" width="11" style="1" bestFit="1" customWidth="1"/>
    <col min="8707" max="8707" width="7.5703125" style="1" bestFit="1" customWidth="1"/>
    <col min="8708" max="8708" width="13.5703125" style="1" customWidth="1"/>
    <col min="8709" max="8709" width="5.42578125" style="1" bestFit="1" customWidth="1"/>
    <col min="8710" max="8710" width="11.28515625" style="1" bestFit="1" customWidth="1"/>
    <col min="8711" max="8711" width="5.7109375" style="1" bestFit="1" customWidth="1"/>
    <col min="8712" max="8712" width="12" style="1" customWidth="1"/>
    <col min="8713" max="8713" width="15.42578125" style="1" bestFit="1" customWidth="1"/>
    <col min="8714" max="8715" width="15.140625" style="1" bestFit="1" customWidth="1"/>
    <col min="8716" max="8716" width="14.28515625" style="1" bestFit="1" customWidth="1"/>
    <col min="8717" max="8717" width="3.140625" style="1" customWidth="1"/>
    <col min="8718" max="8718" width="6.42578125" style="1" customWidth="1"/>
    <col min="8719" max="8958" width="8.85546875" style="1"/>
    <col min="8959" max="8959" width="5.5703125" style="1" bestFit="1" customWidth="1"/>
    <col min="8960" max="8960" width="9.28515625" style="1" customWidth="1"/>
    <col min="8961" max="8961" width="24.7109375" style="1" customWidth="1"/>
    <col min="8962" max="8962" width="11" style="1" bestFit="1" customWidth="1"/>
    <col min="8963" max="8963" width="7.5703125" style="1" bestFit="1" customWidth="1"/>
    <col min="8964" max="8964" width="13.5703125" style="1" customWidth="1"/>
    <col min="8965" max="8965" width="5.42578125" style="1" bestFit="1" customWidth="1"/>
    <col min="8966" max="8966" width="11.28515625" style="1" bestFit="1" customWidth="1"/>
    <col min="8967" max="8967" width="5.7109375" style="1" bestFit="1" customWidth="1"/>
    <col min="8968" max="8968" width="12" style="1" customWidth="1"/>
    <col min="8969" max="8969" width="15.42578125" style="1" bestFit="1" customWidth="1"/>
    <col min="8970" max="8971" width="15.140625" style="1" bestFit="1" customWidth="1"/>
    <col min="8972" max="8972" width="14.28515625" style="1" bestFit="1" customWidth="1"/>
    <col min="8973" max="8973" width="3.140625" style="1" customWidth="1"/>
    <col min="8974" max="8974" width="6.42578125" style="1" customWidth="1"/>
    <col min="8975" max="9214" width="8.85546875" style="1"/>
    <col min="9215" max="9215" width="5.5703125" style="1" bestFit="1" customWidth="1"/>
    <col min="9216" max="9216" width="9.28515625" style="1" customWidth="1"/>
    <col min="9217" max="9217" width="24.7109375" style="1" customWidth="1"/>
    <col min="9218" max="9218" width="11" style="1" bestFit="1" customWidth="1"/>
    <col min="9219" max="9219" width="7.5703125" style="1" bestFit="1" customWidth="1"/>
    <col min="9220" max="9220" width="13.5703125" style="1" customWidth="1"/>
    <col min="9221" max="9221" width="5.42578125" style="1" bestFit="1" customWidth="1"/>
    <col min="9222" max="9222" width="11.28515625" style="1" bestFit="1" customWidth="1"/>
    <col min="9223" max="9223" width="5.7109375" style="1" bestFit="1" customWidth="1"/>
    <col min="9224" max="9224" width="12" style="1" customWidth="1"/>
    <col min="9225" max="9225" width="15.42578125" style="1" bestFit="1" customWidth="1"/>
    <col min="9226" max="9227" width="15.140625" style="1" bestFit="1" customWidth="1"/>
    <col min="9228" max="9228" width="14.28515625" style="1" bestFit="1" customWidth="1"/>
    <col min="9229" max="9229" width="3.140625" style="1" customWidth="1"/>
    <col min="9230" max="9230" width="6.42578125" style="1" customWidth="1"/>
    <col min="9231" max="9470" width="8.85546875" style="1"/>
    <col min="9471" max="9471" width="5.5703125" style="1" bestFit="1" customWidth="1"/>
    <col min="9472" max="9472" width="9.28515625" style="1" customWidth="1"/>
    <col min="9473" max="9473" width="24.7109375" style="1" customWidth="1"/>
    <col min="9474" max="9474" width="11" style="1" bestFit="1" customWidth="1"/>
    <col min="9475" max="9475" width="7.5703125" style="1" bestFit="1" customWidth="1"/>
    <col min="9476" max="9476" width="13.5703125" style="1" customWidth="1"/>
    <col min="9477" max="9477" width="5.42578125" style="1" bestFit="1" customWidth="1"/>
    <col min="9478" max="9478" width="11.28515625" style="1" bestFit="1" customWidth="1"/>
    <col min="9479" max="9479" width="5.7109375" style="1" bestFit="1" customWidth="1"/>
    <col min="9480" max="9480" width="12" style="1" customWidth="1"/>
    <col min="9481" max="9481" width="15.42578125" style="1" bestFit="1" customWidth="1"/>
    <col min="9482" max="9483" width="15.140625" style="1" bestFit="1" customWidth="1"/>
    <col min="9484" max="9484" width="14.28515625" style="1" bestFit="1" customWidth="1"/>
    <col min="9485" max="9485" width="3.140625" style="1" customWidth="1"/>
    <col min="9486" max="9486" width="6.42578125" style="1" customWidth="1"/>
    <col min="9487" max="9726" width="8.85546875" style="1"/>
    <col min="9727" max="9727" width="5.5703125" style="1" bestFit="1" customWidth="1"/>
    <col min="9728" max="9728" width="9.28515625" style="1" customWidth="1"/>
    <col min="9729" max="9729" width="24.7109375" style="1" customWidth="1"/>
    <col min="9730" max="9730" width="11" style="1" bestFit="1" customWidth="1"/>
    <col min="9731" max="9731" width="7.5703125" style="1" bestFit="1" customWidth="1"/>
    <col min="9732" max="9732" width="13.5703125" style="1" customWidth="1"/>
    <col min="9733" max="9733" width="5.42578125" style="1" bestFit="1" customWidth="1"/>
    <col min="9734" max="9734" width="11.28515625" style="1" bestFit="1" customWidth="1"/>
    <col min="9735" max="9735" width="5.7109375" style="1" bestFit="1" customWidth="1"/>
    <col min="9736" max="9736" width="12" style="1" customWidth="1"/>
    <col min="9737" max="9737" width="15.42578125" style="1" bestFit="1" customWidth="1"/>
    <col min="9738" max="9739" width="15.140625" style="1" bestFit="1" customWidth="1"/>
    <col min="9740" max="9740" width="14.28515625" style="1" bestFit="1" customWidth="1"/>
    <col min="9741" max="9741" width="3.140625" style="1" customWidth="1"/>
    <col min="9742" max="9742" width="6.42578125" style="1" customWidth="1"/>
    <col min="9743" max="9982" width="8.85546875" style="1"/>
    <col min="9983" max="9983" width="5.5703125" style="1" bestFit="1" customWidth="1"/>
    <col min="9984" max="9984" width="9.28515625" style="1" customWidth="1"/>
    <col min="9985" max="9985" width="24.7109375" style="1" customWidth="1"/>
    <col min="9986" max="9986" width="11" style="1" bestFit="1" customWidth="1"/>
    <col min="9987" max="9987" width="7.5703125" style="1" bestFit="1" customWidth="1"/>
    <col min="9988" max="9988" width="13.5703125" style="1" customWidth="1"/>
    <col min="9989" max="9989" width="5.42578125" style="1" bestFit="1" customWidth="1"/>
    <col min="9990" max="9990" width="11.28515625" style="1" bestFit="1" customWidth="1"/>
    <col min="9991" max="9991" width="5.7109375" style="1" bestFit="1" customWidth="1"/>
    <col min="9992" max="9992" width="12" style="1" customWidth="1"/>
    <col min="9993" max="9993" width="15.42578125" style="1" bestFit="1" customWidth="1"/>
    <col min="9994" max="9995" width="15.140625" style="1" bestFit="1" customWidth="1"/>
    <col min="9996" max="9996" width="14.28515625" style="1" bestFit="1" customWidth="1"/>
    <col min="9997" max="9997" width="3.140625" style="1" customWidth="1"/>
    <col min="9998" max="9998" width="6.42578125" style="1" customWidth="1"/>
    <col min="9999" max="10238" width="8.85546875" style="1"/>
    <col min="10239" max="10239" width="5.5703125" style="1" bestFit="1" customWidth="1"/>
    <col min="10240" max="10240" width="9.28515625" style="1" customWidth="1"/>
    <col min="10241" max="10241" width="24.7109375" style="1" customWidth="1"/>
    <col min="10242" max="10242" width="11" style="1" bestFit="1" customWidth="1"/>
    <col min="10243" max="10243" width="7.5703125" style="1" bestFit="1" customWidth="1"/>
    <col min="10244" max="10244" width="13.5703125" style="1" customWidth="1"/>
    <col min="10245" max="10245" width="5.42578125" style="1" bestFit="1" customWidth="1"/>
    <col min="10246" max="10246" width="11.28515625" style="1" bestFit="1" customWidth="1"/>
    <col min="10247" max="10247" width="5.7109375" style="1" bestFit="1" customWidth="1"/>
    <col min="10248" max="10248" width="12" style="1" customWidth="1"/>
    <col min="10249" max="10249" width="15.42578125" style="1" bestFit="1" customWidth="1"/>
    <col min="10250" max="10251" width="15.140625" style="1" bestFit="1" customWidth="1"/>
    <col min="10252" max="10252" width="14.28515625" style="1" bestFit="1" customWidth="1"/>
    <col min="10253" max="10253" width="3.140625" style="1" customWidth="1"/>
    <col min="10254" max="10254" width="6.42578125" style="1" customWidth="1"/>
    <col min="10255" max="10494" width="8.85546875" style="1"/>
    <col min="10495" max="10495" width="5.5703125" style="1" bestFit="1" customWidth="1"/>
    <col min="10496" max="10496" width="9.28515625" style="1" customWidth="1"/>
    <col min="10497" max="10497" width="24.7109375" style="1" customWidth="1"/>
    <col min="10498" max="10498" width="11" style="1" bestFit="1" customWidth="1"/>
    <col min="10499" max="10499" width="7.5703125" style="1" bestFit="1" customWidth="1"/>
    <col min="10500" max="10500" width="13.5703125" style="1" customWidth="1"/>
    <col min="10501" max="10501" width="5.42578125" style="1" bestFit="1" customWidth="1"/>
    <col min="10502" max="10502" width="11.28515625" style="1" bestFit="1" customWidth="1"/>
    <col min="10503" max="10503" width="5.7109375" style="1" bestFit="1" customWidth="1"/>
    <col min="10504" max="10504" width="12" style="1" customWidth="1"/>
    <col min="10505" max="10505" width="15.42578125" style="1" bestFit="1" customWidth="1"/>
    <col min="10506" max="10507" width="15.140625" style="1" bestFit="1" customWidth="1"/>
    <col min="10508" max="10508" width="14.28515625" style="1" bestFit="1" customWidth="1"/>
    <col min="10509" max="10509" width="3.140625" style="1" customWidth="1"/>
    <col min="10510" max="10510" width="6.42578125" style="1" customWidth="1"/>
    <col min="10511" max="10750" width="8.85546875" style="1"/>
    <col min="10751" max="10751" width="5.5703125" style="1" bestFit="1" customWidth="1"/>
    <col min="10752" max="10752" width="9.28515625" style="1" customWidth="1"/>
    <col min="10753" max="10753" width="24.7109375" style="1" customWidth="1"/>
    <col min="10754" max="10754" width="11" style="1" bestFit="1" customWidth="1"/>
    <col min="10755" max="10755" width="7.5703125" style="1" bestFit="1" customWidth="1"/>
    <col min="10756" max="10756" width="13.5703125" style="1" customWidth="1"/>
    <col min="10757" max="10757" width="5.42578125" style="1" bestFit="1" customWidth="1"/>
    <col min="10758" max="10758" width="11.28515625" style="1" bestFit="1" customWidth="1"/>
    <col min="10759" max="10759" width="5.7109375" style="1" bestFit="1" customWidth="1"/>
    <col min="10760" max="10760" width="12" style="1" customWidth="1"/>
    <col min="10761" max="10761" width="15.42578125" style="1" bestFit="1" customWidth="1"/>
    <col min="10762" max="10763" width="15.140625" style="1" bestFit="1" customWidth="1"/>
    <col min="10764" max="10764" width="14.28515625" style="1" bestFit="1" customWidth="1"/>
    <col min="10765" max="10765" width="3.140625" style="1" customWidth="1"/>
    <col min="10766" max="10766" width="6.42578125" style="1" customWidth="1"/>
    <col min="10767" max="11006" width="8.85546875" style="1"/>
    <col min="11007" max="11007" width="5.5703125" style="1" bestFit="1" customWidth="1"/>
    <col min="11008" max="11008" width="9.28515625" style="1" customWidth="1"/>
    <col min="11009" max="11009" width="24.7109375" style="1" customWidth="1"/>
    <col min="11010" max="11010" width="11" style="1" bestFit="1" customWidth="1"/>
    <col min="11011" max="11011" width="7.5703125" style="1" bestFit="1" customWidth="1"/>
    <col min="11012" max="11012" width="13.5703125" style="1" customWidth="1"/>
    <col min="11013" max="11013" width="5.42578125" style="1" bestFit="1" customWidth="1"/>
    <col min="11014" max="11014" width="11.28515625" style="1" bestFit="1" customWidth="1"/>
    <col min="11015" max="11015" width="5.7109375" style="1" bestFit="1" customWidth="1"/>
    <col min="11016" max="11016" width="12" style="1" customWidth="1"/>
    <col min="11017" max="11017" width="15.42578125" style="1" bestFit="1" customWidth="1"/>
    <col min="11018" max="11019" width="15.140625" style="1" bestFit="1" customWidth="1"/>
    <col min="11020" max="11020" width="14.28515625" style="1" bestFit="1" customWidth="1"/>
    <col min="11021" max="11021" width="3.140625" style="1" customWidth="1"/>
    <col min="11022" max="11022" width="6.42578125" style="1" customWidth="1"/>
    <col min="11023" max="11262" width="8.85546875" style="1"/>
    <col min="11263" max="11263" width="5.5703125" style="1" bestFit="1" customWidth="1"/>
    <col min="11264" max="11264" width="9.28515625" style="1" customWidth="1"/>
    <col min="11265" max="11265" width="24.7109375" style="1" customWidth="1"/>
    <col min="11266" max="11266" width="11" style="1" bestFit="1" customWidth="1"/>
    <col min="11267" max="11267" width="7.5703125" style="1" bestFit="1" customWidth="1"/>
    <col min="11268" max="11268" width="13.5703125" style="1" customWidth="1"/>
    <col min="11269" max="11269" width="5.42578125" style="1" bestFit="1" customWidth="1"/>
    <col min="11270" max="11270" width="11.28515625" style="1" bestFit="1" customWidth="1"/>
    <col min="11271" max="11271" width="5.7109375" style="1" bestFit="1" customWidth="1"/>
    <col min="11272" max="11272" width="12" style="1" customWidth="1"/>
    <col min="11273" max="11273" width="15.42578125" style="1" bestFit="1" customWidth="1"/>
    <col min="11274" max="11275" width="15.140625" style="1" bestFit="1" customWidth="1"/>
    <col min="11276" max="11276" width="14.28515625" style="1" bestFit="1" customWidth="1"/>
    <col min="11277" max="11277" width="3.140625" style="1" customWidth="1"/>
    <col min="11278" max="11278" width="6.42578125" style="1" customWidth="1"/>
    <col min="11279" max="11518" width="8.85546875" style="1"/>
    <col min="11519" max="11519" width="5.5703125" style="1" bestFit="1" customWidth="1"/>
    <col min="11520" max="11520" width="9.28515625" style="1" customWidth="1"/>
    <col min="11521" max="11521" width="24.7109375" style="1" customWidth="1"/>
    <col min="11522" max="11522" width="11" style="1" bestFit="1" customWidth="1"/>
    <col min="11523" max="11523" width="7.5703125" style="1" bestFit="1" customWidth="1"/>
    <col min="11524" max="11524" width="13.5703125" style="1" customWidth="1"/>
    <col min="11525" max="11525" width="5.42578125" style="1" bestFit="1" customWidth="1"/>
    <col min="11526" max="11526" width="11.28515625" style="1" bestFit="1" customWidth="1"/>
    <col min="11527" max="11527" width="5.7109375" style="1" bestFit="1" customWidth="1"/>
    <col min="11528" max="11528" width="12" style="1" customWidth="1"/>
    <col min="11529" max="11529" width="15.42578125" style="1" bestFit="1" customWidth="1"/>
    <col min="11530" max="11531" width="15.140625" style="1" bestFit="1" customWidth="1"/>
    <col min="11532" max="11532" width="14.28515625" style="1" bestFit="1" customWidth="1"/>
    <col min="11533" max="11533" width="3.140625" style="1" customWidth="1"/>
    <col min="11534" max="11534" width="6.42578125" style="1" customWidth="1"/>
    <col min="11535" max="11774" width="8.85546875" style="1"/>
    <col min="11775" max="11775" width="5.5703125" style="1" bestFit="1" customWidth="1"/>
    <col min="11776" max="11776" width="9.28515625" style="1" customWidth="1"/>
    <col min="11777" max="11777" width="24.7109375" style="1" customWidth="1"/>
    <col min="11778" max="11778" width="11" style="1" bestFit="1" customWidth="1"/>
    <col min="11779" max="11779" width="7.5703125" style="1" bestFit="1" customWidth="1"/>
    <col min="11780" max="11780" width="13.5703125" style="1" customWidth="1"/>
    <col min="11781" max="11781" width="5.42578125" style="1" bestFit="1" customWidth="1"/>
    <col min="11782" max="11782" width="11.28515625" style="1" bestFit="1" customWidth="1"/>
    <col min="11783" max="11783" width="5.7109375" style="1" bestFit="1" customWidth="1"/>
    <col min="11784" max="11784" width="12" style="1" customWidth="1"/>
    <col min="11785" max="11785" width="15.42578125" style="1" bestFit="1" customWidth="1"/>
    <col min="11786" max="11787" width="15.140625" style="1" bestFit="1" customWidth="1"/>
    <col min="11788" max="11788" width="14.28515625" style="1" bestFit="1" customWidth="1"/>
    <col min="11789" max="11789" width="3.140625" style="1" customWidth="1"/>
    <col min="11790" max="11790" width="6.42578125" style="1" customWidth="1"/>
    <col min="11791" max="12030" width="8.85546875" style="1"/>
    <col min="12031" max="12031" width="5.5703125" style="1" bestFit="1" customWidth="1"/>
    <col min="12032" max="12032" width="9.28515625" style="1" customWidth="1"/>
    <col min="12033" max="12033" width="24.7109375" style="1" customWidth="1"/>
    <col min="12034" max="12034" width="11" style="1" bestFit="1" customWidth="1"/>
    <col min="12035" max="12035" width="7.5703125" style="1" bestFit="1" customWidth="1"/>
    <col min="12036" max="12036" width="13.5703125" style="1" customWidth="1"/>
    <col min="12037" max="12037" width="5.42578125" style="1" bestFit="1" customWidth="1"/>
    <col min="12038" max="12038" width="11.28515625" style="1" bestFit="1" customWidth="1"/>
    <col min="12039" max="12039" width="5.7109375" style="1" bestFit="1" customWidth="1"/>
    <col min="12040" max="12040" width="12" style="1" customWidth="1"/>
    <col min="12041" max="12041" width="15.42578125" style="1" bestFit="1" customWidth="1"/>
    <col min="12042" max="12043" width="15.140625" style="1" bestFit="1" customWidth="1"/>
    <col min="12044" max="12044" width="14.28515625" style="1" bestFit="1" customWidth="1"/>
    <col min="12045" max="12045" width="3.140625" style="1" customWidth="1"/>
    <col min="12046" max="12046" width="6.42578125" style="1" customWidth="1"/>
    <col min="12047" max="12286" width="8.85546875" style="1"/>
    <col min="12287" max="12287" width="5.5703125" style="1" bestFit="1" customWidth="1"/>
    <col min="12288" max="12288" width="9.28515625" style="1" customWidth="1"/>
    <col min="12289" max="12289" width="24.7109375" style="1" customWidth="1"/>
    <col min="12290" max="12290" width="11" style="1" bestFit="1" customWidth="1"/>
    <col min="12291" max="12291" width="7.5703125" style="1" bestFit="1" customWidth="1"/>
    <col min="12292" max="12292" width="13.5703125" style="1" customWidth="1"/>
    <col min="12293" max="12293" width="5.42578125" style="1" bestFit="1" customWidth="1"/>
    <col min="12294" max="12294" width="11.28515625" style="1" bestFit="1" customWidth="1"/>
    <col min="12295" max="12295" width="5.7109375" style="1" bestFit="1" customWidth="1"/>
    <col min="12296" max="12296" width="12" style="1" customWidth="1"/>
    <col min="12297" max="12297" width="15.42578125" style="1" bestFit="1" customWidth="1"/>
    <col min="12298" max="12299" width="15.140625" style="1" bestFit="1" customWidth="1"/>
    <col min="12300" max="12300" width="14.28515625" style="1" bestFit="1" customWidth="1"/>
    <col min="12301" max="12301" width="3.140625" style="1" customWidth="1"/>
    <col min="12302" max="12302" width="6.42578125" style="1" customWidth="1"/>
    <col min="12303" max="12542" width="8.85546875" style="1"/>
    <col min="12543" max="12543" width="5.5703125" style="1" bestFit="1" customWidth="1"/>
    <col min="12544" max="12544" width="9.28515625" style="1" customWidth="1"/>
    <col min="12545" max="12545" width="24.7109375" style="1" customWidth="1"/>
    <col min="12546" max="12546" width="11" style="1" bestFit="1" customWidth="1"/>
    <col min="12547" max="12547" width="7.5703125" style="1" bestFit="1" customWidth="1"/>
    <col min="12548" max="12548" width="13.5703125" style="1" customWidth="1"/>
    <col min="12549" max="12549" width="5.42578125" style="1" bestFit="1" customWidth="1"/>
    <col min="12550" max="12550" width="11.28515625" style="1" bestFit="1" customWidth="1"/>
    <col min="12551" max="12551" width="5.7109375" style="1" bestFit="1" customWidth="1"/>
    <col min="12552" max="12552" width="12" style="1" customWidth="1"/>
    <col min="12553" max="12553" width="15.42578125" style="1" bestFit="1" customWidth="1"/>
    <col min="12554" max="12555" width="15.140625" style="1" bestFit="1" customWidth="1"/>
    <col min="12556" max="12556" width="14.28515625" style="1" bestFit="1" customWidth="1"/>
    <col min="12557" max="12557" width="3.140625" style="1" customWidth="1"/>
    <col min="12558" max="12558" width="6.42578125" style="1" customWidth="1"/>
    <col min="12559" max="12798" width="8.85546875" style="1"/>
    <col min="12799" max="12799" width="5.5703125" style="1" bestFit="1" customWidth="1"/>
    <col min="12800" max="12800" width="9.28515625" style="1" customWidth="1"/>
    <col min="12801" max="12801" width="24.7109375" style="1" customWidth="1"/>
    <col min="12802" max="12802" width="11" style="1" bestFit="1" customWidth="1"/>
    <col min="12803" max="12803" width="7.5703125" style="1" bestFit="1" customWidth="1"/>
    <col min="12804" max="12804" width="13.5703125" style="1" customWidth="1"/>
    <col min="12805" max="12805" width="5.42578125" style="1" bestFit="1" customWidth="1"/>
    <col min="12806" max="12806" width="11.28515625" style="1" bestFit="1" customWidth="1"/>
    <col min="12807" max="12807" width="5.7109375" style="1" bestFit="1" customWidth="1"/>
    <col min="12808" max="12808" width="12" style="1" customWidth="1"/>
    <col min="12809" max="12809" width="15.42578125" style="1" bestFit="1" customWidth="1"/>
    <col min="12810" max="12811" width="15.140625" style="1" bestFit="1" customWidth="1"/>
    <col min="12812" max="12812" width="14.28515625" style="1" bestFit="1" customWidth="1"/>
    <col min="12813" max="12813" width="3.140625" style="1" customWidth="1"/>
    <col min="12814" max="12814" width="6.42578125" style="1" customWidth="1"/>
    <col min="12815" max="13054" width="8.85546875" style="1"/>
    <col min="13055" max="13055" width="5.5703125" style="1" bestFit="1" customWidth="1"/>
    <col min="13056" max="13056" width="9.28515625" style="1" customWidth="1"/>
    <col min="13057" max="13057" width="24.7109375" style="1" customWidth="1"/>
    <col min="13058" max="13058" width="11" style="1" bestFit="1" customWidth="1"/>
    <col min="13059" max="13059" width="7.5703125" style="1" bestFit="1" customWidth="1"/>
    <col min="13060" max="13060" width="13.5703125" style="1" customWidth="1"/>
    <col min="13061" max="13061" width="5.42578125" style="1" bestFit="1" customWidth="1"/>
    <col min="13062" max="13062" width="11.28515625" style="1" bestFit="1" customWidth="1"/>
    <col min="13063" max="13063" width="5.7109375" style="1" bestFit="1" customWidth="1"/>
    <col min="13064" max="13064" width="12" style="1" customWidth="1"/>
    <col min="13065" max="13065" width="15.42578125" style="1" bestFit="1" customWidth="1"/>
    <col min="13066" max="13067" width="15.140625" style="1" bestFit="1" customWidth="1"/>
    <col min="13068" max="13068" width="14.28515625" style="1" bestFit="1" customWidth="1"/>
    <col min="13069" max="13069" width="3.140625" style="1" customWidth="1"/>
    <col min="13070" max="13070" width="6.42578125" style="1" customWidth="1"/>
    <col min="13071" max="13310" width="8.85546875" style="1"/>
    <col min="13311" max="13311" width="5.5703125" style="1" bestFit="1" customWidth="1"/>
    <col min="13312" max="13312" width="9.28515625" style="1" customWidth="1"/>
    <col min="13313" max="13313" width="24.7109375" style="1" customWidth="1"/>
    <col min="13314" max="13314" width="11" style="1" bestFit="1" customWidth="1"/>
    <col min="13315" max="13315" width="7.5703125" style="1" bestFit="1" customWidth="1"/>
    <col min="13316" max="13316" width="13.5703125" style="1" customWidth="1"/>
    <col min="13317" max="13317" width="5.42578125" style="1" bestFit="1" customWidth="1"/>
    <col min="13318" max="13318" width="11.28515625" style="1" bestFit="1" customWidth="1"/>
    <col min="13319" max="13319" width="5.7109375" style="1" bestFit="1" customWidth="1"/>
    <col min="13320" max="13320" width="12" style="1" customWidth="1"/>
    <col min="13321" max="13321" width="15.42578125" style="1" bestFit="1" customWidth="1"/>
    <col min="13322" max="13323" width="15.140625" style="1" bestFit="1" customWidth="1"/>
    <col min="13324" max="13324" width="14.28515625" style="1" bestFit="1" customWidth="1"/>
    <col min="13325" max="13325" width="3.140625" style="1" customWidth="1"/>
    <col min="13326" max="13326" width="6.42578125" style="1" customWidth="1"/>
    <col min="13327" max="13566" width="8.85546875" style="1"/>
    <col min="13567" max="13567" width="5.5703125" style="1" bestFit="1" customWidth="1"/>
    <col min="13568" max="13568" width="9.28515625" style="1" customWidth="1"/>
    <col min="13569" max="13569" width="24.7109375" style="1" customWidth="1"/>
    <col min="13570" max="13570" width="11" style="1" bestFit="1" customWidth="1"/>
    <col min="13571" max="13571" width="7.5703125" style="1" bestFit="1" customWidth="1"/>
    <col min="13572" max="13572" width="13.5703125" style="1" customWidth="1"/>
    <col min="13573" max="13573" width="5.42578125" style="1" bestFit="1" customWidth="1"/>
    <col min="13574" max="13574" width="11.28515625" style="1" bestFit="1" customWidth="1"/>
    <col min="13575" max="13575" width="5.7109375" style="1" bestFit="1" customWidth="1"/>
    <col min="13576" max="13576" width="12" style="1" customWidth="1"/>
    <col min="13577" max="13577" width="15.42578125" style="1" bestFit="1" customWidth="1"/>
    <col min="13578" max="13579" width="15.140625" style="1" bestFit="1" customWidth="1"/>
    <col min="13580" max="13580" width="14.28515625" style="1" bestFit="1" customWidth="1"/>
    <col min="13581" max="13581" width="3.140625" style="1" customWidth="1"/>
    <col min="13582" max="13582" width="6.42578125" style="1" customWidth="1"/>
    <col min="13583" max="13822" width="8.85546875" style="1"/>
    <col min="13823" max="13823" width="5.5703125" style="1" bestFit="1" customWidth="1"/>
    <col min="13824" max="13824" width="9.28515625" style="1" customWidth="1"/>
    <col min="13825" max="13825" width="24.7109375" style="1" customWidth="1"/>
    <col min="13826" max="13826" width="11" style="1" bestFit="1" customWidth="1"/>
    <col min="13827" max="13827" width="7.5703125" style="1" bestFit="1" customWidth="1"/>
    <col min="13828" max="13828" width="13.5703125" style="1" customWidth="1"/>
    <col min="13829" max="13829" width="5.42578125" style="1" bestFit="1" customWidth="1"/>
    <col min="13830" max="13830" width="11.28515625" style="1" bestFit="1" customWidth="1"/>
    <col min="13831" max="13831" width="5.7109375" style="1" bestFit="1" customWidth="1"/>
    <col min="13832" max="13832" width="12" style="1" customWidth="1"/>
    <col min="13833" max="13833" width="15.42578125" style="1" bestFit="1" customWidth="1"/>
    <col min="13834" max="13835" width="15.140625" style="1" bestFit="1" customWidth="1"/>
    <col min="13836" max="13836" width="14.28515625" style="1" bestFit="1" customWidth="1"/>
    <col min="13837" max="13837" width="3.140625" style="1" customWidth="1"/>
    <col min="13838" max="13838" width="6.42578125" style="1" customWidth="1"/>
    <col min="13839" max="14078" width="8.85546875" style="1"/>
    <col min="14079" max="14079" width="5.5703125" style="1" bestFit="1" customWidth="1"/>
    <col min="14080" max="14080" width="9.28515625" style="1" customWidth="1"/>
    <col min="14081" max="14081" width="24.7109375" style="1" customWidth="1"/>
    <col min="14082" max="14082" width="11" style="1" bestFit="1" customWidth="1"/>
    <col min="14083" max="14083" width="7.5703125" style="1" bestFit="1" customWidth="1"/>
    <col min="14084" max="14084" width="13.5703125" style="1" customWidth="1"/>
    <col min="14085" max="14085" width="5.42578125" style="1" bestFit="1" customWidth="1"/>
    <col min="14086" max="14086" width="11.28515625" style="1" bestFit="1" customWidth="1"/>
    <col min="14087" max="14087" width="5.7109375" style="1" bestFit="1" customWidth="1"/>
    <col min="14088" max="14088" width="12" style="1" customWidth="1"/>
    <col min="14089" max="14089" width="15.42578125" style="1" bestFit="1" customWidth="1"/>
    <col min="14090" max="14091" width="15.140625" style="1" bestFit="1" customWidth="1"/>
    <col min="14092" max="14092" width="14.28515625" style="1" bestFit="1" customWidth="1"/>
    <col min="14093" max="14093" width="3.140625" style="1" customWidth="1"/>
    <col min="14094" max="14094" width="6.42578125" style="1" customWidth="1"/>
    <col min="14095" max="14334" width="8.85546875" style="1"/>
    <col min="14335" max="14335" width="5.5703125" style="1" bestFit="1" customWidth="1"/>
    <col min="14336" max="14336" width="9.28515625" style="1" customWidth="1"/>
    <col min="14337" max="14337" width="24.7109375" style="1" customWidth="1"/>
    <col min="14338" max="14338" width="11" style="1" bestFit="1" customWidth="1"/>
    <col min="14339" max="14339" width="7.5703125" style="1" bestFit="1" customWidth="1"/>
    <col min="14340" max="14340" width="13.5703125" style="1" customWidth="1"/>
    <col min="14341" max="14341" width="5.42578125" style="1" bestFit="1" customWidth="1"/>
    <col min="14342" max="14342" width="11.28515625" style="1" bestFit="1" customWidth="1"/>
    <col min="14343" max="14343" width="5.7109375" style="1" bestFit="1" customWidth="1"/>
    <col min="14344" max="14344" width="12" style="1" customWidth="1"/>
    <col min="14345" max="14345" width="15.42578125" style="1" bestFit="1" customWidth="1"/>
    <col min="14346" max="14347" width="15.140625" style="1" bestFit="1" customWidth="1"/>
    <col min="14348" max="14348" width="14.28515625" style="1" bestFit="1" customWidth="1"/>
    <col min="14349" max="14349" width="3.140625" style="1" customWidth="1"/>
    <col min="14350" max="14350" width="6.42578125" style="1" customWidth="1"/>
    <col min="14351" max="14590" width="8.85546875" style="1"/>
    <col min="14591" max="14591" width="5.5703125" style="1" bestFit="1" customWidth="1"/>
    <col min="14592" max="14592" width="9.28515625" style="1" customWidth="1"/>
    <col min="14593" max="14593" width="24.7109375" style="1" customWidth="1"/>
    <col min="14594" max="14594" width="11" style="1" bestFit="1" customWidth="1"/>
    <col min="14595" max="14595" width="7.5703125" style="1" bestFit="1" customWidth="1"/>
    <col min="14596" max="14596" width="13.5703125" style="1" customWidth="1"/>
    <col min="14597" max="14597" width="5.42578125" style="1" bestFit="1" customWidth="1"/>
    <col min="14598" max="14598" width="11.28515625" style="1" bestFit="1" customWidth="1"/>
    <col min="14599" max="14599" width="5.7109375" style="1" bestFit="1" customWidth="1"/>
    <col min="14600" max="14600" width="12" style="1" customWidth="1"/>
    <col min="14601" max="14601" width="15.42578125" style="1" bestFit="1" customWidth="1"/>
    <col min="14602" max="14603" width="15.140625" style="1" bestFit="1" customWidth="1"/>
    <col min="14604" max="14604" width="14.28515625" style="1" bestFit="1" customWidth="1"/>
    <col min="14605" max="14605" width="3.140625" style="1" customWidth="1"/>
    <col min="14606" max="14606" width="6.42578125" style="1" customWidth="1"/>
    <col min="14607" max="14846" width="8.85546875" style="1"/>
    <col min="14847" max="14847" width="5.5703125" style="1" bestFit="1" customWidth="1"/>
    <col min="14848" max="14848" width="9.28515625" style="1" customWidth="1"/>
    <col min="14849" max="14849" width="24.7109375" style="1" customWidth="1"/>
    <col min="14850" max="14850" width="11" style="1" bestFit="1" customWidth="1"/>
    <col min="14851" max="14851" width="7.5703125" style="1" bestFit="1" customWidth="1"/>
    <col min="14852" max="14852" width="13.5703125" style="1" customWidth="1"/>
    <col min="14853" max="14853" width="5.42578125" style="1" bestFit="1" customWidth="1"/>
    <col min="14854" max="14854" width="11.28515625" style="1" bestFit="1" customWidth="1"/>
    <col min="14855" max="14855" width="5.7109375" style="1" bestFit="1" customWidth="1"/>
    <col min="14856" max="14856" width="12" style="1" customWidth="1"/>
    <col min="14857" max="14857" width="15.42578125" style="1" bestFit="1" customWidth="1"/>
    <col min="14858" max="14859" width="15.140625" style="1" bestFit="1" customWidth="1"/>
    <col min="14860" max="14860" width="14.28515625" style="1" bestFit="1" customWidth="1"/>
    <col min="14861" max="14861" width="3.140625" style="1" customWidth="1"/>
    <col min="14862" max="14862" width="6.42578125" style="1" customWidth="1"/>
    <col min="14863" max="15102" width="8.85546875" style="1"/>
    <col min="15103" max="15103" width="5.5703125" style="1" bestFit="1" customWidth="1"/>
    <col min="15104" max="15104" width="9.28515625" style="1" customWidth="1"/>
    <col min="15105" max="15105" width="24.7109375" style="1" customWidth="1"/>
    <col min="15106" max="15106" width="11" style="1" bestFit="1" customWidth="1"/>
    <col min="15107" max="15107" width="7.5703125" style="1" bestFit="1" customWidth="1"/>
    <col min="15108" max="15108" width="13.5703125" style="1" customWidth="1"/>
    <col min="15109" max="15109" width="5.42578125" style="1" bestFit="1" customWidth="1"/>
    <col min="15110" max="15110" width="11.28515625" style="1" bestFit="1" customWidth="1"/>
    <col min="15111" max="15111" width="5.7109375" style="1" bestFit="1" customWidth="1"/>
    <col min="15112" max="15112" width="12" style="1" customWidth="1"/>
    <col min="15113" max="15113" width="15.42578125" style="1" bestFit="1" customWidth="1"/>
    <col min="15114" max="15115" width="15.140625" style="1" bestFit="1" customWidth="1"/>
    <col min="15116" max="15116" width="14.28515625" style="1" bestFit="1" customWidth="1"/>
    <col min="15117" max="15117" width="3.140625" style="1" customWidth="1"/>
    <col min="15118" max="15118" width="6.42578125" style="1" customWidth="1"/>
    <col min="15119" max="15358" width="8.85546875" style="1"/>
    <col min="15359" max="15359" width="5.5703125" style="1" bestFit="1" customWidth="1"/>
    <col min="15360" max="15360" width="9.28515625" style="1" customWidth="1"/>
    <col min="15361" max="15361" width="24.7109375" style="1" customWidth="1"/>
    <col min="15362" max="15362" width="11" style="1" bestFit="1" customWidth="1"/>
    <col min="15363" max="15363" width="7.5703125" style="1" bestFit="1" customWidth="1"/>
    <col min="15364" max="15364" width="13.5703125" style="1" customWidth="1"/>
    <col min="15365" max="15365" width="5.42578125" style="1" bestFit="1" customWidth="1"/>
    <col min="15366" max="15366" width="11.28515625" style="1" bestFit="1" customWidth="1"/>
    <col min="15367" max="15367" width="5.7109375" style="1" bestFit="1" customWidth="1"/>
    <col min="15368" max="15368" width="12" style="1" customWidth="1"/>
    <col min="15369" max="15369" width="15.42578125" style="1" bestFit="1" customWidth="1"/>
    <col min="15370" max="15371" width="15.140625" style="1" bestFit="1" customWidth="1"/>
    <col min="15372" max="15372" width="14.28515625" style="1" bestFit="1" customWidth="1"/>
    <col min="15373" max="15373" width="3.140625" style="1" customWidth="1"/>
    <col min="15374" max="15374" width="6.42578125" style="1" customWidth="1"/>
    <col min="15375" max="15614" width="8.85546875" style="1"/>
    <col min="15615" max="15615" width="5.5703125" style="1" bestFit="1" customWidth="1"/>
    <col min="15616" max="15616" width="9.28515625" style="1" customWidth="1"/>
    <col min="15617" max="15617" width="24.7109375" style="1" customWidth="1"/>
    <col min="15618" max="15618" width="11" style="1" bestFit="1" customWidth="1"/>
    <col min="15619" max="15619" width="7.5703125" style="1" bestFit="1" customWidth="1"/>
    <col min="15620" max="15620" width="13.5703125" style="1" customWidth="1"/>
    <col min="15621" max="15621" width="5.42578125" style="1" bestFit="1" customWidth="1"/>
    <col min="15622" max="15622" width="11.28515625" style="1" bestFit="1" customWidth="1"/>
    <col min="15623" max="15623" width="5.7109375" style="1" bestFit="1" customWidth="1"/>
    <col min="15624" max="15624" width="12" style="1" customWidth="1"/>
    <col min="15625" max="15625" width="15.42578125" style="1" bestFit="1" customWidth="1"/>
    <col min="15626" max="15627" width="15.140625" style="1" bestFit="1" customWidth="1"/>
    <col min="15628" max="15628" width="14.28515625" style="1" bestFit="1" customWidth="1"/>
    <col min="15629" max="15629" width="3.140625" style="1" customWidth="1"/>
    <col min="15630" max="15630" width="6.42578125" style="1" customWidth="1"/>
    <col min="15631" max="15870" width="8.85546875" style="1"/>
    <col min="15871" max="15871" width="5.5703125" style="1" bestFit="1" customWidth="1"/>
    <col min="15872" max="15872" width="9.28515625" style="1" customWidth="1"/>
    <col min="15873" max="15873" width="24.7109375" style="1" customWidth="1"/>
    <col min="15874" max="15874" width="11" style="1" bestFit="1" customWidth="1"/>
    <col min="15875" max="15875" width="7.5703125" style="1" bestFit="1" customWidth="1"/>
    <col min="15876" max="15876" width="13.5703125" style="1" customWidth="1"/>
    <col min="15877" max="15877" width="5.42578125" style="1" bestFit="1" customWidth="1"/>
    <col min="15878" max="15878" width="11.28515625" style="1" bestFit="1" customWidth="1"/>
    <col min="15879" max="15879" width="5.7109375" style="1" bestFit="1" customWidth="1"/>
    <col min="15880" max="15880" width="12" style="1" customWidth="1"/>
    <col min="15881" max="15881" width="15.42578125" style="1" bestFit="1" customWidth="1"/>
    <col min="15882" max="15883" width="15.140625" style="1" bestFit="1" customWidth="1"/>
    <col min="15884" max="15884" width="14.28515625" style="1" bestFit="1" customWidth="1"/>
    <col min="15885" max="15885" width="3.140625" style="1" customWidth="1"/>
    <col min="15886" max="15886" width="6.42578125" style="1" customWidth="1"/>
    <col min="15887" max="16126" width="8.85546875" style="1"/>
    <col min="16127" max="16127" width="5.5703125" style="1" bestFit="1" customWidth="1"/>
    <col min="16128" max="16128" width="9.28515625" style="1" customWidth="1"/>
    <col min="16129" max="16129" width="24.7109375" style="1" customWidth="1"/>
    <col min="16130" max="16130" width="11" style="1" bestFit="1" customWidth="1"/>
    <col min="16131" max="16131" width="7.5703125" style="1" bestFit="1" customWidth="1"/>
    <col min="16132" max="16132" width="13.5703125" style="1" customWidth="1"/>
    <col min="16133" max="16133" width="5.42578125" style="1" bestFit="1" customWidth="1"/>
    <col min="16134" max="16134" width="11.28515625" style="1" bestFit="1" customWidth="1"/>
    <col min="16135" max="16135" width="5.7109375" style="1" bestFit="1" customWidth="1"/>
    <col min="16136" max="16136" width="12" style="1" customWidth="1"/>
    <col min="16137" max="16137" width="15.42578125" style="1" bestFit="1" customWidth="1"/>
    <col min="16138" max="16139" width="15.140625" style="1" bestFit="1" customWidth="1"/>
    <col min="16140" max="16140" width="14.28515625" style="1" bestFit="1" customWidth="1"/>
    <col min="16141" max="16141" width="3.140625" style="1" customWidth="1"/>
    <col min="16142" max="16142" width="6.42578125" style="1" customWidth="1"/>
    <col min="16143" max="16384" width="8.85546875" style="1"/>
  </cols>
  <sheetData>
    <row r="1" spans="1:12" ht="56.45" customHeight="1" thickBot="1" x14ac:dyDescent="0.25">
      <c r="A1" s="626" t="s">
        <v>710</v>
      </c>
      <c r="B1" s="627"/>
      <c r="C1" s="627"/>
      <c r="D1" s="627"/>
      <c r="E1" s="627"/>
      <c r="F1" s="627"/>
      <c r="G1" s="627"/>
      <c r="H1" s="627"/>
      <c r="I1" s="627"/>
      <c r="J1" s="628"/>
      <c r="K1" s="628"/>
      <c r="L1" s="629"/>
    </row>
    <row r="2" spans="1:12" ht="38.450000000000003" customHeight="1" thickBot="1" x14ac:dyDescent="0.25">
      <c r="A2" s="425" t="s">
        <v>0</v>
      </c>
      <c r="B2" s="426" t="s">
        <v>43</v>
      </c>
      <c r="C2" s="427" t="s">
        <v>1</v>
      </c>
      <c r="D2" s="427" t="s">
        <v>7</v>
      </c>
      <c r="E2" s="428" t="s">
        <v>15</v>
      </c>
      <c r="F2" s="429" t="s">
        <v>8</v>
      </c>
      <c r="G2" s="428" t="s">
        <v>2</v>
      </c>
      <c r="H2" s="428" t="s">
        <v>9</v>
      </c>
      <c r="I2" s="428" t="s">
        <v>3</v>
      </c>
      <c r="J2" s="430" t="s">
        <v>4</v>
      </c>
      <c r="K2" s="431" t="s">
        <v>5</v>
      </c>
      <c r="L2" s="432" t="s">
        <v>6</v>
      </c>
    </row>
    <row r="3" spans="1:12" s="2" customFormat="1" ht="34.9" customHeight="1" x14ac:dyDescent="0.25">
      <c r="A3" s="435"/>
      <c r="B3" s="436"/>
      <c r="C3" s="437"/>
      <c r="D3" s="438"/>
      <c r="E3" s="439"/>
      <c r="F3" s="440"/>
      <c r="G3" s="441"/>
      <c r="H3" s="442"/>
      <c r="I3" s="443"/>
      <c r="J3" s="444"/>
      <c r="K3" s="445"/>
      <c r="L3" s="446"/>
    </row>
    <row r="4" spans="1:12" s="2" customFormat="1" ht="34.9" customHeight="1" x14ac:dyDescent="0.25">
      <c r="A4" s="30"/>
      <c r="B4" s="652"/>
      <c r="C4" s="31"/>
      <c r="D4" s="33"/>
      <c r="E4" s="44"/>
      <c r="F4" s="653"/>
      <c r="G4" s="654"/>
      <c r="H4" s="34"/>
      <c r="I4" s="655"/>
      <c r="J4" s="32"/>
      <c r="K4" s="45"/>
      <c r="L4" s="656"/>
    </row>
    <row r="5" spans="1:12" s="2" customFormat="1" ht="34.9" customHeight="1" x14ac:dyDescent="0.25">
      <c r="A5" s="30"/>
      <c r="B5" s="652"/>
      <c r="C5" s="31"/>
      <c r="D5" s="35"/>
      <c r="E5" s="44"/>
      <c r="F5" s="653"/>
      <c r="G5" s="657"/>
      <c r="H5" s="654"/>
      <c r="I5" s="24"/>
      <c r="J5" s="32"/>
      <c r="K5" s="45"/>
      <c r="L5" s="656"/>
    </row>
    <row r="6" spans="1:12" ht="34.9" customHeight="1" x14ac:dyDescent="0.2">
      <c r="A6" s="30"/>
      <c r="B6" s="652"/>
      <c r="C6" s="31"/>
      <c r="D6" s="35"/>
      <c r="E6" s="44"/>
      <c r="F6" s="658"/>
      <c r="G6" s="659"/>
      <c r="H6" s="24"/>
      <c r="I6" s="24"/>
      <c r="J6" s="32"/>
      <c r="K6" s="660"/>
      <c r="L6" s="656"/>
    </row>
    <row r="7" spans="1:12" ht="34.9" customHeight="1" x14ac:dyDescent="0.2">
      <c r="A7" s="30"/>
      <c r="B7" s="652"/>
      <c r="C7" s="31"/>
      <c r="D7" s="35"/>
      <c r="E7" s="44"/>
      <c r="F7" s="658"/>
      <c r="G7" s="659"/>
      <c r="H7" s="24"/>
      <c r="I7" s="24"/>
      <c r="J7" s="32"/>
      <c r="K7" s="45"/>
      <c r="L7" s="656"/>
    </row>
    <row r="8" spans="1:12" ht="34.9" customHeight="1" x14ac:dyDescent="0.2">
      <c r="A8" s="30"/>
      <c r="B8" s="652"/>
      <c r="C8" s="31"/>
      <c r="D8" s="35"/>
      <c r="E8" s="44"/>
      <c r="F8" s="653"/>
      <c r="G8" s="657"/>
      <c r="H8" s="24"/>
      <c r="I8" s="24"/>
      <c r="J8" s="32"/>
      <c r="K8" s="45"/>
      <c r="L8" s="656"/>
    </row>
    <row r="9" spans="1:12" ht="34.9" customHeight="1" x14ac:dyDescent="0.2">
      <c r="A9" s="30"/>
      <c r="B9" s="652"/>
      <c r="C9" s="31"/>
      <c r="D9" s="35"/>
      <c r="E9" s="661"/>
      <c r="F9" s="653"/>
      <c r="G9" s="657"/>
      <c r="H9" s="24"/>
      <c r="I9" s="24"/>
      <c r="J9" s="32"/>
      <c r="K9" s="45"/>
      <c r="L9" s="656"/>
    </row>
    <row r="10" spans="1:12" ht="34.9" customHeight="1" x14ac:dyDescent="0.2">
      <c r="A10" s="30"/>
      <c r="B10" s="652"/>
      <c r="C10" s="31"/>
      <c r="D10" s="35"/>
      <c r="E10" s="44"/>
      <c r="F10" s="658"/>
      <c r="G10" s="657"/>
      <c r="H10" s="24"/>
      <c r="I10" s="24"/>
      <c r="J10" s="32"/>
      <c r="K10" s="45"/>
      <c r="L10" s="656"/>
    </row>
    <row r="11" spans="1:12" ht="34.9" customHeight="1" x14ac:dyDescent="0.2">
      <c r="A11" s="30"/>
      <c r="B11" s="652"/>
      <c r="C11" s="31"/>
      <c r="D11" s="35"/>
      <c r="E11" s="44"/>
      <c r="F11" s="662"/>
      <c r="G11" s="657"/>
      <c r="H11" s="24"/>
      <c r="I11" s="24"/>
      <c r="J11" s="32"/>
      <c r="K11" s="45"/>
      <c r="L11" s="656"/>
    </row>
    <row r="12" spans="1:12" ht="34.9" customHeight="1" x14ac:dyDescent="0.2">
      <c r="A12" s="30"/>
      <c r="B12" s="652"/>
      <c r="C12" s="31"/>
      <c r="D12" s="35"/>
      <c r="E12" s="44"/>
      <c r="F12" s="658"/>
      <c r="G12" s="657"/>
      <c r="H12" s="24"/>
      <c r="I12" s="24"/>
      <c r="J12" s="32"/>
      <c r="K12" s="45"/>
      <c r="L12" s="656"/>
    </row>
    <row r="13" spans="1:12" ht="34.9" customHeight="1" x14ac:dyDescent="0.2">
      <c r="A13" s="30"/>
      <c r="B13" s="652"/>
      <c r="C13" s="31"/>
      <c r="D13" s="27"/>
      <c r="E13" s="663"/>
      <c r="F13" s="658"/>
      <c r="G13" s="657"/>
      <c r="H13" s="24"/>
      <c r="I13" s="24"/>
      <c r="J13" s="32"/>
      <c r="K13" s="45"/>
      <c r="L13" s="656"/>
    </row>
    <row r="14" spans="1:12" ht="34.9" customHeight="1" x14ac:dyDescent="0.2">
      <c r="A14" s="30"/>
      <c r="B14" s="652"/>
      <c r="C14" s="31"/>
      <c r="D14" s="27"/>
      <c r="E14" s="44"/>
      <c r="F14" s="658"/>
      <c r="G14" s="657"/>
      <c r="H14" s="24"/>
      <c r="I14" s="24"/>
      <c r="J14" s="32"/>
      <c r="K14" s="45"/>
      <c r="L14" s="656"/>
    </row>
    <row r="15" spans="1:12" ht="34.9" customHeight="1" x14ac:dyDescent="0.2">
      <c r="A15" s="30"/>
      <c r="B15" s="664"/>
      <c r="C15" s="31"/>
      <c r="D15" s="35"/>
      <c r="E15" s="44"/>
      <c r="F15" s="658"/>
      <c r="G15" s="657"/>
      <c r="H15" s="24"/>
      <c r="I15" s="24"/>
      <c r="J15" s="32"/>
      <c r="K15" s="45"/>
      <c r="L15" s="656"/>
    </row>
    <row r="16" spans="1:12" ht="34.9" customHeight="1" x14ac:dyDescent="0.2">
      <c r="A16" s="30"/>
      <c r="B16" s="664"/>
      <c r="C16" s="31"/>
      <c r="D16" s="35"/>
      <c r="E16" s="44"/>
      <c r="F16" s="662"/>
      <c r="G16" s="657"/>
      <c r="H16" s="24"/>
      <c r="I16" s="24"/>
      <c r="J16" s="32"/>
      <c r="K16" s="45"/>
      <c r="L16" s="656"/>
    </row>
    <row r="17" spans="1:15" ht="34.9" customHeight="1" x14ac:dyDescent="0.2">
      <c r="A17" s="30"/>
      <c r="B17" s="664"/>
      <c r="C17" s="31"/>
      <c r="D17" s="27"/>
      <c r="E17" s="44"/>
      <c r="F17" s="658"/>
      <c r="G17" s="657"/>
      <c r="H17" s="24"/>
      <c r="I17" s="24"/>
      <c r="J17" s="32"/>
      <c r="K17" s="45"/>
      <c r="L17" s="656"/>
    </row>
    <row r="18" spans="1:15" ht="34.9" customHeight="1" x14ac:dyDescent="0.2">
      <c r="A18" s="30"/>
      <c r="B18" s="664"/>
      <c r="C18" s="31"/>
      <c r="D18" s="27"/>
      <c r="E18" s="44"/>
      <c r="F18" s="658"/>
      <c r="G18" s="657"/>
      <c r="H18" s="24"/>
      <c r="I18" s="24"/>
      <c r="J18" s="32"/>
      <c r="K18" s="45"/>
      <c r="L18" s="656"/>
      <c r="O18" s="66"/>
    </row>
    <row r="19" spans="1:15" ht="34.9" customHeight="1" x14ac:dyDescent="0.2">
      <c r="A19" s="30"/>
      <c r="B19" s="664"/>
      <c r="C19" s="31"/>
      <c r="D19" s="27"/>
      <c r="E19" s="44"/>
      <c r="F19" s="658"/>
      <c r="G19" s="657"/>
      <c r="H19" s="24"/>
      <c r="I19" s="24"/>
      <c r="J19" s="32"/>
      <c r="K19" s="45"/>
      <c r="L19" s="656"/>
    </row>
    <row r="20" spans="1:15" ht="34.9" customHeight="1" x14ac:dyDescent="0.2">
      <c r="A20" s="30"/>
      <c r="B20" s="664"/>
      <c r="C20" s="31"/>
      <c r="D20" s="27"/>
      <c r="E20" s="44"/>
      <c r="F20" s="658"/>
      <c r="G20" s="657"/>
      <c r="H20" s="24"/>
      <c r="I20" s="24"/>
      <c r="J20" s="32"/>
      <c r="K20" s="45"/>
      <c r="L20" s="656"/>
    </row>
    <row r="21" spans="1:15" ht="34.9" customHeight="1" x14ac:dyDescent="0.2">
      <c r="A21" s="30"/>
      <c r="B21" s="664"/>
      <c r="C21" s="31"/>
      <c r="D21" s="27"/>
      <c r="E21" s="44"/>
      <c r="F21" s="658"/>
      <c r="G21" s="657"/>
      <c r="H21" s="24"/>
      <c r="I21" s="24"/>
      <c r="J21" s="32"/>
      <c r="K21" s="45"/>
      <c r="L21" s="656"/>
    </row>
    <row r="22" spans="1:15" ht="34.9" customHeight="1" x14ac:dyDescent="0.2">
      <c r="A22" s="30"/>
      <c r="B22" s="652"/>
      <c r="C22" s="31"/>
      <c r="D22" s="27"/>
      <c r="E22" s="44"/>
      <c r="F22" s="658"/>
      <c r="G22" s="657"/>
      <c r="H22" s="24"/>
      <c r="I22" s="24"/>
      <c r="J22" s="32"/>
      <c r="K22" s="45"/>
      <c r="L22" s="656"/>
    </row>
    <row r="23" spans="1:15" ht="34.9" customHeight="1" x14ac:dyDescent="0.2">
      <c r="A23" s="30"/>
      <c r="B23" s="664"/>
      <c r="C23" s="31"/>
      <c r="D23" s="27"/>
      <c r="E23" s="44"/>
      <c r="F23" s="658"/>
      <c r="G23" s="657"/>
      <c r="H23" s="24"/>
      <c r="I23" s="24"/>
      <c r="J23" s="32"/>
      <c r="K23" s="45"/>
      <c r="L23" s="656"/>
    </row>
    <row r="24" spans="1:15" ht="34.9" customHeight="1" x14ac:dyDescent="0.2">
      <c r="A24" s="30"/>
      <c r="B24" s="664"/>
      <c r="C24" s="31"/>
      <c r="D24" s="27"/>
      <c r="E24" s="44"/>
      <c r="F24" s="658"/>
      <c r="G24" s="657"/>
      <c r="H24" s="24"/>
      <c r="I24" s="24"/>
      <c r="J24" s="32"/>
      <c r="K24" s="45"/>
      <c r="L24" s="656"/>
    </row>
    <row r="25" spans="1:15" ht="34.9" customHeight="1" x14ac:dyDescent="0.2">
      <c r="A25" s="30"/>
      <c r="B25" s="664"/>
      <c r="C25" s="31"/>
      <c r="D25" s="27"/>
      <c r="E25" s="44"/>
      <c r="F25" s="658"/>
      <c r="G25" s="657"/>
      <c r="H25" s="24"/>
      <c r="I25" s="24"/>
      <c r="J25" s="32"/>
      <c r="K25" s="45"/>
      <c r="L25" s="656"/>
    </row>
    <row r="26" spans="1:15" ht="34.9" customHeight="1" x14ac:dyDescent="0.2">
      <c r="A26" s="30"/>
      <c r="B26" s="652"/>
      <c r="C26" s="31"/>
      <c r="D26" s="27"/>
      <c r="E26" s="44"/>
      <c r="F26" s="658"/>
      <c r="G26" s="657"/>
      <c r="H26" s="24"/>
      <c r="I26" s="24"/>
      <c r="J26" s="32"/>
      <c r="K26" s="45"/>
      <c r="L26" s="656"/>
    </row>
    <row r="27" spans="1:15" ht="34.9" customHeight="1" x14ac:dyDescent="0.2">
      <c r="A27" s="30"/>
      <c r="B27" s="664"/>
      <c r="C27" s="31"/>
      <c r="D27" s="35"/>
      <c r="E27" s="44"/>
      <c r="F27" s="658"/>
      <c r="G27" s="657"/>
      <c r="H27" s="24"/>
      <c r="I27" s="24"/>
      <c r="J27" s="32"/>
      <c r="K27" s="45"/>
      <c r="L27" s="656"/>
    </row>
    <row r="28" spans="1:15" ht="34.9" customHeight="1" x14ac:dyDescent="0.2">
      <c r="A28" s="30"/>
      <c r="B28" s="664"/>
      <c r="C28" s="31"/>
      <c r="D28" s="35"/>
      <c r="E28" s="44"/>
      <c r="F28" s="658"/>
      <c r="G28" s="657"/>
      <c r="H28" s="24"/>
      <c r="I28" s="24"/>
      <c r="J28" s="32"/>
      <c r="K28" s="45"/>
      <c r="L28" s="656"/>
    </row>
    <row r="29" spans="1:15" ht="34.9" customHeight="1" x14ac:dyDescent="0.2">
      <c r="A29" s="30"/>
      <c r="B29" s="664"/>
      <c r="C29" s="31"/>
      <c r="D29" s="35"/>
      <c r="E29" s="44"/>
      <c r="F29" s="658"/>
      <c r="G29" s="657"/>
      <c r="H29" s="24"/>
      <c r="I29" s="24"/>
      <c r="J29" s="32"/>
      <c r="K29" s="45"/>
      <c r="L29" s="656"/>
    </row>
    <row r="30" spans="1:15" ht="34.9" customHeight="1" x14ac:dyDescent="0.2">
      <c r="A30" s="30"/>
      <c r="B30" s="664"/>
      <c r="C30" s="31"/>
      <c r="D30" s="35"/>
      <c r="E30" s="44"/>
      <c r="F30" s="658"/>
      <c r="G30" s="657"/>
      <c r="H30" s="24"/>
      <c r="I30" s="24"/>
      <c r="J30" s="32"/>
      <c r="K30" s="45"/>
      <c r="L30" s="656"/>
    </row>
    <row r="31" spans="1:15" ht="34.9" customHeight="1" x14ac:dyDescent="0.2">
      <c r="A31" s="30"/>
      <c r="B31" s="664"/>
      <c r="C31" s="31"/>
      <c r="D31" s="35"/>
      <c r="E31" s="44"/>
      <c r="F31" s="658"/>
      <c r="G31" s="657"/>
      <c r="H31" s="24"/>
      <c r="I31" s="24"/>
      <c r="J31" s="32"/>
      <c r="K31" s="45"/>
      <c r="L31" s="656"/>
    </row>
    <row r="32" spans="1:15" ht="34.9" customHeight="1" x14ac:dyDescent="0.2">
      <c r="A32" s="30"/>
      <c r="B32" s="664"/>
      <c r="C32" s="31"/>
      <c r="D32" s="35"/>
      <c r="E32" s="44"/>
      <c r="F32" s="658"/>
      <c r="G32" s="657"/>
      <c r="H32" s="24"/>
      <c r="I32" s="24"/>
      <c r="J32" s="32"/>
      <c r="K32" s="45"/>
      <c r="L32" s="656"/>
    </row>
    <row r="33" spans="1:16" ht="34.9" customHeight="1" x14ac:dyDescent="0.2">
      <c r="A33" s="30"/>
      <c r="B33" s="652"/>
      <c r="C33" s="31"/>
      <c r="D33" s="35"/>
      <c r="E33" s="44"/>
      <c r="F33" s="658"/>
      <c r="G33" s="657"/>
      <c r="H33" s="24"/>
      <c r="I33" s="24"/>
      <c r="J33" s="32"/>
      <c r="K33" s="45"/>
      <c r="L33" s="656"/>
    </row>
    <row r="34" spans="1:16" ht="34.9" customHeight="1" x14ac:dyDescent="0.2">
      <c r="A34" s="30"/>
      <c r="B34" s="664"/>
      <c r="C34" s="31"/>
      <c r="D34" s="35"/>
      <c r="E34" s="44"/>
      <c r="F34" s="658"/>
      <c r="G34" s="657"/>
      <c r="H34" s="24"/>
      <c r="I34" s="24"/>
      <c r="J34" s="32"/>
      <c r="K34" s="45"/>
      <c r="L34" s="656"/>
    </row>
    <row r="35" spans="1:16" ht="34.9" customHeight="1" x14ac:dyDescent="0.2">
      <c r="A35" s="30"/>
      <c r="B35" s="664"/>
      <c r="C35" s="31"/>
      <c r="D35" s="35"/>
      <c r="E35" s="44"/>
      <c r="F35" s="658"/>
      <c r="G35" s="657"/>
      <c r="H35" s="24"/>
      <c r="I35" s="24"/>
      <c r="J35" s="32"/>
      <c r="K35" s="45"/>
      <c r="L35" s="656"/>
    </row>
    <row r="36" spans="1:16" ht="34.9" customHeight="1" x14ac:dyDescent="0.2">
      <c r="A36" s="30"/>
      <c r="B36" s="664"/>
      <c r="C36" s="31"/>
      <c r="D36" s="35"/>
      <c r="E36" s="44"/>
      <c r="F36" s="658"/>
      <c r="G36" s="657"/>
      <c r="H36" s="24"/>
      <c r="I36" s="24"/>
      <c r="J36" s="32"/>
      <c r="K36" s="45"/>
      <c r="L36" s="656"/>
    </row>
    <row r="37" spans="1:16" ht="34.9" customHeight="1" x14ac:dyDescent="0.2">
      <c r="A37" s="30"/>
      <c r="B37" s="664"/>
      <c r="C37" s="31"/>
      <c r="D37" s="35"/>
      <c r="E37" s="44"/>
      <c r="F37" s="658"/>
      <c r="G37" s="657"/>
      <c r="H37" s="24"/>
      <c r="I37" s="24"/>
      <c r="J37" s="32"/>
      <c r="K37" s="45"/>
      <c r="L37" s="656"/>
    </row>
    <row r="38" spans="1:16" ht="34.9" customHeight="1" x14ac:dyDescent="0.2">
      <c r="A38" s="30"/>
      <c r="B38" s="664"/>
      <c r="C38" s="31"/>
      <c r="D38" s="35"/>
      <c r="E38" s="44"/>
      <c r="F38" s="658"/>
      <c r="G38" s="657"/>
      <c r="H38" s="24"/>
      <c r="I38" s="24"/>
      <c r="J38" s="32"/>
      <c r="K38" s="45"/>
      <c r="L38" s="656"/>
      <c r="O38" s="1">
        <v>1369271.964462898</v>
      </c>
    </row>
    <row r="39" spans="1:16" ht="34.9" customHeight="1" x14ac:dyDescent="0.2">
      <c r="A39" s="30"/>
      <c r="B39" s="664"/>
      <c r="C39" s="31"/>
      <c r="D39" s="35"/>
      <c r="E39" s="44"/>
      <c r="F39" s="658"/>
      <c r="G39" s="657"/>
      <c r="H39" s="24"/>
      <c r="I39" s="24"/>
      <c r="J39" s="32"/>
      <c r="K39" s="45"/>
      <c r="L39" s="656"/>
    </row>
    <row r="40" spans="1:16" ht="34.9" customHeight="1" x14ac:dyDescent="0.2">
      <c r="A40" s="30"/>
      <c r="B40" s="664"/>
      <c r="C40" s="31"/>
      <c r="D40" s="35"/>
      <c r="E40" s="44"/>
      <c r="F40" s="658"/>
      <c r="G40" s="657"/>
      <c r="H40" s="24"/>
      <c r="I40" s="24"/>
      <c r="J40" s="32"/>
      <c r="K40" s="45"/>
      <c r="L40" s="656"/>
    </row>
    <row r="41" spans="1:16" ht="34.9" customHeight="1" x14ac:dyDescent="0.2">
      <c r="A41" s="3"/>
      <c r="B41" s="67"/>
      <c r="C41" s="4"/>
      <c r="D41" s="26"/>
      <c r="E41" s="29"/>
      <c r="F41" s="68"/>
      <c r="G41" s="63"/>
      <c r="H41" s="64"/>
      <c r="I41" s="64"/>
      <c r="J41" s="5"/>
      <c r="K41" s="433"/>
      <c r="L41" s="6"/>
    </row>
    <row r="42" spans="1:16" ht="34.9" customHeight="1" x14ac:dyDescent="0.2">
      <c r="A42" s="3">
        <v>40</v>
      </c>
      <c r="B42" s="625" t="s">
        <v>35</v>
      </c>
      <c r="C42" s="448" t="s">
        <v>31</v>
      </c>
      <c r="D42" s="449" t="s">
        <v>38</v>
      </c>
      <c r="E42" s="666">
        <v>200000000</v>
      </c>
      <c r="F42" s="450">
        <v>79.314599999999999</v>
      </c>
      <c r="G42" s="451"/>
      <c r="H42" s="452"/>
      <c r="I42" s="452"/>
      <c r="J42" s="453">
        <f>E42/F42</f>
        <v>2521603.8409069707</v>
      </c>
      <c r="K42" s="454"/>
      <c r="L42" s="6">
        <f t="shared" ref="L5:L67" si="0">J42-K42+L41</f>
        <v>2521603.8409069707</v>
      </c>
      <c r="O42" s="1" t="s">
        <v>762</v>
      </c>
    </row>
    <row r="43" spans="1:16" ht="34.9" customHeight="1" x14ac:dyDescent="0.2">
      <c r="A43" s="3">
        <v>41</v>
      </c>
      <c r="B43" s="625"/>
      <c r="C43" s="448" t="s">
        <v>32</v>
      </c>
      <c r="D43" s="449" t="s">
        <v>37</v>
      </c>
      <c r="E43" s="666">
        <v>300000000</v>
      </c>
      <c r="F43" s="450">
        <v>77.692300000000003</v>
      </c>
      <c r="G43" s="451"/>
      <c r="H43" s="452"/>
      <c r="I43" s="452"/>
      <c r="J43" s="453">
        <f>E43/F43</f>
        <v>3861386.5209293584</v>
      </c>
      <c r="K43" s="454"/>
      <c r="L43" s="6">
        <f t="shared" si="0"/>
        <v>6382990.3618363291</v>
      </c>
    </row>
    <row r="44" spans="1:16" ht="34.9" customHeight="1" x14ac:dyDescent="0.2">
      <c r="A44" s="3">
        <v>42</v>
      </c>
      <c r="B44" s="625"/>
      <c r="C44" s="448" t="s">
        <v>36</v>
      </c>
      <c r="D44" s="449" t="s">
        <v>763</v>
      </c>
      <c r="E44" s="666">
        <v>500000000</v>
      </c>
      <c r="F44" s="450">
        <v>78.571100000000001</v>
      </c>
      <c r="G44" s="456"/>
      <c r="H44" s="457"/>
      <c r="I44" s="456"/>
      <c r="J44" s="453">
        <f>E44/F44</f>
        <v>6363662.9753178963</v>
      </c>
      <c r="K44" s="454"/>
      <c r="L44" s="6">
        <f t="shared" si="0"/>
        <v>12746653.337154225</v>
      </c>
    </row>
    <row r="45" spans="1:16" ht="34.9" customHeight="1" x14ac:dyDescent="0.2">
      <c r="A45" s="3">
        <v>43</v>
      </c>
      <c r="B45" s="625"/>
      <c r="C45" s="449"/>
      <c r="D45" s="449" t="s">
        <v>44</v>
      </c>
      <c r="E45" s="666"/>
      <c r="F45" s="455"/>
      <c r="G45" s="451">
        <v>7463.8499999999985</v>
      </c>
      <c r="H45" s="452">
        <v>610</v>
      </c>
      <c r="I45" s="452"/>
      <c r="J45" s="453"/>
      <c r="K45" s="454">
        <f>G45*H45</f>
        <v>4552948.4999999991</v>
      </c>
      <c r="L45" s="6">
        <f t="shared" si="0"/>
        <v>8193704.8371542254</v>
      </c>
      <c r="P45" s="1">
        <f>5000*610</f>
        <v>3050000</v>
      </c>
    </row>
    <row r="46" spans="1:16" ht="34.9" customHeight="1" x14ac:dyDescent="0.2">
      <c r="A46" s="3">
        <v>44</v>
      </c>
      <c r="B46" s="625"/>
      <c r="C46" s="449"/>
      <c r="D46" s="449" t="s">
        <v>45</v>
      </c>
      <c r="E46" s="666"/>
      <c r="F46" s="455"/>
      <c r="G46" s="451">
        <v>12414.95</v>
      </c>
      <c r="H46" s="452">
        <v>610</v>
      </c>
      <c r="I46" s="452"/>
      <c r="J46" s="453"/>
      <c r="K46" s="454">
        <f>G46*H46</f>
        <v>7573119.5</v>
      </c>
      <c r="L46" s="6">
        <f t="shared" si="0"/>
        <v>620585.33715422545</v>
      </c>
    </row>
    <row r="47" spans="1:16" ht="34.9" customHeight="1" x14ac:dyDescent="0.2">
      <c r="A47" s="3">
        <v>45</v>
      </c>
      <c r="B47" s="625"/>
      <c r="C47" s="448"/>
      <c r="D47" s="449" t="s">
        <v>761</v>
      </c>
      <c r="E47" s="666"/>
      <c r="F47" s="455"/>
      <c r="G47" s="451"/>
      <c r="H47" s="452"/>
      <c r="I47" s="452"/>
      <c r="J47" s="453"/>
      <c r="K47" s="454">
        <v>620586</v>
      </c>
      <c r="L47" s="6">
        <f t="shared" si="0"/>
        <v>-0.66284577455371618</v>
      </c>
    </row>
    <row r="48" spans="1:16" ht="34.9" customHeight="1" x14ac:dyDescent="0.2">
      <c r="A48" s="3">
        <v>46</v>
      </c>
      <c r="B48" s="67"/>
      <c r="C48" s="4"/>
      <c r="D48" s="26"/>
      <c r="E48" s="667"/>
      <c r="F48" s="65"/>
      <c r="G48" s="63"/>
      <c r="H48" s="64"/>
      <c r="I48" s="64"/>
      <c r="J48" s="5"/>
      <c r="K48" s="433"/>
      <c r="L48" s="6">
        <f t="shared" si="0"/>
        <v>-0.66284577455371618</v>
      </c>
    </row>
    <row r="49" spans="1:16" ht="34.9" customHeight="1" x14ac:dyDescent="0.2">
      <c r="A49" s="3">
        <v>47</v>
      </c>
      <c r="B49" s="624" t="s">
        <v>704</v>
      </c>
      <c r="C49" s="67" t="s">
        <v>40</v>
      </c>
      <c r="D49" s="434" t="s">
        <v>46</v>
      </c>
      <c r="E49" s="668">
        <v>188664149.65000001</v>
      </c>
      <c r="F49" s="604">
        <v>78.257592074100003</v>
      </c>
      <c r="G49" s="68"/>
      <c r="H49" s="63"/>
      <c r="I49" s="64"/>
      <c r="J49" s="32">
        <f>E49/F49</f>
        <v>2410809.5412820652</v>
      </c>
      <c r="K49" s="433"/>
      <c r="L49" s="6">
        <f t="shared" si="0"/>
        <v>2410808.8784362907</v>
      </c>
    </row>
    <row r="50" spans="1:16" ht="34.9" customHeight="1" x14ac:dyDescent="0.2">
      <c r="A50" s="3">
        <v>48</v>
      </c>
      <c r="B50" s="624"/>
      <c r="C50" s="67" t="s">
        <v>41</v>
      </c>
      <c r="D50" s="434" t="s">
        <v>42</v>
      </c>
      <c r="E50" s="668">
        <v>200000000</v>
      </c>
      <c r="F50" s="604">
        <v>76.020421801099999</v>
      </c>
      <c r="G50" s="68"/>
      <c r="H50" s="63"/>
      <c r="I50" s="64"/>
      <c r="J50" s="32">
        <f t="shared" ref="J50:J51" si="1">E50/F50</f>
        <v>2630872.0112508773</v>
      </c>
      <c r="K50" s="433"/>
      <c r="L50" s="6">
        <f t="shared" si="0"/>
        <v>5041680.8896871675</v>
      </c>
    </row>
    <row r="51" spans="1:16" ht="34.9" customHeight="1" x14ac:dyDescent="0.2">
      <c r="A51" s="3">
        <v>49</v>
      </c>
      <c r="B51" s="624"/>
      <c r="C51" s="67" t="s">
        <v>753</v>
      </c>
      <c r="D51" s="434" t="s">
        <v>758</v>
      </c>
      <c r="E51" s="668">
        <v>47798900.689999998</v>
      </c>
      <c r="F51" s="604">
        <v>76.020421801099999</v>
      </c>
      <c r="G51" s="605"/>
      <c r="H51" s="606"/>
      <c r="I51" s="605"/>
      <c r="J51" s="32">
        <f t="shared" si="1"/>
        <v>628763.94996940624</v>
      </c>
      <c r="K51" s="433"/>
      <c r="L51" s="6">
        <f t="shared" si="0"/>
        <v>5670444.8396565737</v>
      </c>
      <c r="P51" s="1">
        <v>303400000</v>
      </c>
    </row>
    <row r="52" spans="1:16" ht="34.9" customHeight="1" x14ac:dyDescent="0.2">
      <c r="A52" s="3">
        <v>50</v>
      </c>
      <c r="B52" s="624"/>
      <c r="C52" s="67"/>
      <c r="D52" s="434" t="s">
        <v>703</v>
      </c>
      <c r="E52" s="668"/>
      <c r="F52" s="68"/>
      <c r="G52" s="63">
        <v>9948.149999999996</v>
      </c>
      <c r="H52" s="64">
        <v>570</v>
      </c>
      <c r="I52" s="64"/>
      <c r="J52" s="5"/>
      <c r="K52" s="433">
        <f>G52*H52</f>
        <v>5670445.4999999981</v>
      </c>
      <c r="L52" s="6">
        <f t="shared" si="0"/>
        <v>-0.6603434244170785</v>
      </c>
      <c r="P52" s="623">
        <f>P51-E51</f>
        <v>255601099.31</v>
      </c>
    </row>
    <row r="53" spans="1:16" ht="34.9" customHeight="1" x14ac:dyDescent="0.2">
      <c r="A53" s="3">
        <v>51</v>
      </c>
      <c r="B53" s="67"/>
      <c r="C53" s="4"/>
      <c r="D53" s="434"/>
      <c r="E53" s="668"/>
      <c r="F53" s="29"/>
      <c r="G53" s="63"/>
      <c r="H53" s="64"/>
      <c r="I53" s="64"/>
      <c r="J53" s="5"/>
      <c r="K53" s="433"/>
      <c r="L53" s="6">
        <f t="shared" si="0"/>
        <v>-0.6603434244170785</v>
      </c>
    </row>
    <row r="54" spans="1:16" ht="34.9" customHeight="1" x14ac:dyDescent="0.2">
      <c r="A54" s="3">
        <v>52</v>
      </c>
      <c r="B54" s="67" t="s">
        <v>705</v>
      </c>
      <c r="C54" s="67"/>
      <c r="D54" s="26" t="s">
        <v>709</v>
      </c>
      <c r="E54" s="668"/>
      <c r="F54" s="29"/>
      <c r="G54" s="63">
        <v>9967.6500000000015</v>
      </c>
      <c r="H54" s="64">
        <v>600</v>
      </c>
      <c r="I54" s="64"/>
      <c r="J54" s="5"/>
      <c r="K54" s="433">
        <f>G54*H54</f>
        <v>5980590.0000000009</v>
      </c>
      <c r="L54" s="6">
        <f t="shared" si="0"/>
        <v>-5980590.6603434253</v>
      </c>
    </row>
    <row r="55" spans="1:16" ht="34.9" customHeight="1" x14ac:dyDescent="0.2">
      <c r="A55" s="3">
        <v>53</v>
      </c>
      <c r="B55" s="67"/>
      <c r="C55" s="67" t="s">
        <v>706</v>
      </c>
      <c r="D55" s="26" t="s">
        <v>764</v>
      </c>
      <c r="E55" s="668">
        <v>110000000</v>
      </c>
      <c r="F55" s="29">
        <v>76.551900000000003</v>
      </c>
      <c r="G55" s="63"/>
      <c r="H55" s="64"/>
      <c r="I55" s="64"/>
      <c r="J55" s="5">
        <f>E55/F55</f>
        <v>1436933.6358731787</v>
      </c>
      <c r="K55" s="433"/>
      <c r="L55" s="6">
        <f t="shared" si="0"/>
        <v>-4543657.0244702464</v>
      </c>
    </row>
    <row r="56" spans="1:16" ht="34.9" customHeight="1" x14ac:dyDescent="0.2">
      <c r="A56" s="3">
        <v>54</v>
      </c>
      <c r="B56" s="67"/>
      <c r="C56" s="67" t="s">
        <v>706</v>
      </c>
      <c r="D56" s="26" t="s">
        <v>765</v>
      </c>
      <c r="E56" s="668">
        <v>120000000</v>
      </c>
      <c r="F56" s="29">
        <v>76.551900000000003</v>
      </c>
      <c r="G56" s="63"/>
      <c r="H56" s="64"/>
      <c r="I56" s="64"/>
      <c r="J56" s="5">
        <f t="shared" ref="J56:J57" si="2">E56/F56</f>
        <v>1567563.9664071042</v>
      </c>
      <c r="K56" s="433"/>
      <c r="L56" s="6">
        <f t="shared" si="0"/>
        <v>-2976093.058063142</v>
      </c>
    </row>
    <row r="57" spans="1:16" ht="34.9" customHeight="1" x14ac:dyDescent="0.2">
      <c r="A57" s="3">
        <v>55</v>
      </c>
      <c r="B57" s="67"/>
      <c r="C57" s="67" t="s">
        <v>706</v>
      </c>
      <c r="D57" s="26" t="s">
        <v>766</v>
      </c>
      <c r="E57" s="668">
        <v>100000000</v>
      </c>
      <c r="F57" s="29">
        <v>76.551900000000003</v>
      </c>
      <c r="G57" s="63"/>
      <c r="H57" s="64"/>
      <c r="I57" s="64"/>
      <c r="J57" s="5">
        <f t="shared" si="2"/>
        <v>1306303.3053392535</v>
      </c>
      <c r="K57" s="433"/>
      <c r="L57" s="6">
        <f t="shared" si="0"/>
        <v>-1669789.7527238885</v>
      </c>
    </row>
    <row r="58" spans="1:16" ht="34.9" customHeight="1" x14ac:dyDescent="0.2">
      <c r="A58" s="3">
        <v>56</v>
      </c>
      <c r="B58" s="67"/>
      <c r="C58" s="67" t="s">
        <v>707</v>
      </c>
      <c r="D58" s="434" t="s">
        <v>708</v>
      </c>
      <c r="E58" s="668">
        <v>200000000</v>
      </c>
      <c r="F58" s="29">
        <v>76.025099999999995</v>
      </c>
      <c r="G58" s="63"/>
      <c r="H58" s="64"/>
      <c r="I58" s="64"/>
      <c r="J58" s="5">
        <f>E58/F58</f>
        <v>2630710.1207364411</v>
      </c>
      <c r="K58" s="433"/>
      <c r="L58" s="6">
        <f t="shared" si="0"/>
        <v>960920.36801255262</v>
      </c>
    </row>
    <row r="59" spans="1:16" ht="34.9" customHeight="1" x14ac:dyDescent="0.2">
      <c r="A59" s="3">
        <v>57</v>
      </c>
      <c r="B59" s="67"/>
      <c r="C59" s="67"/>
      <c r="D59" s="607" t="s">
        <v>761</v>
      </c>
      <c r="E59" s="668"/>
      <c r="F59" s="29"/>
      <c r="G59" s="63"/>
      <c r="H59" s="64"/>
      <c r="I59" s="64"/>
      <c r="J59" s="5"/>
      <c r="K59" s="433">
        <v>960921</v>
      </c>
      <c r="L59" s="6">
        <f t="shared" si="0"/>
        <v>-0.63198744738474488</v>
      </c>
    </row>
    <row r="60" spans="1:16" ht="34.9" customHeight="1" x14ac:dyDescent="0.2">
      <c r="A60" s="3">
        <v>58</v>
      </c>
      <c r="B60" s="67"/>
      <c r="C60" s="67"/>
      <c r="D60" s="26"/>
      <c r="E60" s="668"/>
      <c r="F60" s="29"/>
      <c r="G60" s="63"/>
      <c r="H60" s="64"/>
      <c r="I60" s="64"/>
      <c r="J60" s="5"/>
      <c r="K60" s="433"/>
      <c r="L60" s="6">
        <f t="shared" si="0"/>
        <v>-0.63198744738474488</v>
      </c>
    </row>
    <row r="61" spans="1:16" ht="34.9" customHeight="1" x14ac:dyDescent="0.2">
      <c r="A61" s="3">
        <v>59</v>
      </c>
      <c r="B61" s="67"/>
      <c r="C61" s="67"/>
      <c r="D61" s="26" t="s">
        <v>757</v>
      </c>
      <c r="E61" s="668"/>
      <c r="F61" s="29"/>
      <c r="G61" s="63">
        <v>9967.35</v>
      </c>
      <c r="H61" s="64">
        <v>580</v>
      </c>
      <c r="I61" s="64"/>
      <c r="J61" s="5"/>
      <c r="K61" s="433">
        <f>G61*H61</f>
        <v>5781063</v>
      </c>
      <c r="L61" s="6">
        <f t="shared" si="0"/>
        <v>-5781063.6319874469</v>
      </c>
    </row>
    <row r="62" spans="1:16" ht="34.9" customHeight="1" x14ac:dyDescent="0.2">
      <c r="A62" s="3">
        <v>60</v>
      </c>
      <c r="B62" s="67"/>
      <c r="C62" s="67" t="s">
        <v>753</v>
      </c>
      <c r="D62" s="26" t="s">
        <v>758</v>
      </c>
      <c r="E62" s="668">
        <v>255601099.31</v>
      </c>
      <c r="F62" s="62">
        <v>76.818035771699996</v>
      </c>
      <c r="G62" s="63"/>
      <c r="H62" s="64"/>
      <c r="I62" s="64"/>
      <c r="J62" s="5">
        <f>E62/F62</f>
        <v>3327357.9146131231</v>
      </c>
      <c r="K62" s="433"/>
      <c r="L62" s="6">
        <f t="shared" si="0"/>
        <v>-2453705.7173743239</v>
      </c>
      <c r="O62" s="1" t="s">
        <v>754</v>
      </c>
    </row>
    <row r="63" spans="1:16" ht="34.9" customHeight="1" x14ac:dyDescent="0.2">
      <c r="A63" s="3">
        <v>61</v>
      </c>
      <c r="B63" s="67"/>
      <c r="C63" s="67"/>
      <c r="D63" s="608" t="s">
        <v>759</v>
      </c>
      <c r="E63" s="668">
        <v>47180062.530000001</v>
      </c>
      <c r="F63" s="62">
        <v>76.464300983300006</v>
      </c>
      <c r="G63" s="63"/>
      <c r="H63" s="64"/>
      <c r="I63" s="64"/>
      <c r="J63" s="5">
        <f t="shared" ref="J63:J64" si="3">E63/F63</f>
        <v>617020.77862850332</v>
      </c>
      <c r="K63" s="433"/>
      <c r="L63" s="6">
        <f t="shared" si="0"/>
        <v>-1836684.9387458204</v>
      </c>
    </row>
    <row r="64" spans="1:16" ht="34.9" customHeight="1" x14ac:dyDescent="0.2">
      <c r="A64" s="3">
        <v>62</v>
      </c>
      <c r="B64" s="67"/>
      <c r="C64" s="67"/>
      <c r="D64" s="608" t="s">
        <v>760</v>
      </c>
      <c r="E64" s="668">
        <v>73054117.397853002</v>
      </c>
      <c r="F64" s="62">
        <v>76.464300983300006</v>
      </c>
      <c r="G64" s="63"/>
      <c r="H64" s="64"/>
      <c r="I64" s="64"/>
      <c r="J64" s="5">
        <f t="shared" si="3"/>
        <v>955401.62478969374</v>
      </c>
      <c r="K64" s="433"/>
      <c r="L64" s="6">
        <f t="shared" si="0"/>
        <v>-881283.31395612669</v>
      </c>
    </row>
    <row r="65" spans="1:12" ht="34.9" customHeight="1" x14ac:dyDescent="0.2">
      <c r="A65" s="3">
        <v>63</v>
      </c>
      <c r="B65" s="67"/>
      <c r="C65" s="67" t="s">
        <v>755</v>
      </c>
      <c r="D65" s="26" t="s">
        <v>756</v>
      </c>
      <c r="E65" s="667">
        <v>80000000</v>
      </c>
      <c r="F65" s="29">
        <v>76.464300983300006</v>
      </c>
      <c r="G65" s="63"/>
      <c r="H65" s="64"/>
      <c r="I65" s="64"/>
      <c r="J65" s="5">
        <f>E65/F65</f>
        <v>1046239.8658096959</v>
      </c>
      <c r="K65" s="433"/>
      <c r="L65" s="6">
        <f t="shared" si="0"/>
        <v>164956.55185356922</v>
      </c>
    </row>
    <row r="66" spans="1:12" ht="34.9" customHeight="1" x14ac:dyDescent="0.2">
      <c r="A66" s="3">
        <v>64</v>
      </c>
      <c r="B66" s="67"/>
      <c r="C66" s="67"/>
      <c r="D66" s="26"/>
      <c r="E66" s="458"/>
      <c r="F66" s="29"/>
      <c r="G66" s="63"/>
      <c r="H66" s="64"/>
      <c r="I66" s="64"/>
      <c r="J66" s="5"/>
      <c r="K66" s="433"/>
      <c r="L66" s="6">
        <f t="shared" si="0"/>
        <v>164956.55185356922</v>
      </c>
    </row>
    <row r="67" spans="1:12" ht="34.9" customHeight="1" x14ac:dyDescent="0.2">
      <c r="A67" s="3">
        <v>65</v>
      </c>
      <c r="B67" s="67"/>
      <c r="C67" s="67"/>
      <c r="D67" s="26"/>
      <c r="E67" s="458"/>
      <c r="F67" s="29"/>
      <c r="G67" s="63"/>
      <c r="H67" s="64"/>
      <c r="I67" s="64"/>
      <c r="J67" s="5"/>
      <c r="K67" s="433"/>
      <c r="L67" s="6">
        <f t="shared" si="0"/>
        <v>164956.55185356922</v>
      </c>
    </row>
    <row r="68" spans="1:12" ht="34.9" customHeight="1" thickBot="1" x14ac:dyDescent="0.25">
      <c r="A68" s="7"/>
      <c r="B68" s="8"/>
      <c r="C68" s="8"/>
      <c r="D68" s="9"/>
      <c r="E68" s="9"/>
      <c r="F68" s="8"/>
      <c r="G68" s="10"/>
      <c r="H68" s="11"/>
      <c r="I68" s="12"/>
      <c r="J68" s="13"/>
      <c r="K68" s="14"/>
      <c r="L68" s="447"/>
    </row>
    <row r="70" spans="1:12" x14ac:dyDescent="0.2">
      <c r="J70" s="459">
        <f>SUM(J3:J69)</f>
        <v>31304630.051853571</v>
      </c>
      <c r="K70" s="460">
        <f>SUM(K3:K69)</f>
        <v>31139673.5</v>
      </c>
    </row>
  </sheetData>
  <mergeCells count="7">
    <mergeCell ref="B49:B52"/>
    <mergeCell ref="B42:B47"/>
    <mergeCell ref="A1:L1"/>
    <mergeCell ref="B15:B21"/>
    <mergeCell ref="B23:B25"/>
    <mergeCell ref="B27:B32"/>
    <mergeCell ref="B34:B40"/>
  </mergeCells>
  <pageMargins left="0" right="0" top="0" bottom="0" header="0.3" footer="0.3"/>
  <pageSetup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Q14" sqref="Q14"/>
    </sheetView>
  </sheetViews>
  <sheetFormatPr defaultRowHeight="12.75" x14ac:dyDescent="0.2"/>
  <cols>
    <col min="1" max="1" width="5.5703125" style="1" bestFit="1" customWidth="1"/>
    <col min="2" max="2" width="10.42578125" style="1" customWidth="1"/>
    <col min="3" max="3" width="39.140625" style="16" bestFit="1" customWidth="1"/>
    <col min="4" max="4" width="15.85546875" style="16" customWidth="1"/>
    <col min="5" max="5" width="12.85546875" style="17" customWidth="1"/>
    <col min="6" max="6" width="14.28515625" style="18" customWidth="1"/>
    <col min="7" max="7" width="0.28515625" style="19" customWidth="1"/>
    <col min="8" max="8" width="10.42578125" style="18" customWidth="1"/>
    <col min="9" max="9" width="13.85546875" style="20" customWidth="1"/>
    <col min="10" max="10" width="15.28515625" style="22" customWidth="1"/>
    <col min="11" max="11" width="3.140625" style="1" customWidth="1"/>
    <col min="12" max="12" width="1.140625" style="1" customWidth="1"/>
    <col min="13" max="252" width="8.85546875" style="1"/>
    <col min="253" max="253" width="5.5703125" style="1" bestFit="1" customWidth="1"/>
    <col min="254" max="254" width="9.28515625" style="1" customWidth="1"/>
    <col min="255" max="255" width="24.7109375" style="1" customWidth="1"/>
    <col min="256" max="256" width="11" style="1" bestFit="1" customWidth="1"/>
    <col min="257" max="257" width="7.5703125" style="1" bestFit="1" customWidth="1"/>
    <col min="258" max="258" width="13.5703125" style="1" customWidth="1"/>
    <col min="259" max="259" width="5.42578125" style="1" bestFit="1" customWidth="1"/>
    <col min="260" max="260" width="11.28515625" style="1" bestFit="1" customWidth="1"/>
    <col min="261" max="261" width="5.7109375" style="1" bestFit="1" customWidth="1"/>
    <col min="262" max="262" width="12" style="1" customWidth="1"/>
    <col min="263" max="263" width="15.42578125" style="1" bestFit="1" customWidth="1"/>
    <col min="264" max="265" width="15.140625" style="1" bestFit="1" customWidth="1"/>
    <col min="266" max="266" width="14.28515625" style="1" bestFit="1" customWidth="1"/>
    <col min="267" max="267" width="3.140625" style="1" customWidth="1"/>
    <col min="268" max="268" width="6.42578125" style="1" customWidth="1"/>
    <col min="269" max="508" width="8.85546875" style="1"/>
    <col min="509" max="509" width="5.5703125" style="1" bestFit="1" customWidth="1"/>
    <col min="510" max="510" width="9.28515625" style="1" customWidth="1"/>
    <col min="511" max="511" width="24.7109375" style="1" customWidth="1"/>
    <col min="512" max="512" width="11" style="1" bestFit="1" customWidth="1"/>
    <col min="513" max="513" width="7.5703125" style="1" bestFit="1" customWidth="1"/>
    <col min="514" max="514" width="13.5703125" style="1" customWidth="1"/>
    <col min="515" max="515" width="5.42578125" style="1" bestFit="1" customWidth="1"/>
    <col min="516" max="516" width="11.28515625" style="1" bestFit="1" customWidth="1"/>
    <col min="517" max="517" width="5.7109375" style="1" bestFit="1" customWidth="1"/>
    <col min="518" max="518" width="12" style="1" customWidth="1"/>
    <col min="519" max="519" width="15.42578125" style="1" bestFit="1" customWidth="1"/>
    <col min="520" max="521" width="15.140625" style="1" bestFit="1" customWidth="1"/>
    <col min="522" max="522" width="14.28515625" style="1" bestFit="1" customWidth="1"/>
    <col min="523" max="523" width="3.140625" style="1" customWidth="1"/>
    <col min="524" max="524" width="6.42578125" style="1" customWidth="1"/>
    <col min="525" max="764" width="8.85546875" style="1"/>
    <col min="765" max="765" width="5.5703125" style="1" bestFit="1" customWidth="1"/>
    <col min="766" max="766" width="9.28515625" style="1" customWidth="1"/>
    <col min="767" max="767" width="24.7109375" style="1" customWidth="1"/>
    <col min="768" max="768" width="11" style="1" bestFit="1" customWidth="1"/>
    <col min="769" max="769" width="7.5703125" style="1" bestFit="1" customWidth="1"/>
    <col min="770" max="770" width="13.5703125" style="1" customWidth="1"/>
    <col min="771" max="771" width="5.42578125" style="1" bestFit="1" customWidth="1"/>
    <col min="772" max="772" width="11.28515625" style="1" bestFit="1" customWidth="1"/>
    <col min="773" max="773" width="5.7109375" style="1" bestFit="1" customWidth="1"/>
    <col min="774" max="774" width="12" style="1" customWidth="1"/>
    <col min="775" max="775" width="15.42578125" style="1" bestFit="1" customWidth="1"/>
    <col min="776" max="777" width="15.140625" style="1" bestFit="1" customWidth="1"/>
    <col min="778" max="778" width="14.28515625" style="1" bestFit="1" customWidth="1"/>
    <col min="779" max="779" width="3.140625" style="1" customWidth="1"/>
    <col min="780" max="780" width="6.42578125" style="1" customWidth="1"/>
    <col min="781" max="1020" width="8.85546875" style="1"/>
    <col min="1021" max="1021" width="5.5703125" style="1" bestFit="1" customWidth="1"/>
    <col min="1022" max="1022" width="9.28515625" style="1" customWidth="1"/>
    <col min="1023" max="1023" width="24.7109375" style="1" customWidth="1"/>
    <col min="1024" max="1024" width="11" style="1" bestFit="1" customWidth="1"/>
    <col min="1025" max="1025" width="7.5703125" style="1" bestFit="1" customWidth="1"/>
    <col min="1026" max="1026" width="13.5703125" style="1" customWidth="1"/>
    <col min="1027" max="1027" width="5.42578125" style="1" bestFit="1" customWidth="1"/>
    <col min="1028" max="1028" width="11.28515625" style="1" bestFit="1" customWidth="1"/>
    <col min="1029" max="1029" width="5.7109375" style="1" bestFit="1" customWidth="1"/>
    <col min="1030" max="1030" width="12" style="1" customWidth="1"/>
    <col min="1031" max="1031" width="15.42578125" style="1" bestFit="1" customWidth="1"/>
    <col min="1032" max="1033" width="15.140625" style="1" bestFit="1" customWidth="1"/>
    <col min="1034" max="1034" width="14.28515625" style="1" bestFit="1" customWidth="1"/>
    <col min="1035" max="1035" width="3.140625" style="1" customWidth="1"/>
    <col min="1036" max="1036" width="6.42578125" style="1" customWidth="1"/>
    <col min="1037" max="1276" width="8.85546875" style="1"/>
    <col min="1277" max="1277" width="5.5703125" style="1" bestFit="1" customWidth="1"/>
    <col min="1278" max="1278" width="9.28515625" style="1" customWidth="1"/>
    <col min="1279" max="1279" width="24.7109375" style="1" customWidth="1"/>
    <col min="1280" max="1280" width="11" style="1" bestFit="1" customWidth="1"/>
    <col min="1281" max="1281" width="7.5703125" style="1" bestFit="1" customWidth="1"/>
    <col min="1282" max="1282" width="13.5703125" style="1" customWidth="1"/>
    <col min="1283" max="1283" width="5.42578125" style="1" bestFit="1" customWidth="1"/>
    <col min="1284" max="1284" width="11.28515625" style="1" bestFit="1" customWidth="1"/>
    <col min="1285" max="1285" width="5.7109375" style="1" bestFit="1" customWidth="1"/>
    <col min="1286" max="1286" width="12" style="1" customWidth="1"/>
    <col min="1287" max="1287" width="15.42578125" style="1" bestFit="1" customWidth="1"/>
    <col min="1288" max="1289" width="15.140625" style="1" bestFit="1" customWidth="1"/>
    <col min="1290" max="1290" width="14.28515625" style="1" bestFit="1" customWidth="1"/>
    <col min="1291" max="1291" width="3.140625" style="1" customWidth="1"/>
    <col min="1292" max="1292" width="6.42578125" style="1" customWidth="1"/>
    <col min="1293" max="1532" width="8.85546875" style="1"/>
    <col min="1533" max="1533" width="5.5703125" style="1" bestFit="1" customWidth="1"/>
    <col min="1534" max="1534" width="9.28515625" style="1" customWidth="1"/>
    <col min="1535" max="1535" width="24.7109375" style="1" customWidth="1"/>
    <col min="1536" max="1536" width="11" style="1" bestFit="1" customWidth="1"/>
    <col min="1537" max="1537" width="7.5703125" style="1" bestFit="1" customWidth="1"/>
    <col min="1538" max="1538" width="13.5703125" style="1" customWidth="1"/>
    <col min="1539" max="1539" width="5.42578125" style="1" bestFit="1" customWidth="1"/>
    <col min="1540" max="1540" width="11.28515625" style="1" bestFit="1" customWidth="1"/>
    <col min="1541" max="1541" width="5.7109375" style="1" bestFit="1" customWidth="1"/>
    <col min="1542" max="1542" width="12" style="1" customWidth="1"/>
    <col min="1543" max="1543" width="15.42578125" style="1" bestFit="1" customWidth="1"/>
    <col min="1544" max="1545" width="15.140625" style="1" bestFit="1" customWidth="1"/>
    <col min="1546" max="1546" width="14.28515625" style="1" bestFit="1" customWidth="1"/>
    <col min="1547" max="1547" width="3.140625" style="1" customWidth="1"/>
    <col min="1548" max="1548" width="6.42578125" style="1" customWidth="1"/>
    <col min="1549" max="1788" width="8.85546875" style="1"/>
    <col min="1789" max="1789" width="5.5703125" style="1" bestFit="1" customWidth="1"/>
    <col min="1790" max="1790" width="9.28515625" style="1" customWidth="1"/>
    <col min="1791" max="1791" width="24.7109375" style="1" customWidth="1"/>
    <col min="1792" max="1792" width="11" style="1" bestFit="1" customWidth="1"/>
    <col min="1793" max="1793" width="7.5703125" style="1" bestFit="1" customWidth="1"/>
    <col min="1794" max="1794" width="13.5703125" style="1" customWidth="1"/>
    <col min="1795" max="1795" width="5.42578125" style="1" bestFit="1" customWidth="1"/>
    <col min="1796" max="1796" width="11.28515625" style="1" bestFit="1" customWidth="1"/>
    <col min="1797" max="1797" width="5.7109375" style="1" bestFit="1" customWidth="1"/>
    <col min="1798" max="1798" width="12" style="1" customWidth="1"/>
    <col min="1799" max="1799" width="15.42578125" style="1" bestFit="1" customWidth="1"/>
    <col min="1800" max="1801" width="15.140625" style="1" bestFit="1" customWidth="1"/>
    <col min="1802" max="1802" width="14.28515625" style="1" bestFit="1" customWidth="1"/>
    <col min="1803" max="1803" width="3.140625" style="1" customWidth="1"/>
    <col min="1804" max="1804" width="6.42578125" style="1" customWidth="1"/>
    <col min="1805" max="2044" width="8.85546875" style="1"/>
    <col min="2045" max="2045" width="5.5703125" style="1" bestFit="1" customWidth="1"/>
    <col min="2046" max="2046" width="9.28515625" style="1" customWidth="1"/>
    <col min="2047" max="2047" width="24.7109375" style="1" customWidth="1"/>
    <col min="2048" max="2048" width="11" style="1" bestFit="1" customWidth="1"/>
    <col min="2049" max="2049" width="7.5703125" style="1" bestFit="1" customWidth="1"/>
    <col min="2050" max="2050" width="13.5703125" style="1" customWidth="1"/>
    <col min="2051" max="2051" width="5.42578125" style="1" bestFit="1" customWidth="1"/>
    <col min="2052" max="2052" width="11.28515625" style="1" bestFit="1" customWidth="1"/>
    <col min="2053" max="2053" width="5.7109375" style="1" bestFit="1" customWidth="1"/>
    <col min="2054" max="2054" width="12" style="1" customWidth="1"/>
    <col min="2055" max="2055" width="15.42578125" style="1" bestFit="1" customWidth="1"/>
    <col min="2056" max="2057" width="15.140625" style="1" bestFit="1" customWidth="1"/>
    <col min="2058" max="2058" width="14.28515625" style="1" bestFit="1" customWidth="1"/>
    <col min="2059" max="2059" width="3.140625" style="1" customWidth="1"/>
    <col min="2060" max="2060" width="6.42578125" style="1" customWidth="1"/>
    <col min="2061" max="2300" width="8.85546875" style="1"/>
    <col min="2301" max="2301" width="5.5703125" style="1" bestFit="1" customWidth="1"/>
    <col min="2302" max="2302" width="9.28515625" style="1" customWidth="1"/>
    <col min="2303" max="2303" width="24.7109375" style="1" customWidth="1"/>
    <col min="2304" max="2304" width="11" style="1" bestFit="1" customWidth="1"/>
    <col min="2305" max="2305" width="7.5703125" style="1" bestFit="1" customWidth="1"/>
    <col min="2306" max="2306" width="13.5703125" style="1" customWidth="1"/>
    <col min="2307" max="2307" width="5.42578125" style="1" bestFit="1" customWidth="1"/>
    <col min="2308" max="2308" width="11.28515625" style="1" bestFit="1" customWidth="1"/>
    <col min="2309" max="2309" width="5.7109375" style="1" bestFit="1" customWidth="1"/>
    <col min="2310" max="2310" width="12" style="1" customWidth="1"/>
    <col min="2311" max="2311" width="15.42578125" style="1" bestFit="1" customWidth="1"/>
    <col min="2312" max="2313" width="15.140625" style="1" bestFit="1" customWidth="1"/>
    <col min="2314" max="2314" width="14.28515625" style="1" bestFit="1" customWidth="1"/>
    <col min="2315" max="2315" width="3.140625" style="1" customWidth="1"/>
    <col min="2316" max="2316" width="6.42578125" style="1" customWidth="1"/>
    <col min="2317" max="2556" width="8.85546875" style="1"/>
    <col min="2557" max="2557" width="5.5703125" style="1" bestFit="1" customWidth="1"/>
    <col min="2558" max="2558" width="9.28515625" style="1" customWidth="1"/>
    <col min="2559" max="2559" width="24.7109375" style="1" customWidth="1"/>
    <col min="2560" max="2560" width="11" style="1" bestFit="1" customWidth="1"/>
    <col min="2561" max="2561" width="7.5703125" style="1" bestFit="1" customWidth="1"/>
    <col min="2562" max="2562" width="13.5703125" style="1" customWidth="1"/>
    <col min="2563" max="2563" width="5.42578125" style="1" bestFit="1" customWidth="1"/>
    <col min="2564" max="2564" width="11.28515625" style="1" bestFit="1" customWidth="1"/>
    <col min="2565" max="2565" width="5.7109375" style="1" bestFit="1" customWidth="1"/>
    <col min="2566" max="2566" width="12" style="1" customWidth="1"/>
    <col min="2567" max="2567" width="15.42578125" style="1" bestFit="1" customWidth="1"/>
    <col min="2568" max="2569" width="15.140625" style="1" bestFit="1" customWidth="1"/>
    <col min="2570" max="2570" width="14.28515625" style="1" bestFit="1" customWidth="1"/>
    <col min="2571" max="2571" width="3.140625" style="1" customWidth="1"/>
    <col min="2572" max="2572" width="6.42578125" style="1" customWidth="1"/>
    <col min="2573" max="2812" width="8.85546875" style="1"/>
    <col min="2813" max="2813" width="5.5703125" style="1" bestFit="1" customWidth="1"/>
    <col min="2814" max="2814" width="9.28515625" style="1" customWidth="1"/>
    <col min="2815" max="2815" width="24.7109375" style="1" customWidth="1"/>
    <col min="2816" max="2816" width="11" style="1" bestFit="1" customWidth="1"/>
    <col min="2817" max="2817" width="7.5703125" style="1" bestFit="1" customWidth="1"/>
    <col min="2818" max="2818" width="13.5703125" style="1" customWidth="1"/>
    <col min="2819" max="2819" width="5.42578125" style="1" bestFit="1" customWidth="1"/>
    <col min="2820" max="2820" width="11.28515625" style="1" bestFit="1" customWidth="1"/>
    <col min="2821" max="2821" width="5.7109375" style="1" bestFit="1" customWidth="1"/>
    <col min="2822" max="2822" width="12" style="1" customWidth="1"/>
    <col min="2823" max="2823" width="15.42578125" style="1" bestFit="1" customWidth="1"/>
    <col min="2824" max="2825" width="15.140625" style="1" bestFit="1" customWidth="1"/>
    <col min="2826" max="2826" width="14.28515625" style="1" bestFit="1" customWidth="1"/>
    <col min="2827" max="2827" width="3.140625" style="1" customWidth="1"/>
    <col min="2828" max="2828" width="6.42578125" style="1" customWidth="1"/>
    <col min="2829" max="3068" width="8.85546875" style="1"/>
    <col min="3069" max="3069" width="5.5703125" style="1" bestFit="1" customWidth="1"/>
    <col min="3070" max="3070" width="9.28515625" style="1" customWidth="1"/>
    <col min="3071" max="3071" width="24.7109375" style="1" customWidth="1"/>
    <col min="3072" max="3072" width="11" style="1" bestFit="1" customWidth="1"/>
    <col min="3073" max="3073" width="7.5703125" style="1" bestFit="1" customWidth="1"/>
    <col min="3074" max="3074" width="13.5703125" style="1" customWidth="1"/>
    <col min="3075" max="3075" width="5.42578125" style="1" bestFit="1" customWidth="1"/>
    <col min="3076" max="3076" width="11.28515625" style="1" bestFit="1" customWidth="1"/>
    <col min="3077" max="3077" width="5.7109375" style="1" bestFit="1" customWidth="1"/>
    <col min="3078" max="3078" width="12" style="1" customWidth="1"/>
    <col min="3079" max="3079" width="15.42578125" style="1" bestFit="1" customWidth="1"/>
    <col min="3080" max="3081" width="15.140625" style="1" bestFit="1" customWidth="1"/>
    <col min="3082" max="3082" width="14.28515625" style="1" bestFit="1" customWidth="1"/>
    <col min="3083" max="3083" width="3.140625" style="1" customWidth="1"/>
    <col min="3084" max="3084" width="6.42578125" style="1" customWidth="1"/>
    <col min="3085" max="3324" width="8.85546875" style="1"/>
    <col min="3325" max="3325" width="5.5703125" style="1" bestFit="1" customWidth="1"/>
    <col min="3326" max="3326" width="9.28515625" style="1" customWidth="1"/>
    <col min="3327" max="3327" width="24.7109375" style="1" customWidth="1"/>
    <col min="3328" max="3328" width="11" style="1" bestFit="1" customWidth="1"/>
    <col min="3329" max="3329" width="7.5703125" style="1" bestFit="1" customWidth="1"/>
    <col min="3330" max="3330" width="13.5703125" style="1" customWidth="1"/>
    <col min="3331" max="3331" width="5.42578125" style="1" bestFit="1" customWidth="1"/>
    <col min="3332" max="3332" width="11.28515625" style="1" bestFit="1" customWidth="1"/>
    <col min="3333" max="3333" width="5.7109375" style="1" bestFit="1" customWidth="1"/>
    <col min="3334" max="3334" width="12" style="1" customWidth="1"/>
    <col min="3335" max="3335" width="15.42578125" style="1" bestFit="1" customWidth="1"/>
    <col min="3336" max="3337" width="15.140625" style="1" bestFit="1" customWidth="1"/>
    <col min="3338" max="3338" width="14.28515625" style="1" bestFit="1" customWidth="1"/>
    <col min="3339" max="3339" width="3.140625" style="1" customWidth="1"/>
    <col min="3340" max="3340" width="6.42578125" style="1" customWidth="1"/>
    <col min="3341" max="3580" width="8.85546875" style="1"/>
    <col min="3581" max="3581" width="5.5703125" style="1" bestFit="1" customWidth="1"/>
    <col min="3582" max="3582" width="9.28515625" style="1" customWidth="1"/>
    <col min="3583" max="3583" width="24.7109375" style="1" customWidth="1"/>
    <col min="3584" max="3584" width="11" style="1" bestFit="1" customWidth="1"/>
    <col min="3585" max="3585" width="7.5703125" style="1" bestFit="1" customWidth="1"/>
    <col min="3586" max="3586" width="13.5703125" style="1" customWidth="1"/>
    <col min="3587" max="3587" width="5.42578125" style="1" bestFit="1" customWidth="1"/>
    <col min="3588" max="3588" width="11.28515625" style="1" bestFit="1" customWidth="1"/>
    <col min="3589" max="3589" width="5.7109375" style="1" bestFit="1" customWidth="1"/>
    <col min="3590" max="3590" width="12" style="1" customWidth="1"/>
    <col min="3591" max="3591" width="15.42578125" style="1" bestFit="1" customWidth="1"/>
    <col min="3592" max="3593" width="15.140625" style="1" bestFit="1" customWidth="1"/>
    <col min="3594" max="3594" width="14.28515625" style="1" bestFit="1" customWidth="1"/>
    <col min="3595" max="3595" width="3.140625" style="1" customWidth="1"/>
    <col min="3596" max="3596" width="6.42578125" style="1" customWidth="1"/>
    <col min="3597" max="3836" width="8.85546875" style="1"/>
    <col min="3837" max="3837" width="5.5703125" style="1" bestFit="1" customWidth="1"/>
    <col min="3838" max="3838" width="9.28515625" style="1" customWidth="1"/>
    <col min="3839" max="3839" width="24.7109375" style="1" customWidth="1"/>
    <col min="3840" max="3840" width="11" style="1" bestFit="1" customWidth="1"/>
    <col min="3841" max="3841" width="7.5703125" style="1" bestFit="1" customWidth="1"/>
    <col min="3842" max="3842" width="13.5703125" style="1" customWidth="1"/>
    <col min="3843" max="3843" width="5.42578125" style="1" bestFit="1" customWidth="1"/>
    <col min="3844" max="3844" width="11.28515625" style="1" bestFit="1" customWidth="1"/>
    <col min="3845" max="3845" width="5.7109375" style="1" bestFit="1" customWidth="1"/>
    <col min="3846" max="3846" width="12" style="1" customWidth="1"/>
    <col min="3847" max="3847" width="15.42578125" style="1" bestFit="1" customWidth="1"/>
    <col min="3848" max="3849" width="15.140625" style="1" bestFit="1" customWidth="1"/>
    <col min="3850" max="3850" width="14.28515625" style="1" bestFit="1" customWidth="1"/>
    <col min="3851" max="3851" width="3.140625" style="1" customWidth="1"/>
    <col min="3852" max="3852" width="6.42578125" style="1" customWidth="1"/>
    <col min="3853" max="4092" width="8.85546875" style="1"/>
    <col min="4093" max="4093" width="5.5703125" style="1" bestFit="1" customWidth="1"/>
    <col min="4094" max="4094" width="9.28515625" style="1" customWidth="1"/>
    <col min="4095" max="4095" width="24.7109375" style="1" customWidth="1"/>
    <col min="4096" max="4096" width="11" style="1" bestFit="1" customWidth="1"/>
    <col min="4097" max="4097" width="7.5703125" style="1" bestFit="1" customWidth="1"/>
    <col min="4098" max="4098" width="13.5703125" style="1" customWidth="1"/>
    <col min="4099" max="4099" width="5.42578125" style="1" bestFit="1" customWidth="1"/>
    <col min="4100" max="4100" width="11.28515625" style="1" bestFit="1" customWidth="1"/>
    <col min="4101" max="4101" width="5.7109375" style="1" bestFit="1" customWidth="1"/>
    <col min="4102" max="4102" width="12" style="1" customWidth="1"/>
    <col min="4103" max="4103" width="15.42578125" style="1" bestFit="1" customWidth="1"/>
    <col min="4104" max="4105" width="15.140625" style="1" bestFit="1" customWidth="1"/>
    <col min="4106" max="4106" width="14.28515625" style="1" bestFit="1" customWidth="1"/>
    <col min="4107" max="4107" width="3.140625" style="1" customWidth="1"/>
    <col min="4108" max="4108" width="6.42578125" style="1" customWidth="1"/>
    <col min="4109" max="4348" width="8.85546875" style="1"/>
    <col min="4349" max="4349" width="5.5703125" style="1" bestFit="1" customWidth="1"/>
    <col min="4350" max="4350" width="9.28515625" style="1" customWidth="1"/>
    <col min="4351" max="4351" width="24.7109375" style="1" customWidth="1"/>
    <col min="4352" max="4352" width="11" style="1" bestFit="1" customWidth="1"/>
    <col min="4353" max="4353" width="7.5703125" style="1" bestFit="1" customWidth="1"/>
    <col min="4354" max="4354" width="13.5703125" style="1" customWidth="1"/>
    <col min="4355" max="4355" width="5.42578125" style="1" bestFit="1" customWidth="1"/>
    <col min="4356" max="4356" width="11.28515625" style="1" bestFit="1" customWidth="1"/>
    <col min="4357" max="4357" width="5.7109375" style="1" bestFit="1" customWidth="1"/>
    <col min="4358" max="4358" width="12" style="1" customWidth="1"/>
    <col min="4359" max="4359" width="15.42578125" style="1" bestFit="1" customWidth="1"/>
    <col min="4360" max="4361" width="15.140625" style="1" bestFit="1" customWidth="1"/>
    <col min="4362" max="4362" width="14.28515625" style="1" bestFit="1" customWidth="1"/>
    <col min="4363" max="4363" width="3.140625" style="1" customWidth="1"/>
    <col min="4364" max="4364" width="6.42578125" style="1" customWidth="1"/>
    <col min="4365" max="4604" width="8.85546875" style="1"/>
    <col min="4605" max="4605" width="5.5703125" style="1" bestFit="1" customWidth="1"/>
    <col min="4606" max="4606" width="9.28515625" style="1" customWidth="1"/>
    <col min="4607" max="4607" width="24.7109375" style="1" customWidth="1"/>
    <col min="4608" max="4608" width="11" style="1" bestFit="1" customWidth="1"/>
    <col min="4609" max="4609" width="7.5703125" style="1" bestFit="1" customWidth="1"/>
    <col min="4610" max="4610" width="13.5703125" style="1" customWidth="1"/>
    <col min="4611" max="4611" width="5.42578125" style="1" bestFit="1" customWidth="1"/>
    <col min="4612" max="4612" width="11.28515625" style="1" bestFit="1" customWidth="1"/>
    <col min="4613" max="4613" width="5.7109375" style="1" bestFit="1" customWidth="1"/>
    <col min="4614" max="4614" width="12" style="1" customWidth="1"/>
    <col min="4615" max="4615" width="15.42578125" style="1" bestFit="1" customWidth="1"/>
    <col min="4616" max="4617" width="15.140625" style="1" bestFit="1" customWidth="1"/>
    <col min="4618" max="4618" width="14.28515625" style="1" bestFit="1" customWidth="1"/>
    <col min="4619" max="4619" width="3.140625" style="1" customWidth="1"/>
    <col min="4620" max="4620" width="6.42578125" style="1" customWidth="1"/>
    <col min="4621" max="4860" width="8.85546875" style="1"/>
    <col min="4861" max="4861" width="5.5703125" style="1" bestFit="1" customWidth="1"/>
    <col min="4862" max="4862" width="9.28515625" style="1" customWidth="1"/>
    <col min="4863" max="4863" width="24.7109375" style="1" customWidth="1"/>
    <col min="4864" max="4864" width="11" style="1" bestFit="1" customWidth="1"/>
    <col min="4865" max="4865" width="7.5703125" style="1" bestFit="1" customWidth="1"/>
    <col min="4866" max="4866" width="13.5703125" style="1" customWidth="1"/>
    <col min="4867" max="4867" width="5.42578125" style="1" bestFit="1" customWidth="1"/>
    <col min="4868" max="4868" width="11.28515625" style="1" bestFit="1" customWidth="1"/>
    <col min="4869" max="4869" width="5.7109375" style="1" bestFit="1" customWidth="1"/>
    <col min="4870" max="4870" width="12" style="1" customWidth="1"/>
    <col min="4871" max="4871" width="15.42578125" style="1" bestFit="1" customWidth="1"/>
    <col min="4872" max="4873" width="15.140625" style="1" bestFit="1" customWidth="1"/>
    <col min="4874" max="4874" width="14.28515625" style="1" bestFit="1" customWidth="1"/>
    <col min="4875" max="4875" width="3.140625" style="1" customWidth="1"/>
    <col min="4876" max="4876" width="6.42578125" style="1" customWidth="1"/>
    <col min="4877" max="5116" width="8.85546875" style="1"/>
    <col min="5117" max="5117" width="5.5703125" style="1" bestFit="1" customWidth="1"/>
    <col min="5118" max="5118" width="9.28515625" style="1" customWidth="1"/>
    <col min="5119" max="5119" width="24.7109375" style="1" customWidth="1"/>
    <col min="5120" max="5120" width="11" style="1" bestFit="1" customWidth="1"/>
    <col min="5121" max="5121" width="7.5703125" style="1" bestFit="1" customWidth="1"/>
    <col min="5122" max="5122" width="13.5703125" style="1" customWidth="1"/>
    <col min="5123" max="5123" width="5.42578125" style="1" bestFit="1" customWidth="1"/>
    <col min="5124" max="5124" width="11.28515625" style="1" bestFit="1" customWidth="1"/>
    <col min="5125" max="5125" width="5.7109375" style="1" bestFit="1" customWidth="1"/>
    <col min="5126" max="5126" width="12" style="1" customWidth="1"/>
    <col min="5127" max="5127" width="15.42578125" style="1" bestFit="1" customWidth="1"/>
    <col min="5128" max="5129" width="15.140625" style="1" bestFit="1" customWidth="1"/>
    <col min="5130" max="5130" width="14.28515625" style="1" bestFit="1" customWidth="1"/>
    <col min="5131" max="5131" width="3.140625" style="1" customWidth="1"/>
    <col min="5132" max="5132" width="6.42578125" style="1" customWidth="1"/>
    <col min="5133" max="5372" width="8.85546875" style="1"/>
    <col min="5373" max="5373" width="5.5703125" style="1" bestFit="1" customWidth="1"/>
    <col min="5374" max="5374" width="9.28515625" style="1" customWidth="1"/>
    <col min="5375" max="5375" width="24.7109375" style="1" customWidth="1"/>
    <col min="5376" max="5376" width="11" style="1" bestFit="1" customWidth="1"/>
    <col min="5377" max="5377" width="7.5703125" style="1" bestFit="1" customWidth="1"/>
    <col min="5378" max="5378" width="13.5703125" style="1" customWidth="1"/>
    <col min="5379" max="5379" width="5.42578125" style="1" bestFit="1" customWidth="1"/>
    <col min="5380" max="5380" width="11.28515625" style="1" bestFit="1" customWidth="1"/>
    <col min="5381" max="5381" width="5.7109375" style="1" bestFit="1" customWidth="1"/>
    <col min="5382" max="5382" width="12" style="1" customWidth="1"/>
    <col min="5383" max="5383" width="15.42578125" style="1" bestFit="1" customWidth="1"/>
    <col min="5384" max="5385" width="15.140625" style="1" bestFit="1" customWidth="1"/>
    <col min="5386" max="5386" width="14.28515625" style="1" bestFit="1" customWidth="1"/>
    <col min="5387" max="5387" width="3.140625" style="1" customWidth="1"/>
    <col min="5388" max="5388" width="6.42578125" style="1" customWidth="1"/>
    <col min="5389" max="5628" width="8.85546875" style="1"/>
    <col min="5629" max="5629" width="5.5703125" style="1" bestFit="1" customWidth="1"/>
    <col min="5630" max="5630" width="9.28515625" style="1" customWidth="1"/>
    <col min="5631" max="5631" width="24.7109375" style="1" customWidth="1"/>
    <col min="5632" max="5632" width="11" style="1" bestFit="1" customWidth="1"/>
    <col min="5633" max="5633" width="7.5703125" style="1" bestFit="1" customWidth="1"/>
    <col min="5634" max="5634" width="13.5703125" style="1" customWidth="1"/>
    <col min="5635" max="5635" width="5.42578125" style="1" bestFit="1" customWidth="1"/>
    <col min="5636" max="5636" width="11.28515625" style="1" bestFit="1" customWidth="1"/>
    <col min="5637" max="5637" width="5.7109375" style="1" bestFit="1" customWidth="1"/>
    <col min="5638" max="5638" width="12" style="1" customWidth="1"/>
    <col min="5639" max="5639" width="15.42578125" style="1" bestFit="1" customWidth="1"/>
    <col min="5640" max="5641" width="15.140625" style="1" bestFit="1" customWidth="1"/>
    <col min="5642" max="5642" width="14.28515625" style="1" bestFit="1" customWidth="1"/>
    <col min="5643" max="5643" width="3.140625" style="1" customWidth="1"/>
    <col min="5644" max="5644" width="6.42578125" style="1" customWidth="1"/>
    <col min="5645" max="5884" width="8.85546875" style="1"/>
    <col min="5885" max="5885" width="5.5703125" style="1" bestFit="1" customWidth="1"/>
    <col min="5886" max="5886" width="9.28515625" style="1" customWidth="1"/>
    <col min="5887" max="5887" width="24.7109375" style="1" customWidth="1"/>
    <col min="5888" max="5888" width="11" style="1" bestFit="1" customWidth="1"/>
    <col min="5889" max="5889" width="7.5703125" style="1" bestFit="1" customWidth="1"/>
    <col min="5890" max="5890" width="13.5703125" style="1" customWidth="1"/>
    <col min="5891" max="5891" width="5.42578125" style="1" bestFit="1" customWidth="1"/>
    <col min="5892" max="5892" width="11.28515625" style="1" bestFit="1" customWidth="1"/>
    <col min="5893" max="5893" width="5.7109375" style="1" bestFit="1" customWidth="1"/>
    <col min="5894" max="5894" width="12" style="1" customWidth="1"/>
    <col min="5895" max="5895" width="15.42578125" style="1" bestFit="1" customWidth="1"/>
    <col min="5896" max="5897" width="15.140625" style="1" bestFit="1" customWidth="1"/>
    <col min="5898" max="5898" width="14.28515625" style="1" bestFit="1" customWidth="1"/>
    <col min="5899" max="5899" width="3.140625" style="1" customWidth="1"/>
    <col min="5900" max="5900" width="6.42578125" style="1" customWidth="1"/>
    <col min="5901" max="6140" width="8.85546875" style="1"/>
    <col min="6141" max="6141" width="5.5703125" style="1" bestFit="1" customWidth="1"/>
    <col min="6142" max="6142" width="9.28515625" style="1" customWidth="1"/>
    <col min="6143" max="6143" width="24.7109375" style="1" customWidth="1"/>
    <col min="6144" max="6144" width="11" style="1" bestFit="1" customWidth="1"/>
    <col min="6145" max="6145" width="7.5703125" style="1" bestFit="1" customWidth="1"/>
    <col min="6146" max="6146" width="13.5703125" style="1" customWidth="1"/>
    <col min="6147" max="6147" width="5.42578125" style="1" bestFit="1" customWidth="1"/>
    <col min="6148" max="6148" width="11.28515625" style="1" bestFit="1" customWidth="1"/>
    <col min="6149" max="6149" width="5.7109375" style="1" bestFit="1" customWidth="1"/>
    <col min="6150" max="6150" width="12" style="1" customWidth="1"/>
    <col min="6151" max="6151" width="15.42578125" style="1" bestFit="1" customWidth="1"/>
    <col min="6152" max="6153" width="15.140625" style="1" bestFit="1" customWidth="1"/>
    <col min="6154" max="6154" width="14.28515625" style="1" bestFit="1" customWidth="1"/>
    <col min="6155" max="6155" width="3.140625" style="1" customWidth="1"/>
    <col min="6156" max="6156" width="6.42578125" style="1" customWidth="1"/>
    <col min="6157" max="6396" width="8.85546875" style="1"/>
    <col min="6397" max="6397" width="5.5703125" style="1" bestFit="1" customWidth="1"/>
    <col min="6398" max="6398" width="9.28515625" style="1" customWidth="1"/>
    <col min="6399" max="6399" width="24.7109375" style="1" customWidth="1"/>
    <col min="6400" max="6400" width="11" style="1" bestFit="1" customWidth="1"/>
    <col min="6401" max="6401" width="7.5703125" style="1" bestFit="1" customWidth="1"/>
    <col min="6402" max="6402" width="13.5703125" style="1" customWidth="1"/>
    <col min="6403" max="6403" width="5.42578125" style="1" bestFit="1" customWidth="1"/>
    <col min="6404" max="6404" width="11.28515625" style="1" bestFit="1" customWidth="1"/>
    <col min="6405" max="6405" width="5.7109375" style="1" bestFit="1" customWidth="1"/>
    <col min="6406" max="6406" width="12" style="1" customWidth="1"/>
    <col min="6407" max="6407" width="15.42578125" style="1" bestFit="1" customWidth="1"/>
    <col min="6408" max="6409" width="15.140625" style="1" bestFit="1" customWidth="1"/>
    <col min="6410" max="6410" width="14.28515625" style="1" bestFit="1" customWidth="1"/>
    <col min="6411" max="6411" width="3.140625" style="1" customWidth="1"/>
    <col min="6412" max="6412" width="6.42578125" style="1" customWidth="1"/>
    <col min="6413" max="6652" width="8.85546875" style="1"/>
    <col min="6653" max="6653" width="5.5703125" style="1" bestFit="1" customWidth="1"/>
    <col min="6654" max="6654" width="9.28515625" style="1" customWidth="1"/>
    <col min="6655" max="6655" width="24.7109375" style="1" customWidth="1"/>
    <col min="6656" max="6656" width="11" style="1" bestFit="1" customWidth="1"/>
    <col min="6657" max="6657" width="7.5703125" style="1" bestFit="1" customWidth="1"/>
    <col min="6658" max="6658" width="13.5703125" style="1" customWidth="1"/>
    <col min="6659" max="6659" width="5.42578125" style="1" bestFit="1" customWidth="1"/>
    <col min="6660" max="6660" width="11.28515625" style="1" bestFit="1" customWidth="1"/>
    <col min="6661" max="6661" width="5.7109375" style="1" bestFit="1" customWidth="1"/>
    <col min="6662" max="6662" width="12" style="1" customWidth="1"/>
    <col min="6663" max="6663" width="15.42578125" style="1" bestFit="1" customWidth="1"/>
    <col min="6664" max="6665" width="15.140625" style="1" bestFit="1" customWidth="1"/>
    <col min="6666" max="6666" width="14.28515625" style="1" bestFit="1" customWidth="1"/>
    <col min="6667" max="6667" width="3.140625" style="1" customWidth="1"/>
    <col min="6668" max="6668" width="6.42578125" style="1" customWidth="1"/>
    <col min="6669" max="6908" width="8.85546875" style="1"/>
    <col min="6909" max="6909" width="5.5703125" style="1" bestFit="1" customWidth="1"/>
    <col min="6910" max="6910" width="9.28515625" style="1" customWidth="1"/>
    <col min="6911" max="6911" width="24.7109375" style="1" customWidth="1"/>
    <col min="6912" max="6912" width="11" style="1" bestFit="1" customWidth="1"/>
    <col min="6913" max="6913" width="7.5703125" style="1" bestFit="1" customWidth="1"/>
    <col min="6914" max="6914" width="13.5703125" style="1" customWidth="1"/>
    <col min="6915" max="6915" width="5.42578125" style="1" bestFit="1" customWidth="1"/>
    <col min="6916" max="6916" width="11.28515625" style="1" bestFit="1" customWidth="1"/>
    <col min="6917" max="6917" width="5.7109375" style="1" bestFit="1" customWidth="1"/>
    <col min="6918" max="6918" width="12" style="1" customWidth="1"/>
    <col min="6919" max="6919" width="15.42578125" style="1" bestFit="1" customWidth="1"/>
    <col min="6920" max="6921" width="15.140625" style="1" bestFit="1" customWidth="1"/>
    <col min="6922" max="6922" width="14.28515625" style="1" bestFit="1" customWidth="1"/>
    <col min="6923" max="6923" width="3.140625" style="1" customWidth="1"/>
    <col min="6924" max="6924" width="6.42578125" style="1" customWidth="1"/>
    <col min="6925" max="7164" width="8.85546875" style="1"/>
    <col min="7165" max="7165" width="5.5703125" style="1" bestFit="1" customWidth="1"/>
    <col min="7166" max="7166" width="9.28515625" style="1" customWidth="1"/>
    <col min="7167" max="7167" width="24.7109375" style="1" customWidth="1"/>
    <col min="7168" max="7168" width="11" style="1" bestFit="1" customWidth="1"/>
    <col min="7169" max="7169" width="7.5703125" style="1" bestFit="1" customWidth="1"/>
    <col min="7170" max="7170" width="13.5703125" style="1" customWidth="1"/>
    <col min="7171" max="7171" width="5.42578125" style="1" bestFit="1" customWidth="1"/>
    <col min="7172" max="7172" width="11.28515625" style="1" bestFit="1" customWidth="1"/>
    <col min="7173" max="7173" width="5.7109375" style="1" bestFit="1" customWidth="1"/>
    <col min="7174" max="7174" width="12" style="1" customWidth="1"/>
    <col min="7175" max="7175" width="15.42578125" style="1" bestFit="1" customWidth="1"/>
    <col min="7176" max="7177" width="15.140625" style="1" bestFit="1" customWidth="1"/>
    <col min="7178" max="7178" width="14.28515625" style="1" bestFit="1" customWidth="1"/>
    <col min="7179" max="7179" width="3.140625" style="1" customWidth="1"/>
    <col min="7180" max="7180" width="6.42578125" style="1" customWidth="1"/>
    <col min="7181" max="7420" width="8.85546875" style="1"/>
    <col min="7421" max="7421" width="5.5703125" style="1" bestFit="1" customWidth="1"/>
    <col min="7422" max="7422" width="9.28515625" style="1" customWidth="1"/>
    <col min="7423" max="7423" width="24.7109375" style="1" customWidth="1"/>
    <col min="7424" max="7424" width="11" style="1" bestFit="1" customWidth="1"/>
    <col min="7425" max="7425" width="7.5703125" style="1" bestFit="1" customWidth="1"/>
    <col min="7426" max="7426" width="13.5703125" style="1" customWidth="1"/>
    <col min="7427" max="7427" width="5.42578125" style="1" bestFit="1" customWidth="1"/>
    <col min="7428" max="7428" width="11.28515625" style="1" bestFit="1" customWidth="1"/>
    <col min="7429" max="7429" width="5.7109375" style="1" bestFit="1" customWidth="1"/>
    <col min="7430" max="7430" width="12" style="1" customWidth="1"/>
    <col min="7431" max="7431" width="15.42578125" style="1" bestFit="1" customWidth="1"/>
    <col min="7432" max="7433" width="15.140625" style="1" bestFit="1" customWidth="1"/>
    <col min="7434" max="7434" width="14.28515625" style="1" bestFit="1" customWidth="1"/>
    <col min="7435" max="7435" width="3.140625" style="1" customWidth="1"/>
    <col min="7436" max="7436" width="6.42578125" style="1" customWidth="1"/>
    <col min="7437" max="7676" width="8.85546875" style="1"/>
    <col min="7677" max="7677" width="5.5703125" style="1" bestFit="1" customWidth="1"/>
    <col min="7678" max="7678" width="9.28515625" style="1" customWidth="1"/>
    <col min="7679" max="7679" width="24.7109375" style="1" customWidth="1"/>
    <col min="7680" max="7680" width="11" style="1" bestFit="1" customWidth="1"/>
    <col min="7681" max="7681" width="7.5703125" style="1" bestFit="1" customWidth="1"/>
    <col min="7682" max="7682" width="13.5703125" style="1" customWidth="1"/>
    <col min="7683" max="7683" width="5.42578125" style="1" bestFit="1" customWidth="1"/>
    <col min="7684" max="7684" width="11.28515625" style="1" bestFit="1" customWidth="1"/>
    <col min="7685" max="7685" width="5.7109375" style="1" bestFit="1" customWidth="1"/>
    <col min="7686" max="7686" width="12" style="1" customWidth="1"/>
    <col min="7687" max="7687" width="15.42578125" style="1" bestFit="1" customWidth="1"/>
    <col min="7688" max="7689" width="15.140625" style="1" bestFit="1" customWidth="1"/>
    <col min="7690" max="7690" width="14.28515625" style="1" bestFit="1" customWidth="1"/>
    <col min="7691" max="7691" width="3.140625" style="1" customWidth="1"/>
    <col min="7692" max="7692" width="6.42578125" style="1" customWidth="1"/>
    <col min="7693" max="7932" width="8.85546875" style="1"/>
    <col min="7933" max="7933" width="5.5703125" style="1" bestFit="1" customWidth="1"/>
    <col min="7934" max="7934" width="9.28515625" style="1" customWidth="1"/>
    <col min="7935" max="7935" width="24.7109375" style="1" customWidth="1"/>
    <col min="7936" max="7936" width="11" style="1" bestFit="1" customWidth="1"/>
    <col min="7937" max="7937" width="7.5703125" style="1" bestFit="1" customWidth="1"/>
    <col min="7938" max="7938" width="13.5703125" style="1" customWidth="1"/>
    <col min="7939" max="7939" width="5.42578125" style="1" bestFit="1" customWidth="1"/>
    <col min="7940" max="7940" width="11.28515625" style="1" bestFit="1" customWidth="1"/>
    <col min="7941" max="7941" width="5.7109375" style="1" bestFit="1" customWidth="1"/>
    <col min="7942" max="7942" width="12" style="1" customWidth="1"/>
    <col min="7943" max="7943" width="15.42578125" style="1" bestFit="1" customWidth="1"/>
    <col min="7944" max="7945" width="15.140625" style="1" bestFit="1" customWidth="1"/>
    <col min="7946" max="7946" width="14.28515625" style="1" bestFit="1" customWidth="1"/>
    <col min="7947" max="7947" width="3.140625" style="1" customWidth="1"/>
    <col min="7948" max="7948" width="6.42578125" style="1" customWidth="1"/>
    <col min="7949" max="8188" width="8.85546875" style="1"/>
    <col min="8189" max="8189" width="5.5703125" style="1" bestFit="1" customWidth="1"/>
    <col min="8190" max="8190" width="9.28515625" style="1" customWidth="1"/>
    <col min="8191" max="8191" width="24.7109375" style="1" customWidth="1"/>
    <col min="8192" max="8192" width="11" style="1" bestFit="1" customWidth="1"/>
    <col min="8193" max="8193" width="7.5703125" style="1" bestFit="1" customWidth="1"/>
    <col min="8194" max="8194" width="13.5703125" style="1" customWidth="1"/>
    <col min="8195" max="8195" width="5.42578125" style="1" bestFit="1" customWidth="1"/>
    <col min="8196" max="8196" width="11.28515625" style="1" bestFit="1" customWidth="1"/>
    <col min="8197" max="8197" width="5.7109375" style="1" bestFit="1" customWidth="1"/>
    <col min="8198" max="8198" width="12" style="1" customWidth="1"/>
    <col min="8199" max="8199" width="15.42578125" style="1" bestFit="1" customWidth="1"/>
    <col min="8200" max="8201" width="15.140625" style="1" bestFit="1" customWidth="1"/>
    <col min="8202" max="8202" width="14.28515625" style="1" bestFit="1" customWidth="1"/>
    <col min="8203" max="8203" width="3.140625" style="1" customWidth="1"/>
    <col min="8204" max="8204" width="6.42578125" style="1" customWidth="1"/>
    <col min="8205" max="8444" width="8.85546875" style="1"/>
    <col min="8445" max="8445" width="5.5703125" style="1" bestFit="1" customWidth="1"/>
    <col min="8446" max="8446" width="9.28515625" style="1" customWidth="1"/>
    <col min="8447" max="8447" width="24.7109375" style="1" customWidth="1"/>
    <col min="8448" max="8448" width="11" style="1" bestFit="1" customWidth="1"/>
    <col min="8449" max="8449" width="7.5703125" style="1" bestFit="1" customWidth="1"/>
    <col min="8450" max="8450" width="13.5703125" style="1" customWidth="1"/>
    <col min="8451" max="8451" width="5.42578125" style="1" bestFit="1" customWidth="1"/>
    <col min="8452" max="8452" width="11.28515625" style="1" bestFit="1" customWidth="1"/>
    <col min="8453" max="8453" width="5.7109375" style="1" bestFit="1" customWidth="1"/>
    <col min="8454" max="8454" width="12" style="1" customWidth="1"/>
    <col min="8455" max="8455" width="15.42578125" style="1" bestFit="1" customWidth="1"/>
    <col min="8456" max="8457" width="15.140625" style="1" bestFit="1" customWidth="1"/>
    <col min="8458" max="8458" width="14.28515625" style="1" bestFit="1" customWidth="1"/>
    <col min="8459" max="8459" width="3.140625" style="1" customWidth="1"/>
    <col min="8460" max="8460" width="6.42578125" style="1" customWidth="1"/>
    <col min="8461" max="8700" width="8.85546875" style="1"/>
    <col min="8701" max="8701" width="5.5703125" style="1" bestFit="1" customWidth="1"/>
    <col min="8702" max="8702" width="9.28515625" style="1" customWidth="1"/>
    <col min="8703" max="8703" width="24.7109375" style="1" customWidth="1"/>
    <col min="8704" max="8704" width="11" style="1" bestFit="1" customWidth="1"/>
    <col min="8705" max="8705" width="7.5703125" style="1" bestFit="1" customWidth="1"/>
    <col min="8706" max="8706" width="13.5703125" style="1" customWidth="1"/>
    <col min="8707" max="8707" width="5.42578125" style="1" bestFit="1" customWidth="1"/>
    <col min="8708" max="8708" width="11.28515625" style="1" bestFit="1" customWidth="1"/>
    <col min="8709" max="8709" width="5.7109375" style="1" bestFit="1" customWidth="1"/>
    <col min="8710" max="8710" width="12" style="1" customWidth="1"/>
    <col min="8711" max="8711" width="15.42578125" style="1" bestFit="1" customWidth="1"/>
    <col min="8712" max="8713" width="15.140625" style="1" bestFit="1" customWidth="1"/>
    <col min="8714" max="8714" width="14.28515625" style="1" bestFit="1" customWidth="1"/>
    <col min="8715" max="8715" width="3.140625" style="1" customWidth="1"/>
    <col min="8716" max="8716" width="6.42578125" style="1" customWidth="1"/>
    <col min="8717" max="8956" width="8.85546875" style="1"/>
    <col min="8957" max="8957" width="5.5703125" style="1" bestFit="1" customWidth="1"/>
    <col min="8958" max="8958" width="9.28515625" style="1" customWidth="1"/>
    <col min="8959" max="8959" width="24.7109375" style="1" customWidth="1"/>
    <col min="8960" max="8960" width="11" style="1" bestFit="1" customWidth="1"/>
    <col min="8961" max="8961" width="7.5703125" style="1" bestFit="1" customWidth="1"/>
    <col min="8962" max="8962" width="13.5703125" style="1" customWidth="1"/>
    <col min="8963" max="8963" width="5.42578125" style="1" bestFit="1" customWidth="1"/>
    <col min="8964" max="8964" width="11.28515625" style="1" bestFit="1" customWidth="1"/>
    <col min="8965" max="8965" width="5.7109375" style="1" bestFit="1" customWidth="1"/>
    <col min="8966" max="8966" width="12" style="1" customWidth="1"/>
    <col min="8967" max="8967" width="15.42578125" style="1" bestFit="1" customWidth="1"/>
    <col min="8968" max="8969" width="15.140625" style="1" bestFit="1" customWidth="1"/>
    <col min="8970" max="8970" width="14.28515625" style="1" bestFit="1" customWidth="1"/>
    <col min="8971" max="8971" width="3.140625" style="1" customWidth="1"/>
    <col min="8972" max="8972" width="6.42578125" style="1" customWidth="1"/>
    <col min="8973" max="9212" width="8.85546875" style="1"/>
    <col min="9213" max="9213" width="5.5703125" style="1" bestFit="1" customWidth="1"/>
    <col min="9214" max="9214" width="9.28515625" style="1" customWidth="1"/>
    <col min="9215" max="9215" width="24.7109375" style="1" customWidth="1"/>
    <col min="9216" max="9216" width="11" style="1" bestFit="1" customWidth="1"/>
    <col min="9217" max="9217" width="7.5703125" style="1" bestFit="1" customWidth="1"/>
    <col min="9218" max="9218" width="13.5703125" style="1" customWidth="1"/>
    <col min="9219" max="9219" width="5.42578125" style="1" bestFit="1" customWidth="1"/>
    <col min="9220" max="9220" width="11.28515625" style="1" bestFit="1" customWidth="1"/>
    <col min="9221" max="9221" width="5.7109375" style="1" bestFit="1" customWidth="1"/>
    <col min="9222" max="9222" width="12" style="1" customWidth="1"/>
    <col min="9223" max="9223" width="15.42578125" style="1" bestFit="1" customWidth="1"/>
    <col min="9224" max="9225" width="15.140625" style="1" bestFit="1" customWidth="1"/>
    <col min="9226" max="9226" width="14.28515625" style="1" bestFit="1" customWidth="1"/>
    <col min="9227" max="9227" width="3.140625" style="1" customWidth="1"/>
    <col min="9228" max="9228" width="6.42578125" style="1" customWidth="1"/>
    <col min="9229" max="9468" width="8.85546875" style="1"/>
    <col min="9469" max="9469" width="5.5703125" style="1" bestFit="1" customWidth="1"/>
    <col min="9470" max="9470" width="9.28515625" style="1" customWidth="1"/>
    <col min="9471" max="9471" width="24.7109375" style="1" customWidth="1"/>
    <col min="9472" max="9472" width="11" style="1" bestFit="1" customWidth="1"/>
    <col min="9473" max="9473" width="7.5703125" style="1" bestFit="1" customWidth="1"/>
    <col min="9474" max="9474" width="13.5703125" style="1" customWidth="1"/>
    <col min="9475" max="9475" width="5.42578125" style="1" bestFit="1" customWidth="1"/>
    <col min="9476" max="9476" width="11.28515625" style="1" bestFit="1" customWidth="1"/>
    <col min="9477" max="9477" width="5.7109375" style="1" bestFit="1" customWidth="1"/>
    <col min="9478" max="9478" width="12" style="1" customWidth="1"/>
    <col min="9479" max="9479" width="15.42578125" style="1" bestFit="1" customWidth="1"/>
    <col min="9480" max="9481" width="15.140625" style="1" bestFit="1" customWidth="1"/>
    <col min="9482" max="9482" width="14.28515625" style="1" bestFit="1" customWidth="1"/>
    <col min="9483" max="9483" width="3.140625" style="1" customWidth="1"/>
    <col min="9484" max="9484" width="6.42578125" style="1" customWidth="1"/>
    <col min="9485" max="9724" width="8.85546875" style="1"/>
    <col min="9725" max="9725" width="5.5703125" style="1" bestFit="1" customWidth="1"/>
    <col min="9726" max="9726" width="9.28515625" style="1" customWidth="1"/>
    <col min="9727" max="9727" width="24.7109375" style="1" customWidth="1"/>
    <col min="9728" max="9728" width="11" style="1" bestFit="1" customWidth="1"/>
    <col min="9729" max="9729" width="7.5703125" style="1" bestFit="1" customWidth="1"/>
    <col min="9730" max="9730" width="13.5703125" style="1" customWidth="1"/>
    <col min="9731" max="9731" width="5.42578125" style="1" bestFit="1" customWidth="1"/>
    <col min="9732" max="9732" width="11.28515625" style="1" bestFit="1" customWidth="1"/>
    <col min="9733" max="9733" width="5.7109375" style="1" bestFit="1" customWidth="1"/>
    <col min="9734" max="9734" width="12" style="1" customWidth="1"/>
    <col min="9735" max="9735" width="15.42578125" style="1" bestFit="1" customWidth="1"/>
    <col min="9736" max="9737" width="15.140625" style="1" bestFit="1" customWidth="1"/>
    <col min="9738" max="9738" width="14.28515625" style="1" bestFit="1" customWidth="1"/>
    <col min="9739" max="9739" width="3.140625" style="1" customWidth="1"/>
    <col min="9740" max="9740" width="6.42578125" style="1" customWidth="1"/>
    <col min="9741" max="9980" width="8.85546875" style="1"/>
    <col min="9981" max="9981" width="5.5703125" style="1" bestFit="1" customWidth="1"/>
    <col min="9982" max="9982" width="9.28515625" style="1" customWidth="1"/>
    <col min="9983" max="9983" width="24.7109375" style="1" customWidth="1"/>
    <col min="9984" max="9984" width="11" style="1" bestFit="1" customWidth="1"/>
    <col min="9985" max="9985" width="7.5703125" style="1" bestFit="1" customWidth="1"/>
    <col min="9986" max="9986" width="13.5703125" style="1" customWidth="1"/>
    <col min="9987" max="9987" width="5.42578125" style="1" bestFit="1" customWidth="1"/>
    <col min="9988" max="9988" width="11.28515625" style="1" bestFit="1" customWidth="1"/>
    <col min="9989" max="9989" width="5.7109375" style="1" bestFit="1" customWidth="1"/>
    <col min="9990" max="9990" width="12" style="1" customWidth="1"/>
    <col min="9991" max="9991" width="15.42578125" style="1" bestFit="1" customWidth="1"/>
    <col min="9992" max="9993" width="15.140625" style="1" bestFit="1" customWidth="1"/>
    <col min="9994" max="9994" width="14.28515625" style="1" bestFit="1" customWidth="1"/>
    <col min="9995" max="9995" width="3.140625" style="1" customWidth="1"/>
    <col min="9996" max="9996" width="6.42578125" style="1" customWidth="1"/>
    <col min="9997" max="10236" width="8.85546875" style="1"/>
    <col min="10237" max="10237" width="5.5703125" style="1" bestFit="1" customWidth="1"/>
    <col min="10238" max="10238" width="9.28515625" style="1" customWidth="1"/>
    <col min="10239" max="10239" width="24.7109375" style="1" customWidth="1"/>
    <col min="10240" max="10240" width="11" style="1" bestFit="1" customWidth="1"/>
    <col min="10241" max="10241" width="7.5703125" style="1" bestFit="1" customWidth="1"/>
    <col min="10242" max="10242" width="13.5703125" style="1" customWidth="1"/>
    <col min="10243" max="10243" width="5.42578125" style="1" bestFit="1" customWidth="1"/>
    <col min="10244" max="10244" width="11.28515625" style="1" bestFit="1" customWidth="1"/>
    <col min="10245" max="10245" width="5.7109375" style="1" bestFit="1" customWidth="1"/>
    <col min="10246" max="10246" width="12" style="1" customWidth="1"/>
    <col min="10247" max="10247" width="15.42578125" style="1" bestFit="1" customWidth="1"/>
    <col min="10248" max="10249" width="15.140625" style="1" bestFit="1" customWidth="1"/>
    <col min="10250" max="10250" width="14.28515625" style="1" bestFit="1" customWidth="1"/>
    <col min="10251" max="10251" width="3.140625" style="1" customWidth="1"/>
    <col min="10252" max="10252" width="6.42578125" style="1" customWidth="1"/>
    <col min="10253" max="10492" width="8.85546875" style="1"/>
    <col min="10493" max="10493" width="5.5703125" style="1" bestFit="1" customWidth="1"/>
    <col min="10494" max="10494" width="9.28515625" style="1" customWidth="1"/>
    <col min="10495" max="10495" width="24.7109375" style="1" customWidth="1"/>
    <col min="10496" max="10496" width="11" style="1" bestFit="1" customWidth="1"/>
    <col min="10497" max="10497" width="7.5703125" style="1" bestFit="1" customWidth="1"/>
    <col min="10498" max="10498" width="13.5703125" style="1" customWidth="1"/>
    <col min="10499" max="10499" width="5.42578125" style="1" bestFit="1" customWidth="1"/>
    <col min="10500" max="10500" width="11.28515625" style="1" bestFit="1" customWidth="1"/>
    <col min="10501" max="10501" width="5.7109375" style="1" bestFit="1" customWidth="1"/>
    <col min="10502" max="10502" width="12" style="1" customWidth="1"/>
    <col min="10503" max="10503" width="15.42578125" style="1" bestFit="1" customWidth="1"/>
    <col min="10504" max="10505" width="15.140625" style="1" bestFit="1" customWidth="1"/>
    <col min="10506" max="10506" width="14.28515625" style="1" bestFit="1" customWidth="1"/>
    <col min="10507" max="10507" width="3.140625" style="1" customWidth="1"/>
    <col min="10508" max="10508" width="6.42578125" style="1" customWidth="1"/>
    <col min="10509" max="10748" width="8.85546875" style="1"/>
    <col min="10749" max="10749" width="5.5703125" style="1" bestFit="1" customWidth="1"/>
    <col min="10750" max="10750" width="9.28515625" style="1" customWidth="1"/>
    <col min="10751" max="10751" width="24.7109375" style="1" customWidth="1"/>
    <col min="10752" max="10752" width="11" style="1" bestFit="1" customWidth="1"/>
    <col min="10753" max="10753" width="7.5703125" style="1" bestFit="1" customWidth="1"/>
    <col min="10754" max="10754" width="13.5703125" style="1" customWidth="1"/>
    <col min="10755" max="10755" width="5.42578125" style="1" bestFit="1" customWidth="1"/>
    <col min="10756" max="10756" width="11.28515625" style="1" bestFit="1" customWidth="1"/>
    <col min="10757" max="10757" width="5.7109375" style="1" bestFit="1" customWidth="1"/>
    <col min="10758" max="10758" width="12" style="1" customWidth="1"/>
    <col min="10759" max="10759" width="15.42578125" style="1" bestFit="1" customWidth="1"/>
    <col min="10760" max="10761" width="15.140625" style="1" bestFit="1" customWidth="1"/>
    <col min="10762" max="10762" width="14.28515625" style="1" bestFit="1" customWidth="1"/>
    <col min="10763" max="10763" width="3.140625" style="1" customWidth="1"/>
    <col min="10764" max="10764" width="6.42578125" style="1" customWidth="1"/>
    <col min="10765" max="11004" width="8.85546875" style="1"/>
    <col min="11005" max="11005" width="5.5703125" style="1" bestFit="1" customWidth="1"/>
    <col min="11006" max="11006" width="9.28515625" style="1" customWidth="1"/>
    <col min="11007" max="11007" width="24.7109375" style="1" customWidth="1"/>
    <col min="11008" max="11008" width="11" style="1" bestFit="1" customWidth="1"/>
    <col min="11009" max="11009" width="7.5703125" style="1" bestFit="1" customWidth="1"/>
    <col min="11010" max="11010" width="13.5703125" style="1" customWidth="1"/>
    <col min="11011" max="11011" width="5.42578125" style="1" bestFit="1" customWidth="1"/>
    <col min="11012" max="11012" width="11.28515625" style="1" bestFit="1" customWidth="1"/>
    <col min="11013" max="11013" width="5.7109375" style="1" bestFit="1" customWidth="1"/>
    <col min="11014" max="11014" width="12" style="1" customWidth="1"/>
    <col min="11015" max="11015" width="15.42578125" style="1" bestFit="1" customWidth="1"/>
    <col min="11016" max="11017" width="15.140625" style="1" bestFit="1" customWidth="1"/>
    <col min="11018" max="11018" width="14.28515625" style="1" bestFit="1" customWidth="1"/>
    <col min="11019" max="11019" width="3.140625" style="1" customWidth="1"/>
    <col min="11020" max="11020" width="6.42578125" style="1" customWidth="1"/>
    <col min="11021" max="11260" width="8.85546875" style="1"/>
    <col min="11261" max="11261" width="5.5703125" style="1" bestFit="1" customWidth="1"/>
    <col min="11262" max="11262" width="9.28515625" style="1" customWidth="1"/>
    <col min="11263" max="11263" width="24.7109375" style="1" customWidth="1"/>
    <col min="11264" max="11264" width="11" style="1" bestFit="1" customWidth="1"/>
    <col min="11265" max="11265" width="7.5703125" style="1" bestFit="1" customWidth="1"/>
    <col min="11266" max="11266" width="13.5703125" style="1" customWidth="1"/>
    <col min="11267" max="11267" width="5.42578125" style="1" bestFit="1" customWidth="1"/>
    <col min="11268" max="11268" width="11.28515625" style="1" bestFit="1" customWidth="1"/>
    <col min="11269" max="11269" width="5.7109375" style="1" bestFit="1" customWidth="1"/>
    <col min="11270" max="11270" width="12" style="1" customWidth="1"/>
    <col min="11271" max="11271" width="15.42578125" style="1" bestFit="1" customWidth="1"/>
    <col min="11272" max="11273" width="15.140625" style="1" bestFit="1" customWidth="1"/>
    <col min="11274" max="11274" width="14.28515625" style="1" bestFit="1" customWidth="1"/>
    <col min="11275" max="11275" width="3.140625" style="1" customWidth="1"/>
    <col min="11276" max="11276" width="6.42578125" style="1" customWidth="1"/>
    <col min="11277" max="11516" width="8.85546875" style="1"/>
    <col min="11517" max="11517" width="5.5703125" style="1" bestFit="1" customWidth="1"/>
    <col min="11518" max="11518" width="9.28515625" style="1" customWidth="1"/>
    <col min="11519" max="11519" width="24.7109375" style="1" customWidth="1"/>
    <col min="11520" max="11520" width="11" style="1" bestFit="1" customWidth="1"/>
    <col min="11521" max="11521" width="7.5703125" style="1" bestFit="1" customWidth="1"/>
    <col min="11522" max="11522" width="13.5703125" style="1" customWidth="1"/>
    <col min="11523" max="11523" width="5.42578125" style="1" bestFit="1" customWidth="1"/>
    <col min="11524" max="11524" width="11.28515625" style="1" bestFit="1" customWidth="1"/>
    <col min="11525" max="11525" width="5.7109375" style="1" bestFit="1" customWidth="1"/>
    <col min="11526" max="11526" width="12" style="1" customWidth="1"/>
    <col min="11527" max="11527" width="15.42578125" style="1" bestFit="1" customWidth="1"/>
    <col min="11528" max="11529" width="15.140625" style="1" bestFit="1" customWidth="1"/>
    <col min="11530" max="11530" width="14.28515625" style="1" bestFit="1" customWidth="1"/>
    <col min="11531" max="11531" width="3.140625" style="1" customWidth="1"/>
    <col min="11532" max="11532" width="6.42578125" style="1" customWidth="1"/>
    <col min="11533" max="11772" width="8.85546875" style="1"/>
    <col min="11773" max="11773" width="5.5703125" style="1" bestFit="1" customWidth="1"/>
    <col min="11774" max="11774" width="9.28515625" style="1" customWidth="1"/>
    <col min="11775" max="11775" width="24.7109375" style="1" customWidth="1"/>
    <col min="11776" max="11776" width="11" style="1" bestFit="1" customWidth="1"/>
    <col min="11777" max="11777" width="7.5703125" style="1" bestFit="1" customWidth="1"/>
    <col min="11778" max="11778" width="13.5703125" style="1" customWidth="1"/>
    <col min="11779" max="11779" width="5.42578125" style="1" bestFit="1" customWidth="1"/>
    <col min="11780" max="11780" width="11.28515625" style="1" bestFit="1" customWidth="1"/>
    <col min="11781" max="11781" width="5.7109375" style="1" bestFit="1" customWidth="1"/>
    <col min="11782" max="11782" width="12" style="1" customWidth="1"/>
    <col min="11783" max="11783" width="15.42578125" style="1" bestFit="1" customWidth="1"/>
    <col min="11784" max="11785" width="15.140625" style="1" bestFit="1" customWidth="1"/>
    <col min="11786" max="11786" width="14.28515625" style="1" bestFit="1" customWidth="1"/>
    <col min="11787" max="11787" width="3.140625" style="1" customWidth="1"/>
    <col min="11788" max="11788" width="6.42578125" style="1" customWidth="1"/>
    <col min="11789" max="12028" width="8.85546875" style="1"/>
    <col min="12029" max="12029" width="5.5703125" style="1" bestFit="1" customWidth="1"/>
    <col min="12030" max="12030" width="9.28515625" style="1" customWidth="1"/>
    <col min="12031" max="12031" width="24.7109375" style="1" customWidth="1"/>
    <col min="12032" max="12032" width="11" style="1" bestFit="1" customWidth="1"/>
    <col min="12033" max="12033" width="7.5703125" style="1" bestFit="1" customWidth="1"/>
    <col min="12034" max="12034" width="13.5703125" style="1" customWidth="1"/>
    <col min="12035" max="12035" width="5.42578125" style="1" bestFit="1" customWidth="1"/>
    <col min="12036" max="12036" width="11.28515625" style="1" bestFit="1" customWidth="1"/>
    <col min="12037" max="12037" width="5.7109375" style="1" bestFit="1" customWidth="1"/>
    <col min="12038" max="12038" width="12" style="1" customWidth="1"/>
    <col min="12039" max="12039" width="15.42578125" style="1" bestFit="1" customWidth="1"/>
    <col min="12040" max="12041" width="15.140625" style="1" bestFit="1" customWidth="1"/>
    <col min="12042" max="12042" width="14.28515625" style="1" bestFit="1" customWidth="1"/>
    <col min="12043" max="12043" width="3.140625" style="1" customWidth="1"/>
    <col min="12044" max="12044" width="6.42578125" style="1" customWidth="1"/>
    <col min="12045" max="12284" width="8.85546875" style="1"/>
    <col min="12285" max="12285" width="5.5703125" style="1" bestFit="1" customWidth="1"/>
    <col min="12286" max="12286" width="9.28515625" style="1" customWidth="1"/>
    <col min="12287" max="12287" width="24.7109375" style="1" customWidth="1"/>
    <col min="12288" max="12288" width="11" style="1" bestFit="1" customWidth="1"/>
    <col min="12289" max="12289" width="7.5703125" style="1" bestFit="1" customWidth="1"/>
    <col min="12290" max="12290" width="13.5703125" style="1" customWidth="1"/>
    <col min="12291" max="12291" width="5.42578125" style="1" bestFit="1" customWidth="1"/>
    <col min="12292" max="12292" width="11.28515625" style="1" bestFit="1" customWidth="1"/>
    <col min="12293" max="12293" width="5.7109375" style="1" bestFit="1" customWidth="1"/>
    <col min="12294" max="12294" width="12" style="1" customWidth="1"/>
    <col min="12295" max="12295" width="15.42578125" style="1" bestFit="1" customWidth="1"/>
    <col min="12296" max="12297" width="15.140625" style="1" bestFit="1" customWidth="1"/>
    <col min="12298" max="12298" width="14.28515625" style="1" bestFit="1" customWidth="1"/>
    <col min="12299" max="12299" width="3.140625" style="1" customWidth="1"/>
    <col min="12300" max="12300" width="6.42578125" style="1" customWidth="1"/>
    <col min="12301" max="12540" width="8.85546875" style="1"/>
    <col min="12541" max="12541" width="5.5703125" style="1" bestFit="1" customWidth="1"/>
    <col min="12542" max="12542" width="9.28515625" style="1" customWidth="1"/>
    <col min="12543" max="12543" width="24.7109375" style="1" customWidth="1"/>
    <col min="12544" max="12544" width="11" style="1" bestFit="1" customWidth="1"/>
    <col min="12545" max="12545" width="7.5703125" style="1" bestFit="1" customWidth="1"/>
    <col min="12546" max="12546" width="13.5703125" style="1" customWidth="1"/>
    <col min="12547" max="12547" width="5.42578125" style="1" bestFit="1" customWidth="1"/>
    <col min="12548" max="12548" width="11.28515625" style="1" bestFit="1" customWidth="1"/>
    <col min="12549" max="12549" width="5.7109375" style="1" bestFit="1" customWidth="1"/>
    <col min="12550" max="12550" width="12" style="1" customWidth="1"/>
    <col min="12551" max="12551" width="15.42578125" style="1" bestFit="1" customWidth="1"/>
    <col min="12552" max="12553" width="15.140625" style="1" bestFit="1" customWidth="1"/>
    <col min="12554" max="12554" width="14.28515625" style="1" bestFit="1" customWidth="1"/>
    <col min="12555" max="12555" width="3.140625" style="1" customWidth="1"/>
    <col min="12556" max="12556" width="6.42578125" style="1" customWidth="1"/>
    <col min="12557" max="12796" width="8.85546875" style="1"/>
    <col min="12797" max="12797" width="5.5703125" style="1" bestFit="1" customWidth="1"/>
    <col min="12798" max="12798" width="9.28515625" style="1" customWidth="1"/>
    <col min="12799" max="12799" width="24.7109375" style="1" customWidth="1"/>
    <col min="12800" max="12800" width="11" style="1" bestFit="1" customWidth="1"/>
    <col min="12801" max="12801" width="7.5703125" style="1" bestFit="1" customWidth="1"/>
    <col min="12802" max="12802" width="13.5703125" style="1" customWidth="1"/>
    <col min="12803" max="12803" width="5.42578125" style="1" bestFit="1" customWidth="1"/>
    <col min="12804" max="12804" width="11.28515625" style="1" bestFit="1" customWidth="1"/>
    <col min="12805" max="12805" width="5.7109375" style="1" bestFit="1" customWidth="1"/>
    <col min="12806" max="12806" width="12" style="1" customWidth="1"/>
    <col min="12807" max="12807" width="15.42578125" style="1" bestFit="1" customWidth="1"/>
    <col min="12808" max="12809" width="15.140625" style="1" bestFit="1" customWidth="1"/>
    <col min="12810" max="12810" width="14.28515625" style="1" bestFit="1" customWidth="1"/>
    <col min="12811" max="12811" width="3.140625" style="1" customWidth="1"/>
    <col min="12812" max="12812" width="6.42578125" style="1" customWidth="1"/>
    <col min="12813" max="13052" width="8.85546875" style="1"/>
    <col min="13053" max="13053" width="5.5703125" style="1" bestFit="1" customWidth="1"/>
    <col min="13054" max="13054" width="9.28515625" style="1" customWidth="1"/>
    <col min="13055" max="13055" width="24.7109375" style="1" customWidth="1"/>
    <col min="13056" max="13056" width="11" style="1" bestFit="1" customWidth="1"/>
    <col min="13057" max="13057" width="7.5703125" style="1" bestFit="1" customWidth="1"/>
    <col min="13058" max="13058" width="13.5703125" style="1" customWidth="1"/>
    <col min="13059" max="13059" width="5.42578125" style="1" bestFit="1" customWidth="1"/>
    <col min="13060" max="13060" width="11.28515625" style="1" bestFit="1" customWidth="1"/>
    <col min="13061" max="13061" width="5.7109375" style="1" bestFit="1" customWidth="1"/>
    <col min="13062" max="13062" width="12" style="1" customWidth="1"/>
    <col min="13063" max="13063" width="15.42578125" style="1" bestFit="1" customWidth="1"/>
    <col min="13064" max="13065" width="15.140625" style="1" bestFit="1" customWidth="1"/>
    <col min="13066" max="13066" width="14.28515625" style="1" bestFit="1" customWidth="1"/>
    <col min="13067" max="13067" width="3.140625" style="1" customWidth="1"/>
    <col min="13068" max="13068" width="6.42578125" style="1" customWidth="1"/>
    <col min="13069" max="13308" width="8.85546875" style="1"/>
    <col min="13309" max="13309" width="5.5703125" style="1" bestFit="1" customWidth="1"/>
    <col min="13310" max="13310" width="9.28515625" style="1" customWidth="1"/>
    <col min="13311" max="13311" width="24.7109375" style="1" customWidth="1"/>
    <col min="13312" max="13312" width="11" style="1" bestFit="1" customWidth="1"/>
    <col min="13313" max="13313" width="7.5703125" style="1" bestFit="1" customWidth="1"/>
    <col min="13314" max="13314" width="13.5703125" style="1" customWidth="1"/>
    <col min="13315" max="13315" width="5.42578125" style="1" bestFit="1" customWidth="1"/>
    <col min="13316" max="13316" width="11.28515625" style="1" bestFit="1" customWidth="1"/>
    <col min="13317" max="13317" width="5.7109375" style="1" bestFit="1" customWidth="1"/>
    <col min="13318" max="13318" width="12" style="1" customWidth="1"/>
    <col min="13319" max="13319" width="15.42578125" style="1" bestFit="1" customWidth="1"/>
    <col min="13320" max="13321" width="15.140625" style="1" bestFit="1" customWidth="1"/>
    <col min="13322" max="13322" width="14.28515625" style="1" bestFit="1" customWidth="1"/>
    <col min="13323" max="13323" width="3.140625" style="1" customWidth="1"/>
    <col min="13324" max="13324" width="6.42578125" style="1" customWidth="1"/>
    <col min="13325" max="13564" width="8.85546875" style="1"/>
    <col min="13565" max="13565" width="5.5703125" style="1" bestFit="1" customWidth="1"/>
    <col min="13566" max="13566" width="9.28515625" style="1" customWidth="1"/>
    <col min="13567" max="13567" width="24.7109375" style="1" customWidth="1"/>
    <col min="13568" max="13568" width="11" style="1" bestFit="1" customWidth="1"/>
    <col min="13569" max="13569" width="7.5703125" style="1" bestFit="1" customWidth="1"/>
    <col min="13570" max="13570" width="13.5703125" style="1" customWidth="1"/>
    <col min="13571" max="13571" width="5.42578125" style="1" bestFit="1" customWidth="1"/>
    <col min="13572" max="13572" width="11.28515625" style="1" bestFit="1" customWidth="1"/>
    <col min="13573" max="13573" width="5.7109375" style="1" bestFit="1" customWidth="1"/>
    <col min="13574" max="13574" width="12" style="1" customWidth="1"/>
    <col min="13575" max="13575" width="15.42578125" style="1" bestFit="1" customWidth="1"/>
    <col min="13576" max="13577" width="15.140625" style="1" bestFit="1" customWidth="1"/>
    <col min="13578" max="13578" width="14.28515625" style="1" bestFit="1" customWidth="1"/>
    <col min="13579" max="13579" width="3.140625" style="1" customWidth="1"/>
    <col min="13580" max="13580" width="6.42578125" style="1" customWidth="1"/>
    <col min="13581" max="13820" width="8.85546875" style="1"/>
    <col min="13821" max="13821" width="5.5703125" style="1" bestFit="1" customWidth="1"/>
    <col min="13822" max="13822" width="9.28515625" style="1" customWidth="1"/>
    <col min="13823" max="13823" width="24.7109375" style="1" customWidth="1"/>
    <col min="13824" max="13824" width="11" style="1" bestFit="1" customWidth="1"/>
    <col min="13825" max="13825" width="7.5703125" style="1" bestFit="1" customWidth="1"/>
    <col min="13826" max="13826" width="13.5703125" style="1" customWidth="1"/>
    <col min="13827" max="13827" width="5.42578125" style="1" bestFit="1" customWidth="1"/>
    <col min="13828" max="13828" width="11.28515625" style="1" bestFit="1" customWidth="1"/>
    <col min="13829" max="13829" width="5.7109375" style="1" bestFit="1" customWidth="1"/>
    <col min="13830" max="13830" width="12" style="1" customWidth="1"/>
    <col min="13831" max="13831" width="15.42578125" style="1" bestFit="1" customWidth="1"/>
    <col min="13832" max="13833" width="15.140625" style="1" bestFit="1" customWidth="1"/>
    <col min="13834" max="13834" width="14.28515625" style="1" bestFit="1" customWidth="1"/>
    <col min="13835" max="13835" width="3.140625" style="1" customWidth="1"/>
    <col min="13836" max="13836" width="6.42578125" style="1" customWidth="1"/>
    <col min="13837" max="14076" width="8.85546875" style="1"/>
    <col min="14077" max="14077" width="5.5703125" style="1" bestFit="1" customWidth="1"/>
    <col min="14078" max="14078" width="9.28515625" style="1" customWidth="1"/>
    <col min="14079" max="14079" width="24.7109375" style="1" customWidth="1"/>
    <col min="14080" max="14080" width="11" style="1" bestFit="1" customWidth="1"/>
    <col min="14081" max="14081" width="7.5703125" style="1" bestFit="1" customWidth="1"/>
    <col min="14082" max="14082" width="13.5703125" style="1" customWidth="1"/>
    <col min="14083" max="14083" width="5.42578125" style="1" bestFit="1" customWidth="1"/>
    <col min="14084" max="14084" width="11.28515625" style="1" bestFit="1" customWidth="1"/>
    <col min="14085" max="14085" width="5.7109375" style="1" bestFit="1" customWidth="1"/>
    <col min="14086" max="14086" width="12" style="1" customWidth="1"/>
    <col min="14087" max="14087" width="15.42578125" style="1" bestFit="1" customWidth="1"/>
    <col min="14088" max="14089" width="15.140625" style="1" bestFit="1" customWidth="1"/>
    <col min="14090" max="14090" width="14.28515625" style="1" bestFit="1" customWidth="1"/>
    <col min="14091" max="14091" width="3.140625" style="1" customWidth="1"/>
    <col min="14092" max="14092" width="6.42578125" style="1" customWidth="1"/>
    <col min="14093" max="14332" width="8.85546875" style="1"/>
    <col min="14333" max="14333" width="5.5703125" style="1" bestFit="1" customWidth="1"/>
    <col min="14334" max="14334" width="9.28515625" style="1" customWidth="1"/>
    <col min="14335" max="14335" width="24.7109375" style="1" customWidth="1"/>
    <col min="14336" max="14336" width="11" style="1" bestFit="1" customWidth="1"/>
    <col min="14337" max="14337" width="7.5703125" style="1" bestFit="1" customWidth="1"/>
    <col min="14338" max="14338" width="13.5703125" style="1" customWidth="1"/>
    <col min="14339" max="14339" width="5.42578125" style="1" bestFit="1" customWidth="1"/>
    <col min="14340" max="14340" width="11.28515625" style="1" bestFit="1" customWidth="1"/>
    <col min="14341" max="14341" width="5.7109375" style="1" bestFit="1" customWidth="1"/>
    <col min="14342" max="14342" width="12" style="1" customWidth="1"/>
    <col min="14343" max="14343" width="15.42578125" style="1" bestFit="1" customWidth="1"/>
    <col min="14344" max="14345" width="15.140625" style="1" bestFit="1" customWidth="1"/>
    <col min="14346" max="14346" width="14.28515625" style="1" bestFit="1" customWidth="1"/>
    <col min="14347" max="14347" width="3.140625" style="1" customWidth="1"/>
    <col min="14348" max="14348" width="6.42578125" style="1" customWidth="1"/>
    <col min="14349" max="14588" width="8.85546875" style="1"/>
    <col min="14589" max="14589" width="5.5703125" style="1" bestFit="1" customWidth="1"/>
    <col min="14590" max="14590" width="9.28515625" style="1" customWidth="1"/>
    <col min="14591" max="14591" width="24.7109375" style="1" customWidth="1"/>
    <col min="14592" max="14592" width="11" style="1" bestFit="1" customWidth="1"/>
    <col min="14593" max="14593" width="7.5703125" style="1" bestFit="1" customWidth="1"/>
    <col min="14594" max="14594" width="13.5703125" style="1" customWidth="1"/>
    <col min="14595" max="14595" width="5.42578125" style="1" bestFit="1" customWidth="1"/>
    <col min="14596" max="14596" width="11.28515625" style="1" bestFit="1" customWidth="1"/>
    <col min="14597" max="14597" width="5.7109375" style="1" bestFit="1" customWidth="1"/>
    <col min="14598" max="14598" width="12" style="1" customWidth="1"/>
    <col min="14599" max="14599" width="15.42578125" style="1" bestFit="1" customWidth="1"/>
    <col min="14600" max="14601" width="15.140625" style="1" bestFit="1" customWidth="1"/>
    <col min="14602" max="14602" width="14.28515625" style="1" bestFit="1" customWidth="1"/>
    <col min="14603" max="14603" width="3.140625" style="1" customWidth="1"/>
    <col min="14604" max="14604" width="6.42578125" style="1" customWidth="1"/>
    <col min="14605" max="14844" width="8.85546875" style="1"/>
    <col min="14845" max="14845" width="5.5703125" style="1" bestFit="1" customWidth="1"/>
    <col min="14846" max="14846" width="9.28515625" style="1" customWidth="1"/>
    <col min="14847" max="14847" width="24.7109375" style="1" customWidth="1"/>
    <col min="14848" max="14848" width="11" style="1" bestFit="1" customWidth="1"/>
    <col min="14849" max="14849" width="7.5703125" style="1" bestFit="1" customWidth="1"/>
    <col min="14850" max="14850" width="13.5703125" style="1" customWidth="1"/>
    <col min="14851" max="14851" width="5.42578125" style="1" bestFit="1" customWidth="1"/>
    <col min="14852" max="14852" width="11.28515625" style="1" bestFit="1" customWidth="1"/>
    <col min="14853" max="14853" width="5.7109375" style="1" bestFit="1" customWidth="1"/>
    <col min="14854" max="14854" width="12" style="1" customWidth="1"/>
    <col min="14855" max="14855" width="15.42578125" style="1" bestFit="1" customWidth="1"/>
    <col min="14856" max="14857" width="15.140625" style="1" bestFit="1" customWidth="1"/>
    <col min="14858" max="14858" width="14.28515625" style="1" bestFit="1" customWidth="1"/>
    <col min="14859" max="14859" width="3.140625" style="1" customWidth="1"/>
    <col min="14860" max="14860" width="6.42578125" style="1" customWidth="1"/>
    <col min="14861" max="15100" width="8.85546875" style="1"/>
    <col min="15101" max="15101" width="5.5703125" style="1" bestFit="1" customWidth="1"/>
    <col min="15102" max="15102" width="9.28515625" style="1" customWidth="1"/>
    <col min="15103" max="15103" width="24.7109375" style="1" customWidth="1"/>
    <col min="15104" max="15104" width="11" style="1" bestFit="1" customWidth="1"/>
    <col min="15105" max="15105" width="7.5703125" style="1" bestFit="1" customWidth="1"/>
    <col min="15106" max="15106" width="13.5703125" style="1" customWidth="1"/>
    <col min="15107" max="15107" width="5.42578125" style="1" bestFit="1" customWidth="1"/>
    <col min="15108" max="15108" width="11.28515625" style="1" bestFit="1" customWidth="1"/>
    <col min="15109" max="15109" width="5.7109375" style="1" bestFit="1" customWidth="1"/>
    <col min="15110" max="15110" width="12" style="1" customWidth="1"/>
    <col min="15111" max="15111" width="15.42578125" style="1" bestFit="1" customWidth="1"/>
    <col min="15112" max="15113" width="15.140625" style="1" bestFit="1" customWidth="1"/>
    <col min="15114" max="15114" width="14.28515625" style="1" bestFit="1" customWidth="1"/>
    <col min="15115" max="15115" width="3.140625" style="1" customWidth="1"/>
    <col min="15116" max="15116" width="6.42578125" style="1" customWidth="1"/>
    <col min="15117" max="15356" width="8.85546875" style="1"/>
    <col min="15357" max="15357" width="5.5703125" style="1" bestFit="1" customWidth="1"/>
    <col min="15358" max="15358" width="9.28515625" style="1" customWidth="1"/>
    <col min="15359" max="15359" width="24.7109375" style="1" customWidth="1"/>
    <col min="15360" max="15360" width="11" style="1" bestFit="1" customWidth="1"/>
    <col min="15361" max="15361" width="7.5703125" style="1" bestFit="1" customWidth="1"/>
    <col min="15362" max="15362" width="13.5703125" style="1" customWidth="1"/>
    <col min="15363" max="15363" width="5.42578125" style="1" bestFit="1" customWidth="1"/>
    <col min="15364" max="15364" width="11.28515625" style="1" bestFit="1" customWidth="1"/>
    <col min="15365" max="15365" width="5.7109375" style="1" bestFit="1" customWidth="1"/>
    <col min="15366" max="15366" width="12" style="1" customWidth="1"/>
    <col min="15367" max="15367" width="15.42578125" style="1" bestFit="1" customWidth="1"/>
    <col min="15368" max="15369" width="15.140625" style="1" bestFit="1" customWidth="1"/>
    <col min="15370" max="15370" width="14.28515625" style="1" bestFit="1" customWidth="1"/>
    <col min="15371" max="15371" width="3.140625" style="1" customWidth="1"/>
    <col min="15372" max="15372" width="6.42578125" style="1" customWidth="1"/>
    <col min="15373" max="15612" width="8.85546875" style="1"/>
    <col min="15613" max="15613" width="5.5703125" style="1" bestFit="1" customWidth="1"/>
    <col min="15614" max="15614" width="9.28515625" style="1" customWidth="1"/>
    <col min="15615" max="15615" width="24.7109375" style="1" customWidth="1"/>
    <col min="15616" max="15616" width="11" style="1" bestFit="1" customWidth="1"/>
    <col min="15617" max="15617" width="7.5703125" style="1" bestFit="1" customWidth="1"/>
    <col min="15618" max="15618" width="13.5703125" style="1" customWidth="1"/>
    <col min="15619" max="15619" width="5.42578125" style="1" bestFit="1" customWidth="1"/>
    <col min="15620" max="15620" width="11.28515625" style="1" bestFit="1" customWidth="1"/>
    <col min="15621" max="15621" width="5.7109375" style="1" bestFit="1" customWidth="1"/>
    <col min="15622" max="15622" width="12" style="1" customWidth="1"/>
    <col min="15623" max="15623" width="15.42578125" style="1" bestFit="1" customWidth="1"/>
    <col min="15624" max="15625" width="15.140625" style="1" bestFit="1" customWidth="1"/>
    <col min="15626" max="15626" width="14.28515625" style="1" bestFit="1" customWidth="1"/>
    <col min="15627" max="15627" width="3.140625" style="1" customWidth="1"/>
    <col min="15628" max="15628" width="6.42578125" style="1" customWidth="1"/>
    <col min="15629" max="15868" width="8.85546875" style="1"/>
    <col min="15869" max="15869" width="5.5703125" style="1" bestFit="1" customWidth="1"/>
    <col min="15870" max="15870" width="9.28515625" style="1" customWidth="1"/>
    <col min="15871" max="15871" width="24.7109375" style="1" customWidth="1"/>
    <col min="15872" max="15872" width="11" style="1" bestFit="1" customWidth="1"/>
    <col min="15873" max="15873" width="7.5703125" style="1" bestFit="1" customWidth="1"/>
    <col min="15874" max="15874" width="13.5703125" style="1" customWidth="1"/>
    <col min="15875" max="15875" width="5.42578125" style="1" bestFit="1" customWidth="1"/>
    <col min="15876" max="15876" width="11.28515625" style="1" bestFit="1" customWidth="1"/>
    <col min="15877" max="15877" width="5.7109375" style="1" bestFit="1" customWidth="1"/>
    <col min="15878" max="15878" width="12" style="1" customWidth="1"/>
    <col min="15879" max="15879" width="15.42578125" style="1" bestFit="1" customWidth="1"/>
    <col min="15880" max="15881" width="15.140625" style="1" bestFit="1" customWidth="1"/>
    <col min="15882" max="15882" width="14.28515625" style="1" bestFit="1" customWidth="1"/>
    <col min="15883" max="15883" width="3.140625" style="1" customWidth="1"/>
    <col min="15884" max="15884" width="6.42578125" style="1" customWidth="1"/>
    <col min="15885" max="16124" width="8.85546875" style="1"/>
    <col min="16125" max="16125" width="5.5703125" style="1" bestFit="1" customWidth="1"/>
    <col min="16126" max="16126" width="9.28515625" style="1" customWidth="1"/>
    <col min="16127" max="16127" width="24.7109375" style="1" customWidth="1"/>
    <col min="16128" max="16128" width="11" style="1" bestFit="1" customWidth="1"/>
    <col min="16129" max="16129" width="7.5703125" style="1" bestFit="1" customWidth="1"/>
    <col min="16130" max="16130" width="13.5703125" style="1" customWidth="1"/>
    <col min="16131" max="16131" width="5.42578125" style="1" bestFit="1" customWidth="1"/>
    <col min="16132" max="16132" width="11.28515625" style="1" bestFit="1" customWidth="1"/>
    <col min="16133" max="16133" width="5.7109375" style="1" bestFit="1" customWidth="1"/>
    <col min="16134" max="16134" width="12" style="1" customWidth="1"/>
    <col min="16135" max="16135" width="15.42578125" style="1" bestFit="1" customWidth="1"/>
    <col min="16136" max="16137" width="15.140625" style="1" bestFit="1" customWidth="1"/>
    <col min="16138" max="16138" width="14.28515625" style="1" bestFit="1" customWidth="1"/>
    <col min="16139" max="16139" width="3.140625" style="1" customWidth="1"/>
    <col min="16140" max="16140" width="6.42578125" style="1" customWidth="1"/>
    <col min="16141" max="16384" width="8.85546875" style="1"/>
  </cols>
  <sheetData>
    <row r="1" spans="1:13" ht="38.450000000000003" customHeight="1" thickBot="1" x14ac:dyDescent="0.25">
      <c r="A1" s="56" t="s">
        <v>0</v>
      </c>
      <c r="B1" s="57" t="s">
        <v>1</v>
      </c>
      <c r="C1" s="57" t="s">
        <v>7</v>
      </c>
      <c r="D1" s="58" t="s">
        <v>15</v>
      </c>
      <c r="E1" s="59" t="s">
        <v>8</v>
      </c>
      <c r="F1" s="58" t="s">
        <v>39</v>
      </c>
      <c r="G1" s="58"/>
      <c r="H1" s="59" t="s">
        <v>23</v>
      </c>
      <c r="I1" s="60" t="s">
        <v>22</v>
      </c>
      <c r="J1" s="61" t="s">
        <v>10</v>
      </c>
    </row>
    <row r="2" spans="1:13" s="2" customFormat="1" ht="34.9" customHeight="1" x14ac:dyDescent="0.25">
      <c r="A2" s="49">
        <v>1</v>
      </c>
      <c r="B2" s="50" t="s">
        <v>11</v>
      </c>
      <c r="C2" s="51" t="s">
        <v>12</v>
      </c>
      <c r="D2" s="28">
        <v>47000000</v>
      </c>
      <c r="E2" s="52">
        <v>79.400000000000006</v>
      </c>
      <c r="F2" s="53">
        <f>D2/E2</f>
        <v>591939.54659949616</v>
      </c>
      <c r="G2" s="54"/>
      <c r="H2" s="52">
        <v>79.957435488200005</v>
      </c>
      <c r="I2" s="23">
        <f t="shared" ref="I2:I13" si="0">D2/H2</f>
        <v>587812.7495339216</v>
      </c>
      <c r="J2" s="55">
        <f t="shared" ref="J2:J13" si="1">F2-I2</f>
        <v>4126.7970655745594</v>
      </c>
    </row>
    <row r="3" spans="1:13" s="2" customFormat="1" ht="34.9" customHeight="1" x14ac:dyDescent="0.25">
      <c r="A3" s="30">
        <v>2</v>
      </c>
      <c r="B3" s="31">
        <v>45967</v>
      </c>
      <c r="C3" s="33" t="s">
        <v>13</v>
      </c>
      <c r="D3" s="44">
        <v>187880403</v>
      </c>
      <c r="E3" s="36">
        <v>77</v>
      </c>
      <c r="F3" s="32">
        <f>D3/E3</f>
        <v>2440005.2337662335</v>
      </c>
      <c r="G3" s="34"/>
      <c r="H3" s="36">
        <v>79.957435488200005</v>
      </c>
      <c r="I3" s="45">
        <f t="shared" si="0"/>
        <v>2349755.2398078986</v>
      </c>
      <c r="J3" s="6">
        <f t="shared" si="1"/>
        <v>90249.993958334904</v>
      </c>
    </row>
    <row r="4" spans="1:13" ht="34.9" customHeight="1" x14ac:dyDescent="0.2">
      <c r="A4" s="30">
        <v>3</v>
      </c>
      <c r="B4" s="31" t="s">
        <v>14</v>
      </c>
      <c r="C4" s="35" t="s">
        <v>24</v>
      </c>
      <c r="D4" s="44">
        <v>95000000</v>
      </c>
      <c r="E4" s="36">
        <v>78</v>
      </c>
      <c r="F4" s="32">
        <f>D4/E4</f>
        <v>1217948.717948718</v>
      </c>
      <c r="G4" s="24"/>
      <c r="H4" s="36">
        <v>78.704781045100006</v>
      </c>
      <c r="I4" s="45">
        <f t="shared" si="0"/>
        <v>1207042.3008427199</v>
      </c>
      <c r="J4" s="6">
        <f t="shared" si="1"/>
        <v>10906.417105998145</v>
      </c>
    </row>
    <row r="5" spans="1:13" ht="34.9" customHeight="1" x14ac:dyDescent="0.2">
      <c r="A5" s="30">
        <v>4</v>
      </c>
      <c r="B5" s="31">
        <v>45664</v>
      </c>
      <c r="C5" s="35" t="s">
        <v>17</v>
      </c>
      <c r="D5" s="44">
        <v>500000000</v>
      </c>
      <c r="E5" s="36">
        <v>78.25</v>
      </c>
      <c r="F5" s="32">
        <f>D5/E5</f>
        <v>6389776.3578274762</v>
      </c>
      <c r="G5" s="24"/>
      <c r="H5" s="36">
        <v>78.528400000000005</v>
      </c>
      <c r="I5" s="45">
        <f>D5/H5</f>
        <v>6367123.2318498781</v>
      </c>
      <c r="J5" s="6">
        <f t="shared" si="1"/>
        <v>22653.125977598131</v>
      </c>
    </row>
    <row r="6" spans="1:13" ht="34.9" customHeight="1" x14ac:dyDescent="0.2">
      <c r="A6" s="30">
        <v>5</v>
      </c>
      <c r="B6" s="31">
        <v>45723</v>
      </c>
      <c r="C6" s="35" t="s">
        <v>16</v>
      </c>
      <c r="D6" s="44">
        <v>138000000</v>
      </c>
      <c r="E6" s="36">
        <v>78.45</v>
      </c>
      <c r="F6" s="32">
        <f t="shared" ref="F6:F13" si="2">D6/E6</f>
        <v>1759082.2179732313</v>
      </c>
      <c r="G6" s="24"/>
      <c r="H6" s="36">
        <v>78.653999999999996</v>
      </c>
      <c r="I6" s="45">
        <f t="shared" si="0"/>
        <v>1754519.7955603022</v>
      </c>
      <c r="J6" s="6">
        <f t="shared" si="1"/>
        <v>4562.4224129291251</v>
      </c>
    </row>
    <row r="7" spans="1:13" ht="34.9" customHeight="1" x14ac:dyDescent="0.2">
      <c r="A7" s="30">
        <v>6</v>
      </c>
      <c r="B7" s="31" t="s">
        <v>18</v>
      </c>
      <c r="C7" s="35" t="s">
        <v>19</v>
      </c>
      <c r="D7" s="44">
        <v>100000000</v>
      </c>
      <c r="E7" s="36">
        <v>77</v>
      </c>
      <c r="F7" s="32">
        <f t="shared" si="2"/>
        <v>1298701.2987012987</v>
      </c>
      <c r="G7" s="24"/>
      <c r="H7" s="36">
        <v>78.664812398289996</v>
      </c>
      <c r="I7" s="45">
        <f t="shared" si="0"/>
        <v>1271216.4047844827</v>
      </c>
      <c r="J7" s="6">
        <f t="shared" si="1"/>
        <v>27484.893916815985</v>
      </c>
    </row>
    <row r="8" spans="1:13" ht="34.9" customHeight="1" x14ac:dyDescent="0.2">
      <c r="A8" s="30">
        <v>7</v>
      </c>
      <c r="B8" s="31" t="s">
        <v>20</v>
      </c>
      <c r="C8" s="27" t="s">
        <v>21</v>
      </c>
      <c r="D8" s="44">
        <v>120000000</v>
      </c>
      <c r="E8" s="36">
        <v>78.400000000000006</v>
      </c>
      <c r="F8" s="32">
        <f t="shared" si="2"/>
        <v>1530612.2448979591</v>
      </c>
      <c r="G8" s="24"/>
      <c r="H8" s="36">
        <v>78.862300000000005</v>
      </c>
      <c r="I8" s="45">
        <f t="shared" si="0"/>
        <v>1521639.6174090789</v>
      </c>
      <c r="J8" s="6">
        <f t="shared" si="1"/>
        <v>8972.6274888801854</v>
      </c>
    </row>
    <row r="9" spans="1:13" ht="34.9" customHeight="1" x14ac:dyDescent="0.2">
      <c r="A9" s="30">
        <v>8</v>
      </c>
      <c r="B9" s="31" t="s">
        <v>25</v>
      </c>
      <c r="C9" s="27" t="s">
        <v>27</v>
      </c>
      <c r="D9" s="44">
        <v>200000000</v>
      </c>
      <c r="E9" s="36">
        <v>81.5</v>
      </c>
      <c r="F9" s="32">
        <f t="shared" si="2"/>
        <v>2453987.7300613499</v>
      </c>
      <c r="G9" s="24"/>
      <c r="H9" s="36">
        <v>82.970799999999997</v>
      </c>
      <c r="I9" s="45">
        <f t="shared" si="0"/>
        <v>2410486.5808212045</v>
      </c>
      <c r="J9" s="6">
        <f t="shared" si="1"/>
        <v>43501.14924014546</v>
      </c>
    </row>
    <row r="10" spans="1:13" ht="34.9" customHeight="1" x14ac:dyDescent="0.2">
      <c r="A10" s="30">
        <v>9</v>
      </c>
      <c r="B10" s="31" t="s">
        <v>26</v>
      </c>
      <c r="C10" s="27" t="s">
        <v>28</v>
      </c>
      <c r="D10" s="44">
        <v>60000000</v>
      </c>
      <c r="E10" s="36">
        <v>82</v>
      </c>
      <c r="F10" s="32">
        <f t="shared" si="2"/>
        <v>731707.31707317068</v>
      </c>
      <c r="G10" s="24"/>
      <c r="H10" s="36">
        <v>82.970799999999997</v>
      </c>
      <c r="I10" s="45">
        <f t="shared" si="0"/>
        <v>723145.97424636141</v>
      </c>
      <c r="J10" s="6">
        <f t="shared" si="1"/>
        <v>8561.3428268092684</v>
      </c>
    </row>
    <row r="11" spans="1:13" ht="34.9" customHeight="1" x14ac:dyDescent="0.2">
      <c r="A11" s="30">
        <v>10</v>
      </c>
      <c r="B11" s="31" t="s">
        <v>29</v>
      </c>
      <c r="C11" s="27" t="s">
        <v>30</v>
      </c>
      <c r="D11" s="44">
        <v>112191000</v>
      </c>
      <c r="E11" s="36">
        <v>78</v>
      </c>
      <c r="F11" s="32">
        <f t="shared" si="2"/>
        <v>1438346.1538461538</v>
      </c>
      <c r="G11" s="24"/>
      <c r="H11" s="36">
        <v>79.4495</v>
      </c>
      <c r="I11" s="45">
        <f t="shared" si="0"/>
        <v>1412104.5443961259</v>
      </c>
      <c r="J11" s="6">
        <f t="shared" si="1"/>
        <v>26241.609450027812</v>
      </c>
      <c r="K11" s="670" t="s">
        <v>762</v>
      </c>
      <c r="L11" s="669"/>
      <c r="M11" s="669"/>
    </row>
    <row r="12" spans="1:13" ht="34.9" customHeight="1" x14ac:dyDescent="0.2">
      <c r="A12" s="30">
        <v>11</v>
      </c>
      <c r="B12" s="31" t="s">
        <v>31</v>
      </c>
      <c r="C12" s="27" t="s">
        <v>33</v>
      </c>
      <c r="D12" s="44">
        <v>200000000</v>
      </c>
      <c r="E12" s="36">
        <v>76</v>
      </c>
      <c r="F12" s="32">
        <f t="shared" si="2"/>
        <v>2631578.9473684211</v>
      </c>
      <c r="G12" s="24"/>
      <c r="H12" s="36">
        <v>79.314599999999999</v>
      </c>
      <c r="I12" s="45">
        <f t="shared" si="0"/>
        <v>2521603.8409069707</v>
      </c>
      <c r="J12" s="6">
        <f t="shared" si="1"/>
        <v>109975.10646145046</v>
      </c>
    </row>
    <row r="13" spans="1:13" ht="34.9" customHeight="1" x14ac:dyDescent="0.2">
      <c r="A13" s="30">
        <v>12</v>
      </c>
      <c r="B13" s="46" t="s">
        <v>32</v>
      </c>
      <c r="C13" s="47" t="s">
        <v>34</v>
      </c>
      <c r="D13" s="44">
        <v>300000000</v>
      </c>
      <c r="E13" s="36">
        <v>76</v>
      </c>
      <c r="F13" s="32">
        <f t="shared" si="2"/>
        <v>3947368.4210526315</v>
      </c>
      <c r="G13" s="25"/>
      <c r="H13" s="36">
        <v>77.692300000000003</v>
      </c>
      <c r="I13" s="45">
        <f t="shared" si="0"/>
        <v>3861386.5209293584</v>
      </c>
      <c r="J13" s="6">
        <f t="shared" si="1"/>
        <v>85981.900123273022</v>
      </c>
    </row>
    <row r="14" spans="1:13" ht="34.9" customHeight="1" thickBot="1" x14ac:dyDescent="0.25">
      <c r="A14" s="37"/>
      <c r="B14" s="38"/>
      <c r="C14" s="39"/>
      <c r="D14" s="39"/>
      <c r="E14" s="38"/>
      <c r="F14" s="40"/>
      <c r="G14" s="41"/>
      <c r="H14" s="42"/>
      <c r="I14" s="43"/>
      <c r="J14" s="15"/>
    </row>
    <row r="16" spans="1:13" x14ac:dyDescent="0.2">
      <c r="J16" s="48">
        <f>SUM(J2:J15)</f>
        <v>443217.38602783706</v>
      </c>
    </row>
  </sheetData>
  <mergeCells count="1">
    <mergeCell ref="K11:M11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5"/>
  <sheetViews>
    <sheetView topLeftCell="A112" workbookViewId="0">
      <selection activeCell="J22" sqref="J22"/>
    </sheetView>
  </sheetViews>
  <sheetFormatPr defaultColWidth="9.140625" defaultRowHeight="15" x14ac:dyDescent="0.25"/>
  <cols>
    <col min="1" max="1" width="9.140625" style="69"/>
    <col min="2" max="2" width="12" style="69" customWidth="1"/>
    <col min="3" max="3" width="10.28515625" style="69" customWidth="1"/>
    <col min="4" max="4" width="9.140625" style="69"/>
    <col min="5" max="5" width="11.140625" style="69" customWidth="1"/>
    <col min="6" max="6" width="9.5703125" style="69" bestFit="1" customWidth="1"/>
    <col min="7" max="7" width="20" style="69" customWidth="1"/>
    <col min="8" max="8" width="18.7109375" style="69" customWidth="1"/>
    <col min="9" max="9" width="11.5703125" style="69" customWidth="1"/>
    <col min="10" max="18" width="9.140625" style="69"/>
    <col min="19" max="19" width="20.42578125" style="69" customWidth="1"/>
    <col min="20" max="16384" width="9.140625" style="69"/>
  </cols>
  <sheetData>
    <row r="1" spans="1:19" x14ac:dyDescent="0.25">
      <c r="A1" s="639" t="s">
        <v>47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</row>
    <row r="2" spans="1:19" ht="15.75" thickBot="1" x14ac:dyDescent="0.3">
      <c r="A2" s="640" t="s">
        <v>497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</row>
    <row r="3" spans="1:19" ht="60.75" thickBot="1" x14ac:dyDescent="0.3">
      <c r="A3" s="301" t="s">
        <v>51</v>
      </c>
      <c r="B3" s="302" t="s">
        <v>1</v>
      </c>
      <c r="C3" s="303" t="s">
        <v>52</v>
      </c>
      <c r="D3" s="304" t="s">
        <v>53</v>
      </c>
      <c r="E3" s="305" t="s">
        <v>54</v>
      </c>
      <c r="F3" s="306" t="s">
        <v>498</v>
      </c>
      <c r="G3" s="307" t="s">
        <v>56</v>
      </c>
      <c r="H3" s="304" t="s">
        <v>57</v>
      </c>
      <c r="I3" s="308" t="s">
        <v>58</v>
      </c>
      <c r="J3" s="309" t="s">
        <v>59</v>
      </c>
      <c r="K3" s="310" t="s">
        <v>60</v>
      </c>
      <c r="L3" s="310" t="s">
        <v>61</v>
      </c>
      <c r="M3" s="310" t="s">
        <v>10</v>
      </c>
      <c r="N3" s="311" t="s">
        <v>62</v>
      </c>
    </row>
    <row r="4" spans="1:19" ht="13.5" customHeight="1" x14ac:dyDescent="0.25">
      <c r="A4" s="131">
        <v>1</v>
      </c>
      <c r="B4" s="132">
        <v>46041</v>
      </c>
      <c r="C4" s="312" t="s">
        <v>499</v>
      </c>
      <c r="D4" s="313">
        <v>73149734</v>
      </c>
      <c r="E4" s="314">
        <v>61.5</v>
      </c>
      <c r="F4" s="87">
        <v>570</v>
      </c>
      <c r="G4" s="87">
        <f>E4*F4</f>
        <v>35055</v>
      </c>
      <c r="H4" s="88" t="s">
        <v>65</v>
      </c>
      <c r="I4" s="89" t="s">
        <v>66</v>
      </c>
      <c r="J4" s="315"/>
      <c r="K4" s="133"/>
      <c r="L4" s="133"/>
      <c r="M4" s="133"/>
      <c r="N4" s="135"/>
    </row>
    <row r="5" spans="1:19" ht="15" customHeight="1" x14ac:dyDescent="0.25">
      <c r="A5" s="95">
        <f>A4+1</f>
        <v>2</v>
      </c>
      <c r="B5" s="136">
        <v>46041</v>
      </c>
      <c r="C5" s="316" t="s">
        <v>500</v>
      </c>
      <c r="D5" s="317">
        <v>54703244</v>
      </c>
      <c r="E5" s="318">
        <v>61.4</v>
      </c>
      <c r="F5" s="99">
        <v>570</v>
      </c>
      <c r="G5" s="99">
        <f t="shared" ref="G5:G21" si="0">E5*F5</f>
        <v>34998</v>
      </c>
      <c r="H5" s="100" t="s">
        <v>65</v>
      </c>
      <c r="I5" s="101" t="s">
        <v>66</v>
      </c>
      <c r="J5" s="319"/>
      <c r="K5" s="102"/>
      <c r="L5" s="102"/>
      <c r="M5" s="102"/>
      <c r="N5" s="103"/>
    </row>
    <row r="6" spans="1:19" ht="15" customHeight="1" x14ac:dyDescent="0.25">
      <c r="A6" s="95">
        <f t="shared" ref="A6:A21" si="1">A5+1</f>
        <v>3</v>
      </c>
      <c r="B6" s="136">
        <v>46041</v>
      </c>
      <c r="C6" s="316" t="s">
        <v>500</v>
      </c>
      <c r="D6" s="317">
        <v>51459485</v>
      </c>
      <c r="E6" s="318">
        <v>60.8</v>
      </c>
      <c r="F6" s="99">
        <v>570</v>
      </c>
      <c r="G6" s="99">
        <f t="shared" si="0"/>
        <v>34656</v>
      </c>
      <c r="H6" s="100" t="s">
        <v>65</v>
      </c>
      <c r="I6" s="101" t="s">
        <v>66</v>
      </c>
      <c r="J6" s="319"/>
      <c r="K6" s="102"/>
      <c r="L6" s="102"/>
      <c r="M6" s="102"/>
      <c r="N6" s="103"/>
    </row>
    <row r="7" spans="1:19" ht="15" customHeight="1" x14ac:dyDescent="0.25">
      <c r="A7" s="95">
        <f t="shared" si="1"/>
        <v>4</v>
      </c>
      <c r="B7" s="136">
        <v>46041</v>
      </c>
      <c r="C7" s="316" t="s">
        <v>500</v>
      </c>
      <c r="D7" s="317">
        <v>51378172</v>
      </c>
      <c r="E7" s="318">
        <v>52.4</v>
      </c>
      <c r="F7" s="99">
        <v>570</v>
      </c>
      <c r="G7" s="99">
        <f t="shared" si="0"/>
        <v>29868</v>
      </c>
      <c r="H7" s="100" t="s">
        <v>65</v>
      </c>
      <c r="I7" s="101" t="s">
        <v>66</v>
      </c>
      <c r="J7" s="319"/>
      <c r="K7" s="102"/>
      <c r="L7" s="102"/>
      <c r="M7" s="102"/>
      <c r="N7" s="103"/>
    </row>
    <row r="8" spans="1:19" ht="15" customHeight="1" x14ac:dyDescent="0.25">
      <c r="A8" s="95">
        <f t="shared" si="1"/>
        <v>5</v>
      </c>
      <c r="B8" s="136">
        <v>46041</v>
      </c>
      <c r="C8" s="316" t="s">
        <v>500</v>
      </c>
      <c r="D8" s="317">
        <v>73213787</v>
      </c>
      <c r="E8" s="318">
        <v>61.5</v>
      </c>
      <c r="F8" s="99">
        <v>570</v>
      </c>
      <c r="G8" s="99">
        <f t="shared" si="0"/>
        <v>35055</v>
      </c>
      <c r="H8" s="100" t="s">
        <v>65</v>
      </c>
      <c r="I8" s="101" t="s">
        <v>66</v>
      </c>
      <c r="J8" s="319"/>
      <c r="K8" s="102"/>
      <c r="L8" s="102"/>
      <c r="M8" s="102"/>
      <c r="N8" s="103"/>
    </row>
    <row r="9" spans="1:19" ht="15" customHeight="1" x14ac:dyDescent="0.25">
      <c r="A9" s="95">
        <f t="shared" si="1"/>
        <v>6</v>
      </c>
      <c r="B9" s="136">
        <v>46041</v>
      </c>
      <c r="C9" s="316" t="s">
        <v>500</v>
      </c>
      <c r="D9" s="317">
        <v>54241930</v>
      </c>
      <c r="E9" s="318">
        <v>61</v>
      </c>
      <c r="F9" s="99">
        <v>570</v>
      </c>
      <c r="G9" s="99">
        <f t="shared" si="0"/>
        <v>34770</v>
      </c>
      <c r="H9" s="100" t="s">
        <v>65</v>
      </c>
      <c r="I9" s="101" t="s">
        <v>66</v>
      </c>
      <c r="J9" s="319"/>
      <c r="K9" s="102"/>
      <c r="L9" s="102"/>
      <c r="M9" s="102"/>
      <c r="N9" s="103"/>
      <c r="S9" s="69">
        <f>10000*570</f>
        <v>5700000</v>
      </c>
    </row>
    <row r="10" spans="1:19" ht="15" customHeight="1" x14ac:dyDescent="0.25">
      <c r="A10" s="95">
        <f t="shared" si="1"/>
        <v>7</v>
      </c>
      <c r="B10" s="136">
        <v>46041</v>
      </c>
      <c r="C10" s="316" t="s">
        <v>500</v>
      </c>
      <c r="D10" s="317">
        <v>51920346</v>
      </c>
      <c r="E10" s="318">
        <v>59.9</v>
      </c>
      <c r="F10" s="99">
        <v>570</v>
      </c>
      <c r="G10" s="99">
        <f t="shared" si="0"/>
        <v>34143</v>
      </c>
      <c r="H10" s="100" t="s">
        <v>65</v>
      </c>
      <c r="I10" s="101" t="s">
        <v>66</v>
      </c>
      <c r="J10" s="319"/>
      <c r="K10" s="102"/>
      <c r="L10" s="102"/>
      <c r="M10" s="102"/>
      <c r="N10" s="103"/>
      <c r="S10" s="69">
        <f>20000*610</f>
        <v>12200000</v>
      </c>
    </row>
    <row r="11" spans="1:19" ht="15" customHeight="1" x14ac:dyDescent="0.25">
      <c r="A11" s="95">
        <f t="shared" si="1"/>
        <v>8</v>
      </c>
      <c r="B11" s="136">
        <v>46041</v>
      </c>
      <c r="C11" s="316" t="s">
        <v>500</v>
      </c>
      <c r="D11" s="317">
        <v>73142150</v>
      </c>
      <c r="E11" s="318">
        <v>61.55</v>
      </c>
      <c r="F11" s="99">
        <v>570</v>
      </c>
      <c r="G11" s="99">
        <f t="shared" si="0"/>
        <v>35083.5</v>
      </c>
      <c r="H11" s="100" t="s">
        <v>65</v>
      </c>
      <c r="I11" s="101" t="s">
        <v>66</v>
      </c>
      <c r="J11" s="319"/>
      <c r="K11" s="102"/>
      <c r="L11" s="102"/>
      <c r="M11" s="102"/>
      <c r="N11" s="103"/>
      <c r="S11" s="69">
        <f>20000*600</f>
        <v>12000000</v>
      </c>
    </row>
    <row r="12" spans="1:19" ht="15" customHeight="1" x14ac:dyDescent="0.25">
      <c r="A12" s="95">
        <f t="shared" si="1"/>
        <v>9</v>
      </c>
      <c r="B12" s="136">
        <v>46041</v>
      </c>
      <c r="C12" s="316" t="s">
        <v>500</v>
      </c>
      <c r="D12" s="317">
        <v>54026687</v>
      </c>
      <c r="E12" s="318">
        <v>60.95</v>
      </c>
      <c r="F12" s="99">
        <v>570</v>
      </c>
      <c r="G12" s="99">
        <f t="shared" si="0"/>
        <v>34741.5</v>
      </c>
      <c r="H12" s="100" t="s">
        <v>65</v>
      </c>
      <c r="I12" s="101" t="s">
        <v>66</v>
      </c>
      <c r="J12" s="319"/>
      <c r="K12" s="102"/>
      <c r="L12" s="102"/>
      <c r="M12" s="102"/>
      <c r="N12" s="103"/>
      <c r="S12" s="69">
        <f>10000*580</f>
        <v>5800000</v>
      </c>
    </row>
    <row r="13" spans="1:19" ht="15" customHeight="1" x14ac:dyDescent="0.25">
      <c r="A13" s="95">
        <f t="shared" si="1"/>
        <v>10</v>
      </c>
      <c r="B13" s="136">
        <v>46041</v>
      </c>
      <c r="C13" s="316" t="s">
        <v>500</v>
      </c>
      <c r="D13" s="317">
        <v>51198059</v>
      </c>
      <c r="E13" s="318">
        <v>60.9</v>
      </c>
      <c r="F13" s="99">
        <v>570</v>
      </c>
      <c r="G13" s="99">
        <f t="shared" si="0"/>
        <v>34713</v>
      </c>
      <c r="H13" s="100" t="s">
        <v>65</v>
      </c>
      <c r="I13" s="101" t="s">
        <v>66</v>
      </c>
      <c r="J13" s="319"/>
      <c r="K13" s="102"/>
      <c r="L13" s="102"/>
      <c r="M13" s="102"/>
      <c r="N13" s="103"/>
      <c r="S13" s="69">
        <f>S9+S10+S11+S12</f>
        <v>35700000</v>
      </c>
    </row>
    <row r="14" spans="1:19" ht="15" customHeight="1" x14ac:dyDescent="0.25">
      <c r="A14" s="95">
        <f t="shared" si="1"/>
        <v>11</v>
      </c>
      <c r="B14" s="136">
        <v>46041</v>
      </c>
      <c r="C14" s="316" t="s">
        <v>500</v>
      </c>
      <c r="D14" s="317">
        <v>51181477</v>
      </c>
      <c r="E14" s="318">
        <v>61.2</v>
      </c>
      <c r="F14" s="99">
        <v>570</v>
      </c>
      <c r="G14" s="99">
        <f t="shared" si="0"/>
        <v>34884</v>
      </c>
      <c r="H14" s="100" t="s">
        <v>65</v>
      </c>
      <c r="I14" s="101" t="s">
        <v>66</v>
      </c>
      <c r="J14" s="319"/>
      <c r="K14" s="102"/>
      <c r="L14" s="102"/>
      <c r="M14" s="102"/>
      <c r="N14" s="103"/>
    </row>
    <row r="15" spans="1:19" ht="15" customHeight="1" x14ac:dyDescent="0.25">
      <c r="A15" s="95">
        <f t="shared" si="1"/>
        <v>12</v>
      </c>
      <c r="B15" s="136">
        <v>46041</v>
      </c>
      <c r="C15" s="316" t="s">
        <v>500</v>
      </c>
      <c r="D15" s="317">
        <v>73099483</v>
      </c>
      <c r="E15" s="318">
        <v>61.55</v>
      </c>
      <c r="F15" s="99">
        <v>570</v>
      </c>
      <c r="G15" s="99">
        <f t="shared" si="0"/>
        <v>35083.5</v>
      </c>
      <c r="H15" s="100" t="s">
        <v>65</v>
      </c>
      <c r="I15" s="101" t="s">
        <v>66</v>
      </c>
      <c r="J15" s="319"/>
      <c r="K15" s="102"/>
      <c r="L15" s="102"/>
      <c r="M15" s="102"/>
      <c r="N15" s="103"/>
    </row>
    <row r="16" spans="1:19" ht="15" customHeight="1" x14ac:dyDescent="0.25">
      <c r="A16" s="95">
        <f t="shared" si="1"/>
        <v>13</v>
      </c>
      <c r="B16" s="136">
        <v>46041</v>
      </c>
      <c r="C16" s="316" t="s">
        <v>500</v>
      </c>
      <c r="D16" s="317">
        <v>50737014</v>
      </c>
      <c r="E16" s="318">
        <v>52.25</v>
      </c>
      <c r="F16" s="99">
        <v>570</v>
      </c>
      <c r="G16" s="99">
        <f t="shared" si="0"/>
        <v>29782.5</v>
      </c>
      <c r="H16" s="100" t="s">
        <v>65</v>
      </c>
      <c r="I16" s="101" t="s">
        <v>66</v>
      </c>
      <c r="J16" s="319"/>
      <c r="K16" s="102"/>
      <c r="L16" s="102"/>
      <c r="M16" s="102"/>
      <c r="N16" s="103"/>
    </row>
    <row r="17" spans="1:14" ht="15" customHeight="1" x14ac:dyDescent="0.25">
      <c r="A17" s="95">
        <f t="shared" si="1"/>
        <v>14</v>
      </c>
      <c r="B17" s="136">
        <v>46041</v>
      </c>
      <c r="C17" s="316" t="s">
        <v>500</v>
      </c>
      <c r="D17" s="317">
        <v>75008938</v>
      </c>
      <c r="E17" s="318">
        <v>61.4</v>
      </c>
      <c r="F17" s="99">
        <v>570</v>
      </c>
      <c r="G17" s="99">
        <f t="shared" si="0"/>
        <v>34998</v>
      </c>
      <c r="H17" s="100" t="s">
        <v>65</v>
      </c>
      <c r="I17" s="101" t="s">
        <v>66</v>
      </c>
      <c r="J17" s="319"/>
      <c r="K17" s="102"/>
      <c r="L17" s="102"/>
      <c r="M17" s="102"/>
      <c r="N17" s="103"/>
    </row>
    <row r="18" spans="1:14" ht="15" customHeight="1" x14ac:dyDescent="0.25">
      <c r="A18" s="95">
        <f t="shared" si="1"/>
        <v>15</v>
      </c>
      <c r="B18" s="136">
        <v>46041</v>
      </c>
      <c r="C18" s="316" t="s">
        <v>500</v>
      </c>
      <c r="D18" s="317">
        <v>73213738</v>
      </c>
      <c r="E18" s="318">
        <v>61.7</v>
      </c>
      <c r="F18" s="99">
        <v>570</v>
      </c>
      <c r="G18" s="99">
        <f t="shared" si="0"/>
        <v>35169</v>
      </c>
      <c r="H18" s="100" t="s">
        <v>65</v>
      </c>
      <c r="I18" s="101" t="s">
        <v>66</v>
      </c>
      <c r="J18" s="319"/>
      <c r="K18" s="102"/>
      <c r="L18" s="102"/>
      <c r="M18" s="102"/>
      <c r="N18" s="103"/>
    </row>
    <row r="19" spans="1:14" ht="15" customHeight="1" x14ac:dyDescent="0.25">
      <c r="A19" s="95">
        <f t="shared" si="1"/>
        <v>16</v>
      </c>
      <c r="B19" s="136">
        <v>46041</v>
      </c>
      <c r="C19" s="316" t="s">
        <v>500</v>
      </c>
      <c r="D19" s="317">
        <v>51394518</v>
      </c>
      <c r="E19" s="318">
        <v>60.85</v>
      </c>
      <c r="F19" s="99">
        <v>570</v>
      </c>
      <c r="G19" s="99">
        <f t="shared" si="0"/>
        <v>34684.5</v>
      </c>
      <c r="H19" s="100" t="s">
        <v>65</v>
      </c>
      <c r="I19" s="101" t="s">
        <v>66</v>
      </c>
      <c r="J19" s="319"/>
      <c r="K19" s="102"/>
      <c r="L19" s="102"/>
      <c r="M19" s="102"/>
      <c r="N19" s="103"/>
    </row>
    <row r="20" spans="1:14" ht="15" customHeight="1" x14ac:dyDescent="0.25">
      <c r="A20" s="95">
        <f t="shared" si="1"/>
        <v>17</v>
      </c>
      <c r="B20" s="136">
        <v>46041</v>
      </c>
      <c r="C20" s="316" t="s">
        <v>500</v>
      </c>
      <c r="D20" s="317">
        <v>75271536</v>
      </c>
      <c r="E20" s="318">
        <v>62.25</v>
      </c>
      <c r="F20" s="99">
        <v>570</v>
      </c>
      <c r="G20" s="99">
        <f t="shared" si="0"/>
        <v>35482.5</v>
      </c>
      <c r="H20" s="100" t="s">
        <v>65</v>
      </c>
      <c r="I20" s="101" t="s">
        <v>66</v>
      </c>
      <c r="J20" s="319"/>
      <c r="K20" s="102"/>
      <c r="L20" s="102"/>
      <c r="M20" s="102"/>
      <c r="N20" s="103"/>
    </row>
    <row r="21" spans="1:14" ht="15" customHeight="1" thickBot="1" x14ac:dyDescent="0.3">
      <c r="A21" s="112">
        <f t="shared" si="1"/>
        <v>18</v>
      </c>
      <c r="B21" s="141">
        <v>46041</v>
      </c>
      <c r="C21" s="320" t="s">
        <v>500</v>
      </c>
      <c r="D21" s="321">
        <v>73133654</v>
      </c>
      <c r="E21" s="322">
        <v>61.55</v>
      </c>
      <c r="F21" s="323">
        <v>570</v>
      </c>
      <c r="G21" s="323">
        <f t="shared" si="0"/>
        <v>35083.5</v>
      </c>
      <c r="H21" s="324" t="s">
        <v>65</v>
      </c>
      <c r="I21" s="325" t="s">
        <v>66</v>
      </c>
      <c r="J21" s="326"/>
      <c r="K21" s="113"/>
      <c r="L21" s="113"/>
      <c r="M21" s="113"/>
      <c r="N21" s="114"/>
    </row>
    <row r="22" spans="1:14" ht="15" customHeight="1" thickBot="1" x14ac:dyDescent="0.3">
      <c r="A22" s="327"/>
      <c r="B22" s="328"/>
      <c r="C22" s="329"/>
      <c r="D22" s="330"/>
      <c r="E22" s="331">
        <f>SUM(E4:E21)</f>
        <v>1084.6500000000001</v>
      </c>
      <c r="F22" s="328"/>
      <c r="G22" s="332">
        <f>SUM(G4:G21)</f>
        <v>618250.5</v>
      </c>
      <c r="H22" s="328"/>
      <c r="I22" s="333"/>
      <c r="J22" s="327"/>
      <c r="K22" s="328"/>
      <c r="L22" s="328"/>
      <c r="M22" s="328"/>
      <c r="N22" s="334"/>
    </row>
    <row r="23" spans="1:14" ht="15" customHeight="1" x14ac:dyDescent="0.25">
      <c r="A23" s="131">
        <v>19</v>
      </c>
      <c r="B23" s="132">
        <v>46042</v>
      </c>
      <c r="C23" s="335" t="s">
        <v>501</v>
      </c>
      <c r="D23" s="313">
        <v>50030956</v>
      </c>
      <c r="E23" s="314">
        <v>59.85</v>
      </c>
      <c r="F23" s="99">
        <v>570</v>
      </c>
      <c r="G23" s="99">
        <f t="shared" ref="G23:G35" si="2">E23*F23</f>
        <v>34114.5</v>
      </c>
      <c r="H23" s="100" t="s">
        <v>65</v>
      </c>
      <c r="I23" s="101" t="s">
        <v>66</v>
      </c>
      <c r="J23" s="131"/>
      <c r="K23" s="133"/>
      <c r="L23" s="133"/>
      <c r="M23" s="133"/>
      <c r="N23" s="135"/>
    </row>
    <row r="24" spans="1:14" ht="15" customHeight="1" x14ac:dyDescent="0.25">
      <c r="A24" s="95">
        <f>A23+1</f>
        <v>20</v>
      </c>
      <c r="B24" s="336">
        <v>46042</v>
      </c>
      <c r="C24" s="316" t="s">
        <v>501</v>
      </c>
      <c r="D24" s="337">
        <v>76667898</v>
      </c>
      <c r="E24" s="318">
        <v>62.05</v>
      </c>
      <c r="F24" s="99">
        <v>570</v>
      </c>
      <c r="G24" s="99">
        <f t="shared" si="2"/>
        <v>35368.5</v>
      </c>
      <c r="H24" s="100" t="s">
        <v>65</v>
      </c>
      <c r="I24" s="101" t="s">
        <v>66</v>
      </c>
      <c r="J24" s="95"/>
      <c r="K24" s="102"/>
      <c r="L24" s="102"/>
      <c r="M24" s="102"/>
      <c r="N24" s="103"/>
    </row>
    <row r="25" spans="1:14" ht="15" customHeight="1" x14ac:dyDescent="0.25">
      <c r="A25" s="95">
        <f t="shared" ref="A25:A35" si="3">A24+1</f>
        <v>21</v>
      </c>
      <c r="B25" s="336">
        <v>46042</v>
      </c>
      <c r="C25" s="316" t="s">
        <v>501</v>
      </c>
      <c r="D25" s="337">
        <v>75483396</v>
      </c>
      <c r="E25" s="318">
        <v>61.85</v>
      </c>
      <c r="F25" s="99">
        <v>570</v>
      </c>
      <c r="G25" s="99">
        <f t="shared" si="2"/>
        <v>35254.5</v>
      </c>
      <c r="H25" s="100" t="s">
        <v>65</v>
      </c>
      <c r="I25" s="101" t="s">
        <v>66</v>
      </c>
      <c r="J25" s="95"/>
      <c r="K25" s="102"/>
      <c r="L25" s="102"/>
      <c r="M25" s="102"/>
      <c r="N25" s="103"/>
    </row>
    <row r="26" spans="1:14" ht="15" customHeight="1" x14ac:dyDescent="0.25">
      <c r="A26" s="95">
        <f t="shared" si="3"/>
        <v>22</v>
      </c>
      <c r="B26" s="336">
        <v>46042</v>
      </c>
      <c r="C26" s="316" t="s">
        <v>501</v>
      </c>
      <c r="D26" s="337">
        <v>75538892</v>
      </c>
      <c r="E26" s="318">
        <v>62.05</v>
      </c>
      <c r="F26" s="99">
        <v>570</v>
      </c>
      <c r="G26" s="99">
        <f t="shared" si="2"/>
        <v>35368.5</v>
      </c>
      <c r="H26" s="100" t="s">
        <v>65</v>
      </c>
      <c r="I26" s="101" t="s">
        <v>66</v>
      </c>
      <c r="J26" s="95"/>
      <c r="K26" s="102"/>
      <c r="L26" s="102"/>
      <c r="M26" s="102"/>
      <c r="N26" s="103"/>
    </row>
    <row r="27" spans="1:14" ht="15" customHeight="1" x14ac:dyDescent="0.25">
      <c r="A27" s="95">
        <f t="shared" si="3"/>
        <v>23</v>
      </c>
      <c r="B27" s="336">
        <v>46042</v>
      </c>
      <c r="C27" s="316" t="s">
        <v>501</v>
      </c>
      <c r="D27" s="337">
        <v>73924359</v>
      </c>
      <c r="E27" s="318">
        <v>61.7</v>
      </c>
      <c r="F27" s="99">
        <v>570</v>
      </c>
      <c r="G27" s="99">
        <f t="shared" si="2"/>
        <v>35169</v>
      </c>
      <c r="H27" s="100" t="s">
        <v>65</v>
      </c>
      <c r="I27" s="101" t="s">
        <v>66</v>
      </c>
      <c r="J27" s="95"/>
      <c r="K27" s="102"/>
      <c r="L27" s="102"/>
      <c r="M27" s="102"/>
      <c r="N27" s="103"/>
    </row>
    <row r="28" spans="1:14" ht="15" customHeight="1" x14ac:dyDescent="0.25">
      <c r="A28" s="95">
        <f t="shared" si="3"/>
        <v>24</v>
      </c>
      <c r="B28" s="336">
        <v>46042</v>
      </c>
      <c r="C28" s="316" t="s">
        <v>501</v>
      </c>
      <c r="D28" s="337">
        <v>73143208</v>
      </c>
      <c r="E28" s="318">
        <v>61.45</v>
      </c>
      <c r="F28" s="99">
        <v>570</v>
      </c>
      <c r="G28" s="99">
        <f t="shared" si="2"/>
        <v>35026.5</v>
      </c>
      <c r="H28" s="100" t="s">
        <v>65</v>
      </c>
      <c r="I28" s="101" t="s">
        <v>66</v>
      </c>
      <c r="J28" s="95"/>
      <c r="K28" s="102"/>
      <c r="L28" s="102"/>
      <c r="M28" s="102"/>
      <c r="N28" s="103"/>
    </row>
    <row r="29" spans="1:14" ht="15" customHeight="1" x14ac:dyDescent="0.25">
      <c r="A29" s="95">
        <f t="shared" si="3"/>
        <v>25</v>
      </c>
      <c r="B29" s="336">
        <v>46042</v>
      </c>
      <c r="C29" s="316" t="s">
        <v>501</v>
      </c>
      <c r="D29" s="337">
        <v>73910416</v>
      </c>
      <c r="E29" s="318">
        <v>61.8</v>
      </c>
      <c r="F29" s="99">
        <v>570</v>
      </c>
      <c r="G29" s="99">
        <f t="shared" si="2"/>
        <v>35226</v>
      </c>
      <c r="H29" s="100" t="s">
        <v>65</v>
      </c>
      <c r="I29" s="101" t="s">
        <v>66</v>
      </c>
      <c r="J29" s="95"/>
      <c r="K29" s="102"/>
      <c r="L29" s="102"/>
      <c r="M29" s="102"/>
      <c r="N29" s="103"/>
    </row>
    <row r="30" spans="1:14" ht="15" customHeight="1" x14ac:dyDescent="0.25">
      <c r="A30" s="95">
        <f t="shared" si="3"/>
        <v>26</v>
      </c>
      <c r="B30" s="336">
        <v>46042</v>
      </c>
      <c r="C30" s="316" t="s">
        <v>501</v>
      </c>
      <c r="D30" s="337">
        <v>51633949</v>
      </c>
      <c r="E30" s="318">
        <v>51.9</v>
      </c>
      <c r="F30" s="99">
        <v>570</v>
      </c>
      <c r="G30" s="99">
        <f t="shared" si="2"/>
        <v>29583</v>
      </c>
      <c r="H30" s="100" t="s">
        <v>65</v>
      </c>
      <c r="I30" s="101" t="s">
        <v>66</v>
      </c>
      <c r="J30" s="95"/>
      <c r="K30" s="102"/>
      <c r="L30" s="102"/>
      <c r="M30" s="102"/>
      <c r="N30" s="103"/>
    </row>
    <row r="31" spans="1:14" ht="15" customHeight="1" x14ac:dyDescent="0.25">
      <c r="A31" s="95">
        <f t="shared" si="3"/>
        <v>27</v>
      </c>
      <c r="B31" s="336">
        <v>46042</v>
      </c>
      <c r="C31" s="316" t="s">
        <v>501</v>
      </c>
      <c r="D31" s="337">
        <v>51456705</v>
      </c>
      <c r="E31" s="318">
        <v>60.85</v>
      </c>
      <c r="F31" s="99">
        <v>570</v>
      </c>
      <c r="G31" s="99">
        <f t="shared" si="2"/>
        <v>34684.5</v>
      </c>
      <c r="H31" s="100" t="s">
        <v>65</v>
      </c>
      <c r="I31" s="101" t="s">
        <v>66</v>
      </c>
      <c r="J31" s="95"/>
      <c r="K31" s="102"/>
      <c r="L31" s="102"/>
      <c r="M31" s="102"/>
      <c r="N31" s="103"/>
    </row>
    <row r="32" spans="1:14" ht="15" customHeight="1" x14ac:dyDescent="0.25">
      <c r="A32" s="95">
        <f t="shared" si="3"/>
        <v>28</v>
      </c>
      <c r="B32" s="336">
        <v>46042</v>
      </c>
      <c r="C32" s="316" t="s">
        <v>501</v>
      </c>
      <c r="D32" s="337">
        <v>53975074</v>
      </c>
      <c r="E32" s="318">
        <v>51.75</v>
      </c>
      <c r="F32" s="99">
        <v>570</v>
      </c>
      <c r="G32" s="99">
        <f t="shared" si="2"/>
        <v>29497.5</v>
      </c>
      <c r="H32" s="100" t="s">
        <v>65</v>
      </c>
      <c r="I32" s="101" t="s">
        <v>66</v>
      </c>
      <c r="J32" s="95"/>
      <c r="K32" s="102"/>
      <c r="L32" s="102"/>
      <c r="M32" s="102"/>
      <c r="N32" s="103"/>
    </row>
    <row r="33" spans="1:14" ht="15" customHeight="1" x14ac:dyDescent="0.25">
      <c r="A33" s="95">
        <f t="shared" si="3"/>
        <v>29</v>
      </c>
      <c r="B33" s="336">
        <v>46042</v>
      </c>
      <c r="C33" s="316" t="s">
        <v>501</v>
      </c>
      <c r="D33" s="337">
        <v>74901463</v>
      </c>
      <c r="E33" s="318">
        <v>62.1</v>
      </c>
      <c r="F33" s="99">
        <v>570</v>
      </c>
      <c r="G33" s="99">
        <f t="shared" si="2"/>
        <v>35397</v>
      </c>
      <c r="H33" s="100" t="s">
        <v>65</v>
      </c>
      <c r="I33" s="101" t="s">
        <v>66</v>
      </c>
      <c r="J33" s="95"/>
      <c r="K33" s="102"/>
      <c r="L33" s="102"/>
      <c r="M33" s="102"/>
      <c r="N33" s="103"/>
    </row>
    <row r="34" spans="1:14" ht="15" customHeight="1" x14ac:dyDescent="0.25">
      <c r="A34" s="95">
        <f t="shared" si="3"/>
        <v>30</v>
      </c>
      <c r="B34" s="336">
        <v>46042</v>
      </c>
      <c r="C34" s="316" t="s">
        <v>501</v>
      </c>
      <c r="D34" s="337">
        <v>76136399</v>
      </c>
      <c r="E34" s="318">
        <v>62</v>
      </c>
      <c r="F34" s="99">
        <v>570</v>
      </c>
      <c r="G34" s="99">
        <f t="shared" si="2"/>
        <v>35340</v>
      </c>
      <c r="H34" s="100" t="s">
        <v>65</v>
      </c>
      <c r="I34" s="101" t="s">
        <v>66</v>
      </c>
      <c r="J34" s="95"/>
      <c r="K34" s="102"/>
      <c r="L34" s="102"/>
      <c r="M34" s="102"/>
      <c r="N34" s="103"/>
    </row>
    <row r="35" spans="1:14" ht="15" customHeight="1" thickBot="1" x14ac:dyDescent="0.3">
      <c r="A35" s="104">
        <f t="shared" si="3"/>
        <v>31</v>
      </c>
      <c r="B35" s="338">
        <v>46042</v>
      </c>
      <c r="C35" s="339" t="s">
        <v>501</v>
      </c>
      <c r="D35" s="340">
        <v>76354190</v>
      </c>
      <c r="E35" s="341">
        <v>62.05</v>
      </c>
      <c r="F35" s="99">
        <v>570</v>
      </c>
      <c r="G35" s="99">
        <f t="shared" si="2"/>
        <v>35368.5</v>
      </c>
      <c r="H35" s="100" t="s">
        <v>65</v>
      </c>
      <c r="I35" s="101" t="s">
        <v>66</v>
      </c>
      <c r="J35" s="104"/>
      <c r="K35" s="150"/>
      <c r="L35" s="150"/>
      <c r="M35" s="150"/>
      <c r="N35" s="151"/>
    </row>
    <row r="36" spans="1:14" ht="15.75" thickBot="1" x14ac:dyDescent="0.3">
      <c r="A36" s="327"/>
      <c r="B36" s="328"/>
      <c r="C36" s="328"/>
      <c r="D36" s="328"/>
      <c r="E36" s="342">
        <f>SUM(E23:E35)</f>
        <v>781.4</v>
      </c>
      <c r="F36" s="328"/>
      <c r="G36" s="332">
        <f>SUM(G23:G35)</f>
        <v>445398</v>
      </c>
      <c r="H36" s="328"/>
      <c r="I36" s="334"/>
      <c r="J36" s="343"/>
      <c r="K36" s="344"/>
      <c r="L36" s="344"/>
      <c r="M36" s="344"/>
      <c r="N36" s="345"/>
    </row>
    <row r="37" spans="1:14" ht="16.5" customHeight="1" x14ac:dyDescent="0.25">
      <c r="A37" s="181">
        <v>32</v>
      </c>
      <c r="B37" s="170">
        <v>46043</v>
      </c>
      <c r="C37" s="346" t="s">
        <v>502</v>
      </c>
      <c r="D37" s="347">
        <v>57967408</v>
      </c>
      <c r="E37" s="348">
        <v>60.85</v>
      </c>
      <c r="F37" s="128">
        <v>570</v>
      </c>
      <c r="G37" s="128">
        <f t="shared" ref="G37:G44" si="4">E37*F37</f>
        <v>34684.5</v>
      </c>
      <c r="H37" s="129" t="s">
        <v>65</v>
      </c>
      <c r="I37" s="130" t="s">
        <v>66</v>
      </c>
      <c r="J37" s="131"/>
      <c r="K37" s="133"/>
      <c r="L37" s="133"/>
      <c r="M37" s="133"/>
      <c r="N37" s="135"/>
    </row>
    <row r="38" spans="1:14" ht="16.5" customHeight="1" x14ac:dyDescent="0.25">
      <c r="A38" s="95">
        <f>A37+1</f>
        <v>33</v>
      </c>
      <c r="B38" s="136">
        <v>46043</v>
      </c>
      <c r="C38" s="349" t="s">
        <v>502</v>
      </c>
      <c r="D38" s="317">
        <v>54068135</v>
      </c>
      <c r="E38" s="318">
        <v>60.85</v>
      </c>
      <c r="F38" s="99">
        <v>570</v>
      </c>
      <c r="G38" s="99">
        <f t="shared" si="4"/>
        <v>34684.5</v>
      </c>
      <c r="H38" s="100" t="s">
        <v>65</v>
      </c>
      <c r="I38" s="101" t="s">
        <v>66</v>
      </c>
      <c r="J38" s="95"/>
      <c r="K38" s="102"/>
      <c r="L38" s="102"/>
      <c r="M38" s="102"/>
      <c r="N38" s="103"/>
    </row>
    <row r="39" spans="1:14" ht="16.5" customHeight="1" x14ac:dyDescent="0.25">
      <c r="A39" s="95">
        <f t="shared" ref="A39:A44" si="5">A38+1</f>
        <v>34</v>
      </c>
      <c r="B39" s="136">
        <v>46043</v>
      </c>
      <c r="C39" s="349" t="s">
        <v>502</v>
      </c>
      <c r="D39" s="317">
        <v>53871976</v>
      </c>
      <c r="E39" s="318">
        <v>60.9</v>
      </c>
      <c r="F39" s="99">
        <v>570</v>
      </c>
      <c r="G39" s="99">
        <f t="shared" si="4"/>
        <v>34713</v>
      </c>
      <c r="H39" s="100" t="s">
        <v>65</v>
      </c>
      <c r="I39" s="101" t="s">
        <v>66</v>
      </c>
      <c r="J39" s="95"/>
      <c r="K39" s="102"/>
      <c r="L39" s="102"/>
      <c r="M39" s="102"/>
      <c r="N39" s="103"/>
    </row>
    <row r="40" spans="1:14" ht="16.5" customHeight="1" x14ac:dyDescent="0.25">
      <c r="A40" s="95">
        <f t="shared" si="5"/>
        <v>35</v>
      </c>
      <c r="B40" s="136">
        <v>46043</v>
      </c>
      <c r="C40" s="349" t="s">
        <v>502</v>
      </c>
      <c r="D40" s="317">
        <v>57385312</v>
      </c>
      <c r="E40" s="318">
        <v>60.8</v>
      </c>
      <c r="F40" s="99">
        <v>570</v>
      </c>
      <c r="G40" s="99">
        <f t="shared" si="4"/>
        <v>34656</v>
      </c>
      <c r="H40" s="100" t="s">
        <v>65</v>
      </c>
      <c r="I40" s="101" t="s">
        <v>66</v>
      </c>
      <c r="J40" s="95"/>
      <c r="K40" s="102"/>
      <c r="L40" s="102"/>
      <c r="M40" s="102"/>
      <c r="N40" s="103"/>
    </row>
    <row r="41" spans="1:14" ht="16.5" customHeight="1" x14ac:dyDescent="0.25">
      <c r="A41" s="95">
        <f t="shared" si="5"/>
        <v>36</v>
      </c>
      <c r="B41" s="136">
        <v>46043</v>
      </c>
      <c r="C41" s="349" t="s">
        <v>502</v>
      </c>
      <c r="D41" s="317">
        <v>50975663</v>
      </c>
      <c r="E41" s="318">
        <v>60.75</v>
      </c>
      <c r="F41" s="99">
        <v>570</v>
      </c>
      <c r="G41" s="99">
        <f t="shared" si="4"/>
        <v>34627.5</v>
      </c>
      <c r="H41" s="100" t="s">
        <v>65</v>
      </c>
      <c r="I41" s="101" t="s">
        <v>66</v>
      </c>
      <c r="J41" s="95"/>
      <c r="K41" s="102"/>
      <c r="L41" s="102"/>
      <c r="M41" s="102"/>
      <c r="N41" s="103"/>
    </row>
    <row r="42" spans="1:14" ht="16.5" customHeight="1" x14ac:dyDescent="0.25">
      <c r="A42" s="95">
        <f t="shared" si="5"/>
        <v>37</v>
      </c>
      <c r="B42" s="136">
        <v>46043</v>
      </c>
      <c r="C42" s="349" t="s">
        <v>502</v>
      </c>
      <c r="D42" s="317">
        <v>54641246</v>
      </c>
      <c r="E42" s="318">
        <v>60.7</v>
      </c>
      <c r="F42" s="99">
        <v>570</v>
      </c>
      <c r="G42" s="99">
        <f t="shared" si="4"/>
        <v>34599</v>
      </c>
      <c r="H42" s="100" t="s">
        <v>65</v>
      </c>
      <c r="I42" s="101" t="s">
        <v>66</v>
      </c>
      <c r="J42" s="95"/>
      <c r="K42" s="102"/>
      <c r="L42" s="102"/>
      <c r="M42" s="102"/>
      <c r="N42" s="103"/>
    </row>
    <row r="43" spans="1:14" ht="16.5" customHeight="1" x14ac:dyDescent="0.25">
      <c r="A43" s="95">
        <f t="shared" si="5"/>
        <v>38</v>
      </c>
      <c r="B43" s="136">
        <v>46043</v>
      </c>
      <c r="C43" s="349" t="s">
        <v>502</v>
      </c>
      <c r="D43" s="317">
        <v>50975242</v>
      </c>
      <c r="E43" s="318">
        <v>60.85</v>
      </c>
      <c r="F43" s="99">
        <v>570</v>
      </c>
      <c r="G43" s="99">
        <f t="shared" si="4"/>
        <v>34684.5</v>
      </c>
      <c r="H43" s="100" t="s">
        <v>65</v>
      </c>
      <c r="I43" s="101" t="s">
        <v>66</v>
      </c>
      <c r="J43" s="95"/>
      <c r="K43" s="102"/>
      <c r="L43" s="102"/>
      <c r="M43" s="102"/>
      <c r="N43" s="103"/>
    </row>
    <row r="44" spans="1:14" ht="16.5" customHeight="1" thickBot="1" x14ac:dyDescent="0.3">
      <c r="A44" s="112">
        <f t="shared" si="5"/>
        <v>39</v>
      </c>
      <c r="B44" s="124">
        <v>46043</v>
      </c>
      <c r="C44" s="350" t="s">
        <v>502</v>
      </c>
      <c r="D44" s="321">
        <v>53873477</v>
      </c>
      <c r="E44" s="322">
        <v>60.75</v>
      </c>
      <c r="F44" s="99">
        <v>570</v>
      </c>
      <c r="G44" s="99">
        <f t="shared" si="4"/>
        <v>34627.5</v>
      </c>
      <c r="H44" s="100" t="s">
        <v>65</v>
      </c>
      <c r="I44" s="101" t="s">
        <v>66</v>
      </c>
      <c r="J44" s="112"/>
      <c r="K44" s="113"/>
      <c r="L44" s="113"/>
      <c r="M44" s="113"/>
      <c r="N44" s="114"/>
    </row>
    <row r="45" spans="1:14" ht="15.75" thickBot="1" x14ac:dyDescent="0.3">
      <c r="A45" s="327"/>
      <c r="B45" s="328"/>
      <c r="C45" s="328"/>
      <c r="D45" s="328"/>
      <c r="E45" s="342">
        <f>SUM(E37:E44)</f>
        <v>486.45</v>
      </c>
      <c r="F45" s="328"/>
      <c r="G45" s="332">
        <f>SUM(G37:G44)</f>
        <v>277276.5</v>
      </c>
      <c r="H45" s="328"/>
      <c r="I45" s="333"/>
      <c r="J45" s="327"/>
      <c r="K45" s="328"/>
      <c r="L45" s="328"/>
      <c r="M45" s="328"/>
      <c r="N45" s="334"/>
    </row>
    <row r="46" spans="1:14" ht="15" customHeight="1" x14ac:dyDescent="0.25">
      <c r="A46" s="123">
        <v>40</v>
      </c>
      <c r="B46" s="124">
        <v>46044</v>
      </c>
      <c r="C46" s="351" t="s">
        <v>503</v>
      </c>
      <c r="D46" s="347">
        <v>51258523</v>
      </c>
      <c r="E46" s="352">
        <v>60.8</v>
      </c>
      <c r="F46" s="128">
        <v>570</v>
      </c>
      <c r="G46" s="128">
        <f t="shared" ref="G46:G55" si="6">E46*F46</f>
        <v>34656</v>
      </c>
      <c r="H46" s="129" t="s">
        <v>65</v>
      </c>
      <c r="I46" s="130" t="s">
        <v>66</v>
      </c>
      <c r="J46" s="131"/>
      <c r="K46" s="133"/>
      <c r="L46" s="133"/>
      <c r="M46" s="133"/>
      <c r="N46" s="135"/>
    </row>
    <row r="47" spans="1:14" ht="15" customHeight="1" x14ac:dyDescent="0.25">
      <c r="A47" s="102">
        <f>A46+1</f>
        <v>41</v>
      </c>
      <c r="B47" s="136">
        <v>46044</v>
      </c>
      <c r="C47" s="316" t="s">
        <v>503</v>
      </c>
      <c r="D47" s="317">
        <v>50699883</v>
      </c>
      <c r="E47" s="318">
        <v>60.8</v>
      </c>
      <c r="F47" s="99">
        <v>570</v>
      </c>
      <c r="G47" s="99">
        <f t="shared" si="6"/>
        <v>34656</v>
      </c>
      <c r="H47" s="100" t="s">
        <v>65</v>
      </c>
      <c r="I47" s="101" t="s">
        <v>66</v>
      </c>
      <c r="J47" s="95"/>
      <c r="K47" s="102"/>
      <c r="L47" s="102"/>
      <c r="M47" s="102"/>
      <c r="N47" s="103"/>
    </row>
    <row r="48" spans="1:14" ht="15" customHeight="1" x14ac:dyDescent="0.25">
      <c r="A48" s="102">
        <f t="shared" ref="A48:A55" si="7">A47+1</f>
        <v>42</v>
      </c>
      <c r="B48" s="136">
        <v>46044</v>
      </c>
      <c r="C48" s="316" t="s">
        <v>503</v>
      </c>
      <c r="D48" s="317">
        <v>74940578</v>
      </c>
      <c r="E48" s="318">
        <v>61.5</v>
      </c>
      <c r="F48" s="99">
        <v>570</v>
      </c>
      <c r="G48" s="99">
        <f t="shared" si="6"/>
        <v>35055</v>
      </c>
      <c r="H48" s="100" t="s">
        <v>65</v>
      </c>
      <c r="I48" s="101" t="s">
        <v>66</v>
      </c>
      <c r="J48" s="95"/>
      <c r="K48" s="102"/>
      <c r="L48" s="102"/>
      <c r="M48" s="102"/>
      <c r="N48" s="103"/>
    </row>
    <row r="49" spans="1:14" ht="15" customHeight="1" x14ac:dyDescent="0.25">
      <c r="A49" s="102">
        <f t="shared" si="7"/>
        <v>43</v>
      </c>
      <c r="B49" s="136">
        <v>46044</v>
      </c>
      <c r="C49" s="316" t="s">
        <v>503</v>
      </c>
      <c r="D49" s="317">
        <v>57650194</v>
      </c>
      <c r="E49" s="318">
        <v>60.85</v>
      </c>
      <c r="F49" s="99">
        <v>570</v>
      </c>
      <c r="G49" s="99">
        <f t="shared" si="6"/>
        <v>34684.5</v>
      </c>
      <c r="H49" s="100" t="s">
        <v>65</v>
      </c>
      <c r="I49" s="101" t="s">
        <v>66</v>
      </c>
      <c r="J49" s="95"/>
      <c r="K49" s="102"/>
      <c r="L49" s="102"/>
      <c r="M49" s="102"/>
      <c r="N49" s="103"/>
    </row>
    <row r="50" spans="1:14" ht="15" customHeight="1" x14ac:dyDescent="0.25">
      <c r="A50" s="102">
        <f t="shared" si="7"/>
        <v>44</v>
      </c>
      <c r="B50" s="136">
        <v>46044</v>
      </c>
      <c r="C50" s="316" t="s">
        <v>504</v>
      </c>
      <c r="D50" s="317">
        <v>73156408</v>
      </c>
      <c r="E50" s="318">
        <v>61.45</v>
      </c>
      <c r="F50" s="99">
        <v>570</v>
      </c>
      <c r="G50" s="99">
        <f t="shared" si="6"/>
        <v>35026.5</v>
      </c>
      <c r="H50" s="100" t="s">
        <v>65</v>
      </c>
      <c r="I50" s="101" t="s">
        <v>66</v>
      </c>
      <c r="J50" s="95"/>
      <c r="K50" s="102"/>
      <c r="L50" s="102"/>
      <c r="M50" s="102"/>
      <c r="N50" s="103"/>
    </row>
    <row r="51" spans="1:14" ht="15" customHeight="1" x14ac:dyDescent="0.25">
      <c r="A51" s="102">
        <f t="shared" si="7"/>
        <v>45</v>
      </c>
      <c r="B51" s="136">
        <v>46044</v>
      </c>
      <c r="C51" s="316" t="s">
        <v>504</v>
      </c>
      <c r="D51" s="317">
        <v>53870762</v>
      </c>
      <c r="E51" s="318">
        <v>60.9</v>
      </c>
      <c r="F51" s="99">
        <v>570</v>
      </c>
      <c r="G51" s="99">
        <f t="shared" si="6"/>
        <v>34713</v>
      </c>
      <c r="H51" s="100" t="s">
        <v>65</v>
      </c>
      <c r="I51" s="101" t="s">
        <v>66</v>
      </c>
      <c r="J51" s="95"/>
      <c r="K51" s="102"/>
      <c r="L51" s="102"/>
      <c r="M51" s="102"/>
      <c r="N51" s="103"/>
    </row>
    <row r="52" spans="1:14" ht="15" customHeight="1" x14ac:dyDescent="0.25">
      <c r="A52" s="102">
        <f t="shared" si="7"/>
        <v>46</v>
      </c>
      <c r="B52" s="136">
        <v>46044</v>
      </c>
      <c r="C52" s="316" t="s">
        <v>504</v>
      </c>
      <c r="D52" s="317">
        <v>74979972</v>
      </c>
      <c r="E52" s="318">
        <v>60.75</v>
      </c>
      <c r="F52" s="99">
        <v>570</v>
      </c>
      <c r="G52" s="99">
        <f t="shared" si="6"/>
        <v>34627.5</v>
      </c>
      <c r="H52" s="100" t="s">
        <v>65</v>
      </c>
      <c r="I52" s="101" t="s">
        <v>66</v>
      </c>
      <c r="J52" s="95"/>
      <c r="K52" s="102"/>
      <c r="L52" s="102"/>
      <c r="M52" s="102"/>
      <c r="N52" s="103"/>
    </row>
    <row r="53" spans="1:14" ht="15" customHeight="1" x14ac:dyDescent="0.25">
      <c r="A53" s="102">
        <f t="shared" si="7"/>
        <v>47</v>
      </c>
      <c r="B53" s="136">
        <v>46044</v>
      </c>
      <c r="C53" s="316" t="s">
        <v>504</v>
      </c>
      <c r="D53" s="317">
        <v>74940511</v>
      </c>
      <c r="E53" s="318">
        <v>61.35</v>
      </c>
      <c r="F53" s="99">
        <v>570</v>
      </c>
      <c r="G53" s="99">
        <f t="shared" si="6"/>
        <v>34969.5</v>
      </c>
      <c r="H53" s="100" t="s">
        <v>65</v>
      </c>
      <c r="I53" s="101" t="s">
        <v>66</v>
      </c>
      <c r="J53" s="95"/>
      <c r="K53" s="102"/>
      <c r="L53" s="102"/>
      <c r="M53" s="102"/>
      <c r="N53" s="103"/>
    </row>
    <row r="54" spans="1:14" ht="15" customHeight="1" x14ac:dyDescent="0.25">
      <c r="A54" s="102">
        <f t="shared" si="7"/>
        <v>48</v>
      </c>
      <c r="B54" s="136">
        <v>46044</v>
      </c>
      <c r="C54" s="316" t="s">
        <v>504</v>
      </c>
      <c r="D54" s="317">
        <v>57399529</v>
      </c>
      <c r="E54" s="318">
        <v>60.85</v>
      </c>
      <c r="F54" s="99">
        <v>570</v>
      </c>
      <c r="G54" s="99">
        <f t="shared" si="6"/>
        <v>34684.5</v>
      </c>
      <c r="H54" s="100" t="s">
        <v>65</v>
      </c>
      <c r="I54" s="101" t="s">
        <v>66</v>
      </c>
      <c r="J54" s="95"/>
      <c r="K54" s="102"/>
      <c r="L54" s="102"/>
      <c r="M54" s="102"/>
      <c r="N54" s="103"/>
    </row>
    <row r="55" spans="1:14" ht="15" customHeight="1" thickBot="1" x14ac:dyDescent="0.3">
      <c r="A55" s="150">
        <f t="shared" si="7"/>
        <v>49</v>
      </c>
      <c r="B55" s="183">
        <v>46044</v>
      </c>
      <c r="C55" s="339" t="s">
        <v>504</v>
      </c>
      <c r="D55" s="353">
        <v>50215367</v>
      </c>
      <c r="E55" s="352">
        <v>60.85</v>
      </c>
      <c r="F55" s="109">
        <v>570</v>
      </c>
      <c r="G55" s="109">
        <f t="shared" si="6"/>
        <v>34684.5</v>
      </c>
      <c r="H55" s="110" t="s">
        <v>65</v>
      </c>
      <c r="I55" s="111" t="s">
        <v>66</v>
      </c>
      <c r="J55" s="112"/>
      <c r="K55" s="113"/>
      <c r="L55" s="113"/>
      <c r="M55" s="113"/>
      <c r="N55" s="114"/>
    </row>
    <row r="56" spans="1:14" ht="15.75" thickBot="1" x14ac:dyDescent="0.3">
      <c r="A56" s="343"/>
      <c r="B56" s="344"/>
      <c r="C56" s="344"/>
      <c r="D56" s="344"/>
      <c r="E56" s="354">
        <f>SUM(E46:E55)</f>
        <v>610.1</v>
      </c>
      <c r="F56" s="344"/>
      <c r="G56" s="355">
        <f>SUM(G46:G55)</f>
        <v>347757</v>
      </c>
      <c r="H56" s="344"/>
      <c r="I56" s="356"/>
      <c r="J56" s="343"/>
      <c r="K56" s="344"/>
      <c r="L56" s="344"/>
      <c r="M56" s="344"/>
      <c r="N56" s="345"/>
    </row>
    <row r="57" spans="1:14" x14ac:dyDescent="0.25">
      <c r="A57" s="131">
        <v>50</v>
      </c>
      <c r="B57" s="132">
        <v>46044</v>
      </c>
      <c r="C57" s="357" t="s">
        <v>505</v>
      </c>
      <c r="D57" s="313">
        <v>53873618</v>
      </c>
      <c r="E57" s="314">
        <v>60.85</v>
      </c>
      <c r="F57" s="145">
        <v>570</v>
      </c>
      <c r="G57" s="145">
        <f t="shared" ref="G57:G67" si="8">E57*F57</f>
        <v>34684.5</v>
      </c>
      <c r="H57" s="146" t="s">
        <v>65</v>
      </c>
      <c r="I57" s="147" t="s">
        <v>66</v>
      </c>
      <c r="J57" s="133"/>
      <c r="K57" s="133"/>
      <c r="L57" s="133"/>
      <c r="M57" s="133"/>
      <c r="N57" s="135"/>
    </row>
    <row r="58" spans="1:14" x14ac:dyDescent="0.25">
      <c r="A58" s="95">
        <f>A57+1</f>
        <v>51</v>
      </c>
      <c r="B58" s="136">
        <v>46044</v>
      </c>
      <c r="C58" s="349" t="s">
        <v>505</v>
      </c>
      <c r="D58" s="317">
        <v>53873105</v>
      </c>
      <c r="E58" s="318">
        <v>60.9</v>
      </c>
      <c r="F58" s="99">
        <v>570</v>
      </c>
      <c r="G58" s="99">
        <f t="shared" si="8"/>
        <v>34713</v>
      </c>
      <c r="H58" s="100" t="s">
        <v>65</v>
      </c>
      <c r="I58" s="101" t="s">
        <v>66</v>
      </c>
      <c r="J58" s="102"/>
      <c r="K58" s="102"/>
      <c r="L58" s="102"/>
      <c r="M58" s="102"/>
      <c r="N58" s="103"/>
    </row>
    <row r="59" spans="1:14" x14ac:dyDescent="0.25">
      <c r="A59" s="95">
        <f t="shared" ref="A59:A67" si="9">A58+1</f>
        <v>52</v>
      </c>
      <c r="B59" s="136">
        <v>46044</v>
      </c>
      <c r="C59" s="349" t="s">
        <v>505</v>
      </c>
      <c r="D59" s="317">
        <v>50214998</v>
      </c>
      <c r="E59" s="318">
        <v>60.7</v>
      </c>
      <c r="F59" s="99">
        <v>570</v>
      </c>
      <c r="G59" s="99">
        <f t="shared" si="8"/>
        <v>34599</v>
      </c>
      <c r="H59" s="100" t="s">
        <v>65</v>
      </c>
      <c r="I59" s="101" t="s">
        <v>66</v>
      </c>
      <c r="J59" s="102"/>
      <c r="K59" s="102"/>
      <c r="L59" s="102"/>
      <c r="M59" s="102"/>
      <c r="N59" s="103"/>
    </row>
    <row r="60" spans="1:14" x14ac:dyDescent="0.25">
      <c r="A60" s="95">
        <f t="shared" si="9"/>
        <v>53</v>
      </c>
      <c r="B60" s="136">
        <v>46044</v>
      </c>
      <c r="C60" s="349" t="s">
        <v>505</v>
      </c>
      <c r="D60" s="317">
        <v>57643892</v>
      </c>
      <c r="E60" s="318">
        <v>60.85</v>
      </c>
      <c r="F60" s="99">
        <v>570</v>
      </c>
      <c r="G60" s="99">
        <f t="shared" si="8"/>
        <v>34684.5</v>
      </c>
      <c r="H60" s="100" t="s">
        <v>65</v>
      </c>
      <c r="I60" s="101" t="s">
        <v>66</v>
      </c>
      <c r="J60" s="102"/>
      <c r="K60" s="102"/>
      <c r="L60" s="102"/>
      <c r="M60" s="102"/>
      <c r="N60" s="103"/>
    </row>
    <row r="61" spans="1:14" x14ac:dyDescent="0.25">
      <c r="A61" s="95">
        <f t="shared" si="9"/>
        <v>54</v>
      </c>
      <c r="B61" s="136">
        <v>46044</v>
      </c>
      <c r="C61" s="349" t="s">
        <v>505</v>
      </c>
      <c r="D61" s="317">
        <v>57094260</v>
      </c>
      <c r="E61" s="318">
        <v>60.9</v>
      </c>
      <c r="F61" s="99">
        <v>570</v>
      </c>
      <c r="G61" s="99">
        <f t="shared" si="8"/>
        <v>34713</v>
      </c>
      <c r="H61" s="100" t="s">
        <v>65</v>
      </c>
      <c r="I61" s="101" t="s">
        <v>66</v>
      </c>
      <c r="J61" s="102"/>
      <c r="K61" s="102"/>
      <c r="L61" s="102"/>
      <c r="M61" s="102"/>
      <c r="N61" s="103"/>
    </row>
    <row r="62" spans="1:14" x14ac:dyDescent="0.25">
      <c r="A62" s="95">
        <f t="shared" si="9"/>
        <v>55</v>
      </c>
      <c r="B62" s="136">
        <v>46044</v>
      </c>
      <c r="C62" s="349" t="s">
        <v>505</v>
      </c>
      <c r="D62" s="317">
        <v>57504599</v>
      </c>
      <c r="E62" s="318">
        <v>60.8</v>
      </c>
      <c r="F62" s="99">
        <v>570</v>
      </c>
      <c r="G62" s="99">
        <f t="shared" si="8"/>
        <v>34656</v>
      </c>
      <c r="H62" s="100" t="s">
        <v>65</v>
      </c>
      <c r="I62" s="101" t="s">
        <v>66</v>
      </c>
      <c r="J62" s="102"/>
      <c r="K62" s="102"/>
      <c r="L62" s="102"/>
      <c r="M62" s="102"/>
      <c r="N62" s="103"/>
    </row>
    <row r="63" spans="1:14" x14ac:dyDescent="0.25">
      <c r="A63" s="95">
        <f t="shared" si="9"/>
        <v>56</v>
      </c>
      <c r="B63" s="136">
        <v>46044</v>
      </c>
      <c r="C63" s="349" t="s">
        <v>505</v>
      </c>
      <c r="D63" s="317">
        <v>50653179</v>
      </c>
      <c r="E63" s="318">
        <v>60.8</v>
      </c>
      <c r="F63" s="99">
        <v>570</v>
      </c>
      <c r="G63" s="99">
        <f t="shared" si="8"/>
        <v>34656</v>
      </c>
      <c r="H63" s="100" t="s">
        <v>65</v>
      </c>
      <c r="I63" s="101" t="s">
        <v>66</v>
      </c>
      <c r="J63" s="102"/>
      <c r="K63" s="102"/>
      <c r="L63" s="102"/>
      <c r="M63" s="102"/>
      <c r="N63" s="103"/>
    </row>
    <row r="64" spans="1:14" x14ac:dyDescent="0.25">
      <c r="A64" s="95">
        <f t="shared" si="9"/>
        <v>57</v>
      </c>
      <c r="B64" s="136">
        <v>46044</v>
      </c>
      <c r="C64" s="349" t="s">
        <v>505</v>
      </c>
      <c r="D64" s="317">
        <v>53871075</v>
      </c>
      <c r="E64" s="318">
        <v>60.7</v>
      </c>
      <c r="F64" s="99">
        <v>570</v>
      </c>
      <c r="G64" s="99">
        <f t="shared" si="8"/>
        <v>34599</v>
      </c>
      <c r="H64" s="100" t="s">
        <v>65</v>
      </c>
      <c r="I64" s="101" t="s">
        <v>66</v>
      </c>
      <c r="J64" s="102"/>
      <c r="K64" s="102"/>
      <c r="L64" s="102"/>
      <c r="M64" s="102"/>
      <c r="N64" s="103"/>
    </row>
    <row r="65" spans="1:14" x14ac:dyDescent="0.25">
      <c r="A65" s="95">
        <f t="shared" si="9"/>
        <v>58</v>
      </c>
      <c r="B65" s="136">
        <v>46044</v>
      </c>
      <c r="C65" s="349" t="s">
        <v>505</v>
      </c>
      <c r="D65" s="317">
        <v>51847267</v>
      </c>
      <c r="E65" s="318">
        <v>60.9</v>
      </c>
      <c r="F65" s="99">
        <v>570</v>
      </c>
      <c r="G65" s="99">
        <f t="shared" si="8"/>
        <v>34713</v>
      </c>
      <c r="H65" s="100" t="s">
        <v>65</v>
      </c>
      <c r="I65" s="101" t="s">
        <v>66</v>
      </c>
      <c r="J65" s="102"/>
      <c r="K65" s="102"/>
      <c r="L65" s="102"/>
      <c r="M65" s="102"/>
      <c r="N65" s="103"/>
    </row>
    <row r="66" spans="1:14" x14ac:dyDescent="0.25">
      <c r="A66" s="95">
        <f t="shared" si="9"/>
        <v>59</v>
      </c>
      <c r="B66" s="136">
        <v>46044</v>
      </c>
      <c r="C66" s="349" t="s">
        <v>505</v>
      </c>
      <c r="D66" s="317">
        <v>75004366</v>
      </c>
      <c r="E66" s="318">
        <v>60.75</v>
      </c>
      <c r="F66" s="99">
        <v>570</v>
      </c>
      <c r="G66" s="99">
        <f t="shared" si="8"/>
        <v>34627.5</v>
      </c>
      <c r="H66" s="100" t="s">
        <v>65</v>
      </c>
      <c r="I66" s="101" t="s">
        <v>66</v>
      </c>
      <c r="J66" s="102"/>
      <c r="K66" s="102"/>
      <c r="L66" s="102"/>
      <c r="M66" s="102"/>
      <c r="N66" s="103"/>
    </row>
    <row r="67" spans="1:14" ht="15.75" thickBot="1" x14ac:dyDescent="0.3">
      <c r="A67" s="112">
        <f t="shared" si="9"/>
        <v>60</v>
      </c>
      <c r="B67" s="141">
        <v>46044</v>
      </c>
      <c r="C67" s="350" t="s">
        <v>505</v>
      </c>
      <c r="D67" s="321">
        <v>56909575</v>
      </c>
      <c r="E67" s="322">
        <v>61.2</v>
      </c>
      <c r="F67" s="157">
        <v>570</v>
      </c>
      <c r="G67" s="157">
        <f t="shared" si="8"/>
        <v>34884</v>
      </c>
      <c r="H67" s="158" t="s">
        <v>65</v>
      </c>
      <c r="I67" s="159" t="s">
        <v>66</v>
      </c>
      <c r="J67" s="160"/>
      <c r="K67" s="161"/>
      <c r="L67" s="161"/>
      <c r="M67" s="161"/>
      <c r="N67" s="162"/>
    </row>
    <row r="68" spans="1:14" ht="15.75" thickBot="1" x14ac:dyDescent="0.3">
      <c r="A68" s="343"/>
      <c r="B68" s="344"/>
      <c r="C68" s="358"/>
      <c r="D68" s="344"/>
      <c r="E68" s="354">
        <f>SUM(E57:E67)</f>
        <v>669.35</v>
      </c>
      <c r="F68" s="344"/>
      <c r="G68" s="355">
        <f>SUM(G57:G67)</f>
        <v>381529.5</v>
      </c>
      <c r="H68" s="344"/>
      <c r="I68" s="356"/>
      <c r="J68" s="343"/>
      <c r="K68" s="344"/>
      <c r="L68" s="344"/>
      <c r="M68" s="344"/>
      <c r="N68" s="345"/>
    </row>
    <row r="69" spans="1:14" x14ac:dyDescent="0.25">
      <c r="A69" s="131">
        <v>61</v>
      </c>
      <c r="B69" s="132">
        <v>46045</v>
      </c>
      <c r="C69" s="359" t="s">
        <v>506</v>
      </c>
      <c r="D69" s="360">
        <v>75033266</v>
      </c>
      <c r="E69" s="314">
        <v>61.85</v>
      </c>
      <c r="F69" s="145">
        <v>570</v>
      </c>
      <c r="G69" s="145">
        <f t="shared" ref="G69:G77" si="10">E69*F69</f>
        <v>35254.5</v>
      </c>
      <c r="H69" s="146" t="s">
        <v>65</v>
      </c>
      <c r="I69" s="147" t="s">
        <v>66</v>
      </c>
      <c r="J69" s="131"/>
      <c r="K69" s="133"/>
      <c r="L69" s="133"/>
      <c r="M69" s="133"/>
      <c r="N69" s="135"/>
    </row>
    <row r="70" spans="1:14" x14ac:dyDescent="0.25">
      <c r="A70" s="95">
        <f>A69+1</f>
        <v>62</v>
      </c>
      <c r="B70" s="136">
        <v>46045</v>
      </c>
      <c r="C70" s="361" t="s">
        <v>506</v>
      </c>
      <c r="D70" s="362">
        <v>50771955</v>
      </c>
      <c r="E70" s="318">
        <v>52.2</v>
      </c>
      <c r="F70" s="99">
        <v>570</v>
      </c>
      <c r="G70" s="99">
        <f t="shared" si="10"/>
        <v>29754</v>
      </c>
      <c r="H70" s="100" t="s">
        <v>65</v>
      </c>
      <c r="I70" s="101" t="s">
        <v>66</v>
      </c>
      <c r="J70" s="95"/>
      <c r="K70" s="102"/>
      <c r="L70" s="102"/>
      <c r="M70" s="102"/>
      <c r="N70" s="103"/>
    </row>
    <row r="71" spans="1:14" x14ac:dyDescent="0.25">
      <c r="A71" s="95">
        <f t="shared" ref="A71:A77" si="11">A70+1</f>
        <v>63</v>
      </c>
      <c r="B71" s="136">
        <v>46045</v>
      </c>
      <c r="C71" s="361" t="s">
        <v>506</v>
      </c>
      <c r="D71" s="362">
        <v>70552773</v>
      </c>
      <c r="E71" s="318">
        <v>52.65</v>
      </c>
      <c r="F71" s="99">
        <v>570</v>
      </c>
      <c r="G71" s="99">
        <f t="shared" si="10"/>
        <v>30010.5</v>
      </c>
      <c r="H71" s="100" t="s">
        <v>65</v>
      </c>
      <c r="I71" s="101" t="s">
        <v>66</v>
      </c>
      <c r="J71" s="95"/>
      <c r="K71" s="102"/>
      <c r="L71" s="102"/>
      <c r="M71" s="102"/>
      <c r="N71" s="103"/>
    </row>
    <row r="72" spans="1:14" x14ac:dyDescent="0.25">
      <c r="A72" s="95">
        <f t="shared" si="11"/>
        <v>64</v>
      </c>
      <c r="B72" s="136">
        <v>46045</v>
      </c>
      <c r="C72" s="361" t="s">
        <v>506</v>
      </c>
      <c r="D72" s="362">
        <v>74244435</v>
      </c>
      <c r="E72" s="318">
        <v>52.6</v>
      </c>
      <c r="F72" s="99">
        <v>570</v>
      </c>
      <c r="G72" s="99">
        <f t="shared" si="10"/>
        <v>29982</v>
      </c>
      <c r="H72" s="100" t="s">
        <v>65</v>
      </c>
      <c r="I72" s="101" t="s">
        <v>66</v>
      </c>
      <c r="J72" s="95"/>
      <c r="K72" s="102"/>
      <c r="L72" s="102"/>
      <c r="M72" s="102"/>
      <c r="N72" s="103"/>
    </row>
    <row r="73" spans="1:14" x14ac:dyDescent="0.25">
      <c r="A73" s="95">
        <f t="shared" si="11"/>
        <v>65</v>
      </c>
      <c r="B73" s="136">
        <v>46045</v>
      </c>
      <c r="C73" s="361" t="s">
        <v>506</v>
      </c>
      <c r="D73" s="362">
        <v>50721687</v>
      </c>
      <c r="E73" s="318">
        <v>52.45</v>
      </c>
      <c r="F73" s="99">
        <v>570</v>
      </c>
      <c r="G73" s="99">
        <f t="shared" si="10"/>
        <v>29896.5</v>
      </c>
      <c r="H73" s="100" t="s">
        <v>65</v>
      </c>
      <c r="I73" s="101" t="s">
        <v>66</v>
      </c>
      <c r="J73" s="95"/>
      <c r="K73" s="102"/>
      <c r="L73" s="102"/>
      <c r="M73" s="102"/>
      <c r="N73" s="103"/>
    </row>
    <row r="74" spans="1:14" x14ac:dyDescent="0.25">
      <c r="A74" s="95">
        <f t="shared" si="11"/>
        <v>66</v>
      </c>
      <c r="B74" s="136">
        <v>46045</v>
      </c>
      <c r="C74" s="361" t="s">
        <v>506</v>
      </c>
      <c r="D74" s="362">
        <v>54027016</v>
      </c>
      <c r="E74" s="318">
        <v>61.15</v>
      </c>
      <c r="F74" s="99">
        <v>570</v>
      </c>
      <c r="G74" s="99">
        <f t="shared" si="10"/>
        <v>34855.5</v>
      </c>
      <c r="H74" s="100" t="s">
        <v>65</v>
      </c>
      <c r="I74" s="101" t="s">
        <v>66</v>
      </c>
      <c r="J74" s="95"/>
      <c r="K74" s="102"/>
      <c r="L74" s="102"/>
      <c r="M74" s="102"/>
      <c r="N74" s="103"/>
    </row>
    <row r="75" spans="1:14" x14ac:dyDescent="0.25">
      <c r="A75" s="95">
        <f t="shared" si="11"/>
        <v>67</v>
      </c>
      <c r="B75" s="136">
        <v>46045</v>
      </c>
      <c r="C75" s="361" t="s">
        <v>506</v>
      </c>
      <c r="D75" s="362">
        <v>54718267</v>
      </c>
      <c r="E75" s="318">
        <v>61.2</v>
      </c>
      <c r="F75" s="99">
        <v>570</v>
      </c>
      <c r="G75" s="99">
        <f t="shared" si="10"/>
        <v>34884</v>
      </c>
      <c r="H75" s="100" t="s">
        <v>65</v>
      </c>
      <c r="I75" s="101" t="s">
        <v>66</v>
      </c>
      <c r="J75" s="95"/>
      <c r="K75" s="102"/>
      <c r="L75" s="102"/>
      <c r="M75" s="102"/>
      <c r="N75" s="103"/>
    </row>
    <row r="76" spans="1:14" x14ac:dyDescent="0.25">
      <c r="A76" s="95">
        <f t="shared" si="11"/>
        <v>68</v>
      </c>
      <c r="B76" s="136">
        <v>46045</v>
      </c>
      <c r="C76" s="361" t="s">
        <v>506</v>
      </c>
      <c r="D76" s="362">
        <v>57520496</v>
      </c>
      <c r="E76" s="318">
        <v>61.1</v>
      </c>
      <c r="F76" s="99">
        <v>570</v>
      </c>
      <c r="G76" s="99">
        <f t="shared" si="10"/>
        <v>34827</v>
      </c>
      <c r="H76" s="100" t="s">
        <v>65</v>
      </c>
      <c r="I76" s="101" t="s">
        <v>66</v>
      </c>
      <c r="J76" s="95"/>
      <c r="K76" s="102"/>
      <c r="L76" s="102"/>
      <c r="M76" s="102"/>
      <c r="N76" s="103"/>
    </row>
    <row r="77" spans="1:14" ht="15.75" thickBot="1" x14ac:dyDescent="0.3">
      <c r="A77" s="112">
        <f t="shared" si="11"/>
        <v>69</v>
      </c>
      <c r="B77" s="141">
        <v>46045</v>
      </c>
      <c r="C77" s="363" t="s">
        <v>506</v>
      </c>
      <c r="D77" s="364">
        <v>53872503</v>
      </c>
      <c r="E77" s="322">
        <v>61</v>
      </c>
      <c r="F77" s="157">
        <v>570</v>
      </c>
      <c r="G77" s="157">
        <f t="shared" si="10"/>
        <v>34770</v>
      </c>
      <c r="H77" s="158" t="s">
        <v>65</v>
      </c>
      <c r="I77" s="159" t="s">
        <v>66</v>
      </c>
      <c r="J77" s="112"/>
      <c r="K77" s="113"/>
      <c r="L77" s="113"/>
      <c r="M77" s="113"/>
      <c r="N77" s="114"/>
    </row>
    <row r="78" spans="1:14" ht="15.75" thickBot="1" x14ac:dyDescent="0.3">
      <c r="A78" s="376"/>
      <c r="B78" s="377"/>
      <c r="C78" s="378"/>
      <c r="D78" s="377"/>
      <c r="E78" s="379">
        <f>SUM(E69:E77)</f>
        <v>516.20000000000005</v>
      </c>
      <c r="F78" s="377"/>
      <c r="G78" s="380">
        <f>SUM(G69:G77)</f>
        <v>294234</v>
      </c>
      <c r="H78" s="377"/>
      <c r="I78" s="381"/>
      <c r="J78" s="376"/>
      <c r="K78" s="377"/>
      <c r="L78" s="377"/>
      <c r="M78" s="377"/>
      <c r="N78" s="382"/>
    </row>
    <row r="79" spans="1:14" ht="15.75" thickBot="1" x14ac:dyDescent="0.3">
      <c r="A79" s="238">
        <v>70</v>
      </c>
      <c r="B79" s="239">
        <v>46045</v>
      </c>
      <c r="C79" s="383" t="s">
        <v>507</v>
      </c>
      <c r="D79" s="245">
        <v>54027719</v>
      </c>
      <c r="E79" s="246">
        <v>61.15</v>
      </c>
      <c r="F79" s="242">
        <v>570</v>
      </c>
      <c r="G79" s="242">
        <f t="shared" ref="G79" si="12">E79*F79</f>
        <v>34855.5</v>
      </c>
      <c r="H79" s="243" t="s">
        <v>65</v>
      </c>
      <c r="I79" s="244" t="s">
        <v>66</v>
      </c>
      <c r="J79" s="238"/>
      <c r="K79" s="245"/>
      <c r="L79" s="245"/>
      <c r="M79" s="245"/>
      <c r="N79" s="247"/>
    </row>
    <row r="80" spans="1:14" ht="15.75" thickBot="1" x14ac:dyDescent="0.3">
      <c r="A80" s="327"/>
      <c r="B80" s="328"/>
      <c r="C80" s="330"/>
      <c r="D80" s="328"/>
      <c r="E80" s="342">
        <f>E79</f>
        <v>61.15</v>
      </c>
      <c r="F80" s="328"/>
      <c r="G80" s="332">
        <f>G79</f>
        <v>34855.5</v>
      </c>
      <c r="H80" s="328"/>
      <c r="I80" s="334"/>
      <c r="J80" s="384"/>
      <c r="K80" s="328"/>
      <c r="L80" s="328"/>
      <c r="M80" s="328"/>
      <c r="N80" s="334"/>
    </row>
    <row r="81" spans="1:14" x14ac:dyDescent="0.25">
      <c r="A81" s="123">
        <v>71</v>
      </c>
      <c r="B81" s="136">
        <v>46045</v>
      </c>
      <c r="C81" s="346" t="s">
        <v>508</v>
      </c>
      <c r="D81" s="123">
        <v>75180687</v>
      </c>
      <c r="E81" s="236">
        <v>62.85</v>
      </c>
      <c r="F81" s="99">
        <v>570</v>
      </c>
      <c r="G81" s="99">
        <f t="shared" ref="G81:G85" si="13">E81*F81</f>
        <v>35824.5</v>
      </c>
      <c r="H81" s="100" t="s">
        <v>65</v>
      </c>
      <c r="I81" s="101" t="s">
        <v>66</v>
      </c>
      <c r="J81" s="131"/>
      <c r="K81" s="133"/>
      <c r="L81" s="133"/>
      <c r="M81" s="133"/>
      <c r="N81" s="135"/>
    </row>
    <row r="82" spans="1:14" x14ac:dyDescent="0.25">
      <c r="A82" s="102">
        <f>A81+1</f>
        <v>72</v>
      </c>
      <c r="B82" s="136">
        <v>46045</v>
      </c>
      <c r="C82" s="346" t="s">
        <v>508</v>
      </c>
      <c r="D82" s="102">
        <v>58645706</v>
      </c>
      <c r="E82" s="134">
        <v>61.15</v>
      </c>
      <c r="F82" s="99">
        <v>570</v>
      </c>
      <c r="G82" s="99">
        <f t="shared" si="13"/>
        <v>34855.5</v>
      </c>
      <c r="H82" s="100" t="s">
        <v>65</v>
      </c>
      <c r="I82" s="101" t="s">
        <v>66</v>
      </c>
      <c r="J82" s="95"/>
      <c r="K82" s="102"/>
      <c r="L82" s="102"/>
      <c r="M82" s="102"/>
      <c r="N82" s="103"/>
    </row>
    <row r="83" spans="1:14" x14ac:dyDescent="0.25">
      <c r="A83" s="102">
        <f t="shared" ref="A83:A85" si="14">A82+1</f>
        <v>73</v>
      </c>
      <c r="B83" s="136">
        <v>46045</v>
      </c>
      <c r="C83" s="346" t="s">
        <v>508</v>
      </c>
      <c r="D83" s="102">
        <v>50778158</v>
      </c>
      <c r="E83" s="134">
        <v>52.65</v>
      </c>
      <c r="F83" s="99">
        <v>570</v>
      </c>
      <c r="G83" s="99">
        <f t="shared" si="13"/>
        <v>30010.5</v>
      </c>
      <c r="H83" s="100" t="s">
        <v>65</v>
      </c>
      <c r="I83" s="101" t="s">
        <v>66</v>
      </c>
      <c r="J83" s="181"/>
      <c r="K83" s="123"/>
      <c r="L83" s="123"/>
      <c r="M83" s="123"/>
      <c r="N83" s="182"/>
    </row>
    <row r="84" spans="1:14" x14ac:dyDescent="0.25">
      <c r="A84" s="102">
        <f t="shared" si="14"/>
        <v>74</v>
      </c>
      <c r="B84" s="136">
        <v>46045</v>
      </c>
      <c r="C84" s="346" t="s">
        <v>508</v>
      </c>
      <c r="D84" s="102">
        <v>74999970</v>
      </c>
      <c r="E84" s="134">
        <v>61.05</v>
      </c>
      <c r="F84" s="99">
        <v>570</v>
      </c>
      <c r="G84" s="99">
        <f t="shared" si="13"/>
        <v>34798.5</v>
      </c>
      <c r="H84" s="100" t="s">
        <v>65</v>
      </c>
      <c r="I84" s="101" t="s">
        <v>66</v>
      </c>
      <c r="J84" s="95"/>
      <c r="K84" s="102"/>
      <c r="L84" s="102"/>
      <c r="M84" s="102"/>
      <c r="N84" s="103"/>
    </row>
    <row r="85" spans="1:14" ht="15.75" thickBot="1" x14ac:dyDescent="0.3">
      <c r="A85" s="102">
        <f t="shared" si="14"/>
        <v>75</v>
      </c>
      <c r="B85" s="136">
        <v>46045</v>
      </c>
      <c r="C85" s="346" t="s">
        <v>508</v>
      </c>
      <c r="D85" s="150">
        <v>54719240</v>
      </c>
      <c r="E85" s="152">
        <v>61</v>
      </c>
      <c r="F85" s="99">
        <v>570</v>
      </c>
      <c r="G85" s="99">
        <f t="shared" si="13"/>
        <v>34770</v>
      </c>
      <c r="H85" s="100" t="s">
        <v>65</v>
      </c>
      <c r="I85" s="101" t="s">
        <v>66</v>
      </c>
      <c r="J85" s="112"/>
      <c r="K85" s="113"/>
      <c r="L85" s="113"/>
      <c r="M85" s="113"/>
      <c r="N85" s="114"/>
    </row>
    <row r="86" spans="1:14" ht="15.75" thickBot="1" x14ac:dyDescent="0.3">
      <c r="A86" s="327"/>
      <c r="B86" s="328"/>
      <c r="C86" s="330"/>
      <c r="D86" s="328"/>
      <c r="E86" s="342">
        <f>SUM(E81:E85)</f>
        <v>298.7</v>
      </c>
      <c r="F86" s="328"/>
      <c r="G86" s="332">
        <f>SUM(G81:G85)</f>
        <v>170259</v>
      </c>
      <c r="H86" s="328"/>
      <c r="I86" s="334"/>
      <c r="J86" s="384"/>
      <c r="K86" s="328"/>
      <c r="L86" s="328"/>
      <c r="M86" s="328"/>
      <c r="N86" s="334"/>
    </row>
    <row r="87" spans="1:14" ht="15.75" thickBot="1" x14ac:dyDescent="0.3">
      <c r="A87" s="226">
        <v>76</v>
      </c>
      <c r="B87" s="183">
        <v>46045</v>
      </c>
      <c r="C87" s="385" t="s">
        <v>509</v>
      </c>
      <c r="D87" s="226">
        <v>74944836</v>
      </c>
      <c r="E87" s="273">
        <v>61.45</v>
      </c>
      <c r="F87" s="109">
        <v>570</v>
      </c>
      <c r="G87" s="109">
        <f t="shared" ref="G87" si="15">E87*F87</f>
        <v>35026.5</v>
      </c>
      <c r="H87" s="110" t="s">
        <v>65</v>
      </c>
      <c r="I87" s="111" t="s">
        <v>66</v>
      </c>
      <c r="J87" s="238"/>
      <c r="K87" s="245"/>
      <c r="L87" s="245"/>
      <c r="M87" s="245"/>
      <c r="N87" s="247"/>
    </row>
    <row r="88" spans="1:14" ht="15.75" thickBot="1" x14ac:dyDescent="0.3">
      <c r="A88" s="327"/>
      <c r="B88" s="328"/>
      <c r="C88" s="328"/>
      <c r="D88" s="328"/>
      <c r="E88" s="342">
        <f>E87</f>
        <v>61.45</v>
      </c>
      <c r="F88" s="328"/>
      <c r="G88" s="332">
        <f>G87</f>
        <v>35026.5</v>
      </c>
      <c r="H88" s="328"/>
      <c r="I88" s="333"/>
      <c r="J88" s="327"/>
      <c r="K88" s="328"/>
      <c r="L88" s="328"/>
      <c r="M88" s="328"/>
      <c r="N88" s="334"/>
    </row>
    <row r="89" spans="1:14" x14ac:dyDescent="0.25">
      <c r="A89" s="123">
        <v>77</v>
      </c>
      <c r="B89" s="136">
        <v>46045</v>
      </c>
      <c r="C89" s="386" t="s">
        <v>510</v>
      </c>
      <c r="D89" s="123">
        <v>51730042</v>
      </c>
      <c r="E89" s="236">
        <v>53.15</v>
      </c>
      <c r="F89" s="99">
        <v>570</v>
      </c>
      <c r="G89" s="99">
        <f t="shared" ref="G89:G96" si="16">E89*F89</f>
        <v>30295.5</v>
      </c>
      <c r="H89" s="100" t="s">
        <v>65</v>
      </c>
      <c r="I89" s="101" t="s">
        <v>66</v>
      </c>
      <c r="J89" s="131"/>
      <c r="K89" s="133"/>
      <c r="L89" s="133"/>
      <c r="M89" s="133"/>
      <c r="N89" s="135"/>
    </row>
    <row r="90" spans="1:14" x14ac:dyDescent="0.25">
      <c r="A90" s="102">
        <f>A89+1</f>
        <v>78</v>
      </c>
      <c r="B90" s="136">
        <v>46045</v>
      </c>
      <c r="C90" s="386" t="s">
        <v>510</v>
      </c>
      <c r="D90" s="102">
        <v>73504284</v>
      </c>
      <c r="E90" s="134">
        <v>61.45</v>
      </c>
      <c r="F90" s="99">
        <v>570</v>
      </c>
      <c r="G90" s="99">
        <f t="shared" si="16"/>
        <v>35026.5</v>
      </c>
      <c r="H90" s="100" t="s">
        <v>65</v>
      </c>
      <c r="I90" s="101" t="s">
        <v>66</v>
      </c>
      <c r="J90" s="95"/>
      <c r="K90" s="102"/>
      <c r="L90" s="102"/>
      <c r="M90" s="102"/>
      <c r="N90" s="103"/>
    </row>
    <row r="91" spans="1:14" x14ac:dyDescent="0.25">
      <c r="A91" s="102">
        <f t="shared" ref="A91:A96" si="17">A90+1</f>
        <v>79</v>
      </c>
      <c r="B91" s="136">
        <v>46045</v>
      </c>
      <c r="C91" s="386" t="s">
        <v>510</v>
      </c>
      <c r="D91" s="102">
        <v>73954349</v>
      </c>
      <c r="E91" s="134">
        <v>61.85</v>
      </c>
      <c r="F91" s="99">
        <v>570</v>
      </c>
      <c r="G91" s="99">
        <f t="shared" si="16"/>
        <v>35254.5</v>
      </c>
      <c r="H91" s="100" t="s">
        <v>65</v>
      </c>
      <c r="I91" s="101" t="s">
        <v>66</v>
      </c>
      <c r="J91" s="95"/>
      <c r="K91" s="102"/>
      <c r="L91" s="102"/>
      <c r="M91" s="102"/>
      <c r="N91" s="103"/>
    </row>
    <row r="92" spans="1:14" x14ac:dyDescent="0.25">
      <c r="A92" s="102">
        <f t="shared" si="17"/>
        <v>80</v>
      </c>
      <c r="B92" s="136">
        <v>46045</v>
      </c>
      <c r="C92" s="386" t="s">
        <v>510</v>
      </c>
      <c r="D92" s="102">
        <v>73151573</v>
      </c>
      <c r="E92" s="134">
        <v>61.45</v>
      </c>
      <c r="F92" s="99">
        <v>570</v>
      </c>
      <c r="G92" s="99">
        <f t="shared" si="16"/>
        <v>35026.5</v>
      </c>
      <c r="H92" s="100" t="s">
        <v>65</v>
      </c>
      <c r="I92" s="101" t="s">
        <v>66</v>
      </c>
      <c r="J92" s="95"/>
      <c r="K92" s="102"/>
      <c r="L92" s="102"/>
      <c r="M92" s="102"/>
      <c r="N92" s="103"/>
    </row>
    <row r="93" spans="1:14" x14ac:dyDescent="0.25">
      <c r="A93" s="102">
        <f t="shared" si="17"/>
        <v>81</v>
      </c>
      <c r="B93" s="136">
        <v>46045</v>
      </c>
      <c r="C93" s="386" t="s">
        <v>510</v>
      </c>
      <c r="D93" s="102">
        <v>74916180</v>
      </c>
      <c r="E93" s="134">
        <v>60.95</v>
      </c>
      <c r="F93" s="99">
        <v>570</v>
      </c>
      <c r="G93" s="99">
        <f t="shared" si="16"/>
        <v>34741.5</v>
      </c>
      <c r="H93" s="100" t="s">
        <v>65</v>
      </c>
      <c r="I93" s="101" t="s">
        <v>66</v>
      </c>
      <c r="J93" s="95"/>
      <c r="K93" s="102"/>
      <c r="L93" s="102"/>
      <c r="M93" s="102"/>
      <c r="N93" s="103"/>
    </row>
    <row r="94" spans="1:14" x14ac:dyDescent="0.25">
      <c r="A94" s="102">
        <f t="shared" si="17"/>
        <v>82</v>
      </c>
      <c r="B94" s="136">
        <v>46045</v>
      </c>
      <c r="C94" s="386" t="s">
        <v>510</v>
      </c>
      <c r="D94" s="102">
        <v>74934845</v>
      </c>
      <c r="E94" s="134">
        <v>62.8</v>
      </c>
      <c r="F94" s="99">
        <v>570</v>
      </c>
      <c r="G94" s="99">
        <f t="shared" si="16"/>
        <v>35796</v>
      </c>
      <c r="H94" s="100" t="s">
        <v>65</v>
      </c>
      <c r="I94" s="101" t="s">
        <v>66</v>
      </c>
      <c r="J94" s="95"/>
      <c r="K94" s="102"/>
      <c r="L94" s="102"/>
      <c r="M94" s="102"/>
      <c r="N94" s="103"/>
    </row>
    <row r="95" spans="1:14" x14ac:dyDescent="0.25">
      <c r="A95" s="102">
        <f t="shared" si="17"/>
        <v>83</v>
      </c>
      <c r="B95" s="136">
        <v>46045</v>
      </c>
      <c r="C95" s="386" t="s">
        <v>510</v>
      </c>
      <c r="D95" s="102">
        <v>75738294</v>
      </c>
      <c r="E95" s="134">
        <v>62</v>
      </c>
      <c r="F95" s="99">
        <v>570</v>
      </c>
      <c r="G95" s="99">
        <f t="shared" si="16"/>
        <v>35340</v>
      </c>
      <c r="H95" s="100" t="s">
        <v>65</v>
      </c>
      <c r="I95" s="101" t="s">
        <v>66</v>
      </c>
      <c r="J95" s="95"/>
      <c r="K95" s="102"/>
      <c r="L95" s="102"/>
      <c r="M95" s="102"/>
      <c r="N95" s="103"/>
    </row>
    <row r="96" spans="1:14" ht="15.75" thickBot="1" x14ac:dyDescent="0.3">
      <c r="A96" s="102">
        <f t="shared" si="17"/>
        <v>84</v>
      </c>
      <c r="B96" s="136">
        <v>46045</v>
      </c>
      <c r="C96" s="386" t="s">
        <v>510</v>
      </c>
      <c r="D96" s="150">
        <v>51879286</v>
      </c>
      <c r="E96" s="152">
        <v>61.45</v>
      </c>
      <c r="F96" s="99">
        <v>570</v>
      </c>
      <c r="G96" s="99">
        <f t="shared" si="16"/>
        <v>35026.5</v>
      </c>
      <c r="H96" s="100" t="s">
        <v>65</v>
      </c>
      <c r="I96" s="101" t="s">
        <v>66</v>
      </c>
      <c r="J96" s="112"/>
      <c r="K96" s="113"/>
      <c r="L96" s="113"/>
      <c r="M96" s="113"/>
      <c r="N96" s="114"/>
    </row>
    <row r="97" spans="1:14" ht="15.75" thickBot="1" x14ac:dyDescent="0.3">
      <c r="A97" s="327"/>
      <c r="B97" s="328"/>
      <c r="C97" s="387"/>
      <c r="D97" s="328"/>
      <c r="E97" s="342">
        <f>SUM(E89:E96)</f>
        <v>485.09999999999997</v>
      </c>
      <c r="F97" s="328"/>
      <c r="G97" s="332">
        <f>SUM(G89:G96)</f>
        <v>276507</v>
      </c>
      <c r="H97" s="328"/>
      <c r="I97" s="333"/>
      <c r="J97" s="327"/>
      <c r="K97" s="328"/>
      <c r="L97" s="328"/>
      <c r="M97" s="328"/>
      <c r="N97" s="334"/>
    </row>
    <row r="98" spans="1:14" x14ac:dyDescent="0.25">
      <c r="A98" s="123">
        <v>85</v>
      </c>
      <c r="B98" s="124">
        <v>46046</v>
      </c>
      <c r="C98" s="386" t="s">
        <v>511</v>
      </c>
      <c r="D98" s="123">
        <v>75004820</v>
      </c>
      <c r="E98" s="236">
        <v>61</v>
      </c>
      <c r="F98" s="99">
        <v>570</v>
      </c>
      <c r="G98" s="99">
        <f t="shared" ref="G98:G99" si="18">E98*F98</f>
        <v>34770</v>
      </c>
      <c r="H98" s="100" t="s">
        <v>65</v>
      </c>
      <c r="I98" s="101" t="s">
        <v>66</v>
      </c>
      <c r="J98" s="131"/>
      <c r="K98" s="133"/>
      <c r="L98" s="133"/>
      <c r="M98" s="133"/>
      <c r="N98" s="135"/>
    </row>
    <row r="99" spans="1:14" ht="15.75" thickBot="1" x14ac:dyDescent="0.3">
      <c r="A99" s="150">
        <f>A98+1</f>
        <v>86</v>
      </c>
      <c r="B99" s="170">
        <v>46046</v>
      </c>
      <c r="C99" s="385" t="s">
        <v>511</v>
      </c>
      <c r="D99" s="150">
        <v>54244124</v>
      </c>
      <c r="E99" s="152">
        <v>61.55</v>
      </c>
      <c r="F99" s="99">
        <v>570</v>
      </c>
      <c r="G99" s="99">
        <f t="shared" si="18"/>
        <v>35083.5</v>
      </c>
      <c r="H99" s="100" t="s">
        <v>65</v>
      </c>
      <c r="I99" s="101" t="s">
        <v>66</v>
      </c>
      <c r="J99" s="112"/>
      <c r="K99" s="113"/>
      <c r="L99" s="113"/>
      <c r="M99" s="113"/>
      <c r="N99" s="114"/>
    </row>
    <row r="100" spans="1:14" ht="15.75" thickBot="1" x14ac:dyDescent="0.3">
      <c r="A100" s="327"/>
      <c r="B100" s="328"/>
      <c r="C100" s="387"/>
      <c r="D100" s="328"/>
      <c r="E100" s="342">
        <f>SUM(E98:E99)</f>
        <v>122.55</v>
      </c>
      <c r="F100" s="328"/>
      <c r="G100" s="332">
        <f>SUM(G98:G99)</f>
        <v>69853.5</v>
      </c>
      <c r="H100" s="328"/>
      <c r="I100" s="333"/>
      <c r="J100" s="327"/>
      <c r="K100" s="328"/>
      <c r="L100" s="328"/>
      <c r="M100" s="328"/>
      <c r="N100" s="334"/>
    </row>
    <row r="101" spans="1:14" x14ac:dyDescent="0.25">
      <c r="A101" s="131">
        <v>87</v>
      </c>
      <c r="B101" s="132">
        <v>46046</v>
      </c>
      <c r="C101" s="359" t="s">
        <v>512</v>
      </c>
      <c r="D101" s="133">
        <v>58344698</v>
      </c>
      <c r="E101" s="148">
        <v>60.9</v>
      </c>
      <c r="F101" s="99">
        <v>570</v>
      </c>
      <c r="G101" s="99">
        <f t="shared" ref="G101:G103" si="19">E101*F101</f>
        <v>34713</v>
      </c>
      <c r="H101" s="100" t="s">
        <v>65</v>
      </c>
      <c r="I101" s="101" t="s">
        <v>66</v>
      </c>
      <c r="J101" s="131"/>
      <c r="K101" s="133"/>
      <c r="L101" s="133"/>
      <c r="M101" s="133"/>
      <c r="N101" s="135"/>
    </row>
    <row r="102" spans="1:14" x14ac:dyDescent="0.25">
      <c r="A102" s="95">
        <f>A101+1</f>
        <v>88</v>
      </c>
      <c r="B102" s="124">
        <v>46046</v>
      </c>
      <c r="C102" s="386" t="s">
        <v>512</v>
      </c>
      <c r="D102" s="102">
        <v>53887352</v>
      </c>
      <c r="E102" s="134">
        <v>61.25</v>
      </c>
      <c r="F102" s="99">
        <v>570</v>
      </c>
      <c r="G102" s="99">
        <f t="shared" si="19"/>
        <v>34912.5</v>
      </c>
      <c r="H102" s="100" t="s">
        <v>65</v>
      </c>
      <c r="I102" s="101" t="s">
        <v>66</v>
      </c>
      <c r="J102" s="95"/>
      <c r="K102" s="102"/>
      <c r="L102" s="102"/>
      <c r="M102" s="102"/>
      <c r="N102" s="103"/>
    </row>
    <row r="103" spans="1:14" ht="15.75" thickBot="1" x14ac:dyDescent="0.3">
      <c r="A103" s="112">
        <f>A102+1</f>
        <v>89</v>
      </c>
      <c r="B103" s="153">
        <v>46046</v>
      </c>
      <c r="C103" s="388" t="s">
        <v>512</v>
      </c>
      <c r="D103" s="113">
        <v>53887543</v>
      </c>
      <c r="E103" s="202">
        <v>61.05</v>
      </c>
      <c r="F103" s="99">
        <v>570</v>
      </c>
      <c r="G103" s="99">
        <f t="shared" si="19"/>
        <v>34798.5</v>
      </c>
      <c r="H103" s="100" t="s">
        <v>65</v>
      </c>
      <c r="I103" s="101" t="s">
        <v>66</v>
      </c>
      <c r="J103" s="112"/>
      <c r="K103" s="113"/>
      <c r="L103" s="113"/>
      <c r="M103" s="113"/>
      <c r="N103" s="114"/>
    </row>
    <row r="104" spans="1:14" ht="15.75" thickBot="1" x14ac:dyDescent="0.3">
      <c r="A104" s="327"/>
      <c r="B104" s="328"/>
      <c r="C104" s="387"/>
      <c r="D104" s="328"/>
      <c r="E104" s="342">
        <f>SUM(E101:E103)</f>
        <v>183.2</v>
      </c>
      <c r="F104" s="328"/>
      <c r="G104" s="332">
        <f>SUM(G101:G103)</f>
        <v>104424</v>
      </c>
      <c r="H104" s="328"/>
      <c r="I104" s="333"/>
      <c r="J104" s="327"/>
      <c r="K104" s="328"/>
      <c r="L104" s="328"/>
      <c r="M104" s="328"/>
      <c r="N104" s="334"/>
    </row>
    <row r="105" spans="1:14" x14ac:dyDescent="0.25">
      <c r="A105" s="123">
        <v>90</v>
      </c>
      <c r="B105" s="124">
        <v>46047</v>
      </c>
      <c r="C105" s="386" t="s">
        <v>513</v>
      </c>
      <c r="D105" s="123">
        <v>51686269</v>
      </c>
      <c r="E105" s="236">
        <v>52.25</v>
      </c>
      <c r="F105" s="99">
        <v>570</v>
      </c>
      <c r="G105" s="99">
        <f t="shared" ref="G105:G124" si="20">E105*F105</f>
        <v>29782.5</v>
      </c>
      <c r="H105" s="100" t="s">
        <v>65</v>
      </c>
      <c r="I105" s="101" t="s">
        <v>66</v>
      </c>
      <c r="J105" s="131"/>
      <c r="K105" s="133"/>
      <c r="L105" s="133"/>
      <c r="M105" s="133"/>
      <c r="N105" s="135"/>
    </row>
    <row r="106" spans="1:14" x14ac:dyDescent="0.25">
      <c r="A106" s="102">
        <f>A105+1</f>
        <v>91</v>
      </c>
      <c r="B106" s="124">
        <v>46047</v>
      </c>
      <c r="C106" s="386" t="s">
        <v>513</v>
      </c>
      <c r="D106" s="102">
        <v>52113594</v>
      </c>
      <c r="E106" s="134">
        <v>61.3</v>
      </c>
      <c r="F106" s="99">
        <v>570</v>
      </c>
      <c r="G106" s="99">
        <f t="shared" si="20"/>
        <v>34941</v>
      </c>
      <c r="H106" s="100" t="s">
        <v>65</v>
      </c>
      <c r="I106" s="101" t="s">
        <v>66</v>
      </c>
      <c r="J106" s="95"/>
      <c r="K106" s="102"/>
      <c r="L106" s="102"/>
      <c r="M106" s="102"/>
      <c r="N106" s="103"/>
    </row>
    <row r="107" spans="1:14" x14ac:dyDescent="0.25">
      <c r="A107" s="102">
        <f t="shared" ref="A107:A124" si="21">A106+1</f>
        <v>92</v>
      </c>
      <c r="B107" s="124">
        <v>46047</v>
      </c>
      <c r="C107" s="386" t="s">
        <v>513</v>
      </c>
      <c r="D107" s="102">
        <v>51783413</v>
      </c>
      <c r="E107" s="134">
        <v>60.75</v>
      </c>
      <c r="F107" s="99">
        <v>570</v>
      </c>
      <c r="G107" s="99">
        <f t="shared" si="20"/>
        <v>34627.5</v>
      </c>
      <c r="H107" s="100" t="s">
        <v>65</v>
      </c>
      <c r="I107" s="101" t="s">
        <v>66</v>
      </c>
      <c r="J107" s="95"/>
      <c r="K107" s="102"/>
      <c r="L107" s="102"/>
      <c r="M107" s="102"/>
      <c r="N107" s="103"/>
    </row>
    <row r="108" spans="1:14" x14ac:dyDescent="0.25">
      <c r="A108" s="102">
        <f t="shared" si="21"/>
        <v>93</v>
      </c>
      <c r="B108" s="124">
        <v>46047</v>
      </c>
      <c r="C108" s="386" t="s">
        <v>513</v>
      </c>
      <c r="D108" s="102">
        <v>73198202</v>
      </c>
      <c r="E108" s="134">
        <v>61.2</v>
      </c>
      <c r="F108" s="99">
        <v>570</v>
      </c>
      <c r="G108" s="99">
        <f t="shared" si="20"/>
        <v>34884</v>
      </c>
      <c r="H108" s="100" t="s">
        <v>65</v>
      </c>
      <c r="I108" s="101" t="s">
        <v>66</v>
      </c>
      <c r="J108" s="95"/>
      <c r="K108" s="102"/>
      <c r="L108" s="102"/>
      <c r="M108" s="102"/>
      <c r="N108" s="103"/>
    </row>
    <row r="109" spans="1:14" x14ac:dyDescent="0.25">
      <c r="A109" s="102">
        <f t="shared" si="21"/>
        <v>94</v>
      </c>
      <c r="B109" s="124">
        <v>46047</v>
      </c>
      <c r="C109" s="386" t="s">
        <v>513</v>
      </c>
      <c r="D109" s="102">
        <v>73150559</v>
      </c>
      <c r="E109" s="134">
        <v>61.2</v>
      </c>
      <c r="F109" s="99">
        <v>570</v>
      </c>
      <c r="G109" s="99">
        <f t="shared" si="20"/>
        <v>34884</v>
      </c>
      <c r="H109" s="100" t="s">
        <v>65</v>
      </c>
      <c r="I109" s="101" t="s">
        <v>66</v>
      </c>
      <c r="J109" s="95"/>
      <c r="K109" s="102"/>
      <c r="L109" s="102"/>
      <c r="M109" s="102"/>
      <c r="N109" s="103"/>
    </row>
    <row r="110" spans="1:14" x14ac:dyDescent="0.25">
      <c r="A110" s="102">
        <f t="shared" si="21"/>
        <v>95</v>
      </c>
      <c r="B110" s="124">
        <v>46047</v>
      </c>
      <c r="C110" s="386" t="s">
        <v>513</v>
      </c>
      <c r="D110" s="102">
        <v>55052831</v>
      </c>
      <c r="E110" s="134">
        <v>61.2</v>
      </c>
      <c r="F110" s="99">
        <v>570</v>
      </c>
      <c r="G110" s="99">
        <f t="shared" si="20"/>
        <v>34884</v>
      </c>
      <c r="H110" s="100" t="s">
        <v>65</v>
      </c>
      <c r="I110" s="101" t="s">
        <v>66</v>
      </c>
      <c r="J110" s="95"/>
      <c r="K110" s="102"/>
      <c r="L110" s="102"/>
      <c r="M110" s="102"/>
      <c r="N110" s="103"/>
    </row>
    <row r="111" spans="1:14" x14ac:dyDescent="0.25">
      <c r="A111" s="102">
        <f t="shared" si="21"/>
        <v>96</v>
      </c>
      <c r="B111" s="124">
        <v>46047</v>
      </c>
      <c r="C111" s="386" t="s">
        <v>513</v>
      </c>
      <c r="D111" s="102">
        <v>76181296</v>
      </c>
      <c r="E111" s="134">
        <v>61.75</v>
      </c>
      <c r="F111" s="99">
        <v>570</v>
      </c>
      <c r="G111" s="99">
        <f t="shared" si="20"/>
        <v>35197.5</v>
      </c>
      <c r="H111" s="100" t="s">
        <v>65</v>
      </c>
      <c r="I111" s="101" t="s">
        <v>66</v>
      </c>
      <c r="J111" s="95"/>
      <c r="K111" s="102"/>
      <c r="L111" s="102"/>
      <c r="M111" s="102"/>
      <c r="N111" s="103"/>
    </row>
    <row r="112" spans="1:14" x14ac:dyDescent="0.25">
      <c r="A112" s="102">
        <f t="shared" si="21"/>
        <v>97</v>
      </c>
      <c r="B112" s="124">
        <v>46047</v>
      </c>
      <c r="C112" s="386" t="s">
        <v>513</v>
      </c>
      <c r="D112" s="102">
        <v>51262210</v>
      </c>
      <c r="E112" s="134">
        <v>60.75</v>
      </c>
      <c r="F112" s="99">
        <v>570</v>
      </c>
      <c r="G112" s="99">
        <f t="shared" si="20"/>
        <v>34627.5</v>
      </c>
      <c r="H112" s="100" t="s">
        <v>65</v>
      </c>
      <c r="I112" s="101" t="s">
        <v>66</v>
      </c>
      <c r="J112" s="95"/>
      <c r="K112" s="102"/>
      <c r="L112" s="102"/>
      <c r="M112" s="102"/>
      <c r="N112" s="103"/>
    </row>
    <row r="113" spans="1:14" x14ac:dyDescent="0.25">
      <c r="A113" s="102">
        <f t="shared" si="21"/>
        <v>98</v>
      </c>
      <c r="B113" s="124">
        <v>46047</v>
      </c>
      <c r="C113" s="386" t="s">
        <v>513</v>
      </c>
      <c r="D113" s="102">
        <v>73911364</v>
      </c>
      <c r="E113" s="134">
        <v>61.5</v>
      </c>
      <c r="F113" s="99">
        <v>570</v>
      </c>
      <c r="G113" s="99">
        <f t="shared" si="20"/>
        <v>35055</v>
      </c>
      <c r="H113" s="100" t="s">
        <v>65</v>
      </c>
      <c r="I113" s="101" t="s">
        <v>66</v>
      </c>
      <c r="J113" s="95"/>
      <c r="K113" s="102"/>
      <c r="L113" s="102"/>
      <c r="M113" s="102"/>
      <c r="N113" s="103"/>
    </row>
    <row r="114" spans="1:14" x14ac:dyDescent="0.25">
      <c r="A114" s="102">
        <f t="shared" si="21"/>
        <v>99</v>
      </c>
      <c r="B114" s="124">
        <v>46047</v>
      </c>
      <c r="C114" s="386" t="s">
        <v>513</v>
      </c>
      <c r="D114" s="102">
        <v>51315299</v>
      </c>
      <c r="E114" s="134">
        <v>60.55</v>
      </c>
      <c r="F114" s="99">
        <v>570</v>
      </c>
      <c r="G114" s="99">
        <f t="shared" si="20"/>
        <v>34513.5</v>
      </c>
      <c r="H114" s="100" t="s">
        <v>65</v>
      </c>
      <c r="I114" s="101" t="s">
        <v>66</v>
      </c>
      <c r="J114" s="95"/>
      <c r="K114" s="102"/>
      <c r="L114" s="102"/>
      <c r="M114" s="102"/>
      <c r="N114" s="103"/>
    </row>
    <row r="115" spans="1:14" x14ac:dyDescent="0.25">
      <c r="A115" s="102">
        <f t="shared" si="21"/>
        <v>100</v>
      </c>
      <c r="B115" s="124">
        <v>46047</v>
      </c>
      <c r="C115" s="386" t="s">
        <v>513</v>
      </c>
      <c r="D115" s="102">
        <v>53866208</v>
      </c>
      <c r="E115" s="134">
        <v>61.25</v>
      </c>
      <c r="F115" s="99">
        <v>570</v>
      </c>
      <c r="G115" s="99">
        <f t="shared" si="20"/>
        <v>34912.5</v>
      </c>
      <c r="H115" s="100" t="s">
        <v>65</v>
      </c>
      <c r="I115" s="101" t="s">
        <v>66</v>
      </c>
      <c r="J115" s="95"/>
      <c r="K115" s="102"/>
      <c r="L115" s="102"/>
      <c r="M115" s="102"/>
      <c r="N115" s="103"/>
    </row>
    <row r="116" spans="1:14" x14ac:dyDescent="0.25">
      <c r="A116" s="102">
        <f t="shared" si="21"/>
        <v>101</v>
      </c>
      <c r="B116" s="124">
        <v>46047</v>
      </c>
      <c r="C116" s="386" t="s">
        <v>513</v>
      </c>
      <c r="D116" s="102">
        <v>75108647</v>
      </c>
      <c r="E116" s="134">
        <v>61.15</v>
      </c>
      <c r="F116" s="99">
        <v>570</v>
      </c>
      <c r="G116" s="99">
        <f t="shared" si="20"/>
        <v>34855.5</v>
      </c>
      <c r="H116" s="100" t="s">
        <v>65</v>
      </c>
      <c r="I116" s="101" t="s">
        <v>66</v>
      </c>
      <c r="J116" s="95"/>
      <c r="K116" s="102"/>
      <c r="L116" s="102"/>
      <c r="M116" s="102"/>
      <c r="N116" s="103"/>
    </row>
    <row r="117" spans="1:14" x14ac:dyDescent="0.25">
      <c r="A117" s="102">
        <f t="shared" si="21"/>
        <v>102</v>
      </c>
      <c r="B117" s="124">
        <v>46047</v>
      </c>
      <c r="C117" s="386" t="s">
        <v>513</v>
      </c>
      <c r="D117" s="102">
        <v>57199739</v>
      </c>
      <c r="E117" s="134">
        <v>61.2</v>
      </c>
      <c r="F117" s="99">
        <v>570</v>
      </c>
      <c r="G117" s="99">
        <f t="shared" si="20"/>
        <v>34884</v>
      </c>
      <c r="H117" s="100" t="s">
        <v>65</v>
      </c>
      <c r="I117" s="101" t="s">
        <v>66</v>
      </c>
      <c r="J117" s="95"/>
      <c r="K117" s="102"/>
      <c r="L117" s="102"/>
      <c r="M117" s="102"/>
      <c r="N117" s="103"/>
    </row>
    <row r="118" spans="1:14" x14ac:dyDescent="0.25">
      <c r="A118" s="102">
        <f t="shared" si="21"/>
        <v>103</v>
      </c>
      <c r="B118" s="124">
        <v>46047</v>
      </c>
      <c r="C118" s="386" t="s">
        <v>513</v>
      </c>
      <c r="D118" s="102">
        <v>75108746</v>
      </c>
      <c r="E118" s="134">
        <v>61.05</v>
      </c>
      <c r="F118" s="99">
        <v>570</v>
      </c>
      <c r="G118" s="99">
        <f t="shared" si="20"/>
        <v>34798.5</v>
      </c>
      <c r="H118" s="100" t="s">
        <v>65</v>
      </c>
      <c r="I118" s="101" t="s">
        <v>66</v>
      </c>
      <c r="J118" s="95"/>
      <c r="K118" s="102"/>
      <c r="L118" s="102"/>
      <c r="M118" s="102"/>
      <c r="N118" s="103"/>
    </row>
    <row r="119" spans="1:14" x14ac:dyDescent="0.25">
      <c r="A119" s="102">
        <f t="shared" si="21"/>
        <v>104</v>
      </c>
      <c r="B119" s="124">
        <v>46047</v>
      </c>
      <c r="C119" s="386" t="s">
        <v>513</v>
      </c>
      <c r="D119" s="102">
        <v>73192528</v>
      </c>
      <c r="E119" s="134">
        <v>61.25</v>
      </c>
      <c r="F119" s="99">
        <v>570</v>
      </c>
      <c r="G119" s="99">
        <f t="shared" si="20"/>
        <v>34912.5</v>
      </c>
      <c r="H119" s="100" t="s">
        <v>65</v>
      </c>
      <c r="I119" s="101" t="s">
        <v>66</v>
      </c>
      <c r="J119" s="95"/>
      <c r="K119" s="102"/>
      <c r="L119" s="102"/>
      <c r="M119" s="102"/>
      <c r="N119" s="103"/>
    </row>
    <row r="120" spans="1:14" x14ac:dyDescent="0.25">
      <c r="A120" s="102">
        <f t="shared" si="21"/>
        <v>105</v>
      </c>
      <c r="B120" s="124">
        <v>46047</v>
      </c>
      <c r="C120" s="386" t="s">
        <v>513</v>
      </c>
      <c r="D120" s="102">
        <v>75231860</v>
      </c>
      <c r="E120" s="134">
        <v>61.75</v>
      </c>
      <c r="F120" s="99">
        <v>570</v>
      </c>
      <c r="G120" s="99">
        <f t="shared" si="20"/>
        <v>35197.5</v>
      </c>
      <c r="H120" s="100" t="s">
        <v>65</v>
      </c>
      <c r="I120" s="101" t="s">
        <v>66</v>
      </c>
      <c r="J120" s="95"/>
      <c r="K120" s="102"/>
      <c r="L120" s="102"/>
      <c r="M120" s="102"/>
      <c r="N120" s="103"/>
    </row>
    <row r="121" spans="1:14" x14ac:dyDescent="0.25">
      <c r="A121" s="102">
        <f t="shared" si="21"/>
        <v>106</v>
      </c>
      <c r="B121" s="124">
        <v>46047</v>
      </c>
      <c r="C121" s="386" t="s">
        <v>513</v>
      </c>
      <c r="D121" s="102">
        <v>73198053</v>
      </c>
      <c r="E121" s="134">
        <v>61.2</v>
      </c>
      <c r="F121" s="99">
        <v>570</v>
      </c>
      <c r="G121" s="99">
        <f t="shared" si="20"/>
        <v>34884</v>
      </c>
      <c r="H121" s="100" t="s">
        <v>65</v>
      </c>
      <c r="I121" s="101" t="s">
        <v>66</v>
      </c>
      <c r="J121" s="95"/>
      <c r="K121" s="102"/>
      <c r="L121" s="102"/>
      <c r="M121" s="102"/>
      <c r="N121" s="103"/>
    </row>
    <row r="122" spans="1:14" x14ac:dyDescent="0.25">
      <c r="A122" s="102">
        <f t="shared" si="21"/>
        <v>107</v>
      </c>
      <c r="B122" s="124">
        <v>46047</v>
      </c>
      <c r="C122" s="386" t="s">
        <v>513</v>
      </c>
      <c r="D122" s="102">
        <v>73994048</v>
      </c>
      <c r="E122" s="134">
        <v>61.15</v>
      </c>
      <c r="F122" s="99">
        <v>570</v>
      </c>
      <c r="G122" s="99">
        <f t="shared" si="20"/>
        <v>34855.5</v>
      </c>
      <c r="H122" s="100" t="s">
        <v>65</v>
      </c>
      <c r="I122" s="101" t="s">
        <v>66</v>
      </c>
      <c r="J122" s="95"/>
      <c r="K122" s="102"/>
      <c r="L122" s="102"/>
      <c r="M122" s="102"/>
      <c r="N122" s="103"/>
    </row>
    <row r="123" spans="1:14" x14ac:dyDescent="0.25">
      <c r="A123" s="102">
        <f t="shared" si="21"/>
        <v>108</v>
      </c>
      <c r="B123" s="124">
        <v>46047</v>
      </c>
      <c r="C123" s="386" t="s">
        <v>513</v>
      </c>
      <c r="D123" s="102">
        <v>73967713</v>
      </c>
      <c r="E123" s="134">
        <v>61.15</v>
      </c>
      <c r="F123" s="99">
        <v>570</v>
      </c>
      <c r="G123" s="99">
        <f t="shared" si="20"/>
        <v>34855.5</v>
      </c>
      <c r="H123" s="100" t="s">
        <v>65</v>
      </c>
      <c r="I123" s="101" t="s">
        <v>66</v>
      </c>
      <c r="J123" s="95"/>
      <c r="K123" s="102"/>
      <c r="L123" s="102"/>
      <c r="M123" s="102"/>
      <c r="N123" s="103"/>
    </row>
    <row r="124" spans="1:14" ht="15.75" thickBot="1" x14ac:dyDescent="0.3">
      <c r="A124" s="102">
        <f t="shared" si="21"/>
        <v>109</v>
      </c>
      <c r="B124" s="124">
        <v>46047</v>
      </c>
      <c r="C124" s="386" t="s">
        <v>513</v>
      </c>
      <c r="D124" s="385" t="s">
        <v>514</v>
      </c>
      <c r="E124" s="273">
        <v>60.8</v>
      </c>
      <c r="F124" s="99">
        <v>570</v>
      </c>
      <c r="G124" s="99">
        <f t="shared" si="20"/>
        <v>34656</v>
      </c>
      <c r="H124" s="100" t="s">
        <v>65</v>
      </c>
      <c r="I124" s="101" t="s">
        <v>66</v>
      </c>
      <c r="J124" s="389"/>
      <c r="K124" s="161"/>
      <c r="L124" s="161"/>
      <c r="M124" s="161"/>
      <c r="N124" s="162"/>
    </row>
    <row r="125" spans="1:14" ht="15.75" thickBot="1" x14ac:dyDescent="0.3">
      <c r="A125" s="327"/>
      <c r="B125" s="328"/>
      <c r="C125" s="387"/>
      <c r="D125" s="328"/>
      <c r="E125" s="390">
        <f>SUM(E105:E124)</f>
        <v>1214.4000000000001</v>
      </c>
      <c r="F125" s="328"/>
      <c r="G125" s="332">
        <f>SUM(G105:G124)</f>
        <v>692208</v>
      </c>
      <c r="H125" s="328"/>
      <c r="I125" s="333"/>
      <c r="J125" s="327"/>
      <c r="K125" s="328"/>
      <c r="L125" s="328"/>
      <c r="M125" s="328"/>
      <c r="N125" s="334"/>
    </row>
    <row r="126" spans="1:14" x14ac:dyDescent="0.25">
      <c r="A126" s="123">
        <v>110</v>
      </c>
      <c r="B126" s="124">
        <v>46047</v>
      </c>
      <c r="C126" s="386" t="s">
        <v>515</v>
      </c>
      <c r="D126" s="123">
        <v>73209967</v>
      </c>
      <c r="E126" s="236">
        <v>61.3</v>
      </c>
      <c r="F126" s="99">
        <v>570</v>
      </c>
      <c r="G126" s="99">
        <f t="shared" ref="G126:G145" si="22">E126*F126</f>
        <v>34941</v>
      </c>
      <c r="H126" s="100" t="s">
        <v>65</v>
      </c>
      <c r="I126" s="101" t="s">
        <v>66</v>
      </c>
      <c r="J126" s="131"/>
      <c r="K126" s="133"/>
      <c r="L126" s="133"/>
      <c r="M126" s="133"/>
      <c r="N126" s="135"/>
    </row>
    <row r="127" spans="1:14" x14ac:dyDescent="0.25">
      <c r="A127" s="102">
        <f>A126+1</f>
        <v>111</v>
      </c>
      <c r="B127" s="124">
        <v>46047</v>
      </c>
      <c r="C127" s="386" t="s">
        <v>515</v>
      </c>
      <c r="D127" s="102">
        <v>75558692</v>
      </c>
      <c r="E127" s="134">
        <v>61.8</v>
      </c>
      <c r="F127" s="99">
        <v>570</v>
      </c>
      <c r="G127" s="99">
        <f t="shared" si="22"/>
        <v>35226</v>
      </c>
      <c r="H127" s="100" t="s">
        <v>65</v>
      </c>
      <c r="I127" s="101" t="s">
        <v>66</v>
      </c>
      <c r="J127" s="95"/>
      <c r="K127" s="102"/>
      <c r="L127" s="102"/>
      <c r="M127" s="102"/>
      <c r="N127" s="103"/>
    </row>
    <row r="128" spans="1:14" x14ac:dyDescent="0.25">
      <c r="A128" s="102">
        <f t="shared" ref="A128:A145" si="23">A127+1</f>
        <v>112</v>
      </c>
      <c r="B128" s="124">
        <v>46047</v>
      </c>
      <c r="C128" s="386" t="s">
        <v>515</v>
      </c>
      <c r="D128" s="102">
        <v>73953549</v>
      </c>
      <c r="E128" s="134">
        <v>60.85</v>
      </c>
      <c r="F128" s="99">
        <v>570</v>
      </c>
      <c r="G128" s="99">
        <f t="shared" si="22"/>
        <v>34684.5</v>
      </c>
      <c r="H128" s="100" t="s">
        <v>65</v>
      </c>
      <c r="I128" s="101" t="s">
        <v>66</v>
      </c>
      <c r="J128" s="95"/>
      <c r="K128" s="102"/>
      <c r="L128" s="102"/>
      <c r="M128" s="102"/>
      <c r="N128" s="103"/>
    </row>
    <row r="129" spans="1:14" x14ac:dyDescent="0.25">
      <c r="A129" s="102">
        <f t="shared" si="23"/>
        <v>113</v>
      </c>
      <c r="B129" s="124">
        <v>46047</v>
      </c>
      <c r="C129" s="386" t="s">
        <v>515</v>
      </c>
      <c r="D129" s="102">
        <v>57408385</v>
      </c>
      <c r="E129" s="134">
        <v>61.3</v>
      </c>
      <c r="F129" s="99">
        <v>570</v>
      </c>
      <c r="G129" s="99">
        <f t="shared" si="22"/>
        <v>34941</v>
      </c>
      <c r="H129" s="100" t="s">
        <v>65</v>
      </c>
      <c r="I129" s="101" t="s">
        <v>66</v>
      </c>
      <c r="J129" s="95"/>
      <c r="K129" s="102"/>
      <c r="L129" s="102"/>
      <c r="M129" s="102"/>
      <c r="N129" s="103"/>
    </row>
    <row r="130" spans="1:14" x14ac:dyDescent="0.25">
      <c r="A130" s="102">
        <f t="shared" si="23"/>
        <v>114</v>
      </c>
      <c r="B130" s="124">
        <v>46047</v>
      </c>
      <c r="C130" s="386" t="s">
        <v>515</v>
      </c>
      <c r="D130" s="102">
        <v>73198764</v>
      </c>
      <c r="E130" s="134">
        <v>61.25</v>
      </c>
      <c r="F130" s="99">
        <v>570</v>
      </c>
      <c r="G130" s="99">
        <f t="shared" si="22"/>
        <v>34912.5</v>
      </c>
      <c r="H130" s="100" t="s">
        <v>65</v>
      </c>
      <c r="I130" s="101" t="s">
        <v>66</v>
      </c>
      <c r="J130" s="95"/>
      <c r="K130" s="102"/>
      <c r="L130" s="102"/>
      <c r="M130" s="102"/>
      <c r="N130" s="103"/>
    </row>
    <row r="131" spans="1:14" x14ac:dyDescent="0.25">
      <c r="A131" s="102">
        <f t="shared" si="23"/>
        <v>115</v>
      </c>
      <c r="B131" s="124">
        <v>46047</v>
      </c>
      <c r="C131" s="386" t="s">
        <v>515</v>
      </c>
      <c r="D131" s="102">
        <v>50429612</v>
      </c>
      <c r="E131" s="134">
        <v>53.1</v>
      </c>
      <c r="F131" s="99">
        <v>570</v>
      </c>
      <c r="G131" s="99">
        <f t="shared" si="22"/>
        <v>30267</v>
      </c>
      <c r="H131" s="100" t="s">
        <v>65</v>
      </c>
      <c r="I131" s="101" t="s">
        <v>66</v>
      </c>
      <c r="J131" s="95"/>
      <c r="K131" s="102"/>
      <c r="L131" s="102"/>
      <c r="M131" s="102"/>
      <c r="N131" s="103"/>
    </row>
    <row r="132" spans="1:14" x14ac:dyDescent="0.25">
      <c r="A132" s="102">
        <f t="shared" si="23"/>
        <v>116</v>
      </c>
      <c r="B132" s="124">
        <v>46047</v>
      </c>
      <c r="C132" s="386" t="s">
        <v>515</v>
      </c>
      <c r="D132" s="102">
        <v>73190209</v>
      </c>
      <c r="E132" s="134">
        <v>61.25</v>
      </c>
      <c r="F132" s="99">
        <v>570</v>
      </c>
      <c r="G132" s="99">
        <f t="shared" si="22"/>
        <v>34912.5</v>
      </c>
      <c r="H132" s="100" t="s">
        <v>65</v>
      </c>
      <c r="I132" s="101" t="s">
        <v>66</v>
      </c>
      <c r="J132" s="95"/>
      <c r="K132" s="102"/>
      <c r="L132" s="102"/>
      <c r="M132" s="102"/>
      <c r="N132" s="103"/>
    </row>
    <row r="133" spans="1:14" x14ac:dyDescent="0.25">
      <c r="A133" s="102">
        <f t="shared" si="23"/>
        <v>117</v>
      </c>
      <c r="B133" s="124">
        <v>46047</v>
      </c>
      <c r="C133" s="386" t="s">
        <v>515</v>
      </c>
      <c r="D133" s="102">
        <v>7384782</v>
      </c>
      <c r="E133" s="134">
        <v>61.4</v>
      </c>
      <c r="F133" s="99">
        <v>570</v>
      </c>
      <c r="G133" s="99">
        <f t="shared" si="22"/>
        <v>34998</v>
      </c>
      <c r="H133" s="100" t="s">
        <v>65</v>
      </c>
      <c r="I133" s="101" t="s">
        <v>66</v>
      </c>
      <c r="J133" s="95"/>
      <c r="K133" s="102"/>
      <c r="L133" s="102"/>
      <c r="M133" s="102"/>
      <c r="N133" s="103"/>
    </row>
    <row r="134" spans="1:14" x14ac:dyDescent="0.25">
      <c r="A134" s="102">
        <f t="shared" si="23"/>
        <v>118</v>
      </c>
      <c r="B134" s="124">
        <v>46047</v>
      </c>
      <c r="C134" s="386" t="s">
        <v>515</v>
      </c>
      <c r="D134" s="102">
        <v>73100729</v>
      </c>
      <c r="E134" s="134">
        <v>61.25</v>
      </c>
      <c r="F134" s="99">
        <v>570</v>
      </c>
      <c r="G134" s="99">
        <f t="shared" si="22"/>
        <v>34912.5</v>
      </c>
      <c r="H134" s="100" t="s">
        <v>65</v>
      </c>
      <c r="I134" s="101" t="s">
        <v>66</v>
      </c>
      <c r="J134" s="95"/>
      <c r="K134" s="102"/>
      <c r="L134" s="102"/>
      <c r="M134" s="102"/>
      <c r="N134" s="103"/>
    </row>
    <row r="135" spans="1:14" x14ac:dyDescent="0.25">
      <c r="A135" s="102">
        <f t="shared" si="23"/>
        <v>119</v>
      </c>
      <c r="B135" s="124">
        <v>46047</v>
      </c>
      <c r="C135" s="386" t="s">
        <v>515</v>
      </c>
      <c r="D135" s="102">
        <v>75831990</v>
      </c>
      <c r="E135" s="134">
        <v>61.85</v>
      </c>
      <c r="F135" s="99">
        <v>570</v>
      </c>
      <c r="G135" s="99">
        <f t="shared" si="22"/>
        <v>35254.5</v>
      </c>
      <c r="H135" s="100" t="s">
        <v>65</v>
      </c>
      <c r="I135" s="101" t="s">
        <v>66</v>
      </c>
      <c r="J135" s="95"/>
      <c r="K135" s="102"/>
      <c r="L135" s="102"/>
      <c r="M135" s="102"/>
      <c r="N135" s="103"/>
    </row>
    <row r="136" spans="1:14" x14ac:dyDescent="0.25">
      <c r="A136" s="102">
        <f t="shared" si="23"/>
        <v>120</v>
      </c>
      <c r="B136" s="124">
        <v>46047</v>
      </c>
      <c r="C136" s="386" t="s">
        <v>515</v>
      </c>
      <c r="D136" s="102">
        <v>51318095</v>
      </c>
      <c r="E136" s="134">
        <v>60.5</v>
      </c>
      <c r="F136" s="99">
        <v>570</v>
      </c>
      <c r="G136" s="99">
        <f t="shared" si="22"/>
        <v>34485</v>
      </c>
      <c r="H136" s="100" t="s">
        <v>65</v>
      </c>
      <c r="I136" s="101" t="s">
        <v>66</v>
      </c>
      <c r="J136" s="95"/>
      <c r="K136" s="102"/>
      <c r="L136" s="102"/>
      <c r="M136" s="102"/>
      <c r="N136" s="103"/>
    </row>
    <row r="137" spans="1:14" x14ac:dyDescent="0.25">
      <c r="A137" s="102">
        <f t="shared" si="23"/>
        <v>121</v>
      </c>
      <c r="B137" s="124">
        <v>46047</v>
      </c>
      <c r="C137" s="386" t="s">
        <v>515</v>
      </c>
      <c r="D137" s="102">
        <v>55559504</v>
      </c>
      <c r="E137" s="134">
        <v>61.4</v>
      </c>
      <c r="F137" s="99">
        <v>570</v>
      </c>
      <c r="G137" s="99">
        <f t="shared" si="22"/>
        <v>34998</v>
      </c>
      <c r="H137" s="100" t="s">
        <v>65</v>
      </c>
      <c r="I137" s="101" t="s">
        <v>66</v>
      </c>
      <c r="J137" s="95"/>
      <c r="K137" s="102"/>
      <c r="L137" s="102"/>
      <c r="M137" s="102"/>
      <c r="N137" s="103"/>
    </row>
    <row r="138" spans="1:14" x14ac:dyDescent="0.25">
      <c r="A138" s="102">
        <f t="shared" si="23"/>
        <v>122</v>
      </c>
      <c r="B138" s="124">
        <v>46047</v>
      </c>
      <c r="C138" s="386" t="s">
        <v>515</v>
      </c>
      <c r="D138" s="102">
        <v>58294182</v>
      </c>
      <c r="E138" s="134">
        <v>61.1</v>
      </c>
      <c r="F138" s="99">
        <v>570</v>
      </c>
      <c r="G138" s="99">
        <f t="shared" si="22"/>
        <v>34827</v>
      </c>
      <c r="H138" s="100" t="s">
        <v>65</v>
      </c>
      <c r="I138" s="101" t="s">
        <v>66</v>
      </c>
      <c r="J138" s="95"/>
      <c r="K138" s="102"/>
      <c r="L138" s="102"/>
      <c r="M138" s="102"/>
      <c r="N138" s="103"/>
    </row>
    <row r="139" spans="1:14" x14ac:dyDescent="0.25">
      <c r="A139" s="102">
        <f t="shared" si="23"/>
        <v>123</v>
      </c>
      <c r="B139" s="124">
        <v>46047</v>
      </c>
      <c r="C139" s="386" t="s">
        <v>515</v>
      </c>
      <c r="D139" s="102">
        <v>75060244</v>
      </c>
      <c r="E139" s="134">
        <v>60.9</v>
      </c>
      <c r="F139" s="99">
        <v>570</v>
      </c>
      <c r="G139" s="99">
        <f t="shared" si="22"/>
        <v>34713</v>
      </c>
      <c r="H139" s="100" t="s">
        <v>65</v>
      </c>
      <c r="I139" s="101" t="s">
        <v>66</v>
      </c>
      <c r="J139" s="95"/>
      <c r="K139" s="102"/>
      <c r="L139" s="102"/>
      <c r="M139" s="102"/>
      <c r="N139" s="103"/>
    </row>
    <row r="140" spans="1:14" x14ac:dyDescent="0.25">
      <c r="A140" s="102">
        <f t="shared" si="23"/>
        <v>124</v>
      </c>
      <c r="B140" s="124">
        <v>46047</v>
      </c>
      <c r="C140" s="386" t="s">
        <v>515</v>
      </c>
      <c r="D140" s="102">
        <v>73207821</v>
      </c>
      <c r="E140" s="134">
        <v>61.3</v>
      </c>
      <c r="F140" s="99">
        <v>570</v>
      </c>
      <c r="G140" s="99">
        <f t="shared" si="22"/>
        <v>34941</v>
      </c>
      <c r="H140" s="100" t="s">
        <v>65</v>
      </c>
      <c r="I140" s="101" t="s">
        <v>66</v>
      </c>
      <c r="J140" s="95"/>
      <c r="K140" s="102"/>
      <c r="L140" s="102"/>
      <c r="M140" s="102"/>
      <c r="N140" s="103"/>
    </row>
    <row r="141" spans="1:14" x14ac:dyDescent="0.25">
      <c r="A141" s="102">
        <f t="shared" si="23"/>
        <v>125</v>
      </c>
      <c r="B141" s="124">
        <v>46047</v>
      </c>
      <c r="C141" s="386" t="s">
        <v>515</v>
      </c>
      <c r="D141" s="102">
        <v>73091506</v>
      </c>
      <c r="E141" s="134">
        <v>61.4</v>
      </c>
      <c r="F141" s="99">
        <v>570</v>
      </c>
      <c r="G141" s="99">
        <f t="shared" si="22"/>
        <v>34998</v>
      </c>
      <c r="H141" s="100" t="s">
        <v>65</v>
      </c>
      <c r="I141" s="101" t="s">
        <v>66</v>
      </c>
      <c r="J141" s="95"/>
      <c r="K141" s="102"/>
      <c r="L141" s="102"/>
      <c r="M141" s="102"/>
      <c r="N141" s="103"/>
    </row>
    <row r="142" spans="1:14" x14ac:dyDescent="0.25">
      <c r="A142" s="102">
        <f t="shared" si="23"/>
        <v>126</v>
      </c>
      <c r="B142" s="124">
        <v>46047</v>
      </c>
      <c r="C142" s="386" t="s">
        <v>515</v>
      </c>
      <c r="D142" s="102">
        <v>51078004</v>
      </c>
      <c r="E142" s="134">
        <v>51.5</v>
      </c>
      <c r="F142" s="99">
        <v>570</v>
      </c>
      <c r="G142" s="99">
        <f t="shared" si="22"/>
        <v>29355</v>
      </c>
      <c r="H142" s="100" t="s">
        <v>65</v>
      </c>
      <c r="I142" s="101" t="s">
        <v>66</v>
      </c>
      <c r="J142" s="95"/>
      <c r="K142" s="102"/>
      <c r="L142" s="102"/>
      <c r="M142" s="102"/>
      <c r="N142" s="103"/>
    </row>
    <row r="143" spans="1:14" x14ac:dyDescent="0.25">
      <c r="A143" s="102">
        <f t="shared" si="23"/>
        <v>127</v>
      </c>
      <c r="B143" s="124">
        <v>46047</v>
      </c>
      <c r="C143" s="386" t="s">
        <v>515</v>
      </c>
      <c r="D143" s="102">
        <v>75421495</v>
      </c>
      <c r="E143" s="134">
        <v>61.95</v>
      </c>
      <c r="F143" s="99">
        <v>570</v>
      </c>
      <c r="G143" s="99">
        <f t="shared" si="22"/>
        <v>35311.5</v>
      </c>
      <c r="H143" s="100" t="s">
        <v>65</v>
      </c>
      <c r="I143" s="101" t="s">
        <v>66</v>
      </c>
      <c r="J143" s="95"/>
      <c r="K143" s="102"/>
      <c r="L143" s="102"/>
      <c r="M143" s="102"/>
      <c r="N143" s="103"/>
    </row>
    <row r="144" spans="1:14" x14ac:dyDescent="0.25">
      <c r="A144" s="102">
        <f t="shared" si="23"/>
        <v>128</v>
      </c>
      <c r="B144" s="124">
        <v>46047</v>
      </c>
      <c r="C144" s="386" t="s">
        <v>515</v>
      </c>
      <c r="D144" s="102">
        <v>76827294</v>
      </c>
      <c r="E144" s="134">
        <v>61.8</v>
      </c>
      <c r="F144" s="99">
        <v>570</v>
      </c>
      <c r="G144" s="99">
        <f t="shared" si="22"/>
        <v>35226</v>
      </c>
      <c r="H144" s="100" t="s">
        <v>65</v>
      </c>
      <c r="I144" s="101" t="s">
        <v>66</v>
      </c>
      <c r="J144" s="95"/>
      <c r="K144" s="102"/>
      <c r="L144" s="102"/>
      <c r="M144" s="102"/>
      <c r="N144" s="103"/>
    </row>
    <row r="145" spans="1:14" ht="15.75" thickBot="1" x14ac:dyDescent="0.3">
      <c r="A145" s="102">
        <f t="shared" si="23"/>
        <v>129</v>
      </c>
      <c r="B145" s="124">
        <v>46047</v>
      </c>
      <c r="C145" s="386" t="s">
        <v>515</v>
      </c>
      <c r="D145" s="150">
        <v>73191025</v>
      </c>
      <c r="E145" s="152">
        <v>61.35</v>
      </c>
      <c r="F145" s="99">
        <v>570</v>
      </c>
      <c r="G145" s="99">
        <f t="shared" si="22"/>
        <v>34969.5</v>
      </c>
      <c r="H145" s="100" t="s">
        <v>65</v>
      </c>
      <c r="I145" s="101" t="s">
        <v>66</v>
      </c>
      <c r="J145" s="104"/>
      <c r="K145" s="150"/>
      <c r="L145" s="150"/>
      <c r="M145" s="150"/>
      <c r="N145" s="151"/>
    </row>
    <row r="146" spans="1:14" ht="15.75" thickBot="1" x14ac:dyDescent="0.3">
      <c r="A146" s="327"/>
      <c r="B146" s="328"/>
      <c r="C146" s="387"/>
      <c r="D146" s="328"/>
      <c r="E146" s="390">
        <f>SUM(E126:E145)</f>
        <v>1208.5499999999997</v>
      </c>
      <c r="F146" s="328"/>
      <c r="G146" s="332">
        <f>SUM(G126:G145)</f>
        <v>688873.5</v>
      </c>
      <c r="H146" s="328"/>
      <c r="I146" s="333"/>
      <c r="J146" s="327"/>
      <c r="K146" s="328"/>
      <c r="L146" s="328"/>
      <c r="M146" s="328"/>
      <c r="N146" s="334"/>
    </row>
    <row r="147" spans="1:14" x14ac:dyDescent="0.25">
      <c r="A147" s="123">
        <v>130</v>
      </c>
      <c r="B147" s="124">
        <v>46047</v>
      </c>
      <c r="C147" s="386" t="s">
        <v>516</v>
      </c>
      <c r="D147" s="123">
        <v>58274986</v>
      </c>
      <c r="E147" s="236">
        <v>61.3</v>
      </c>
      <c r="F147" s="99">
        <v>570</v>
      </c>
      <c r="G147" s="99">
        <f t="shared" ref="G147:G149" si="24">E147*F147</f>
        <v>34941</v>
      </c>
      <c r="H147" s="100" t="s">
        <v>65</v>
      </c>
      <c r="I147" s="391" t="s">
        <v>66</v>
      </c>
      <c r="J147" s="131"/>
      <c r="K147" s="133"/>
      <c r="L147" s="133"/>
      <c r="M147" s="133"/>
      <c r="N147" s="135"/>
    </row>
    <row r="148" spans="1:14" x14ac:dyDescent="0.25">
      <c r="A148" s="102">
        <v>131</v>
      </c>
      <c r="B148" s="124">
        <v>46047</v>
      </c>
      <c r="C148" s="386" t="s">
        <v>516</v>
      </c>
      <c r="D148" s="361" t="s">
        <v>517</v>
      </c>
      <c r="E148" s="134">
        <v>61.5</v>
      </c>
      <c r="F148" s="99">
        <v>570</v>
      </c>
      <c r="G148" s="99">
        <f t="shared" si="24"/>
        <v>35055</v>
      </c>
      <c r="H148" s="100" t="s">
        <v>65</v>
      </c>
      <c r="I148" s="391" t="s">
        <v>66</v>
      </c>
      <c r="J148" s="95"/>
      <c r="K148" s="102"/>
      <c r="L148" s="102"/>
      <c r="M148" s="102"/>
      <c r="N148" s="103"/>
    </row>
    <row r="149" spans="1:14" ht="15.75" thickBot="1" x14ac:dyDescent="0.3">
      <c r="A149" s="150">
        <v>132</v>
      </c>
      <c r="B149" s="124">
        <v>46047</v>
      </c>
      <c r="C149" s="386" t="s">
        <v>516</v>
      </c>
      <c r="D149" s="150">
        <v>75121020</v>
      </c>
      <c r="E149" s="152">
        <v>61.15</v>
      </c>
      <c r="F149" s="99">
        <v>570</v>
      </c>
      <c r="G149" s="99">
        <f t="shared" si="24"/>
        <v>34855.5</v>
      </c>
      <c r="H149" s="100" t="s">
        <v>65</v>
      </c>
      <c r="I149" s="391" t="s">
        <v>66</v>
      </c>
      <c r="J149" s="112"/>
      <c r="K149" s="113"/>
      <c r="L149" s="113"/>
      <c r="M149" s="113"/>
      <c r="N149" s="114"/>
    </row>
    <row r="150" spans="1:14" ht="15.75" thickBot="1" x14ac:dyDescent="0.3">
      <c r="A150" s="327"/>
      <c r="B150" s="328"/>
      <c r="C150" s="387"/>
      <c r="D150" s="328"/>
      <c r="E150" s="342">
        <f>SUM(E147:E149)</f>
        <v>183.95</v>
      </c>
      <c r="F150" s="328"/>
      <c r="G150" s="332">
        <f>SUM(G147:G149)</f>
        <v>104851.5</v>
      </c>
      <c r="H150" s="328"/>
      <c r="I150" s="333"/>
      <c r="J150" s="327"/>
      <c r="K150" s="328"/>
      <c r="L150" s="328"/>
      <c r="M150" s="328"/>
      <c r="N150" s="334"/>
    </row>
    <row r="151" spans="1:14" x14ac:dyDescent="0.25">
      <c r="A151" s="131">
        <v>133</v>
      </c>
      <c r="B151" s="132">
        <v>46047</v>
      </c>
      <c r="C151" s="359" t="s">
        <v>518</v>
      </c>
      <c r="D151" s="133">
        <v>53873501</v>
      </c>
      <c r="E151" s="148">
        <v>61.25</v>
      </c>
      <c r="F151" s="145">
        <v>570</v>
      </c>
      <c r="G151" s="145">
        <f t="shared" ref="G151:G163" si="25">E151*F151</f>
        <v>34912.5</v>
      </c>
      <c r="H151" s="146" t="s">
        <v>65</v>
      </c>
      <c r="I151" s="147" t="s">
        <v>66</v>
      </c>
      <c r="J151" s="131"/>
      <c r="K151" s="133"/>
      <c r="L151" s="133"/>
      <c r="M151" s="133"/>
      <c r="N151" s="135"/>
    </row>
    <row r="152" spans="1:14" x14ac:dyDescent="0.25">
      <c r="A152" s="95">
        <f>A151+1</f>
        <v>134</v>
      </c>
      <c r="B152" s="124">
        <v>46047</v>
      </c>
      <c r="C152" s="361" t="s">
        <v>518</v>
      </c>
      <c r="D152" s="102">
        <v>50960764</v>
      </c>
      <c r="E152" s="134">
        <v>61.35</v>
      </c>
      <c r="F152" s="99">
        <v>570</v>
      </c>
      <c r="G152" s="99">
        <f t="shared" si="25"/>
        <v>34969.5</v>
      </c>
      <c r="H152" s="100" t="s">
        <v>65</v>
      </c>
      <c r="I152" s="101" t="s">
        <v>66</v>
      </c>
      <c r="J152" s="95"/>
      <c r="K152" s="102"/>
      <c r="L152" s="102"/>
      <c r="M152" s="102"/>
      <c r="N152" s="103"/>
    </row>
    <row r="153" spans="1:14" x14ac:dyDescent="0.25">
      <c r="A153" s="95">
        <f t="shared" ref="A153:A163" si="26">A152+1</f>
        <v>135</v>
      </c>
      <c r="B153" s="124">
        <v>46047</v>
      </c>
      <c r="C153" s="361" t="s">
        <v>518</v>
      </c>
      <c r="D153" s="102">
        <v>54258348</v>
      </c>
      <c r="E153" s="134">
        <v>61.3</v>
      </c>
      <c r="F153" s="99">
        <v>570</v>
      </c>
      <c r="G153" s="99">
        <f t="shared" si="25"/>
        <v>34941</v>
      </c>
      <c r="H153" s="100" t="s">
        <v>65</v>
      </c>
      <c r="I153" s="101" t="s">
        <v>66</v>
      </c>
      <c r="J153" s="95"/>
      <c r="K153" s="102"/>
      <c r="L153" s="102"/>
      <c r="M153" s="102"/>
      <c r="N153" s="103"/>
    </row>
    <row r="154" spans="1:14" x14ac:dyDescent="0.25">
      <c r="A154" s="95">
        <f t="shared" si="26"/>
        <v>136</v>
      </c>
      <c r="B154" s="124">
        <v>46047</v>
      </c>
      <c r="C154" s="361" t="s">
        <v>518</v>
      </c>
      <c r="D154" s="102">
        <v>50786417</v>
      </c>
      <c r="E154" s="134">
        <v>52.35</v>
      </c>
      <c r="F154" s="99">
        <v>570</v>
      </c>
      <c r="G154" s="99">
        <f t="shared" si="25"/>
        <v>29839.5</v>
      </c>
      <c r="H154" s="100" t="s">
        <v>65</v>
      </c>
      <c r="I154" s="101" t="s">
        <v>66</v>
      </c>
      <c r="J154" s="95"/>
      <c r="K154" s="102"/>
      <c r="L154" s="102"/>
      <c r="M154" s="102"/>
      <c r="N154" s="103"/>
    </row>
    <row r="155" spans="1:14" x14ac:dyDescent="0.25">
      <c r="A155" s="95">
        <f t="shared" si="26"/>
        <v>137</v>
      </c>
      <c r="B155" s="124">
        <v>46047</v>
      </c>
      <c r="C155" s="361" t="s">
        <v>518</v>
      </c>
      <c r="D155" s="102">
        <v>54663729</v>
      </c>
      <c r="E155" s="134">
        <v>61.3</v>
      </c>
      <c r="F155" s="99">
        <v>570</v>
      </c>
      <c r="G155" s="99">
        <f t="shared" si="25"/>
        <v>34941</v>
      </c>
      <c r="H155" s="100" t="s">
        <v>65</v>
      </c>
      <c r="I155" s="101" t="s">
        <v>66</v>
      </c>
      <c r="J155" s="95"/>
      <c r="K155" s="102"/>
      <c r="L155" s="102"/>
      <c r="M155" s="102"/>
      <c r="N155" s="103"/>
    </row>
    <row r="156" spans="1:14" x14ac:dyDescent="0.25">
      <c r="A156" s="95">
        <f t="shared" si="26"/>
        <v>138</v>
      </c>
      <c r="B156" s="124">
        <v>46047</v>
      </c>
      <c r="C156" s="361" t="s">
        <v>518</v>
      </c>
      <c r="D156" s="102">
        <v>73200321</v>
      </c>
      <c r="E156" s="134">
        <v>61.95</v>
      </c>
      <c r="F156" s="99">
        <v>570</v>
      </c>
      <c r="G156" s="99">
        <f t="shared" si="25"/>
        <v>35311.5</v>
      </c>
      <c r="H156" s="100" t="s">
        <v>65</v>
      </c>
      <c r="I156" s="101" t="s">
        <v>66</v>
      </c>
      <c r="J156" s="95"/>
      <c r="K156" s="102"/>
      <c r="L156" s="102"/>
      <c r="M156" s="102"/>
      <c r="N156" s="103"/>
    </row>
    <row r="157" spans="1:14" x14ac:dyDescent="0.25">
      <c r="A157" s="95">
        <f t="shared" si="26"/>
        <v>139</v>
      </c>
      <c r="B157" s="124">
        <v>46047</v>
      </c>
      <c r="C157" s="361" t="s">
        <v>518</v>
      </c>
      <c r="D157" s="102">
        <v>57414229</v>
      </c>
      <c r="E157" s="134">
        <v>61.2</v>
      </c>
      <c r="F157" s="99">
        <v>570</v>
      </c>
      <c r="G157" s="99">
        <f t="shared" si="25"/>
        <v>34884</v>
      </c>
      <c r="H157" s="100" t="s">
        <v>65</v>
      </c>
      <c r="I157" s="101" t="s">
        <v>66</v>
      </c>
      <c r="J157" s="95"/>
      <c r="K157" s="102"/>
      <c r="L157" s="102"/>
      <c r="M157" s="102"/>
      <c r="N157" s="103"/>
    </row>
    <row r="158" spans="1:14" x14ac:dyDescent="0.25">
      <c r="A158" s="95">
        <f t="shared" si="26"/>
        <v>140</v>
      </c>
      <c r="B158" s="124">
        <v>46047</v>
      </c>
      <c r="C158" s="361" t="s">
        <v>518</v>
      </c>
      <c r="D158" s="102">
        <v>57518896</v>
      </c>
      <c r="E158" s="134">
        <v>61.35</v>
      </c>
      <c r="F158" s="99">
        <v>570</v>
      </c>
      <c r="G158" s="99">
        <f t="shared" si="25"/>
        <v>34969.5</v>
      </c>
      <c r="H158" s="100" t="s">
        <v>65</v>
      </c>
      <c r="I158" s="101" t="s">
        <v>66</v>
      </c>
      <c r="J158" s="95"/>
      <c r="K158" s="102"/>
      <c r="L158" s="102"/>
      <c r="M158" s="102"/>
      <c r="N158" s="103"/>
    </row>
    <row r="159" spans="1:14" x14ac:dyDescent="0.25">
      <c r="A159" s="95">
        <f t="shared" si="26"/>
        <v>141</v>
      </c>
      <c r="B159" s="124">
        <v>46047</v>
      </c>
      <c r="C159" s="361" t="s">
        <v>518</v>
      </c>
      <c r="D159" s="102">
        <v>75102061</v>
      </c>
      <c r="E159" s="134">
        <v>62.1</v>
      </c>
      <c r="F159" s="99">
        <v>570</v>
      </c>
      <c r="G159" s="99">
        <f t="shared" si="25"/>
        <v>35397</v>
      </c>
      <c r="H159" s="100" t="s">
        <v>65</v>
      </c>
      <c r="I159" s="101" t="s">
        <v>66</v>
      </c>
      <c r="J159" s="95"/>
      <c r="K159" s="102"/>
      <c r="L159" s="102"/>
      <c r="M159" s="102"/>
      <c r="N159" s="103"/>
    </row>
    <row r="160" spans="1:14" x14ac:dyDescent="0.25">
      <c r="A160" s="95">
        <f t="shared" si="26"/>
        <v>142</v>
      </c>
      <c r="B160" s="124">
        <v>46047</v>
      </c>
      <c r="C160" s="361" t="s">
        <v>518</v>
      </c>
      <c r="D160" s="102">
        <v>75006312</v>
      </c>
      <c r="E160" s="134">
        <v>61.45</v>
      </c>
      <c r="F160" s="99">
        <v>570</v>
      </c>
      <c r="G160" s="99">
        <f t="shared" si="25"/>
        <v>35026.5</v>
      </c>
      <c r="H160" s="100" t="s">
        <v>65</v>
      </c>
      <c r="I160" s="101" t="s">
        <v>66</v>
      </c>
      <c r="J160" s="95"/>
      <c r="K160" s="102"/>
      <c r="L160" s="102"/>
      <c r="M160" s="102"/>
      <c r="N160" s="103"/>
    </row>
    <row r="161" spans="1:14" x14ac:dyDescent="0.25">
      <c r="A161" s="95">
        <f t="shared" si="26"/>
        <v>143</v>
      </c>
      <c r="B161" s="124">
        <v>46047</v>
      </c>
      <c r="C161" s="361" t="s">
        <v>518</v>
      </c>
      <c r="D161" s="102">
        <v>76814938</v>
      </c>
      <c r="E161" s="134">
        <v>61.8</v>
      </c>
      <c r="F161" s="99">
        <v>570</v>
      </c>
      <c r="G161" s="99">
        <f t="shared" si="25"/>
        <v>35226</v>
      </c>
      <c r="H161" s="100" t="s">
        <v>65</v>
      </c>
      <c r="I161" s="101" t="s">
        <v>66</v>
      </c>
      <c r="J161" s="95"/>
      <c r="K161" s="102"/>
      <c r="L161" s="102"/>
      <c r="M161" s="102"/>
      <c r="N161" s="103"/>
    </row>
    <row r="162" spans="1:14" x14ac:dyDescent="0.25">
      <c r="A162" s="95">
        <f t="shared" si="26"/>
        <v>144</v>
      </c>
      <c r="B162" s="124">
        <v>46047</v>
      </c>
      <c r="C162" s="361" t="s">
        <v>518</v>
      </c>
      <c r="D162" s="102">
        <v>75180257</v>
      </c>
      <c r="E162" s="134">
        <v>63.1</v>
      </c>
      <c r="F162" s="99">
        <v>570</v>
      </c>
      <c r="G162" s="99">
        <f t="shared" si="25"/>
        <v>35967</v>
      </c>
      <c r="H162" s="100" t="s">
        <v>65</v>
      </c>
      <c r="I162" s="101" t="s">
        <v>66</v>
      </c>
      <c r="J162" s="95"/>
      <c r="K162" s="102"/>
      <c r="L162" s="102"/>
      <c r="M162" s="102"/>
      <c r="N162" s="103"/>
    </row>
    <row r="163" spans="1:14" ht="15.75" thickBot="1" x14ac:dyDescent="0.3">
      <c r="A163" s="112">
        <f t="shared" si="26"/>
        <v>145</v>
      </c>
      <c r="B163" s="153">
        <v>46047</v>
      </c>
      <c r="C163" s="363" t="s">
        <v>518</v>
      </c>
      <c r="D163" s="113">
        <v>50778067</v>
      </c>
      <c r="E163" s="202">
        <v>52.65</v>
      </c>
      <c r="F163" s="157">
        <v>570</v>
      </c>
      <c r="G163" s="157">
        <f t="shared" si="25"/>
        <v>30010.5</v>
      </c>
      <c r="H163" s="158" t="s">
        <v>65</v>
      </c>
      <c r="I163" s="159" t="s">
        <v>66</v>
      </c>
      <c r="J163" s="112"/>
      <c r="K163" s="113"/>
      <c r="L163" s="113"/>
      <c r="M163" s="113"/>
      <c r="N163" s="114"/>
    </row>
    <row r="164" spans="1:14" ht="15.75" thickBot="1" x14ac:dyDescent="0.3">
      <c r="A164" s="327"/>
      <c r="B164" s="328"/>
      <c r="C164" s="387"/>
      <c r="D164" s="328"/>
      <c r="E164" s="342">
        <f>SUM(E151:E163)</f>
        <v>783.15</v>
      </c>
      <c r="F164" s="328"/>
      <c r="G164" s="332">
        <f>SUM(G151:G163)</f>
        <v>446395.5</v>
      </c>
      <c r="H164" s="328"/>
      <c r="I164" s="333"/>
      <c r="J164" s="327"/>
      <c r="K164" s="328"/>
      <c r="L164" s="328"/>
      <c r="M164" s="328"/>
      <c r="N164" s="334"/>
    </row>
    <row r="165" spans="1:14" x14ac:dyDescent="0.25">
      <c r="A165" s="123">
        <v>133</v>
      </c>
      <c r="B165" s="124">
        <v>46047</v>
      </c>
      <c r="C165" s="385" t="s">
        <v>519</v>
      </c>
      <c r="D165" s="123">
        <v>50272491</v>
      </c>
      <c r="E165" s="236">
        <v>61.4</v>
      </c>
      <c r="F165" s="128">
        <v>570</v>
      </c>
      <c r="G165" s="128">
        <f t="shared" ref="G165:G173" si="27">E165*F165</f>
        <v>34998</v>
      </c>
      <c r="H165" s="129" t="s">
        <v>65</v>
      </c>
      <c r="I165" s="392" t="s">
        <v>66</v>
      </c>
      <c r="J165" s="181"/>
      <c r="K165" s="123"/>
      <c r="L165" s="123"/>
      <c r="M165" s="123"/>
      <c r="N165" s="182"/>
    </row>
    <row r="166" spans="1:14" x14ac:dyDescent="0.25">
      <c r="A166" s="102">
        <f>A165+1</f>
        <v>134</v>
      </c>
      <c r="B166" s="124">
        <v>46047</v>
      </c>
      <c r="C166" s="361" t="s">
        <v>519</v>
      </c>
      <c r="D166" s="102">
        <v>75102244</v>
      </c>
      <c r="E166" s="134">
        <v>62.25</v>
      </c>
      <c r="F166" s="99">
        <v>570</v>
      </c>
      <c r="G166" s="99">
        <f t="shared" si="27"/>
        <v>35482.5</v>
      </c>
      <c r="H166" s="100" t="s">
        <v>65</v>
      </c>
      <c r="I166" s="391" t="s">
        <v>66</v>
      </c>
      <c r="J166" s="95"/>
      <c r="K166" s="102"/>
      <c r="L166" s="102"/>
      <c r="M166" s="102"/>
      <c r="N166" s="103"/>
    </row>
    <row r="167" spans="1:14" x14ac:dyDescent="0.25">
      <c r="A167" s="102">
        <f t="shared" ref="A167:A173" si="28">A166+1</f>
        <v>135</v>
      </c>
      <c r="B167" s="124">
        <v>46047</v>
      </c>
      <c r="C167" s="361" t="s">
        <v>519</v>
      </c>
      <c r="D167" s="102">
        <v>57464695</v>
      </c>
      <c r="E167" s="134">
        <v>61.35</v>
      </c>
      <c r="F167" s="99">
        <v>570</v>
      </c>
      <c r="G167" s="99">
        <f t="shared" si="27"/>
        <v>34969.5</v>
      </c>
      <c r="H167" s="100" t="s">
        <v>65</v>
      </c>
      <c r="I167" s="391" t="s">
        <v>66</v>
      </c>
      <c r="J167" s="95"/>
      <c r="K167" s="102"/>
      <c r="L167" s="102"/>
      <c r="M167" s="102"/>
      <c r="N167" s="103"/>
    </row>
    <row r="168" spans="1:14" x14ac:dyDescent="0.25">
      <c r="A168" s="102">
        <f t="shared" si="28"/>
        <v>136</v>
      </c>
      <c r="B168" s="124">
        <v>46047</v>
      </c>
      <c r="C168" s="361" t="s">
        <v>519</v>
      </c>
      <c r="D168" s="102">
        <v>54027958</v>
      </c>
      <c r="E168" s="134">
        <v>61.5</v>
      </c>
      <c r="F168" s="99">
        <v>570</v>
      </c>
      <c r="G168" s="99">
        <f t="shared" si="27"/>
        <v>35055</v>
      </c>
      <c r="H168" s="100" t="s">
        <v>65</v>
      </c>
      <c r="I168" s="391" t="s">
        <v>66</v>
      </c>
      <c r="J168" s="95"/>
      <c r="K168" s="102"/>
      <c r="L168" s="102"/>
      <c r="M168" s="102"/>
      <c r="N168" s="103"/>
    </row>
    <row r="169" spans="1:14" x14ac:dyDescent="0.25">
      <c r="A169" s="102">
        <f t="shared" si="28"/>
        <v>137</v>
      </c>
      <c r="B169" s="124">
        <v>46047</v>
      </c>
      <c r="C169" s="361" t="s">
        <v>519</v>
      </c>
      <c r="D169" s="102">
        <v>50576792</v>
      </c>
      <c r="E169" s="134">
        <v>61.35</v>
      </c>
      <c r="F169" s="99">
        <v>570</v>
      </c>
      <c r="G169" s="99">
        <f t="shared" si="27"/>
        <v>34969.5</v>
      </c>
      <c r="H169" s="100" t="s">
        <v>65</v>
      </c>
      <c r="I169" s="391" t="s">
        <v>66</v>
      </c>
      <c r="J169" s="95"/>
      <c r="K169" s="102"/>
      <c r="L169" s="102"/>
      <c r="M169" s="102"/>
      <c r="N169" s="103"/>
    </row>
    <row r="170" spans="1:14" x14ac:dyDescent="0.25">
      <c r="A170" s="102">
        <f t="shared" si="28"/>
        <v>138</v>
      </c>
      <c r="B170" s="124">
        <v>46047</v>
      </c>
      <c r="C170" s="361" t="s">
        <v>519</v>
      </c>
      <c r="D170" s="102">
        <v>50770213</v>
      </c>
      <c r="E170" s="134">
        <v>52.6</v>
      </c>
      <c r="F170" s="99">
        <v>570</v>
      </c>
      <c r="G170" s="99">
        <f t="shared" si="27"/>
        <v>29982</v>
      </c>
      <c r="H170" s="100" t="s">
        <v>65</v>
      </c>
      <c r="I170" s="391" t="s">
        <v>66</v>
      </c>
      <c r="J170" s="95"/>
      <c r="K170" s="102"/>
      <c r="L170" s="102"/>
      <c r="M170" s="102"/>
      <c r="N170" s="103"/>
    </row>
    <row r="171" spans="1:14" x14ac:dyDescent="0.25">
      <c r="A171" s="102">
        <f t="shared" si="28"/>
        <v>139</v>
      </c>
      <c r="B171" s="124">
        <v>46047</v>
      </c>
      <c r="C171" s="361" t="s">
        <v>519</v>
      </c>
      <c r="D171" s="102">
        <v>57041527</v>
      </c>
      <c r="E171" s="134">
        <v>60.1</v>
      </c>
      <c r="F171" s="99">
        <v>570</v>
      </c>
      <c r="G171" s="99">
        <f t="shared" si="27"/>
        <v>34257</v>
      </c>
      <c r="H171" s="100" t="s">
        <v>65</v>
      </c>
      <c r="I171" s="391" t="s">
        <v>66</v>
      </c>
      <c r="J171" s="95"/>
      <c r="K171" s="102"/>
      <c r="L171" s="102"/>
      <c r="M171" s="102"/>
      <c r="N171" s="103"/>
    </row>
    <row r="172" spans="1:14" x14ac:dyDescent="0.25">
      <c r="A172" s="102">
        <f t="shared" si="28"/>
        <v>140</v>
      </c>
      <c r="B172" s="124">
        <v>46047</v>
      </c>
      <c r="C172" s="361" t="s">
        <v>519</v>
      </c>
      <c r="D172" s="102">
        <v>50790021</v>
      </c>
      <c r="E172" s="134">
        <v>61.5</v>
      </c>
      <c r="F172" s="99">
        <v>570</v>
      </c>
      <c r="G172" s="99">
        <f t="shared" si="27"/>
        <v>35055</v>
      </c>
      <c r="H172" s="100" t="s">
        <v>65</v>
      </c>
      <c r="I172" s="391" t="s">
        <v>66</v>
      </c>
      <c r="J172" s="95"/>
      <c r="K172" s="102"/>
      <c r="L172" s="102"/>
      <c r="M172" s="102"/>
      <c r="N172" s="103"/>
    </row>
    <row r="173" spans="1:14" ht="15.75" thickBot="1" x14ac:dyDescent="0.3">
      <c r="A173" s="102">
        <f t="shared" si="28"/>
        <v>141</v>
      </c>
      <c r="B173" s="124">
        <v>46047</v>
      </c>
      <c r="C173" s="385" t="s">
        <v>519</v>
      </c>
      <c r="D173" s="150">
        <v>57399453</v>
      </c>
      <c r="E173" s="152">
        <v>61.25</v>
      </c>
      <c r="F173" s="99">
        <v>570</v>
      </c>
      <c r="G173" s="99">
        <f t="shared" si="27"/>
        <v>34912.5</v>
      </c>
      <c r="H173" s="100" t="s">
        <v>65</v>
      </c>
      <c r="I173" s="391" t="s">
        <v>66</v>
      </c>
      <c r="J173" s="104"/>
      <c r="K173" s="150"/>
      <c r="L173" s="150"/>
      <c r="M173" s="150"/>
      <c r="N173" s="151"/>
    </row>
    <row r="174" spans="1:14" ht="15.75" thickBot="1" x14ac:dyDescent="0.3">
      <c r="A174" s="327"/>
      <c r="B174" s="328"/>
      <c r="C174" s="387"/>
      <c r="D174" s="328"/>
      <c r="E174" s="342">
        <f>SUM(E165:E173)</f>
        <v>543.30000000000007</v>
      </c>
      <c r="F174" s="328"/>
      <c r="G174" s="332">
        <f>SUM(G165:G173)</f>
        <v>309681</v>
      </c>
      <c r="H174" s="328"/>
      <c r="I174" s="333"/>
      <c r="J174" s="327"/>
      <c r="K174" s="328"/>
      <c r="L174" s="328"/>
      <c r="M174" s="328"/>
      <c r="N174" s="334"/>
    </row>
    <row r="175" spans="1:14" ht="15.75" thickBot="1" x14ac:dyDescent="0.3">
      <c r="A175" s="226">
        <v>142</v>
      </c>
      <c r="B175" s="170">
        <v>46047</v>
      </c>
      <c r="C175" s="385" t="s">
        <v>520</v>
      </c>
      <c r="D175" s="226">
        <v>74951229</v>
      </c>
      <c r="E175" s="273">
        <v>61.45</v>
      </c>
      <c r="F175" s="109">
        <v>570</v>
      </c>
      <c r="G175" s="109">
        <f t="shared" ref="G175" si="29">E175*F175</f>
        <v>35026.5</v>
      </c>
      <c r="H175" s="110" t="s">
        <v>65</v>
      </c>
      <c r="I175" s="393" t="s">
        <v>66</v>
      </c>
      <c r="J175" s="238"/>
      <c r="K175" s="245"/>
      <c r="L175" s="245"/>
      <c r="M175" s="245"/>
      <c r="N175" s="247"/>
    </row>
    <row r="176" spans="1:14" ht="15.75" thickBot="1" x14ac:dyDescent="0.3">
      <c r="A176" s="327"/>
      <c r="B176" s="394"/>
      <c r="C176" s="387"/>
      <c r="D176" s="328"/>
      <c r="E176" s="342">
        <f>E175</f>
        <v>61.45</v>
      </c>
      <c r="F176" s="328"/>
      <c r="G176" s="332">
        <f>G175</f>
        <v>35026.5</v>
      </c>
      <c r="H176" s="328"/>
      <c r="I176" s="333"/>
      <c r="J176" s="327"/>
      <c r="K176" s="328"/>
      <c r="L176" s="328"/>
      <c r="M176" s="328"/>
      <c r="N176" s="334"/>
    </row>
    <row r="177" spans="1:14" x14ac:dyDescent="0.25">
      <c r="A177" s="102">
        <v>143</v>
      </c>
      <c r="B177" s="136">
        <v>46048</v>
      </c>
      <c r="C177" s="361" t="s">
        <v>521</v>
      </c>
      <c r="D177" s="102">
        <v>57501595</v>
      </c>
      <c r="E177" s="134">
        <v>61.05</v>
      </c>
      <c r="F177" s="99">
        <v>570</v>
      </c>
      <c r="G177" s="99">
        <f t="shared" ref="G177:G182" si="30">E177*F177</f>
        <v>34798.5</v>
      </c>
      <c r="H177" s="100" t="s">
        <v>65</v>
      </c>
      <c r="I177" s="391" t="s">
        <v>66</v>
      </c>
      <c r="J177" s="131"/>
      <c r="K177" s="133"/>
      <c r="L177" s="133"/>
      <c r="M177" s="133"/>
      <c r="N177" s="135"/>
    </row>
    <row r="178" spans="1:14" x14ac:dyDescent="0.25">
      <c r="A178" s="102">
        <f>A177+1</f>
        <v>144</v>
      </c>
      <c r="B178" s="136">
        <v>46048</v>
      </c>
      <c r="C178" s="361" t="s">
        <v>521</v>
      </c>
      <c r="D178" s="102">
        <v>50215417</v>
      </c>
      <c r="E178" s="134">
        <v>60.85</v>
      </c>
      <c r="F178" s="99">
        <v>570</v>
      </c>
      <c r="G178" s="99">
        <f t="shared" si="30"/>
        <v>34684.5</v>
      </c>
      <c r="H178" s="100" t="s">
        <v>65</v>
      </c>
      <c r="I178" s="391" t="s">
        <v>66</v>
      </c>
      <c r="J178" s="95"/>
      <c r="K178" s="102"/>
      <c r="L178" s="102"/>
      <c r="M178" s="102"/>
      <c r="N178" s="103"/>
    </row>
    <row r="179" spans="1:14" x14ac:dyDescent="0.25">
      <c r="A179" s="102">
        <f t="shared" ref="A179:A182" si="31">A178+1</f>
        <v>145</v>
      </c>
      <c r="B179" s="136">
        <v>46048</v>
      </c>
      <c r="C179" s="361" t="s">
        <v>521</v>
      </c>
      <c r="D179" s="102">
        <v>54046925</v>
      </c>
      <c r="E179" s="134">
        <v>60.85</v>
      </c>
      <c r="F179" s="99">
        <v>570</v>
      </c>
      <c r="G179" s="99">
        <f t="shared" si="30"/>
        <v>34684.5</v>
      </c>
      <c r="H179" s="100" t="s">
        <v>65</v>
      </c>
      <c r="I179" s="391" t="s">
        <v>66</v>
      </c>
      <c r="J179" s="95"/>
      <c r="K179" s="102"/>
      <c r="L179" s="102"/>
      <c r="M179" s="102"/>
      <c r="N179" s="103"/>
    </row>
    <row r="180" spans="1:14" x14ac:dyDescent="0.25">
      <c r="A180" s="102">
        <f t="shared" si="31"/>
        <v>146</v>
      </c>
      <c r="B180" s="136">
        <v>46048</v>
      </c>
      <c r="C180" s="361" t="s">
        <v>521</v>
      </c>
      <c r="D180" s="102">
        <v>75046433</v>
      </c>
      <c r="E180" s="134">
        <v>61.05</v>
      </c>
      <c r="F180" s="99">
        <v>570</v>
      </c>
      <c r="G180" s="99">
        <f t="shared" si="30"/>
        <v>34798.5</v>
      </c>
      <c r="H180" s="100" t="s">
        <v>65</v>
      </c>
      <c r="I180" s="391" t="s">
        <v>66</v>
      </c>
      <c r="J180" s="95"/>
      <c r="K180" s="102"/>
      <c r="L180" s="102"/>
      <c r="M180" s="102"/>
      <c r="N180" s="103"/>
    </row>
    <row r="181" spans="1:14" x14ac:dyDescent="0.25">
      <c r="A181" s="102">
        <f t="shared" si="31"/>
        <v>147</v>
      </c>
      <c r="B181" s="136">
        <v>46048</v>
      </c>
      <c r="C181" s="361" t="s">
        <v>521</v>
      </c>
      <c r="D181" s="102">
        <v>50753904</v>
      </c>
      <c r="E181" s="134">
        <v>51.65</v>
      </c>
      <c r="F181" s="99">
        <v>570</v>
      </c>
      <c r="G181" s="99">
        <f t="shared" si="30"/>
        <v>29440.5</v>
      </c>
      <c r="H181" s="100" t="s">
        <v>65</v>
      </c>
      <c r="I181" s="391" t="s">
        <v>66</v>
      </c>
      <c r="J181" s="95"/>
      <c r="K181" s="102"/>
      <c r="L181" s="102"/>
      <c r="M181" s="102"/>
      <c r="N181" s="103"/>
    </row>
    <row r="182" spans="1:14" ht="15.75" thickBot="1" x14ac:dyDescent="0.3">
      <c r="A182" s="150">
        <f t="shared" si="31"/>
        <v>148</v>
      </c>
      <c r="B182" s="183">
        <v>46048</v>
      </c>
      <c r="C182" s="395" t="s">
        <v>521</v>
      </c>
      <c r="D182" s="150">
        <v>57375792</v>
      </c>
      <c r="E182" s="152">
        <v>51.95</v>
      </c>
      <c r="F182" s="109">
        <v>570</v>
      </c>
      <c r="G182" s="109">
        <f t="shared" si="30"/>
        <v>29611.5</v>
      </c>
      <c r="H182" s="110" t="s">
        <v>65</v>
      </c>
      <c r="I182" s="393" t="s">
        <v>66</v>
      </c>
      <c r="J182" s="104"/>
      <c r="K182" s="150"/>
      <c r="L182" s="150"/>
      <c r="M182" s="150"/>
      <c r="N182" s="151"/>
    </row>
    <row r="183" spans="1:14" ht="21" customHeight="1" thickBot="1" x14ac:dyDescent="0.3">
      <c r="A183" s="343"/>
      <c r="B183" s="396"/>
      <c r="C183" s="397"/>
      <c r="D183" s="344"/>
      <c r="E183" s="354">
        <f>SUM(E177:E182)</f>
        <v>347.4</v>
      </c>
      <c r="F183" s="344"/>
      <c r="G183" s="355">
        <f>SUM(G177:G182)</f>
        <v>198018</v>
      </c>
      <c r="H183" s="344"/>
      <c r="I183" s="356"/>
      <c r="J183" s="343"/>
      <c r="K183" s="344"/>
      <c r="L183" s="344"/>
      <c r="M183" s="344"/>
      <c r="N183" s="345"/>
    </row>
    <row r="184" spans="1:14" x14ac:dyDescent="0.25">
      <c r="A184" s="131">
        <v>149</v>
      </c>
      <c r="B184" s="132">
        <v>46051</v>
      </c>
      <c r="C184" s="359" t="s">
        <v>522</v>
      </c>
      <c r="D184" s="313">
        <v>57212755</v>
      </c>
      <c r="E184" s="314">
        <v>61.3</v>
      </c>
      <c r="F184" s="145">
        <v>570</v>
      </c>
      <c r="G184" s="145">
        <f t="shared" ref="G184:G187" si="32">E184*F184</f>
        <v>34941</v>
      </c>
      <c r="H184" s="146" t="s">
        <v>65</v>
      </c>
      <c r="I184" s="147" t="s">
        <v>66</v>
      </c>
      <c r="J184" s="131"/>
      <c r="K184" s="133"/>
      <c r="L184" s="133"/>
      <c r="M184" s="133"/>
      <c r="N184" s="135"/>
    </row>
    <row r="185" spans="1:14" x14ac:dyDescent="0.25">
      <c r="A185" s="95">
        <f>A184+1</f>
        <v>150</v>
      </c>
      <c r="B185" s="136">
        <v>46051</v>
      </c>
      <c r="C185" s="361" t="s">
        <v>522</v>
      </c>
      <c r="D185" s="317">
        <v>75006809</v>
      </c>
      <c r="E185" s="318">
        <v>61.3</v>
      </c>
      <c r="F185" s="99">
        <v>570</v>
      </c>
      <c r="G185" s="99">
        <f>E185*F185</f>
        <v>34941</v>
      </c>
      <c r="H185" s="100" t="s">
        <v>65</v>
      </c>
      <c r="I185" s="101" t="s">
        <v>66</v>
      </c>
      <c r="J185" s="95"/>
      <c r="K185" s="102"/>
      <c r="L185" s="102"/>
      <c r="M185" s="102"/>
      <c r="N185" s="103"/>
    </row>
    <row r="186" spans="1:14" x14ac:dyDescent="0.25">
      <c r="A186" s="95">
        <f>A185+1</f>
        <v>151</v>
      </c>
      <c r="B186" s="136">
        <v>46051</v>
      </c>
      <c r="C186" s="361" t="s">
        <v>523</v>
      </c>
      <c r="D186" s="317">
        <v>58710153</v>
      </c>
      <c r="E186" s="318">
        <v>61.35</v>
      </c>
      <c r="F186" s="99">
        <v>570</v>
      </c>
      <c r="G186" s="99">
        <f t="shared" si="32"/>
        <v>34969.5</v>
      </c>
      <c r="H186" s="100" t="s">
        <v>65</v>
      </c>
      <c r="I186" s="101" t="s">
        <v>66</v>
      </c>
      <c r="J186" s="95"/>
      <c r="K186" s="102"/>
      <c r="L186" s="102"/>
      <c r="M186" s="102"/>
      <c r="N186" s="103"/>
    </row>
    <row r="187" spans="1:14" ht="15.75" thickBot="1" x14ac:dyDescent="0.3">
      <c r="A187" s="112">
        <f>A186+1</f>
        <v>152</v>
      </c>
      <c r="B187" s="141">
        <v>46051</v>
      </c>
      <c r="C187" s="363" t="s">
        <v>523</v>
      </c>
      <c r="D187" s="321">
        <v>75102202</v>
      </c>
      <c r="E187" s="322">
        <v>61.7</v>
      </c>
      <c r="F187" s="157">
        <v>570</v>
      </c>
      <c r="G187" s="157">
        <f t="shared" si="32"/>
        <v>35169</v>
      </c>
      <c r="H187" s="158" t="s">
        <v>65</v>
      </c>
      <c r="I187" s="159" t="s">
        <v>66</v>
      </c>
      <c r="J187" s="160"/>
      <c r="K187" s="161"/>
      <c r="L187" s="161"/>
      <c r="M187" s="161"/>
      <c r="N187" s="162"/>
    </row>
    <row r="188" spans="1:14" ht="15.75" thickBot="1" x14ac:dyDescent="0.3">
      <c r="A188" s="365"/>
      <c r="B188" s="398"/>
      <c r="C188" s="399"/>
      <c r="D188" s="366"/>
      <c r="E188" s="367">
        <f>SUM(E184:E187)</f>
        <v>245.64999999999998</v>
      </c>
      <c r="F188" s="366"/>
      <c r="G188" s="368">
        <f>SUM(G184:G187)</f>
        <v>140020.5</v>
      </c>
      <c r="H188" s="366"/>
      <c r="I188" s="369"/>
      <c r="J188" s="327"/>
      <c r="K188" s="328"/>
      <c r="L188" s="328"/>
      <c r="M188" s="328"/>
      <c r="N188" s="334"/>
    </row>
    <row r="189" spans="1:14" ht="15.75" thickBot="1" x14ac:dyDescent="0.3">
      <c r="A189" s="370"/>
      <c r="B189" s="371"/>
      <c r="C189" s="371"/>
      <c r="D189" s="371"/>
      <c r="E189" s="372">
        <f>E22+E36+E45+E56+E68+E78+E80+E86+E88+E97+E100+E104+E125+E146+E150+E176+E174+E164+E183+E188</f>
        <v>9948.149999999996</v>
      </c>
      <c r="F189" s="371"/>
      <c r="G189" s="373">
        <f>G22+G36+G45+G56+G68+G78+G80+G86+G88+G97+G100+G104+G125+G146+G150+G176+G174+G164+G183+G188</f>
        <v>5670445.5</v>
      </c>
      <c r="H189" s="371"/>
      <c r="I189" s="374"/>
      <c r="J189" s="370"/>
      <c r="K189" s="371"/>
      <c r="L189" s="371"/>
      <c r="M189" s="371"/>
      <c r="N189" s="375"/>
    </row>
    <row r="191" spans="1:14" ht="15.75" thickBot="1" x14ac:dyDescent="0.3"/>
    <row r="192" spans="1:14" x14ac:dyDescent="0.25">
      <c r="B192" s="630" t="s">
        <v>494</v>
      </c>
      <c r="C192" s="631"/>
      <c r="D192" s="632"/>
      <c r="E192" s="298">
        <v>10000</v>
      </c>
    </row>
    <row r="193" spans="2:8" x14ac:dyDescent="0.25">
      <c r="B193" s="633" t="s">
        <v>495</v>
      </c>
      <c r="C193" s="634"/>
      <c r="D193" s="635"/>
      <c r="E193" s="299">
        <f>E189</f>
        <v>9948.149999999996</v>
      </c>
    </row>
    <row r="194" spans="2:8" ht="15.75" thickBot="1" x14ac:dyDescent="0.3">
      <c r="B194" s="636" t="s">
        <v>496</v>
      </c>
      <c r="C194" s="637"/>
      <c r="D194" s="638"/>
      <c r="E194" s="300">
        <f>E192-E193</f>
        <v>51.850000000004002</v>
      </c>
    </row>
    <row r="195" spans="2:8" x14ac:dyDescent="0.25">
      <c r="H195" s="665">
        <f>G22+G36+G45+G56+G68+G78+G80+G86+G88+G97+G100+G104+G125+G146+G150+G164+G174+G176+G183+G188</f>
        <v>5670445.5</v>
      </c>
    </row>
  </sheetData>
  <mergeCells count="5">
    <mergeCell ref="B192:D192"/>
    <mergeCell ref="B193:D193"/>
    <mergeCell ref="B194:D194"/>
    <mergeCell ref="A1:N1"/>
    <mergeCell ref="A2:N2"/>
  </mergeCells>
  <conditionalFormatting sqref="D3">
    <cfRule type="duplicateValues" dxfId="8" priority="2"/>
  </conditionalFormatting>
  <conditionalFormatting sqref="D192:D194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0"/>
  <sheetViews>
    <sheetView topLeftCell="A321" workbookViewId="0">
      <selection activeCell="G348" sqref="G348"/>
    </sheetView>
  </sheetViews>
  <sheetFormatPr defaultColWidth="9.140625" defaultRowHeight="15" x14ac:dyDescent="0.25"/>
  <cols>
    <col min="1" max="1" width="9.140625" style="69"/>
    <col min="2" max="2" width="10.85546875" style="69" customWidth="1"/>
    <col min="3" max="3" width="11.28515625" style="69" customWidth="1"/>
    <col min="4" max="4" width="11.5703125" style="297" bestFit="1" customWidth="1"/>
    <col min="5" max="5" width="11.28515625" style="69" bestFit="1" customWidth="1"/>
    <col min="6" max="6" width="11.140625" style="69" customWidth="1"/>
    <col min="7" max="7" width="15" style="69" customWidth="1"/>
    <col min="8" max="8" width="15.28515625" style="69" customWidth="1"/>
    <col min="9" max="10" width="9.140625" style="69"/>
    <col min="11" max="11" width="10.140625" style="69" bestFit="1" customWidth="1"/>
    <col min="12" max="12" width="22.42578125" style="69" customWidth="1"/>
    <col min="13" max="13" width="20.42578125" style="69" customWidth="1"/>
    <col min="14" max="16" width="9.140625" style="69"/>
    <col min="17" max="17" width="10" style="69" bestFit="1" customWidth="1"/>
    <col min="18" max="16384" width="9.140625" style="69"/>
  </cols>
  <sheetData>
    <row r="1" spans="1:14" x14ac:dyDescent="0.25">
      <c r="A1" s="639" t="s">
        <v>47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</row>
    <row r="2" spans="1:14" ht="15.75" thickBot="1" x14ac:dyDescent="0.3">
      <c r="A2" s="641" t="s">
        <v>48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</row>
    <row r="3" spans="1:14" ht="15.75" thickBot="1" x14ac:dyDescent="0.3">
      <c r="A3" s="642" t="s">
        <v>49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</row>
    <row r="4" spans="1:14" ht="15.75" thickBot="1" x14ac:dyDescent="0.3">
      <c r="A4" s="643" t="s">
        <v>50</v>
      </c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  <c r="N4" s="643"/>
    </row>
    <row r="5" spans="1:14" ht="60.75" thickBot="1" x14ac:dyDescent="0.3">
      <c r="A5" s="70" t="s">
        <v>51</v>
      </c>
      <c r="B5" s="71" t="s">
        <v>1</v>
      </c>
      <c r="C5" s="72" t="s">
        <v>52</v>
      </c>
      <c r="D5" s="73" t="s">
        <v>53</v>
      </c>
      <c r="E5" s="74" t="s">
        <v>54</v>
      </c>
      <c r="F5" s="75" t="s">
        <v>55</v>
      </c>
      <c r="G5" s="76" t="s">
        <v>56</v>
      </c>
      <c r="H5" s="77" t="s">
        <v>57</v>
      </c>
      <c r="I5" s="78" t="s">
        <v>58</v>
      </c>
      <c r="J5" s="79" t="s">
        <v>59</v>
      </c>
      <c r="K5" s="80" t="s">
        <v>60</v>
      </c>
      <c r="L5" s="80" t="s">
        <v>61</v>
      </c>
      <c r="M5" s="80" t="s">
        <v>10</v>
      </c>
      <c r="N5" s="81" t="s">
        <v>62</v>
      </c>
    </row>
    <row r="6" spans="1:14" x14ac:dyDescent="0.25">
      <c r="A6" s="82">
        <v>1</v>
      </c>
      <c r="B6" s="83">
        <v>46013</v>
      </c>
      <c r="C6" s="84" t="s">
        <v>63</v>
      </c>
      <c r="D6" s="85" t="s">
        <v>64</v>
      </c>
      <c r="E6" s="86">
        <v>57.1</v>
      </c>
      <c r="F6" s="87">
        <v>610</v>
      </c>
      <c r="G6" s="87">
        <f>E6*F6</f>
        <v>34831</v>
      </c>
      <c r="H6" s="88" t="s">
        <v>65</v>
      </c>
      <c r="I6" s="89" t="s">
        <v>66</v>
      </c>
      <c r="J6" s="90"/>
      <c r="K6" s="91"/>
      <c r="L6" s="92"/>
      <c r="M6" s="93"/>
      <c r="N6" s="94"/>
    </row>
    <row r="7" spans="1:14" x14ac:dyDescent="0.25">
      <c r="A7" s="95">
        <f>A6+1</f>
        <v>2</v>
      </c>
      <c r="B7" s="96">
        <v>46013</v>
      </c>
      <c r="C7" s="84" t="s">
        <v>67</v>
      </c>
      <c r="D7" s="97" t="s">
        <v>68</v>
      </c>
      <c r="E7" s="98">
        <v>57.3</v>
      </c>
      <c r="F7" s="99">
        <v>610</v>
      </c>
      <c r="G7" s="99">
        <f t="shared" ref="G7:G19" si="0">E7*F7</f>
        <v>34953</v>
      </c>
      <c r="H7" s="100" t="s">
        <v>65</v>
      </c>
      <c r="I7" s="101" t="s">
        <v>66</v>
      </c>
      <c r="J7" s="95"/>
      <c r="K7" s="102"/>
      <c r="L7" s="102"/>
      <c r="M7" s="102"/>
      <c r="N7" s="103"/>
    </row>
    <row r="8" spans="1:14" x14ac:dyDescent="0.25">
      <c r="A8" s="95">
        <f t="shared" ref="A8:A19" si="1">A7+1</f>
        <v>3</v>
      </c>
      <c r="B8" s="96">
        <v>46013</v>
      </c>
      <c r="C8" s="84" t="s">
        <v>69</v>
      </c>
      <c r="D8" s="97" t="s">
        <v>70</v>
      </c>
      <c r="E8" s="98">
        <v>64.400000000000006</v>
      </c>
      <c r="F8" s="99">
        <v>610</v>
      </c>
      <c r="G8" s="99">
        <f t="shared" si="0"/>
        <v>39284</v>
      </c>
      <c r="H8" s="100" t="s">
        <v>65</v>
      </c>
      <c r="I8" s="101" t="s">
        <v>66</v>
      </c>
      <c r="J8" s="95"/>
      <c r="K8" s="102"/>
      <c r="L8" s="102"/>
      <c r="M8" s="102"/>
      <c r="N8" s="103"/>
    </row>
    <row r="9" spans="1:14" x14ac:dyDescent="0.25">
      <c r="A9" s="95">
        <f t="shared" si="1"/>
        <v>4</v>
      </c>
      <c r="B9" s="96">
        <v>46013</v>
      </c>
      <c r="C9" s="84" t="s">
        <v>69</v>
      </c>
      <c r="D9" s="97" t="s">
        <v>71</v>
      </c>
      <c r="E9" s="98">
        <v>64.5</v>
      </c>
      <c r="F9" s="99">
        <v>610</v>
      </c>
      <c r="G9" s="99">
        <f t="shared" si="0"/>
        <v>39345</v>
      </c>
      <c r="H9" s="100" t="s">
        <v>65</v>
      </c>
      <c r="I9" s="101" t="s">
        <v>66</v>
      </c>
      <c r="J9" s="95"/>
      <c r="K9" s="102"/>
      <c r="L9" s="102"/>
      <c r="M9" s="102"/>
      <c r="N9" s="103"/>
    </row>
    <row r="10" spans="1:14" x14ac:dyDescent="0.25">
      <c r="A10" s="95">
        <f t="shared" si="1"/>
        <v>5</v>
      </c>
      <c r="B10" s="96">
        <v>46013</v>
      </c>
      <c r="C10" s="84" t="s">
        <v>63</v>
      </c>
      <c r="D10" s="97" t="s">
        <v>72</v>
      </c>
      <c r="E10" s="98">
        <v>64.55</v>
      </c>
      <c r="F10" s="99">
        <v>610</v>
      </c>
      <c r="G10" s="99">
        <f t="shared" si="0"/>
        <v>39375.5</v>
      </c>
      <c r="H10" s="100" t="s">
        <v>65</v>
      </c>
      <c r="I10" s="101" t="s">
        <v>66</v>
      </c>
      <c r="J10" s="95"/>
      <c r="K10" s="102"/>
      <c r="L10" s="102"/>
      <c r="M10" s="102"/>
      <c r="N10" s="103"/>
    </row>
    <row r="11" spans="1:14" x14ac:dyDescent="0.25">
      <c r="A11" s="95">
        <f t="shared" si="1"/>
        <v>6</v>
      </c>
      <c r="B11" s="96">
        <v>46013</v>
      </c>
      <c r="C11" s="84" t="s">
        <v>69</v>
      </c>
      <c r="D11" s="97" t="s">
        <v>73</v>
      </c>
      <c r="E11" s="98">
        <v>64.55</v>
      </c>
      <c r="F11" s="99">
        <v>610</v>
      </c>
      <c r="G11" s="99">
        <f t="shared" si="0"/>
        <v>39375.5</v>
      </c>
      <c r="H11" s="100" t="s">
        <v>65</v>
      </c>
      <c r="I11" s="101" t="s">
        <v>66</v>
      </c>
      <c r="J11" s="95"/>
      <c r="K11" s="102"/>
      <c r="L11" s="102"/>
      <c r="M11" s="102"/>
      <c r="N11" s="103"/>
    </row>
    <row r="12" spans="1:14" x14ac:dyDescent="0.25">
      <c r="A12" s="95">
        <f t="shared" si="1"/>
        <v>7</v>
      </c>
      <c r="B12" s="96">
        <v>46013</v>
      </c>
      <c r="C12" s="84" t="s">
        <v>69</v>
      </c>
      <c r="D12" s="97" t="s">
        <v>74</v>
      </c>
      <c r="E12" s="98">
        <v>64.55</v>
      </c>
      <c r="F12" s="99">
        <v>610</v>
      </c>
      <c r="G12" s="99">
        <f t="shared" si="0"/>
        <v>39375.5</v>
      </c>
      <c r="H12" s="100" t="s">
        <v>65</v>
      </c>
      <c r="I12" s="101" t="s">
        <v>66</v>
      </c>
      <c r="J12" s="95"/>
      <c r="K12" s="102"/>
      <c r="L12" s="102"/>
      <c r="M12" s="102"/>
      <c r="N12" s="103"/>
    </row>
    <row r="13" spans="1:14" x14ac:dyDescent="0.25">
      <c r="A13" s="95">
        <f t="shared" si="1"/>
        <v>8</v>
      </c>
      <c r="B13" s="96">
        <v>46013</v>
      </c>
      <c r="C13" s="84" t="s">
        <v>69</v>
      </c>
      <c r="D13" s="97" t="s">
        <v>75</v>
      </c>
      <c r="E13" s="98">
        <v>64.55</v>
      </c>
      <c r="F13" s="99">
        <v>610</v>
      </c>
      <c r="G13" s="99">
        <f t="shared" si="0"/>
        <v>39375.5</v>
      </c>
      <c r="H13" s="100" t="s">
        <v>65</v>
      </c>
      <c r="I13" s="101" t="s">
        <v>66</v>
      </c>
      <c r="J13" s="95"/>
      <c r="K13" s="102"/>
      <c r="L13" s="102"/>
      <c r="M13" s="102"/>
      <c r="N13" s="103"/>
    </row>
    <row r="14" spans="1:14" x14ac:dyDescent="0.25">
      <c r="A14" s="95">
        <f t="shared" si="1"/>
        <v>9</v>
      </c>
      <c r="B14" s="96">
        <v>46013</v>
      </c>
      <c r="C14" s="84" t="s">
        <v>69</v>
      </c>
      <c r="D14" s="97" t="s">
        <v>76</v>
      </c>
      <c r="E14" s="98">
        <v>64.599999999999994</v>
      </c>
      <c r="F14" s="99">
        <v>610</v>
      </c>
      <c r="G14" s="99">
        <f t="shared" si="0"/>
        <v>39406</v>
      </c>
      <c r="H14" s="100" t="s">
        <v>65</v>
      </c>
      <c r="I14" s="101" t="s">
        <v>66</v>
      </c>
      <c r="J14" s="95"/>
      <c r="K14" s="102"/>
      <c r="L14" s="102"/>
      <c r="M14" s="102"/>
      <c r="N14" s="103"/>
    </row>
    <row r="15" spans="1:14" x14ac:dyDescent="0.25">
      <c r="A15" s="95">
        <f t="shared" si="1"/>
        <v>10</v>
      </c>
      <c r="B15" s="96">
        <v>46013</v>
      </c>
      <c r="C15" s="84" t="s">
        <v>69</v>
      </c>
      <c r="D15" s="97" t="s">
        <v>77</v>
      </c>
      <c r="E15" s="98">
        <v>64.599999999999994</v>
      </c>
      <c r="F15" s="99">
        <v>610</v>
      </c>
      <c r="G15" s="99">
        <f t="shared" si="0"/>
        <v>39406</v>
      </c>
      <c r="H15" s="100" t="s">
        <v>65</v>
      </c>
      <c r="I15" s="101" t="s">
        <v>66</v>
      </c>
      <c r="J15" s="95"/>
      <c r="K15" s="102"/>
      <c r="L15" s="102"/>
      <c r="M15" s="102"/>
      <c r="N15" s="103"/>
    </row>
    <row r="16" spans="1:14" x14ac:dyDescent="0.25">
      <c r="A16" s="95">
        <f t="shared" si="1"/>
        <v>11</v>
      </c>
      <c r="B16" s="96">
        <v>46013</v>
      </c>
      <c r="C16" s="84" t="s">
        <v>78</v>
      </c>
      <c r="D16" s="97" t="s">
        <v>79</v>
      </c>
      <c r="E16" s="98">
        <v>64.599999999999994</v>
      </c>
      <c r="F16" s="99">
        <v>610</v>
      </c>
      <c r="G16" s="99">
        <f t="shared" si="0"/>
        <v>39406</v>
      </c>
      <c r="H16" s="100" t="s">
        <v>65</v>
      </c>
      <c r="I16" s="101" t="s">
        <v>66</v>
      </c>
      <c r="J16" s="95"/>
      <c r="K16" s="102"/>
      <c r="L16" s="102"/>
      <c r="M16" s="102"/>
      <c r="N16" s="103"/>
    </row>
    <row r="17" spans="1:17" x14ac:dyDescent="0.25">
      <c r="A17" s="95">
        <f t="shared" si="1"/>
        <v>12</v>
      </c>
      <c r="B17" s="96">
        <v>46013</v>
      </c>
      <c r="C17" s="84" t="s">
        <v>80</v>
      </c>
      <c r="D17" s="97" t="s">
        <v>81</v>
      </c>
      <c r="E17" s="98">
        <v>64.650000000000006</v>
      </c>
      <c r="F17" s="99">
        <v>610</v>
      </c>
      <c r="G17" s="99">
        <f t="shared" si="0"/>
        <v>39436.5</v>
      </c>
      <c r="H17" s="100" t="s">
        <v>65</v>
      </c>
      <c r="I17" s="101" t="s">
        <v>66</v>
      </c>
      <c r="J17" s="95"/>
      <c r="K17" s="102"/>
      <c r="L17" s="102"/>
      <c r="M17" s="102"/>
      <c r="N17" s="103"/>
    </row>
    <row r="18" spans="1:17" x14ac:dyDescent="0.25">
      <c r="A18" s="95">
        <f t="shared" si="1"/>
        <v>13</v>
      </c>
      <c r="B18" s="96">
        <v>46013</v>
      </c>
      <c r="C18" s="84" t="s">
        <v>82</v>
      </c>
      <c r="D18" s="97" t="s">
        <v>83</v>
      </c>
      <c r="E18" s="98">
        <v>64.650000000000006</v>
      </c>
      <c r="F18" s="99">
        <v>610</v>
      </c>
      <c r="G18" s="99">
        <f t="shared" si="0"/>
        <v>39436.5</v>
      </c>
      <c r="H18" s="100" t="s">
        <v>65</v>
      </c>
      <c r="I18" s="101" t="s">
        <v>66</v>
      </c>
      <c r="J18" s="95"/>
      <c r="K18" s="102"/>
      <c r="L18" s="102"/>
      <c r="M18" s="102"/>
      <c r="N18" s="103"/>
    </row>
    <row r="19" spans="1:17" ht="15.75" thickBot="1" x14ac:dyDescent="0.3">
      <c r="A19" s="104">
        <f t="shared" si="1"/>
        <v>14</v>
      </c>
      <c r="B19" s="105">
        <v>46013</v>
      </c>
      <c r="C19" s="106" t="s">
        <v>84</v>
      </c>
      <c r="D19" s="107" t="s">
        <v>85</v>
      </c>
      <c r="E19" s="108">
        <v>64.7</v>
      </c>
      <c r="F19" s="109">
        <v>610</v>
      </c>
      <c r="G19" s="109">
        <f t="shared" si="0"/>
        <v>39467</v>
      </c>
      <c r="H19" s="110" t="s">
        <v>65</v>
      </c>
      <c r="I19" s="111" t="s">
        <v>66</v>
      </c>
      <c r="J19" s="112"/>
      <c r="K19" s="113"/>
      <c r="L19" s="113"/>
      <c r="M19" s="113"/>
      <c r="N19" s="114"/>
    </row>
    <row r="20" spans="1:17" ht="15.75" thickBot="1" x14ac:dyDescent="0.3">
      <c r="A20" s="115"/>
      <c r="B20" s="116"/>
      <c r="C20" s="116"/>
      <c r="D20" s="117"/>
      <c r="E20" s="118">
        <f>SUM(E6:E19)</f>
        <v>889.30000000000007</v>
      </c>
      <c r="F20" s="119"/>
      <c r="G20" s="120">
        <f>SUM(G6:G19)</f>
        <v>542473</v>
      </c>
      <c r="H20" s="116"/>
      <c r="I20" s="121"/>
      <c r="J20" s="122"/>
      <c r="K20" s="116"/>
      <c r="L20" s="116"/>
      <c r="M20" s="116"/>
      <c r="N20" s="121"/>
    </row>
    <row r="21" spans="1:17" x14ac:dyDescent="0.25">
      <c r="A21" s="123">
        <v>15</v>
      </c>
      <c r="B21" s="124">
        <v>46014</v>
      </c>
      <c r="C21" s="125" t="s">
        <v>86</v>
      </c>
      <c r="D21" s="126" t="s">
        <v>87</v>
      </c>
      <c r="E21" s="127">
        <v>56.25</v>
      </c>
      <c r="F21" s="128">
        <v>610</v>
      </c>
      <c r="G21" s="128">
        <f t="shared" ref="G21:G29" si="2">E21*F21</f>
        <v>34312.5</v>
      </c>
      <c r="H21" s="129" t="s">
        <v>65</v>
      </c>
      <c r="I21" s="130" t="s">
        <v>66</v>
      </c>
      <c r="J21" s="131"/>
      <c r="K21" s="132">
        <v>46022</v>
      </c>
      <c r="L21" s="133">
        <v>55.872</v>
      </c>
      <c r="M21" s="134">
        <f t="shared" ref="M21:M29" si="3">L21-E21</f>
        <v>-0.37800000000000011</v>
      </c>
      <c r="N21" s="135"/>
    </row>
    <row r="22" spans="1:17" x14ac:dyDescent="0.25">
      <c r="A22" s="102">
        <f>A21+1</f>
        <v>16</v>
      </c>
      <c r="B22" s="136">
        <v>46014</v>
      </c>
      <c r="C22" s="84" t="s">
        <v>86</v>
      </c>
      <c r="D22" s="137" t="s">
        <v>88</v>
      </c>
      <c r="E22" s="138">
        <v>56.7</v>
      </c>
      <c r="F22" s="99">
        <v>610</v>
      </c>
      <c r="G22" s="99">
        <f t="shared" si="2"/>
        <v>34587</v>
      </c>
      <c r="H22" s="100" t="s">
        <v>65</v>
      </c>
      <c r="I22" s="101" t="s">
        <v>66</v>
      </c>
      <c r="J22" s="95"/>
      <c r="K22" s="136">
        <v>46021</v>
      </c>
      <c r="L22" s="102">
        <v>56.792000000000002</v>
      </c>
      <c r="M22" s="134">
        <f t="shared" si="3"/>
        <v>9.1999999999998749E-2</v>
      </c>
      <c r="N22" s="103"/>
    </row>
    <row r="23" spans="1:17" x14ac:dyDescent="0.25">
      <c r="A23" s="102">
        <f t="shared" ref="A23:A29" si="4">A22+1</f>
        <v>17</v>
      </c>
      <c r="B23" s="136">
        <v>46014</v>
      </c>
      <c r="C23" s="84" t="s">
        <v>86</v>
      </c>
      <c r="D23" s="137" t="s">
        <v>89</v>
      </c>
      <c r="E23" s="138">
        <v>56.75</v>
      </c>
      <c r="F23" s="99">
        <v>610</v>
      </c>
      <c r="G23" s="99">
        <f t="shared" si="2"/>
        <v>34617.5</v>
      </c>
      <c r="H23" s="100" t="s">
        <v>65</v>
      </c>
      <c r="I23" s="101" t="s">
        <v>66</v>
      </c>
      <c r="J23" s="95"/>
      <c r="K23" s="136">
        <v>46021</v>
      </c>
      <c r="L23" s="102">
        <v>56.786000000000001</v>
      </c>
      <c r="M23" s="134">
        <f t="shared" si="3"/>
        <v>3.6000000000001364E-2</v>
      </c>
      <c r="N23" s="103"/>
    </row>
    <row r="24" spans="1:17" x14ac:dyDescent="0.25">
      <c r="A24" s="102">
        <f t="shared" si="4"/>
        <v>18</v>
      </c>
      <c r="B24" s="136">
        <v>46014</v>
      </c>
      <c r="C24" s="84" t="s">
        <v>86</v>
      </c>
      <c r="D24" s="137" t="s">
        <v>90</v>
      </c>
      <c r="E24" s="138">
        <v>56.8</v>
      </c>
      <c r="F24" s="99">
        <v>610</v>
      </c>
      <c r="G24" s="99">
        <f t="shared" si="2"/>
        <v>34648</v>
      </c>
      <c r="H24" s="100" t="s">
        <v>65</v>
      </c>
      <c r="I24" s="101" t="s">
        <v>66</v>
      </c>
      <c r="J24" s="95"/>
      <c r="K24" s="136">
        <v>46021</v>
      </c>
      <c r="L24" s="102">
        <v>56.454000000000001</v>
      </c>
      <c r="M24" s="134">
        <f t="shared" si="3"/>
        <v>-0.34599999999999653</v>
      </c>
      <c r="N24" s="103"/>
    </row>
    <row r="25" spans="1:17" x14ac:dyDescent="0.25">
      <c r="A25" s="102">
        <f t="shared" si="4"/>
        <v>19</v>
      </c>
      <c r="B25" s="136">
        <v>46014</v>
      </c>
      <c r="C25" s="84" t="s">
        <v>86</v>
      </c>
      <c r="D25" s="137" t="s">
        <v>91</v>
      </c>
      <c r="E25" s="138">
        <v>56.85</v>
      </c>
      <c r="F25" s="99">
        <v>610</v>
      </c>
      <c r="G25" s="99">
        <f t="shared" si="2"/>
        <v>34678.5</v>
      </c>
      <c r="H25" s="100" t="s">
        <v>65</v>
      </c>
      <c r="I25" s="101" t="s">
        <v>66</v>
      </c>
      <c r="J25" s="95"/>
      <c r="K25" s="136">
        <v>46021</v>
      </c>
      <c r="L25" s="102">
        <v>56.805</v>
      </c>
      <c r="M25" s="134">
        <f t="shared" si="3"/>
        <v>-4.5000000000001705E-2</v>
      </c>
      <c r="N25" s="103"/>
    </row>
    <row r="26" spans="1:17" x14ac:dyDescent="0.25">
      <c r="A26" s="102">
        <f t="shared" si="4"/>
        <v>20</v>
      </c>
      <c r="B26" s="136">
        <v>46014</v>
      </c>
      <c r="C26" s="84" t="s">
        <v>86</v>
      </c>
      <c r="D26" s="137" t="s">
        <v>92</v>
      </c>
      <c r="E26" s="138">
        <v>64.400000000000006</v>
      </c>
      <c r="F26" s="99">
        <v>610</v>
      </c>
      <c r="G26" s="99">
        <f t="shared" si="2"/>
        <v>39284</v>
      </c>
      <c r="H26" s="100" t="s">
        <v>65</v>
      </c>
      <c r="I26" s="101" t="s">
        <v>66</v>
      </c>
      <c r="J26" s="95"/>
      <c r="K26" s="136">
        <v>46021</v>
      </c>
      <c r="L26" s="134">
        <v>64.3</v>
      </c>
      <c r="M26" s="134">
        <f t="shared" si="3"/>
        <v>-0.10000000000000853</v>
      </c>
      <c r="N26" s="103"/>
    </row>
    <row r="27" spans="1:17" x14ac:dyDescent="0.25">
      <c r="A27" s="102">
        <f t="shared" si="4"/>
        <v>21</v>
      </c>
      <c r="B27" s="136">
        <v>46014</v>
      </c>
      <c r="C27" s="84" t="s">
        <v>93</v>
      </c>
      <c r="D27" s="137" t="s">
        <v>94</v>
      </c>
      <c r="E27" s="138">
        <v>64.5</v>
      </c>
      <c r="F27" s="99">
        <v>610</v>
      </c>
      <c r="G27" s="99">
        <f t="shared" si="2"/>
        <v>39345</v>
      </c>
      <c r="H27" s="100" t="s">
        <v>65</v>
      </c>
      <c r="I27" s="101" t="s">
        <v>66</v>
      </c>
      <c r="J27" s="95"/>
      <c r="K27" s="136">
        <v>46021</v>
      </c>
      <c r="L27" s="102">
        <v>64.564999999999998</v>
      </c>
      <c r="M27" s="102">
        <f t="shared" si="3"/>
        <v>6.4999999999997726E-2</v>
      </c>
      <c r="N27" s="103"/>
    </row>
    <row r="28" spans="1:17" x14ac:dyDescent="0.25">
      <c r="A28" s="102">
        <f t="shared" si="4"/>
        <v>22</v>
      </c>
      <c r="B28" s="136">
        <v>46014</v>
      </c>
      <c r="C28" s="84" t="s">
        <v>86</v>
      </c>
      <c r="D28" s="137" t="s">
        <v>95</v>
      </c>
      <c r="E28" s="138">
        <v>64.650000000000006</v>
      </c>
      <c r="F28" s="99">
        <v>610</v>
      </c>
      <c r="G28" s="99">
        <f t="shared" si="2"/>
        <v>39436.5</v>
      </c>
      <c r="H28" s="100" t="s">
        <v>65</v>
      </c>
      <c r="I28" s="101" t="s">
        <v>66</v>
      </c>
      <c r="J28" s="95"/>
      <c r="K28" s="136">
        <v>46021</v>
      </c>
      <c r="L28" s="102">
        <v>64.808999999999997</v>
      </c>
      <c r="M28" s="134">
        <f t="shared" si="3"/>
        <v>0.15899999999999181</v>
      </c>
      <c r="N28" s="103"/>
    </row>
    <row r="29" spans="1:17" ht="15.75" thickBot="1" x14ac:dyDescent="0.3">
      <c r="A29" s="102">
        <f t="shared" si="4"/>
        <v>23</v>
      </c>
      <c r="B29" s="136">
        <v>46014</v>
      </c>
      <c r="C29" s="106" t="s">
        <v>86</v>
      </c>
      <c r="D29" s="139" t="s">
        <v>96</v>
      </c>
      <c r="E29" s="140">
        <v>65</v>
      </c>
      <c r="F29" s="109">
        <v>610</v>
      </c>
      <c r="G29" s="109">
        <f t="shared" si="2"/>
        <v>39650</v>
      </c>
      <c r="H29" s="110" t="s">
        <v>65</v>
      </c>
      <c r="I29" s="111" t="s">
        <v>66</v>
      </c>
      <c r="J29" s="112"/>
      <c r="K29" s="141">
        <v>46022</v>
      </c>
      <c r="L29" s="113">
        <v>64.600999999999999</v>
      </c>
      <c r="M29" s="113">
        <f t="shared" si="3"/>
        <v>-0.39900000000000091</v>
      </c>
      <c r="N29" s="114"/>
    </row>
    <row r="30" spans="1:17" ht="15.75" thickBot="1" x14ac:dyDescent="0.3">
      <c r="A30" s="115"/>
      <c r="B30" s="116"/>
      <c r="C30" s="116"/>
      <c r="D30" s="117"/>
      <c r="E30" s="118">
        <f>SUM(E21:E29)</f>
        <v>541.9</v>
      </c>
      <c r="F30" s="119"/>
      <c r="G30" s="120">
        <f>SUM(G21:G29)</f>
        <v>330559</v>
      </c>
      <c r="H30" s="116"/>
      <c r="I30" s="121"/>
      <c r="J30" s="122"/>
      <c r="K30" s="116"/>
      <c r="L30" s="119">
        <f>SUM(L21:L29)</f>
        <v>540.98400000000004</v>
      </c>
      <c r="M30" s="119">
        <f>SUM(M21:M29)</f>
        <v>-0.91600000000001813</v>
      </c>
      <c r="N30" s="121"/>
    </row>
    <row r="31" spans="1:17" x14ac:dyDescent="0.25">
      <c r="A31" s="131">
        <v>24</v>
      </c>
      <c r="B31" s="132">
        <v>46015</v>
      </c>
      <c r="C31" s="142" t="s">
        <v>97</v>
      </c>
      <c r="D31" s="143" t="s">
        <v>98</v>
      </c>
      <c r="E31" s="144">
        <v>63.15</v>
      </c>
      <c r="F31" s="145">
        <v>610</v>
      </c>
      <c r="G31" s="145">
        <f t="shared" ref="G31:G37" si="5">E31*F31</f>
        <v>38521.5</v>
      </c>
      <c r="H31" s="146" t="s">
        <v>65</v>
      </c>
      <c r="I31" s="147" t="s">
        <v>66</v>
      </c>
      <c r="J31" s="131"/>
      <c r="K31" s="136">
        <v>46022</v>
      </c>
      <c r="L31" s="148">
        <v>63.41</v>
      </c>
      <c r="M31" s="102">
        <f>L31-E31</f>
        <v>0.25999999999999801</v>
      </c>
      <c r="N31" s="135"/>
      <c r="Q31" s="149"/>
    </row>
    <row r="32" spans="1:17" x14ac:dyDescent="0.25">
      <c r="A32" s="95">
        <f>A31+1</f>
        <v>25</v>
      </c>
      <c r="B32" s="124">
        <v>46015</v>
      </c>
      <c r="C32" s="84" t="s">
        <v>97</v>
      </c>
      <c r="D32" s="137" t="s">
        <v>99</v>
      </c>
      <c r="E32" s="138">
        <v>63.15</v>
      </c>
      <c r="F32" s="99">
        <v>610</v>
      </c>
      <c r="G32" s="99">
        <f t="shared" si="5"/>
        <v>38521.5</v>
      </c>
      <c r="H32" s="100" t="s">
        <v>65</v>
      </c>
      <c r="I32" s="101" t="s">
        <v>66</v>
      </c>
      <c r="J32" s="95"/>
      <c r="K32" s="136">
        <v>46022</v>
      </c>
      <c r="L32" s="102">
        <v>62.500999999999998</v>
      </c>
      <c r="M32" s="102">
        <f>L32-E32</f>
        <v>-0.64900000000000091</v>
      </c>
      <c r="N32" s="103"/>
      <c r="Q32" s="149"/>
    </row>
    <row r="33" spans="1:17" x14ac:dyDescent="0.25">
      <c r="A33" s="95">
        <f t="shared" ref="A33:A41" si="6">A32+1</f>
        <v>26</v>
      </c>
      <c r="B33" s="124">
        <v>46015</v>
      </c>
      <c r="C33" s="84" t="s">
        <v>100</v>
      </c>
      <c r="D33" s="137" t="s">
        <v>101</v>
      </c>
      <c r="E33" s="138">
        <v>64.349999999999994</v>
      </c>
      <c r="F33" s="99">
        <v>610</v>
      </c>
      <c r="G33" s="99">
        <f t="shared" si="5"/>
        <v>39253.5</v>
      </c>
      <c r="H33" s="100" t="s">
        <v>65</v>
      </c>
      <c r="I33" s="101" t="s">
        <v>66</v>
      </c>
      <c r="J33" s="95"/>
      <c r="K33" s="102"/>
      <c r="L33" s="102"/>
      <c r="M33" s="102"/>
      <c r="N33" s="103"/>
      <c r="Q33" s="149"/>
    </row>
    <row r="34" spans="1:17" x14ac:dyDescent="0.25">
      <c r="A34" s="95">
        <f t="shared" si="6"/>
        <v>27</v>
      </c>
      <c r="B34" s="124">
        <v>46015</v>
      </c>
      <c r="C34" s="84" t="s">
        <v>100</v>
      </c>
      <c r="D34" s="137" t="s">
        <v>102</v>
      </c>
      <c r="E34" s="138">
        <v>64.400000000000006</v>
      </c>
      <c r="F34" s="99">
        <v>610</v>
      </c>
      <c r="G34" s="99">
        <f t="shared" si="5"/>
        <v>39284</v>
      </c>
      <c r="H34" s="100" t="s">
        <v>65</v>
      </c>
      <c r="I34" s="101" t="s">
        <v>66</v>
      </c>
      <c r="J34" s="95"/>
      <c r="K34" s="102"/>
      <c r="L34" s="102"/>
      <c r="M34" s="102"/>
      <c r="N34" s="103"/>
      <c r="Q34" s="149"/>
    </row>
    <row r="35" spans="1:17" x14ac:dyDescent="0.25">
      <c r="A35" s="95">
        <f t="shared" si="6"/>
        <v>28</v>
      </c>
      <c r="B35" s="124">
        <v>46015</v>
      </c>
      <c r="C35" s="84" t="s">
        <v>103</v>
      </c>
      <c r="D35" s="137" t="s">
        <v>104</v>
      </c>
      <c r="E35" s="138">
        <v>64.400000000000006</v>
      </c>
      <c r="F35" s="99">
        <v>610</v>
      </c>
      <c r="G35" s="99">
        <f t="shared" si="5"/>
        <v>39284</v>
      </c>
      <c r="H35" s="100" t="s">
        <v>65</v>
      </c>
      <c r="I35" s="101" t="s">
        <v>66</v>
      </c>
      <c r="J35" s="95"/>
      <c r="K35" s="136">
        <v>46022</v>
      </c>
      <c r="L35" s="102">
        <v>63.921999999999997</v>
      </c>
      <c r="M35" s="102">
        <f>L35-E35</f>
        <v>-0.47800000000000864</v>
      </c>
      <c r="N35" s="103"/>
      <c r="Q35" s="149"/>
    </row>
    <row r="36" spans="1:17" x14ac:dyDescent="0.25">
      <c r="A36" s="95">
        <f t="shared" si="6"/>
        <v>29</v>
      </c>
      <c r="B36" s="124">
        <v>46015</v>
      </c>
      <c r="C36" s="84" t="s">
        <v>100</v>
      </c>
      <c r="D36" s="137" t="s">
        <v>105</v>
      </c>
      <c r="E36" s="138">
        <v>64.400000000000006</v>
      </c>
      <c r="F36" s="99">
        <v>610</v>
      </c>
      <c r="G36" s="99">
        <f t="shared" si="5"/>
        <v>39284</v>
      </c>
      <c r="H36" s="100" t="s">
        <v>65</v>
      </c>
      <c r="I36" s="101" t="s">
        <v>66</v>
      </c>
      <c r="J36" s="95"/>
      <c r="K36" s="136">
        <v>46022</v>
      </c>
      <c r="L36" s="102">
        <v>64.126000000000005</v>
      </c>
      <c r="M36" s="102">
        <f>L36-E36</f>
        <v>-0.27400000000000091</v>
      </c>
      <c r="N36" s="103"/>
      <c r="Q36" s="149"/>
    </row>
    <row r="37" spans="1:17" x14ac:dyDescent="0.25">
      <c r="A37" s="104">
        <f t="shared" si="6"/>
        <v>30</v>
      </c>
      <c r="B37" s="136">
        <v>46015</v>
      </c>
      <c r="C37" s="84" t="s">
        <v>100</v>
      </c>
      <c r="D37" s="137" t="s">
        <v>106</v>
      </c>
      <c r="E37" s="138">
        <v>64.45</v>
      </c>
      <c r="F37" s="109">
        <v>610</v>
      </c>
      <c r="G37" s="109">
        <f t="shared" si="5"/>
        <v>39314.5</v>
      </c>
      <c r="H37" s="110" t="s">
        <v>65</v>
      </c>
      <c r="I37" s="111" t="s">
        <v>66</v>
      </c>
      <c r="J37" s="104"/>
      <c r="K37" s="150"/>
      <c r="L37" s="150"/>
      <c r="M37" s="150"/>
      <c r="N37" s="151"/>
      <c r="Q37" s="149"/>
    </row>
    <row r="38" spans="1:17" x14ac:dyDescent="0.25">
      <c r="A38" s="104">
        <f t="shared" si="6"/>
        <v>31</v>
      </c>
      <c r="B38" s="136">
        <v>46015</v>
      </c>
      <c r="C38" s="84" t="s">
        <v>100</v>
      </c>
      <c r="D38" s="137" t="s">
        <v>107</v>
      </c>
      <c r="E38" s="138">
        <v>64.55</v>
      </c>
      <c r="F38" s="109">
        <v>610</v>
      </c>
      <c r="G38" s="109">
        <f>E38*F38</f>
        <v>39375.5</v>
      </c>
      <c r="H38" s="110" t="s">
        <v>65</v>
      </c>
      <c r="I38" s="111" t="s">
        <v>66</v>
      </c>
      <c r="J38" s="95"/>
      <c r="K38" s="136">
        <v>46022</v>
      </c>
      <c r="L38" s="102">
        <v>64.156000000000006</v>
      </c>
      <c r="M38" s="102">
        <f>L38-E38</f>
        <v>-0.39399999999999125</v>
      </c>
      <c r="N38" s="103"/>
      <c r="Q38" s="149"/>
    </row>
    <row r="39" spans="1:17" x14ac:dyDescent="0.25">
      <c r="A39" s="104">
        <f t="shared" si="6"/>
        <v>32</v>
      </c>
      <c r="B39" s="136">
        <v>46015</v>
      </c>
      <c r="C39" s="84" t="s">
        <v>100</v>
      </c>
      <c r="D39" s="137" t="s">
        <v>108</v>
      </c>
      <c r="E39" s="138">
        <v>64.55</v>
      </c>
      <c r="F39" s="109">
        <v>610</v>
      </c>
      <c r="G39" s="109">
        <f>E39*F39</f>
        <v>39375.5</v>
      </c>
      <c r="H39" s="110" t="s">
        <v>65</v>
      </c>
      <c r="I39" s="111" t="s">
        <v>66</v>
      </c>
      <c r="J39" s="104"/>
      <c r="K39" s="136">
        <v>46022</v>
      </c>
      <c r="L39" s="152">
        <v>64.239999999999995</v>
      </c>
      <c r="M39" s="102">
        <f>L39-E39</f>
        <v>-0.31000000000000227</v>
      </c>
      <c r="N39" s="151"/>
      <c r="Q39" s="149"/>
    </row>
    <row r="40" spans="1:17" x14ac:dyDescent="0.25">
      <c r="A40" s="104">
        <f t="shared" si="6"/>
        <v>33</v>
      </c>
      <c r="B40" s="136">
        <v>46015</v>
      </c>
      <c r="C40" s="84" t="s">
        <v>109</v>
      </c>
      <c r="D40" s="137" t="s">
        <v>110</v>
      </c>
      <c r="E40" s="138">
        <v>64.599999999999994</v>
      </c>
      <c r="F40" s="109">
        <v>610</v>
      </c>
      <c r="G40" s="109">
        <f>E40*F40</f>
        <v>39406</v>
      </c>
      <c r="H40" s="110" t="s">
        <v>65</v>
      </c>
      <c r="I40" s="111" t="s">
        <v>66</v>
      </c>
      <c r="J40" s="95"/>
      <c r="K40" s="136">
        <v>46022</v>
      </c>
      <c r="L40" s="134">
        <v>64.56</v>
      </c>
      <c r="M40" s="102">
        <f>L40-E40</f>
        <v>-3.9999999999992042E-2</v>
      </c>
      <c r="N40" s="103"/>
      <c r="Q40" s="149"/>
    </row>
    <row r="41" spans="1:17" ht="15.75" thickBot="1" x14ac:dyDescent="0.3">
      <c r="A41" s="112">
        <f t="shared" si="6"/>
        <v>34</v>
      </c>
      <c r="B41" s="153">
        <v>46015</v>
      </c>
      <c r="C41" s="154" t="s">
        <v>111</v>
      </c>
      <c r="D41" s="155" t="s">
        <v>112</v>
      </c>
      <c r="E41" s="156">
        <v>64.7</v>
      </c>
      <c r="F41" s="157">
        <v>610</v>
      </c>
      <c r="G41" s="157">
        <f>E41*F41</f>
        <v>39467</v>
      </c>
      <c r="H41" s="158" t="s">
        <v>65</v>
      </c>
      <c r="I41" s="159" t="s">
        <v>66</v>
      </c>
      <c r="J41" s="160"/>
      <c r="K41" s="136">
        <v>46022</v>
      </c>
      <c r="L41" s="161">
        <v>64.513000000000005</v>
      </c>
      <c r="M41" s="102">
        <f>L41-E41</f>
        <v>-0.18699999999999761</v>
      </c>
      <c r="N41" s="162"/>
      <c r="Q41" s="149"/>
    </row>
    <row r="42" spans="1:17" ht="15.75" thickBot="1" x14ac:dyDescent="0.3">
      <c r="A42" s="115"/>
      <c r="B42" s="163"/>
      <c r="C42" s="164"/>
      <c r="D42" s="165"/>
      <c r="E42" s="166">
        <f>SUM(E31:E41)</f>
        <v>706.7</v>
      </c>
      <c r="F42" s="167"/>
      <c r="G42" s="167">
        <f>SUM(G31:G41)</f>
        <v>431087</v>
      </c>
      <c r="H42" s="168"/>
      <c r="I42" s="169"/>
      <c r="J42" s="115"/>
      <c r="K42" s="116"/>
      <c r="L42" s="118">
        <f>SUM(L31:L41)</f>
        <v>511.428</v>
      </c>
      <c r="M42" s="119">
        <f>SUM(M31:M41)</f>
        <v>-2.0719999999999956</v>
      </c>
      <c r="N42" s="121"/>
    </row>
    <row r="43" spans="1:17" x14ac:dyDescent="0.25">
      <c r="A43" s="131">
        <v>35</v>
      </c>
      <c r="B43" s="132">
        <v>46016</v>
      </c>
      <c r="C43" s="142" t="s">
        <v>113</v>
      </c>
      <c r="D43" s="143" t="s">
        <v>114</v>
      </c>
      <c r="E43" s="144">
        <v>53.8</v>
      </c>
      <c r="F43" s="87">
        <v>610</v>
      </c>
      <c r="G43" s="87">
        <f t="shared" ref="G43:G87" si="7">E43*F43</f>
        <v>32818</v>
      </c>
      <c r="H43" s="88" t="s">
        <v>65</v>
      </c>
      <c r="I43" s="89" t="s">
        <v>66</v>
      </c>
      <c r="J43" s="131"/>
      <c r="K43" s="133"/>
      <c r="L43" s="133"/>
      <c r="M43" s="133"/>
      <c r="N43" s="135"/>
    </row>
    <row r="44" spans="1:17" x14ac:dyDescent="0.25">
      <c r="A44" s="95">
        <f>A43+1</f>
        <v>36</v>
      </c>
      <c r="B44" s="124">
        <v>46016</v>
      </c>
      <c r="C44" s="84" t="s">
        <v>113</v>
      </c>
      <c r="D44" s="137" t="s">
        <v>115</v>
      </c>
      <c r="E44" s="138">
        <v>55.25</v>
      </c>
      <c r="F44" s="109">
        <v>610</v>
      </c>
      <c r="G44" s="109">
        <f t="shared" si="7"/>
        <v>33702.5</v>
      </c>
      <c r="H44" s="110" t="s">
        <v>65</v>
      </c>
      <c r="I44" s="111" t="s">
        <v>66</v>
      </c>
      <c r="J44" s="95"/>
      <c r="K44" s="102"/>
      <c r="L44" s="102"/>
      <c r="M44" s="102"/>
      <c r="N44" s="103"/>
    </row>
    <row r="45" spans="1:17" x14ac:dyDescent="0.25">
      <c r="A45" s="95">
        <f t="shared" ref="A45:A87" si="8">A44+1</f>
        <v>37</v>
      </c>
      <c r="B45" s="124">
        <v>46016</v>
      </c>
      <c r="C45" s="84" t="s">
        <v>116</v>
      </c>
      <c r="D45" s="137" t="s">
        <v>117</v>
      </c>
      <c r="E45" s="138">
        <v>56.1</v>
      </c>
      <c r="F45" s="109">
        <v>610</v>
      </c>
      <c r="G45" s="109">
        <f t="shared" si="7"/>
        <v>34221</v>
      </c>
      <c r="H45" s="110" t="s">
        <v>65</v>
      </c>
      <c r="I45" s="111" t="s">
        <v>66</v>
      </c>
      <c r="J45" s="95"/>
      <c r="K45" s="102"/>
      <c r="L45" s="102"/>
      <c r="M45" s="102"/>
      <c r="N45" s="103"/>
    </row>
    <row r="46" spans="1:17" x14ac:dyDescent="0.25">
      <c r="A46" s="95">
        <f t="shared" si="8"/>
        <v>38</v>
      </c>
      <c r="B46" s="124">
        <v>46016</v>
      </c>
      <c r="C46" s="84" t="s">
        <v>118</v>
      </c>
      <c r="D46" s="137" t="s">
        <v>119</v>
      </c>
      <c r="E46" s="138">
        <v>56.45</v>
      </c>
      <c r="F46" s="109">
        <v>610</v>
      </c>
      <c r="G46" s="109">
        <f t="shared" si="7"/>
        <v>34434.5</v>
      </c>
      <c r="H46" s="110" t="s">
        <v>65</v>
      </c>
      <c r="I46" s="111" t="s">
        <v>66</v>
      </c>
      <c r="J46" s="95"/>
      <c r="K46" s="102"/>
      <c r="L46" s="102"/>
      <c r="M46" s="102"/>
      <c r="N46" s="103"/>
    </row>
    <row r="47" spans="1:17" x14ac:dyDescent="0.25">
      <c r="A47" s="95">
        <f t="shared" si="8"/>
        <v>39</v>
      </c>
      <c r="B47" s="124">
        <v>46016</v>
      </c>
      <c r="C47" s="84" t="s">
        <v>120</v>
      </c>
      <c r="D47" s="137" t="s">
        <v>121</v>
      </c>
      <c r="E47" s="138">
        <v>57.65</v>
      </c>
      <c r="F47" s="109">
        <v>610</v>
      </c>
      <c r="G47" s="109">
        <f t="shared" si="7"/>
        <v>35166.5</v>
      </c>
      <c r="H47" s="110" t="s">
        <v>65</v>
      </c>
      <c r="I47" s="111" t="s">
        <v>66</v>
      </c>
      <c r="J47" s="95"/>
      <c r="K47" s="102"/>
      <c r="L47" s="102"/>
      <c r="M47" s="102"/>
      <c r="N47" s="103"/>
    </row>
    <row r="48" spans="1:17" x14ac:dyDescent="0.25">
      <c r="A48" s="95">
        <f t="shared" si="8"/>
        <v>40</v>
      </c>
      <c r="B48" s="124">
        <v>46016</v>
      </c>
      <c r="C48" s="84" t="s">
        <v>122</v>
      </c>
      <c r="D48" s="137" t="s">
        <v>123</v>
      </c>
      <c r="E48" s="138">
        <v>57.95</v>
      </c>
      <c r="F48" s="109">
        <v>610</v>
      </c>
      <c r="G48" s="109">
        <f t="shared" si="7"/>
        <v>35349.5</v>
      </c>
      <c r="H48" s="110" t="s">
        <v>65</v>
      </c>
      <c r="I48" s="111" t="s">
        <v>66</v>
      </c>
      <c r="J48" s="95"/>
      <c r="K48" s="136">
        <v>46029</v>
      </c>
      <c r="L48" s="102">
        <v>57.468000000000004</v>
      </c>
      <c r="M48" s="134">
        <f>L48-E48</f>
        <v>-0.48199999999999932</v>
      </c>
      <c r="N48" s="103"/>
    </row>
    <row r="49" spans="1:14" x14ac:dyDescent="0.25">
      <c r="A49" s="95">
        <f t="shared" si="8"/>
        <v>41</v>
      </c>
      <c r="B49" s="124">
        <v>46016</v>
      </c>
      <c r="C49" s="84" t="s">
        <v>124</v>
      </c>
      <c r="D49" s="137" t="s">
        <v>125</v>
      </c>
      <c r="E49" s="138">
        <v>58.1</v>
      </c>
      <c r="F49" s="109">
        <v>610</v>
      </c>
      <c r="G49" s="109">
        <f t="shared" si="7"/>
        <v>35441</v>
      </c>
      <c r="H49" s="110" t="s">
        <v>65</v>
      </c>
      <c r="I49" s="111" t="s">
        <v>66</v>
      </c>
      <c r="J49" s="95"/>
      <c r="K49" s="102"/>
      <c r="L49" s="102"/>
      <c r="M49" s="102"/>
      <c r="N49" s="103"/>
    </row>
    <row r="50" spans="1:14" x14ac:dyDescent="0.25">
      <c r="A50" s="95">
        <f t="shared" si="8"/>
        <v>42</v>
      </c>
      <c r="B50" s="124">
        <v>46016</v>
      </c>
      <c r="C50" s="84" t="s">
        <v>113</v>
      </c>
      <c r="D50" s="137" t="s">
        <v>126</v>
      </c>
      <c r="E50" s="138">
        <v>58.15</v>
      </c>
      <c r="F50" s="109">
        <v>610</v>
      </c>
      <c r="G50" s="109">
        <f t="shared" si="7"/>
        <v>35471.5</v>
      </c>
      <c r="H50" s="110" t="s">
        <v>65</v>
      </c>
      <c r="I50" s="111" t="s">
        <v>66</v>
      </c>
      <c r="J50" s="95"/>
      <c r="K50" s="102"/>
      <c r="L50" s="102"/>
      <c r="M50" s="102"/>
      <c r="N50" s="103"/>
    </row>
    <row r="51" spans="1:14" x14ac:dyDescent="0.25">
      <c r="A51" s="95">
        <f t="shared" si="8"/>
        <v>43</v>
      </c>
      <c r="B51" s="124">
        <v>46016</v>
      </c>
      <c r="C51" s="84" t="s">
        <v>113</v>
      </c>
      <c r="D51" s="137" t="s">
        <v>127</v>
      </c>
      <c r="E51" s="138">
        <v>58.25</v>
      </c>
      <c r="F51" s="109">
        <v>610</v>
      </c>
      <c r="G51" s="109">
        <f t="shared" si="7"/>
        <v>35532.5</v>
      </c>
      <c r="H51" s="110" t="s">
        <v>65</v>
      </c>
      <c r="I51" s="111" t="s">
        <v>66</v>
      </c>
      <c r="J51" s="95"/>
      <c r="K51" s="102"/>
      <c r="L51" s="102"/>
      <c r="M51" s="102"/>
      <c r="N51" s="103"/>
    </row>
    <row r="52" spans="1:14" x14ac:dyDescent="0.25">
      <c r="A52" s="104">
        <f t="shared" si="8"/>
        <v>44</v>
      </c>
      <c r="B52" s="170">
        <v>46016</v>
      </c>
      <c r="C52" s="106" t="s">
        <v>124</v>
      </c>
      <c r="D52" s="139" t="s">
        <v>128</v>
      </c>
      <c r="E52" s="140">
        <v>58.45</v>
      </c>
      <c r="F52" s="109">
        <v>610</v>
      </c>
      <c r="G52" s="109">
        <f t="shared" si="7"/>
        <v>35654.5</v>
      </c>
      <c r="H52" s="110" t="s">
        <v>65</v>
      </c>
      <c r="I52" s="111" t="s">
        <v>66</v>
      </c>
      <c r="J52" s="104"/>
      <c r="K52" s="150"/>
      <c r="L52" s="150"/>
      <c r="M52" s="150"/>
      <c r="N52" s="151"/>
    </row>
    <row r="53" spans="1:14" x14ac:dyDescent="0.25">
      <c r="A53" s="104">
        <f t="shared" si="8"/>
        <v>45</v>
      </c>
      <c r="B53" s="136">
        <v>46016</v>
      </c>
      <c r="C53" s="171" t="s">
        <v>124</v>
      </c>
      <c r="D53" s="97" t="s">
        <v>129</v>
      </c>
      <c r="E53" s="172">
        <v>59.3</v>
      </c>
      <c r="F53" s="109">
        <v>610</v>
      </c>
      <c r="G53" s="109">
        <f t="shared" si="7"/>
        <v>36173</v>
      </c>
      <c r="H53" s="110" t="s">
        <v>65</v>
      </c>
      <c r="I53" s="111" t="s">
        <v>66</v>
      </c>
      <c r="J53" s="95"/>
      <c r="K53" s="102"/>
      <c r="L53" s="102"/>
      <c r="M53" s="102"/>
      <c r="N53" s="103"/>
    </row>
    <row r="54" spans="1:14" x14ac:dyDescent="0.25">
      <c r="A54" s="104">
        <f t="shared" si="8"/>
        <v>46</v>
      </c>
      <c r="B54" s="136">
        <v>46016</v>
      </c>
      <c r="C54" s="171" t="s">
        <v>124</v>
      </c>
      <c r="D54" s="97" t="s">
        <v>130</v>
      </c>
      <c r="E54" s="172">
        <v>60.5</v>
      </c>
      <c r="F54" s="109">
        <v>610</v>
      </c>
      <c r="G54" s="109">
        <f t="shared" si="7"/>
        <v>36905</v>
      </c>
      <c r="H54" s="110" t="s">
        <v>65</v>
      </c>
      <c r="I54" s="111" t="s">
        <v>66</v>
      </c>
      <c r="J54" s="95"/>
      <c r="K54" s="102"/>
      <c r="L54" s="102"/>
      <c r="M54" s="102"/>
      <c r="N54" s="103"/>
    </row>
    <row r="55" spans="1:14" x14ac:dyDescent="0.25">
      <c r="A55" s="104">
        <f t="shared" si="8"/>
        <v>47</v>
      </c>
      <c r="B55" s="136">
        <v>46016</v>
      </c>
      <c r="C55" s="171" t="s">
        <v>124</v>
      </c>
      <c r="D55" s="97" t="s">
        <v>131</v>
      </c>
      <c r="E55" s="172">
        <v>61.2</v>
      </c>
      <c r="F55" s="109">
        <v>610</v>
      </c>
      <c r="G55" s="109">
        <f t="shared" si="7"/>
        <v>37332</v>
      </c>
      <c r="H55" s="110" t="s">
        <v>65</v>
      </c>
      <c r="I55" s="111" t="s">
        <v>66</v>
      </c>
      <c r="J55" s="95"/>
      <c r="K55" s="102"/>
      <c r="L55" s="102"/>
      <c r="M55" s="102"/>
      <c r="N55" s="103"/>
    </row>
    <row r="56" spans="1:14" x14ac:dyDescent="0.25">
      <c r="A56" s="104">
        <f t="shared" si="8"/>
        <v>48</v>
      </c>
      <c r="B56" s="136">
        <v>46016</v>
      </c>
      <c r="C56" s="171" t="s">
        <v>124</v>
      </c>
      <c r="D56" s="97" t="s">
        <v>132</v>
      </c>
      <c r="E56" s="172">
        <v>62.45</v>
      </c>
      <c r="F56" s="109">
        <v>610</v>
      </c>
      <c r="G56" s="109">
        <f t="shared" si="7"/>
        <v>38094.5</v>
      </c>
      <c r="H56" s="110" t="s">
        <v>65</v>
      </c>
      <c r="I56" s="111" t="s">
        <v>66</v>
      </c>
      <c r="J56" s="95"/>
      <c r="K56" s="102"/>
      <c r="L56" s="102"/>
      <c r="M56" s="102"/>
      <c r="N56" s="103"/>
    </row>
    <row r="57" spans="1:14" x14ac:dyDescent="0.25">
      <c r="A57" s="104">
        <f t="shared" si="8"/>
        <v>49</v>
      </c>
      <c r="B57" s="136">
        <v>46016</v>
      </c>
      <c r="C57" s="171" t="s">
        <v>113</v>
      </c>
      <c r="D57" s="97" t="s">
        <v>133</v>
      </c>
      <c r="E57" s="172">
        <v>62.45</v>
      </c>
      <c r="F57" s="109">
        <v>610</v>
      </c>
      <c r="G57" s="109">
        <f t="shared" si="7"/>
        <v>38094.5</v>
      </c>
      <c r="H57" s="110" t="s">
        <v>65</v>
      </c>
      <c r="I57" s="111" t="s">
        <v>66</v>
      </c>
      <c r="J57" s="95"/>
      <c r="K57" s="102"/>
      <c r="L57" s="102"/>
      <c r="M57" s="102"/>
      <c r="N57" s="103"/>
    </row>
    <row r="58" spans="1:14" x14ac:dyDescent="0.25">
      <c r="A58" s="104">
        <f t="shared" si="8"/>
        <v>50</v>
      </c>
      <c r="B58" s="136">
        <v>46016</v>
      </c>
      <c r="C58" s="171" t="s">
        <v>134</v>
      </c>
      <c r="D58" s="97" t="s">
        <v>135</v>
      </c>
      <c r="E58" s="172">
        <v>62.55</v>
      </c>
      <c r="F58" s="109">
        <v>610</v>
      </c>
      <c r="G58" s="109">
        <f t="shared" si="7"/>
        <v>38155.5</v>
      </c>
      <c r="H58" s="110" t="s">
        <v>65</v>
      </c>
      <c r="I58" s="111" t="s">
        <v>66</v>
      </c>
      <c r="J58" s="95"/>
      <c r="K58" s="102"/>
      <c r="L58" s="102"/>
      <c r="M58" s="102"/>
      <c r="N58" s="103"/>
    </row>
    <row r="59" spans="1:14" x14ac:dyDescent="0.25">
      <c r="A59" s="104">
        <f t="shared" si="8"/>
        <v>51</v>
      </c>
      <c r="B59" s="136">
        <v>46016</v>
      </c>
      <c r="C59" s="171" t="s">
        <v>134</v>
      </c>
      <c r="D59" s="97" t="s">
        <v>136</v>
      </c>
      <c r="E59" s="172">
        <v>63.1</v>
      </c>
      <c r="F59" s="109">
        <v>610</v>
      </c>
      <c r="G59" s="109">
        <f t="shared" si="7"/>
        <v>38491</v>
      </c>
      <c r="H59" s="110" t="s">
        <v>65</v>
      </c>
      <c r="I59" s="111" t="s">
        <v>66</v>
      </c>
      <c r="J59" s="95"/>
      <c r="K59" s="102"/>
      <c r="L59" s="102"/>
      <c r="M59" s="102"/>
      <c r="N59" s="103"/>
    </row>
    <row r="60" spans="1:14" x14ac:dyDescent="0.25">
      <c r="A60" s="104">
        <f t="shared" si="8"/>
        <v>52</v>
      </c>
      <c r="B60" s="136">
        <v>46016</v>
      </c>
      <c r="C60" s="171" t="s">
        <v>113</v>
      </c>
      <c r="D60" s="97" t="s">
        <v>137</v>
      </c>
      <c r="E60" s="172">
        <v>63.3</v>
      </c>
      <c r="F60" s="109">
        <v>610</v>
      </c>
      <c r="G60" s="109">
        <f t="shared" si="7"/>
        <v>38613</v>
      </c>
      <c r="H60" s="110" t="s">
        <v>65</v>
      </c>
      <c r="I60" s="111" t="s">
        <v>66</v>
      </c>
      <c r="J60" s="95"/>
      <c r="K60" s="102"/>
      <c r="L60" s="102"/>
      <c r="M60" s="102"/>
      <c r="N60" s="103"/>
    </row>
    <row r="61" spans="1:14" x14ac:dyDescent="0.25">
      <c r="A61" s="104">
        <f t="shared" si="8"/>
        <v>53</v>
      </c>
      <c r="B61" s="136">
        <v>46016</v>
      </c>
      <c r="C61" s="171" t="s">
        <v>113</v>
      </c>
      <c r="D61" s="97" t="s">
        <v>138</v>
      </c>
      <c r="E61" s="172">
        <v>64.099999999999994</v>
      </c>
      <c r="F61" s="109">
        <v>610</v>
      </c>
      <c r="G61" s="109">
        <f t="shared" si="7"/>
        <v>39101</v>
      </c>
      <c r="H61" s="110" t="s">
        <v>65</v>
      </c>
      <c r="I61" s="111" t="s">
        <v>66</v>
      </c>
      <c r="J61" s="95"/>
      <c r="K61" s="102"/>
      <c r="L61" s="102"/>
      <c r="M61" s="102"/>
      <c r="N61" s="103"/>
    </row>
    <row r="62" spans="1:14" x14ac:dyDescent="0.25">
      <c r="A62" s="104">
        <f t="shared" si="8"/>
        <v>54</v>
      </c>
      <c r="B62" s="136">
        <v>46016</v>
      </c>
      <c r="C62" s="171" t="s">
        <v>139</v>
      </c>
      <c r="D62" s="97" t="s">
        <v>140</v>
      </c>
      <c r="E62" s="172">
        <v>64.349999999999994</v>
      </c>
      <c r="F62" s="109">
        <v>610</v>
      </c>
      <c r="G62" s="109">
        <f t="shared" si="7"/>
        <v>39253.5</v>
      </c>
      <c r="H62" s="110" t="s">
        <v>65</v>
      </c>
      <c r="I62" s="111" t="s">
        <v>66</v>
      </c>
      <c r="J62" s="95"/>
      <c r="K62" s="102"/>
      <c r="L62" s="102"/>
      <c r="M62" s="102"/>
      <c r="N62" s="103"/>
    </row>
    <row r="63" spans="1:14" x14ac:dyDescent="0.25">
      <c r="A63" s="104">
        <f t="shared" si="8"/>
        <v>55</v>
      </c>
      <c r="B63" s="136">
        <v>46016</v>
      </c>
      <c r="C63" s="171" t="s">
        <v>141</v>
      </c>
      <c r="D63" s="97" t="s">
        <v>142</v>
      </c>
      <c r="E63" s="172">
        <v>64.45</v>
      </c>
      <c r="F63" s="109">
        <v>610</v>
      </c>
      <c r="G63" s="109">
        <f t="shared" si="7"/>
        <v>39314.5</v>
      </c>
      <c r="H63" s="110" t="s">
        <v>65</v>
      </c>
      <c r="I63" s="111" t="s">
        <v>66</v>
      </c>
      <c r="J63" s="95"/>
      <c r="K63" s="102"/>
      <c r="L63" s="102"/>
      <c r="M63" s="102"/>
      <c r="N63" s="103"/>
    </row>
    <row r="64" spans="1:14" x14ac:dyDescent="0.25">
      <c r="A64" s="104">
        <f t="shared" si="8"/>
        <v>56</v>
      </c>
      <c r="B64" s="136">
        <v>46016</v>
      </c>
      <c r="C64" s="171" t="s">
        <v>143</v>
      </c>
      <c r="D64" s="97" t="s">
        <v>144</v>
      </c>
      <c r="E64" s="172">
        <v>64.45</v>
      </c>
      <c r="F64" s="109">
        <v>610</v>
      </c>
      <c r="G64" s="109">
        <f t="shared" si="7"/>
        <v>39314.5</v>
      </c>
      <c r="H64" s="110" t="s">
        <v>65</v>
      </c>
      <c r="I64" s="111" t="s">
        <v>66</v>
      </c>
      <c r="J64" s="95"/>
      <c r="K64" s="102"/>
      <c r="L64" s="102"/>
      <c r="M64" s="102"/>
      <c r="N64" s="103"/>
    </row>
    <row r="65" spans="1:14" x14ac:dyDescent="0.25">
      <c r="A65" s="104">
        <f t="shared" si="8"/>
        <v>57</v>
      </c>
      <c r="B65" s="136">
        <v>46016</v>
      </c>
      <c r="C65" s="171" t="s">
        <v>116</v>
      </c>
      <c r="D65" s="97" t="s">
        <v>145</v>
      </c>
      <c r="E65" s="172">
        <v>64.5</v>
      </c>
      <c r="F65" s="109">
        <v>610</v>
      </c>
      <c r="G65" s="109">
        <f t="shared" si="7"/>
        <v>39345</v>
      </c>
      <c r="H65" s="110" t="s">
        <v>65</v>
      </c>
      <c r="I65" s="111" t="s">
        <v>66</v>
      </c>
      <c r="J65" s="95"/>
      <c r="K65" s="102"/>
      <c r="L65" s="102"/>
      <c r="M65" s="102"/>
      <c r="N65" s="103"/>
    </row>
    <row r="66" spans="1:14" x14ac:dyDescent="0.25">
      <c r="A66" s="104">
        <f t="shared" si="8"/>
        <v>58</v>
      </c>
      <c r="B66" s="136">
        <v>46016</v>
      </c>
      <c r="C66" s="171" t="s">
        <v>146</v>
      </c>
      <c r="D66" s="97" t="s">
        <v>147</v>
      </c>
      <c r="E66" s="172">
        <v>64.5</v>
      </c>
      <c r="F66" s="109">
        <v>610</v>
      </c>
      <c r="G66" s="109">
        <f t="shared" si="7"/>
        <v>39345</v>
      </c>
      <c r="H66" s="110" t="s">
        <v>65</v>
      </c>
      <c r="I66" s="111" t="s">
        <v>66</v>
      </c>
      <c r="J66" s="95"/>
      <c r="K66" s="102"/>
      <c r="L66" s="102"/>
      <c r="M66" s="102"/>
      <c r="N66" s="103"/>
    </row>
    <row r="67" spans="1:14" x14ac:dyDescent="0.25">
      <c r="A67" s="104">
        <f t="shared" si="8"/>
        <v>59</v>
      </c>
      <c r="B67" s="136">
        <v>46016</v>
      </c>
      <c r="C67" s="171" t="s">
        <v>148</v>
      </c>
      <c r="D67" s="97" t="s">
        <v>149</v>
      </c>
      <c r="E67" s="172">
        <v>64.5</v>
      </c>
      <c r="F67" s="109">
        <v>610</v>
      </c>
      <c r="G67" s="109">
        <f t="shared" si="7"/>
        <v>39345</v>
      </c>
      <c r="H67" s="110" t="s">
        <v>65</v>
      </c>
      <c r="I67" s="111" t="s">
        <v>66</v>
      </c>
      <c r="J67" s="95"/>
      <c r="K67" s="102"/>
      <c r="L67" s="102"/>
      <c r="M67" s="102"/>
      <c r="N67" s="103"/>
    </row>
    <row r="68" spans="1:14" x14ac:dyDescent="0.25">
      <c r="A68" s="104">
        <f t="shared" si="8"/>
        <v>60</v>
      </c>
      <c r="B68" s="136">
        <v>46016</v>
      </c>
      <c r="C68" s="171" t="s">
        <v>146</v>
      </c>
      <c r="D68" s="97" t="s">
        <v>150</v>
      </c>
      <c r="E68" s="172">
        <v>64.5</v>
      </c>
      <c r="F68" s="109">
        <v>610</v>
      </c>
      <c r="G68" s="109">
        <f t="shared" si="7"/>
        <v>39345</v>
      </c>
      <c r="H68" s="110" t="s">
        <v>65</v>
      </c>
      <c r="I68" s="111" t="s">
        <v>66</v>
      </c>
      <c r="J68" s="95"/>
      <c r="K68" s="102"/>
      <c r="L68" s="102"/>
      <c r="M68" s="102"/>
      <c r="N68" s="103"/>
    </row>
    <row r="69" spans="1:14" x14ac:dyDescent="0.25">
      <c r="A69" s="104">
        <f t="shared" si="8"/>
        <v>61</v>
      </c>
      <c r="B69" s="136">
        <v>46016</v>
      </c>
      <c r="C69" s="171" t="s">
        <v>148</v>
      </c>
      <c r="D69" s="97" t="s">
        <v>151</v>
      </c>
      <c r="E69" s="172">
        <v>64.5</v>
      </c>
      <c r="F69" s="109">
        <v>610</v>
      </c>
      <c r="G69" s="109">
        <f t="shared" si="7"/>
        <v>39345</v>
      </c>
      <c r="H69" s="110" t="s">
        <v>65</v>
      </c>
      <c r="I69" s="111" t="s">
        <v>66</v>
      </c>
      <c r="J69" s="95"/>
      <c r="K69" s="102"/>
      <c r="L69" s="102"/>
      <c r="M69" s="102"/>
      <c r="N69" s="103"/>
    </row>
    <row r="70" spans="1:14" x14ac:dyDescent="0.25">
      <c r="A70" s="104">
        <f t="shared" si="8"/>
        <v>62</v>
      </c>
      <c r="B70" s="136">
        <v>46016</v>
      </c>
      <c r="C70" s="171" t="s">
        <v>152</v>
      </c>
      <c r="D70" s="97" t="s">
        <v>153</v>
      </c>
      <c r="E70" s="172">
        <v>64.55</v>
      </c>
      <c r="F70" s="109">
        <v>610</v>
      </c>
      <c r="G70" s="109">
        <f t="shared" si="7"/>
        <v>39375.5</v>
      </c>
      <c r="H70" s="110" t="s">
        <v>65</v>
      </c>
      <c r="I70" s="111" t="s">
        <v>66</v>
      </c>
      <c r="J70" s="95"/>
      <c r="K70" s="136">
        <v>46029</v>
      </c>
      <c r="L70" s="102">
        <v>64.558000000000007</v>
      </c>
      <c r="M70" s="134">
        <f>L70-E70</f>
        <v>8.0000000000097771E-3</v>
      </c>
      <c r="N70" s="103"/>
    </row>
    <row r="71" spans="1:14" x14ac:dyDescent="0.25">
      <c r="A71" s="104">
        <f t="shared" si="8"/>
        <v>63</v>
      </c>
      <c r="B71" s="136">
        <v>46016</v>
      </c>
      <c r="C71" s="171" t="s">
        <v>154</v>
      </c>
      <c r="D71" s="97" t="s">
        <v>155</v>
      </c>
      <c r="E71" s="172">
        <v>64.55</v>
      </c>
      <c r="F71" s="109">
        <v>610</v>
      </c>
      <c r="G71" s="109">
        <f t="shared" si="7"/>
        <v>39375.5</v>
      </c>
      <c r="H71" s="110" t="s">
        <v>65</v>
      </c>
      <c r="I71" s="111" t="s">
        <v>66</v>
      </c>
      <c r="J71" s="95"/>
      <c r="K71" s="136">
        <v>46029</v>
      </c>
      <c r="L71" s="134">
        <v>64.989999999999995</v>
      </c>
      <c r="M71" s="134">
        <f>L71-E71</f>
        <v>0.43999999999999773</v>
      </c>
      <c r="N71" s="103"/>
    </row>
    <row r="72" spans="1:14" x14ac:dyDescent="0.25">
      <c r="A72" s="104">
        <f t="shared" si="8"/>
        <v>64</v>
      </c>
      <c r="B72" s="136">
        <v>46016</v>
      </c>
      <c r="C72" s="171" t="s">
        <v>156</v>
      </c>
      <c r="D72" s="97" t="s">
        <v>157</v>
      </c>
      <c r="E72" s="172">
        <v>64.55</v>
      </c>
      <c r="F72" s="109">
        <v>610</v>
      </c>
      <c r="G72" s="109">
        <f t="shared" si="7"/>
        <v>39375.5</v>
      </c>
      <c r="H72" s="110" t="s">
        <v>65</v>
      </c>
      <c r="I72" s="111" t="s">
        <v>66</v>
      </c>
      <c r="J72" s="95"/>
      <c r="K72" s="102"/>
      <c r="L72" s="102"/>
      <c r="M72" s="102"/>
      <c r="N72" s="103"/>
    </row>
    <row r="73" spans="1:14" x14ac:dyDescent="0.25">
      <c r="A73" s="104">
        <f t="shared" si="8"/>
        <v>65</v>
      </c>
      <c r="B73" s="136">
        <v>46016</v>
      </c>
      <c r="C73" s="171" t="s">
        <v>158</v>
      </c>
      <c r="D73" s="97" t="s">
        <v>159</v>
      </c>
      <c r="E73" s="172">
        <v>64.55</v>
      </c>
      <c r="F73" s="109">
        <v>610</v>
      </c>
      <c r="G73" s="109">
        <f t="shared" si="7"/>
        <v>39375.5</v>
      </c>
      <c r="H73" s="110" t="s">
        <v>65</v>
      </c>
      <c r="I73" s="111" t="s">
        <v>66</v>
      </c>
      <c r="J73" s="95"/>
      <c r="K73" s="136">
        <v>46029</v>
      </c>
      <c r="L73" s="102">
        <v>63.991999999999997</v>
      </c>
      <c r="M73" s="134">
        <f>L73-E73</f>
        <v>-0.55799999999999983</v>
      </c>
      <c r="N73" s="103"/>
    </row>
    <row r="74" spans="1:14" x14ac:dyDescent="0.25">
      <c r="A74" s="104">
        <f t="shared" si="8"/>
        <v>66</v>
      </c>
      <c r="B74" s="136">
        <v>46016</v>
      </c>
      <c r="C74" s="171" t="s">
        <v>158</v>
      </c>
      <c r="D74" s="97" t="s">
        <v>160</v>
      </c>
      <c r="E74" s="172">
        <v>64.599999999999994</v>
      </c>
      <c r="F74" s="109">
        <v>610</v>
      </c>
      <c r="G74" s="109">
        <f t="shared" si="7"/>
        <v>39406</v>
      </c>
      <c r="H74" s="110" t="s">
        <v>65</v>
      </c>
      <c r="I74" s="111" t="s">
        <v>66</v>
      </c>
      <c r="J74" s="95"/>
      <c r="K74" s="102"/>
      <c r="L74" s="102"/>
      <c r="M74" s="102"/>
      <c r="N74" s="103"/>
    </row>
    <row r="75" spans="1:14" x14ac:dyDescent="0.25">
      <c r="A75" s="104">
        <f t="shared" si="8"/>
        <v>67</v>
      </c>
      <c r="B75" s="136">
        <v>46016</v>
      </c>
      <c r="C75" s="171" t="s">
        <v>146</v>
      </c>
      <c r="D75" s="97" t="s">
        <v>161</v>
      </c>
      <c r="E75" s="172">
        <v>64.650000000000006</v>
      </c>
      <c r="F75" s="109">
        <v>610</v>
      </c>
      <c r="G75" s="109">
        <f t="shared" si="7"/>
        <v>39436.5</v>
      </c>
      <c r="H75" s="110" t="s">
        <v>65</v>
      </c>
      <c r="I75" s="111" t="s">
        <v>66</v>
      </c>
      <c r="J75" s="95"/>
      <c r="K75" s="102"/>
      <c r="L75" s="102"/>
      <c r="M75" s="102"/>
      <c r="N75" s="103"/>
    </row>
    <row r="76" spans="1:14" x14ac:dyDescent="0.25">
      <c r="A76" s="104">
        <f t="shared" si="8"/>
        <v>68</v>
      </c>
      <c r="B76" s="136">
        <v>46016</v>
      </c>
      <c r="C76" s="171" t="s">
        <v>146</v>
      </c>
      <c r="D76" s="97" t="s">
        <v>162</v>
      </c>
      <c r="E76" s="172">
        <v>64.650000000000006</v>
      </c>
      <c r="F76" s="109">
        <v>610</v>
      </c>
      <c r="G76" s="109">
        <f t="shared" si="7"/>
        <v>39436.5</v>
      </c>
      <c r="H76" s="110" t="s">
        <v>65</v>
      </c>
      <c r="I76" s="111" t="s">
        <v>66</v>
      </c>
      <c r="J76" s="95"/>
      <c r="K76" s="102"/>
      <c r="L76" s="102"/>
      <c r="M76" s="102"/>
      <c r="N76" s="103"/>
    </row>
    <row r="77" spans="1:14" x14ac:dyDescent="0.25">
      <c r="A77" s="104">
        <f t="shared" si="8"/>
        <v>69</v>
      </c>
      <c r="B77" s="136">
        <v>46016</v>
      </c>
      <c r="C77" s="171" t="s">
        <v>158</v>
      </c>
      <c r="D77" s="97" t="s">
        <v>163</v>
      </c>
      <c r="E77" s="172">
        <v>64.7</v>
      </c>
      <c r="F77" s="109">
        <v>610</v>
      </c>
      <c r="G77" s="109">
        <f t="shared" si="7"/>
        <v>39467</v>
      </c>
      <c r="H77" s="110" t="s">
        <v>65</v>
      </c>
      <c r="I77" s="111" t="s">
        <v>66</v>
      </c>
      <c r="J77" s="95"/>
      <c r="K77" s="102"/>
      <c r="L77" s="102"/>
      <c r="M77" s="102"/>
      <c r="N77" s="103"/>
    </row>
    <row r="78" spans="1:14" x14ac:dyDescent="0.25">
      <c r="A78" s="104">
        <f t="shared" si="8"/>
        <v>70</v>
      </c>
      <c r="B78" s="136">
        <v>46016</v>
      </c>
      <c r="C78" s="171" t="s">
        <v>148</v>
      </c>
      <c r="D78" s="97" t="s">
        <v>164</v>
      </c>
      <c r="E78" s="172">
        <v>64.7</v>
      </c>
      <c r="F78" s="109">
        <v>610</v>
      </c>
      <c r="G78" s="109">
        <f t="shared" si="7"/>
        <v>39467</v>
      </c>
      <c r="H78" s="110" t="s">
        <v>65</v>
      </c>
      <c r="I78" s="111" t="s">
        <v>66</v>
      </c>
      <c r="J78" s="95"/>
      <c r="K78" s="102"/>
      <c r="L78" s="102"/>
      <c r="M78" s="102"/>
      <c r="N78" s="103"/>
    </row>
    <row r="79" spans="1:14" x14ac:dyDescent="0.25">
      <c r="A79" s="104">
        <f t="shared" si="8"/>
        <v>71</v>
      </c>
      <c r="B79" s="136">
        <v>46016</v>
      </c>
      <c r="C79" s="171" t="s">
        <v>165</v>
      </c>
      <c r="D79" s="97" t="s">
        <v>166</v>
      </c>
      <c r="E79" s="172">
        <v>64.7</v>
      </c>
      <c r="F79" s="109">
        <v>610</v>
      </c>
      <c r="G79" s="109">
        <f t="shared" si="7"/>
        <v>39467</v>
      </c>
      <c r="H79" s="110" t="s">
        <v>65</v>
      </c>
      <c r="I79" s="111" t="s">
        <v>66</v>
      </c>
      <c r="J79" s="95"/>
      <c r="K79" s="102"/>
      <c r="L79" s="102"/>
      <c r="M79" s="102"/>
      <c r="N79" s="103"/>
    </row>
    <row r="80" spans="1:14" x14ac:dyDescent="0.25">
      <c r="A80" s="104">
        <f t="shared" si="8"/>
        <v>72</v>
      </c>
      <c r="B80" s="136">
        <v>46016</v>
      </c>
      <c r="C80" s="171" t="s">
        <v>156</v>
      </c>
      <c r="D80" s="97" t="s">
        <v>167</v>
      </c>
      <c r="E80" s="172">
        <v>64.7</v>
      </c>
      <c r="F80" s="109">
        <v>610</v>
      </c>
      <c r="G80" s="109">
        <f t="shared" si="7"/>
        <v>39467</v>
      </c>
      <c r="H80" s="110" t="s">
        <v>65</v>
      </c>
      <c r="I80" s="111" t="s">
        <v>66</v>
      </c>
      <c r="J80" s="95"/>
      <c r="K80" s="102"/>
      <c r="L80" s="102"/>
      <c r="M80" s="102"/>
      <c r="N80" s="103"/>
    </row>
    <row r="81" spans="1:16" x14ac:dyDescent="0.25">
      <c r="A81" s="104">
        <f t="shared" si="8"/>
        <v>73</v>
      </c>
      <c r="B81" s="136">
        <v>46016</v>
      </c>
      <c r="C81" s="171" t="s">
        <v>154</v>
      </c>
      <c r="D81" s="97" t="s">
        <v>168</v>
      </c>
      <c r="E81" s="172">
        <v>64.8</v>
      </c>
      <c r="F81" s="109">
        <v>610</v>
      </c>
      <c r="G81" s="109">
        <f t="shared" si="7"/>
        <v>39528</v>
      </c>
      <c r="H81" s="110" t="s">
        <v>65</v>
      </c>
      <c r="I81" s="111" t="s">
        <v>66</v>
      </c>
      <c r="J81" s="95"/>
      <c r="K81" s="136">
        <v>46029</v>
      </c>
      <c r="L81" s="102">
        <v>64.611000000000004</v>
      </c>
      <c r="M81" s="134">
        <f>L81-E81</f>
        <v>-0.18899999999999295</v>
      </c>
      <c r="N81" s="103"/>
    </row>
    <row r="82" spans="1:16" x14ac:dyDescent="0.25">
      <c r="A82" s="104">
        <f t="shared" si="8"/>
        <v>74</v>
      </c>
      <c r="B82" s="136">
        <v>46016</v>
      </c>
      <c r="C82" s="171" t="s">
        <v>156</v>
      </c>
      <c r="D82" s="97" t="s">
        <v>169</v>
      </c>
      <c r="E82" s="172">
        <v>64.8</v>
      </c>
      <c r="F82" s="109">
        <v>610</v>
      </c>
      <c r="G82" s="109">
        <f t="shared" si="7"/>
        <v>39528</v>
      </c>
      <c r="H82" s="110" t="s">
        <v>65</v>
      </c>
      <c r="I82" s="111" t="s">
        <v>66</v>
      </c>
      <c r="J82" s="95"/>
      <c r="K82" s="102"/>
      <c r="L82" s="102"/>
      <c r="M82" s="102"/>
      <c r="N82" s="103"/>
    </row>
    <row r="83" spans="1:16" x14ac:dyDescent="0.25">
      <c r="A83" s="104">
        <f t="shared" si="8"/>
        <v>75</v>
      </c>
      <c r="B83" s="136">
        <v>46016</v>
      </c>
      <c r="C83" s="171" t="s">
        <v>170</v>
      </c>
      <c r="D83" s="97" t="s">
        <v>171</v>
      </c>
      <c r="E83" s="172">
        <v>66.2</v>
      </c>
      <c r="F83" s="109">
        <v>610</v>
      </c>
      <c r="G83" s="109">
        <f t="shared" si="7"/>
        <v>40382</v>
      </c>
      <c r="H83" s="110" t="s">
        <v>65</v>
      </c>
      <c r="I83" s="111" t="s">
        <v>66</v>
      </c>
      <c r="J83" s="95"/>
      <c r="K83" s="102"/>
      <c r="L83" s="102"/>
      <c r="M83" s="102"/>
      <c r="N83" s="103"/>
    </row>
    <row r="84" spans="1:16" x14ac:dyDescent="0.25">
      <c r="A84" s="104">
        <f t="shared" si="8"/>
        <v>76</v>
      </c>
      <c r="B84" s="136">
        <v>46016</v>
      </c>
      <c r="C84" s="171" t="s">
        <v>134</v>
      </c>
      <c r="D84" s="97" t="s">
        <v>172</v>
      </c>
      <c r="E84" s="172">
        <v>66.5</v>
      </c>
      <c r="F84" s="109">
        <v>610</v>
      </c>
      <c r="G84" s="109">
        <f t="shared" si="7"/>
        <v>40565</v>
      </c>
      <c r="H84" s="110" t="s">
        <v>65</v>
      </c>
      <c r="I84" s="111" t="s">
        <v>66</v>
      </c>
      <c r="J84" s="95"/>
      <c r="K84" s="102"/>
      <c r="L84" s="102"/>
      <c r="M84" s="102"/>
      <c r="N84" s="103"/>
    </row>
    <row r="85" spans="1:16" x14ac:dyDescent="0.25">
      <c r="A85" s="104">
        <f t="shared" si="8"/>
        <v>77</v>
      </c>
      <c r="B85" s="136">
        <v>46016</v>
      </c>
      <c r="C85" s="171" t="s">
        <v>170</v>
      </c>
      <c r="D85" s="97" t="s">
        <v>173</v>
      </c>
      <c r="E85" s="172">
        <v>66.55</v>
      </c>
      <c r="F85" s="109">
        <v>610</v>
      </c>
      <c r="G85" s="109">
        <f t="shared" si="7"/>
        <v>40595.5</v>
      </c>
      <c r="H85" s="110" t="s">
        <v>65</v>
      </c>
      <c r="I85" s="111" t="s">
        <v>66</v>
      </c>
      <c r="J85" s="95"/>
      <c r="K85" s="102"/>
      <c r="L85" s="102"/>
      <c r="M85" s="102"/>
      <c r="N85" s="103"/>
    </row>
    <row r="86" spans="1:16" x14ac:dyDescent="0.25">
      <c r="A86" s="104">
        <f t="shared" si="8"/>
        <v>78</v>
      </c>
      <c r="B86" s="136">
        <v>46016</v>
      </c>
      <c r="C86" s="171" t="s">
        <v>113</v>
      </c>
      <c r="D86" s="97" t="s">
        <v>174</v>
      </c>
      <c r="E86" s="172">
        <v>67.150000000000006</v>
      </c>
      <c r="F86" s="109">
        <v>610</v>
      </c>
      <c r="G86" s="109">
        <f t="shared" si="7"/>
        <v>40961.5</v>
      </c>
      <c r="H86" s="110" t="s">
        <v>65</v>
      </c>
      <c r="I86" s="111" t="s">
        <v>66</v>
      </c>
      <c r="J86" s="95"/>
      <c r="K86" s="102"/>
      <c r="L86" s="102"/>
      <c r="M86" s="102"/>
      <c r="N86" s="103"/>
    </row>
    <row r="87" spans="1:16" ht="15.75" thickBot="1" x14ac:dyDescent="0.3">
      <c r="A87" s="112">
        <f t="shared" si="8"/>
        <v>79</v>
      </c>
      <c r="B87" s="141">
        <v>46016</v>
      </c>
      <c r="C87" s="173" t="s">
        <v>170</v>
      </c>
      <c r="D87" s="174" t="s">
        <v>175</v>
      </c>
      <c r="E87" s="175">
        <v>67.5</v>
      </c>
      <c r="F87" s="157">
        <v>610</v>
      </c>
      <c r="G87" s="157">
        <f t="shared" si="7"/>
        <v>41175</v>
      </c>
      <c r="H87" s="158" t="s">
        <v>65</v>
      </c>
      <c r="I87" s="159" t="s">
        <v>66</v>
      </c>
      <c r="J87" s="112"/>
      <c r="K87" s="113"/>
      <c r="L87" s="113"/>
      <c r="M87" s="113"/>
      <c r="N87" s="114"/>
    </row>
    <row r="88" spans="1:16" ht="15.75" thickBot="1" x14ac:dyDescent="0.3">
      <c r="A88" s="115"/>
      <c r="B88" s="116"/>
      <c r="C88" s="116"/>
      <c r="D88" s="117"/>
      <c r="E88" s="176">
        <f>SUM(E43:E87)</f>
        <v>2819.2499999999995</v>
      </c>
      <c r="F88" s="119"/>
      <c r="G88" s="120">
        <f>SUM(G43:G87)</f>
        <v>1719742.5</v>
      </c>
      <c r="H88" s="116"/>
      <c r="I88" s="121"/>
      <c r="J88" s="122"/>
      <c r="K88" s="116"/>
      <c r="L88" s="119">
        <f>SUM(L43:L87)</f>
        <v>315.61900000000003</v>
      </c>
      <c r="M88" s="119">
        <f>SUM(M43:M87)</f>
        <v>-0.7809999999999846</v>
      </c>
      <c r="N88" s="121"/>
      <c r="P88" s="177"/>
    </row>
    <row r="89" spans="1:16" x14ac:dyDescent="0.25">
      <c r="A89" s="123">
        <v>80</v>
      </c>
      <c r="B89" s="124">
        <v>46021</v>
      </c>
      <c r="C89" s="125" t="s">
        <v>176</v>
      </c>
      <c r="D89" s="126" t="s">
        <v>177</v>
      </c>
      <c r="E89" s="127">
        <v>55.4</v>
      </c>
      <c r="F89" s="178">
        <v>610</v>
      </c>
      <c r="G89" s="178">
        <f t="shared" ref="G89:G128" si="9">E89*F89</f>
        <v>33794</v>
      </c>
      <c r="H89" s="179" t="s">
        <v>65</v>
      </c>
      <c r="I89" s="180" t="s">
        <v>66</v>
      </c>
      <c r="J89" s="181"/>
      <c r="K89" s="124">
        <v>46033</v>
      </c>
      <c r="L89" s="123">
        <v>54.756999999999998</v>
      </c>
      <c r="M89" s="134">
        <f>L89-E89</f>
        <v>-0.64300000000000068</v>
      </c>
      <c r="N89" s="182"/>
    </row>
    <row r="90" spans="1:16" x14ac:dyDescent="0.25">
      <c r="A90" s="102">
        <f>A89+1</f>
        <v>81</v>
      </c>
      <c r="B90" s="136">
        <v>46021</v>
      </c>
      <c r="C90" s="84" t="s">
        <v>178</v>
      </c>
      <c r="D90" s="137" t="s">
        <v>179</v>
      </c>
      <c r="E90" s="138">
        <v>56.8</v>
      </c>
      <c r="F90" s="109">
        <v>610</v>
      </c>
      <c r="G90" s="109">
        <f t="shared" si="9"/>
        <v>34648</v>
      </c>
      <c r="H90" s="110" t="s">
        <v>65</v>
      </c>
      <c r="I90" s="111" t="s">
        <v>66</v>
      </c>
      <c r="J90" s="95"/>
      <c r="K90" s="136">
        <v>46033</v>
      </c>
      <c r="L90" s="134">
        <v>57.06</v>
      </c>
      <c r="M90" s="134">
        <f>L90-E90</f>
        <v>0.26000000000000512</v>
      </c>
      <c r="N90" s="103"/>
    </row>
    <row r="91" spans="1:16" x14ac:dyDescent="0.25">
      <c r="A91" s="102">
        <f t="shared" ref="A91:A128" si="10">A90+1</f>
        <v>82</v>
      </c>
      <c r="B91" s="136">
        <v>46021</v>
      </c>
      <c r="C91" s="84" t="s">
        <v>180</v>
      </c>
      <c r="D91" s="137" t="s">
        <v>181</v>
      </c>
      <c r="E91" s="138">
        <v>57.2</v>
      </c>
      <c r="F91" s="109">
        <v>610</v>
      </c>
      <c r="G91" s="109">
        <f t="shared" si="9"/>
        <v>34892</v>
      </c>
      <c r="H91" s="110" t="s">
        <v>65</v>
      </c>
      <c r="I91" s="111" t="s">
        <v>66</v>
      </c>
      <c r="J91" s="95"/>
      <c r="K91" s="102"/>
      <c r="L91" s="102"/>
      <c r="M91" s="102"/>
      <c r="N91" s="103"/>
    </row>
    <row r="92" spans="1:16" x14ac:dyDescent="0.25">
      <c r="A92" s="102">
        <f t="shared" si="10"/>
        <v>83</v>
      </c>
      <c r="B92" s="136">
        <v>46021</v>
      </c>
      <c r="C92" s="84" t="s">
        <v>182</v>
      </c>
      <c r="D92" s="137" t="s">
        <v>183</v>
      </c>
      <c r="E92" s="138">
        <v>58.55</v>
      </c>
      <c r="F92" s="109">
        <v>610</v>
      </c>
      <c r="G92" s="109">
        <f t="shared" si="9"/>
        <v>35715.5</v>
      </c>
      <c r="H92" s="110" t="s">
        <v>65</v>
      </c>
      <c r="I92" s="111" t="s">
        <v>66</v>
      </c>
      <c r="J92" s="95"/>
      <c r="K92" s="102"/>
      <c r="L92" s="102"/>
      <c r="M92" s="102"/>
      <c r="N92" s="103"/>
    </row>
    <row r="93" spans="1:16" x14ac:dyDescent="0.25">
      <c r="A93" s="102">
        <f t="shared" si="10"/>
        <v>84</v>
      </c>
      <c r="B93" s="136">
        <v>46021</v>
      </c>
      <c r="C93" s="84" t="s">
        <v>184</v>
      </c>
      <c r="D93" s="137" t="s">
        <v>185</v>
      </c>
      <c r="E93" s="138">
        <v>58.55</v>
      </c>
      <c r="F93" s="109">
        <v>610</v>
      </c>
      <c r="G93" s="109">
        <f t="shared" si="9"/>
        <v>35715.5</v>
      </c>
      <c r="H93" s="110" t="s">
        <v>65</v>
      </c>
      <c r="I93" s="111" t="s">
        <v>66</v>
      </c>
      <c r="J93" s="95"/>
      <c r="K93" s="136">
        <v>46033</v>
      </c>
      <c r="L93" s="102">
        <v>57.786999999999999</v>
      </c>
      <c r="M93" s="134">
        <f>L93-E93</f>
        <v>-0.76299999999999812</v>
      </c>
      <c r="N93" s="103"/>
    </row>
    <row r="94" spans="1:16" x14ac:dyDescent="0.25">
      <c r="A94" s="102">
        <f t="shared" si="10"/>
        <v>85</v>
      </c>
      <c r="B94" s="136">
        <v>46021</v>
      </c>
      <c r="C94" s="84" t="s">
        <v>186</v>
      </c>
      <c r="D94" s="137" t="s">
        <v>187</v>
      </c>
      <c r="E94" s="138">
        <v>58.8</v>
      </c>
      <c r="F94" s="109">
        <v>610</v>
      </c>
      <c r="G94" s="109">
        <f t="shared" si="9"/>
        <v>35868</v>
      </c>
      <c r="H94" s="110" t="s">
        <v>65</v>
      </c>
      <c r="I94" s="111" t="s">
        <v>66</v>
      </c>
      <c r="J94" s="95"/>
      <c r="K94" s="102"/>
      <c r="L94" s="102"/>
      <c r="M94" s="102"/>
      <c r="N94" s="103"/>
    </row>
    <row r="95" spans="1:16" x14ac:dyDescent="0.25">
      <c r="A95" s="102">
        <f t="shared" si="10"/>
        <v>86</v>
      </c>
      <c r="B95" s="136">
        <v>46021</v>
      </c>
      <c r="C95" s="84" t="s">
        <v>188</v>
      </c>
      <c r="D95" s="137" t="s">
        <v>189</v>
      </c>
      <c r="E95" s="138">
        <v>58.8</v>
      </c>
      <c r="F95" s="109">
        <v>610</v>
      </c>
      <c r="G95" s="109">
        <f t="shared" si="9"/>
        <v>35868</v>
      </c>
      <c r="H95" s="110" t="s">
        <v>65</v>
      </c>
      <c r="I95" s="111" t="s">
        <v>66</v>
      </c>
      <c r="J95" s="95"/>
      <c r="K95" s="102"/>
      <c r="L95" s="102"/>
      <c r="M95" s="102"/>
      <c r="N95" s="103"/>
    </row>
    <row r="96" spans="1:16" x14ac:dyDescent="0.25">
      <c r="A96" s="102">
        <f t="shared" si="10"/>
        <v>87</v>
      </c>
      <c r="B96" s="136">
        <v>46021</v>
      </c>
      <c r="C96" s="84" t="s">
        <v>190</v>
      </c>
      <c r="D96" s="137" t="s">
        <v>191</v>
      </c>
      <c r="E96" s="138">
        <v>59.1</v>
      </c>
      <c r="F96" s="109">
        <v>610</v>
      </c>
      <c r="G96" s="109">
        <f t="shared" si="9"/>
        <v>36051</v>
      </c>
      <c r="H96" s="110" t="s">
        <v>65</v>
      </c>
      <c r="I96" s="111" t="s">
        <v>66</v>
      </c>
      <c r="J96" s="95"/>
      <c r="K96" s="136">
        <v>46033</v>
      </c>
      <c r="L96" s="102">
        <v>58.280999999999999</v>
      </c>
      <c r="M96" s="134">
        <f>L96-E96</f>
        <v>-0.81900000000000261</v>
      </c>
      <c r="N96" s="103"/>
    </row>
    <row r="97" spans="1:14" x14ac:dyDescent="0.25">
      <c r="A97" s="102">
        <f t="shared" si="10"/>
        <v>88</v>
      </c>
      <c r="B97" s="136">
        <v>46021</v>
      </c>
      <c r="C97" s="84" t="s">
        <v>188</v>
      </c>
      <c r="D97" s="137" t="s">
        <v>192</v>
      </c>
      <c r="E97" s="138">
        <v>60.1</v>
      </c>
      <c r="F97" s="109">
        <v>610</v>
      </c>
      <c r="G97" s="109">
        <f t="shared" si="9"/>
        <v>36661</v>
      </c>
      <c r="H97" s="110" t="s">
        <v>65</v>
      </c>
      <c r="I97" s="111" t="s">
        <v>66</v>
      </c>
      <c r="J97" s="95"/>
      <c r="K97" s="102"/>
      <c r="L97" s="102"/>
      <c r="M97" s="102"/>
      <c r="N97" s="103"/>
    </row>
    <row r="98" spans="1:14" x14ac:dyDescent="0.25">
      <c r="A98" s="102">
        <f t="shared" si="10"/>
        <v>89</v>
      </c>
      <c r="B98" s="136">
        <v>46021</v>
      </c>
      <c r="C98" s="84" t="s">
        <v>193</v>
      </c>
      <c r="D98" s="137" t="s">
        <v>194</v>
      </c>
      <c r="E98" s="138">
        <v>60.95</v>
      </c>
      <c r="F98" s="109">
        <v>610</v>
      </c>
      <c r="G98" s="109">
        <f t="shared" si="9"/>
        <v>37179.5</v>
      </c>
      <c r="H98" s="110" t="s">
        <v>65</v>
      </c>
      <c r="I98" s="111" t="s">
        <v>66</v>
      </c>
      <c r="J98" s="95"/>
      <c r="K98" s="102"/>
      <c r="L98" s="102"/>
      <c r="M98" s="102"/>
      <c r="N98" s="103"/>
    </row>
    <row r="99" spans="1:14" x14ac:dyDescent="0.25">
      <c r="A99" s="102">
        <f t="shared" si="10"/>
        <v>90</v>
      </c>
      <c r="B99" s="136">
        <v>46021</v>
      </c>
      <c r="C99" s="84" t="s">
        <v>195</v>
      </c>
      <c r="D99" s="137" t="s">
        <v>196</v>
      </c>
      <c r="E99" s="138">
        <v>61.15</v>
      </c>
      <c r="F99" s="109">
        <v>610</v>
      </c>
      <c r="G99" s="109">
        <f t="shared" si="9"/>
        <v>37301.5</v>
      </c>
      <c r="H99" s="110" t="s">
        <v>65</v>
      </c>
      <c r="I99" s="111" t="s">
        <v>66</v>
      </c>
      <c r="J99" s="95"/>
      <c r="K99" s="102"/>
      <c r="L99" s="102"/>
      <c r="M99" s="102"/>
      <c r="N99" s="103"/>
    </row>
    <row r="100" spans="1:14" x14ac:dyDescent="0.25">
      <c r="A100" s="102">
        <f t="shared" si="10"/>
        <v>91</v>
      </c>
      <c r="B100" s="136">
        <v>46021</v>
      </c>
      <c r="C100" s="84" t="s">
        <v>197</v>
      </c>
      <c r="D100" s="137" t="s">
        <v>198</v>
      </c>
      <c r="E100" s="138">
        <v>61.15</v>
      </c>
      <c r="F100" s="109">
        <v>610</v>
      </c>
      <c r="G100" s="109">
        <f t="shared" si="9"/>
        <v>37301.5</v>
      </c>
      <c r="H100" s="110" t="s">
        <v>65</v>
      </c>
      <c r="I100" s="111" t="s">
        <v>66</v>
      </c>
      <c r="J100" s="95"/>
      <c r="K100" s="102"/>
      <c r="L100" s="102"/>
      <c r="M100" s="102"/>
      <c r="N100" s="103"/>
    </row>
    <row r="101" spans="1:14" x14ac:dyDescent="0.25">
      <c r="A101" s="102">
        <f t="shared" si="10"/>
        <v>92</v>
      </c>
      <c r="B101" s="136">
        <v>46021</v>
      </c>
      <c r="C101" s="84" t="s">
        <v>186</v>
      </c>
      <c r="D101" s="137" t="s">
        <v>199</v>
      </c>
      <c r="E101" s="138">
        <v>61.4</v>
      </c>
      <c r="F101" s="109">
        <v>610</v>
      </c>
      <c r="G101" s="109">
        <f t="shared" si="9"/>
        <v>37454</v>
      </c>
      <c r="H101" s="110" t="s">
        <v>65</v>
      </c>
      <c r="I101" s="111" t="s">
        <v>66</v>
      </c>
      <c r="J101" s="95"/>
      <c r="K101" s="102"/>
      <c r="L101" s="102"/>
      <c r="M101" s="102"/>
      <c r="N101" s="103"/>
    </row>
    <row r="102" spans="1:14" x14ac:dyDescent="0.25">
      <c r="A102" s="102">
        <f t="shared" si="10"/>
        <v>93</v>
      </c>
      <c r="B102" s="136">
        <v>46021</v>
      </c>
      <c r="C102" s="84" t="s">
        <v>195</v>
      </c>
      <c r="D102" s="137" t="s">
        <v>200</v>
      </c>
      <c r="E102" s="138">
        <v>61.5</v>
      </c>
      <c r="F102" s="109">
        <v>610</v>
      </c>
      <c r="G102" s="109">
        <f t="shared" si="9"/>
        <v>37515</v>
      </c>
      <c r="H102" s="110" t="s">
        <v>65</v>
      </c>
      <c r="I102" s="111" t="s">
        <v>66</v>
      </c>
      <c r="J102" s="95"/>
      <c r="K102" s="102"/>
      <c r="L102" s="102"/>
      <c r="M102" s="102"/>
      <c r="N102" s="103"/>
    </row>
    <row r="103" spans="1:14" x14ac:dyDescent="0.25">
      <c r="A103" s="102">
        <f t="shared" si="10"/>
        <v>94</v>
      </c>
      <c r="B103" s="136">
        <v>46021</v>
      </c>
      <c r="C103" s="84" t="s">
        <v>201</v>
      </c>
      <c r="D103" s="137" t="s">
        <v>202</v>
      </c>
      <c r="E103" s="138">
        <v>62.8</v>
      </c>
      <c r="F103" s="109">
        <v>610</v>
      </c>
      <c r="G103" s="109">
        <f t="shared" si="9"/>
        <v>38308</v>
      </c>
      <c r="H103" s="110" t="s">
        <v>65</v>
      </c>
      <c r="I103" s="111" t="s">
        <v>66</v>
      </c>
      <c r="J103" s="95"/>
      <c r="K103" s="102"/>
      <c r="L103" s="102"/>
      <c r="M103" s="102"/>
      <c r="N103" s="103"/>
    </row>
    <row r="104" spans="1:14" x14ac:dyDescent="0.25">
      <c r="A104" s="102">
        <f t="shared" si="10"/>
        <v>95</v>
      </c>
      <c r="B104" s="136">
        <v>46021</v>
      </c>
      <c r="C104" s="84" t="s">
        <v>203</v>
      </c>
      <c r="D104" s="137" t="s">
        <v>204</v>
      </c>
      <c r="E104" s="138">
        <v>64.3</v>
      </c>
      <c r="F104" s="109">
        <v>610</v>
      </c>
      <c r="G104" s="109">
        <f t="shared" si="9"/>
        <v>39223</v>
      </c>
      <c r="H104" s="110" t="s">
        <v>65</v>
      </c>
      <c r="I104" s="111" t="s">
        <v>66</v>
      </c>
      <c r="J104" s="95"/>
      <c r="K104" s="136">
        <v>46033</v>
      </c>
      <c r="L104" s="102">
        <v>63.646999999999998</v>
      </c>
      <c r="M104" s="134">
        <f>L104-E104</f>
        <v>-0.65299999999999869</v>
      </c>
      <c r="N104" s="103"/>
    </row>
    <row r="105" spans="1:14" x14ac:dyDescent="0.25">
      <c r="A105" s="102">
        <f t="shared" si="10"/>
        <v>96</v>
      </c>
      <c r="B105" s="136">
        <v>46021</v>
      </c>
      <c r="C105" s="84" t="s">
        <v>205</v>
      </c>
      <c r="D105" s="137" t="s">
        <v>206</v>
      </c>
      <c r="E105" s="138">
        <v>64.349999999999994</v>
      </c>
      <c r="F105" s="109">
        <v>610</v>
      </c>
      <c r="G105" s="109">
        <f t="shared" si="9"/>
        <v>39253.5</v>
      </c>
      <c r="H105" s="110" t="s">
        <v>65</v>
      </c>
      <c r="I105" s="111" t="s">
        <v>66</v>
      </c>
      <c r="J105" s="95"/>
      <c r="K105" s="136">
        <v>46033</v>
      </c>
      <c r="L105" s="102">
        <v>63.695</v>
      </c>
      <c r="M105" s="134">
        <f>L105-E105</f>
        <v>-0.65499999999999403</v>
      </c>
      <c r="N105" s="103"/>
    </row>
    <row r="106" spans="1:14" x14ac:dyDescent="0.25">
      <c r="A106" s="102">
        <f t="shared" si="10"/>
        <v>97</v>
      </c>
      <c r="B106" s="136">
        <v>46021</v>
      </c>
      <c r="C106" s="84" t="s">
        <v>207</v>
      </c>
      <c r="D106" s="137" t="s">
        <v>208</v>
      </c>
      <c r="E106" s="138">
        <v>64.400000000000006</v>
      </c>
      <c r="F106" s="109">
        <v>610</v>
      </c>
      <c r="G106" s="109">
        <f t="shared" si="9"/>
        <v>39284</v>
      </c>
      <c r="H106" s="110" t="s">
        <v>65</v>
      </c>
      <c r="I106" s="111" t="s">
        <v>66</v>
      </c>
      <c r="J106" s="95"/>
      <c r="K106" s="102"/>
      <c r="L106" s="102"/>
      <c r="M106" s="102"/>
      <c r="N106" s="103"/>
    </row>
    <row r="107" spans="1:14" x14ac:dyDescent="0.25">
      <c r="A107" s="102">
        <f t="shared" si="10"/>
        <v>98</v>
      </c>
      <c r="B107" s="136">
        <v>46021</v>
      </c>
      <c r="C107" s="84" t="s">
        <v>209</v>
      </c>
      <c r="D107" s="137" t="s">
        <v>210</v>
      </c>
      <c r="E107" s="138">
        <v>64.45</v>
      </c>
      <c r="F107" s="109">
        <v>610</v>
      </c>
      <c r="G107" s="109">
        <f t="shared" si="9"/>
        <v>39314.5</v>
      </c>
      <c r="H107" s="110" t="s">
        <v>65</v>
      </c>
      <c r="I107" s="111" t="s">
        <v>66</v>
      </c>
      <c r="J107" s="95"/>
      <c r="K107" s="136">
        <v>46033</v>
      </c>
      <c r="L107" s="102">
        <v>64.120999999999995</v>
      </c>
      <c r="M107" s="134">
        <f>L107-E107</f>
        <v>-0.32900000000000773</v>
      </c>
      <c r="N107" s="103"/>
    </row>
    <row r="108" spans="1:14" x14ac:dyDescent="0.25">
      <c r="A108" s="102">
        <f t="shared" si="10"/>
        <v>99</v>
      </c>
      <c r="B108" s="136">
        <v>46021</v>
      </c>
      <c r="C108" s="84" t="s">
        <v>211</v>
      </c>
      <c r="D108" s="137" t="s">
        <v>212</v>
      </c>
      <c r="E108" s="138">
        <v>64.45</v>
      </c>
      <c r="F108" s="109">
        <v>610</v>
      </c>
      <c r="G108" s="109">
        <f t="shared" si="9"/>
        <v>39314.5</v>
      </c>
      <c r="H108" s="110" t="s">
        <v>65</v>
      </c>
      <c r="I108" s="111" t="s">
        <v>66</v>
      </c>
      <c r="J108" s="95"/>
      <c r="K108" s="136">
        <v>46033</v>
      </c>
      <c r="L108" s="102">
        <v>64.989000000000004</v>
      </c>
      <c r="M108" s="134">
        <f>L108-E108</f>
        <v>0.53900000000000148</v>
      </c>
      <c r="N108" s="103"/>
    </row>
    <row r="109" spans="1:14" x14ac:dyDescent="0.25">
      <c r="A109" s="102">
        <f t="shared" si="10"/>
        <v>100</v>
      </c>
      <c r="B109" s="136">
        <v>46021</v>
      </c>
      <c r="C109" s="84" t="s">
        <v>213</v>
      </c>
      <c r="D109" s="137" t="s">
        <v>214</v>
      </c>
      <c r="E109" s="138">
        <v>64.45</v>
      </c>
      <c r="F109" s="109">
        <v>610</v>
      </c>
      <c r="G109" s="109">
        <f t="shared" si="9"/>
        <v>39314.5</v>
      </c>
      <c r="H109" s="110" t="s">
        <v>65</v>
      </c>
      <c r="I109" s="111" t="s">
        <v>66</v>
      </c>
      <c r="J109" s="95"/>
      <c r="K109" s="102"/>
      <c r="L109" s="102"/>
      <c r="M109" s="102"/>
      <c r="N109" s="103"/>
    </row>
    <row r="110" spans="1:14" x14ac:dyDescent="0.25">
      <c r="A110" s="102">
        <f t="shared" si="10"/>
        <v>101</v>
      </c>
      <c r="B110" s="136">
        <v>46021</v>
      </c>
      <c r="C110" s="84" t="s">
        <v>215</v>
      </c>
      <c r="D110" s="137" t="s">
        <v>216</v>
      </c>
      <c r="E110" s="138">
        <v>64.5</v>
      </c>
      <c r="F110" s="109">
        <v>610</v>
      </c>
      <c r="G110" s="109">
        <f t="shared" si="9"/>
        <v>39345</v>
      </c>
      <c r="H110" s="110" t="s">
        <v>65</v>
      </c>
      <c r="I110" s="111" t="s">
        <v>66</v>
      </c>
      <c r="J110" s="95"/>
      <c r="K110" s="102"/>
      <c r="L110" s="102"/>
      <c r="M110" s="102"/>
      <c r="N110" s="103"/>
    </row>
    <row r="111" spans="1:14" x14ac:dyDescent="0.25">
      <c r="A111" s="102">
        <f t="shared" si="10"/>
        <v>102</v>
      </c>
      <c r="B111" s="136">
        <v>46021</v>
      </c>
      <c r="C111" s="84" t="s">
        <v>217</v>
      </c>
      <c r="D111" s="137" t="s">
        <v>218</v>
      </c>
      <c r="E111" s="138">
        <v>64.5</v>
      </c>
      <c r="F111" s="109">
        <v>610</v>
      </c>
      <c r="G111" s="109">
        <f t="shared" si="9"/>
        <v>39345</v>
      </c>
      <c r="H111" s="110" t="s">
        <v>65</v>
      </c>
      <c r="I111" s="111" t="s">
        <v>66</v>
      </c>
      <c r="J111" s="95"/>
      <c r="K111" s="102"/>
      <c r="L111" s="102"/>
      <c r="M111" s="102"/>
      <c r="N111" s="103"/>
    </row>
    <row r="112" spans="1:14" x14ac:dyDescent="0.25">
      <c r="A112" s="102">
        <f t="shared" si="10"/>
        <v>103</v>
      </c>
      <c r="B112" s="136">
        <v>46021</v>
      </c>
      <c r="C112" s="84" t="s">
        <v>219</v>
      </c>
      <c r="D112" s="137" t="s">
        <v>220</v>
      </c>
      <c r="E112" s="138">
        <v>64.5</v>
      </c>
      <c r="F112" s="109">
        <v>610</v>
      </c>
      <c r="G112" s="109">
        <f t="shared" si="9"/>
        <v>39345</v>
      </c>
      <c r="H112" s="110" t="s">
        <v>65</v>
      </c>
      <c r="I112" s="111" t="s">
        <v>66</v>
      </c>
      <c r="J112" s="95"/>
      <c r="K112" s="102"/>
      <c r="L112" s="102"/>
      <c r="M112" s="102"/>
      <c r="N112" s="103"/>
    </row>
    <row r="113" spans="1:14" x14ac:dyDescent="0.25">
      <c r="A113" s="102">
        <f t="shared" si="10"/>
        <v>104</v>
      </c>
      <c r="B113" s="136">
        <v>46021</v>
      </c>
      <c r="C113" s="84" t="s">
        <v>184</v>
      </c>
      <c r="D113" s="137" t="s">
        <v>221</v>
      </c>
      <c r="E113" s="138">
        <v>64.5</v>
      </c>
      <c r="F113" s="109">
        <v>610</v>
      </c>
      <c r="G113" s="109">
        <f t="shared" si="9"/>
        <v>39345</v>
      </c>
      <c r="H113" s="110" t="s">
        <v>65</v>
      </c>
      <c r="I113" s="111" t="s">
        <v>66</v>
      </c>
      <c r="J113" s="95"/>
      <c r="K113" s="136">
        <v>46033</v>
      </c>
      <c r="L113" s="102">
        <v>64.736999999999995</v>
      </c>
      <c r="M113" s="134">
        <f>L113-E113</f>
        <v>0.23699999999999477</v>
      </c>
      <c r="N113" s="103"/>
    </row>
    <row r="114" spans="1:14" x14ac:dyDescent="0.25">
      <c r="A114" s="102">
        <f t="shared" si="10"/>
        <v>105</v>
      </c>
      <c r="B114" s="136">
        <v>46021</v>
      </c>
      <c r="C114" s="84" t="s">
        <v>222</v>
      </c>
      <c r="D114" s="137" t="s">
        <v>223</v>
      </c>
      <c r="E114" s="138">
        <v>64.55</v>
      </c>
      <c r="F114" s="109">
        <v>610</v>
      </c>
      <c r="G114" s="109">
        <f t="shared" si="9"/>
        <v>39375.5</v>
      </c>
      <c r="H114" s="110" t="s">
        <v>65</v>
      </c>
      <c r="I114" s="111" t="s">
        <v>66</v>
      </c>
      <c r="J114" s="95"/>
      <c r="K114" s="136">
        <v>46033</v>
      </c>
      <c r="L114" s="102">
        <v>64.108000000000004</v>
      </c>
      <c r="M114" s="134">
        <f>L114-E114</f>
        <v>-0.44199999999999307</v>
      </c>
      <c r="N114" s="103"/>
    </row>
    <row r="115" spans="1:14" x14ac:dyDescent="0.25">
      <c r="A115" s="102">
        <f t="shared" si="10"/>
        <v>106</v>
      </c>
      <c r="B115" s="136">
        <v>46021</v>
      </c>
      <c r="C115" s="84" t="s">
        <v>224</v>
      </c>
      <c r="D115" s="137" t="s">
        <v>225</v>
      </c>
      <c r="E115" s="138">
        <v>64.55</v>
      </c>
      <c r="F115" s="109">
        <v>610</v>
      </c>
      <c r="G115" s="109">
        <f t="shared" si="9"/>
        <v>39375.5</v>
      </c>
      <c r="H115" s="110" t="s">
        <v>65</v>
      </c>
      <c r="I115" s="111" t="s">
        <v>66</v>
      </c>
      <c r="J115" s="95"/>
      <c r="K115" s="136">
        <v>46029</v>
      </c>
      <c r="L115" s="102">
        <v>64.528999999999996</v>
      </c>
      <c r="M115" s="134">
        <f>L115-E115</f>
        <v>-2.1000000000000796E-2</v>
      </c>
      <c r="N115" s="103"/>
    </row>
    <row r="116" spans="1:14" x14ac:dyDescent="0.25">
      <c r="A116" s="102">
        <f t="shared" si="10"/>
        <v>107</v>
      </c>
      <c r="B116" s="136">
        <v>46021</v>
      </c>
      <c r="C116" s="84" t="s">
        <v>226</v>
      </c>
      <c r="D116" s="137" t="s">
        <v>227</v>
      </c>
      <c r="E116" s="138">
        <v>64.55</v>
      </c>
      <c r="F116" s="109">
        <v>610</v>
      </c>
      <c r="G116" s="109">
        <f t="shared" si="9"/>
        <v>39375.5</v>
      </c>
      <c r="H116" s="110" t="s">
        <v>65</v>
      </c>
      <c r="I116" s="111" t="s">
        <v>66</v>
      </c>
      <c r="J116" s="95"/>
      <c r="K116" s="102"/>
      <c r="L116" s="102"/>
      <c r="M116" s="102"/>
      <c r="N116" s="103"/>
    </row>
    <row r="117" spans="1:14" x14ac:dyDescent="0.25">
      <c r="A117" s="102">
        <f t="shared" si="10"/>
        <v>108</v>
      </c>
      <c r="B117" s="136">
        <v>46021</v>
      </c>
      <c r="C117" s="84" t="s">
        <v>211</v>
      </c>
      <c r="D117" s="137" t="s">
        <v>228</v>
      </c>
      <c r="E117" s="138">
        <v>64.599999999999994</v>
      </c>
      <c r="F117" s="109">
        <v>610</v>
      </c>
      <c r="G117" s="109">
        <f t="shared" si="9"/>
        <v>39406</v>
      </c>
      <c r="H117" s="110" t="s">
        <v>65</v>
      </c>
      <c r="I117" s="111" t="s">
        <v>66</v>
      </c>
      <c r="J117" s="95"/>
      <c r="K117" s="136">
        <v>46033</v>
      </c>
      <c r="L117" s="102">
        <v>64.695999999999998</v>
      </c>
      <c r="M117" s="134">
        <f>L117-E117</f>
        <v>9.6000000000003638E-2</v>
      </c>
      <c r="N117" s="103"/>
    </row>
    <row r="118" spans="1:14" x14ac:dyDescent="0.25">
      <c r="A118" s="102">
        <f t="shared" si="10"/>
        <v>109</v>
      </c>
      <c r="B118" s="136">
        <v>46021</v>
      </c>
      <c r="C118" s="84" t="s">
        <v>176</v>
      </c>
      <c r="D118" s="137" t="s">
        <v>229</v>
      </c>
      <c r="E118" s="138">
        <v>64.650000000000006</v>
      </c>
      <c r="F118" s="109">
        <v>610</v>
      </c>
      <c r="G118" s="109">
        <f t="shared" si="9"/>
        <v>39436.5</v>
      </c>
      <c r="H118" s="110" t="s">
        <v>65</v>
      </c>
      <c r="I118" s="111" t="s">
        <v>66</v>
      </c>
      <c r="J118" s="95"/>
      <c r="K118" s="136">
        <v>46033</v>
      </c>
      <c r="L118" s="102">
        <v>64.331999999999994</v>
      </c>
      <c r="M118" s="102">
        <f>L118-E118</f>
        <v>-0.31800000000001205</v>
      </c>
      <c r="N118" s="103"/>
    </row>
    <row r="119" spans="1:14" x14ac:dyDescent="0.25">
      <c r="A119" s="102">
        <f t="shared" si="10"/>
        <v>110</v>
      </c>
      <c r="B119" s="136">
        <v>46021</v>
      </c>
      <c r="C119" s="84" t="s">
        <v>213</v>
      </c>
      <c r="D119" s="137" t="s">
        <v>230</v>
      </c>
      <c r="E119" s="138">
        <v>64.650000000000006</v>
      </c>
      <c r="F119" s="109">
        <v>610</v>
      </c>
      <c r="G119" s="109">
        <f t="shared" si="9"/>
        <v>39436.5</v>
      </c>
      <c r="H119" s="110" t="s">
        <v>65</v>
      </c>
      <c r="I119" s="111" t="s">
        <v>66</v>
      </c>
      <c r="J119" s="95"/>
      <c r="K119" s="102"/>
      <c r="L119" s="102"/>
      <c r="M119" s="102"/>
      <c r="N119" s="103"/>
    </row>
    <row r="120" spans="1:14" x14ac:dyDescent="0.25">
      <c r="A120" s="102">
        <f t="shared" si="10"/>
        <v>111</v>
      </c>
      <c r="B120" s="136">
        <v>46021</v>
      </c>
      <c r="C120" s="84" t="s">
        <v>231</v>
      </c>
      <c r="D120" s="137" t="s">
        <v>232</v>
      </c>
      <c r="E120" s="138">
        <v>64.650000000000006</v>
      </c>
      <c r="F120" s="109">
        <v>610</v>
      </c>
      <c r="G120" s="109">
        <f t="shared" si="9"/>
        <v>39436.5</v>
      </c>
      <c r="H120" s="110" t="s">
        <v>65</v>
      </c>
      <c r="I120" s="111" t="s">
        <v>66</v>
      </c>
      <c r="J120" s="95"/>
      <c r="K120" s="102"/>
      <c r="L120" s="102"/>
      <c r="M120" s="102"/>
      <c r="N120" s="103"/>
    </row>
    <row r="121" spans="1:14" x14ac:dyDescent="0.25">
      <c r="A121" s="102">
        <f t="shared" si="10"/>
        <v>112</v>
      </c>
      <c r="B121" s="136">
        <v>46021</v>
      </c>
      <c r="C121" s="84" t="s">
        <v>233</v>
      </c>
      <c r="D121" s="137" t="s">
        <v>234</v>
      </c>
      <c r="E121" s="138">
        <v>64.650000000000006</v>
      </c>
      <c r="F121" s="109">
        <v>610</v>
      </c>
      <c r="G121" s="109">
        <f t="shared" si="9"/>
        <v>39436.5</v>
      </c>
      <c r="H121" s="110" t="s">
        <v>65</v>
      </c>
      <c r="I121" s="111" t="s">
        <v>66</v>
      </c>
      <c r="J121" s="95"/>
      <c r="K121" s="102"/>
      <c r="L121" s="102"/>
      <c r="M121" s="102"/>
      <c r="N121" s="103"/>
    </row>
    <row r="122" spans="1:14" x14ac:dyDescent="0.25">
      <c r="A122" s="102">
        <f t="shared" si="10"/>
        <v>113</v>
      </c>
      <c r="B122" s="136">
        <v>46021</v>
      </c>
      <c r="C122" s="84" t="s">
        <v>217</v>
      </c>
      <c r="D122" s="137" t="s">
        <v>235</v>
      </c>
      <c r="E122" s="138">
        <v>64.7</v>
      </c>
      <c r="F122" s="109">
        <v>610</v>
      </c>
      <c r="G122" s="109">
        <f t="shared" si="9"/>
        <v>39467</v>
      </c>
      <c r="H122" s="110" t="s">
        <v>65</v>
      </c>
      <c r="I122" s="111" t="s">
        <v>66</v>
      </c>
      <c r="J122" s="95"/>
      <c r="K122" s="102"/>
      <c r="L122" s="102"/>
      <c r="M122" s="102"/>
      <c r="N122" s="103"/>
    </row>
    <row r="123" spans="1:14" x14ac:dyDescent="0.25">
      <c r="A123" s="102">
        <f t="shared" si="10"/>
        <v>114</v>
      </c>
      <c r="B123" s="136">
        <v>46021</v>
      </c>
      <c r="C123" s="84" t="s">
        <v>213</v>
      </c>
      <c r="D123" s="137" t="s">
        <v>236</v>
      </c>
      <c r="E123" s="138">
        <v>64.7</v>
      </c>
      <c r="F123" s="109">
        <v>610</v>
      </c>
      <c r="G123" s="109">
        <f t="shared" si="9"/>
        <v>39467</v>
      </c>
      <c r="H123" s="110" t="s">
        <v>65</v>
      </c>
      <c r="I123" s="111" t="s">
        <v>66</v>
      </c>
      <c r="J123" s="95"/>
      <c r="K123" s="102"/>
      <c r="L123" s="102"/>
      <c r="M123" s="102"/>
      <c r="N123" s="103"/>
    </row>
    <row r="124" spans="1:14" x14ac:dyDescent="0.25">
      <c r="A124" s="102">
        <f t="shared" si="10"/>
        <v>115</v>
      </c>
      <c r="B124" s="136">
        <v>46021</v>
      </c>
      <c r="C124" s="84" t="s">
        <v>211</v>
      </c>
      <c r="D124" s="137" t="s">
        <v>237</v>
      </c>
      <c r="E124" s="138">
        <v>64.7</v>
      </c>
      <c r="F124" s="109">
        <v>610</v>
      </c>
      <c r="G124" s="109">
        <f t="shared" si="9"/>
        <v>39467</v>
      </c>
      <c r="H124" s="110" t="s">
        <v>65</v>
      </c>
      <c r="I124" s="111" t="s">
        <v>66</v>
      </c>
      <c r="J124" s="95"/>
      <c r="K124" s="136">
        <v>46033</v>
      </c>
      <c r="L124" s="102">
        <v>64.706000000000003</v>
      </c>
      <c r="M124" s="134">
        <f>L124-E124</f>
        <v>6.0000000000002274E-3</v>
      </c>
      <c r="N124" s="103"/>
    </row>
    <row r="125" spans="1:14" x14ac:dyDescent="0.25">
      <c r="A125" s="102">
        <f t="shared" si="10"/>
        <v>116</v>
      </c>
      <c r="B125" s="136">
        <v>46021</v>
      </c>
      <c r="C125" s="84" t="s">
        <v>238</v>
      </c>
      <c r="D125" s="137" t="s">
        <v>239</v>
      </c>
      <c r="E125" s="138">
        <v>64.7</v>
      </c>
      <c r="F125" s="109">
        <v>610</v>
      </c>
      <c r="G125" s="109">
        <f t="shared" si="9"/>
        <v>39467</v>
      </c>
      <c r="H125" s="110" t="s">
        <v>65</v>
      </c>
      <c r="I125" s="111" t="s">
        <v>66</v>
      </c>
      <c r="J125" s="95"/>
      <c r="K125" s="136">
        <v>46033</v>
      </c>
      <c r="L125" s="102">
        <v>63.881999999999998</v>
      </c>
      <c r="M125" s="134">
        <f>L125-E125</f>
        <v>-0.81800000000000495</v>
      </c>
      <c r="N125" s="103"/>
    </row>
    <row r="126" spans="1:14" x14ac:dyDescent="0.25">
      <c r="A126" s="102">
        <f t="shared" si="10"/>
        <v>117</v>
      </c>
      <c r="B126" s="136">
        <v>46021</v>
      </c>
      <c r="C126" s="84" t="s">
        <v>231</v>
      </c>
      <c r="D126" s="137" t="s">
        <v>240</v>
      </c>
      <c r="E126" s="138">
        <v>64.75</v>
      </c>
      <c r="F126" s="109">
        <v>610</v>
      </c>
      <c r="G126" s="109">
        <f t="shared" si="9"/>
        <v>39497.5</v>
      </c>
      <c r="H126" s="110" t="s">
        <v>65</v>
      </c>
      <c r="I126" s="111" t="s">
        <v>66</v>
      </c>
      <c r="J126" s="95"/>
      <c r="K126" s="102"/>
      <c r="L126" s="102"/>
      <c r="M126" s="102"/>
      <c r="N126" s="103"/>
    </row>
    <row r="127" spans="1:14" x14ac:dyDescent="0.25">
      <c r="A127" s="102">
        <f t="shared" si="10"/>
        <v>118</v>
      </c>
      <c r="B127" s="136">
        <v>46021</v>
      </c>
      <c r="C127" s="84" t="s">
        <v>190</v>
      </c>
      <c r="D127" s="137" t="s">
        <v>241</v>
      </c>
      <c r="E127" s="138">
        <v>64.8</v>
      </c>
      <c r="F127" s="109">
        <v>610</v>
      </c>
      <c r="G127" s="109">
        <f t="shared" si="9"/>
        <v>39528</v>
      </c>
      <c r="H127" s="110" t="s">
        <v>65</v>
      </c>
      <c r="I127" s="111" t="s">
        <v>66</v>
      </c>
      <c r="J127" s="95"/>
      <c r="K127" s="136">
        <v>46033</v>
      </c>
      <c r="L127" s="102">
        <v>64.361000000000004</v>
      </c>
      <c r="M127" s="134">
        <f>L127-E127</f>
        <v>-0.43899999999999295</v>
      </c>
      <c r="N127" s="103"/>
    </row>
    <row r="128" spans="1:14" ht="15.75" thickBot="1" x14ac:dyDescent="0.3">
      <c r="A128" s="150">
        <f t="shared" si="10"/>
        <v>119</v>
      </c>
      <c r="B128" s="183">
        <v>46021</v>
      </c>
      <c r="C128" s="106" t="s">
        <v>242</v>
      </c>
      <c r="D128" s="139" t="s">
        <v>243</v>
      </c>
      <c r="E128" s="140">
        <v>64.849999999999994</v>
      </c>
      <c r="F128" s="109">
        <v>610</v>
      </c>
      <c r="G128" s="109">
        <f t="shared" si="9"/>
        <v>39558.5</v>
      </c>
      <c r="H128" s="110" t="s">
        <v>65</v>
      </c>
      <c r="I128" s="111" t="s">
        <v>66</v>
      </c>
      <c r="J128" s="112"/>
      <c r="K128" s="113"/>
      <c r="L128" s="113"/>
      <c r="M128" s="113"/>
      <c r="N128" s="114"/>
    </row>
    <row r="129" spans="1:16" ht="15.75" thickBot="1" x14ac:dyDescent="0.3">
      <c r="A129" s="184"/>
      <c r="B129" s="185"/>
      <c r="C129" s="185"/>
      <c r="D129" s="186"/>
      <c r="E129" s="187">
        <f>SUM(E89:E128)</f>
        <v>2506.6999999999994</v>
      </c>
      <c r="F129" s="188"/>
      <c r="G129" s="189">
        <f>SUM(G89:G128)</f>
        <v>1529087</v>
      </c>
      <c r="H129" s="185"/>
      <c r="I129" s="190"/>
      <c r="J129" s="191"/>
      <c r="K129" s="185"/>
      <c r="L129" s="188">
        <f>SUM(L89:L128)</f>
        <v>999.68799999999999</v>
      </c>
      <c r="M129" s="188">
        <f>SUM(M89:M128)</f>
        <v>-4.7620000000000005</v>
      </c>
      <c r="N129" s="190"/>
      <c r="P129" s="177"/>
    </row>
    <row r="130" spans="1:16" ht="15.75" thickBot="1" x14ac:dyDescent="0.3">
      <c r="A130" s="644" t="s">
        <v>244</v>
      </c>
      <c r="B130" s="645"/>
      <c r="C130" s="645"/>
      <c r="D130" s="646"/>
      <c r="E130" s="192">
        <f>E20+E30+E42+E88+E129</f>
        <v>7463.8499999999985</v>
      </c>
      <c r="F130" s="193"/>
      <c r="G130" s="194">
        <f>G20+G30+G42+G88+G129</f>
        <v>4552948.5</v>
      </c>
      <c r="H130" s="195"/>
      <c r="I130" s="196"/>
      <c r="J130" s="197"/>
      <c r="K130" s="198"/>
      <c r="L130" s="199"/>
      <c r="M130" s="200"/>
      <c r="N130" s="201"/>
      <c r="P130" s="177"/>
    </row>
    <row r="131" spans="1:16" x14ac:dyDescent="0.25">
      <c r="A131" s="131">
        <v>120</v>
      </c>
      <c r="B131" s="132">
        <v>46023</v>
      </c>
      <c r="C131" s="142" t="s">
        <v>245</v>
      </c>
      <c r="D131" s="143" t="s">
        <v>246</v>
      </c>
      <c r="E131" s="144">
        <v>56.75</v>
      </c>
      <c r="F131" s="87">
        <v>610</v>
      </c>
      <c r="G131" s="87">
        <f t="shared" ref="G131:G151" si="11">E131*F131</f>
        <v>34617.5</v>
      </c>
      <c r="H131" s="88" t="s">
        <v>65</v>
      </c>
      <c r="I131" s="89" t="s">
        <v>66</v>
      </c>
      <c r="J131" s="131"/>
      <c r="K131" s="132">
        <v>46032</v>
      </c>
      <c r="L131" s="133">
        <v>55.651000000000003</v>
      </c>
      <c r="M131" s="148">
        <f>L131-E131</f>
        <v>-1.0989999999999966</v>
      </c>
      <c r="N131" s="135"/>
    </row>
    <row r="132" spans="1:16" x14ac:dyDescent="0.25">
      <c r="A132" s="95">
        <f>A131+1</f>
        <v>121</v>
      </c>
      <c r="B132" s="136">
        <v>46023</v>
      </c>
      <c r="C132" s="84" t="s">
        <v>247</v>
      </c>
      <c r="D132" s="137" t="s">
        <v>248</v>
      </c>
      <c r="E132" s="138">
        <v>56.8</v>
      </c>
      <c r="F132" s="109">
        <v>610</v>
      </c>
      <c r="G132" s="109">
        <f t="shared" si="11"/>
        <v>34648</v>
      </c>
      <c r="H132" s="110" t="s">
        <v>65</v>
      </c>
      <c r="I132" s="111" t="s">
        <v>66</v>
      </c>
      <c r="J132" s="95"/>
      <c r="K132" s="136">
        <v>46032</v>
      </c>
      <c r="L132" s="102">
        <v>55.923000000000002</v>
      </c>
      <c r="M132" s="134">
        <f>L132-E132</f>
        <v>-0.87699999999999534</v>
      </c>
      <c r="N132" s="103"/>
    </row>
    <row r="133" spans="1:16" x14ac:dyDescent="0.25">
      <c r="A133" s="95">
        <f t="shared" ref="A133:A151" si="12">A132+1</f>
        <v>122</v>
      </c>
      <c r="B133" s="136">
        <v>46023</v>
      </c>
      <c r="C133" s="84" t="s">
        <v>249</v>
      </c>
      <c r="D133" s="137" t="s">
        <v>250</v>
      </c>
      <c r="E133" s="138">
        <v>57.15</v>
      </c>
      <c r="F133" s="109">
        <v>610</v>
      </c>
      <c r="G133" s="109">
        <f t="shared" si="11"/>
        <v>34861.5</v>
      </c>
      <c r="H133" s="110" t="s">
        <v>65</v>
      </c>
      <c r="I133" s="111" t="s">
        <v>66</v>
      </c>
      <c r="J133" s="95"/>
      <c r="K133" s="136">
        <v>46032</v>
      </c>
      <c r="L133" s="102">
        <v>57.402000000000001</v>
      </c>
      <c r="M133" s="134">
        <f>L133-E133</f>
        <v>0.25200000000000244</v>
      </c>
      <c r="N133" s="103"/>
    </row>
    <row r="134" spans="1:16" x14ac:dyDescent="0.25">
      <c r="A134" s="95">
        <f t="shared" si="12"/>
        <v>123</v>
      </c>
      <c r="B134" s="136">
        <v>46023</v>
      </c>
      <c r="C134" s="84" t="s">
        <v>251</v>
      </c>
      <c r="D134" s="137" t="s">
        <v>252</v>
      </c>
      <c r="E134" s="138">
        <v>57.5</v>
      </c>
      <c r="F134" s="109">
        <v>610</v>
      </c>
      <c r="G134" s="109">
        <f t="shared" si="11"/>
        <v>35075</v>
      </c>
      <c r="H134" s="110" t="s">
        <v>65</v>
      </c>
      <c r="I134" s="111" t="s">
        <v>66</v>
      </c>
      <c r="J134" s="95"/>
      <c r="K134" s="102"/>
      <c r="L134" s="102"/>
      <c r="M134" s="102"/>
      <c r="N134" s="103"/>
    </row>
    <row r="135" spans="1:16" x14ac:dyDescent="0.25">
      <c r="A135" s="95">
        <f t="shared" si="12"/>
        <v>124</v>
      </c>
      <c r="B135" s="136">
        <v>46023</v>
      </c>
      <c r="C135" s="84" t="s">
        <v>253</v>
      </c>
      <c r="D135" s="137" t="s">
        <v>254</v>
      </c>
      <c r="E135" s="138">
        <v>58.35</v>
      </c>
      <c r="F135" s="109">
        <v>610</v>
      </c>
      <c r="G135" s="109">
        <f t="shared" si="11"/>
        <v>35593.5</v>
      </c>
      <c r="H135" s="110" t="s">
        <v>65</v>
      </c>
      <c r="I135" s="111" t="s">
        <v>66</v>
      </c>
      <c r="J135" s="95"/>
      <c r="K135" s="136">
        <v>46032</v>
      </c>
      <c r="L135" s="102">
        <v>57.911999999999999</v>
      </c>
      <c r="M135" s="134">
        <f t="shared" ref="M135:M143" si="13">L135-E135</f>
        <v>-0.43800000000000239</v>
      </c>
      <c r="N135" s="103"/>
    </row>
    <row r="136" spans="1:16" x14ac:dyDescent="0.25">
      <c r="A136" s="95">
        <f t="shared" si="12"/>
        <v>125</v>
      </c>
      <c r="B136" s="136">
        <v>46023</v>
      </c>
      <c r="C136" s="84" t="s">
        <v>255</v>
      </c>
      <c r="D136" s="137" t="s">
        <v>256</v>
      </c>
      <c r="E136" s="138">
        <v>61.9</v>
      </c>
      <c r="F136" s="109">
        <v>610</v>
      </c>
      <c r="G136" s="109">
        <f t="shared" si="11"/>
        <v>37759</v>
      </c>
      <c r="H136" s="110" t="s">
        <v>65</v>
      </c>
      <c r="I136" s="111" t="s">
        <v>66</v>
      </c>
      <c r="J136" s="95"/>
      <c r="K136" s="136">
        <v>46033</v>
      </c>
      <c r="L136" s="134">
        <v>62.31</v>
      </c>
      <c r="M136" s="102">
        <f t="shared" si="13"/>
        <v>0.41000000000000369</v>
      </c>
      <c r="N136" s="103"/>
    </row>
    <row r="137" spans="1:16" x14ac:dyDescent="0.25">
      <c r="A137" s="95">
        <f t="shared" si="12"/>
        <v>126</v>
      </c>
      <c r="B137" s="136">
        <v>46023</v>
      </c>
      <c r="C137" s="84" t="s">
        <v>257</v>
      </c>
      <c r="D137" s="137" t="s">
        <v>258</v>
      </c>
      <c r="E137" s="138">
        <v>62.1</v>
      </c>
      <c r="F137" s="109">
        <v>610</v>
      </c>
      <c r="G137" s="109">
        <f t="shared" si="11"/>
        <v>37881</v>
      </c>
      <c r="H137" s="110" t="s">
        <v>65</v>
      </c>
      <c r="I137" s="111" t="s">
        <v>66</v>
      </c>
      <c r="J137" s="95"/>
      <c r="K137" s="136">
        <v>46030</v>
      </c>
      <c r="L137" s="102">
        <v>63.530999999999999</v>
      </c>
      <c r="M137" s="134">
        <f t="shared" si="13"/>
        <v>1.4309999999999974</v>
      </c>
      <c r="N137" s="103"/>
    </row>
    <row r="138" spans="1:16" x14ac:dyDescent="0.25">
      <c r="A138" s="95">
        <f t="shared" si="12"/>
        <v>127</v>
      </c>
      <c r="B138" s="136">
        <v>46023</v>
      </c>
      <c r="C138" s="84" t="s">
        <v>255</v>
      </c>
      <c r="D138" s="137" t="s">
        <v>259</v>
      </c>
      <c r="E138" s="138">
        <v>62.6</v>
      </c>
      <c r="F138" s="109">
        <v>610</v>
      </c>
      <c r="G138" s="109">
        <f t="shared" si="11"/>
        <v>38186</v>
      </c>
      <c r="H138" s="110" t="s">
        <v>65</v>
      </c>
      <c r="I138" s="111" t="s">
        <v>66</v>
      </c>
      <c r="J138" s="95"/>
      <c r="K138" s="136">
        <v>46033</v>
      </c>
      <c r="L138" s="102">
        <v>62.552999999999997</v>
      </c>
      <c r="M138" s="102">
        <f t="shared" si="13"/>
        <v>-4.700000000000415E-2</v>
      </c>
      <c r="N138" s="103"/>
    </row>
    <row r="139" spans="1:16" x14ac:dyDescent="0.25">
      <c r="A139" s="95">
        <f t="shared" si="12"/>
        <v>128</v>
      </c>
      <c r="B139" s="136">
        <v>46023</v>
      </c>
      <c r="C139" s="84" t="s">
        <v>255</v>
      </c>
      <c r="D139" s="137" t="s">
        <v>260</v>
      </c>
      <c r="E139" s="138">
        <v>64.2</v>
      </c>
      <c r="F139" s="109">
        <v>610</v>
      </c>
      <c r="G139" s="109">
        <f t="shared" si="11"/>
        <v>39162</v>
      </c>
      <c r="H139" s="110" t="s">
        <v>65</v>
      </c>
      <c r="I139" s="111" t="s">
        <v>66</v>
      </c>
      <c r="J139" s="95"/>
      <c r="K139" s="136">
        <v>46033</v>
      </c>
      <c r="L139" s="102">
        <v>64.245000000000005</v>
      </c>
      <c r="M139" s="134">
        <f t="shared" si="13"/>
        <v>4.5000000000001705E-2</v>
      </c>
      <c r="N139" s="103"/>
    </row>
    <row r="140" spans="1:16" x14ac:dyDescent="0.25">
      <c r="A140" s="95">
        <f t="shared" si="12"/>
        <v>129</v>
      </c>
      <c r="B140" s="136">
        <v>46023</v>
      </c>
      <c r="C140" s="84" t="s">
        <v>261</v>
      </c>
      <c r="D140" s="137" t="s">
        <v>262</v>
      </c>
      <c r="E140" s="138">
        <v>64.349999999999994</v>
      </c>
      <c r="F140" s="109">
        <v>610</v>
      </c>
      <c r="G140" s="109">
        <f t="shared" si="11"/>
        <v>39253.5</v>
      </c>
      <c r="H140" s="110" t="s">
        <v>65</v>
      </c>
      <c r="I140" s="111" t="s">
        <v>66</v>
      </c>
      <c r="J140" s="95"/>
      <c r="K140" s="136">
        <v>46032</v>
      </c>
      <c r="L140" s="102">
        <v>64.013999999999996</v>
      </c>
      <c r="M140" s="134">
        <f t="shared" si="13"/>
        <v>-0.33599999999999852</v>
      </c>
      <c r="N140" s="103"/>
    </row>
    <row r="141" spans="1:16" x14ac:dyDescent="0.25">
      <c r="A141" s="95">
        <f t="shared" si="12"/>
        <v>130</v>
      </c>
      <c r="B141" s="136">
        <v>46023</v>
      </c>
      <c r="C141" s="84" t="s">
        <v>263</v>
      </c>
      <c r="D141" s="137" t="s">
        <v>264</v>
      </c>
      <c r="E141" s="138">
        <v>64.400000000000006</v>
      </c>
      <c r="F141" s="109">
        <v>610</v>
      </c>
      <c r="G141" s="109">
        <f t="shared" si="11"/>
        <v>39284</v>
      </c>
      <c r="H141" s="110" t="s">
        <v>65</v>
      </c>
      <c r="I141" s="111" t="s">
        <v>66</v>
      </c>
      <c r="J141" s="95"/>
      <c r="K141" s="136">
        <v>46032</v>
      </c>
      <c r="L141" s="102">
        <v>63.802</v>
      </c>
      <c r="M141" s="134">
        <f t="shared" si="13"/>
        <v>-0.59800000000000608</v>
      </c>
      <c r="N141" s="103"/>
    </row>
    <row r="142" spans="1:16" x14ac:dyDescent="0.25">
      <c r="A142" s="95">
        <f t="shared" si="12"/>
        <v>131</v>
      </c>
      <c r="B142" s="136">
        <v>46023</v>
      </c>
      <c r="C142" s="84" t="s">
        <v>263</v>
      </c>
      <c r="D142" s="137" t="s">
        <v>265</v>
      </c>
      <c r="E142" s="138">
        <v>64.45</v>
      </c>
      <c r="F142" s="109">
        <v>610</v>
      </c>
      <c r="G142" s="109">
        <f t="shared" si="11"/>
        <v>39314.5</v>
      </c>
      <c r="H142" s="110" t="s">
        <v>65</v>
      </c>
      <c r="I142" s="111" t="s">
        <v>66</v>
      </c>
      <c r="J142" s="95"/>
      <c r="K142" s="136">
        <v>46032</v>
      </c>
      <c r="L142" s="102">
        <v>64.075000000000003</v>
      </c>
      <c r="M142" s="134">
        <f t="shared" si="13"/>
        <v>-0.375</v>
      </c>
      <c r="N142" s="103"/>
    </row>
    <row r="143" spans="1:16" x14ac:dyDescent="0.25">
      <c r="A143" s="95">
        <f t="shared" si="12"/>
        <v>132</v>
      </c>
      <c r="B143" s="136">
        <v>46023</v>
      </c>
      <c r="C143" s="84" t="s">
        <v>266</v>
      </c>
      <c r="D143" s="137" t="s">
        <v>267</v>
      </c>
      <c r="E143" s="138">
        <v>64.45</v>
      </c>
      <c r="F143" s="109">
        <v>610</v>
      </c>
      <c r="G143" s="109">
        <f t="shared" si="11"/>
        <v>39314.5</v>
      </c>
      <c r="H143" s="110" t="s">
        <v>65</v>
      </c>
      <c r="I143" s="111" t="s">
        <v>66</v>
      </c>
      <c r="J143" s="95"/>
      <c r="K143" s="136">
        <v>46030</v>
      </c>
      <c r="L143" s="134">
        <v>63.68</v>
      </c>
      <c r="M143" s="134">
        <f t="shared" si="13"/>
        <v>-0.77000000000000313</v>
      </c>
      <c r="N143" s="103"/>
    </row>
    <row r="144" spans="1:16" x14ac:dyDescent="0.25">
      <c r="A144" s="95">
        <f t="shared" si="12"/>
        <v>133</v>
      </c>
      <c r="B144" s="136">
        <v>46023</v>
      </c>
      <c r="C144" s="84" t="s">
        <v>268</v>
      </c>
      <c r="D144" s="137" t="s">
        <v>269</v>
      </c>
      <c r="E144" s="138">
        <v>64.45</v>
      </c>
      <c r="F144" s="109">
        <v>610</v>
      </c>
      <c r="G144" s="109">
        <f t="shared" si="11"/>
        <v>39314.5</v>
      </c>
      <c r="H144" s="110" t="s">
        <v>65</v>
      </c>
      <c r="I144" s="111" t="s">
        <v>66</v>
      </c>
      <c r="J144" s="95"/>
      <c r="K144" s="102"/>
      <c r="L144" s="134"/>
      <c r="M144" s="102"/>
      <c r="N144" s="103"/>
    </row>
    <row r="145" spans="1:19" x14ac:dyDescent="0.25">
      <c r="A145" s="95">
        <f t="shared" si="12"/>
        <v>134</v>
      </c>
      <c r="B145" s="136">
        <v>46023</v>
      </c>
      <c r="C145" s="84" t="s">
        <v>268</v>
      </c>
      <c r="D145" s="137" t="s">
        <v>270</v>
      </c>
      <c r="E145" s="138">
        <v>64.45</v>
      </c>
      <c r="F145" s="109">
        <v>610</v>
      </c>
      <c r="G145" s="109">
        <f t="shared" si="11"/>
        <v>39314.5</v>
      </c>
      <c r="H145" s="110" t="s">
        <v>65</v>
      </c>
      <c r="I145" s="111" t="s">
        <v>66</v>
      </c>
      <c r="J145" s="95"/>
      <c r="K145" s="102"/>
      <c r="L145" s="134"/>
      <c r="M145" s="102"/>
      <c r="N145" s="103"/>
    </row>
    <row r="146" spans="1:19" x14ac:dyDescent="0.25">
      <c r="A146" s="95">
        <f t="shared" si="12"/>
        <v>135</v>
      </c>
      <c r="B146" s="136">
        <v>46023</v>
      </c>
      <c r="C146" s="84" t="s">
        <v>268</v>
      </c>
      <c r="D146" s="137" t="s">
        <v>271</v>
      </c>
      <c r="E146" s="138">
        <v>64.5</v>
      </c>
      <c r="F146" s="109">
        <v>610</v>
      </c>
      <c r="G146" s="109">
        <f t="shared" si="11"/>
        <v>39345</v>
      </c>
      <c r="H146" s="110" t="s">
        <v>65</v>
      </c>
      <c r="I146" s="111" t="s">
        <v>66</v>
      </c>
      <c r="J146" s="95"/>
      <c r="K146" s="102"/>
      <c r="L146" s="134"/>
      <c r="M146" s="102"/>
      <c r="N146" s="103"/>
    </row>
    <row r="147" spans="1:19" x14ac:dyDescent="0.25">
      <c r="A147" s="95">
        <f t="shared" si="12"/>
        <v>136</v>
      </c>
      <c r="B147" s="136">
        <v>46023</v>
      </c>
      <c r="C147" s="84" t="s">
        <v>272</v>
      </c>
      <c r="D147" s="137" t="s">
        <v>273</v>
      </c>
      <c r="E147" s="138">
        <v>64.5</v>
      </c>
      <c r="F147" s="109">
        <v>610</v>
      </c>
      <c r="G147" s="109">
        <f t="shared" si="11"/>
        <v>39345</v>
      </c>
      <c r="H147" s="110" t="s">
        <v>65</v>
      </c>
      <c r="I147" s="111" t="s">
        <v>66</v>
      </c>
      <c r="J147" s="95"/>
      <c r="K147" s="102"/>
      <c r="L147" s="134"/>
      <c r="M147" s="102"/>
      <c r="N147" s="103"/>
    </row>
    <row r="148" spans="1:19" x14ac:dyDescent="0.25">
      <c r="A148" s="95">
        <f t="shared" si="12"/>
        <v>137</v>
      </c>
      <c r="B148" s="136">
        <v>46023</v>
      </c>
      <c r="C148" s="84" t="s">
        <v>266</v>
      </c>
      <c r="D148" s="137" t="s">
        <v>274</v>
      </c>
      <c r="E148" s="138">
        <v>64.5</v>
      </c>
      <c r="F148" s="109">
        <v>610</v>
      </c>
      <c r="G148" s="109">
        <f t="shared" si="11"/>
        <v>39345</v>
      </c>
      <c r="H148" s="110" t="s">
        <v>65</v>
      </c>
      <c r="I148" s="111" t="s">
        <v>66</v>
      </c>
      <c r="J148" s="95"/>
      <c r="K148" s="136">
        <v>46030</v>
      </c>
      <c r="L148" s="134">
        <v>63.68</v>
      </c>
      <c r="M148" s="134">
        <f>L148-E148</f>
        <v>-0.82000000000000028</v>
      </c>
      <c r="N148" s="103"/>
    </row>
    <row r="149" spans="1:19" x14ac:dyDescent="0.25">
      <c r="A149" s="95">
        <f t="shared" si="12"/>
        <v>138</v>
      </c>
      <c r="B149" s="136">
        <v>46023</v>
      </c>
      <c r="C149" s="84" t="s">
        <v>253</v>
      </c>
      <c r="D149" s="137" t="s">
        <v>275</v>
      </c>
      <c r="E149" s="138">
        <v>64.5</v>
      </c>
      <c r="F149" s="109">
        <v>610</v>
      </c>
      <c r="G149" s="109">
        <f t="shared" si="11"/>
        <v>39345</v>
      </c>
      <c r="H149" s="110" t="s">
        <v>65</v>
      </c>
      <c r="I149" s="111" t="s">
        <v>66</v>
      </c>
      <c r="J149" s="95"/>
      <c r="K149" s="136">
        <v>46032</v>
      </c>
      <c r="L149" s="102">
        <v>64.078000000000003</v>
      </c>
      <c r="M149" s="134">
        <f>L149-E149</f>
        <v>-0.42199999999999704</v>
      </c>
      <c r="N149" s="103"/>
    </row>
    <row r="150" spans="1:19" x14ac:dyDescent="0.25">
      <c r="A150" s="95">
        <f t="shared" si="12"/>
        <v>139</v>
      </c>
      <c r="B150" s="136">
        <v>46023</v>
      </c>
      <c r="C150" s="84" t="s">
        <v>251</v>
      </c>
      <c r="D150" s="137" t="s">
        <v>276</v>
      </c>
      <c r="E150" s="138">
        <v>64.650000000000006</v>
      </c>
      <c r="F150" s="109">
        <v>610</v>
      </c>
      <c r="G150" s="109">
        <f t="shared" si="11"/>
        <v>39436.5</v>
      </c>
      <c r="H150" s="110" t="s">
        <v>65</v>
      </c>
      <c r="I150" s="111" t="s">
        <v>66</v>
      </c>
      <c r="J150" s="95"/>
      <c r="K150" s="102"/>
      <c r="L150" s="102"/>
      <c r="M150" s="102"/>
      <c r="N150" s="103"/>
    </row>
    <row r="151" spans="1:19" ht="15.75" thickBot="1" x14ac:dyDescent="0.3">
      <c r="A151" s="112">
        <f t="shared" si="12"/>
        <v>140</v>
      </c>
      <c r="B151" s="141">
        <v>46023</v>
      </c>
      <c r="C151" s="154" t="s">
        <v>255</v>
      </c>
      <c r="D151" s="155" t="s">
        <v>277</v>
      </c>
      <c r="E151" s="156">
        <v>65.95</v>
      </c>
      <c r="F151" s="157">
        <v>610</v>
      </c>
      <c r="G151" s="157">
        <f t="shared" si="11"/>
        <v>40229.5</v>
      </c>
      <c r="H151" s="158" t="s">
        <v>65</v>
      </c>
      <c r="I151" s="159" t="s">
        <v>66</v>
      </c>
      <c r="J151" s="112"/>
      <c r="K151" s="141">
        <v>46033</v>
      </c>
      <c r="L151" s="113">
        <v>65.882999999999996</v>
      </c>
      <c r="M151" s="202">
        <f>L151-E151</f>
        <v>-6.7000000000007276E-2</v>
      </c>
      <c r="N151" s="114"/>
    </row>
    <row r="152" spans="1:19" ht="15.75" thickBot="1" x14ac:dyDescent="0.3">
      <c r="A152" s="203"/>
      <c r="B152" s="204"/>
      <c r="C152" s="204"/>
      <c r="D152" s="205"/>
      <c r="E152" s="206">
        <f>SUM(E131:E151)</f>
        <v>1312.5000000000002</v>
      </c>
      <c r="F152" s="207"/>
      <c r="G152" s="208">
        <f>SUM(G131:G151)</f>
        <v>800625</v>
      </c>
      <c r="H152" s="204"/>
      <c r="I152" s="209"/>
      <c r="J152" s="210"/>
      <c r="K152" s="204"/>
      <c r="L152" s="207">
        <f>SUM(L131:L151)</f>
        <v>928.73899999999992</v>
      </c>
      <c r="M152" s="207">
        <f>SUM(M131:M151)</f>
        <v>-3.7110000000000056</v>
      </c>
      <c r="N152" s="209"/>
      <c r="Q152" s="177"/>
      <c r="S152" s="177"/>
    </row>
    <row r="153" spans="1:19" x14ac:dyDescent="0.25">
      <c r="A153" s="211">
        <v>141</v>
      </c>
      <c r="B153" s="212">
        <v>46024</v>
      </c>
      <c r="C153" s="213" t="s">
        <v>278</v>
      </c>
      <c r="D153" s="214" t="s">
        <v>279</v>
      </c>
      <c r="E153" s="215">
        <v>56.7</v>
      </c>
      <c r="F153" s="87">
        <v>610</v>
      </c>
      <c r="G153" s="87">
        <f t="shared" ref="G153:G170" si="14">E153*F153</f>
        <v>34587</v>
      </c>
      <c r="H153" s="88" t="s">
        <v>65</v>
      </c>
      <c r="I153" s="89" t="s">
        <v>66</v>
      </c>
      <c r="J153" s="216"/>
      <c r="K153" s="212">
        <v>46032</v>
      </c>
      <c r="L153" s="217">
        <v>56.603000000000002</v>
      </c>
      <c r="M153" s="134">
        <f>L153-E153</f>
        <v>-9.7000000000001307E-2</v>
      </c>
      <c r="N153" s="218"/>
    </row>
    <row r="154" spans="1:19" x14ac:dyDescent="0.25">
      <c r="A154" s="95">
        <f>A153+1</f>
        <v>142</v>
      </c>
      <c r="B154" s="136">
        <v>46024</v>
      </c>
      <c r="C154" s="219" t="s">
        <v>280</v>
      </c>
      <c r="D154" s="220" t="s">
        <v>281</v>
      </c>
      <c r="E154" s="221">
        <v>61.75</v>
      </c>
      <c r="F154" s="109">
        <v>610</v>
      </c>
      <c r="G154" s="109">
        <f t="shared" si="14"/>
        <v>37667.5</v>
      </c>
      <c r="H154" s="110" t="s">
        <v>65</v>
      </c>
      <c r="I154" s="111" t="s">
        <v>66</v>
      </c>
      <c r="J154" s="102"/>
      <c r="K154" s="136">
        <v>46033</v>
      </c>
      <c r="L154" s="102">
        <v>61.746000000000002</v>
      </c>
      <c r="M154" s="134">
        <f>L154-E154</f>
        <v>-3.9999999999977831E-3</v>
      </c>
      <c r="N154" s="103"/>
    </row>
    <row r="155" spans="1:19" x14ac:dyDescent="0.25">
      <c r="A155" s="95">
        <f t="shared" ref="A155:A170" si="15">A154+1</f>
        <v>143</v>
      </c>
      <c r="B155" s="136">
        <v>46024</v>
      </c>
      <c r="C155" s="219" t="s">
        <v>280</v>
      </c>
      <c r="D155" s="220" t="s">
        <v>282</v>
      </c>
      <c r="E155" s="221">
        <v>62.55</v>
      </c>
      <c r="F155" s="109">
        <v>610</v>
      </c>
      <c r="G155" s="109">
        <f t="shared" si="14"/>
        <v>38155.5</v>
      </c>
      <c r="H155" s="110" t="s">
        <v>65</v>
      </c>
      <c r="I155" s="111" t="s">
        <v>66</v>
      </c>
      <c r="J155" s="102"/>
      <c r="K155" s="136">
        <v>46033</v>
      </c>
      <c r="L155" s="102">
        <v>62.197000000000003</v>
      </c>
      <c r="M155" s="134">
        <f>L155-E155</f>
        <v>-0.35299999999999443</v>
      </c>
      <c r="N155" s="103"/>
    </row>
    <row r="156" spans="1:19" x14ac:dyDescent="0.25">
      <c r="A156" s="95">
        <f t="shared" si="15"/>
        <v>144</v>
      </c>
      <c r="B156" s="136">
        <v>46024</v>
      </c>
      <c r="C156" s="219" t="s">
        <v>283</v>
      </c>
      <c r="D156" s="220" t="s">
        <v>284</v>
      </c>
      <c r="E156" s="221">
        <v>64.349999999999994</v>
      </c>
      <c r="F156" s="109">
        <v>610</v>
      </c>
      <c r="G156" s="109">
        <f t="shared" si="14"/>
        <v>39253.5</v>
      </c>
      <c r="H156" s="110" t="s">
        <v>65</v>
      </c>
      <c r="I156" s="111" t="s">
        <v>66</v>
      </c>
      <c r="J156" s="102"/>
      <c r="K156" s="136">
        <v>46032</v>
      </c>
      <c r="L156" s="102">
        <v>63.649000000000001</v>
      </c>
      <c r="M156" s="134">
        <f t="shared" ref="M156:M170" si="16">L156-E156</f>
        <v>-0.70099999999999341</v>
      </c>
      <c r="N156" s="103"/>
    </row>
    <row r="157" spans="1:19" x14ac:dyDescent="0.25">
      <c r="A157" s="95">
        <f t="shared" si="15"/>
        <v>145</v>
      </c>
      <c r="B157" s="136">
        <v>46024</v>
      </c>
      <c r="C157" s="219" t="s">
        <v>283</v>
      </c>
      <c r="D157" s="220" t="s">
        <v>285</v>
      </c>
      <c r="E157" s="221">
        <v>64.349999999999994</v>
      </c>
      <c r="F157" s="109">
        <v>610</v>
      </c>
      <c r="G157" s="109">
        <f t="shared" si="14"/>
        <v>39253.5</v>
      </c>
      <c r="H157" s="110" t="s">
        <v>65</v>
      </c>
      <c r="I157" s="111" t="s">
        <v>66</v>
      </c>
      <c r="J157" s="102"/>
      <c r="K157" s="136">
        <v>46032</v>
      </c>
      <c r="L157" s="102">
        <v>64.055999999999997</v>
      </c>
      <c r="M157" s="134">
        <f t="shared" si="16"/>
        <v>-0.29399999999999693</v>
      </c>
      <c r="N157" s="103"/>
    </row>
    <row r="158" spans="1:19" x14ac:dyDescent="0.25">
      <c r="A158" s="95">
        <f t="shared" si="15"/>
        <v>146</v>
      </c>
      <c r="B158" s="136">
        <v>46024</v>
      </c>
      <c r="C158" s="219" t="s">
        <v>283</v>
      </c>
      <c r="D158" s="220" t="s">
        <v>286</v>
      </c>
      <c r="E158" s="221">
        <v>64.349999999999994</v>
      </c>
      <c r="F158" s="109">
        <v>610</v>
      </c>
      <c r="G158" s="109">
        <f t="shared" si="14"/>
        <v>39253.5</v>
      </c>
      <c r="H158" s="110" t="s">
        <v>65</v>
      </c>
      <c r="I158" s="111" t="s">
        <v>66</v>
      </c>
      <c r="J158" s="102"/>
      <c r="K158" s="136">
        <v>46032</v>
      </c>
      <c r="L158" s="102">
        <v>63.600999999999999</v>
      </c>
      <c r="M158" s="134">
        <f t="shared" si="16"/>
        <v>-0.74899999999999523</v>
      </c>
      <c r="N158" s="103"/>
    </row>
    <row r="159" spans="1:19" x14ac:dyDescent="0.25">
      <c r="A159" s="95">
        <f t="shared" si="15"/>
        <v>147</v>
      </c>
      <c r="B159" s="136">
        <v>46024</v>
      </c>
      <c r="C159" s="219" t="s">
        <v>283</v>
      </c>
      <c r="D159" s="220" t="s">
        <v>287</v>
      </c>
      <c r="E159" s="221">
        <v>64.349999999999994</v>
      </c>
      <c r="F159" s="109">
        <v>610</v>
      </c>
      <c r="G159" s="109">
        <f t="shared" si="14"/>
        <v>39253.5</v>
      </c>
      <c r="H159" s="110" t="s">
        <v>65</v>
      </c>
      <c r="I159" s="111" t="s">
        <v>66</v>
      </c>
      <c r="J159" s="102"/>
      <c r="K159" s="136">
        <v>46032</v>
      </c>
      <c r="L159" s="102">
        <v>64.271000000000001</v>
      </c>
      <c r="M159" s="134">
        <f t="shared" si="16"/>
        <v>-7.899999999999352E-2</v>
      </c>
      <c r="N159" s="103"/>
    </row>
    <row r="160" spans="1:19" x14ac:dyDescent="0.25">
      <c r="A160" s="95">
        <f t="shared" si="15"/>
        <v>148</v>
      </c>
      <c r="B160" s="136">
        <v>46024</v>
      </c>
      <c r="C160" s="219" t="s">
        <v>283</v>
      </c>
      <c r="D160" s="220" t="s">
        <v>288</v>
      </c>
      <c r="E160" s="221">
        <v>64.400000000000006</v>
      </c>
      <c r="F160" s="109">
        <v>610</v>
      </c>
      <c r="G160" s="109">
        <f t="shared" si="14"/>
        <v>39284</v>
      </c>
      <c r="H160" s="110" t="s">
        <v>65</v>
      </c>
      <c r="I160" s="111" t="s">
        <v>66</v>
      </c>
      <c r="J160" s="102"/>
      <c r="K160" s="136">
        <v>46032</v>
      </c>
      <c r="L160" s="102">
        <v>63.932000000000002</v>
      </c>
      <c r="M160" s="102">
        <f t="shared" si="16"/>
        <v>-0.46800000000000352</v>
      </c>
      <c r="N160" s="103"/>
    </row>
    <row r="161" spans="1:15" x14ac:dyDescent="0.25">
      <c r="A161" s="95">
        <f t="shared" si="15"/>
        <v>149</v>
      </c>
      <c r="B161" s="136">
        <v>46024</v>
      </c>
      <c r="C161" s="219" t="s">
        <v>283</v>
      </c>
      <c r="D161" s="220" t="s">
        <v>289</v>
      </c>
      <c r="E161" s="221">
        <v>64.45</v>
      </c>
      <c r="F161" s="109">
        <v>610</v>
      </c>
      <c r="G161" s="109">
        <f t="shared" si="14"/>
        <v>39314.5</v>
      </c>
      <c r="H161" s="110" t="s">
        <v>65</v>
      </c>
      <c r="I161" s="111" t="s">
        <v>66</v>
      </c>
      <c r="J161" s="102"/>
      <c r="K161" s="136">
        <v>46032</v>
      </c>
      <c r="L161" s="102">
        <v>63.905999999999999</v>
      </c>
      <c r="M161" s="134">
        <f t="shared" si="16"/>
        <v>-0.54400000000000404</v>
      </c>
      <c r="N161" s="103"/>
    </row>
    <row r="162" spans="1:15" x14ac:dyDescent="0.25">
      <c r="A162" s="95">
        <f t="shared" si="15"/>
        <v>150</v>
      </c>
      <c r="B162" s="136">
        <v>46024</v>
      </c>
      <c r="C162" s="219" t="s">
        <v>283</v>
      </c>
      <c r="D162" s="220" t="s">
        <v>290</v>
      </c>
      <c r="E162" s="221">
        <v>64.45</v>
      </c>
      <c r="F162" s="109">
        <v>610</v>
      </c>
      <c r="G162" s="109">
        <f t="shared" si="14"/>
        <v>39314.5</v>
      </c>
      <c r="H162" s="110" t="s">
        <v>65</v>
      </c>
      <c r="I162" s="111" t="s">
        <v>66</v>
      </c>
      <c r="J162" s="102"/>
      <c r="K162" s="136">
        <v>46032</v>
      </c>
      <c r="L162" s="102">
        <v>63.884999999999998</v>
      </c>
      <c r="M162" s="134">
        <f t="shared" si="16"/>
        <v>-0.56500000000000483</v>
      </c>
      <c r="N162" s="103"/>
    </row>
    <row r="163" spans="1:15" x14ac:dyDescent="0.25">
      <c r="A163" s="95">
        <f t="shared" si="15"/>
        <v>151</v>
      </c>
      <c r="B163" s="136">
        <v>46024</v>
      </c>
      <c r="C163" s="219" t="s">
        <v>278</v>
      </c>
      <c r="D163" s="220" t="s">
        <v>291</v>
      </c>
      <c r="E163" s="221">
        <v>64.5</v>
      </c>
      <c r="F163" s="109">
        <v>610</v>
      </c>
      <c r="G163" s="109">
        <f t="shared" si="14"/>
        <v>39345</v>
      </c>
      <c r="H163" s="110" t="s">
        <v>65</v>
      </c>
      <c r="I163" s="111" t="s">
        <v>66</v>
      </c>
      <c r="J163" s="102"/>
      <c r="K163" s="136">
        <v>46032</v>
      </c>
      <c r="L163" s="102">
        <v>64.025000000000006</v>
      </c>
      <c r="M163" s="102">
        <f t="shared" si="16"/>
        <v>-0.47499999999999432</v>
      </c>
      <c r="N163" s="103"/>
    </row>
    <row r="164" spans="1:15" x14ac:dyDescent="0.25">
      <c r="A164" s="95">
        <f t="shared" si="15"/>
        <v>152</v>
      </c>
      <c r="B164" s="136">
        <v>46024</v>
      </c>
      <c r="C164" s="219" t="s">
        <v>278</v>
      </c>
      <c r="D164" s="220" t="s">
        <v>292</v>
      </c>
      <c r="E164" s="221">
        <v>64.55</v>
      </c>
      <c r="F164" s="109">
        <v>610</v>
      </c>
      <c r="G164" s="109">
        <f t="shared" si="14"/>
        <v>39375.5</v>
      </c>
      <c r="H164" s="110" t="s">
        <v>65</v>
      </c>
      <c r="I164" s="111" t="s">
        <v>66</v>
      </c>
      <c r="J164" s="102"/>
      <c r="K164" s="136">
        <v>46032</v>
      </c>
      <c r="L164" s="102">
        <v>63.991</v>
      </c>
      <c r="M164" s="134">
        <f t="shared" si="16"/>
        <v>-0.5589999999999975</v>
      </c>
      <c r="N164" s="103"/>
    </row>
    <row r="165" spans="1:15" x14ac:dyDescent="0.25">
      <c r="A165" s="95">
        <f t="shared" si="15"/>
        <v>153</v>
      </c>
      <c r="B165" s="136">
        <v>46024</v>
      </c>
      <c r="C165" s="219" t="s">
        <v>293</v>
      </c>
      <c r="D165" s="220" t="s">
        <v>294</v>
      </c>
      <c r="E165" s="221">
        <v>64.55</v>
      </c>
      <c r="F165" s="109">
        <v>610</v>
      </c>
      <c r="G165" s="109">
        <f t="shared" si="14"/>
        <v>39375.5</v>
      </c>
      <c r="H165" s="110" t="s">
        <v>65</v>
      </c>
      <c r="I165" s="111" t="s">
        <v>66</v>
      </c>
      <c r="J165" s="102"/>
      <c r="K165" s="136">
        <v>46032</v>
      </c>
      <c r="L165" s="102">
        <v>64.150999999999996</v>
      </c>
      <c r="M165" s="134">
        <f t="shared" si="16"/>
        <v>-0.39900000000000091</v>
      </c>
      <c r="N165" s="103"/>
    </row>
    <row r="166" spans="1:15" x14ac:dyDescent="0.25">
      <c r="A166" s="95">
        <f t="shared" si="15"/>
        <v>154</v>
      </c>
      <c r="B166" s="136">
        <v>46024</v>
      </c>
      <c r="C166" s="219" t="s">
        <v>278</v>
      </c>
      <c r="D166" s="220" t="s">
        <v>295</v>
      </c>
      <c r="E166" s="221">
        <v>64.599999999999994</v>
      </c>
      <c r="F166" s="109">
        <v>610</v>
      </c>
      <c r="G166" s="109">
        <f t="shared" si="14"/>
        <v>39406</v>
      </c>
      <c r="H166" s="110" t="s">
        <v>65</v>
      </c>
      <c r="I166" s="111" t="s">
        <v>66</v>
      </c>
      <c r="J166" s="102"/>
      <c r="K166" s="136">
        <v>46032</v>
      </c>
      <c r="L166" s="102">
        <v>64.483999999999995</v>
      </c>
      <c r="M166" s="134">
        <f t="shared" si="16"/>
        <v>-0.11599999999999966</v>
      </c>
      <c r="N166" s="103"/>
    </row>
    <row r="167" spans="1:15" x14ac:dyDescent="0.25">
      <c r="A167" s="95">
        <f t="shared" si="15"/>
        <v>155</v>
      </c>
      <c r="B167" s="136">
        <v>46024</v>
      </c>
      <c r="C167" s="219" t="s">
        <v>296</v>
      </c>
      <c r="D167" s="220" t="s">
        <v>297</v>
      </c>
      <c r="E167" s="221">
        <v>64.650000000000006</v>
      </c>
      <c r="F167" s="109">
        <v>610</v>
      </c>
      <c r="G167" s="109">
        <f t="shared" si="14"/>
        <v>39436.5</v>
      </c>
      <c r="H167" s="110" t="s">
        <v>65</v>
      </c>
      <c r="I167" s="111" t="s">
        <v>66</v>
      </c>
      <c r="J167" s="102"/>
      <c r="K167" s="136">
        <v>46032</v>
      </c>
      <c r="L167" s="102">
        <v>64.433000000000007</v>
      </c>
      <c r="M167" s="134">
        <f t="shared" si="16"/>
        <v>-0.21699999999999875</v>
      </c>
      <c r="N167" s="103"/>
    </row>
    <row r="168" spans="1:15" x14ac:dyDescent="0.25">
      <c r="A168" s="95">
        <f t="shared" si="15"/>
        <v>156</v>
      </c>
      <c r="B168" s="136">
        <v>46024</v>
      </c>
      <c r="C168" s="219" t="s">
        <v>278</v>
      </c>
      <c r="D168" s="220" t="s">
        <v>298</v>
      </c>
      <c r="E168" s="221">
        <v>64.7</v>
      </c>
      <c r="F168" s="109">
        <v>610</v>
      </c>
      <c r="G168" s="109">
        <f t="shared" si="14"/>
        <v>39467</v>
      </c>
      <c r="H168" s="110" t="s">
        <v>65</v>
      </c>
      <c r="I168" s="111" t="s">
        <v>66</v>
      </c>
      <c r="J168" s="102"/>
      <c r="K168" s="136">
        <v>46032</v>
      </c>
      <c r="L168" s="102">
        <v>64.256</v>
      </c>
      <c r="M168" s="134">
        <f t="shared" si="16"/>
        <v>-0.44400000000000261</v>
      </c>
      <c r="N168" s="103"/>
    </row>
    <row r="169" spans="1:15" x14ac:dyDescent="0.25">
      <c r="A169" s="95">
        <f t="shared" si="15"/>
        <v>157</v>
      </c>
      <c r="B169" s="136">
        <v>46024</v>
      </c>
      <c r="C169" s="219" t="s">
        <v>293</v>
      </c>
      <c r="D169" s="220" t="s">
        <v>299</v>
      </c>
      <c r="E169" s="221">
        <v>64.7</v>
      </c>
      <c r="F169" s="109">
        <v>610</v>
      </c>
      <c r="G169" s="109">
        <f t="shared" si="14"/>
        <v>39467</v>
      </c>
      <c r="H169" s="110" t="s">
        <v>65</v>
      </c>
      <c r="I169" s="111" t="s">
        <v>66</v>
      </c>
      <c r="J169" s="102"/>
      <c r="K169" s="136">
        <v>46032</v>
      </c>
      <c r="L169" s="102">
        <v>64.150999999999996</v>
      </c>
      <c r="M169" s="134">
        <f t="shared" si="16"/>
        <v>-0.54900000000000659</v>
      </c>
      <c r="N169" s="103"/>
    </row>
    <row r="170" spans="1:15" ht="15.75" thickBot="1" x14ac:dyDescent="0.3">
      <c r="A170" s="112">
        <f t="shared" si="15"/>
        <v>158</v>
      </c>
      <c r="B170" s="141">
        <v>46024</v>
      </c>
      <c r="C170" s="222" t="s">
        <v>278</v>
      </c>
      <c r="D170" s="223" t="s">
        <v>300</v>
      </c>
      <c r="E170" s="224">
        <v>64.75</v>
      </c>
      <c r="F170" s="157">
        <v>610</v>
      </c>
      <c r="G170" s="157">
        <f t="shared" si="14"/>
        <v>39497.5</v>
      </c>
      <c r="H170" s="158" t="s">
        <v>65</v>
      </c>
      <c r="I170" s="159" t="s">
        <v>66</v>
      </c>
      <c r="J170" s="225"/>
      <c r="K170" s="183">
        <v>46032</v>
      </c>
      <c r="L170" s="226">
        <v>64.046000000000006</v>
      </c>
      <c r="M170" s="226">
        <f t="shared" si="16"/>
        <v>-0.70399999999999352</v>
      </c>
      <c r="N170" s="227"/>
    </row>
    <row r="171" spans="1:15" ht="15.75" thickBot="1" x14ac:dyDescent="0.3">
      <c r="A171" s="228"/>
      <c r="B171" s="229"/>
      <c r="C171" s="229"/>
      <c r="D171" s="230"/>
      <c r="E171" s="231">
        <f>SUM(E153:E170)</f>
        <v>1148.7</v>
      </c>
      <c r="F171" s="232"/>
      <c r="G171" s="233">
        <f>SUM(G153:G170)</f>
        <v>700707</v>
      </c>
      <c r="H171" s="229"/>
      <c r="I171" s="234"/>
      <c r="J171" s="115"/>
      <c r="K171" s="116"/>
      <c r="L171" s="119">
        <f>SUM(L153:L170)</f>
        <v>1141.383</v>
      </c>
      <c r="M171" s="118">
        <f>SUM(M153:M170)</f>
        <v>-7.3169999999999789</v>
      </c>
      <c r="N171" s="121"/>
    </row>
    <row r="172" spans="1:15" ht="15.75" thickBot="1" x14ac:dyDescent="0.3">
      <c r="A172" s="647" t="s">
        <v>301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9"/>
    </row>
    <row r="173" spans="1:15" x14ac:dyDescent="0.25">
      <c r="A173" s="131">
        <v>159</v>
      </c>
      <c r="B173" s="132">
        <v>46025</v>
      </c>
      <c r="C173" s="213" t="s">
        <v>302</v>
      </c>
      <c r="D173" s="214" t="s">
        <v>303</v>
      </c>
      <c r="E173" s="215">
        <v>58.35</v>
      </c>
      <c r="F173" s="87">
        <v>610</v>
      </c>
      <c r="G173" s="87">
        <f t="shared" ref="G173:G185" si="17">E173*F173</f>
        <v>35593.5</v>
      </c>
      <c r="H173" s="88" t="s">
        <v>65</v>
      </c>
      <c r="I173" s="89" t="s">
        <v>66</v>
      </c>
      <c r="J173" s="131"/>
      <c r="K173" s="133"/>
      <c r="L173" s="133"/>
      <c r="M173" s="133"/>
      <c r="N173" s="135"/>
      <c r="O173" s="69">
        <v>1</v>
      </c>
    </row>
    <row r="174" spans="1:15" x14ac:dyDescent="0.25">
      <c r="A174" s="95">
        <f>A173+1</f>
        <v>160</v>
      </c>
      <c r="B174" s="136">
        <v>46025</v>
      </c>
      <c r="C174" s="219" t="s">
        <v>304</v>
      </c>
      <c r="D174" s="220" t="s">
        <v>305</v>
      </c>
      <c r="E174" s="221">
        <v>62.9</v>
      </c>
      <c r="F174" s="109">
        <v>610</v>
      </c>
      <c r="G174" s="109">
        <f t="shared" si="17"/>
        <v>38369</v>
      </c>
      <c r="H174" s="110" t="s">
        <v>65</v>
      </c>
      <c r="I174" s="111" t="s">
        <v>66</v>
      </c>
      <c r="J174" s="95"/>
      <c r="K174" s="102"/>
      <c r="L174" s="102"/>
      <c r="M174" s="102"/>
      <c r="N174" s="103"/>
      <c r="O174" s="69">
        <v>2</v>
      </c>
    </row>
    <row r="175" spans="1:15" x14ac:dyDescent="0.25">
      <c r="A175" s="95">
        <f t="shared" ref="A175:A185" si="18">A174+1</f>
        <v>161</v>
      </c>
      <c r="B175" s="136">
        <v>46025</v>
      </c>
      <c r="C175" s="219" t="s">
        <v>306</v>
      </c>
      <c r="D175" s="220" t="s">
        <v>307</v>
      </c>
      <c r="E175" s="221">
        <v>64.400000000000006</v>
      </c>
      <c r="F175" s="109">
        <v>610</v>
      </c>
      <c r="G175" s="109">
        <f t="shared" si="17"/>
        <v>39284</v>
      </c>
      <c r="H175" s="110" t="s">
        <v>65</v>
      </c>
      <c r="I175" s="111" t="s">
        <v>66</v>
      </c>
      <c r="J175" s="95"/>
      <c r="K175" s="102"/>
      <c r="L175" s="102"/>
      <c r="M175" s="102"/>
      <c r="N175" s="103"/>
      <c r="O175" s="69">
        <v>3</v>
      </c>
    </row>
    <row r="176" spans="1:15" x14ac:dyDescent="0.25">
      <c r="A176" s="95">
        <f t="shared" si="18"/>
        <v>162</v>
      </c>
      <c r="B176" s="136">
        <v>46025</v>
      </c>
      <c r="C176" s="219" t="s">
        <v>306</v>
      </c>
      <c r="D176" s="220" t="s">
        <v>308</v>
      </c>
      <c r="E176" s="221">
        <v>64.400000000000006</v>
      </c>
      <c r="F176" s="109">
        <v>610</v>
      </c>
      <c r="G176" s="109">
        <f t="shared" si="17"/>
        <v>39284</v>
      </c>
      <c r="H176" s="110" t="s">
        <v>65</v>
      </c>
      <c r="I176" s="111" t="s">
        <v>66</v>
      </c>
      <c r="J176" s="95"/>
      <c r="K176" s="102"/>
      <c r="L176" s="102"/>
      <c r="M176" s="102"/>
      <c r="N176" s="103"/>
      <c r="O176" s="69">
        <v>4</v>
      </c>
    </row>
    <row r="177" spans="1:15" x14ac:dyDescent="0.25">
      <c r="A177" s="95">
        <f t="shared" si="18"/>
        <v>163</v>
      </c>
      <c r="B177" s="136">
        <v>46025</v>
      </c>
      <c r="C177" s="219" t="s">
        <v>306</v>
      </c>
      <c r="D177" s="220" t="s">
        <v>309</v>
      </c>
      <c r="E177" s="221">
        <v>64.45</v>
      </c>
      <c r="F177" s="109">
        <v>610</v>
      </c>
      <c r="G177" s="109">
        <f t="shared" si="17"/>
        <v>39314.5</v>
      </c>
      <c r="H177" s="110" t="s">
        <v>65</v>
      </c>
      <c r="I177" s="111" t="s">
        <v>66</v>
      </c>
      <c r="J177" s="95"/>
      <c r="K177" s="102"/>
      <c r="L177" s="102"/>
      <c r="M177" s="102"/>
      <c r="N177" s="103"/>
      <c r="O177" s="69">
        <v>5</v>
      </c>
    </row>
    <row r="178" spans="1:15" x14ac:dyDescent="0.25">
      <c r="A178" s="95">
        <f t="shared" si="18"/>
        <v>164</v>
      </c>
      <c r="B178" s="136">
        <v>46025</v>
      </c>
      <c r="C178" s="219" t="s">
        <v>306</v>
      </c>
      <c r="D178" s="220" t="s">
        <v>310</v>
      </c>
      <c r="E178" s="221">
        <v>64.45</v>
      </c>
      <c r="F178" s="109">
        <v>610</v>
      </c>
      <c r="G178" s="109">
        <f t="shared" si="17"/>
        <v>39314.5</v>
      </c>
      <c r="H178" s="110" t="s">
        <v>65</v>
      </c>
      <c r="I178" s="111" t="s">
        <v>66</v>
      </c>
      <c r="J178" s="95"/>
      <c r="K178" s="102"/>
      <c r="L178" s="102"/>
      <c r="M178" s="102"/>
      <c r="N178" s="103"/>
      <c r="O178" s="69">
        <v>6</v>
      </c>
    </row>
    <row r="179" spans="1:15" x14ac:dyDescent="0.25">
      <c r="A179" s="95">
        <f t="shared" si="18"/>
        <v>165</v>
      </c>
      <c r="B179" s="136">
        <v>46025</v>
      </c>
      <c r="C179" s="219" t="s">
        <v>306</v>
      </c>
      <c r="D179" s="220" t="s">
        <v>311</v>
      </c>
      <c r="E179" s="221">
        <v>64.45</v>
      </c>
      <c r="F179" s="109">
        <v>610</v>
      </c>
      <c r="G179" s="109">
        <f t="shared" si="17"/>
        <v>39314.5</v>
      </c>
      <c r="H179" s="110" t="s">
        <v>65</v>
      </c>
      <c r="I179" s="111" t="s">
        <v>66</v>
      </c>
      <c r="J179" s="95"/>
      <c r="K179" s="102"/>
      <c r="L179" s="102"/>
      <c r="M179" s="102"/>
      <c r="N179" s="103"/>
      <c r="O179" s="69">
        <v>7</v>
      </c>
    </row>
    <row r="180" spans="1:15" x14ac:dyDescent="0.25">
      <c r="A180" s="95">
        <f t="shared" si="18"/>
        <v>166</v>
      </c>
      <c r="B180" s="136">
        <v>46025</v>
      </c>
      <c r="C180" s="219" t="s">
        <v>312</v>
      </c>
      <c r="D180" s="220" t="s">
        <v>313</v>
      </c>
      <c r="E180" s="221">
        <v>64.5</v>
      </c>
      <c r="F180" s="109">
        <v>610</v>
      </c>
      <c r="G180" s="109">
        <f t="shared" si="17"/>
        <v>39345</v>
      </c>
      <c r="H180" s="110" t="s">
        <v>65</v>
      </c>
      <c r="I180" s="111" t="s">
        <v>66</v>
      </c>
      <c r="J180" s="95"/>
      <c r="K180" s="102"/>
      <c r="L180" s="102"/>
      <c r="M180" s="102"/>
      <c r="N180" s="103"/>
      <c r="O180" s="69">
        <v>8</v>
      </c>
    </row>
    <row r="181" spans="1:15" x14ac:dyDescent="0.25">
      <c r="A181" s="95">
        <f t="shared" si="18"/>
        <v>167</v>
      </c>
      <c r="B181" s="136">
        <v>46025</v>
      </c>
      <c r="C181" s="219" t="s">
        <v>302</v>
      </c>
      <c r="D181" s="220" t="s">
        <v>314</v>
      </c>
      <c r="E181" s="221">
        <v>64.55</v>
      </c>
      <c r="F181" s="109">
        <v>610</v>
      </c>
      <c r="G181" s="109">
        <f t="shared" si="17"/>
        <v>39375.5</v>
      </c>
      <c r="H181" s="110" t="s">
        <v>65</v>
      </c>
      <c r="I181" s="111" t="s">
        <v>66</v>
      </c>
      <c r="J181" s="95"/>
      <c r="K181" s="102"/>
      <c r="L181" s="102"/>
      <c r="M181" s="102"/>
      <c r="N181" s="103"/>
      <c r="O181" s="69">
        <v>9</v>
      </c>
    </row>
    <row r="182" spans="1:15" x14ac:dyDescent="0.25">
      <c r="A182" s="95">
        <f t="shared" si="18"/>
        <v>168</v>
      </c>
      <c r="B182" s="136">
        <v>46025</v>
      </c>
      <c r="C182" s="219" t="s">
        <v>302</v>
      </c>
      <c r="D182" s="220" t="s">
        <v>315</v>
      </c>
      <c r="E182" s="221">
        <v>64.55</v>
      </c>
      <c r="F182" s="109">
        <v>610</v>
      </c>
      <c r="G182" s="109">
        <f t="shared" si="17"/>
        <v>39375.5</v>
      </c>
      <c r="H182" s="110" t="s">
        <v>65</v>
      </c>
      <c r="I182" s="111" t="s">
        <v>66</v>
      </c>
      <c r="J182" s="95"/>
      <c r="K182" s="102"/>
      <c r="L182" s="102"/>
      <c r="M182" s="102"/>
      <c r="N182" s="103"/>
      <c r="O182" s="69">
        <v>10</v>
      </c>
    </row>
    <row r="183" spans="1:15" x14ac:dyDescent="0.25">
      <c r="A183" s="95">
        <f t="shared" si="18"/>
        <v>169</v>
      </c>
      <c r="B183" s="136">
        <v>46025</v>
      </c>
      <c r="C183" s="219" t="s">
        <v>302</v>
      </c>
      <c r="D183" s="220" t="s">
        <v>316</v>
      </c>
      <c r="E183" s="221">
        <v>64.599999999999994</v>
      </c>
      <c r="F183" s="109">
        <v>610</v>
      </c>
      <c r="G183" s="109">
        <f t="shared" si="17"/>
        <v>39406</v>
      </c>
      <c r="H183" s="110" t="s">
        <v>65</v>
      </c>
      <c r="I183" s="111" t="s">
        <v>66</v>
      </c>
      <c r="J183" s="95"/>
      <c r="K183" s="102"/>
      <c r="L183" s="102"/>
      <c r="M183" s="102"/>
      <c r="N183" s="103"/>
      <c r="O183" s="69">
        <v>11</v>
      </c>
    </row>
    <row r="184" spans="1:15" x14ac:dyDescent="0.25">
      <c r="A184" s="95">
        <f t="shared" si="18"/>
        <v>170</v>
      </c>
      <c r="B184" s="136">
        <v>46025</v>
      </c>
      <c r="C184" s="219" t="s">
        <v>302</v>
      </c>
      <c r="D184" s="220" t="s">
        <v>317</v>
      </c>
      <c r="E184" s="221">
        <v>64.650000000000006</v>
      </c>
      <c r="F184" s="109">
        <v>610</v>
      </c>
      <c r="G184" s="109">
        <f t="shared" si="17"/>
        <v>39436.5</v>
      </c>
      <c r="H184" s="110" t="s">
        <v>65</v>
      </c>
      <c r="I184" s="111" t="s">
        <v>66</v>
      </c>
      <c r="J184" s="95"/>
      <c r="K184" s="102"/>
      <c r="L184" s="102"/>
      <c r="M184" s="102"/>
      <c r="N184" s="103"/>
      <c r="O184" s="69">
        <v>12</v>
      </c>
    </row>
    <row r="185" spans="1:15" ht="15.75" thickBot="1" x14ac:dyDescent="0.3">
      <c r="A185" s="112">
        <f t="shared" si="18"/>
        <v>171</v>
      </c>
      <c r="B185" s="141">
        <v>46025</v>
      </c>
      <c r="C185" s="222" t="s">
        <v>312</v>
      </c>
      <c r="D185" s="223" t="s">
        <v>318</v>
      </c>
      <c r="E185" s="224">
        <v>64.650000000000006</v>
      </c>
      <c r="F185" s="157">
        <v>610</v>
      </c>
      <c r="G185" s="157">
        <f t="shared" si="17"/>
        <v>39436.5</v>
      </c>
      <c r="H185" s="158" t="s">
        <v>65</v>
      </c>
      <c r="I185" s="159" t="s">
        <v>66</v>
      </c>
      <c r="J185" s="112"/>
      <c r="K185" s="113"/>
      <c r="L185" s="113"/>
      <c r="M185" s="113"/>
      <c r="N185" s="114"/>
      <c r="O185" s="69">
        <v>13</v>
      </c>
    </row>
    <row r="186" spans="1:15" ht="15.75" thickBot="1" x14ac:dyDescent="0.3">
      <c r="A186" s="228"/>
      <c r="B186" s="229"/>
      <c r="C186" s="229"/>
      <c r="D186" s="230"/>
      <c r="E186" s="235">
        <f>SUM(E173:E185)</f>
        <v>830.89999999999986</v>
      </c>
      <c r="F186" s="232"/>
      <c r="G186" s="233">
        <f>SUM(G173:G185)</f>
        <v>506849</v>
      </c>
      <c r="H186" s="229"/>
      <c r="I186" s="234"/>
      <c r="J186" s="115"/>
      <c r="K186" s="116"/>
      <c r="L186" s="116"/>
      <c r="M186" s="116"/>
      <c r="N186" s="121"/>
    </row>
    <row r="187" spans="1:15" x14ac:dyDescent="0.25">
      <c r="A187" s="131">
        <v>172</v>
      </c>
      <c r="B187" s="132">
        <v>46026</v>
      </c>
      <c r="C187" s="213" t="s">
        <v>319</v>
      </c>
      <c r="D187" s="214" t="s">
        <v>320</v>
      </c>
      <c r="E187" s="215">
        <v>55.5</v>
      </c>
      <c r="F187" s="87">
        <v>610</v>
      </c>
      <c r="G187" s="87">
        <f t="shared" ref="G187:G217" si="19">E187*F187</f>
        <v>33855</v>
      </c>
      <c r="H187" s="88" t="s">
        <v>65</v>
      </c>
      <c r="I187" s="89" t="s">
        <v>66</v>
      </c>
      <c r="J187" s="123"/>
      <c r="K187" s="124">
        <v>46036</v>
      </c>
      <c r="L187" s="123">
        <v>55.204999999999998</v>
      </c>
      <c r="M187" s="236">
        <f>L187-E187</f>
        <v>-0.29500000000000171</v>
      </c>
      <c r="N187" s="182"/>
      <c r="O187" s="69">
        <v>14</v>
      </c>
    </row>
    <row r="188" spans="1:15" x14ac:dyDescent="0.25">
      <c r="A188" s="95">
        <f>A187+1</f>
        <v>173</v>
      </c>
      <c r="B188" s="136">
        <v>46026</v>
      </c>
      <c r="C188" s="219" t="s">
        <v>321</v>
      </c>
      <c r="D188" s="220" t="s">
        <v>322</v>
      </c>
      <c r="E188" s="221">
        <v>56.3</v>
      </c>
      <c r="F188" s="109">
        <v>610</v>
      </c>
      <c r="G188" s="109">
        <f t="shared" si="19"/>
        <v>34343</v>
      </c>
      <c r="H188" s="110" t="s">
        <v>65</v>
      </c>
      <c r="I188" s="111" t="s">
        <v>66</v>
      </c>
      <c r="J188" s="102"/>
      <c r="K188" s="102"/>
      <c r="L188" s="102"/>
      <c r="M188" s="102"/>
      <c r="N188" s="103"/>
      <c r="O188" s="69">
        <v>15</v>
      </c>
    </row>
    <row r="189" spans="1:15" x14ac:dyDescent="0.25">
      <c r="A189" s="95">
        <f t="shared" ref="A189:A217" si="20">A188+1</f>
        <v>174</v>
      </c>
      <c r="B189" s="136">
        <v>46026</v>
      </c>
      <c r="C189" s="219" t="s">
        <v>323</v>
      </c>
      <c r="D189" s="220" t="s">
        <v>324</v>
      </c>
      <c r="E189" s="221">
        <v>57</v>
      </c>
      <c r="F189" s="109">
        <v>610</v>
      </c>
      <c r="G189" s="109">
        <f t="shared" si="19"/>
        <v>34770</v>
      </c>
      <c r="H189" s="110" t="s">
        <v>65</v>
      </c>
      <c r="I189" s="111" t="s">
        <v>66</v>
      </c>
      <c r="J189" s="102"/>
      <c r="K189" s="102"/>
      <c r="L189" s="102"/>
      <c r="M189" s="102"/>
      <c r="N189" s="103"/>
      <c r="O189" s="69">
        <v>16</v>
      </c>
    </row>
    <row r="190" spans="1:15" x14ac:dyDescent="0.25">
      <c r="A190" s="95">
        <f t="shared" si="20"/>
        <v>175</v>
      </c>
      <c r="B190" s="136">
        <v>46026</v>
      </c>
      <c r="C190" s="219" t="s">
        <v>325</v>
      </c>
      <c r="D190" s="220" t="s">
        <v>326</v>
      </c>
      <c r="E190" s="221">
        <v>57.05</v>
      </c>
      <c r="F190" s="109">
        <v>610</v>
      </c>
      <c r="G190" s="109">
        <f t="shared" si="19"/>
        <v>34800.5</v>
      </c>
      <c r="H190" s="110" t="s">
        <v>65</v>
      </c>
      <c r="I190" s="111" t="s">
        <v>66</v>
      </c>
      <c r="J190" s="102"/>
      <c r="K190" s="136">
        <v>46036</v>
      </c>
      <c r="L190" s="102">
        <v>57.045000000000002</v>
      </c>
      <c r="M190" s="134">
        <f>L190-E190</f>
        <v>-4.9999999999954525E-3</v>
      </c>
      <c r="N190" s="103"/>
      <c r="O190" s="69">
        <v>17</v>
      </c>
    </row>
    <row r="191" spans="1:15" x14ac:dyDescent="0.25">
      <c r="A191" s="95">
        <f t="shared" si="20"/>
        <v>176</v>
      </c>
      <c r="B191" s="136">
        <v>46026</v>
      </c>
      <c r="C191" s="219" t="s">
        <v>327</v>
      </c>
      <c r="D191" s="220" t="s">
        <v>328</v>
      </c>
      <c r="E191" s="221">
        <v>58.4</v>
      </c>
      <c r="F191" s="109">
        <v>610</v>
      </c>
      <c r="G191" s="109">
        <f t="shared" si="19"/>
        <v>35624</v>
      </c>
      <c r="H191" s="110" t="s">
        <v>65</v>
      </c>
      <c r="I191" s="111" t="s">
        <v>66</v>
      </c>
      <c r="J191" s="102"/>
      <c r="K191" s="136">
        <v>46036</v>
      </c>
      <c r="L191" s="102">
        <v>58.164999999999999</v>
      </c>
      <c r="M191" s="134">
        <f>L191-E191</f>
        <v>-0.23499999999999943</v>
      </c>
      <c r="N191" s="103"/>
      <c r="O191" s="69">
        <v>18</v>
      </c>
    </row>
    <row r="192" spans="1:15" x14ac:dyDescent="0.25">
      <c r="A192" s="95">
        <f t="shared" si="20"/>
        <v>177</v>
      </c>
      <c r="B192" s="136">
        <v>46026</v>
      </c>
      <c r="C192" s="219" t="s">
        <v>329</v>
      </c>
      <c r="D192" s="220" t="s">
        <v>330</v>
      </c>
      <c r="E192" s="221">
        <v>58.45</v>
      </c>
      <c r="F192" s="109">
        <v>610</v>
      </c>
      <c r="G192" s="109">
        <f t="shared" si="19"/>
        <v>35654.5</v>
      </c>
      <c r="H192" s="110" t="s">
        <v>65</v>
      </c>
      <c r="I192" s="111" t="s">
        <v>66</v>
      </c>
      <c r="J192" s="102"/>
      <c r="K192" s="136">
        <v>46036</v>
      </c>
      <c r="L192" s="102">
        <v>58.307000000000002</v>
      </c>
      <c r="M192" s="134">
        <f>L192-E192</f>
        <v>-0.14300000000000068</v>
      </c>
      <c r="N192" s="103"/>
      <c r="O192" s="69">
        <v>19</v>
      </c>
    </row>
    <row r="193" spans="1:16" x14ac:dyDescent="0.25">
      <c r="A193" s="95">
        <f t="shared" si="20"/>
        <v>178</v>
      </c>
      <c r="B193" s="136">
        <v>46026</v>
      </c>
      <c r="C193" s="219" t="s">
        <v>331</v>
      </c>
      <c r="D193" s="220" t="s">
        <v>332</v>
      </c>
      <c r="E193" s="221">
        <v>58.65</v>
      </c>
      <c r="F193" s="109">
        <v>610</v>
      </c>
      <c r="G193" s="109">
        <f t="shared" si="19"/>
        <v>35776.5</v>
      </c>
      <c r="H193" s="110" t="s">
        <v>65</v>
      </c>
      <c r="I193" s="111" t="s">
        <v>66</v>
      </c>
      <c r="J193" s="102"/>
      <c r="K193" s="136">
        <v>46036</v>
      </c>
      <c r="L193" s="102">
        <v>58.401000000000003</v>
      </c>
      <c r="M193" s="134">
        <f>L193-E193</f>
        <v>-0.24899999999999523</v>
      </c>
      <c r="N193" s="103"/>
      <c r="O193" s="69">
        <v>20</v>
      </c>
      <c r="P193" s="237"/>
    </row>
    <row r="194" spans="1:16" x14ac:dyDescent="0.25">
      <c r="A194" s="95">
        <f t="shared" si="20"/>
        <v>179</v>
      </c>
      <c r="B194" s="136">
        <v>46026</v>
      </c>
      <c r="C194" s="219" t="s">
        <v>323</v>
      </c>
      <c r="D194" s="220" t="s">
        <v>333</v>
      </c>
      <c r="E194" s="221">
        <v>58.75</v>
      </c>
      <c r="F194" s="109">
        <v>610</v>
      </c>
      <c r="G194" s="109">
        <f t="shared" si="19"/>
        <v>35837.5</v>
      </c>
      <c r="H194" s="110" t="s">
        <v>65</v>
      </c>
      <c r="I194" s="111" t="s">
        <v>66</v>
      </c>
      <c r="J194" s="102"/>
      <c r="K194" s="102"/>
      <c r="L194" s="102"/>
      <c r="M194" s="102"/>
      <c r="N194" s="103"/>
      <c r="O194" s="69">
        <v>21</v>
      </c>
    </row>
    <row r="195" spans="1:16" x14ac:dyDescent="0.25">
      <c r="A195" s="95">
        <f t="shared" si="20"/>
        <v>180</v>
      </c>
      <c r="B195" s="136">
        <v>46026</v>
      </c>
      <c r="C195" s="219" t="s">
        <v>331</v>
      </c>
      <c r="D195" s="220" t="s">
        <v>334</v>
      </c>
      <c r="E195" s="221">
        <v>62.3</v>
      </c>
      <c r="F195" s="109">
        <v>610</v>
      </c>
      <c r="G195" s="109">
        <f t="shared" si="19"/>
        <v>38003</v>
      </c>
      <c r="H195" s="110" t="s">
        <v>65</v>
      </c>
      <c r="I195" s="111" t="s">
        <v>66</v>
      </c>
      <c r="J195" s="102"/>
      <c r="K195" s="136">
        <v>46036</v>
      </c>
      <c r="L195" s="102">
        <v>62.154000000000003</v>
      </c>
      <c r="M195" s="134">
        <f t="shared" ref="M195:M203" si="21">L195-E195</f>
        <v>-0.14599999999999369</v>
      </c>
      <c r="N195" s="103"/>
      <c r="O195" s="69">
        <v>22</v>
      </c>
    </row>
    <row r="196" spans="1:16" x14ac:dyDescent="0.25">
      <c r="A196" s="95">
        <f t="shared" si="20"/>
        <v>181</v>
      </c>
      <c r="B196" s="136">
        <v>46026</v>
      </c>
      <c r="C196" s="219" t="s">
        <v>335</v>
      </c>
      <c r="D196" s="220" t="s">
        <v>336</v>
      </c>
      <c r="E196" s="221">
        <v>62.7</v>
      </c>
      <c r="F196" s="109">
        <v>610</v>
      </c>
      <c r="G196" s="109">
        <f t="shared" si="19"/>
        <v>38247</v>
      </c>
      <c r="H196" s="110" t="s">
        <v>65</v>
      </c>
      <c r="I196" s="111" t="s">
        <v>66</v>
      </c>
      <c r="J196" s="102"/>
      <c r="K196" s="136">
        <v>46036</v>
      </c>
      <c r="L196" s="102">
        <v>62.527999999999999</v>
      </c>
      <c r="M196" s="102">
        <f t="shared" si="21"/>
        <v>-0.17200000000000415</v>
      </c>
      <c r="N196" s="103"/>
      <c r="O196" s="69">
        <v>23</v>
      </c>
    </row>
    <row r="197" spans="1:16" x14ac:dyDescent="0.25">
      <c r="A197" s="95">
        <f t="shared" si="20"/>
        <v>182</v>
      </c>
      <c r="B197" s="136">
        <v>46026</v>
      </c>
      <c r="C197" s="219" t="s">
        <v>319</v>
      </c>
      <c r="D197" s="220" t="s">
        <v>337</v>
      </c>
      <c r="E197" s="221">
        <v>62.9</v>
      </c>
      <c r="F197" s="109">
        <v>610</v>
      </c>
      <c r="G197" s="109">
        <f t="shared" si="19"/>
        <v>38369</v>
      </c>
      <c r="H197" s="110" t="s">
        <v>65</v>
      </c>
      <c r="I197" s="111" t="s">
        <v>66</v>
      </c>
      <c r="J197" s="102"/>
      <c r="K197" s="136">
        <v>46036</v>
      </c>
      <c r="L197" s="102">
        <v>62.478000000000002</v>
      </c>
      <c r="M197" s="134">
        <f t="shared" si="21"/>
        <v>-0.42199999999999704</v>
      </c>
      <c r="N197" s="103"/>
      <c r="O197" s="69">
        <v>24</v>
      </c>
    </row>
    <row r="198" spans="1:16" x14ac:dyDescent="0.25">
      <c r="A198" s="95">
        <f t="shared" si="20"/>
        <v>183</v>
      </c>
      <c r="B198" s="136">
        <v>46026</v>
      </c>
      <c r="C198" s="219" t="s">
        <v>331</v>
      </c>
      <c r="D198" s="220" t="s">
        <v>338</v>
      </c>
      <c r="E198" s="221">
        <v>63.05</v>
      </c>
      <c r="F198" s="109">
        <v>610</v>
      </c>
      <c r="G198" s="109">
        <f t="shared" si="19"/>
        <v>38460.5</v>
      </c>
      <c r="H198" s="110" t="s">
        <v>65</v>
      </c>
      <c r="I198" s="111" t="s">
        <v>66</v>
      </c>
      <c r="J198" s="102"/>
      <c r="K198" s="136">
        <v>46036</v>
      </c>
      <c r="L198" s="102">
        <v>62.783999999999999</v>
      </c>
      <c r="M198" s="134">
        <f t="shared" si="21"/>
        <v>-0.26599999999999824</v>
      </c>
      <c r="N198" s="103"/>
      <c r="O198" s="69">
        <v>25</v>
      </c>
    </row>
    <row r="199" spans="1:16" x14ac:dyDescent="0.25">
      <c r="A199" s="95">
        <f t="shared" si="20"/>
        <v>184</v>
      </c>
      <c r="B199" s="136">
        <v>46026</v>
      </c>
      <c r="C199" s="219" t="s">
        <v>335</v>
      </c>
      <c r="D199" s="220" t="s">
        <v>339</v>
      </c>
      <c r="E199" s="221">
        <v>63.2</v>
      </c>
      <c r="F199" s="109">
        <v>610</v>
      </c>
      <c r="G199" s="109">
        <f t="shared" si="19"/>
        <v>38552</v>
      </c>
      <c r="H199" s="110" t="s">
        <v>65</v>
      </c>
      <c r="I199" s="111" t="s">
        <v>66</v>
      </c>
      <c r="J199" s="102"/>
      <c r="K199" s="136">
        <v>46036</v>
      </c>
      <c r="L199" s="102">
        <v>62.929000000000002</v>
      </c>
      <c r="M199" s="134">
        <f t="shared" si="21"/>
        <v>-0.2710000000000008</v>
      </c>
      <c r="N199" s="103"/>
      <c r="O199" s="69">
        <v>26</v>
      </c>
    </row>
    <row r="200" spans="1:16" x14ac:dyDescent="0.25">
      <c r="A200" s="95">
        <f t="shared" si="20"/>
        <v>185</v>
      </c>
      <c r="B200" s="136">
        <v>46026</v>
      </c>
      <c r="C200" s="219" t="s">
        <v>340</v>
      </c>
      <c r="D200" s="220" t="s">
        <v>341</v>
      </c>
      <c r="E200" s="221">
        <v>63.3</v>
      </c>
      <c r="F200" s="109">
        <v>610</v>
      </c>
      <c r="G200" s="109">
        <f t="shared" si="19"/>
        <v>38613</v>
      </c>
      <c r="H200" s="110" t="s">
        <v>65</v>
      </c>
      <c r="I200" s="111" t="s">
        <v>66</v>
      </c>
      <c r="J200" s="102"/>
      <c r="K200" s="136">
        <v>46036</v>
      </c>
      <c r="L200" s="102">
        <v>63.139000000000003</v>
      </c>
      <c r="M200" s="134">
        <f t="shared" si="21"/>
        <v>-0.16099999999999426</v>
      </c>
      <c r="N200" s="103"/>
      <c r="O200" s="69">
        <v>27</v>
      </c>
    </row>
    <row r="201" spans="1:16" x14ac:dyDescent="0.25">
      <c r="A201" s="95">
        <f t="shared" si="20"/>
        <v>186</v>
      </c>
      <c r="B201" s="136">
        <v>46026</v>
      </c>
      <c r="C201" s="219" t="s">
        <v>319</v>
      </c>
      <c r="D201" s="220" t="s">
        <v>342</v>
      </c>
      <c r="E201" s="221">
        <v>64.3</v>
      </c>
      <c r="F201" s="109">
        <v>610</v>
      </c>
      <c r="G201" s="109">
        <f t="shared" si="19"/>
        <v>39223</v>
      </c>
      <c r="H201" s="110" t="s">
        <v>65</v>
      </c>
      <c r="I201" s="111" t="s">
        <v>66</v>
      </c>
      <c r="J201" s="102"/>
      <c r="K201" s="136">
        <v>46036</v>
      </c>
      <c r="L201" s="102">
        <v>64.370999999999995</v>
      </c>
      <c r="M201" s="134">
        <f t="shared" si="21"/>
        <v>7.0999999999997954E-2</v>
      </c>
      <c r="N201" s="103"/>
      <c r="O201" s="69">
        <v>28</v>
      </c>
    </row>
    <row r="202" spans="1:16" x14ac:dyDescent="0.25">
      <c r="A202" s="95">
        <f t="shared" si="20"/>
        <v>187</v>
      </c>
      <c r="B202" s="136">
        <v>46026</v>
      </c>
      <c r="C202" s="219" t="s">
        <v>343</v>
      </c>
      <c r="D202" s="220" t="s">
        <v>344</v>
      </c>
      <c r="E202" s="221">
        <v>64.45</v>
      </c>
      <c r="F202" s="109">
        <v>610</v>
      </c>
      <c r="G202" s="109">
        <f t="shared" si="19"/>
        <v>39314.5</v>
      </c>
      <c r="H202" s="110" t="s">
        <v>65</v>
      </c>
      <c r="I202" s="111" t="s">
        <v>66</v>
      </c>
      <c r="J202" s="102"/>
      <c r="K202" s="136">
        <v>46036</v>
      </c>
      <c r="L202" s="102">
        <v>64.808999999999997</v>
      </c>
      <c r="M202" s="102">
        <f t="shared" si="21"/>
        <v>0.35899999999999466</v>
      </c>
      <c r="N202" s="103"/>
      <c r="O202" s="69">
        <v>29</v>
      </c>
    </row>
    <row r="203" spans="1:16" x14ac:dyDescent="0.25">
      <c r="A203" s="95">
        <f t="shared" si="20"/>
        <v>188</v>
      </c>
      <c r="B203" s="136">
        <v>46026</v>
      </c>
      <c r="C203" s="219" t="s">
        <v>345</v>
      </c>
      <c r="D203" s="220" t="s">
        <v>346</v>
      </c>
      <c r="E203" s="221">
        <v>64.5</v>
      </c>
      <c r="F203" s="109">
        <v>610</v>
      </c>
      <c r="G203" s="109">
        <f t="shared" si="19"/>
        <v>39345</v>
      </c>
      <c r="H203" s="110" t="s">
        <v>65</v>
      </c>
      <c r="I203" s="111" t="s">
        <v>66</v>
      </c>
      <c r="J203" s="102"/>
      <c r="K203" s="136">
        <v>46036</v>
      </c>
      <c r="L203" s="102">
        <v>64.119</v>
      </c>
      <c r="M203" s="134">
        <f t="shared" si="21"/>
        <v>-0.38100000000000023</v>
      </c>
      <c r="N203" s="103"/>
      <c r="O203" s="69">
        <v>30</v>
      </c>
    </row>
    <row r="204" spans="1:16" x14ac:dyDescent="0.25">
      <c r="A204" s="95">
        <f t="shared" si="20"/>
        <v>189</v>
      </c>
      <c r="B204" s="136">
        <v>46026</v>
      </c>
      <c r="C204" s="219" t="s">
        <v>347</v>
      </c>
      <c r="D204" s="220" t="s">
        <v>348</v>
      </c>
      <c r="E204" s="221">
        <v>64.5</v>
      </c>
      <c r="F204" s="109">
        <v>610</v>
      </c>
      <c r="G204" s="109">
        <f t="shared" si="19"/>
        <v>39345</v>
      </c>
      <c r="H204" s="110" t="s">
        <v>65</v>
      </c>
      <c r="I204" s="111" t="s">
        <v>66</v>
      </c>
      <c r="J204" s="102"/>
      <c r="K204" s="102"/>
      <c r="L204" s="102"/>
      <c r="M204" s="102"/>
      <c r="N204" s="103"/>
      <c r="O204" s="69">
        <v>31</v>
      </c>
    </row>
    <row r="205" spans="1:16" x14ac:dyDescent="0.25">
      <c r="A205" s="95">
        <f t="shared" si="20"/>
        <v>190</v>
      </c>
      <c r="B205" s="136">
        <v>46026</v>
      </c>
      <c r="C205" s="219" t="s">
        <v>349</v>
      </c>
      <c r="D205" s="220" t="s">
        <v>350</v>
      </c>
      <c r="E205" s="221">
        <v>64.55</v>
      </c>
      <c r="F205" s="109">
        <v>610</v>
      </c>
      <c r="G205" s="109">
        <f t="shared" si="19"/>
        <v>39375.5</v>
      </c>
      <c r="H205" s="110" t="s">
        <v>65</v>
      </c>
      <c r="I205" s="111" t="s">
        <v>66</v>
      </c>
      <c r="J205" s="102"/>
      <c r="K205" s="102"/>
      <c r="L205" s="102"/>
      <c r="M205" s="102"/>
      <c r="N205" s="103"/>
      <c r="O205" s="69">
        <v>32</v>
      </c>
    </row>
    <row r="206" spans="1:16" x14ac:dyDescent="0.25">
      <c r="A206" s="95">
        <f t="shared" si="20"/>
        <v>191</v>
      </c>
      <c r="B206" s="136">
        <v>46026</v>
      </c>
      <c r="C206" s="219" t="s">
        <v>351</v>
      </c>
      <c r="D206" s="220" t="s">
        <v>352</v>
      </c>
      <c r="E206" s="221">
        <v>64.55</v>
      </c>
      <c r="F206" s="109">
        <v>610</v>
      </c>
      <c r="G206" s="109">
        <f t="shared" si="19"/>
        <v>39375.5</v>
      </c>
      <c r="H206" s="110" t="s">
        <v>65</v>
      </c>
      <c r="I206" s="111" t="s">
        <v>66</v>
      </c>
      <c r="J206" s="102"/>
      <c r="K206" s="102"/>
      <c r="L206" s="102"/>
      <c r="M206" s="102"/>
      <c r="N206" s="103"/>
      <c r="O206" s="69">
        <v>33</v>
      </c>
    </row>
    <row r="207" spans="1:16" x14ac:dyDescent="0.25">
      <c r="A207" s="95">
        <f t="shared" si="20"/>
        <v>192</v>
      </c>
      <c r="B207" s="136">
        <v>46026</v>
      </c>
      <c r="C207" s="219" t="s">
        <v>323</v>
      </c>
      <c r="D207" s="220" t="s">
        <v>353</v>
      </c>
      <c r="E207" s="221">
        <v>64.55</v>
      </c>
      <c r="F207" s="109">
        <v>610</v>
      </c>
      <c r="G207" s="109">
        <f t="shared" si="19"/>
        <v>39375.5</v>
      </c>
      <c r="H207" s="110" t="s">
        <v>65</v>
      </c>
      <c r="I207" s="111" t="s">
        <v>66</v>
      </c>
      <c r="J207" s="102"/>
      <c r="K207" s="102"/>
      <c r="L207" s="102"/>
      <c r="M207" s="102"/>
      <c r="N207" s="103"/>
      <c r="O207" s="69">
        <v>34</v>
      </c>
    </row>
    <row r="208" spans="1:16" x14ac:dyDescent="0.25">
      <c r="A208" s="95">
        <f t="shared" si="20"/>
        <v>193</v>
      </c>
      <c r="B208" s="136">
        <v>46026</v>
      </c>
      <c r="C208" s="219" t="s">
        <v>323</v>
      </c>
      <c r="D208" s="220" t="s">
        <v>354</v>
      </c>
      <c r="E208" s="221">
        <v>64.55</v>
      </c>
      <c r="F208" s="109">
        <v>610</v>
      </c>
      <c r="G208" s="109">
        <f t="shared" si="19"/>
        <v>39375.5</v>
      </c>
      <c r="H208" s="110" t="s">
        <v>65</v>
      </c>
      <c r="I208" s="111" t="s">
        <v>66</v>
      </c>
      <c r="J208" s="102"/>
      <c r="K208" s="102"/>
      <c r="L208" s="102"/>
      <c r="M208" s="102"/>
      <c r="N208" s="103"/>
      <c r="O208" s="69">
        <v>35</v>
      </c>
    </row>
    <row r="209" spans="1:15" x14ac:dyDescent="0.25">
      <c r="A209" s="95">
        <f t="shared" si="20"/>
        <v>194</v>
      </c>
      <c r="B209" s="136">
        <v>46026</v>
      </c>
      <c r="C209" s="219" t="s">
        <v>323</v>
      </c>
      <c r="D209" s="220" t="s">
        <v>355</v>
      </c>
      <c r="E209" s="221">
        <v>64.599999999999994</v>
      </c>
      <c r="F209" s="109">
        <v>610</v>
      </c>
      <c r="G209" s="109">
        <f t="shared" si="19"/>
        <v>39406</v>
      </c>
      <c r="H209" s="110" t="s">
        <v>65</v>
      </c>
      <c r="I209" s="111" t="s">
        <v>66</v>
      </c>
      <c r="J209" s="102"/>
      <c r="K209" s="136">
        <v>46036</v>
      </c>
      <c r="L209" s="102">
        <v>65.212999999999994</v>
      </c>
      <c r="M209" s="134">
        <f>L209-E209</f>
        <v>0.61299999999999955</v>
      </c>
      <c r="N209" s="103"/>
      <c r="O209" s="69">
        <v>36</v>
      </c>
    </row>
    <row r="210" spans="1:15" x14ac:dyDescent="0.25">
      <c r="A210" s="95">
        <f t="shared" si="20"/>
        <v>195</v>
      </c>
      <c r="B210" s="136">
        <v>46026</v>
      </c>
      <c r="C210" s="219" t="s">
        <v>351</v>
      </c>
      <c r="D210" s="220" t="s">
        <v>356</v>
      </c>
      <c r="E210" s="221">
        <v>64.599999999999994</v>
      </c>
      <c r="F210" s="109">
        <v>610</v>
      </c>
      <c r="G210" s="109">
        <f t="shared" si="19"/>
        <v>39406</v>
      </c>
      <c r="H210" s="110" t="s">
        <v>65</v>
      </c>
      <c r="I210" s="111" t="s">
        <v>66</v>
      </c>
      <c r="J210" s="102"/>
      <c r="K210" s="102"/>
      <c r="L210" s="102"/>
      <c r="M210" s="102"/>
      <c r="N210" s="103"/>
      <c r="O210" s="69">
        <v>37</v>
      </c>
    </row>
    <row r="211" spans="1:15" x14ac:dyDescent="0.25">
      <c r="A211" s="95">
        <f t="shared" si="20"/>
        <v>196</v>
      </c>
      <c r="B211" s="136">
        <v>46026</v>
      </c>
      <c r="C211" s="219" t="s">
        <v>323</v>
      </c>
      <c r="D211" s="220" t="s">
        <v>357</v>
      </c>
      <c r="E211" s="221">
        <v>64.650000000000006</v>
      </c>
      <c r="F211" s="109">
        <v>610</v>
      </c>
      <c r="G211" s="109">
        <f t="shared" si="19"/>
        <v>39436.5</v>
      </c>
      <c r="H211" s="110" t="s">
        <v>65</v>
      </c>
      <c r="I211" s="111" t="s">
        <v>66</v>
      </c>
      <c r="J211" s="102"/>
      <c r="K211" s="102"/>
      <c r="L211" s="102"/>
      <c r="M211" s="102"/>
      <c r="N211" s="103"/>
      <c r="O211" s="69">
        <v>38</v>
      </c>
    </row>
    <row r="212" spans="1:15" x14ac:dyDescent="0.25">
      <c r="A212" s="95">
        <f t="shared" si="20"/>
        <v>197</v>
      </c>
      <c r="B212" s="136">
        <v>46026</v>
      </c>
      <c r="C212" s="219" t="s">
        <v>349</v>
      </c>
      <c r="D212" s="220" t="s">
        <v>358</v>
      </c>
      <c r="E212" s="221">
        <v>64.650000000000006</v>
      </c>
      <c r="F212" s="109">
        <v>610</v>
      </c>
      <c r="G212" s="109">
        <f t="shared" si="19"/>
        <v>39436.5</v>
      </c>
      <c r="H212" s="110" t="s">
        <v>65</v>
      </c>
      <c r="I212" s="111" t="s">
        <v>66</v>
      </c>
      <c r="J212" s="102"/>
      <c r="K212" s="102"/>
      <c r="L212" s="102"/>
      <c r="M212" s="102"/>
      <c r="N212" s="103"/>
      <c r="O212" s="69">
        <v>39</v>
      </c>
    </row>
    <row r="213" spans="1:15" x14ac:dyDescent="0.25">
      <c r="A213" s="95">
        <f t="shared" si="20"/>
        <v>198</v>
      </c>
      <c r="B213" s="136">
        <v>46026</v>
      </c>
      <c r="C213" s="219" t="s">
        <v>349</v>
      </c>
      <c r="D213" s="220" t="s">
        <v>359</v>
      </c>
      <c r="E213" s="221">
        <v>64.650000000000006</v>
      </c>
      <c r="F213" s="109">
        <v>610</v>
      </c>
      <c r="G213" s="109">
        <f t="shared" si="19"/>
        <v>39436.5</v>
      </c>
      <c r="H213" s="110" t="s">
        <v>65</v>
      </c>
      <c r="I213" s="111" t="s">
        <v>66</v>
      </c>
      <c r="J213" s="102"/>
      <c r="K213" s="102"/>
      <c r="L213" s="102"/>
      <c r="M213" s="102"/>
      <c r="N213" s="103"/>
      <c r="O213" s="69">
        <v>40</v>
      </c>
    </row>
    <row r="214" spans="1:15" x14ac:dyDescent="0.25">
      <c r="A214" s="95">
        <f t="shared" si="20"/>
        <v>199</v>
      </c>
      <c r="B214" s="136">
        <v>46026</v>
      </c>
      <c r="C214" s="219" t="s">
        <v>360</v>
      </c>
      <c r="D214" s="220" t="s">
        <v>361</v>
      </c>
      <c r="E214" s="221">
        <v>64.7</v>
      </c>
      <c r="F214" s="109">
        <v>610</v>
      </c>
      <c r="G214" s="109">
        <f t="shared" si="19"/>
        <v>39467</v>
      </c>
      <c r="H214" s="110" t="s">
        <v>65</v>
      </c>
      <c r="I214" s="111" t="s">
        <v>66</v>
      </c>
      <c r="J214" s="102"/>
      <c r="K214" s="102"/>
      <c r="L214" s="102"/>
      <c r="M214" s="102"/>
      <c r="N214" s="103"/>
      <c r="O214" s="69">
        <v>41</v>
      </c>
    </row>
    <row r="215" spans="1:15" x14ac:dyDescent="0.25">
      <c r="A215" s="95">
        <f t="shared" si="20"/>
        <v>200</v>
      </c>
      <c r="B215" s="136">
        <v>46026</v>
      </c>
      <c r="C215" s="219" t="s">
        <v>360</v>
      </c>
      <c r="D215" s="220" t="s">
        <v>362</v>
      </c>
      <c r="E215" s="221">
        <v>64.7</v>
      </c>
      <c r="F215" s="109">
        <v>610</v>
      </c>
      <c r="G215" s="109">
        <f t="shared" si="19"/>
        <v>39467</v>
      </c>
      <c r="H215" s="110" t="s">
        <v>65</v>
      </c>
      <c r="I215" s="111" t="s">
        <v>66</v>
      </c>
      <c r="J215" s="102"/>
      <c r="K215" s="102"/>
      <c r="L215" s="102"/>
      <c r="M215" s="102"/>
      <c r="N215" s="103"/>
      <c r="O215" s="69">
        <v>42</v>
      </c>
    </row>
    <row r="216" spans="1:15" x14ac:dyDescent="0.25">
      <c r="A216" s="95">
        <f t="shared" si="20"/>
        <v>201</v>
      </c>
      <c r="B216" s="136">
        <v>46026</v>
      </c>
      <c r="C216" s="219" t="s">
        <v>323</v>
      </c>
      <c r="D216" s="220" t="s">
        <v>363</v>
      </c>
      <c r="E216" s="221">
        <v>64.7</v>
      </c>
      <c r="F216" s="109">
        <v>610</v>
      </c>
      <c r="G216" s="109">
        <f t="shared" si="19"/>
        <v>39467</v>
      </c>
      <c r="H216" s="110" t="s">
        <v>65</v>
      </c>
      <c r="I216" s="111" t="s">
        <v>66</v>
      </c>
      <c r="J216" s="102"/>
      <c r="K216" s="102"/>
      <c r="L216" s="102"/>
      <c r="M216" s="102"/>
      <c r="N216" s="103"/>
      <c r="O216" s="69">
        <v>43</v>
      </c>
    </row>
    <row r="217" spans="1:15" ht="15.75" thickBot="1" x14ac:dyDescent="0.3">
      <c r="A217" s="112">
        <f t="shared" si="20"/>
        <v>202</v>
      </c>
      <c r="B217" s="141">
        <v>46026</v>
      </c>
      <c r="C217" s="222" t="s">
        <v>364</v>
      </c>
      <c r="D217" s="223" t="s">
        <v>365</v>
      </c>
      <c r="E217" s="224">
        <v>64.900000000000006</v>
      </c>
      <c r="F217" s="157">
        <v>610</v>
      </c>
      <c r="G217" s="157">
        <f t="shared" si="19"/>
        <v>39589</v>
      </c>
      <c r="H217" s="158" t="s">
        <v>65</v>
      </c>
      <c r="I217" s="159" t="s">
        <v>66</v>
      </c>
      <c r="J217" s="150"/>
      <c r="K217" s="183">
        <v>46036</v>
      </c>
      <c r="L217" s="150">
        <v>65.344999999999999</v>
      </c>
      <c r="M217" s="152">
        <f>L217-E217</f>
        <v>0.44499999999999318</v>
      </c>
      <c r="N217" s="151"/>
      <c r="O217" s="69">
        <v>44</v>
      </c>
    </row>
    <row r="218" spans="1:15" ht="15.75" thickBot="1" x14ac:dyDescent="0.3">
      <c r="A218" s="228"/>
      <c r="B218" s="229"/>
      <c r="C218" s="229"/>
      <c r="D218" s="230"/>
      <c r="E218" s="231">
        <f>SUM(E187:E217)</f>
        <v>1935.65</v>
      </c>
      <c r="F218" s="232"/>
      <c r="G218" s="233">
        <f>SUM(G187:G217)</f>
        <v>1180746.5</v>
      </c>
      <c r="H218" s="229"/>
      <c r="I218" s="234"/>
      <c r="J218" s="115"/>
      <c r="K218" s="116"/>
      <c r="L218" s="119">
        <f>SUM(L187:L217)</f>
        <v>986.99199999999996</v>
      </c>
      <c r="M218" s="118">
        <f>SUM(M187:M217)</f>
        <v>-1.2579999999999956</v>
      </c>
      <c r="N218" s="121"/>
    </row>
    <row r="219" spans="1:15" x14ac:dyDescent="0.25">
      <c r="A219" s="131">
        <v>203</v>
      </c>
      <c r="B219" s="212">
        <v>46031</v>
      </c>
      <c r="C219" s="142" t="s">
        <v>366</v>
      </c>
      <c r="D219" s="142" t="s">
        <v>367</v>
      </c>
      <c r="E219" s="144">
        <v>57.85</v>
      </c>
      <c r="F219" s="87">
        <v>610</v>
      </c>
      <c r="G219" s="87">
        <f>E219*F219</f>
        <v>35288.5</v>
      </c>
      <c r="H219" s="88" t="s">
        <v>65</v>
      </c>
      <c r="I219" s="89" t="s">
        <v>66</v>
      </c>
      <c r="J219" s="133"/>
      <c r="K219" s="132">
        <v>46037</v>
      </c>
      <c r="L219" s="133">
        <v>57.421999999999997</v>
      </c>
      <c r="M219" s="152">
        <f>L219-E219</f>
        <v>-0.42800000000000438</v>
      </c>
      <c r="N219" s="135"/>
      <c r="O219" s="69">
        <v>45</v>
      </c>
    </row>
    <row r="220" spans="1:15" x14ac:dyDescent="0.25">
      <c r="A220" s="95">
        <f>A219+1</f>
        <v>204</v>
      </c>
      <c r="B220" s="136">
        <v>46031</v>
      </c>
      <c r="C220" s="84" t="s">
        <v>368</v>
      </c>
      <c r="D220" s="84" t="s">
        <v>369</v>
      </c>
      <c r="E220" s="138">
        <v>64.5</v>
      </c>
      <c r="F220" s="109">
        <v>610</v>
      </c>
      <c r="G220" s="109">
        <f>E220*F220</f>
        <v>39345</v>
      </c>
      <c r="H220" s="110" t="s">
        <v>65</v>
      </c>
      <c r="I220" s="111" t="s">
        <v>66</v>
      </c>
      <c r="J220" s="102"/>
      <c r="K220" s="124">
        <v>46037</v>
      </c>
      <c r="L220" s="102">
        <v>65.116</v>
      </c>
      <c r="M220" s="152">
        <f>L220-E220</f>
        <v>0.61599999999999966</v>
      </c>
      <c r="N220" s="103"/>
      <c r="O220" s="69">
        <v>46</v>
      </c>
    </row>
    <row r="221" spans="1:15" ht="15.75" thickBot="1" x14ac:dyDescent="0.3">
      <c r="A221" s="104">
        <f>A220+1</f>
        <v>205</v>
      </c>
      <c r="B221" s="170">
        <v>46031</v>
      </c>
      <c r="C221" s="106" t="s">
        <v>370</v>
      </c>
      <c r="D221" s="106" t="s">
        <v>371</v>
      </c>
      <c r="E221" s="140">
        <v>64.55</v>
      </c>
      <c r="F221" s="109">
        <v>610</v>
      </c>
      <c r="G221" s="109">
        <f>E221*F221</f>
        <v>39375.5</v>
      </c>
      <c r="H221" s="110" t="s">
        <v>65</v>
      </c>
      <c r="I221" s="111" t="s">
        <v>66</v>
      </c>
      <c r="J221" s="150"/>
      <c r="K221" s="124">
        <v>46037</v>
      </c>
      <c r="L221" s="150">
        <v>64.257000000000005</v>
      </c>
      <c r="M221" s="152">
        <f>L221-E221</f>
        <v>-0.29299999999999216</v>
      </c>
      <c r="N221" s="151"/>
      <c r="O221" s="69">
        <v>47</v>
      </c>
    </row>
    <row r="222" spans="1:15" ht="15.75" thickBot="1" x14ac:dyDescent="0.3">
      <c r="A222" s="115"/>
      <c r="B222" s="116"/>
      <c r="C222" s="116"/>
      <c r="D222" s="117"/>
      <c r="E222" s="176">
        <f>SUM(E219:E221)</f>
        <v>186.89999999999998</v>
      </c>
      <c r="F222" s="119"/>
      <c r="G222" s="120">
        <f>SUM(G219:G221)</f>
        <v>114009</v>
      </c>
      <c r="H222" s="116"/>
      <c r="I222" s="121"/>
      <c r="J222" s="122"/>
      <c r="K222" s="116"/>
      <c r="L222" s="119">
        <f>SUM(L219:L221)</f>
        <v>186.79500000000002</v>
      </c>
      <c r="M222" s="118">
        <f>SUM(M219:M221)</f>
        <v>-0.10499999999999687</v>
      </c>
      <c r="N222" s="121"/>
    </row>
    <row r="223" spans="1:15" ht="15.75" thickBot="1" x14ac:dyDescent="0.3">
      <c r="A223" s="238">
        <v>206</v>
      </c>
      <c r="B223" s="239">
        <v>46034</v>
      </c>
      <c r="C223" s="240" t="s">
        <v>372</v>
      </c>
      <c r="D223" s="240" t="s">
        <v>373</v>
      </c>
      <c r="E223" s="241">
        <v>62.85</v>
      </c>
      <c r="F223" s="242">
        <v>610</v>
      </c>
      <c r="G223" s="242">
        <f>E223*F223</f>
        <v>38338.5</v>
      </c>
      <c r="H223" s="243" t="s">
        <v>65</v>
      </c>
      <c r="I223" s="244" t="s">
        <v>66</v>
      </c>
      <c r="J223" s="238"/>
      <c r="K223" s="239">
        <v>46040</v>
      </c>
      <c r="L223" s="245">
        <v>62.545999999999999</v>
      </c>
      <c r="M223" s="246">
        <f>L223-E223</f>
        <v>-0.30400000000000205</v>
      </c>
      <c r="N223" s="247"/>
      <c r="O223" s="69">
        <v>48</v>
      </c>
    </row>
    <row r="224" spans="1:15" ht="15.75" thickBot="1" x14ac:dyDescent="0.3">
      <c r="A224" s="228"/>
      <c r="B224" s="229"/>
      <c r="C224" s="229"/>
      <c r="D224" s="230"/>
      <c r="E224" s="231">
        <f>E223</f>
        <v>62.85</v>
      </c>
      <c r="F224" s="232"/>
      <c r="G224" s="233">
        <f>G223</f>
        <v>38338.5</v>
      </c>
      <c r="H224" s="229"/>
      <c r="I224" s="234"/>
      <c r="J224" s="248"/>
      <c r="K224" s="229"/>
      <c r="L224" s="232">
        <f>L223</f>
        <v>62.545999999999999</v>
      </c>
      <c r="M224" s="235">
        <f>M223</f>
        <v>-0.30400000000000205</v>
      </c>
      <c r="N224" s="234"/>
    </row>
    <row r="225" spans="1:15" x14ac:dyDescent="0.25">
      <c r="A225" s="131">
        <v>207</v>
      </c>
      <c r="B225" s="132">
        <v>46035</v>
      </c>
      <c r="C225" s="142" t="s">
        <v>374</v>
      </c>
      <c r="D225" s="142" t="s">
        <v>375</v>
      </c>
      <c r="E225" s="144">
        <v>64.55</v>
      </c>
      <c r="F225" s="87">
        <v>610</v>
      </c>
      <c r="G225" s="87">
        <f>E225*F225</f>
        <v>39375.5</v>
      </c>
      <c r="H225" s="88" t="s">
        <v>65</v>
      </c>
      <c r="I225" s="89" t="s">
        <v>66</v>
      </c>
      <c r="J225" s="131"/>
      <c r="K225" s="132">
        <v>46040</v>
      </c>
      <c r="L225" s="133">
        <v>64.218000000000004</v>
      </c>
      <c r="M225" s="148">
        <f>L225-E225</f>
        <v>-0.33199999999999363</v>
      </c>
      <c r="N225" s="135"/>
      <c r="O225" s="69">
        <v>49</v>
      </c>
    </row>
    <row r="226" spans="1:15" x14ac:dyDescent="0.25">
      <c r="A226" s="95">
        <f>A225+1</f>
        <v>208</v>
      </c>
      <c r="B226" s="136">
        <v>46035</v>
      </c>
      <c r="C226" s="84" t="s">
        <v>374</v>
      </c>
      <c r="D226" s="84" t="s">
        <v>376</v>
      </c>
      <c r="E226" s="138">
        <v>64.55</v>
      </c>
      <c r="F226" s="109">
        <v>610</v>
      </c>
      <c r="G226" s="109">
        <f>E226*F226</f>
        <v>39375.5</v>
      </c>
      <c r="H226" s="110" t="s">
        <v>65</v>
      </c>
      <c r="I226" s="111" t="s">
        <v>66</v>
      </c>
      <c r="J226" s="95"/>
      <c r="K226" s="136">
        <v>46040</v>
      </c>
      <c r="L226" s="102">
        <v>65.299000000000007</v>
      </c>
      <c r="M226" s="134">
        <f>L226-E226</f>
        <v>0.74900000000000944</v>
      </c>
      <c r="N226" s="103"/>
      <c r="O226" s="69">
        <v>50</v>
      </c>
    </row>
    <row r="227" spans="1:15" ht="15.75" thickBot="1" x14ac:dyDescent="0.3">
      <c r="A227" s="112">
        <f>A226+1</f>
        <v>209</v>
      </c>
      <c r="B227" s="141">
        <v>46035</v>
      </c>
      <c r="C227" s="154" t="s">
        <v>374</v>
      </c>
      <c r="D227" s="154" t="s">
        <v>377</v>
      </c>
      <c r="E227" s="156">
        <v>64.599999999999994</v>
      </c>
      <c r="F227" s="157">
        <v>610</v>
      </c>
      <c r="G227" s="157">
        <f>E227*F227</f>
        <v>39406</v>
      </c>
      <c r="H227" s="158" t="s">
        <v>65</v>
      </c>
      <c r="I227" s="159" t="s">
        <v>66</v>
      </c>
      <c r="J227" s="112"/>
      <c r="K227" s="141">
        <v>46040</v>
      </c>
      <c r="L227" s="113">
        <v>64.061000000000007</v>
      </c>
      <c r="M227" s="202">
        <f>L227-E227</f>
        <v>-0.53899999999998727</v>
      </c>
      <c r="N227" s="114"/>
      <c r="O227" s="69">
        <v>51</v>
      </c>
    </row>
    <row r="228" spans="1:15" ht="15.75" thickBot="1" x14ac:dyDescent="0.3">
      <c r="A228" s="228"/>
      <c r="B228" s="229"/>
      <c r="C228" s="229"/>
      <c r="D228" s="230"/>
      <c r="E228" s="231">
        <f>SUM(E225:E227)</f>
        <v>193.7</v>
      </c>
      <c r="F228" s="232"/>
      <c r="G228" s="233">
        <f>SUM(G225:G227)</f>
        <v>118157</v>
      </c>
      <c r="H228" s="229"/>
      <c r="I228" s="234"/>
      <c r="J228" s="248"/>
      <c r="K228" s="229"/>
      <c r="L228" s="232">
        <f>SUM(L225:L227)</f>
        <v>193.578</v>
      </c>
      <c r="M228" s="235">
        <f>SUM(M225:M227)</f>
        <v>-0.12199999999997146</v>
      </c>
      <c r="N228" s="234"/>
    </row>
    <row r="229" spans="1:15" x14ac:dyDescent="0.25">
      <c r="A229" s="131">
        <v>210</v>
      </c>
      <c r="B229" s="132">
        <v>46035</v>
      </c>
      <c r="C229" s="142" t="s">
        <v>378</v>
      </c>
      <c r="D229" s="142" t="s">
        <v>379</v>
      </c>
      <c r="E229" s="144">
        <v>57</v>
      </c>
      <c r="F229" s="87">
        <v>610</v>
      </c>
      <c r="G229" s="87">
        <f t="shared" ref="G229:G245" si="22">E229*F229</f>
        <v>34770</v>
      </c>
      <c r="H229" s="88" t="s">
        <v>65</v>
      </c>
      <c r="I229" s="89" t="s">
        <v>66</v>
      </c>
      <c r="J229" s="133"/>
      <c r="K229" s="133"/>
      <c r="L229" s="133"/>
      <c r="M229" s="133"/>
      <c r="N229" s="135"/>
      <c r="O229" s="69">
        <v>52</v>
      </c>
    </row>
    <row r="230" spans="1:15" x14ac:dyDescent="0.25">
      <c r="A230" s="95">
        <f>A229+1</f>
        <v>211</v>
      </c>
      <c r="B230" s="136">
        <v>46035</v>
      </c>
      <c r="C230" s="84" t="s">
        <v>380</v>
      </c>
      <c r="D230" s="84" t="s">
        <v>381</v>
      </c>
      <c r="E230" s="138">
        <v>64.3</v>
      </c>
      <c r="F230" s="109">
        <v>610</v>
      </c>
      <c r="G230" s="109">
        <f t="shared" si="22"/>
        <v>39223</v>
      </c>
      <c r="H230" s="110" t="s">
        <v>65</v>
      </c>
      <c r="I230" s="111" t="s">
        <v>66</v>
      </c>
      <c r="J230" s="102"/>
      <c r="K230" s="136">
        <v>46041</v>
      </c>
      <c r="L230" s="102">
        <v>63.996000000000002</v>
      </c>
      <c r="M230" s="134">
        <f t="shared" ref="M230:M244" si="23">L230-E230</f>
        <v>-0.30399999999999494</v>
      </c>
      <c r="N230" s="103"/>
      <c r="O230" s="69">
        <v>53</v>
      </c>
    </row>
    <row r="231" spans="1:15" x14ac:dyDescent="0.25">
      <c r="A231" s="95">
        <f t="shared" ref="A231:A245" si="24">A230+1</f>
        <v>212</v>
      </c>
      <c r="B231" s="136">
        <v>46035</v>
      </c>
      <c r="C231" s="84" t="s">
        <v>382</v>
      </c>
      <c r="D231" s="84" t="s">
        <v>383</v>
      </c>
      <c r="E231" s="138">
        <v>64.3</v>
      </c>
      <c r="F231" s="109">
        <v>610</v>
      </c>
      <c r="G231" s="109">
        <f t="shared" si="22"/>
        <v>39223</v>
      </c>
      <c r="H231" s="110" t="s">
        <v>65</v>
      </c>
      <c r="I231" s="111" t="s">
        <v>66</v>
      </c>
      <c r="J231" s="102"/>
      <c r="K231" s="136">
        <v>46040</v>
      </c>
      <c r="L231" s="102">
        <v>64.444000000000003</v>
      </c>
      <c r="M231" s="134">
        <f t="shared" si="23"/>
        <v>0.14400000000000546</v>
      </c>
      <c r="N231" s="103"/>
      <c r="O231" s="69">
        <v>54</v>
      </c>
    </row>
    <row r="232" spans="1:15" x14ac:dyDescent="0.25">
      <c r="A232" s="95">
        <f t="shared" si="24"/>
        <v>213</v>
      </c>
      <c r="B232" s="136">
        <v>46035</v>
      </c>
      <c r="C232" s="84" t="s">
        <v>382</v>
      </c>
      <c r="D232" s="84" t="s">
        <v>384</v>
      </c>
      <c r="E232" s="138">
        <v>64.400000000000006</v>
      </c>
      <c r="F232" s="109">
        <v>610</v>
      </c>
      <c r="G232" s="109">
        <f t="shared" si="22"/>
        <v>39284</v>
      </c>
      <c r="H232" s="110" t="s">
        <v>65</v>
      </c>
      <c r="I232" s="111" t="s">
        <v>66</v>
      </c>
      <c r="J232" s="102"/>
      <c r="K232" s="136">
        <v>46040</v>
      </c>
      <c r="L232" s="134">
        <v>64.010000000000005</v>
      </c>
      <c r="M232" s="134">
        <f t="shared" si="23"/>
        <v>-0.39000000000000057</v>
      </c>
      <c r="N232" s="103"/>
      <c r="O232" s="69">
        <v>55</v>
      </c>
    </row>
    <row r="233" spans="1:15" x14ac:dyDescent="0.25">
      <c r="A233" s="95">
        <f t="shared" si="24"/>
        <v>214</v>
      </c>
      <c r="B233" s="136">
        <v>46035</v>
      </c>
      <c r="C233" s="84" t="s">
        <v>382</v>
      </c>
      <c r="D233" s="84" t="s">
        <v>385</v>
      </c>
      <c r="E233" s="138">
        <v>64.400000000000006</v>
      </c>
      <c r="F233" s="109">
        <v>610</v>
      </c>
      <c r="G233" s="109">
        <f t="shared" si="22"/>
        <v>39284</v>
      </c>
      <c r="H233" s="110" t="s">
        <v>65</v>
      </c>
      <c r="I233" s="111" t="s">
        <v>66</v>
      </c>
      <c r="J233" s="102"/>
      <c r="K233" s="136">
        <v>46040</v>
      </c>
      <c r="L233" s="102">
        <v>64.233999999999995</v>
      </c>
      <c r="M233" s="134">
        <f t="shared" si="23"/>
        <v>-0.16600000000001103</v>
      </c>
      <c r="N233" s="103"/>
      <c r="O233" s="69">
        <v>56</v>
      </c>
    </row>
    <row r="234" spans="1:15" x14ac:dyDescent="0.25">
      <c r="A234" s="95">
        <f t="shared" si="24"/>
        <v>215</v>
      </c>
      <c r="B234" s="136">
        <v>46035</v>
      </c>
      <c r="C234" s="84" t="s">
        <v>386</v>
      </c>
      <c r="D234" s="84" t="s">
        <v>387</v>
      </c>
      <c r="E234" s="138">
        <v>64.400000000000006</v>
      </c>
      <c r="F234" s="109">
        <v>610</v>
      </c>
      <c r="G234" s="109">
        <f t="shared" si="22"/>
        <v>39284</v>
      </c>
      <c r="H234" s="110" t="s">
        <v>65</v>
      </c>
      <c r="I234" s="111" t="s">
        <v>66</v>
      </c>
      <c r="J234" s="102"/>
      <c r="K234" s="136">
        <v>46041</v>
      </c>
      <c r="L234" s="102">
        <v>62.780999999999999</v>
      </c>
      <c r="M234" s="102">
        <f t="shared" si="23"/>
        <v>-1.6190000000000069</v>
      </c>
      <c r="N234" s="103"/>
      <c r="O234" s="69">
        <v>57</v>
      </c>
    </row>
    <row r="235" spans="1:15" x14ac:dyDescent="0.25">
      <c r="A235" s="95">
        <f t="shared" si="24"/>
        <v>216</v>
      </c>
      <c r="B235" s="136">
        <v>46035</v>
      </c>
      <c r="C235" s="84" t="s">
        <v>388</v>
      </c>
      <c r="D235" s="84" t="s">
        <v>389</v>
      </c>
      <c r="E235" s="138">
        <v>64.400000000000006</v>
      </c>
      <c r="F235" s="109">
        <v>610</v>
      </c>
      <c r="G235" s="109">
        <f t="shared" si="22"/>
        <v>39284</v>
      </c>
      <c r="H235" s="110" t="s">
        <v>65</v>
      </c>
      <c r="I235" s="111" t="s">
        <v>66</v>
      </c>
      <c r="J235" s="102"/>
      <c r="K235" s="136">
        <v>46040</v>
      </c>
      <c r="L235" s="102">
        <v>64.373999999999995</v>
      </c>
      <c r="M235" s="134">
        <f t="shared" si="23"/>
        <v>-2.6000000000010459E-2</v>
      </c>
      <c r="N235" s="103"/>
      <c r="O235" s="69">
        <v>58</v>
      </c>
    </row>
    <row r="236" spans="1:15" x14ac:dyDescent="0.25">
      <c r="A236" s="95">
        <f t="shared" si="24"/>
        <v>217</v>
      </c>
      <c r="B236" s="136">
        <v>46035</v>
      </c>
      <c r="C236" s="84" t="s">
        <v>380</v>
      </c>
      <c r="D236" s="84" t="s">
        <v>390</v>
      </c>
      <c r="E236" s="138">
        <v>64.400000000000006</v>
      </c>
      <c r="F236" s="109">
        <v>610</v>
      </c>
      <c r="G236" s="109">
        <f t="shared" si="22"/>
        <v>39284</v>
      </c>
      <c r="H236" s="110" t="s">
        <v>65</v>
      </c>
      <c r="I236" s="111" t="s">
        <v>66</v>
      </c>
      <c r="J236" s="102"/>
      <c r="K236" s="136">
        <v>46041</v>
      </c>
      <c r="L236" s="102">
        <v>64.195999999999998</v>
      </c>
      <c r="M236" s="102">
        <f t="shared" si="23"/>
        <v>-0.20400000000000773</v>
      </c>
      <c r="N236" s="103"/>
      <c r="O236" s="69">
        <v>59</v>
      </c>
    </row>
    <row r="237" spans="1:15" x14ac:dyDescent="0.25">
      <c r="A237" s="95">
        <f t="shared" si="24"/>
        <v>218</v>
      </c>
      <c r="B237" s="136">
        <v>46035</v>
      </c>
      <c r="C237" s="84" t="s">
        <v>380</v>
      </c>
      <c r="D237" s="84" t="s">
        <v>391</v>
      </c>
      <c r="E237" s="138">
        <v>64.400000000000006</v>
      </c>
      <c r="F237" s="109">
        <v>610</v>
      </c>
      <c r="G237" s="109">
        <f t="shared" si="22"/>
        <v>39284</v>
      </c>
      <c r="H237" s="110" t="s">
        <v>65</v>
      </c>
      <c r="I237" s="111" t="s">
        <v>66</v>
      </c>
      <c r="J237" s="102"/>
      <c r="K237" s="136">
        <v>46041</v>
      </c>
      <c r="L237" s="102">
        <v>64.245999999999995</v>
      </c>
      <c r="M237" s="102">
        <f t="shared" si="23"/>
        <v>-0.15400000000001057</v>
      </c>
      <c r="N237" s="103"/>
      <c r="O237" s="69">
        <v>60</v>
      </c>
    </row>
    <row r="238" spans="1:15" x14ac:dyDescent="0.25">
      <c r="A238" s="95">
        <f t="shared" si="24"/>
        <v>219</v>
      </c>
      <c r="B238" s="136">
        <v>46035</v>
      </c>
      <c r="C238" s="84" t="s">
        <v>386</v>
      </c>
      <c r="D238" s="84" t="s">
        <v>392</v>
      </c>
      <c r="E238" s="138">
        <v>64.45</v>
      </c>
      <c r="F238" s="109">
        <v>610</v>
      </c>
      <c r="G238" s="109">
        <f t="shared" si="22"/>
        <v>39314.5</v>
      </c>
      <c r="H238" s="110" t="s">
        <v>65</v>
      </c>
      <c r="I238" s="111" t="s">
        <v>66</v>
      </c>
      <c r="J238" s="102"/>
      <c r="K238" s="136">
        <v>46041</v>
      </c>
      <c r="L238" s="102">
        <v>64.111000000000004</v>
      </c>
      <c r="M238" s="102">
        <f t="shared" si="23"/>
        <v>-0.33899999999999864</v>
      </c>
      <c r="N238" s="103"/>
      <c r="O238" s="69">
        <v>61</v>
      </c>
    </row>
    <row r="239" spans="1:15" x14ac:dyDescent="0.25">
      <c r="A239" s="95">
        <f t="shared" si="24"/>
        <v>220</v>
      </c>
      <c r="B239" s="136">
        <v>46035</v>
      </c>
      <c r="C239" s="84" t="s">
        <v>386</v>
      </c>
      <c r="D239" s="84" t="s">
        <v>393</v>
      </c>
      <c r="E239" s="138">
        <v>64.45</v>
      </c>
      <c r="F239" s="109">
        <v>610</v>
      </c>
      <c r="G239" s="109">
        <f t="shared" si="22"/>
        <v>39314.5</v>
      </c>
      <c r="H239" s="110" t="s">
        <v>65</v>
      </c>
      <c r="I239" s="111" t="s">
        <v>66</v>
      </c>
      <c r="J239" s="102"/>
      <c r="K239" s="136">
        <v>46041</v>
      </c>
      <c r="L239" s="102">
        <v>63.96</v>
      </c>
      <c r="M239" s="102">
        <f t="shared" si="23"/>
        <v>-0.49000000000000199</v>
      </c>
      <c r="N239" s="103"/>
      <c r="O239" s="69">
        <v>62</v>
      </c>
    </row>
    <row r="240" spans="1:15" x14ac:dyDescent="0.25">
      <c r="A240" s="95">
        <f t="shared" si="24"/>
        <v>221</v>
      </c>
      <c r="B240" s="136">
        <v>46035</v>
      </c>
      <c r="C240" s="84" t="s">
        <v>380</v>
      </c>
      <c r="D240" s="84" t="s">
        <v>394</v>
      </c>
      <c r="E240" s="138">
        <v>64.45</v>
      </c>
      <c r="F240" s="109">
        <v>610</v>
      </c>
      <c r="G240" s="109">
        <f t="shared" si="22"/>
        <v>39314.5</v>
      </c>
      <c r="H240" s="110" t="s">
        <v>65</v>
      </c>
      <c r="I240" s="111" t="s">
        <v>66</v>
      </c>
      <c r="J240" s="102"/>
      <c r="K240" s="136">
        <v>46041</v>
      </c>
      <c r="L240" s="134">
        <v>64.23</v>
      </c>
      <c r="M240" s="134">
        <f t="shared" si="23"/>
        <v>-0.21999999999999886</v>
      </c>
      <c r="N240" s="103"/>
      <c r="O240" s="69">
        <v>63</v>
      </c>
    </row>
    <row r="241" spans="1:15" x14ac:dyDescent="0.25">
      <c r="A241" s="95">
        <f t="shared" si="24"/>
        <v>222</v>
      </c>
      <c r="B241" s="136">
        <v>46035</v>
      </c>
      <c r="C241" s="84" t="s">
        <v>380</v>
      </c>
      <c r="D241" s="84" t="s">
        <v>395</v>
      </c>
      <c r="E241" s="138">
        <v>64.45</v>
      </c>
      <c r="F241" s="109">
        <v>610</v>
      </c>
      <c r="G241" s="109">
        <f t="shared" si="22"/>
        <v>39314.5</v>
      </c>
      <c r="H241" s="110" t="s">
        <v>65</v>
      </c>
      <c r="I241" s="111" t="s">
        <v>66</v>
      </c>
      <c r="J241" s="102"/>
      <c r="K241" s="136">
        <v>46041</v>
      </c>
      <c r="L241" s="102">
        <v>64.245000000000005</v>
      </c>
      <c r="M241" s="134">
        <f t="shared" si="23"/>
        <v>-0.20499999999999829</v>
      </c>
      <c r="N241" s="103"/>
      <c r="O241" s="69">
        <v>64</v>
      </c>
    </row>
    <row r="242" spans="1:15" x14ac:dyDescent="0.25">
      <c r="A242" s="95">
        <f t="shared" si="24"/>
        <v>223</v>
      </c>
      <c r="B242" s="136">
        <v>46035</v>
      </c>
      <c r="C242" s="84" t="s">
        <v>380</v>
      </c>
      <c r="D242" s="84" t="s">
        <v>396</v>
      </c>
      <c r="E242" s="138">
        <v>64.45</v>
      </c>
      <c r="F242" s="109">
        <v>610</v>
      </c>
      <c r="G242" s="109">
        <f t="shared" si="22"/>
        <v>39314.5</v>
      </c>
      <c r="H242" s="110" t="s">
        <v>65</v>
      </c>
      <c r="I242" s="111" t="s">
        <v>66</v>
      </c>
      <c r="J242" s="102"/>
      <c r="K242" s="136">
        <v>46041</v>
      </c>
      <c r="L242" s="102">
        <v>63.814999999999998</v>
      </c>
      <c r="M242" s="134">
        <f t="shared" si="23"/>
        <v>-0.63500000000000512</v>
      </c>
      <c r="N242" s="103"/>
      <c r="O242" s="69">
        <v>65</v>
      </c>
    </row>
    <row r="243" spans="1:15" x14ac:dyDescent="0.25">
      <c r="A243" s="95">
        <f t="shared" si="24"/>
        <v>224</v>
      </c>
      <c r="B243" s="136">
        <v>46035</v>
      </c>
      <c r="C243" s="84" t="s">
        <v>382</v>
      </c>
      <c r="D243" s="84" t="s">
        <v>397</v>
      </c>
      <c r="E243" s="138">
        <v>64.45</v>
      </c>
      <c r="F243" s="109">
        <v>610</v>
      </c>
      <c r="G243" s="109">
        <f t="shared" si="22"/>
        <v>39314.5</v>
      </c>
      <c r="H243" s="110" t="s">
        <v>65</v>
      </c>
      <c r="I243" s="111" t="s">
        <v>66</v>
      </c>
      <c r="J243" s="102"/>
      <c r="K243" s="136">
        <v>46041</v>
      </c>
      <c r="L243" s="102">
        <v>64.319999999999993</v>
      </c>
      <c r="M243" s="102">
        <f t="shared" si="23"/>
        <v>-0.13000000000000966</v>
      </c>
      <c r="N243" s="103"/>
      <c r="O243" s="69">
        <v>66</v>
      </c>
    </row>
    <row r="244" spans="1:15" x14ac:dyDescent="0.25">
      <c r="A244" s="95">
        <f t="shared" si="24"/>
        <v>225</v>
      </c>
      <c r="B244" s="136">
        <v>46035</v>
      </c>
      <c r="C244" s="84" t="s">
        <v>380</v>
      </c>
      <c r="D244" s="84" t="s">
        <v>398</v>
      </c>
      <c r="E244" s="138">
        <v>64.5</v>
      </c>
      <c r="F244" s="109">
        <v>610</v>
      </c>
      <c r="G244" s="109">
        <f t="shared" si="22"/>
        <v>39345</v>
      </c>
      <c r="H244" s="110" t="s">
        <v>65</v>
      </c>
      <c r="I244" s="111" t="s">
        <v>66</v>
      </c>
      <c r="J244" s="102"/>
      <c r="K244" s="136">
        <v>46041</v>
      </c>
      <c r="L244" s="134">
        <v>64.418000000000006</v>
      </c>
      <c r="M244" s="134">
        <f t="shared" si="23"/>
        <v>-8.1999999999993634E-2</v>
      </c>
      <c r="N244" s="103"/>
      <c r="O244" s="69">
        <v>67</v>
      </c>
    </row>
    <row r="245" spans="1:15" ht="15.75" thickBot="1" x14ac:dyDescent="0.3">
      <c r="A245" s="112">
        <f t="shared" si="24"/>
        <v>226</v>
      </c>
      <c r="B245" s="141">
        <v>46035</v>
      </c>
      <c r="C245" s="154" t="s">
        <v>380</v>
      </c>
      <c r="D245" s="154" t="s">
        <v>399</v>
      </c>
      <c r="E245" s="156">
        <v>64.5</v>
      </c>
      <c r="F245" s="157">
        <v>610</v>
      </c>
      <c r="G245" s="157">
        <f t="shared" si="22"/>
        <v>39345</v>
      </c>
      <c r="H245" s="158" t="s">
        <v>65</v>
      </c>
      <c r="I245" s="159" t="s">
        <v>66</v>
      </c>
      <c r="J245" s="113"/>
      <c r="K245" s="113"/>
      <c r="L245" s="113"/>
      <c r="M245" s="113"/>
      <c r="N245" s="114"/>
      <c r="O245" s="69">
        <v>68</v>
      </c>
    </row>
    <row r="246" spans="1:15" ht="15.75" thickBot="1" x14ac:dyDescent="0.3">
      <c r="A246" s="115"/>
      <c r="B246" s="163"/>
      <c r="C246" s="116"/>
      <c r="D246" s="117"/>
      <c r="E246" s="176">
        <f>SUM(E229:E245)</f>
        <v>1087.7000000000003</v>
      </c>
      <c r="F246" s="119"/>
      <c r="G246" s="120">
        <f>SUM(G229:G245)</f>
        <v>663497</v>
      </c>
      <c r="H246" s="116"/>
      <c r="I246" s="121"/>
      <c r="J246" s="122"/>
      <c r="K246" s="116"/>
      <c r="L246" s="119">
        <f>SUM(L229:L245)</f>
        <v>961.38</v>
      </c>
      <c r="M246" s="119">
        <f>SUM(M229:M245)</f>
        <v>-4.8200000000000429</v>
      </c>
      <c r="N246" s="121"/>
    </row>
    <row r="247" spans="1:15" x14ac:dyDescent="0.25">
      <c r="A247" s="249">
        <v>227</v>
      </c>
      <c r="B247" s="250">
        <v>46035</v>
      </c>
      <c r="C247" s="251" t="s">
        <v>400</v>
      </c>
      <c r="D247" s="252">
        <v>75263269</v>
      </c>
      <c r="E247" s="253">
        <v>67.8</v>
      </c>
      <c r="F247" s="254">
        <v>610</v>
      </c>
      <c r="G247" s="254">
        <f>E247*F247</f>
        <v>41358</v>
      </c>
      <c r="H247" s="255" t="s">
        <v>65</v>
      </c>
      <c r="I247" s="256" t="s">
        <v>66</v>
      </c>
      <c r="J247" s="251"/>
      <c r="K247" s="251"/>
      <c r="L247" s="257"/>
      <c r="M247" s="257"/>
      <c r="N247" s="258"/>
    </row>
    <row r="248" spans="1:15" ht="15.75" thickBot="1" x14ac:dyDescent="0.3">
      <c r="A248" s="259">
        <v>228</v>
      </c>
      <c r="B248" s="260">
        <v>46035</v>
      </c>
      <c r="C248" s="261" t="s">
        <v>401</v>
      </c>
      <c r="D248" s="262">
        <v>75262436</v>
      </c>
      <c r="E248" s="263">
        <v>68.150000000000006</v>
      </c>
      <c r="F248" s="264">
        <v>610</v>
      </c>
      <c r="G248" s="264">
        <f>E248*F248</f>
        <v>41571.5</v>
      </c>
      <c r="H248" s="265" t="s">
        <v>65</v>
      </c>
      <c r="I248" s="266" t="s">
        <v>66</v>
      </c>
      <c r="J248" s="261"/>
      <c r="K248" s="261"/>
      <c r="L248" s="267"/>
      <c r="M248" s="267"/>
      <c r="N248" s="268"/>
    </row>
    <row r="249" spans="1:15" ht="15.75" thickBot="1" x14ac:dyDescent="0.3">
      <c r="A249" s="115"/>
      <c r="B249" s="163"/>
      <c r="C249" s="269"/>
      <c r="D249" s="270"/>
      <c r="E249" s="271">
        <f>SUM(E247:E248)</f>
        <v>135.94999999999999</v>
      </c>
      <c r="F249" s="119"/>
      <c r="G249" s="120"/>
      <c r="H249" s="116"/>
      <c r="I249" s="121"/>
      <c r="J249" s="122"/>
      <c r="K249" s="116"/>
      <c r="L249" s="119"/>
      <c r="M249" s="119"/>
      <c r="N249" s="121"/>
    </row>
    <row r="250" spans="1:15" x14ac:dyDescent="0.25">
      <c r="A250" s="181">
        <v>229</v>
      </c>
      <c r="B250" s="124">
        <v>46036</v>
      </c>
      <c r="C250" s="125" t="s">
        <v>402</v>
      </c>
      <c r="D250" s="125" t="s">
        <v>115</v>
      </c>
      <c r="E250" s="127">
        <v>55.55</v>
      </c>
      <c r="F250" s="178">
        <v>610</v>
      </c>
      <c r="G250" s="178">
        <f t="shared" ref="G250:G258" si="25">E250*F250</f>
        <v>33885.5</v>
      </c>
      <c r="H250" s="179" t="s">
        <v>65</v>
      </c>
      <c r="I250" s="180" t="s">
        <v>66</v>
      </c>
      <c r="J250" s="181"/>
      <c r="K250" s="124">
        <v>46041</v>
      </c>
      <c r="L250" s="123">
        <v>54.744999999999997</v>
      </c>
      <c r="M250" s="236">
        <f t="shared" ref="M250:M258" si="26">L250-E250</f>
        <v>-0.80499999999999972</v>
      </c>
      <c r="N250" s="182"/>
      <c r="O250" s="69">
        <v>69</v>
      </c>
    </row>
    <row r="251" spans="1:15" x14ac:dyDescent="0.25">
      <c r="A251" s="95">
        <f>A250+1</f>
        <v>230</v>
      </c>
      <c r="B251" s="170">
        <v>46036</v>
      </c>
      <c r="C251" s="84" t="s">
        <v>402</v>
      </c>
      <c r="D251" s="84" t="s">
        <v>119</v>
      </c>
      <c r="E251" s="138">
        <v>55.75</v>
      </c>
      <c r="F251" s="109">
        <v>610</v>
      </c>
      <c r="G251" s="109">
        <f t="shared" si="25"/>
        <v>34007.5</v>
      </c>
      <c r="H251" s="110" t="s">
        <v>65</v>
      </c>
      <c r="I251" s="111" t="s">
        <v>66</v>
      </c>
      <c r="J251" s="95"/>
      <c r="K251" s="136">
        <v>46041</v>
      </c>
      <c r="L251" s="102">
        <v>55.831000000000003</v>
      </c>
      <c r="M251" s="134">
        <f t="shared" si="26"/>
        <v>8.100000000000307E-2</v>
      </c>
      <c r="N251" s="103"/>
      <c r="O251" s="69">
        <v>70</v>
      </c>
    </row>
    <row r="252" spans="1:15" x14ac:dyDescent="0.25">
      <c r="A252" s="95">
        <f t="shared" ref="A252:A258" si="27">A251+1</f>
        <v>231</v>
      </c>
      <c r="B252" s="136">
        <v>46036</v>
      </c>
      <c r="C252" s="84" t="s">
        <v>403</v>
      </c>
      <c r="D252" s="84" t="s">
        <v>404</v>
      </c>
      <c r="E252" s="138">
        <v>57.5</v>
      </c>
      <c r="F252" s="109">
        <v>610</v>
      </c>
      <c r="G252" s="109">
        <f t="shared" si="25"/>
        <v>35075</v>
      </c>
      <c r="H252" s="110" t="s">
        <v>65</v>
      </c>
      <c r="I252" s="111" t="s">
        <v>66</v>
      </c>
      <c r="J252" s="95"/>
      <c r="K252" s="124">
        <v>46041</v>
      </c>
      <c r="L252" s="102">
        <v>57.344999999999999</v>
      </c>
      <c r="M252" s="134">
        <f t="shared" si="26"/>
        <v>-0.15500000000000114</v>
      </c>
      <c r="N252" s="103"/>
      <c r="O252" s="69">
        <v>71</v>
      </c>
    </row>
    <row r="253" spans="1:15" x14ac:dyDescent="0.25">
      <c r="A253" s="95">
        <f t="shared" si="27"/>
        <v>232</v>
      </c>
      <c r="B253" s="136">
        <v>46036</v>
      </c>
      <c r="C253" s="84" t="s">
        <v>402</v>
      </c>
      <c r="D253" s="84" t="s">
        <v>75</v>
      </c>
      <c r="E253" s="138">
        <v>61.35</v>
      </c>
      <c r="F253" s="109">
        <v>610</v>
      </c>
      <c r="G253" s="109">
        <f t="shared" si="25"/>
        <v>37423.5</v>
      </c>
      <c r="H253" s="110" t="s">
        <v>65</v>
      </c>
      <c r="I253" s="111" t="s">
        <v>66</v>
      </c>
      <c r="J253" s="95"/>
      <c r="K253" s="136">
        <v>46041</v>
      </c>
      <c r="L253" s="102">
        <v>60.844999999999999</v>
      </c>
      <c r="M253" s="134">
        <f t="shared" si="26"/>
        <v>-0.50500000000000256</v>
      </c>
      <c r="N253" s="103"/>
      <c r="O253" s="69">
        <v>72</v>
      </c>
    </row>
    <row r="254" spans="1:15" x14ac:dyDescent="0.25">
      <c r="A254" s="95">
        <f t="shared" si="27"/>
        <v>233</v>
      </c>
      <c r="B254" s="136">
        <v>46036</v>
      </c>
      <c r="C254" s="84" t="s">
        <v>402</v>
      </c>
      <c r="D254" s="84" t="s">
        <v>79</v>
      </c>
      <c r="E254" s="138">
        <v>61.5</v>
      </c>
      <c r="F254" s="109">
        <v>610</v>
      </c>
      <c r="G254" s="109">
        <f t="shared" si="25"/>
        <v>37515</v>
      </c>
      <c r="H254" s="110" t="s">
        <v>65</v>
      </c>
      <c r="I254" s="111" t="s">
        <v>66</v>
      </c>
      <c r="J254" s="95"/>
      <c r="K254" s="136">
        <v>46041</v>
      </c>
      <c r="L254" s="102">
        <v>62.54</v>
      </c>
      <c r="M254" s="134">
        <f t="shared" si="26"/>
        <v>1.0399999999999991</v>
      </c>
      <c r="N254" s="103"/>
      <c r="O254" s="69">
        <v>73</v>
      </c>
    </row>
    <row r="255" spans="1:15" x14ac:dyDescent="0.25">
      <c r="A255" s="95">
        <f t="shared" si="27"/>
        <v>234</v>
      </c>
      <c r="B255" s="136">
        <v>46036</v>
      </c>
      <c r="C255" s="84" t="s">
        <v>402</v>
      </c>
      <c r="D255" s="84" t="s">
        <v>74</v>
      </c>
      <c r="E255" s="138">
        <v>61.9</v>
      </c>
      <c r="F255" s="109">
        <v>610</v>
      </c>
      <c r="G255" s="109">
        <f t="shared" si="25"/>
        <v>37759</v>
      </c>
      <c r="H255" s="110" t="s">
        <v>65</v>
      </c>
      <c r="I255" s="111" t="s">
        <v>66</v>
      </c>
      <c r="J255" s="95"/>
      <c r="K255" s="136">
        <v>46041</v>
      </c>
      <c r="L255" s="102">
        <v>61.427999999999997</v>
      </c>
      <c r="M255" s="134">
        <f t="shared" si="26"/>
        <v>-0.47200000000000131</v>
      </c>
      <c r="N255" s="103"/>
      <c r="O255" s="69">
        <v>74</v>
      </c>
    </row>
    <row r="256" spans="1:15" x14ac:dyDescent="0.25">
      <c r="A256" s="95">
        <f t="shared" si="27"/>
        <v>235</v>
      </c>
      <c r="B256" s="136">
        <v>46036</v>
      </c>
      <c r="C256" s="84" t="s">
        <v>405</v>
      </c>
      <c r="D256" s="84" t="s">
        <v>406</v>
      </c>
      <c r="E256" s="138">
        <v>62</v>
      </c>
      <c r="F256" s="109">
        <v>610</v>
      </c>
      <c r="G256" s="109">
        <f t="shared" si="25"/>
        <v>37820</v>
      </c>
      <c r="H256" s="110" t="s">
        <v>65</v>
      </c>
      <c r="I256" s="111" t="s">
        <v>66</v>
      </c>
      <c r="J256" s="95"/>
      <c r="K256" s="136">
        <v>46041</v>
      </c>
      <c r="L256" s="102">
        <v>61.64</v>
      </c>
      <c r="M256" s="134">
        <f t="shared" si="26"/>
        <v>-0.35999999999999943</v>
      </c>
      <c r="N256" s="103"/>
      <c r="O256" s="69">
        <v>75</v>
      </c>
    </row>
    <row r="257" spans="1:15" x14ac:dyDescent="0.25">
      <c r="A257" s="95">
        <f t="shared" si="27"/>
        <v>236</v>
      </c>
      <c r="B257" s="136">
        <v>46036</v>
      </c>
      <c r="C257" s="84" t="s">
        <v>402</v>
      </c>
      <c r="D257" s="84" t="s">
        <v>76</v>
      </c>
      <c r="E257" s="138">
        <v>62.1</v>
      </c>
      <c r="F257" s="109">
        <v>610</v>
      </c>
      <c r="G257" s="109">
        <f t="shared" si="25"/>
        <v>37881</v>
      </c>
      <c r="H257" s="110" t="s">
        <v>65</v>
      </c>
      <c r="I257" s="111" t="s">
        <v>66</v>
      </c>
      <c r="J257" s="95"/>
      <c r="K257" s="136">
        <v>46041</v>
      </c>
      <c r="L257" s="102">
        <v>61.686999999999998</v>
      </c>
      <c r="M257" s="134">
        <f t="shared" si="26"/>
        <v>-0.41300000000000381</v>
      </c>
      <c r="N257" s="103"/>
      <c r="O257" s="69">
        <v>76</v>
      </c>
    </row>
    <row r="258" spans="1:15" ht="15.75" thickBot="1" x14ac:dyDescent="0.3">
      <c r="A258" s="95">
        <f t="shared" si="27"/>
        <v>237</v>
      </c>
      <c r="B258" s="170">
        <v>46036</v>
      </c>
      <c r="C258" s="84" t="s">
        <v>405</v>
      </c>
      <c r="D258" s="84" t="s">
        <v>407</v>
      </c>
      <c r="E258" s="138">
        <v>62.3</v>
      </c>
      <c r="F258" s="109">
        <v>610</v>
      </c>
      <c r="G258" s="109">
        <f t="shared" si="25"/>
        <v>38003</v>
      </c>
      <c r="H258" s="110" t="s">
        <v>65</v>
      </c>
      <c r="I258" s="111" t="s">
        <v>66</v>
      </c>
      <c r="J258" s="104"/>
      <c r="K258" s="136">
        <v>46041</v>
      </c>
      <c r="L258" s="150">
        <v>61.692</v>
      </c>
      <c r="M258" s="150">
        <f t="shared" si="26"/>
        <v>-0.60799999999999699</v>
      </c>
      <c r="N258" s="151"/>
      <c r="O258" s="69">
        <v>77</v>
      </c>
    </row>
    <row r="259" spans="1:15" ht="15.75" thickBot="1" x14ac:dyDescent="0.3">
      <c r="A259" s="115"/>
      <c r="B259" s="116"/>
      <c r="C259" s="116"/>
      <c r="D259" s="117"/>
      <c r="E259" s="176">
        <f>SUM(E250:E258)</f>
        <v>539.94999999999993</v>
      </c>
      <c r="F259" s="119"/>
      <c r="G259" s="120">
        <f>SUM(G250:G258)</f>
        <v>329369.5</v>
      </c>
      <c r="H259" s="116"/>
      <c r="I259" s="121"/>
      <c r="J259" s="115"/>
      <c r="K259" s="116"/>
      <c r="L259" s="119">
        <f>SUM(L250:L258)</f>
        <v>537.75299999999993</v>
      </c>
      <c r="M259" s="118">
        <f>SUM(M250:M258)</f>
        <v>-2.1970000000000027</v>
      </c>
      <c r="N259" s="121"/>
    </row>
    <row r="260" spans="1:15" x14ac:dyDescent="0.25">
      <c r="A260" s="181">
        <v>236</v>
      </c>
      <c r="B260" s="136">
        <v>46036</v>
      </c>
      <c r="C260" s="84" t="s">
        <v>408</v>
      </c>
      <c r="D260" s="84" t="s">
        <v>409</v>
      </c>
      <c r="E260" s="138">
        <v>56.7</v>
      </c>
      <c r="F260" s="109">
        <v>610</v>
      </c>
      <c r="G260" s="109">
        <f t="shared" ref="G260:G286" si="28">E260*F260</f>
        <v>34587</v>
      </c>
      <c r="H260" s="110" t="s">
        <v>65</v>
      </c>
      <c r="I260" s="111" t="s">
        <v>66</v>
      </c>
      <c r="J260" s="131"/>
      <c r="K260" s="132">
        <v>46042</v>
      </c>
      <c r="L260" s="133">
        <v>56.246000000000002</v>
      </c>
      <c r="M260" s="134">
        <f t="shared" ref="M260:M286" si="29">L260-E260</f>
        <v>-0.45400000000000063</v>
      </c>
      <c r="N260" s="135"/>
    </row>
    <row r="261" spans="1:15" x14ac:dyDescent="0.25">
      <c r="A261" s="95">
        <f>A260+1</f>
        <v>237</v>
      </c>
      <c r="B261" s="136">
        <v>46036</v>
      </c>
      <c r="C261" s="84" t="s">
        <v>410</v>
      </c>
      <c r="D261" s="84" t="s">
        <v>411</v>
      </c>
      <c r="E261" s="138">
        <v>57.05</v>
      </c>
      <c r="F261" s="109">
        <v>610</v>
      </c>
      <c r="G261" s="109">
        <f t="shared" si="28"/>
        <v>34800.5</v>
      </c>
      <c r="H261" s="110" t="s">
        <v>65</v>
      </c>
      <c r="I261" s="111" t="s">
        <v>66</v>
      </c>
      <c r="J261" s="95"/>
      <c r="K261" s="136">
        <v>46042</v>
      </c>
      <c r="L261" s="102">
        <v>56.728000000000002</v>
      </c>
      <c r="M261" s="102">
        <f t="shared" si="29"/>
        <v>-0.32199999999999562</v>
      </c>
      <c r="N261" s="103"/>
    </row>
    <row r="262" spans="1:15" x14ac:dyDescent="0.25">
      <c r="A262" s="95">
        <f t="shared" ref="A262:A286" si="30">A261+1</f>
        <v>238</v>
      </c>
      <c r="B262" s="136">
        <v>46036</v>
      </c>
      <c r="C262" s="84" t="s">
        <v>410</v>
      </c>
      <c r="D262" s="84" t="s">
        <v>412</v>
      </c>
      <c r="E262" s="138">
        <v>57.1</v>
      </c>
      <c r="F262" s="109">
        <v>610</v>
      </c>
      <c r="G262" s="109">
        <f t="shared" si="28"/>
        <v>34831</v>
      </c>
      <c r="H262" s="110" t="s">
        <v>65</v>
      </c>
      <c r="I262" s="111" t="s">
        <v>66</v>
      </c>
      <c r="J262" s="95"/>
      <c r="K262" s="136">
        <v>46042</v>
      </c>
      <c r="L262" s="102">
        <v>56.545999999999999</v>
      </c>
      <c r="M262" s="134">
        <f t="shared" si="29"/>
        <v>-0.55400000000000205</v>
      </c>
      <c r="N262" s="103"/>
    </row>
    <row r="263" spans="1:15" x14ac:dyDescent="0.25">
      <c r="A263" s="95">
        <f t="shared" si="30"/>
        <v>239</v>
      </c>
      <c r="B263" s="136">
        <v>46036</v>
      </c>
      <c r="C263" s="84" t="s">
        <v>413</v>
      </c>
      <c r="D263" s="84" t="s">
        <v>414</v>
      </c>
      <c r="E263" s="138">
        <v>57.15</v>
      </c>
      <c r="F263" s="109">
        <v>610</v>
      </c>
      <c r="G263" s="109">
        <f t="shared" si="28"/>
        <v>34861.5</v>
      </c>
      <c r="H263" s="110" t="s">
        <v>65</v>
      </c>
      <c r="I263" s="111" t="s">
        <v>66</v>
      </c>
      <c r="J263" s="104"/>
      <c r="K263" s="183">
        <v>46042</v>
      </c>
      <c r="L263" s="150">
        <v>56.389000000000003</v>
      </c>
      <c r="M263" s="102">
        <f t="shared" si="29"/>
        <v>-0.76099999999999568</v>
      </c>
      <c r="N263" s="151"/>
    </row>
    <row r="264" spans="1:15" x14ac:dyDescent="0.25">
      <c r="A264" s="95">
        <f t="shared" si="30"/>
        <v>240</v>
      </c>
      <c r="B264" s="136">
        <v>46036</v>
      </c>
      <c r="C264" s="84" t="s">
        <v>415</v>
      </c>
      <c r="D264" s="84" t="s">
        <v>416</v>
      </c>
      <c r="E264" s="138">
        <v>58.85</v>
      </c>
      <c r="F264" s="109">
        <v>610</v>
      </c>
      <c r="G264" s="109">
        <f t="shared" si="28"/>
        <v>35898.5</v>
      </c>
      <c r="H264" s="110" t="s">
        <v>65</v>
      </c>
      <c r="I264" s="111" t="s">
        <v>66</v>
      </c>
      <c r="J264" s="95"/>
      <c r="K264" s="136">
        <v>46041</v>
      </c>
      <c r="L264" s="102">
        <v>57.917000000000002</v>
      </c>
      <c r="M264" s="102">
        <f t="shared" si="29"/>
        <v>-0.93299999999999983</v>
      </c>
      <c r="N264" s="103"/>
    </row>
    <row r="265" spans="1:15" x14ac:dyDescent="0.25">
      <c r="A265" s="95">
        <f t="shared" si="30"/>
        <v>241</v>
      </c>
      <c r="B265" s="136">
        <v>46036</v>
      </c>
      <c r="C265" s="84" t="s">
        <v>410</v>
      </c>
      <c r="D265" s="84" t="s">
        <v>417</v>
      </c>
      <c r="E265" s="138">
        <v>64.349999999999994</v>
      </c>
      <c r="F265" s="109">
        <v>610</v>
      </c>
      <c r="G265" s="109">
        <f t="shared" si="28"/>
        <v>39253.5</v>
      </c>
      <c r="H265" s="110" t="s">
        <v>65</v>
      </c>
      <c r="I265" s="111" t="s">
        <v>66</v>
      </c>
      <c r="J265" s="95"/>
      <c r="K265" s="136">
        <v>46042</v>
      </c>
      <c r="L265" s="102">
        <v>64.171000000000006</v>
      </c>
      <c r="M265" s="102">
        <f t="shared" si="29"/>
        <v>-0.17899999999998784</v>
      </c>
      <c r="N265" s="103"/>
    </row>
    <row r="266" spans="1:15" x14ac:dyDescent="0.25">
      <c r="A266" s="95">
        <f t="shared" si="30"/>
        <v>242</v>
      </c>
      <c r="B266" s="136">
        <v>46036</v>
      </c>
      <c r="C266" s="84" t="s">
        <v>410</v>
      </c>
      <c r="D266" s="84" t="s">
        <v>418</v>
      </c>
      <c r="E266" s="138">
        <v>64.400000000000006</v>
      </c>
      <c r="F266" s="109">
        <v>610</v>
      </c>
      <c r="G266" s="109">
        <f t="shared" si="28"/>
        <v>39284</v>
      </c>
      <c r="H266" s="110" t="s">
        <v>65</v>
      </c>
      <c r="I266" s="111" t="s">
        <v>66</v>
      </c>
      <c r="J266" s="95"/>
      <c r="K266" s="136">
        <v>46042</v>
      </c>
      <c r="L266" s="102">
        <v>64.617000000000004</v>
      </c>
      <c r="M266" s="102">
        <f t="shared" si="29"/>
        <v>0.21699999999999875</v>
      </c>
      <c r="N266" s="103"/>
    </row>
    <row r="267" spans="1:15" x14ac:dyDescent="0.25">
      <c r="A267" s="95">
        <f t="shared" si="30"/>
        <v>243</v>
      </c>
      <c r="B267" s="136">
        <v>46036</v>
      </c>
      <c r="C267" s="84" t="s">
        <v>413</v>
      </c>
      <c r="D267" s="84" t="s">
        <v>419</v>
      </c>
      <c r="E267" s="138">
        <v>64.400000000000006</v>
      </c>
      <c r="F267" s="109">
        <v>610</v>
      </c>
      <c r="G267" s="109">
        <f t="shared" si="28"/>
        <v>39284</v>
      </c>
      <c r="H267" s="110" t="s">
        <v>65</v>
      </c>
      <c r="I267" s="111" t="s">
        <v>66</v>
      </c>
      <c r="J267" s="95"/>
      <c r="K267" s="136">
        <v>46042</v>
      </c>
      <c r="L267" s="102">
        <v>64.126999999999995</v>
      </c>
      <c r="M267" s="102">
        <f t="shared" si="29"/>
        <v>-0.27300000000001035</v>
      </c>
      <c r="N267" s="103"/>
    </row>
    <row r="268" spans="1:15" x14ac:dyDescent="0.25">
      <c r="A268" s="95">
        <f t="shared" si="30"/>
        <v>244</v>
      </c>
      <c r="B268" s="136">
        <v>46036</v>
      </c>
      <c r="C268" s="84" t="s">
        <v>413</v>
      </c>
      <c r="D268" s="84" t="s">
        <v>420</v>
      </c>
      <c r="E268" s="138">
        <v>64.400000000000006</v>
      </c>
      <c r="F268" s="109">
        <v>610</v>
      </c>
      <c r="G268" s="109">
        <f t="shared" si="28"/>
        <v>39284</v>
      </c>
      <c r="H268" s="110" t="s">
        <v>65</v>
      </c>
      <c r="I268" s="111" t="s">
        <v>66</v>
      </c>
      <c r="J268" s="95"/>
      <c r="K268" s="136">
        <v>46042</v>
      </c>
      <c r="L268" s="102">
        <v>64.070999999999998</v>
      </c>
      <c r="M268" s="102">
        <f t="shared" si="29"/>
        <v>-0.32900000000000773</v>
      </c>
      <c r="N268" s="103"/>
    </row>
    <row r="269" spans="1:15" x14ac:dyDescent="0.25">
      <c r="A269" s="95">
        <f t="shared" si="30"/>
        <v>245</v>
      </c>
      <c r="B269" s="136">
        <v>46036</v>
      </c>
      <c r="C269" s="84" t="s">
        <v>413</v>
      </c>
      <c r="D269" s="84" t="s">
        <v>421</v>
      </c>
      <c r="E269" s="138">
        <v>64.45</v>
      </c>
      <c r="F269" s="109">
        <v>610</v>
      </c>
      <c r="G269" s="109">
        <f t="shared" si="28"/>
        <v>39314.5</v>
      </c>
      <c r="H269" s="110" t="s">
        <v>65</v>
      </c>
      <c r="I269" s="111" t="s">
        <v>66</v>
      </c>
      <c r="J269" s="95"/>
      <c r="K269" s="136">
        <v>46042</v>
      </c>
      <c r="L269" s="102">
        <v>64.322999999999993</v>
      </c>
      <c r="M269" s="102">
        <f t="shared" si="29"/>
        <v>-0.12700000000000955</v>
      </c>
      <c r="N269" s="103"/>
    </row>
    <row r="270" spans="1:15" x14ac:dyDescent="0.25">
      <c r="A270" s="95">
        <f t="shared" si="30"/>
        <v>246</v>
      </c>
      <c r="B270" s="136">
        <v>46036</v>
      </c>
      <c r="C270" s="84" t="s">
        <v>413</v>
      </c>
      <c r="D270" s="84" t="s">
        <v>422</v>
      </c>
      <c r="E270" s="138">
        <v>64.45</v>
      </c>
      <c r="F270" s="109">
        <v>610</v>
      </c>
      <c r="G270" s="109">
        <f t="shared" si="28"/>
        <v>39314.5</v>
      </c>
      <c r="H270" s="110" t="s">
        <v>65</v>
      </c>
      <c r="I270" s="111" t="s">
        <v>66</v>
      </c>
      <c r="J270" s="95"/>
      <c r="K270" s="136">
        <v>46042</v>
      </c>
      <c r="L270" s="102">
        <v>64.472999999999999</v>
      </c>
      <c r="M270" s="102">
        <f t="shared" si="29"/>
        <v>2.2999999999996135E-2</v>
      </c>
      <c r="N270" s="103"/>
    </row>
    <row r="271" spans="1:15" x14ac:dyDescent="0.25">
      <c r="A271" s="95">
        <f t="shared" si="30"/>
        <v>247</v>
      </c>
      <c r="B271" s="136">
        <v>46036</v>
      </c>
      <c r="C271" s="84" t="s">
        <v>413</v>
      </c>
      <c r="D271" s="84" t="s">
        <v>423</v>
      </c>
      <c r="E271" s="138">
        <v>64.45</v>
      </c>
      <c r="F271" s="109">
        <v>610</v>
      </c>
      <c r="G271" s="109">
        <f t="shared" si="28"/>
        <v>39314.5</v>
      </c>
      <c r="H271" s="110" t="s">
        <v>65</v>
      </c>
      <c r="I271" s="111" t="s">
        <v>66</v>
      </c>
      <c r="J271" s="95"/>
      <c r="K271" s="136">
        <v>46042</v>
      </c>
      <c r="L271" s="102">
        <v>64.537000000000006</v>
      </c>
      <c r="M271" s="102">
        <f t="shared" si="29"/>
        <v>8.7000000000003297E-2</v>
      </c>
      <c r="N271" s="103"/>
    </row>
    <row r="272" spans="1:15" x14ac:dyDescent="0.25">
      <c r="A272" s="95">
        <f t="shared" si="30"/>
        <v>248</v>
      </c>
      <c r="B272" s="136">
        <v>46036</v>
      </c>
      <c r="C272" s="84" t="s">
        <v>408</v>
      </c>
      <c r="D272" s="84" t="s">
        <v>424</v>
      </c>
      <c r="E272" s="138">
        <v>64.45</v>
      </c>
      <c r="F272" s="109">
        <v>610</v>
      </c>
      <c r="G272" s="109">
        <f t="shared" si="28"/>
        <v>39314.5</v>
      </c>
      <c r="H272" s="110" t="s">
        <v>65</v>
      </c>
      <c r="I272" s="111" t="s">
        <v>66</v>
      </c>
      <c r="J272" s="95"/>
      <c r="K272" s="136">
        <v>46042</v>
      </c>
      <c r="L272" s="102">
        <v>64.804000000000002</v>
      </c>
      <c r="M272" s="102">
        <f t="shared" si="29"/>
        <v>0.3539999999999992</v>
      </c>
      <c r="N272" s="103"/>
    </row>
    <row r="273" spans="1:14" x14ac:dyDescent="0.25">
      <c r="A273" s="95">
        <f t="shared" si="30"/>
        <v>249</v>
      </c>
      <c r="B273" s="136">
        <v>46036</v>
      </c>
      <c r="C273" s="84" t="s">
        <v>410</v>
      </c>
      <c r="D273" s="84" t="s">
        <v>425</v>
      </c>
      <c r="E273" s="138">
        <v>64.45</v>
      </c>
      <c r="F273" s="109">
        <v>610</v>
      </c>
      <c r="G273" s="109">
        <f t="shared" si="28"/>
        <v>39314.5</v>
      </c>
      <c r="H273" s="110" t="s">
        <v>65</v>
      </c>
      <c r="I273" s="111" t="s">
        <v>66</v>
      </c>
      <c r="J273" s="95"/>
      <c r="K273" s="136">
        <v>46042</v>
      </c>
      <c r="L273" s="102">
        <v>64.596999999999994</v>
      </c>
      <c r="M273" s="102">
        <f t="shared" si="29"/>
        <v>0.14699999999999136</v>
      </c>
      <c r="N273" s="103"/>
    </row>
    <row r="274" spans="1:14" x14ac:dyDescent="0.25">
      <c r="A274" s="95">
        <f t="shared" si="30"/>
        <v>250</v>
      </c>
      <c r="B274" s="136">
        <v>46036</v>
      </c>
      <c r="C274" s="84" t="s">
        <v>408</v>
      </c>
      <c r="D274" s="84" t="s">
        <v>157</v>
      </c>
      <c r="E274" s="138">
        <v>64.5</v>
      </c>
      <c r="F274" s="109">
        <v>610</v>
      </c>
      <c r="G274" s="109">
        <f t="shared" si="28"/>
        <v>39345</v>
      </c>
      <c r="H274" s="110" t="s">
        <v>65</v>
      </c>
      <c r="I274" s="111" t="s">
        <v>66</v>
      </c>
      <c r="J274" s="95"/>
      <c r="K274" s="136">
        <v>46042</v>
      </c>
      <c r="L274" s="102">
        <v>64.271000000000001</v>
      </c>
      <c r="M274" s="102">
        <f t="shared" si="29"/>
        <v>-0.2289999999999992</v>
      </c>
      <c r="N274" s="103"/>
    </row>
    <row r="275" spans="1:14" x14ac:dyDescent="0.25">
      <c r="A275" s="95">
        <f t="shared" si="30"/>
        <v>251</v>
      </c>
      <c r="B275" s="136">
        <v>46036</v>
      </c>
      <c r="C275" s="84" t="s">
        <v>413</v>
      </c>
      <c r="D275" s="84" t="s">
        <v>426</v>
      </c>
      <c r="E275" s="138">
        <v>64.5</v>
      </c>
      <c r="F275" s="109">
        <v>610</v>
      </c>
      <c r="G275" s="109">
        <f t="shared" si="28"/>
        <v>39345</v>
      </c>
      <c r="H275" s="110" t="s">
        <v>65</v>
      </c>
      <c r="I275" s="111" t="s">
        <v>66</v>
      </c>
      <c r="J275" s="95"/>
      <c r="K275" s="136">
        <v>46042</v>
      </c>
      <c r="L275" s="102">
        <v>64.671999999999997</v>
      </c>
      <c r="M275" s="134">
        <f t="shared" si="29"/>
        <v>0.17199999999999704</v>
      </c>
      <c r="N275" s="103"/>
    </row>
    <row r="276" spans="1:14" x14ac:dyDescent="0.25">
      <c r="A276" s="95">
        <f t="shared" si="30"/>
        <v>252</v>
      </c>
      <c r="B276" s="136">
        <v>46036</v>
      </c>
      <c r="C276" s="84" t="s">
        <v>427</v>
      </c>
      <c r="D276" s="84" t="s">
        <v>428</v>
      </c>
      <c r="E276" s="138">
        <v>64.5</v>
      </c>
      <c r="F276" s="109">
        <v>610</v>
      </c>
      <c r="G276" s="109">
        <f t="shared" si="28"/>
        <v>39345</v>
      </c>
      <c r="H276" s="110" t="s">
        <v>65</v>
      </c>
      <c r="I276" s="111" t="s">
        <v>66</v>
      </c>
      <c r="J276" s="95"/>
      <c r="K276" s="136">
        <v>46042</v>
      </c>
      <c r="L276" s="102">
        <v>63.939</v>
      </c>
      <c r="M276" s="102">
        <f t="shared" si="29"/>
        <v>-0.56099999999999994</v>
      </c>
      <c r="N276" s="103"/>
    </row>
    <row r="277" spans="1:14" x14ac:dyDescent="0.25">
      <c r="A277" s="95">
        <f t="shared" si="30"/>
        <v>253</v>
      </c>
      <c r="B277" s="136">
        <v>46036</v>
      </c>
      <c r="C277" s="84" t="s">
        <v>427</v>
      </c>
      <c r="D277" s="84" t="s">
        <v>429</v>
      </c>
      <c r="E277" s="138">
        <v>64.55</v>
      </c>
      <c r="F277" s="109">
        <v>610</v>
      </c>
      <c r="G277" s="109">
        <f t="shared" si="28"/>
        <v>39375.5</v>
      </c>
      <c r="H277" s="110" t="s">
        <v>65</v>
      </c>
      <c r="I277" s="111" t="s">
        <v>66</v>
      </c>
      <c r="J277" s="95"/>
      <c r="K277" s="136">
        <v>46042</v>
      </c>
      <c r="L277" s="102">
        <v>64.299000000000007</v>
      </c>
      <c r="M277" s="102">
        <f t="shared" si="29"/>
        <v>-0.25099999999999056</v>
      </c>
      <c r="N277" s="103"/>
    </row>
    <row r="278" spans="1:14" x14ac:dyDescent="0.25">
      <c r="A278" s="95">
        <f t="shared" si="30"/>
        <v>254</v>
      </c>
      <c r="B278" s="136">
        <v>46036</v>
      </c>
      <c r="C278" s="84" t="s">
        <v>413</v>
      </c>
      <c r="D278" s="84" t="s">
        <v>430</v>
      </c>
      <c r="E278" s="138">
        <v>64.55</v>
      </c>
      <c r="F278" s="109">
        <v>610</v>
      </c>
      <c r="G278" s="109">
        <f t="shared" si="28"/>
        <v>39375.5</v>
      </c>
      <c r="H278" s="110" t="s">
        <v>65</v>
      </c>
      <c r="I278" s="111" t="s">
        <v>66</v>
      </c>
      <c r="J278" s="95"/>
      <c r="K278" s="136">
        <v>46041</v>
      </c>
      <c r="L278" s="102">
        <v>64.102000000000004</v>
      </c>
      <c r="M278" s="134">
        <f t="shared" si="29"/>
        <v>-0.44799999999999329</v>
      </c>
      <c r="N278" s="103"/>
    </row>
    <row r="279" spans="1:14" x14ac:dyDescent="0.25">
      <c r="A279" s="95">
        <f t="shared" si="30"/>
        <v>255</v>
      </c>
      <c r="B279" s="136">
        <v>46036</v>
      </c>
      <c r="C279" s="84" t="s">
        <v>431</v>
      </c>
      <c r="D279" s="84" t="s">
        <v>432</v>
      </c>
      <c r="E279" s="138">
        <v>64.55</v>
      </c>
      <c r="F279" s="109">
        <v>610</v>
      </c>
      <c r="G279" s="109">
        <f t="shared" si="28"/>
        <v>39375.5</v>
      </c>
      <c r="H279" s="110" t="s">
        <v>65</v>
      </c>
      <c r="I279" s="111" t="s">
        <v>66</v>
      </c>
      <c r="J279" s="95"/>
      <c r="K279" s="136">
        <v>46042</v>
      </c>
      <c r="L279" s="134">
        <v>64.66</v>
      </c>
      <c r="M279" s="134">
        <f t="shared" si="29"/>
        <v>0.10999999999999943</v>
      </c>
      <c r="N279" s="103"/>
    </row>
    <row r="280" spans="1:14" x14ac:dyDescent="0.25">
      <c r="A280" s="95">
        <f t="shared" si="30"/>
        <v>256</v>
      </c>
      <c r="B280" s="136">
        <v>46036</v>
      </c>
      <c r="C280" s="84" t="s">
        <v>410</v>
      </c>
      <c r="D280" s="84" t="s">
        <v>433</v>
      </c>
      <c r="E280" s="138">
        <v>64.55</v>
      </c>
      <c r="F280" s="109">
        <v>610</v>
      </c>
      <c r="G280" s="109">
        <f t="shared" si="28"/>
        <v>39375.5</v>
      </c>
      <c r="H280" s="110" t="s">
        <v>65</v>
      </c>
      <c r="I280" s="111" t="s">
        <v>66</v>
      </c>
      <c r="J280" s="95"/>
      <c r="K280" s="136">
        <v>46042</v>
      </c>
      <c r="L280" s="102">
        <v>63.819000000000003</v>
      </c>
      <c r="M280" s="134">
        <f t="shared" si="29"/>
        <v>-0.73099999999999454</v>
      </c>
      <c r="N280" s="103"/>
    </row>
    <row r="281" spans="1:14" x14ac:dyDescent="0.25">
      <c r="A281" s="95">
        <f t="shared" si="30"/>
        <v>257</v>
      </c>
      <c r="B281" s="136">
        <v>46036</v>
      </c>
      <c r="C281" s="84" t="s">
        <v>413</v>
      </c>
      <c r="D281" s="84" t="s">
        <v>434</v>
      </c>
      <c r="E281" s="138">
        <v>64.599999999999994</v>
      </c>
      <c r="F281" s="109">
        <v>610</v>
      </c>
      <c r="G281" s="109">
        <f t="shared" si="28"/>
        <v>39406</v>
      </c>
      <c r="H281" s="110" t="s">
        <v>65</v>
      </c>
      <c r="I281" s="111" t="s">
        <v>66</v>
      </c>
      <c r="J281" s="95"/>
      <c r="K281" s="136">
        <v>46041</v>
      </c>
      <c r="L281" s="102">
        <v>63.963000000000001</v>
      </c>
      <c r="M281" s="134">
        <f t="shared" si="29"/>
        <v>-0.63699999999999335</v>
      </c>
      <c r="N281" s="103"/>
    </row>
    <row r="282" spans="1:14" x14ac:dyDescent="0.25">
      <c r="A282" s="95">
        <f t="shared" si="30"/>
        <v>258</v>
      </c>
      <c r="B282" s="136">
        <v>46036</v>
      </c>
      <c r="C282" s="84" t="s">
        <v>435</v>
      </c>
      <c r="D282" s="84" t="s">
        <v>436</v>
      </c>
      <c r="E282" s="138">
        <v>64.599999999999994</v>
      </c>
      <c r="F282" s="109">
        <v>610</v>
      </c>
      <c r="G282" s="109">
        <f t="shared" si="28"/>
        <v>39406</v>
      </c>
      <c r="H282" s="110" t="s">
        <v>65</v>
      </c>
      <c r="I282" s="111" t="s">
        <v>66</v>
      </c>
      <c r="J282" s="272"/>
      <c r="K282" s="170">
        <v>46041</v>
      </c>
      <c r="L282" s="226">
        <v>64.108000000000004</v>
      </c>
      <c r="M282" s="273">
        <f t="shared" si="29"/>
        <v>-0.49199999999999022</v>
      </c>
      <c r="N282" s="227"/>
    </row>
    <row r="283" spans="1:14" x14ac:dyDescent="0.25">
      <c r="A283" s="95">
        <f t="shared" si="30"/>
        <v>259</v>
      </c>
      <c r="B283" s="136">
        <v>46036</v>
      </c>
      <c r="C283" s="84" t="s">
        <v>427</v>
      </c>
      <c r="D283" s="84" t="s">
        <v>437</v>
      </c>
      <c r="E283" s="138">
        <v>64.650000000000006</v>
      </c>
      <c r="F283" s="109">
        <v>610</v>
      </c>
      <c r="G283" s="109">
        <f t="shared" si="28"/>
        <v>39436.5</v>
      </c>
      <c r="H283" s="110" t="s">
        <v>65</v>
      </c>
      <c r="I283" s="111" t="s">
        <v>66</v>
      </c>
      <c r="J283" s="95"/>
      <c r="K283" s="136">
        <v>46042</v>
      </c>
      <c r="L283" s="102">
        <v>64.200999999999993</v>
      </c>
      <c r="M283" s="102">
        <f t="shared" si="29"/>
        <v>-0.44900000000001228</v>
      </c>
      <c r="N283" s="103"/>
    </row>
    <row r="284" spans="1:14" x14ac:dyDescent="0.25">
      <c r="A284" s="95">
        <f t="shared" si="30"/>
        <v>260</v>
      </c>
      <c r="B284" s="136">
        <v>46036</v>
      </c>
      <c r="C284" s="84" t="s">
        <v>413</v>
      </c>
      <c r="D284" s="84" t="s">
        <v>438</v>
      </c>
      <c r="E284" s="138">
        <v>64.650000000000006</v>
      </c>
      <c r="F284" s="109">
        <v>610</v>
      </c>
      <c r="G284" s="109">
        <f t="shared" si="28"/>
        <v>39436.5</v>
      </c>
      <c r="H284" s="110" t="s">
        <v>65</v>
      </c>
      <c r="I284" s="111" t="s">
        <v>66</v>
      </c>
      <c r="J284" s="95"/>
      <c r="K284" s="136">
        <v>46042</v>
      </c>
      <c r="L284" s="102">
        <v>64.376000000000005</v>
      </c>
      <c r="M284" s="273">
        <f t="shared" si="29"/>
        <v>-0.27400000000000091</v>
      </c>
      <c r="N284" s="103"/>
    </row>
    <row r="285" spans="1:14" x14ac:dyDescent="0.25">
      <c r="A285" s="95">
        <f t="shared" si="30"/>
        <v>261</v>
      </c>
      <c r="B285" s="136">
        <v>46036</v>
      </c>
      <c r="C285" s="84" t="s">
        <v>427</v>
      </c>
      <c r="D285" s="84" t="s">
        <v>439</v>
      </c>
      <c r="E285" s="138">
        <v>64.7</v>
      </c>
      <c r="F285" s="109">
        <v>610</v>
      </c>
      <c r="G285" s="109">
        <f t="shared" si="28"/>
        <v>39467</v>
      </c>
      <c r="H285" s="110" t="s">
        <v>65</v>
      </c>
      <c r="I285" s="111" t="s">
        <v>66</v>
      </c>
      <c r="J285" s="95"/>
      <c r="K285" s="136">
        <v>46042</v>
      </c>
      <c r="L285" s="102">
        <v>64.59</v>
      </c>
      <c r="M285" s="102">
        <f t="shared" si="29"/>
        <v>-0.10999999999999943</v>
      </c>
      <c r="N285" s="103"/>
    </row>
    <row r="286" spans="1:14" ht="15.75" thickBot="1" x14ac:dyDescent="0.3">
      <c r="A286" s="104">
        <f t="shared" si="30"/>
        <v>262</v>
      </c>
      <c r="B286" s="183">
        <v>46036</v>
      </c>
      <c r="C286" s="106" t="s">
        <v>427</v>
      </c>
      <c r="D286" s="106" t="s">
        <v>440</v>
      </c>
      <c r="E286" s="140">
        <v>64.7</v>
      </c>
      <c r="F286" s="109">
        <v>610</v>
      </c>
      <c r="G286" s="109">
        <f t="shared" si="28"/>
        <v>39467</v>
      </c>
      <c r="H286" s="110" t="s">
        <v>65</v>
      </c>
      <c r="I286" s="111" t="s">
        <v>66</v>
      </c>
      <c r="J286" s="104"/>
      <c r="K286" s="136">
        <v>46042</v>
      </c>
      <c r="L286" s="150">
        <v>63.968000000000004</v>
      </c>
      <c r="M286" s="150">
        <f t="shared" si="29"/>
        <v>-0.73199999999999932</v>
      </c>
      <c r="N286" s="151"/>
    </row>
    <row r="287" spans="1:14" ht="15.75" thickBot="1" x14ac:dyDescent="0.3">
      <c r="A287" s="184"/>
      <c r="B287" s="185"/>
      <c r="C287" s="185"/>
      <c r="D287" s="186"/>
      <c r="E287" s="187">
        <f>SUM(E260:E286)</f>
        <v>1706.25</v>
      </c>
      <c r="F287" s="188"/>
      <c r="G287" s="189">
        <f>SUM(G260:G286)</f>
        <v>1040812.5</v>
      </c>
      <c r="H287" s="185"/>
      <c r="I287" s="190"/>
      <c r="J287" s="191"/>
      <c r="K287" s="185"/>
      <c r="L287" s="274">
        <f>SUM(L260:L286)</f>
        <v>1698.5139999999999</v>
      </c>
      <c r="M287" s="188">
        <f>SUM(M260:M286)</f>
        <v>-7.7359999999999971</v>
      </c>
      <c r="N287" s="190"/>
    </row>
    <row r="288" spans="1:14" x14ac:dyDescent="0.25">
      <c r="A288" s="131">
        <v>263</v>
      </c>
      <c r="B288" s="132">
        <v>46038</v>
      </c>
      <c r="C288" s="213" t="s">
        <v>441</v>
      </c>
      <c r="D288" s="213" t="s">
        <v>442</v>
      </c>
      <c r="E288" s="215">
        <v>56.4</v>
      </c>
      <c r="F288" s="87">
        <v>610</v>
      </c>
      <c r="G288" s="87">
        <f t="shared" ref="G288:G303" si="31">E288*F288</f>
        <v>34404</v>
      </c>
      <c r="H288" s="88" t="s">
        <v>65</v>
      </c>
      <c r="I288" s="89" t="s">
        <v>66</v>
      </c>
      <c r="J288" s="131"/>
      <c r="K288" s="133"/>
      <c r="L288" s="133"/>
      <c r="M288" s="133"/>
      <c r="N288" s="135"/>
    </row>
    <row r="289" spans="1:14" x14ac:dyDescent="0.25">
      <c r="A289" s="95">
        <f>A288+1</f>
        <v>264</v>
      </c>
      <c r="B289" s="136">
        <v>46038</v>
      </c>
      <c r="C289" s="219" t="s">
        <v>441</v>
      </c>
      <c r="D289" s="219" t="s">
        <v>443</v>
      </c>
      <c r="E289" s="221">
        <v>57.2</v>
      </c>
      <c r="F289" s="109">
        <v>610</v>
      </c>
      <c r="G289" s="109">
        <f t="shared" si="31"/>
        <v>34892</v>
      </c>
      <c r="H289" s="110" t="s">
        <v>65</v>
      </c>
      <c r="I289" s="111" t="s">
        <v>66</v>
      </c>
      <c r="J289" s="95"/>
      <c r="K289" s="102"/>
      <c r="L289" s="102"/>
      <c r="M289" s="102"/>
      <c r="N289" s="103"/>
    </row>
    <row r="290" spans="1:14" x14ac:dyDescent="0.25">
      <c r="A290" s="95">
        <f t="shared" ref="A290:A303" si="32">A289+1</f>
        <v>265</v>
      </c>
      <c r="B290" s="136">
        <v>46038</v>
      </c>
      <c r="C290" s="219" t="s">
        <v>441</v>
      </c>
      <c r="D290" s="219" t="s">
        <v>444</v>
      </c>
      <c r="E290" s="221">
        <v>57.25</v>
      </c>
      <c r="F290" s="109">
        <v>610</v>
      </c>
      <c r="G290" s="109">
        <f t="shared" si="31"/>
        <v>34922.5</v>
      </c>
      <c r="H290" s="110" t="s">
        <v>65</v>
      </c>
      <c r="I290" s="111" t="s">
        <v>66</v>
      </c>
      <c r="J290" s="95"/>
      <c r="K290" s="102"/>
      <c r="L290" s="102"/>
      <c r="M290" s="102"/>
      <c r="N290" s="103"/>
    </row>
    <row r="291" spans="1:14" x14ac:dyDescent="0.25">
      <c r="A291" s="95">
        <f t="shared" si="32"/>
        <v>266</v>
      </c>
      <c r="B291" s="136">
        <v>46038</v>
      </c>
      <c r="C291" s="219" t="s">
        <v>445</v>
      </c>
      <c r="D291" s="219" t="s">
        <v>446</v>
      </c>
      <c r="E291" s="221">
        <v>57.95</v>
      </c>
      <c r="F291" s="109">
        <v>610</v>
      </c>
      <c r="G291" s="109">
        <f t="shared" si="31"/>
        <v>35349.5</v>
      </c>
      <c r="H291" s="110" t="s">
        <v>65</v>
      </c>
      <c r="I291" s="111" t="s">
        <v>66</v>
      </c>
      <c r="J291" s="95"/>
      <c r="K291" s="102"/>
      <c r="L291" s="102"/>
      <c r="M291" s="102"/>
      <c r="N291" s="103"/>
    </row>
    <row r="292" spans="1:14" x14ac:dyDescent="0.25">
      <c r="A292" s="95">
        <f t="shared" si="32"/>
        <v>267</v>
      </c>
      <c r="B292" s="136">
        <v>46038</v>
      </c>
      <c r="C292" s="219" t="s">
        <v>445</v>
      </c>
      <c r="D292" s="219" t="s">
        <v>447</v>
      </c>
      <c r="E292" s="221">
        <v>64.150000000000006</v>
      </c>
      <c r="F292" s="109">
        <v>610</v>
      </c>
      <c r="G292" s="109">
        <f t="shared" si="31"/>
        <v>39131.5</v>
      </c>
      <c r="H292" s="110" t="s">
        <v>65</v>
      </c>
      <c r="I292" s="111" t="s">
        <v>66</v>
      </c>
      <c r="J292" s="95"/>
      <c r="K292" s="102"/>
      <c r="L292" s="102"/>
      <c r="M292" s="102"/>
      <c r="N292" s="103"/>
    </row>
    <row r="293" spans="1:14" x14ac:dyDescent="0.25">
      <c r="A293" s="95">
        <f t="shared" si="32"/>
        <v>268</v>
      </c>
      <c r="B293" s="136">
        <v>46038</v>
      </c>
      <c r="C293" s="219" t="s">
        <v>445</v>
      </c>
      <c r="D293" s="219" t="s">
        <v>448</v>
      </c>
      <c r="E293" s="221">
        <v>64.3</v>
      </c>
      <c r="F293" s="109">
        <v>610</v>
      </c>
      <c r="G293" s="109">
        <f t="shared" si="31"/>
        <v>39223</v>
      </c>
      <c r="H293" s="110" t="s">
        <v>65</v>
      </c>
      <c r="I293" s="111" t="s">
        <v>66</v>
      </c>
      <c r="J293" s="95"/>
      <c r="K293" s="102"/>
      <c r="L293" s="102"/>
      <c r="M293" s="102"/>
      <c r="N293" s="103"/>
    </row>
    <row r="294" spans="1:14" x14ac:dyDescent="0.25">
      <c r="A294" s="95">
        <f t="shared" si="32"/>
        <v>269</v>
      </c>
      <c r="B294" s="136">
        <v>46038</v>
      </c>
      <c r="C294" s="219" t="s">
        <v>445</v>
      </c>
      <c r="D294" s="219" t="s">
        <v>449</v>
      </c>
      <c r="E294" s="221">
        <v>64.349999999999994</v>
      </c>
      <c r="F294" s="109">
        <v>610</v>
      </c>
      <c r="G294" s="109">
        <f t="shared" si="31"/>
        <v>39253.5</v>
      </c>
      <c r="H294" s="110" t="s">
        <v>65</v>
      </c>
      <c r="I294" s="111" t="s">
        <v>66</v>
      </c>
      <c r="J294" s="95"/>
      <c r="K294" s="102"/>
      <c r="L294" s="102"/>
      <c r="M294" s="102"/>
      <c r="N294" s="103"/>
    </row>
    <row r="295" spans="1:14" x14ac:dyDescent="0.25">
      <c r="A295" s="95">
        <f t="shared" si="32"/>
        <v>270</v>
      </c>
      <c r="B295" s="136">
        <v>46038</v>
      </c>
      <c r="C295" s="219" t="s">
        <v>445</v>
      </c>
      <c r="D295" s="219" t="s">
        <v>450</v>
      </c>
      <c r="E295" s="221">
        <v>64.349999999999994</v>
      </c>
      <c r="F295" s="109">
        <v>610</v>
      </c>
      <c r="G295" s="109">
        <f t="shared" si="31"/>
        <v>39253.5</v>
      </c>
      <c r="H295" s="110" t="s">
        <v>65</v>
      </c>
      <c r="I295" s="111" t="s">
        <v>66</v>
      </c>
      <c r="J295" s="95"/>
      <c r="K295" s="102"/>
      <c r="L295" s="102"/>
      <c r="M295" s="102"/>
      <c r="N295" s="103"/>
    </row>
    <row r="296" spans="1:14" x14ac:dyDescent="0.25">
      <c r="A296" s="95">
        <f t="shared" si="32"/>
        <v>271</v>
      </c>
      <c r="B296" s="136">
        <v>46038</v>
      </c>
      <c r="C296" s="219" t="s">
        <v>445</v>
      </c>
      <c r="D296" s="219" t="s">
        <v>451</v>
      </c>
      <c r="E296" s="221">
        <v>64.400000000000006</v>
      </c>
      <c r="F296" s="109">
        <v>610</v>
      </c>
      <c r="G296" s="109">
        <f t="shared" si="31"/>
        <v>39284</v>
      </c>
      <c r="H296" s="110" t="s">
        <v>65</v>
      </c>
      <c r="I296" s="111" t="s">
        <v>66</v>
      </c>
      <c r="J296" s="95"/>
      <c r="K296" s="102"/>
      <c r="L296" s="102"/>
      <c r="M296" s="102"/>
      <c r="N296" s="103"/>
    </row>
    <row r="297" spans="1:14" x14ac:dyDescent="0.25">
      <c r="A297" s="95">
        <f t="shared" si="32"/>
        <v>272</v>
      </c>
      <c r="B297" s="136">
        <v>46038</v>
      </c>
      <c r="C297" s="219" t="s">
        <v>445</v>
      </c>
      <c r="D297" s="219" t="s">
        <v>452</v>
      </c>
      <c r="E297" s="221">
        <v>64.400000000000006</v>
      </c>
      <c r="F297" s="109">
        <v>610</v>
      </c>
      <c r="G297" s="109">
        <f t="shared" si="31"/>
        <v>39284</v>
      </c>
      <c r="H297" s="110" t="s">
        <v>65</v>
      </c>
      <c r="I297" s="111" t="s">
        <v>66</v>
      </c>
      <c r="J297" s="95"/>
      <c r="K297" s="102"/>
      <c r="L297" s="102"/>
      <c r="M297" s="102"/>
      <c r="N297" s="103"/>
    </row>
    <row r="298" spans="1:14" x14ac:dyDescent="0.25">
      <c r="A298" s="95">
        <f t="shared" si="32"/>
        <v>273</v>
      </c>
      <c r="B298" s="136">
        <v>46038</v>
      </c>
      <c r="C298" s="219" t="s">
        <v>445</v>
      </c>
      <c r="D298" s="219" t="s">
        <v>453</v>
      </c>
      <c r="E298" s="221">
        <v>64.45</v>
      </c>
      <c r="F298" s="109">
        <v>610</v>
      </c>
      <c r="G298" s="109">
        <f t="shared" si="31"/>
        <v>39314.5</v>
      </c>
      <c r="H298" s="110" t="s">
        <v>65</v>
      </c>
      <c r="I298" s="111" t="s">
        <v>66</v>
      </c>
      <c r="J298" s="95"/>
      <c r="K298" s="102"/>
      <c r="L298" s="102"/>
      <c r="M298" s="102"/>
      <c r="N298" s="103"/>
    </row>
    <row r="299" spans="1:14" x14ac:dyDescent="0.25">
      <c r="A299" s="95">
        <f t="shared" si="32"/>
        <v>274</v>
      </c>
      <c r="B299" s="136">
        <v>46038</v>
      </c>
      <c r="C299" s="219" t="s">
        <v>445</v>
      </c>
      <c r="D299" s="219" t="s">
        <v>454</v>
      </c>
      <c r="E299" s="221">
        <v>64.45</v>
      </c>
      <c r="F299" s="109">
        <v>610</v>
      </c>
      <c r="G299" s="109">
        <f t="shared" si="31"/>
        <v>39314.5</v>
      </c>
      <c r="H299" s="110" t="s">
        <v>65</v>
      </c>
      <c r="I299" s="111" t="s">
        <v>66</v>
      </c>
      <c r="J299" s="95"/>
      <c r="K299" s="102"/>
      <c r="L299" s="102"/>
      <c r="M299" s="102"/>
      <c r="N299" s="103"/>
    </row>
    <row r="300" spans="1:14" x14ac:dyDescent="0.25">
      <c r="A300" s="95">
        <f t="shared" si="32"/>
        <v>275</v>
      </c>
      <c r="B300" s="136">
        <v>46038</v>
      </c>
      <c r="C300" s="219" t="s">
        <v>445</v>
      </c>
      <c r="D300" s="219" t="s">
        <v>455</v>
      </c>
      <c r="E300" s="221">
        <v>64.45</v>
      </c>
      <c r="F300" s="109">
        <v>610</v>
      </c>
      <c r="G300" s="109">
        <f t="shared" si="31"/>
        <v>39314.5</v>
      </c>
      <c r="H300" s="110" t="s">
        <v>65</v>
      </c>
      <c r="I300" s="111" t="s">
        <v>66</v>
      </c>
      <c r="J300" s="95"/>
      <c r="K300" s="102"/>
      <c r="L300" s="102"/>
      <c r="M300" s="102"/>
      <c r="N300" s="103"/>
    </row>
    <row r="301" spans="1:14" x14ac:dyDescent="0.25">
      <c r="A301" s="95">
        <f t="shared" si="32"/>
        <v>276</v>
      </c>
      <c r="B301" s="136">
        <v>46038</v>
      </c>
      <c r="C301" s="219" t="s">
        <v>445</v>
      </c>
      <c r="D301" s="219" t="s">
        <v>456</v>
      </c>
      <c r="E301" s="221">
        <v>64.45</v>
      </c>
      <c r="F301" s="109">
        <v>610</v>
      </c>
      <c r="G301" s="109">
        <f t="shared" si="31"/>
        <v>39314.5</v>
      </c>
      <c r="H301" s="110" t="s">
        <v>65</v>
      </c>
      <c r="I301" s="111" t="s">
        <v>66</v>
      </c>
      <c r="J301" s="95"/>
      <c r="K301" s="102"/>
      <c r="L301" s="102"/>
      <c r="M301" s="102"/>
      <c r="N301" s="103"/>
    </row>
    <row r="302" spans="1:14" x14ac:dyDescent="0.25">
      <c r="A302" s="95">
        <f t="shared" si="32"/>
        <v>277</v>
      </c>
      <c r="B302" s="136">
        <v>46038</v>
      </c>
      <c r="C302" s="219" t="s">
        <v>457</v>
      </c>
      <c r="D302" s="219" t="s">
        <v>458</v>
      </c>
      <c r="E302" s="221">
        <v>64.5</v>
      </c>
      <c r="F302" s="109">
        <v>610</v>
      </c>
      <c r="G302" s="109">
        <f t="shared" si="31"/>
        <v>39345</v>
      </c>
      <c r="H302" s="110" t="s">
        <v>65</v>
      </c>
      <c r="I302" s="111" t="s">
        <v>66</v>
      </c>
      <c r="J302" s="95"/>
      <c r="K302" s="102"/>
      <c r="L302" s="102"/>
      <c r="M302" s="102"/>
      <c r="N302" s="103"/>
    </row>
    <row r="303" spans="1:14" ht="15.75" thickBot="1" x14ac:dyDescent="0.3">
      <c r="A303" s="112">
        <f t="shared" si="32"/>
        <v>278</v>
      </c>
      <c r="B303" s="141">
        <v>46038</v>
      </c>
      <c r="C303" s="222" t="s">
        <v>459</v>
      </c>
      <c r="D303" s="222" t="s">
        <v>460</v>
      </c>
      <c r="E303" s="224">
        <v>64.7</v>
      </c>
      <c r="F303" s="157">
        <v>610</v>
      </c>
      <c r="G303" s="157">
        <f t="shared" si="31"/>
        <v>39467</v>
      </c>
      <c r="H303" s="158" t="s">
        <v>65</v>
      </c>
      <c r="I303" s="159" t="s">
        <v>66</v>
      </c>
      <c r="J303" s="112"/>
      <c r="K303" s="113"/>
      <c r="L303" s="113"/>
      <c r="M303" s="113"/>
      <c r="N303" s="114"/>
    </row>
    <row r="304" spans="1:14" ht="15.75" thickBot="1" x14ac:dyDescent="0.3">
      <c r="A304" s="228"/>
      <c r="B304" s="229"/>
      <c r="C304" s="229"/>
      <c r="D304" s="230"/>
      <c r="E304" s="231">
        <f>SUM(E288:E303)</f>
        <v>1001.7500000000002</v>
      </c>
      <c r="F304" s="232"/>
      <c r="G304" s="233">
        <f>SUM(G288:G303)</f>
        <v>611067.5</v>
      </c>
      <c r="H304" s="229"/>
      <c r="I304" s="234"/>
      <c r="J304" s="248"/>
      <c r="K304" s="229"/>
      <c r="L304" s="229"/>
      <c r="M304" s="229"/>
      <c r="N304" s="234"/>
    </row>
    <row r="305" spans="1:14" x14ac:dyDescent="0.25">
      <c r="A305" s="131">
        <v>279</v>
      </c>
      <c r="B305" s="132">
        <v>46040</v>
      </c>
      <c r="C305" s="213" t="s">
        <v>461</v>
      </c>
      <c r="D305" s="213" t="s">
        <v>250</v>
      </c>
      <c r="E305" s="215">
        <v>56.15</v>
      </c>
      <c r="F305" s="87">
        <v>610</v>
      </c>
      <c r="G305" s="87">
        <f t="shared" ref="G305:G335" si="33">E305*F305</f>
        <v>34251.5</v>
      </c>
      <c r="H305" s="88" t="s">
        <v>65</v>
      </c>
      <c r="I305" s="89" t="s">
        <v>66</v>
      </c>
      <c r="J305" s="133"/>
      <c r="K305" s="133"/>
      <c r="L305" s="133"/>
      <c r="M305" s="133"/>
      <c r="N305" s="135"/>
    </row>
    <row r="306" spans="1:14" x14ac:dyDescent="0.25">
      <c r="A306" s="95">
        <f>A305+1</f>
        <v>280</v>
      </c>
      <c r="B306" s="136">
        <v>46040</v>
      </c>
      <c r="C306" s="219" t="s">
        <v>461</v>
      </c>
      <c r="D306" s="219" t="s">
        <v>254</v>
      </c>
      <c r="E306" s="221">
        <v>56.45</v>
      </c>
      <c r="F306" s="109">
        <v>610</v>
      </c>
      <c r="G306" s="109">
        <f t="shared" si="33"/>
        <v>34434.5</v>
      </c>
      <c r="H306" s="110" t="s">
        <v>65</v>
      </c>
      <c r="I306" s="111" t="s">
        <v>66</v>
      </c>
      <c r="J306" s="102"/>
      <c r="K306" s="102"/>
      <c r="L306" s="102"/>
      <c r="M306" s="102"/>
      <c r="N306" s="103"/>
    </row>
    <row r="307" spans="1:14" x14ac:dyDescent="0.25">
      <c r="A307" s="95">
        <f t="shared" ref="A307:A335" si="34">A306+1</f>
        <v>281</v>
      </c>
      <c r="B307" s="136">
        <v>46040</v>
      </c>
      <c r="C307" s="219" t="s">
        <v>461</v>
      </c>
      <c r="D307" s="219" t="s">
        <v>248</v>
      </c>
      <c r="E307" s="221">
        <v>56.55</v>
      </c>
      <c r="F307" s="109">
        <v>610</v>
      </c>
      <c r="G307" s="109">
        <f t="shared" si="33"/>
        <v>34495.5</v>
      </c>
      <c r="H307" s="110" t="s">
        <v>65</v>
      </c>
      <c r="I307" s="111" t="s">
        <v>66</v>
      </c>
      <c r="J307" s="102"/>
      <c r="K307" s="102"/>
      <c r="L307" s="102"/>
      <c r="M307" s="134"/>
      <c r="N307" s="103"/>
    </row>
    <row r="308" spans="1:14" x14ac:dyDescent="0.25">
      <c r="A308" s="95">
        <f t="shared" si="34"/>
        <v>282</v>
      </c>
      <c r="B308" s="136">
        <v>46040</v>
      </c>
      <c r="C308" s="219" t="s">
        <v>461</v>
      </c>
      <c r="D308" s="219" t="s">
        <v>279</v>
      </c>
      <c r="E308" s="221">
        <v>56.95</v>
      </c>
      <c r="F308" s="109">
        <v>610</v>
      </c>
      <c r="G308" s="109">
        <f t="shared" si="33"/>
        <v>34739.5</v>
      </c>
      <c r="H308" s="110" t="s">
        <v>65</v>
      </c>
      <c r="I308" s="111" t="s">
        <v>66</v>
      </c>
      <c r="J308" s="102"/>
      <c r="K308" s="102"/>
      <c r="L308" s="102"/>
      <c r="M308" s="102"/>
      <c r="N308" s="103"/>
    </row>
    <row r="309" spans="1:14" x14ac:dyDescent="0.25">
      <c r="A309" s="95">
        <f t="shared" si="34"/>
        <v>283</v>
      </c>
      <c r="B309" s="136">
        <v>46040</v>
      </c>
      <c r="C309" s="219" t="s">
        <v>462</v>
      </c>
      <c r="D309" s="219" t="s">
        <v>463</v>
      </c>
      <c r="E309" s="221">
        <v>57.9</v>
      </c>
      <c r="F309" s="109">
        <v>610</v>
      </c>
      <c r="G309" s="109">
        <f t="shared" si="33"/>
        <v>35319</v>
      </c>
      <c r="H309" s="110" t="s">
        <v>65</v>
      </c>
      <c r="I309" s="111" t="s">
        <v>66</v>
      </c>
      <c r="J309" s="102"/>
      <c r="K309" s="102"/>
      <c r="L309" s="102"/>
      <c r="M309" s="102"/>
      <c r="N309" s="103"/>
    </row>
    <row r="310" spans="1:14" x14ac:dyDescent="0.25">
      <c r="A310" s="95">
        <f t="shared" si="34"/>
        <v>284</v>
      </c>
      <c r="B310" s="136">
        <v>46040</v>
      </c>
      <c r="C310" s="219" t="s">
        <v>461</v>
      </c>
      <c r="D310" s="219" t="s">
        <v>275</v>
      </c>
      <c r="E310" s="221">
        <v>59</v>
      </c>
      <c r="F310" s="109">
        <v>610</v>
      </c>
      <c r="G310" s="109">
        <f t="shared" si="33"/>
        <v>35990</v>
      </c>
      <c r="H310" s="110" t="s">
        <v>65</v>
      </c>
      <c r="I310" s="111" t="s">
        <v>66</v>
      </c>
      <c r="J310" s="102"/>
      <c r="K310" s="102"/>
      <c r="L310" s="102"/>
      <c r="M310" s="102"/>
      <c r="N310" s="103"/>
    </row>
    <row r="311" spans="1:14" x14ac:dyDescent="0.25">
      <c r="A311" s="95">
        <f t="shared" si="34"/>
        <v>285</v>
      </c>
      <c r="B311" s="136">
        <v>46040</v>
      </c>
      <c r="C311" s="219" t="s">
        <v>461</v>
      </c>
      <c r="D311" s="219" t="s">
        <v>291</v>
      </c>
      <c r="E311" s="221">
        <v>59.1</v>
      </c>
      <c r="F311" s="109">
        <v>610</v>
      </c>
      <c r="G311" s="109">
        <f t="shared" si="33"/>
        <v>36051</v>
      </c>
      <c r="H311" s="110" t="s">
        <v>65</v>
      </c>
      <c r="I311" s="111" t="s">
        <v>66</v>
      </c>
      <c r="J311" s="102"/>
      <c r="K311" s="102"/>
      <c r="L311" s="102"/>
      <c r="M311" s="102"/>
      <c r="N311" s="103"/>
    </row>
    <row r="312" spans="1:14" x14ac:dyDescent="0.25">
      <c r="A312" s="95">
        <f t="shared" si="34"/>
        <v>286</v>
      </c>
      <c r="B312" s="136">
        <v>46040</v>
      </c>
      <c r="C312" s="219" t="s">
        <v>464</v>
      </c>
      <c r="D312" s="219" t="s">
        <v>465</v>
      </c>
      <c r="E312" s="221">
        <v>59.15</v>
      </c>
      <c r="F312" s="109">
        <v>610</v>
      </c>
      <c r="G312" s="109">
        <f t="shared" si="33"/>
        <v>36081.5</v>
      </c>
      <c r="H312" s="110" t="s">
        <v>65</v>
      </c>
      <c r="I312" s="111" t="s">
        <v>66</v>
      </c>
      <c r="J312" s="102"/>
      <c r="K312" s="102"/>
      <c r="L312" s="102"/>
      <c r="M312" s="102"/>
      <c r="N312" s="103"/>
    </row>
    <row r="313" spans="1:14" x14ac:dyDescent="0.25">
      <c r="A313" s="95">
        <f t="shared" si="34"/>
        <v>287</v>
      </c>
      <c r="B313" s="136">
        <v>46040</v>
      </c>
      <c r="C313" s="219" t="s">
        <v>461</v>
      </c>
      <c r="D313" s="219" t="s">
        <v>287</v>
      </c>
      <c r="E313" s="221">
        <v>59.15</v>
      </c>
      <c r="F313" s="109">
        <v>610</v>
      </c>
      <c r="G313" s="109">
        <f t="shared" si="33"/>
        <v>36081.5</v>
      </c>
      <c r="H313" s="110" t="s">
        <v>65</v>
      </c>
      <c r="I313" s="111" t="s">
        <v>66</v>
      </c>
      <c r="J313" s="102"/>
      <c r="K313" s="102"/>
      <c r="L313" s="102"/>
      <c r="M313" s="102"/>
      <c r="N313" s="103"/>
    </row>
    <row r="314" spans="1:14" x14ac:dyDescent="0.25">
      <c r="A314" s="95">
        <f t="shared" si="34"/>
        <v>288</v>
      </c>
      <c r="B314" s="136">
        <v>46040</v>
      </c>
      <c r="C314" s="219" t="s">
        <v>461</v>
      </c>
      <c r="D314" s="219" t="s">
        <v>262</v>
      </c>
      <c r="E314" s="221">
        <v>59.25</v>
      </c>
      <c r="F314" s="109">
        <v>610</v>
      </c>
      <c r="G314" s="109">
        <f t="shared" si="33"/>
        <v>36142.5</v>
      </c>
      <c r="H314" s="110" t="s">
        <v>65</v>
      </c>
      <c r="I314" s="111" t="s">
        <v>66</v>
      </c>
      <c r="J314" s="102"/>
      <c r="K314" s="102"/>
      <c r="L314" s="102"/>
      <c r="M314" s="102"/>
      <c r="N314" s="103"/>
    </row>
    <row r="315" spans="1:14" x14ac:dyDescent="0.25">
      <c r="A315" s="95">
        <f t="shared" si="34"/>
        <v>289</v>
      </c>
      <c r="B315" s="136">
        <v>46040</v>
      </c>
      <c r="C315" s="219" t="s">
        <v>461</v>
      </c>
      <c r="D315" s="219" t="s">
        <v>300</v>
      </c>
      <c r="E315" s="221">
        <v>59.95</v>
      </c>
      <c r="F315" s="109">
        <v>610</v>
      </c>
      <c r="G315" s="109">
        <f t="shared" si="33"/>
        <v>36569.5</v>
      </c>
      <c r="H315" s="110" t="s">
        <v>65</v>
      </c>
      <c r="I315" s="111" t="s">
        <v>66</v>
      </c>
      <c r="J315" s="102"/>
      <c r="K315" s="102"/>
      <c r="L315" s="102"/>
      <c r="M315" s="102"/>
      <c r="N315" s="103"/>
    </row>
    <row r="316" spans="1:14" x14ac:dyDescent="0.25">
      <c r="A316" s="95">
        <f t="shared" si="34"/>
        <v>290</v>
      </c>
      <c r="B316" s="136">
        <v>46040</v>
      </c>
      <c r="C316" s="219" t="s">
        <v>461</v>
      </c>
      <c r="D316" s="219" t="s">
        <v>299</v>
      </c>
      <c r="E316" s="221">
        <v>60.7</v>
      </c>
      <c r="F316" s="109">
        <v>610</v>
      </c>
      <c r="G316" s="109">
        <f t="shared" si="33"/>
        <v>37027</v>
      </c>
      <c r="H316" s="110" t="s">
        <v>65</v>
      </c>
      <c r="I316" s="111" t="s">
        <v>66</v>
      </c>
      <c r="J316" s="102"/>
      <c r="K316" s="102"/>
      <c r="L316" s="102"/>
      <c r="M316" s="102"/>
      <c r="N316" s="103"/>
    </row>
    <row r="317" spans="1:14" x14ac:dyDescent="0.25">
      <c r="A317" s="95">
        <f t="shared" si="34"/>
        <v>291</v>
      </c>
      <c r="B317" s="136">
        <v>46040</v>
      </c>
      <c r="C317" s="219" t="s">
        <v>461</v>
      </c>
      <c r="D317" s="219" t="s">
        <v>288</v>
      </c>
      <c r="E317" s="221">
        <v>60.9</v>
      </c>
      <c r="F317" s="109">
        <v>610</v>
      </c>
      <c r="G317" s="109">
        <f t="shared" si="33"/>
        <v>37149</v>
      </c>
      <c r="H317" s="110" t="s">
        <v>65</v>
      </c>
      <c r="I317" s="111" t="s">
        <v>66</v>
      </c>
      <c r="J317" s="102"/>
      <c r="K317" s="102"/>
      <c r="L317" s="102"/>
      <c r="M317" s="102"/>
      <c r="N317" s="103"/>
    </row>
    <row r="318" spans="1:14" x14ac:dyDescent="0.25">
      <c r="A318" s="95">
        <f t="shared" si="34"/>
        <v>292</v>
      </c>
      <c r="B318" s="136">
        <v>46040</v>
      </c>
      <c r="C318" s="219" t="s">
        <v>461</v>
      </c>
      <c r="D318" s="219" t="s">
        <v>286</v>
      </c>
      <c r="E318" s="221">
        <v>61.05</v>
      </c>
      <c r="F318" s="109">
        <v>610</v>
      </c>
      <c r="G318" s="109">
        <f t="shared" si="33"/>
        <v>37240.5</v>
      </c>
      <c r="H318" s="110" t="s">
        <v>65</v>
      </c>
      <c r="I318" s="111" t="s">
        <v>66</v>
      </c>
      <c r="J318" s="102"/>
      <c r="K318" s="102"/>
      <c r="L318" s="102"/>
      <c r="M318" s="102"/>
      <c r="N318" s="103"/>
    </row>
    <row r="319" spans="1:14" x14ac:dyDescent="0.25">
      <c r="A319" s="95">
        <f t="shared" si="34"/>
        <v>293</v>
      </c>
      <c r="B319" s="136">
        <v>46040</v>
      </c>
      <c r="C319" s="219" t="s">
        <v>461</v>
      </c>
      <c r="D319" s="219" t="s">
        <v>292</v>
      </c>
      <c r="E319" s="221">
        <v>61.2</v>
      </c>
      <c r="F319" s="109">
        <v>610</v>
      </c>
      <c r="G319" s="109">
        <f t="shared" si="33"/>
        <v>37332</v>
      </c>
      <c r="H319" s="110" t="s">
        <v>65</v>
      </c>
      <c r="I319" s="111" t="s">
        <v>66</v>
      </c>
      <c r="J319" s="102"/>
      <c r="K319" s="102"/>
      <c r="L319" s="102"/>
      <c r="M319" s="102"/>
      <c r="N319" s="103"/>
    </row>
    <row r="320" spans="1:14" x14ac:dyDescent="0.25">
      <c r="A320" s="95">
        <f t="shared" si="34"/>
        <v>294</v>
      </c>
      <c r="B320" s="136">
        <v>46040</v>
      </c>
      <c r="C320" s="219" t="s">
        <v>461</v>
      </c>
      <c r="D320" s="219" t="s">
        <v>294</v>
      </c>
      <c r="E320" s="221">
        <v>61.55</v>
      </c>
      <c r="F320" s="109">
        <v>610</v>
      </c>
      <c r="G320" s="109">
        <f t="shared" si="33"/>
        <v>37545.5</v>
      </c>
      <c r="H320" s="110" t="s">
        <v>65</v>
      </c>
      <c r="I320" s="111" t="s">
        <v>66</v>
      </c>
      <c r="J320" s="102"/>
      <c r="K320" s="102"/>
      <c r="L320" s="102"/>
      <c r="M320" s="102"/>
      <c r="N320" s="103"/>
    </row>
    <row r="321" spans="1:14" x14ac:dyDescent="0.25">
      <c r="A321" s="95">
        <f t="shared" si="34"/>
        <v>295</v>
      </c>
      <c r="B321" s="136">
        <v>46040</v>
      </c>
      <c r="C321" s="219" t="s">
        <v>466</v>
      </c>
      <c r="D321" s="219" t="s">
        <v>467</v>
      </c>
      <c r="E321" s="221">
        <v>61.75</v>
      </c>
      <c r="F321" s="109">
        <v>610</v>
      </c>
      <c r="G321" s="109">
        <f t="shared" si="33"/>
        <v>37667.5</v>
      </c>
      <c r="H321" s="110" t="s">
        <v>65</v>
      </c>
      <c r="I321" s="111" t="s">
        <v>66</v>
      </c>
      <c r="J321" s="102"/>
      <c r="K321" s="102"/>
      <c r="L321" s="102"/>
      <c r="M321" s="102"/>
      <c r="N321" s="103"/>
    </row>
    <row r="322" spans="1:14" x14ac:dyDescent="0.25">
      <c r="A322" s="95">
        <f t="shared" si="34"/>
        <v>296</v>
      </c>
      <c r="B322" s="136">
        <v>46040</v>
      </c>
      <c r="C322" s="219" t="s">
        <v>461</v>
      </c>
      <c r="D322" s="219" t="s">
        <v>264</v>
      </c>
      <c r="E322" s="221">
        <v>62.2</v>
      </c>
      <c r="F322" s="109">
        <v>610</v>
      </c>
      <c r="G322" s="109">
        <f t="shared" si="33"/>
        <v>37942</v>
      </c>
      <c r="H322" s="110" t="s">
        <v>65</v>
      </c>
      <c r="I322" s="111" t="s">
        <v>66</v>
      </c>
      <c r="J322" s="102"/>
      <c r="K322" s="102"/>
      <c r="L322" s="102"/>
      <c r="M322" s="102"/>
      <c r="N322" s="103"/>
    </row>
    <row r="323" spans="1:14" x14ac:dyDescent="0.25">
      <c r="A323" s="95">
        <f t="shared" si="34"/>
        <v>297</v>
      </c>
      <c r="B323" s="136">
        <v>46040</v>
      </c>
      <c r="C323" s="219" t="s">
        <v>466</v>
      </c>
      <c r="D323" s="219" t="s">
        <v>468</v>
      </c>
      <c r="E323" s="221">
        <v>62.55</v>
      </c>
      <c r="F323" s="109">
        <v>610</v>
      </c>
      <c r="G323" s="109">
        <f t="shared" si="33"/>
        <v>38155.5</v>
      </c>
      <c r="H323" s="110" t="s">
        <v>65</v>
      </c>
      <c r="I323" s="111" t="s">
        <v>66</v>
      </c>
      <c r="J323" s="102"/>
      <c r="K323" s="102"/>
      <c r="L323" s="102"/>
      <c r="M323" s="102"/>
      <c r="N323" s="103"/>
    </row>
    <row r="324" spans="1:14" x14ac:dyDescent="0.25">
      <c r="A324" s="95">
        <f t="shared" si="34"/>
        <v>298</v>
      </c>
      <c r="B324" s="136">
        <v>46040</v>
      </c>
      <c r="C324" s="219" t="s">
        <v>466</v>
      </c>
      <c r="D324" s="219" t="s">
        <v>469</v>
      </c>
      <c r="E324" s="221">
        <v>62.7</v>
      </c>
      <c r="F324" s="109">
        <v>610</v>
      </c>
      <c r="G324" s="109">
        <f t="shared" si="33"/>
        <v>38247</v>
      </c>
      <c r="H324" s="110" t="s">
        <v>65</v>
      </c>
      <c r="I324" s="111" t="s">
        <v>66</v>
      </c>
      <c r="J324" s="102"/>
      <c r="K324" s="102"/>
      <c r="L324" s="102"/>
      <c r="M324" s="102"/>
      <c r="N324" s="103"/>
    </row>
    <row r="325" spans="1:14" x14ac:dyDescent="0.25">
      <c r="A325" s="95">
        <f t="shared" si="34"/>
        <v>299</v>
      </c>
      <c r="B325" s="136">
        <v>46040</v>
      </c>
      <c r="C325" s="219" t="s">
        <v>466</v>
      </c>
      <c r="D325" s="219" t="s">
        <v>470</v>
      </c>
      <c r="E325" s="221">
        <v>63.35</v>
      </c>
      <c r="F325" s="109">
        <v>610</v>
      </c>
      <c r="G325" s="109">
        <f t="shared" si="33"/>
        <v>38643.5</v>
      </c>
      <c r="H325" s="110" t="s">
        <v>65</v>
      </c>
      <c r="I325" s="111" t="s">
        <v>66</v>
      </c>
      <c r="J325" s="102"/>
      <c r="K325" s="102"/>
      <c r="L325" s="102"/>
      <c r="M325" s="102"/>
      <c r="N325" s="103"/>
    </row>
    <row r="326" spans="1:14" x14ac:dyDescent="0.25">
      <c r="A326" s="95">
        <f t="shared" si="34"/>
        <v>300</v>
      </c>
      <c r="B326" s="136">
        <v>46040</v>
      </c>
      <c r="C326" s="219" t="s">
        <v>466</v>
      </c>
      <c r="D326" s="219" t="s">
        <v>471</v>
      </c>
      <c r="E326" s="221">
        <v>63.9</v>
      </c>
      <c r="F326" s="109">
        <v>610</v>
      </c>
      <c r="G326" s="109">
        <f t="shared" si="33"/>
        <v>38979</v>
      </c>
      <c r="H326" s="110" t="s">
        <v>65</v>
      </c>
      <c r="I326" s="111" t="s">
        <v>66</v>
      </c>
      <c r="J326" s="102"/>
      <c r="K326" s="102"/>
      <c r="L326" s="102"/>
      <c r="M326" s="102"/>
      <c r="N326" s="103"/>
    </row>
    <row r="327" spans="1:14" x14ac:dyDescent="0.25">
      <c r="A327" s="95">
        <f t="shared" si="34"/>
        <v>301</v>
      </c>
      <c r="B327" s="136">
        <v>46040</v>
      </c>
      <c r="C327" s="219" t="s">
        <v>472</v>
      </c>
      <c r="D327" s="219" t="s">
        <v>473</v>
      </c>
      <c r="E327" s="221">
        <v>64.349999999999994</v>
      </c>
      <c r="F327" s="109">
        <v>610</v>
      </c>
      <c r="G327" s="109">
        <f t="shared" si="33"/>
        <v>39253.5</v>
      </c>
      <c r="H327" s="110" t="s">
        <v>65</v>
      </c>
      <c r="I327" s="111" t="s">
        <v>66</v>
      </c>
      <c r="J327" s="102"/>
      <c r="K327" s="102"/>
      <c r="L327" s="102"/>
      <c r="M327" s="102"/>
      <c r="N327" s="103"/>
    </row>
    <row r="328" spans="1:14" x14ac:dyDescent="0.25">
      <c r="A328" s="95">
        <f t="shared" si="34"/>
        <v>302</v>
      </c>
      <c r="B328" s="136">
        <v>46040</v>
      </c>
      <c r="C328" s="219" t="s">
        <v>474</v>
      </c>
      <c r="D328" s="219" t="s">
        <v>475</v>
      </c>
      <c r="E328" s="221">
        <v>64.400000000000006</v>
      </c>
      <c r="F328" s="109">
        <v>610</v>
      </c>
      <c r="G328" s="109">
        <f t="shared" si="33"/>
        <v>39284</v>
      </c>
      <c r="H328" s="110" t="s">
        <v>65</v>
      </c>
      <c r="I328" s="111" t="s">
        <v>66</v>
      </c>
      <c r="J328" s="102"/>
      <c r="K328" s="102"/>
      <c r="L328" s="102"/>
      <c r="M328" s="102"/>
      <c r="N328" s="103"/>
    </row>
    <row r="329" spans="1:14" x14ac:dyDescent="0.25">
      <c r="A329" s="95">
        <f t="shared" si="34"/>
        <v>303</v>
      </c>
      <c r="B329" s="136">
        <v>46040</v>
      </c>
      <c r="C329" s="219" t="s">
        <v>464</v>
      </c>
      <c r="D329" s="219" t="s">
        <v>476</v>
      </c>
      <c r="E329" s="221">
        <v>64.45</v>
      </c>
      <c r="F329" s="109">
        <v>610</v>
      </c>
      <c r="G329" s="109">
        <f t="shared" si="33"/>
        <v>39314.5</v>
      </c>
      <c r="H329" s="110" t="s">
        <v>65</v>
      </c>
      <c r="I329" s="111" t="s">
        <v>66</v>
      </c>
      <c r="J329" s="102"/>
      <c r="K329" s="102"/>
      <c r="L329" s="102"/>
      <c r="M329" s="102"/>
      <c r="N329" s="103"/>
    </row>
    <row r="330" spans="1:14" x14ac:dyDescent="0.25">
      <c r="A330" s="95">
        <f t="shared" si="34"/>
        <v>304</v>
      </c>
      <c r="B330" s="136">
        <v>46040</v>
      </c>
      <c r="C330" s="219" t="s">
        <v>464</v>
      </c>
      <c r="D330" s="219" t="s">
        <v>477</v>
      </c>
      <c r="E330" s="221">
        <v>64.45</v>
      </c>
      <c r="F330" s="109">
        <v>610</v>
      </c>
      <c r="G330" s="109">
        <f t="shared" si="33"/>
        <v>39314.5</v>
      </c>
      <c r="H330" s="110" t="s">
        <v>65</v>
      </c>
      <c r="I330" s="111" t="s">
        <v>66</v>
      </c>
      <c r="J330" s="102"/>
      <c r="K330" s="102"/>
      <c r="L330" s="102"/>
      <c r="M330" s="102"/>
      <c r="N330" s="103"/>
    </row>
    <row r="331" spans="1:14" x14ac:dyDescent="0.25">
      <c r="A331" s="95">
        <f t="shared" si="34"/>
        <v>305</v>
      </c>
      <c r="B331" s="136">
        <v>46040</v>
      </c>
      <c r="C331" s="219" t="s">
        <v>478</v>
      </c>
      <c r="D331" s="219" t="s">
        <v>479</v>
      </c>
      <c r="E331" s="221">
        <v>64.45</v>
      </c>
      <c r="F331" s="109">
        <v>610</v>
      </c>
      <c r="G331" s="109">
        <f t="shared" si="33"/>
        <v>39314.5</v>
      </c>
      <c r="H331" s="110" t="s">
        <v>65</v>
      </c>
      <c r="I331" s="111" t="s">
        <v>66</v>
      </c>
      <c r="J331" s="102"/>
      <c r="K331" s="102"/>
      <c r="L331" s="102"/>
      <c r="M331" s="102"/>
      <c r="N331" s="103"/>
    </row>
    <row r="332" spans="1:14" x14ac:dyDescent="0.25">
      <c r="A332" s="95">
        <f t="shared" si="34"/>
        <v>306</v>
      </c>
      <c r="B332" s="136">
        <v>46040</v>
      </c>
      <c r="C332" s="219" t="s">
        <v>464</v>
      </c>
      <c r="D332" s="219" t="s">
        <v>480</v>
      </c>
      <c r="E332" s="221">
        <v>64.45</v>
      </c>
      <c r="F332" s="109">
        <v>610</v>
      </c>
      <c r="G332" s="109">
        <f>E332*F332</f>
        <v>39314.5</v>
      </c>
      <c r="H332" s="110" t="s">
        <v>65</v>
      </c>
      <c r="I332" s="111" t="s">
        <v>66</v>
      </c>
      <c r="J332" s="102"/>
      <c r="K332" s="102"/>
      <c r="L332" s="102"/>
      <c r="M332" s="102"/>
      <c r="N332" s="103"/>
    </row>
    <row r="333" spans="1:14" x14ac:dyDescent="0.25">
      <c r="A333" s="95">
        <f t="shared" si="34"/>
        <v>307</v>
      </c>
      <c r="B333" s="136">
        <v>46040</v>
      </c>
      <c r="C333" s="219" t="s">
        <v>464</v>
      </c>
      <c r="D333" s="219" t="s">
        <v>481</v>
      </c>
      <c r="E333" s="221">
        <v>64.5</v>
      </c>
      <c r="F333" s="109">
        <v>610</v>
      </c>
      <c r="G333" s="109">
        <f t="shared" si="33"/>
        <v>39345</v>
      </c>
      <c r="H333" s="110" t="s">
        <v>65</v>
      </c>
      <c r="I333" s="111" t="s">
        <v>66</v>
      </c>
      <c r="J333" s="102"/>
      <c r="K333" s="102"/>
      <c r="L333" s="102"/>
      <c r="M333" s="102"/>
      <c r="N333" s="103"/>
    </row>
    <row r="334" spans="1:14" x14ac:dyDescent="0.25">
      <c r="A334" s="95">
        <f t="shared" si="34"/>
        <v>308</v>
      </c>
      <c r="B334" s="136">
        <v>46040</v>
      </c>
      <c r="C334" s="219" t="s">
        <v>464</v>
      </c>
      <c r="D334" s="219" t="s">
        <v>482</v>
      </c>
      <c r="E334" s="221">
        <v>64.5</v>
      </c>
      <c r="F334" s="109">
        <v>610</v>
      </c>
      <c r="G334" s="109">
        <f t="shared" si="33"/>
        <v>39345</v>
      </c>
      <c r="H334" s="110" t="s">
        <v>65</v>
      </c>
      <c r="I334" s="111" t="s">
        <v>66</v>
      </c>
      <c r="J334" s="102"/>
      <c r="K334" s="102"/>
      <c r="L334" s="102"/>
      <c r="M334" s="102"/>
      <c r="N334" s="103"/>
    </row>
    <row r="335" spans="1:14" ht="15.75" thickBot="1" x14ac:dyDescent="0.3">
      <c r="A335" s="112">
        <f t="shared" si="34"/>
        <v>309</v>
      </c>
      <c r="B335" s="141">
        <v>46040</v>
      </c>
      <c r="C335" s="222" t="s">
        <v>466</v>
      </c>
      <c r="D335" s="222" t="s">
        <v>483</v>
      </c>
      <c r="E335" s="224">
        <v>65.45</v>
      </c>
      <c r="F335" s="157">
        <v>610</v>
      </c>
      <c r="G335" s="157">
        <f t="shared" si="33"/>
        <v>39924.5</v>
      </c>
      <c r="H335" s="158" t="s">
        <v>65</v>
      </c>
      <c r="I335" s="159" t="s">
        <v>66</v>
      </c>
      <c r="J335" s="113"/>
      <c r="K335" s="113"/>
      <c r="L335" s="113"/>
      <c r="M335" s="113"/>
      <c r="N335" s="114"/>
    </row>
    <row r="336" spans="1:14" ht="15.75" thickBot="1" x14ac:dyDescent="0.3">
      <c r="A336" s="228"/>
      <c r="B336" s="229"/>
      <c r="C336" s="229"/>
      <c r="D336" s="230"/>
      <c r="E336" s="231">
        <f>SUM(E305:E335)</f>
        <v>1902.4500000000003</v>
      </c>
      <c r="F336" s="232"/>
      <c r="G336" s="233">
        <f>SUM(G305:G335)</f>
        <v>1160494.5</v>
      </c>
      <c r="H336" s="229"/>
      <c r="I336" s="234"/>
      <c r="J336" s="248"/>
      <c r="K336" s="229"/>
      <c r="L336" s="229"/>
      <c r="M336" s="235"/>
      <c r="N336" s="234"/>
    </row>
    <row r="337" spans="1:17" x14ac:dyDescent="0.25">
      <c r="A337" s="131">
        <v>310</v>
      </c>
      <c r="B337" s="132">
        <v>46041</v>
      </c>
      <c r="C337" s="142" t="s">
        <v>484</v>
      </c>
      <c r="D337" s="142" t="s">
        <v>485</v>
      </c>
      <c r="E337" s="144">
        <v>57.85</v>
      </c>
      <c r="F337" s="87">
        <v>610</v>
      </c>
      <c r="G337" s="87">
        <f t="shared" ref="G337:G342" si="35">E337*F337</f>
        <v>35288.5</v>
      </c>
      <c r="H337" s="88" t="s">
        <v>65</v>
      </c>
      <c r="I337" s="89" t="s">
        <v>66</v>
      </c>
      <c r="J337" s="131"/>
      <c r="K337" s="133"/>
      <c r="L337" s="133"/>
      <c r="M337" s="275"/>
      <c r="N337" s="135"/>
    </row>
    <row r="338" spans="1:17" x14ac:dyDescent="0.25">
      <c r="A338" s="95">
        <f>A337+1</f>
        <v>311</v>
      </c>
      <c r="B338" s="136">
        <v>46041</v>
      </c>
      <c r="C338" s="84" t="s">
        <v>486</v>
      </c>
      <c r="D338" s="84" t="s">
        <v>487</v>
      </c>
      <c r="E338" s="138">
        <v>60.9</v>
      </c>
      <c r="F338" s="109">
        <v>610</v>
      </c>
      <c r="G338" s="109">
        <f t="shared" si="35"/>
        <v>37149</v>
      </c>
      <c r="H338" s="110" t="s">
        <v>65</v>
      </c>
      <c r="I338" s="111" t="s">
        <v>66</v>
      </c>
      <c r="J338" s="95"/>
      <c r="K338" s="102"/>
      <c r="L338" s="102"/>
      <c r="M338" s="276"/>
      <c r="N338" s="103"/>
    </row>
    <row r="339" spans="1:17" x14ac:dyDescent="0.25">
      <c r="A339" s="95">
        <f>A338+1</f>
        <v>312</v>
      </c>
      <c r="B339" s="136">
        <v>46041</v>
      </c>
      <c r="C339" s="84" t="s">
        <v>488</v>
      </c>
      <c r="D339" s="84" t="s">
        <v>489</v>
      </c>
      <c r="E339" s="138">
        <v>61.25</v>
      </c>
      <c r="F339" s="109">
        <v>610</v>
      </c>
      <c r="G339" s="109">
        <f t="shared" si="35"/>
        <v>37362.5</v>
      </c>
      <c r="H339" s="110" t="s">
        <v>65</v>
      </c>
      <c r="I339" s="111" t="s">
        <v>66</v>
      </c>
      <c r="J339" s="95"/>
      <c r="K339" s="102"/>
      <c r="L339" s="102"/>
      <c r="M339" s="276"/>
      <c r="N339" s="103"/>
    </row>
    <row r="340" spans="1:17" x14ac:dyDescent="0.25">
      <c r="A340" s="95">
        <f>A339+1</f>
        <v>313</v>
      </c>
      <c r="B340" s="136">
        <v>46041</v>
      </c>
      <c r="C340" s="84" t="s">
        <v>488</v>
      </c>
      <c r="D340" s="84" t="s">
        <v>490</v>
      </c>
      <c r="E340" s="138">
        <v>61.65</v>
      </c>
      <c r="F340" s="109">
        <v>610</v>
      </c>
      <c r="G340" s="109">
        <f t="shared" si="35"/>
        <v>37606.5</v>
      </c>
      <c r="H340" s="110" t="s">
        <v>65</v>
      </c>
      <c r="I340" s="111" t="s">
        <v>66</v>
      </c>
      <c r="J340" s="95"/>
      <c r="K340" s="102"/>
      <c r="L340" s="102"/>
      <c r="M340" s="276"/>
      <c r="N340" s="103"/>
    </row>
    <row r="341" spans="1:17" x14ac:dyDescent="0.25">
      <c r="A341" s="95">
        <f>A340+1</f>
        <v>314</v>
      </c>
      <c r="B341" s="136">
        <v>46041</v>
      </c>
      <c r="C341" s="84" t="s">
        <v>491</v>
      </c>
      <c r="D341" s="84" t="s">
        <v>492</v>
      </c>
      <c r="E341" s="138">
        <v>63.65</v>
      </c>
      <c r="F341" s="109">
        <v>610</v>
      </c>
      <c r="G341" s="109">
        <f t="shared" si="35"/>
        <v>38826.5</v>
      </c>
      <c r="H341" s="110" t="s">
        <v>65</v>
      </c>
      <c r="I341" s="111" t="s">
        <v>66</v>
      </c>
      <c r="J341" s="95"/>
      <c r="K341" s="102"/>
      <c r="L341" s="102"/>
      <c r="M341" s="276"/>
      <c r="N341" s="103"/>
    </row>
    <row r="342" spans="1:17" ht="15.75" thickBot="1" x14ac:dyDescent="0.3">
      <c r="A342" s="112">
        <f>A341+1</f>
        <v>315</v>
      </c>
      <c r="B342" s="141">
        <v>46041</v>
      </c>
      <c r="C342" s="154" t="s">
        <v>484</v>
      </c>
      <c r="D342" s="154" t="s">
        <v>493</v>
      </c>
      <c r="E342" s="156">
        <v>64.400000000000006</v>
      </c>
      <c r="F342" s="157">
        <v>610</v>
      </c>
      <c r="G342" s="157">
        <f t="shared" si="35"/>
        <v>39284</v>
      </c>
      <c r="H342" s="158" t="s">
        <v>65</v>
      </c>
      <c r="I342" s="159" t="s">
        <v>66</v>
      </c>
      <c r="J342" s="112"/>
      <c r="K342" s="113"/>
      <c r="L342" s="113"/>
      <c r="M342" s="277"/>
      <c r="N342" s="114"/>
    </row>
    <row r="343" spans="1:17" ht="15.75" thickBot="1" x14ac:dyDescent="0.3">
      <c r="A343" s="203"/>
      <c r="B343" s="204"/>
      <c r="C343" s="204"/>
      <c r="D343" s="205"/>
      <c r="E343" s="206">
        <f>SUM(E337:E342)</f>
        <v>369.70000000000005</v>
      </c>
      <c r="F343" s="207"/>
      <c r="G343" s="208">
        <f>SUM(G337:G342)</f>
        <v>225517</v>
      </c>
      <c r="H343" s="204"/>
      <c r="I343" s="209"/>
      <c r="J343" s="210"/>
      <c r="K343" s="204"/>
      <c r="L343" s="204"/>
      <c r="M343" s="278"/>
      <c r="N343" s="209"/>
    </row>
    <row r="344" spans="1:17" ht="15.75" thickBot="1" x14ac:dyDescent="0.3">
      <c r="A344" s="279"/>
      <c r="B344" s="280"/>
      <c r="C344" s="280"/>
      <c r="D344" s="281"/>
      <c r="E344" s="282">
        <f>E152+E171+E186+E218+E222+E224+E228+E246+E259+E287+E304+E336+E343+E249</f>
        <v>12414.95</v>
      </c>
      <c r="F344" s="283"/>
      <c r="G344" s="284">
        <f>G152+G171+G186+G218+G222+G224+G228+G246+G259+G287+G304+G336+G343</f>
        <v>7490190</v>
      </c>
      <c r="H344" s="280"/>
      <c r="I344" s="285"/>
      <c r="J344" s="286"/>
      <c r="K344" s="280"/>
      <c r="L344" s="283"/>
      <c r="M344" s="287"/>
      <c r="N344" s="285"/>
      <c r="P344" s="177"/>
    </row>
    <row r="345" spans="1:17" ht="15.75" thickBot="1" x14ac:dyDescent="0.3">
      <c r="A345" s="288"/>
      <c r="B345" s="289"/>
      <c r="C345" s="289"/>
      <c r="D345" s="290"/>
      <c r="E345" s="291">
        <f>E130+E344</f>
        <v>19878.8</v>
      </c>
      <c r="F345" s="292"/>
      <c r="G345" s="293">
        <f>G130+G344</f>
        <v>12043138.5</v>
      </c>
      <c r="H345" s="289"/>
      <c r="I345" s="294"/>
      <c r="J345" s="295"/>
      <c r="K345" s="289"/>
      <c r="L345" s="291">
        <f>L30+L42+L88+L129+L152+L171+L186+L218+L222+L224+L228+L246+L259+L287+L304+L336+L343+L20</f>
        <v>9065.3990000000013</v>
      </c>
      <c r="M345" s="296">
        <f>M30+M42+M88+M129+M152+M171+M218+M222+M224+M228+M246+M259+M287+M304++M336+M343+M186+M20</f>
        <v>-36.100999999999992</v>
      </c>
      <c r="N345" s="294"/>
    </row>
    <row r="347" spans="1:17" ht="15.75" thickBot="1" x14ac:dyDescent="0.3">
      <c r="Q347" s="177"/>
    </row>
    <row r="348" spans="1:17" x14ac:dyDescent="0.25">
      <c r="B348" s="630" t="s">
        <v>494</v>
      </c>
      <c r="C348" s="631"/>
      <c r="D348" s="632"/>
      <c r="E348" s="298">
        <v>20000</v>
      </c>
    </row>
    <row r="349" spans="1:17" x14ac:dyDescent="0.25">
      <c r="B349" s="633" t="s">
        <v>495</v>
      </c>
      <c r="C349" s="634"/>
      <c r="D349" s="635"/>
      <c r="E349" s="299">
        <f>E345</f>
        <v>19878.8</v>
      </c>
    </row>
    <row r="350" spans="1:17" ht="15.75" thickBot="1" x14ac:dyDescent="0.3">
      <c r="B350" s="636" t="s">
        <v>496</v>
      </c>
      <c r="C350" s="637"/>
      <c r="D350" s="638"/>
      <c r="E350" s="300">
        <f>E348-E349</f>
        <v>121.20000000000073</v>
      </c>
    </row>
  </sheetData>
  <mergeCells count="9">
    <mergeCell ref="B348:D348"/>
    <mergeCell ref="B349:D349"/>
    <mergeCell ref="B350:D350"/>
    <mergeCell ref="A1:N1"/>
    <mergeCell ref="A2:N2"/>
    <mergeCell ref="A3:N3"/>
    <mergeCell ref="A4:N4"/>
    <mergeCell ref="A130:D130"/>
    <mergeCell ref="A172:N172"/>
  </mergeCells>
  <conditionalFormatting sqref="D5">
    <cfRule type="duplicateValues" dxfId="6" priority="3"/>
  </conditionalFormatting>
  <conditionalFormatting sqref="D348:D350">
    <cfRule type="duplicateValues" dxfId="5" priority="2"/>
  </conditionalFormatting>
  <conditionalFormatting sqref="P1:P1048576 D1:D1048576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7"/>
  <sheetViews>
    <sheetView topLeftCell="A150" workbookViewId="0">
      <selection activeCell="G170" sqref="G170"/>
    </sheetView>
  </sheetViews>
  <sheetFormatPr defaultColWidth="9.140625" defaultRowHeight="15" x14ac:dyDescent="0.25"/>
  <cols>
    <col min="1" max="2" width="9.42578125" style="69" bestFit="1" customWidth="1"/>
    <col min="3" max="3" width="11.7109375" style="69" customWidth="1"/>
    <col min="4" max="4" width="9.140625" style="69"/>
    <col min="5" max="5" width="10.7109375" style="69" bestFit="1" customWidth="1"/>
    <col min="6" max="6" width="9.42578125" style="69" bestFit="1" customWidth="1"/>
    <col min="7" max="7" width="15.140625" style="69" customWidth="1"/>
    <col min="8" max="8" width="16" style="69" customWidth="1"/>
    <col min="9" max="16384" width="9.140625" style="69"/>
  </cols>
  <sheetData>
    <row r="1" spans="1:14" ht="13.9" customHeight="1" x14ac:dyDescent="0.25">
      <c r="A1" s="639" t="s">
        <v>655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</row>
    <row r="2" spans="1:14" ht="14.45" customHeight="1" thickBot="1" x14ac:dyDescent="0.3">
      <c r="A2" s="641" t="s">
        <v>656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</row>
    <row r="3" spans="1:14" ht="60.75" thickBot="1" x14ac:dyDescent="0.3">
      <c r="A3" s="301" t="s">
        <v>51</v>
      </c>
      <c r="B3" s="302" t="s">
        <v>1</v>
      </c>
      <c r="C3" s="303" t="s">
        <v>52</v>
      </c>
      <c r="D3" s="304" t="s">
        <v>53</v>
      </c>
      <c r="E3" s="305" t="s">
        <v>54</v>
      </c>
      <c r="F3" s="306" t="s">
        <v>657</v>
      </c>
      <c r="G3" s="307" t="s">
        <v>56</v>
      </c>
      <c r="H3" s="304" t="s">
        <v>57</v>
      </c>
      <c r="I3" s="308" t="s">
        <v>58</v>
      </c>
      <c r="J3" s="309" t="s">
        <v>59</v>
      </c>
      <c r="K3" s="310" t="s">
        <v>60</v>
      </c>
      <c r="L3" s="310" t="s">
        <v>61</v>
      </c>
      <c r="M3" s="310" t="s">
        <v>10</v>
      </c>
      <c r="N3" s="311" t="s">
        <v>62</v>
      </c>
    </row>
    <row r="4" spans="1:14" x14ac:dyDescent="0.25">
      <c r="A4" s="211">
        <v>1</v>
      </c>
      <c r="B4" s="212">
        <v>46045</v>
      </c>
      <c r="C4" s="400" t="s">
        <v>658</v>
      </c>
      <c r="D4" s="400" t="s">
        <v>711</v>
      </c>
      <c r="E4" s="86">
        <v>56.25</v>
      </c>
      <c r="F4" s="87">
        <v>600</v>
      </c>
      <c r="G4" s="87">
        <f t="shared" ref="G4:G33" si="0">E4*F4</f>
        <v>33750</v>
      </c>
      <c r="H4" s="88" t="s">
        <v>65</v>
      </c>
      <c r="I4" s="89" t="s">
        <v>66</v>
      </c>
      <c r="J4" s="216"/>
      <c r="K4" s="217"/>
      <c r="L4" s="217"/>
      <c r="M4" s="217"/>
      <c r="N4" s="218"/>
    </row>
    <row r="5" spans="1:14" x14ac:dyDescent="0.25">
      <c r="A5" s="95">
        <f t="shared" ref="A5:A33" si="1">A4+1</f>
        <v>2</v>
      </c>
      <c r="B5" s="136">
        <v>46045</v>
      </c>
      <c r="C5" s="171" t="s">
        <v>659</v>
      </c>
      <c r="D5" s="171" t="s">
        <v>524</v>
      </c>
      <c r="E5" s="172">
        <v>57.05</v>
      </c>
      <c r="F5" s="99">
        <v>600</v>
      </c>
      <c r="G5" s="99">
        <f t="shared" si="0"/>
        <v>34230</v>
      </c>
      <c r="H5" s="100" t="s">
        <v>65</v>
      </c>
      <c r="I5" s="101" t="s">
        <v>66</v>
      </c>
      <c r="J5" s="319"/>
      <c r="K5" s="102"/>
      <c r="L5" s="102"/>
      <c r="M5" s="102"/>
      <c r="N5" s="103"/>
    </row>
    <row r="6" spans="1:14" x14ac:dyDescent="0.25">
      <c r="A6" s="95">
        <f t="shared" si="1"/>
        <v>3</v>
      </c>
      <c r="B6" s="136">
        <v>46045</v>
      </c>
      <c r="C6" s="171" t="s">
        <v>660</v>
      </c>
      <c r="D6" s="171" t="s">
        <v>525</v>
      </c>
      <c r="E6" s="172">
        <v>58.55</v>
      </c>
      <c r="F6" s="99">
        <v>600</v>
      </c>
      <c r="G6" s="99">
        <f t="shared" si="0"/>
        <v>35130</v>
      </c>
      <c r="H6" s="100" t="s">
        <v>65</v>
      </c>
      <c r="I6" s="101" t="s">
        <v>66</v>
      </c>
      <c r="J6" s="319"/>
      <c r="K6" s="102"/>
      <c r="L6" s="102"/>
      <c r="M6" s="102"/>
      <c r="N6" s="103"/>
    </row>
    <row r="7" spans="1:14" x14ac:dyDescent="0.25">
      <c r="A7" s="95">
        <f t="shared" si="1"/>
        <v>4</v>
      </c>
      <c r="B7" s="136">
        <v>46045</v>
      </c>
      <c r="C7" s="171" t="s">
        <v>658</v>
      </c>
      <c r="D7" s="171" t="s">
        <v>526</v>
      </c>
      <c r="E7" s="172">
        <v>58.6</v>
      </c>
      <c r="F7" s="99">
        <v>600</v>
      </c>
      <c r="G7" s="99">
        <f t="shared" si="0"/>
        <v>35160</v>
      </c>
      <c r="H7" s="100" t="s">
        <v>65</v>
      </c>
      <c r="I7" s="101" t="s">
        <v>66</v>
      </c>
      <c r="J7" s="319"/>
      <c r="K7" s="102"/>
      <c r="L7" s="102"/>
      <c r="M7" s="102"/>
      <c r="N7" s="103"/>
    </row>
    <row r="8" spans="1:14" x14ac:dyDescent="0.25">
      <c r="A8" s="95">
        <f t="shared" si="1"/>
        <v>5</v>
      </c>
      <c r="B8" s="136">
        <v>46045</v>
      </c>
      <c r="C8" s="171" t="s">
        <v>661</v>
      </c>
      <c r="D8" s="171" t="s">
        <v>527</v>
      </c>
      <c r="E8" s="172">
        <v>64.3</v>
      </c>
      <c r="F8" s="99">
        <v>600</v>
      </c>
      <c r="G8" s="99">
        <f t="shared" si="0"/>
        <v>38580</v>
      </c>
      <c r="H8" s="100" t="s">
        <v>65</v>
      </c>
      <c r="I8" s="101" t="s">
        <v>66</v>
      </c>
      <c r="J8" s="319"/>
      <c r="K8" s="102"/>
      <c r="L8" s="102"/>
      <c r="M8" s="102"/>
      <c r="N8" s="103"/>
    </row>
    <row r="9" spans="1:14" x14ac:dyDescent="0.25">
      <c r="A9" s="95">
        <f t="shared" si="1"/>
        <v>6</v>
      </c>
      <c r="B9" s="136">
        <v>46045</v>
      </c>
      <c r="C9" s="171" t="s">
        <v>660</v>
      </c>
      <c r="D9" s="171" t="s">
        <v>528</v>
      </c>
      <c r="E9" s="172">
        <v>64.349999999999994</v>
      </c>
      <c r="F9" s="99">
        <v>600</v>
      </c>
      <c r="G9" s="99">
        <f t="shared" si="0"/>
        <v>38610</v>
      </c>
      <c r="H9" s="100" t="s">
        <v>65</v>
      </c>
      <c r="I9" s="101" t="s">
        <v>66</v>
      </c>
      <c r="J9" s="319"/>
      <c r="K9" s="102"/>
      <c r="L9" s="102"/>
      <c r="M9" s="102"/>
      <c r="N9" s="103"/>
    </row>
    <row r="10" spans="1:14" x14ac:dyDescent="0.25">
      <c r="A10" s="95">
        <f t="shared" si="1"/>
        <v>7</v>
      </c>
      <c r="B10" s="136">
        <v>46045</v>
      </c>
      <c r="C10" s="171" t="s">
        <v>661</v>
      </c>
      <c r="D10" s="171" t="s">
        <v>529</v>
      </c>
      <c r="E10" s="172">
        <v>64.349999999999994</v>
      </c>
      <c r="F10" s="99">
        <v>600</v>
      </c>
      <c r="G10" s="99">
        <f t="shared" si="0"/>
        <v>38610</v>
      </c>
      <c r="H10" s="100" t="s">
        <v>65</v>
      </c>
      <c r="I10" s="101" t="s">
        <v>66</v>
      </c>
      <c r="J10" s="319"/>
      <c r="K10" s="102"/>
      <c r="L10" s="102"/>
      <c r="M10" s="102"/>
      <c r="N10" s="103"/>
    </row>
    <row r="11" spans="1:14" x14ac:dyDescent="0.25">
      <c r="A11" s="95">
        <f t="shared" si="1"/>
        <v>8</v>
      </c>
      <c r="B11" s="136">
        <v>46045</v>
      </c>
      <c r="C11" s="171" t="s">
        <v>662</v>
      </c>
      <c r="D11" s="171" t="s">
        <v>530</v>
      </c>
      <c r="E11" s="172">
        <v>64.400000000000006</v>
      </c>
      <c r="F11" s="99">
        <v>600</v>
      </c>
      <c r="G11" s="99">
        <f t="shared" si="0"/>
        <v>38640</v>
      </c>
      <c r="H11" s="100" t="s">
        <v>65</v>
      </c>
      <c r="I11" s="101" t="s">
        <v>66</v>
      </c>
      <c r="J11" s="319"/>
      <c r="K11" s="102"/>
      <c r="L11" s="102"/>
      <c r="M11" s="102"/>
      <c r="N11" s="103"/>
    </row>
    <row r="12" spans="1:14" x14ac:dyDescent="0.25">
      <c r="A12" s="95">
        <f t="shared" si="1"/>
        <v>9</v>
      </c>
      <c r="B12" s="136">
        <v>46045</v>
      </c>
      <c r="C12" s="171" t="s">
        <v>661</v>
      </c>
      <c r="D12" s="171" t="s">
        <v>531</v>
      </c>
      <c r="E12" s="172">
        <v>64.400000000000006</v>
      </c>
      <c r="F12" s="99">
        <v>600</v>
      </c>
      <c r="G12" s="99">
        <f t="shared" si="0"/>
        <v>38640</v>
      </c>
      <c r="H12" s="100" t="s">
        <v>65</v>
      </c>
      <c r="I12" s="101" t="s">
        <v>66</v>
      </c>
      <c r="J12" s="319"/>
      <c r="K12" s="102"/>
      <c r="L12" s="102"/>
      <c r="M12" s="102"/>
      <c r="N12" s="103"/>
    </row>
    <row r="13" spans="1:14" x14ac:dyDescent="0.25">
      <c r="A13" s="95">
        <f t="shared" si="1"/>
        <v>10</v>
      </c>
      <c r="B13" s="136">
        <v>46045</v>
      </c>
      <c r="C13" s="171" t="s">
        <v>660</v>
      </c>
      <c r="D13" s="171" t="s">
        <v>532</v>
      </c>
      <c r="E13" s="172">
        <v>64.400000000000006</v>
      </c>
      <c r="F13" s="99">
        <v>600</v>
      </c>
      <c r="G13" s="99">
        <f t="shared" si="0"/>
        <v>38640</v>
      </c>
      <c r="H13" s="100" t="s">
        <v>65</v>
      </c>
      <c r="I13" s="101" t="s">
        <v>66</v>
      </c>
      <c r="J13" s="319"/>
      <c r="K13" s="102"/>
      <c r="L13" s="102"/>
      <c r="M13" s="102"/>
      <c r="N13" s="103"/>
    </row>
    <row r="14" spans="1:14" x14ac:dyDescent="0.25">
      <c r="A14" s="95">
        <f t="shared" si="1"/>
        <v>11</v>
      </c>
      <c r="B14" s="136">
        <v>46045</v>
      </c>
      <c r="C14" s="171" t="s">
        <v>660</v>
      </c>
      <c r="D14" s="171" t="s">
        <v>533</v>
      </c>
      <c r="E14" s="172">
        <v>64.400000000000006</v>
      </c>
      <c r="F14" s="99">
        <v>600</v>
      </c>
      <c r="G14" s="99">
        <f t="shared" si="0"/>
        <v>38640</v>
      </c>
      <c r="H14" s="100" t="s">
        <v>65</v>
      </c>
      <c r="I14" s="101" t="s">
        <v>66</v>
      </c>
      <c r="J14" s="319"/>
      <c r="K14" s="102"/>
      <c r="L14" s="102"/>
      <c r="M14" s="102"/>
      <c r="N14" s="103"/>
    </row>
    <row r="15" spans="1:14" x14ac:dyDescent="0.25">
      <c r="A15" s="95">
        <f t="shared" si="1"/>
        <v>12</v>
      </c>
      <c r="B15" s="136">
        <v>46045</v>
      </c>
      <c r="C15" s="171" t="s">
        <v>661</v>
      </c>
      <c r="D15" s="171" t="s">
        <v>534</v>
      </c>
      <c r="E15" s="172">
        <v>64.400000000000006</v>
      </c>
      <c r="F15" s="99">
        <v>600</v>
      </c>
      <c r="G15" s="99">
        <f t="shared" si="0"/>
        <v>38640</v>
      </c>
      <c r="H15" s="100" t="s">
        <v>65</v>
      </c>
      <c r="I15" s="101" t="s">
        <v>66</v>
      </c>
      <c r="J15" s="319"/>
      <c r="K15" s="102"/>
      <c r="L15" s="102"/>
      <c r="M15" s="102"/>
      <c r="N15" s="103"/>
    </row>
    <row r="16" spans="1:14" x14ac:dyDescent="0.25">
      <c r="A16" s="95">
        <f t="shared" si="1"/>
        <v>13</v>
      </c>
      <c r="B16" s="136">
        <v>46045</v>
      </c>
      <c r="C16" s="171" t="s">
        <v>658</v>
      </c>
      <c r="D16" s="171" t="s">
        <v>535</v>
      </c>
      <c r="E16" s="172">
        <v>64.400000000000006</v>
      </c>
      <c r="F16" s="99">
        <v>600</v>
      </c>
      <c r="G16" s="99">
        <f t="shared" si="0"/>
        <v>38640</v>
      </c>
      <c r="H16" s="100" t="s">
        <v>65</v>
      </c>
      <c r="I16" s="101" t="s">
        <v>66</v>
      </c>
      <c r="J16" s="319"/>
      <c r="K16" s="102"/>
      <c r="L16" s="102"/>
      <c r="M16" s="102"/>
      <c r="N16" s="103"/>
    </row>
    <row r="17" spans="1:14" x14ac:dyDescent="0.25">
      <c r="A17" s="95">
        <f t="shared" si="1"/>
        <v>14</v>
      </c>
      <c r="B17" s="136">
        <v>46045</v>
      </c>
      <c r="C17" s="171" t="s">
        <v>663</v>
      </c>
      <c r="D17" s="171" t="s">
        <v>536</v>
      </c>
      <c r="E17" s="172">
        <v>64.400000000000006</v>
      </c>
      <c r="F17" s="99">
        <v>600</v>
      </c>
      <c r="G17" s="99">
        <f t="shared" si="0"/>
        <v>38640</v>
      </c>
      <c r="H17" s="100" t="s">
        <v>65</v>
      </c>
      <c r="I17" s="101" t="s">
        <v>66</v>
      </c>
      <c r="J17" s="319"/>
      <c r="K17" s="102"/>
      <c r="L17" s="102"/>
      <c r="M17" s="102"/>
      <c r="N17" s="103"/>
    </row>
    <row r="18" spans="1:14" x14ac:dyDescent="0.25">
      <c r="A18" s="95">
        <f t="shared" si="1"/>
        <v>15</v>
      </c>
      <c r="B18" s="136">
        <v>46045</v>
      </c>
      <c r="C18" s="171" t="s">
        <v>663</v>
      </c>
      <c r="D18" s="171" t="s">
        <v>537</v>
      </c>
      <c r="E18" s="172">
        <v>64.45</v>
      </c>
      <c r="F18" s="99">
        <v>600</v>
      </c>
      <c r="G18" s="99">
        <f t="shared" si="0"/>
        <v>38670</v>
      </c>
      <c r="H18" s="100" t="s">
        <v>65</v>
      </c>
      <c r="I18" s="101" t="s">
        <v>66</v>
      </c>
      <c r="J18" s="319"/>
      <c r="K18" s="102"/>
      <c r="L18" s="102"/>
      <c r="M18" s="102"/>
      <c r="N18" s="103"/>
    </row>
    <row r="19" spans="1:14" x14ac:dyDescent="0.25">
      <c r="A19" s="95">
        <f t="shared" si="1"/>
        <v>16</v>
      </c>
      <c r="B19" s="136">
        <v>46045</v>
      </c>
      <c r="C19" s="171" t="s">
        <v>660</v>
      </c>
      <c r="D19" s="171" t="s">
        <v>538</v>
      </c>
      <c r="E19" s="172">
        <v>64.45</v>
      </c>
      <c r="F19" s="99">
        <v>600</v>
      </c>
      <c r="G19" s="99">
        <f t="shared" si="0"/>
        <v>38670</v>
      </c>
      <c r="H19" s="100" t="s">
        <v>65</v>
      </c>
      <c r="I19" s="101" t="s">
        <v>66</v>
      </c>
      <c r="J19" s="319"/>
      <c r="K19" s="102"/>
      <c r="L19" s="102"/>
      <c r="M19" s="102"/>
      <c r="N19" s="103"/>
    </row>
    <row r="20" spans="1:14" x14ac:dyDescent="0.25">
      <c r="A20" s="95">
        <f t="shared" si="1"/>
        <v>17</v>
      </c>
      <c r="B20" s="136">
        <v>46045</v>
      </c>
      <c r="C20" s="171" t="s">
        <v>660</v>
      </c>
      <c r="D20" s="171" t="s">
        <v>539</v>
      </c>
      <c r="E20" s="172">
        <v>64.45</v>
      </c>
      <c r="F20" s="99">
        <v>600</v>
      </c>
      <c r="G20" s="99">
        <f t="shared" si="0"/>
        <v>38670</v>
      </c>
      <c r="H20" s="100" t="s">
        <v>65</v>
      </c>
      <c r="I20" s="101" t="s">
        <v>66</v>
      </c>
      <c r="J20" s="319"/>
      <c r="K20" s="102"/>
      <c r="L20" s="102"/>
      <c r="M20" s="102"/>
      <c r="N20" s="103"/>
    </row>
    <row r="21" spans="1:14" x14ac:dyDescent="0.25">
      <c r="A21" s="95">
        <f t="shared" si="1"/>
        <v>18</v>
      </c>
      <c r="B21" s="136">
        <v>46045</v>
      </c>
      <c r="C21" s="171" t="s">
        <v>661</v>
      </c>
      <c r="D21" s="171" t="s">
        <v>540</v>
      </c>
      <c r="E21" s="172">
        <v>64.45</v>
      </c>
      <c r="F21" s="99">
        <v>600</v>
      </c>
      <c r="G21" s="99">
        <f t="shared" si="0"/>
        <v>38670</v>
      </c>
      <c r="H21" s="100" t="s">
        <v>65</v>
      </c>
      <c r="I21" s="101" t="s">
        <v>66</v>
      </c>
      <c r="J21" s="319"/>
      <c r="K21" s="102"/>
      <c r="L21" s="102"/>
      <c r="M21" s="102"/>
      <c r="N21" s="103"/>
    </row>
    <row r="22" spans="1:14" x14ac:dyDescent="0.25">
      <c r="A22" s="95">
        <f t="shared" si="1"/>
        <v>19</v>
      </c>
      <c r="B22" s="136">
        <v>46045</v>
      </c>
      <c r="C22" s="171" t="s">
        <v>660</v>
      </c>
      <c r="D22" s="171" t="s">
        <v>541</v>
      </c>
      <c r="E22" s="172">
        <v>64.45</v>
      </c>
      <c r="F22" s="99">
        <v>600</v>
      </c>
      <c r="G22" s="99">
        <f t="shared" si="0"/>
        <v>38670</v>
      </c>
      <c r="H22" s="100" t="s">
        <v>65</v>
      </c>
      <c r="I22" s="101" t="s">
        <v>66</v>
      </c>
      <c r="J22" s="319"/>
      <c r="K22" s="102"/>
      <c r="L22" s="102"/>
      <c r="M22" s="102"/>
      <c r="N22" s="103"/>
    </row>
    <row r="23" spans="1:14" x14ac:dyDescent="0.25">
      <c r="A23" s="95">
        <f t="shared" si="1"/>
        <v>20</v>
      </c>
      <c r="B23" s="136">
        <v>46045</v>
      </c>
      <c r="C23" s="171" t="s">
        <v>658</v>
      </c>
      <c r="D23" s="171" t="s">
        <v>542</v>
      </c>
      <c r="E23" s="172">
        <v>64.5</v>
      </c>
      <c r="F23" s="99">
        <v>600</v>
      </c>
      <c r="G23" s="99">
        <f t="shared" si="0"/>
        <v>38700</v>
      </c>
      <c r="H23" s="100" t="s">
        <v>65</v>
      </c>
      <c r="I23" s="101" t="s">
        <v>66</v>
      </c>
      <c r="J23" s="319"/>
      <c r="K23" s="102"/>
      <c r="L23" s="102"/>
      <c r="M23" s="102"/>
      <c r="N23" s="103"/>
    </row>
    <row r="24" spans="1:14" x14ac:dyDescent="0.25">
      <c r="A24" s="95">
        <f t="shared" si="1"/>
        <v>21</v>
      </c>
      <c r="B24" s="136">
        <v>46045</v>
      </c>
      <c r="C24" s="171" t="s">
        <v>660</v>
      </c>
      <c r="D24" s="171" t="s">
        <v>543</v>
      </c>
      <c r="E24" s="172">
        <v>64.5</v>
      </c>
      <c r="F24" s="99">
        <v>600</v>
      </c>
      <c r="G24" s="99">
        <f t="shared" si="0"/>
        <v>38700</v>
      </c>
      <c r="H24" s="100" t="s">
        <v>65</v>
      </c>
      <c r="I24" s="101" t="s">
        <v>66</v>
      </c>
      <c r="J24" s="319"/>
      <c r="K24" s="102"/>
      <c r="L24" s="102"/>
      <c r="M24" s="102"/>
      <c r="N24" s="103"/>
    </row>
    <row r="25" spans="1:14" x14ac:dyDescent="0.25">
      <c r="A25" s="95">
        <f t="shared" si="1"/>
        <v>22</v>
      </c>
      <c r="B25" s="136">
        <v>46045</v>
      </c>
      <c r="C25" s="171" t="s">
        <v>658</v>
      </c>
      <c r="D25" s="171" t="s">
        <v>544</v>
      </c>
      <c r="E25" s="172">
        <v>64.5</v>
      </c>
      <c r="F25" s="99">
        <v>600</v>
      </c>
      <c r="G25" s="99">
        <f t="shared" si="0"/>
        <v>38700</v>
      </c>
      <c r="H25" s="100" t="s">
        <v>65</v>
      </c>
      <c r="I25" s="101" t="s">
        <v>66</v>
      </c>
      <c r="J25" s="319"/>
      <c r="K25" s="102"/>
      <c r="L25" s="102"/>
      <c r="M25" s="102"/>
      <c r="N25" s="103"/>
    </row>
    <row r="26" spans="1:14" x14ac:dyDescent="0.25">
      <c r="A26" s="95">
        <f t="shared" si="1"/>
        <v>23</v>
      </c>
      <c r="B26" s="136">
        <v>46045</v>
      </c>
      <c r="C26" s="171" t="s">
        <v>658</v>
      </c>
      <c r="D26" s="171" t="s">
        <v>545</v>
      </c>
      <c r="E26" s="172">
        <v>64.55</v>
      </c>
      <c r="F26" s="99">
        <v>600</v>
      </c>
      <c r="G26" s="99">
        <f t="shared" si="0"/>
        <v>38730</v>
      </c>
      <c r="H26" s="100" t="s">
        <v>65</v>
      </c>
      <c r="I26" s="101" t="s">
        <v>66</v>
      </c>
      <c r="J26" s="319"/>
      <c r="K26" s="102"/>
      <c r="L26" s="102"/>
      <c r="M26" s="102"/>
      <c r="N26" s="103"/>
    </row>
    <row r="27" spans="1:14" x14ac:dyDescent="0.25">
      <c r="A27" s="95">
        <f t="shared" si="1"/>
        <v>24</v>
      </c>
      <c r="B27" s="136">
        <v>46045</v>
      </c>
      <c r="C27" s="171" t="s">
        <v>658</v>
      </c>
      <c r="D27" s="171" t="s">
        <v>546</v>
      </c>
      <c r="E27" s="172">
        <v>64.55</v>
      </c>
      <c r="F27" s="99">
        <v>600</v>
      </c>
      <c r="G27" s="99">
        <f t="shared" si="0"/>
        <v>38730</v>
      </c>
      <c r="H27" s="100" t="s">
        <v>65</v>
      </c>
      <c r="I27" s="101" t="s">
        <v>66</v>
      </c>
      <c r="J27" s="319"/>
      <c r="K27" s="102"/>
      <c r="L27" s="102"/>
      <c r="M27" s="102"/>
      <c r="N27" s="103"/>
    </row>
    <row r="28" spans="1:14" x14ac:dyDescent="0.25">
      <c r="A28" s="95">
        <f t="shared" si="1"/>
        <v>25</v>
      </c>
      <c r="B28" s="136">
        <v>46045</v>
      </c>
      <c r="C28" s="171" t="s">
        <v>660</v>
      </c>
      <c r="D28" s="171" t="s">
        <v>547</v>
      </c>
      <c r="E28" s="172">
        <v>64.55</v>
      </c>
      <c r="F28" s="99">
        <v>600</v>
      </c>
      <c r="G28" s="99">
        <f t="shared" si="0"/>
        <v>38730</v>
      </c>
      <c r="H28" s="100" t="s">
        <v>65</v>
      </c>
      <c r="I28" s="101" t="s">
        <v>66</v>
      </c>
      <c r="J28" s="319"/>
      <c r="K28" s="102"/>
      <c r="L28" s="102"/>
      <c r="M28" s="102"/>
      <c r="N28" s="103"/>
    </row>
    <row r="29" spans="1:14" x14ac:dyDescent="0.25">
      <c r="A29" s="95">
        <f t="shared" si="1"/>
        <v>26</v>
      </c>
      <c r="B29" s="136">
        <v>46045</v>
      </c>
      <c r="C29" s="171" t="s">
        <v>658</v>
      </c>
      <c r="D29" s="171" t="s">
        <v>548</v>
      </c>
      <c r="E29" s="172">
        <v>64.55</v>
      </c>
      <c r="F29" s="99">
        <v>600</v>
      </c>
      <c r="G29" s="99">
        <f t="shared" si="0"/>
        <v>38730</v>
      </c>
      <c r="H29" s="100" t="s">
        <v>65</v>
      </c>
      <c r="I29" s="101" t="s">
        <v>66</v>
      </c>
      <c r="J29" s="319"/>
      <c r="K29" s="102"/>
      <c r="L29" s="102"/>
      <c r="M29" s="102"/>
      <c r="N29" s="103"/>
    </row>
    <row r="30" spans="1:14" x14ac:dyDescent="0.25">
      <c r="A30" s="95">
        <f t="shared" si="1"/>
        <v>27</v>
      </c>
      <c r="B30" s="136">
        <v>46045</v>
      </c>
      <c r="C30" s="171" t="s">
        <v>658</v>
      </c>
      <c r="D30" s="171" t="s">
        <v>549</v>
      </c>
      <c r="E30" s="172">
        <v>64.599999999999994</v>
      </c>
      <c r="F30" s="99">
        <v>600</v>
      </c>
      <c r="G30" s="99">
        <f t="shared" si="0"/>
        <v>38760</v>
      </c>
      <c r="H30" s="100" t="s">
        <v>65</v>
      </c>
      <c r="I30" s="101" t="s">
        <v>66</v>
      </c>
      <c r="J30" s="319"/>
      <c r="K30" s="102"/>
      <c r="L30" s="102"/>
      <c r="M30" s="102"/>
      <c r="N30" s="103"/>
    </row>
    <row r="31" spans="1:14" x14ac:dyDescent="0.25">
      <c r="A31" s="95">
        <f t="shared" si="1"/>
        <v>28</v>
      </c>
      <c r="B31" s="136">
        <v>46045</v>
      </c>
      <c r="C31" s="171" t="s">
        <v>660</v>
      </c>
      <c r="D31" s="171" t="s">
        <v>550</v>
      </c>
      <c r="E31" s="172">
        <v>64.599999999999994</v>
      </c>
      <c r="F31" s="99">
        <v>600</v>
      </c>
      <c r="G31" s="99">
        <f t="shared" si="0"/>
        <v>38760</v>
      </c>
      <c r="H31" s="100" t="s">
        <v>65</v>
      </c>
      <c r="I31" s="101" t="s">
        <v>66</v>
      </c>
      <c r="J31" s="319"/>
      <c r="K31" s="102"/>
      <c r="L31" s="102"/>
      <c r="M31" s="102"/>
      <c r="N31" s="103"/>
    </row>
    <row r="32" spans="1:14" x14ac:dyDescent="0.25">
      <c r="A32" s="95">
        <f t="shared" si="1"/>
        <v>29</v>
      </c>
      <c r="B32" s="136">
        <v>46045</v>
      </c>
      <c r="C32" s="171" t="s">
        <v>658</v>
      </c>
      <c r="D32" s="171" t="s">
        <v>551</v>
      </c>
      <c r="E32" s="172">
        <v>64.599999999999994</v>
      </c>
      <c r="F32" s="99">
        <v>600</v>
      </c>
      <c r="G32" s="99">
        <f t="shared" si="0"/>
        <v>38760</v>
      </c>
      <c r="H32" s="100" t="s">
        <v>65</v>
      </c>
      <c r="I32" s="101" t="s">
        <v>66</v>
      </c>
      <c r="J32" s="319"/>
      <c r="K32" s="102"/>
      <c r="L32" s="102"/>
      <c r="M32" s="102"/>
      <c r="N32" s="103"/>
    </row>
    <row r="33" spans="1:14" ht="15.75" thickBot="1" x14ac:dyDescent="0.3">
      <c r="A33" s="112">
        <f t="shared" si="1"/>
        <v>30</v>
      </c>
      <c r="B33" s="141">
        <v>46045</v>
      </c>
      <c r="C33" s="173" t="s">
        <v>658</v>
      </c>
      <c r="D33" s="173" t="s">
        <v>552</v>
      </c>
      <c r="E33" s="175">
        <v>64.650000000000006</v>
      </c>
      <c r="F33" s="157">
        <v>600</v>
      </c>
      <c r="G33" s="157">
        <f t="shared" si="0"/>
        <v>38790</v>
      </c>
      <c r="H33" s="158" t="s">
        <v>65</v>
      </c>
      <c r="I33" s="159" t="s">
        <v>66</v>
      </c>
      <c r="J33" s="326"/>
      <c r="K33" s="113"/>
      <c r="L33" s="113"/>
      <c r="M33" s="113"/>
      <c r="N33" s="114"/>
    </row>
    <row r="34" spans="1:14" ht="15.75" thickBot="1" x14ac:dyDescent="0.3">
      <c r="A34" s="401"/>
      <c r="B34" s="402"/>
      <c r="C34" s="402"/>
      <c r="D34" s="402"/>
      <c r="E34" s="403">
        <f>SUM(E4:E33)</f>
        <v>1906.6499999999996</v>
      </c>
      <c r="F34" s="402"/>
      <c r="G34" s="404">
        <f>SUM(G4:G33)</f>
        <v>1143990</v>
      </c>
      <c r="H34" s="402"/>
      <c r="I34" s="405"/>
      <c r="J34" s="406"/>
      <c r="K34" s="402"/>
      <c r="L34" s="402"/>
      <c r="M34" s="402"/>
      <c r="N34" s="405"/>
    </row>
    <row r="35" spans="1:14" x14ac:dyDescent="0.25">
      <c r="A35" s="131">
        <v>31</v>
      </c>
      <c r="B35" s="132">
        <v>46046</v>
      </c>
      <c r="C35" s="142" t="s">
        <v>664</v>
      </c>
      <c r="D35" s="142" t="s">
        <v>553</v>
      </c>
      <c r="E35" s="407">
        <v>57.65</v>
      </c>
      <c r="F35" s="99">
        <v>600</v>
      </c>
      <c r="G35" s="99">
        <f t="shared" ref="G35:G58" si="2">E35*F35</f>
        <v>34590</v>
      </c>
      <c r="H35" s="100" t="s">
        <v>65</v>
      </c>
      <c r="I35" s="101" t="s">
        <v>66</v>
      </c>
      <c r="J35" s="133"/>
      <c r="K35" s="133"/>
      <c r="L35" s="133"/>
      <c r="M35" s="133"/>
      <c r="N35" s="135"/>
    </row>
    <row r="36" spans="1:14" x14ac:dyDescent="0.25">
      <c r="A36" s="95">
        <f t="shared" ref="A36:A58" si="3">A35+1</f>
        <v>32</v>
      </c>
      <c r="B36" s="124">
        <v>46046</v>
      </c>
      <c r="C36" s="84" t="s">
        <v>665</v>
      </c>
      <c r="D36" s="84" t="s">
        <v>554</v>
      </c>
      <c r="E36" s="172">
        <v>64.2</v>
      </c>
      <c r="F36" s="99">
        <v>600</v>
      </c>
      <c r="G36" s="99">
        <f t="shared" si="2"/>
        <v>38520</v>
      </c>
      <c r="H36" s="100" t="s">
        <v>65</v>
      </c>
      <c r="I36" s="101" t="s">
        <v>66</v>
      </c>
      <c r="J36" s="102"/>
      <c r="K36" s="102"/>
      <c r="L36" s="102"/>
      <c r="M36" s="102"/>
      <c r="N36" s="103"/>
    </row>
    <row r="37" spans="1:14" x14ac:dyDescent="0.25">
      <c r="A37" s="95">
        <f t="shared" si="3"/>
        <v>33</v>
      </c>
      <c r="B37" s="124">
        <v>46046</v>
      </c>
      <c r="C37" s="84" t="s">
        <v>666</v>
      </c>
      <c r="D37" s="84" t="s">
        <v>555</v>
      </c>
      <c r="E37" s="172">
        <v>64.3</v>
      </c>
      <c r="F37" s="99">
        <v>600</v>
      </c>
      <c r="G37" s="99">
        <f t="shared" si="2"/>
        <v>38580</v>
      </c>
      <c r="H37" s="100" t="s">
        <v>65</v>
      </c>
      <c r="I37" s="101" t="s">
        <v>66</v>
      </c>
      <c r="J37" s="102"/>
      <c r="K37" s="102"/>
      <c r="L37" s="102"/>
      <c r="M37" s="102"/>
      <c r="N37" s="103"/>
    </row>
    <row r="38" spans="1:14" x14ac:dyDescent="0.25">
      <c r="A38" s="95">
        <f t="shared" si="3"/>
        <v>34</v>
      </c>
      <c r="B38" s="124">
        <v>46046</v>
      </c>
      <c r="C38" s="84" t="s">
        <v>667</v>
      </c>
      <c r="D38" s="84" t="s">
        <v>556</v>
      </c>
      <c r="E38" s="172">
        <v>64.349999999999994</v>
      </c>
      <c r="F38" s="99">
        <v>600</v>
      </c>
      <c r="G38" s="99">
        <f t="shared" si="2"/>
        <v>38610</v>
      </c>
      <c r="H38" s="100" t="s">
        <v>65</v>
      </c>
      <c r="I38" s="101" t="s">
        <v>66</v>
      </c>
      <c r="J38" s="102"/>
      <c r="K38" s="102"/>
      <c r="L38" s="102"/>
      <c r="M38" s="102"/>
      <c r="N38" s="103"/>
    </row>
    <row r="39" spans="1:14" x14ac:dyDescent="0.25">
      <c r="A39" s="95">
        <f t="shared" si="3"/>
        <v>35</v>
      </c>
      <c r="B39" s="124">
        <v>46046</v>
      </c>
      <c r="C39" s="84" t="s">
        <v>668</v>
      </c>
      <c r="D39" s="84" t="s">
        <v>557</v>
      </c>
      <c r="E39" s="172">
        <v>64.349999999999994</v>
      </c>
      <c r="F39" s="99">
        <v>600</v>
      </c>
      <c r="G39" s="99">
        <f t="shared" si="2"/>
        <v>38610</v>
      </c>
      <c r="H39" s="100" t="s">
        <v>65</v>
      </c>
      <c r="I39" s="101" t="s">
        <v>66</v>
      </c>
      <c r="J39" s="102"/>
      <c r="K39" s="102"/>
      <c r="L39" s="102"/>
      <c r="M39" s="102"/>
      <c r="N39" s="103"/>
    </row>
    <row r="40" spans="1:14" x14ac:dyDescent="0.25">
      <c r="A40" s="95">
        <f t="shared" si="3"/>
        <v>36</v>
      </c>
      <c r="B40" s="124">
        <v>46046</v>
      </c>
      <c r="C40" s="84" t="s">
        <v>669</v>
      </c>
      <c r="D40" s="84" t="s">
        <v>558</v>
      </c>
      <c r="E40" s="172">
        <v>64.349999999999994</v>
      </c>
      <c r="F40" s="99">
        <v>600</v>
      </c>
      <c r="G40" s="99">
        <f t="shared" si="2"/>
        <v>38610</v>
      </c>
      <c r="H40" s="100" t="s">
        <v>65</v>
      </c>
      <c r="I40" s="101" t="s">
        <v>66</v>
      </c>
      <c r="J40" s="102"/>
      <c r="K40" s="102"/>
      <c r="L40" s="102"/>
      <c r="M40" s="102"/>
      <c r="N40" s="103"/>
    </row>
    <row r="41" spans="1:14" x14ac:dyDescent="0.25">
      <c r="A41" s="95">
        <f t="shared" si="3"/>
        <v>37</v>
      </c>
      <c r="B41" s="124">
        <v>46046</v>
      </c>
      <c r="C41" s="84" t="s">
        <v>669</v>
      </c>
      <c r="D41" s="84" t="s">
        <v>559</v>
      </c>
      <c r="E41" s="172">
        <v>64.349999999999994</v>
      </c>
      <c r="F41" s="99">
        <v>600</v>
      </c>
      <c r="G41" s="99">
        <f t="shared" si="2"/>
        <v>38610</v>
      </c>
      <c r="H41" s="100" t="s">
        <v>65</v>
      </c>
      <c r="I41" s="101" t="s">
        <v>66</v>
      </c>
      <c r="J41" s="102"/>
      <c r="K41" s="102"/>
      <c r="L41" s="102"/>
      <c r="M41" s="102"/>
      <c r="N41" s="103"/>
    </row>
    <row r="42" spans="1:14" x14ac:dyDescent="0.25">
      <c r="A42" s="95">
        <f t="shared" si="3"/>
        <v>38</v>
      </c>
      <c r="B42" s="124">
        <v>46046</v>
      </c>
      <c r="C42" s="84" t="s">
        <v>670</v>
      </c>
      <c r="D42" s="84" t="s">
        <v>560</v>
      </c>
      <c r="E42" s="172">
        <v>64.349999999999994</v>
      </c>
      <c r="F42" s="99">
        <v>600</v>
      </c>
      <c r="G42" s="99">
        <f t="shared" si="2"/>
        <v>38610</v>
      </c>
      <c r="H42" s="100" t="s">
        <v>65</v>
      </c>
      <c r="I42" s="101" t="s">
        <v>66</v>
      </c>
      <c r="J42" s="102"/>
      <c r="K42" s="102"/>
      <c r="L42" s="102"/>
      <c r="M42" s="102"/>
      <c r="N42" s="103"/>
    </row>
    <row r="43" spans="1:14" x14ac:dyDescent="0.25">
      <c r="A43" s="95">
        <f t="shared" si="3"/>
        <v>39</v>
      </c>
      <c r="B43" s="124">
        <v>46046</v>
      </c>
      <c r="C43" s="84" t="s">
        <v>670</v>
      </c>
      <c r="D43" s="84" t="s">
        <v>561</v>
      </c>
      <c r="E43" s="172">
        <v>64.349999999999994</v>
      </c>
      <c r="F43" s="99">
        <v>600</v>
      </c>
      <c r="G43" s="99">
        <f t="shared" si="2"/>
        <v>38610</v>
      </c>
      <c r="H43" s="100" t="s">
        <v>65</v>
      </c>
      <c r="I43" s="101" t="s">
        <v>66</v>
      </c>
      <c r="J43" s="102"/>
      <c r="K43" s="102"/>
      <c r="L43" s="102"/>
      <c r="M43" s="102"/>
      <c r="N43" s="103"/>
    </row>
    <row r="44" spans="1:14" x14ac:dyDescent="0.25">
      <c r="A44" s="95">
        <f t="shared" si="3"/>
        <v>40</v>
      </c>
      <c r="B44" s="124">
        <v>46046</v>
      </c>
      <c r="C44" s="84" t="s">
        <v>667</v>
      </c>
      <c r="D44" s="84" t="s">
        <v>562</v>
      </c>
      <c r="E44" s="172">
        <v>64.400000000000006</v>
      </c>
      <c r="F44" s="99">
        <v>600</v>
      </c>
      <c r="G44" s="99">
        <f t="shared" si="2"/>
        <v>38640</v>
      </c>
      <c r="H44" s="100" t="s">
        <v>65</v>
      </c>
      <c r="I44" s="101" t="s">
        <v>66</v>
      </c>
      <c r="J44" s="102"/>
      <c r="K44" s="102"/>
      <c r="L44" s="102"/>
      <c r="M44" s="102"/>
      <c r="N44" s="103"/>
    </row>
    <row r="45" spans="1:14" x14ac:dyDescent="0.25">
      <c r="A45" s="95">
        <f t="shared" si="3"/>
        <v>41</v>
      </c>
      <c r="B45" s="124">
        <v>46046</v>
      </c>
      <c r="C45" s="84" t="s">
        <v>669</v>
      </c>
      <c r="D45" s="84" t="s">
        <v>563</v>
      </c>
      <c r="E45" s="172">
        <v>64.400000000000006</v>
      </c>
      <c r="F45" s="99">
        <v>600</v>
      </c>
      <c r="G45" s="99">
        <f t="shared" si="2"/>
        <v>38640</v>
      </c>
      <c r="H45" s="100" t="s">
        <v>65</v>
      </c>
      <c r="I45" s="101" t="s">
        <v>66</v>
      </c>
      <c r="J45" s="102"/>
      <c r="K45" s="102"/>
      <c r="L45" s="102"/>
      <c r="M45" s="102"/>
      <c r="N45" s="103"/>
    </row>
    <row r="46" spans="1:14" x14ac:dyDescent="0.25">
      <c r="A46" s="95">
        <f t="shared" si="3"/>
        <v>42</v>
      </c>
      <c r="B46" s="124">
        <v>46046</v>
      </c>
      <c r="C46" s="84" t="s">
        <v>668</v>
      </c>
      <c r="D46" s="84" t="s">
        <v>564</v>
      </c>
      <c r="E46" s="172">
        <v>64.400000000000006</v>
      </c>
      <c r="F46" s="99">
        <v>600</v>
      </c>
      <c r="G46" s="99">
        <f t="shared" si="2"/>
        <v>38640</v>
      </c>
      <c r="H46" s="100" t="s">
        <v>65</v>
      </c>
      <c r="I46" s="101" t="s">
        <v>66</v>
      </c>
      <c r="J46" s="102"/>
      <c r="K46" s="102"/>
      <c r="L46" s="102"/>
      <c r="M46" s="102"/>
      <c r="N46" s="103"/>
    </row>
    <row r="47" spans="1:14" x14ac:dyDescent="0.25">
      <c r="A47" s="95">
        <f t="shared" si="3"/>
        <v>43</v>
      </c>
      <c r="B47" s="124">
        <v>46046</v>
      </c>
      <c r="C47" s="84" t="s">
        <v>668</v>
      </c>
      <c r="D47" s="84" t="s">
        <v>565</v>
      </c>
      <c r="E47" s="172">
        <v>64.400000000000006</v>
      </c>
      <c r="F47" s="99">
        <v>600</v>
      </c>
      <c r="G47" s="99">
        <f t="shared" si="2"/>
        <v>38640</v>
      </c>
      <c r="H47" s="100" t="s">
        <v>65</v>
      </c>
      <c r="I47" s="101" t="s">
        <v>66</v>
      </c>
      <c r="J47" s="102"/>
      <c r="K47" s="102"/>
      <c r="L47" s="102"/>
      <c r="M47" s="102"/>
      <c r="N47" s="103"/>
    </row>
    <row r="48" spans="1:14" x14ac:dyDescent="0.25">
      <c r="A48" s="95">
        <f t="shared" si="3"/>
        <v>44</v>
      </c>
      <c r="B48" s="124">
        <v>46046</v>
      </c>
      <c r="C48" s="84" t="s">
        <v>671</v>
      </c>
      <c r="D48" s="84" t="s">
        <v>566</v>
      </c>
      <c r="E48" s="172">
        <v>64.400000000000006</v>
      </c>
      <c r="F48" s="99">
        <v>600</v>
      </c>
      <c r="G48" s="99">
        <f t="shared" si="2"/>
        <v>38640</v>
      </c>
      <c r="H48" s="100" t="s">
        <v>65</v>
      </c>
      <c r="I48" s="101" t="s">
        <v>66</v>
      </c>
      <c r="J48" s="102"/>
      <c r="K48" s="102"/>
      <c r="L48" s="102"/>
      <c r="M48" s="102"/>
      <c r="N48" s="103"/>
    </row>
    <row r="49" spans="1:14" x14ac:dyDescent="0.25">
      <c r="A49" s="95">
        <f t="shared" si="3"/>
        <v>45</v>
      </c>
      <c r="B49" s="124">
        <v>46046</v>
      </c>
      <c r="C49" s="84" t="s">
        <v>665</v>
      </c>
      <c r="D49" s="84" t="s">
        <v>567</v>
      </c>
      <c r="E49" s="172">
        <v>64.45</v>
      </c>
      <c r="F49" s="99">
        <v>600</v>
      </c>
      <c r="G49" s="99">
        <f t="shared" si="2"/>
        <v>38670</v>
      </c>
      <c r="H49" s="100" t="s">
        <v>65</v>
      </c>
      <c r="I49" s="101" t="s">
        <v>66</v>
      </c>
      <c r="J49" s="102"/>
      <c r="K49" s="102"/>
      <c r="L49" s="102"/>
      <c r="M49" s="102"/>
      <c r="N49" s="103"/>
    </row>
    <row r="50" spans="1:14" x14ac:dyDescent="0.25">
      <c r="A50" s="95">
        <f t="shared" si="3"/>
        <v>46</v>
      </c>
      <c r="B50" s="124">
        <v>46046</v>
      </c>
      <c r="C50" s="84" t="s">
        <v>669</v>
      </c>
      <c r="D50" s="84" t="s">
        <v>568</v>
      </c>
      <c r="E50" s="172">
        <v>64.45</v>
      </c>
      <c r="F50" s="99">
        <v>600</v>
      </c>
      <c r="G50" s="99">
        <f t="shared" si="2"/>
        <v>38670</v>
      </c>
      <c r="H50" s="100" t="s">
        <v>65</v>
      </c>
      <c r="I50" s="101" t="s">
        <v>66</v>
      </c>
      <c r="J50" s="102"/>
      <c r="K50" s="102"/>
      <c r="L50" s="102"/>
      <c r="M50" s="102"/>
      <c r="N50" s="103"/>
    </row>
    <row r="51" spans="1:14" x14ac:dyDescent="0.25">
      <c r="A51" s="95">
        <f t="shared" si="3"/>
        <v>47</v>
      </c>
      <c r="B51" s="124">
        <v>46046</v>
      </c>
      <c r="C51" s="84" t="s">
        <v>670</v>
      </c>
      <c r="D51" s="84" t="s">
        <v>569</v>
      </c>
      <c r="E51" s="172">
        <v>64.45</v>
      </c>
      <c r="F51" s="99">
        <v>600</v>
      </c>
      <c r="G51" s="99">
        <f t="shared" si="2"/>
        <v>38670</v>
      </c>
      <c r="H51" s="100" t="s">
        <v>65</v>
      </c>
      <c r="I51" s="101" t="s">
        <v>66</v>
      </c>
      <c r="J51" s="102"/>
      <c r="K51" s="102"/>
      <c r="L51" s="102"/>
      <c r="M51" s="102"/>
      <c r="N51" s="103"/>
    </row>
    <row r="52" spans="1:14" x14ac:dyDescent="0.25">
      <c r="A52" s="95">
        <f t="shared" si="3"/>
        <v>48</v>
      </c>
      <c r="B52" s="124">
        <v>46046</v>
      </c>
      <c r="C52" s="84" t="s">
        <v>672</v>
      </c>
      <c r="D52" s="84" t="s">
        <v>570</v>
      </c>
      <c r="E52" s="172">
        <v>64.5</v>
      </c>
      <c r="F52" s="99">
        <v>600</v>
      </c>
      <c r="G52" s="99">
        <f t="shared" si="2"/>
        <v>38700</v>
      </c>
      <c r="H52" s="100" t="s">
        <v>65</v>
      </c>
      <c r="I52" s="101" t="s">
        <v>66</v>
      </c>
      <c r="J52" s="102"/>
      <c r="K52" s="102"/>
      <c r="L52" s="102"/>
      <c r="M52" s="102"/>
      <c r="N52" s="103"/>
    </row>
    <row r="53" spans="1:14" x14ac:dyDescent="0.25">
      <c r="A53" s="95">
        <f t="shared" si="3"/>
        <v>49</v>
      </c>
      <c r="B53" s="124">
        <v>46046</v>
      </c>
      <c r="C53" s="84" t="s">
        <v>669</v>
      </c>
      <c r="D53" s="84" t="s">
        <v>571</v>
      </c>
      <c r="E53" s="172">
        <v>64.5</v>
      </c>
      <c r="F53" s="99">
        <v>600</v>
      </c>
      <c r="G53" s="99">
        <f t="shared" si="2"/>
        <v>38700</v>
      </c>
      <c r="H53" s="100" t="s">
        <v>65</v>
      </c>
      <c r="I53" s="101" t="s">
        <v>66</v>
      </c>
      <c r="J53" s="102"/>
      <c r="K53" s="102"/>
      <c r="L53" s="102"/>
      <c r="M53" s="102"/>
      <c r="N53" s="103"/>
    </row>
    <row r="54" spans="1:14" x14ac:dyDescent="0.25">
      <c r="A54" s="95">
        <f t="shared" si="3"/>
        <v>50</v>
      </c>
      <c r="B54" s="124">
        <v>46046</v>
      </c>
      <c r="C54" s="84" t="s">
        <v>669</v>
      </c>
      <c r="D54" s="84" t="s">
        <v>572</v>
      </c>
      <c r="E54" s="172">
        <v>64.5</v>
      </c>
      <c r="F54" s="99">
        <v>600</v>
      </c>
      <c r="G54" s="99">
        <f t="shared" si="2"/>
        <v>38700</v>
      </c>
      <c r="H54" s="100" t="s">
        <v>65</v>
      </c>
      <c r="I54" s="101" t="s">
        <v>66</v>
      </c>
      <c r="J54" s="102"/>
      <c r="K54" s="102"/>
      <c r="L54" s="102"/>
      <c r="M54" s="102"/>
      <c r="N54" s="103"/>
    </row>
    <row r="55" spans="1:14" x14ac:dyDescent="0.25">
      <c r="A55" s="95">
        <f t="shared" si="3"/>
        <v>51</v>
      </c>
      <c r="B55" s="124">
        <v>46046</v>
      </c>
      <c r="C55" s="84" t="s">
        <v>671</v>
      </c>
      <c r="D55" s="84" t="s">
        <v>573</v>
      </c>
      <c r="E55" s="172">
        <v>64.599999999999994</v>
      </c>
      <c r="F55" s="99">
        <v>600</v>
      </c>
      <c r="G55" s="99">
        <f t="shared" si="2"/>
        <v>38760</v>
      </c>
      <c r="H55" s="100" t="s">
        <v>65</v>
      </c>
      <c r="I55" s="101" t="s">
        <v>66</v>
      </c>
      <c r="J55" s="102"/>
      <c r="K55" s="102"/>
      <c r="L55" s="102"/>
      <c r="M55" s="102"/>
      <c r="N55" s="103"/>
    </row>
    <row r="56" spans="1:14" x14ac:dyDescent="0.25">
      <c r="A56" s="95">
        <f t="shared" si="3"/>
        <v>52</v>
      </c>
      <c r="B56" s="124">
        <v>46046</v>
      </c>
      <c r="C56" s="84" t="s">
        <v>673</v>
      </c>
      <c r="D56" s="84" t="s">
        <v>574</v>
      </c>
      <c r="E56" s="172">
        <v>64.599999999999994</v>
      </c>
      <c r="F56" s="99">
        <v>600</v>
      </c>
      <c r="G56" s="99">
        <f t="shared" si="2"/>
        <v>38760</v>
      </c>
      <c r="H56" s="100" t="s">
        <v>65</v>
      </c>
      <c r="I56" s="101" t="s">
        <v>66</v>
      </c>
      <c r="J56" s="102"/>
      <c r="K56" s="102"/>
      <c r="L56" s="102"/>
      <c r="M56" s="102"/>
      <c r="N56" s="103"/>
    </row>
    <row r="57" spans="1:14" x14ac:dyDescent="0.25">
      <c r="A57" s="95">
        <f t="shared" si="3"/>
        <v>53</v>
      </c>
      <c r="B57" s="124">
        <v>46046</v>
      </c>
      <c r="C57" s="84" t="s">
        <v>670</v>
      </c>
      <c r="D57" s="84" t="s">
        <v>575</v>
      </c>
      <c r="E57" s="172">
        <v>64.599999999999994</v>
      </c>
      <c r="F57" s="99">
        <v>600</v>
      </c>
      <c r="G57" s="99">
        <f t="shared" si="2"/>
        <v>38760</v>
      </c>
      <c r="H57" s="100" t="s">
        <v>65</v>
      </c>
      <c r="I57" s="101" t="s">
        <v>66</v>
      </c>
      <c r="J57" s="102"/>
      <c r="K57" s="102"/>
      <c r="L57" s="102"/>
      <c r="M57" s="102"/>
      <c r="N57" s="103"/>
    </row>
    <row r="58" spans="1:14" ht="15.75" thickBot="1" x14ac:dyDescent="0.3">
      <c r="A58" s="112">
        <f t="shared" si="3"/>
        <v>54</v>
      </c>
      <c r="B58" s="153">
        <v>46046</v>
      </c>
      <c r="C58" s="154" t="s">
        <v>673</v>
      </c>
      <c r="D58" s="154" t="s">
        <v>576</v>
      </c>
      <c r="E58" s="175">
        <v>64.650000000000006</v>
      </c>
      <c r="F58" s="99">
        <v>600</v>
      </c>
      <c r="G58" s="99">
        <f t="shared" si="2"/>
        <v>38790</v>
      </c>
      <c r="H58" s="100" t="s">
        <v>65</v>
      </c>
      <c r="I58" s="101" t="s">
        <v>66</v>
      </c>
      <c r="J58" s="113"/>
      <c r="K58" s="113"/>
      <c r="L58" s="113"/>
      <c r="M58" s="113"/>
      <c r="N58" s="114"/>
    </row>
    <row r="59" spans="1:14" ht="15.75" thickBot="1" x14ac:dyDescent="0.3">
      <c r="A59" s="401"/>
      <c r="B59" s="402"/>
      <c r="C59" s="402"/>
      <c r="D59" s="402"/>
      <c r="E59" s="403">
        <f>SUM(E35:E58)</f>
        <v>1539.5499999999997</v>
      </c>
      <c r="F59" s="402"/>
      <c r="G59" s="404">
        <f>SUM(G35:G58)</f>
        <v>923730</v>
      </c>
      <c r="H59" s="402"/>
      <c r="I59" s="405"/>
      <c r="J59" s="406"/>
      <c r="K59" s="402"/>
      <c r="L59" s="402"/>
      <c r="M59" s="402"/>
      <c r="N59" s="405"/>
    </row>
    <row r="60" spans="1:14" x14ac:dyDescent="0.25">
      <c r="A60" s="181">
        <v>55</v>
      </c>
      <c r="B60" s="170">
        <v>46047</v>
      </c>
      <c r="C60" s="125" t="s">
        <v>674</v>
      </c>
      <c r="D60" s="125" t="s">
        <v>577</v>
      </c>
      <c r="E60" s="408">
        <v>57.25</v>
      </c>
      <c r="F60" s="99">
        <v>600</v>
      </c>
      <c r="G60" s="99">
        <f t="shared" ref="G60:G83" si="4">E60*F60</f>
        <v>34350</v>
      </c>
      <c r="H60" s="100" t="s">
        <v>65</v>
      </c>
      <c r="I60" s="101" t="s">
        <v>66</v>
      </c>
      <c r="J60" s="123"/>
      <c r="K60" s="123"/>
      <c r="L60" s="123"/>
      <c r="M60" s="123"/>
      <c r="N60" s="182"/>
    </row>
    <row r="61" spans="1:14" x14ac:dyDescent="0.25">
      <c r="A61" s="95">
        <f t="shared" ref="A61:A83" si="5">A60+1</f>
        <v>56</v>
      </c>
      <c r="B61" s="136">
        <v>46047</v>
      </c>
      <c r="C61" s="84" t="s">
        <v>675</v>
      </c>
      <c r="D61" s="84" t="s">
        <v>578</v>
      </c>
      <c r="E61" s="172">
        <v>57.25</v>
      </c>
      <c r="F61" s="99">
        <v>600</v>
      </c>
      <c r="G61" s="99">
        <f t="shared" si="4"/>
        <v>34350</v>
      </c>
      <c r="H61" s="100" t="s">
        <v>65</v>
      </c>
      <c r="I61" s="101" t="s">
        <v>66</v>
      </c>
      <c r="J61" s="102"/>
      <c r="K61" s="102"/>
      <c r="L61" s="102"/>
      <c r="M61" s="102"/>
      <c r="N61" s="103"/>
    </row>
    <row r="62" spans="1:14" x14ac:dyDescent="0.25">
      <c r="A62" s="95">
        <f t="shared" si="5"/>
        <v>57</v>
      </c>
      <c r="B62" s="136">
        <v>46047</v>
      </c>
      <c r="C62" s="84" t="s">
        <v>674</v>
      </c>
      <c r="D62" s="84" t="s">
        <v>579</v>
      </c>
      <c r="E62" s="172">
        <v>57.3</v>
      </c>
      <c r="F62" s="99">
        <v>600</v>
      </c>
      <c r="G62" s="99">
        <f t="shared" si="4"/>
        <v>34380</v>
      </c>
      <c r="H62" s="100" t="s">
        <v>65</v>
      </c>
      <c r="I62" s="101" t="s">
        <v>66</v>
      </c>
      <c r="J62" s="102"/>
      <c r="K62" s="102"/>
      <c r="L62" s="102"/>
      <c r="M62" s="102"/>
      <c r="N62" s="103"/>
    </row>
    <row r="63" spans="1:14" x14ac:dyDescent="0.25">
      <c r="A63" s="95">
        <f t="shared" si="5"/>
        <v>58</v>
      </c>
      <c r="B63" s="136">
        <v>46047</v>
      </c>
      <c r="C63" s="84" t="s">
        <v>675</v>
      </c>
      <c r="D63" s="84" t="s">
        <v>580</v>
      </c>
      <c r="E63" s="172">
        <v>57.3</v>
      </c>
      <c r="F63" s="99">
        <v>600</v>
      </c>
      <c r="G63" s="99">
        <f t="shared" si="4"/>
        <v>34380</v>
      </c>
      <c r="H63" s="100" t="s">
        <v>65</v>
      </c>
      <c r="I63" s="101" t="s">
        <v>66</v>
      </c>
      <c r="J63" s="102"/>
      <c r="K63" s="102"/>
      <c r="L63" s="102"/>
      <c r="M63" s="102"/>
      <c r="N63" s="103"/>
    </row>
    <row r="64" spans="1:14" x14ac:dyDescent="0.25">
      <c r="A64" s="95">
        <f t="shared" si="5"/>
        <v>59</v>
      </c>
      <c r="B64" s="136">
        <v>46047</v>
      </c>
      <c r="C64" s="84" t="s">
        <v>676</v>
      </c>
      <c r="D64" s="84" t="s">
        <v>581</v>
      </c>
      <c r="E64" s="172">
        <v>58.2</v>
      </c>
      <c r="F64" s="99">
        <v>600</v>
      </c>
      <c r="G64" s="99">
        <f t="shared" si="4"/>
        <v>34920</v>
      </c>
      <c r="H64" s="100" t="s">
        <v>65</v>
      </c>
      <c r="I64" s="101" t="s">
        <v>66</v>
      </c>
      <c r="J64" s="102"/>
      <c r="K64" s="102"/>
      <c r="L64" s="102"/>
      <c r="M64" s="102"/>
      <c r="N64" s="103"/>
    </row>
    <row r="65" spans="1:14" x14ac:dyDescent="0.25">
      <c r="A65" s="95">
        <f t="shared" si="5"/>
        <v>60</v>
      </c>
      <c r="B65" s="136">
        <v>46047</v>
      </c>
      <c r="C65" s="84" t="s">
        <v>677</v>
      </c>
      <c r="D65" s="84" t="s">
        <v>582</v>
      </c>
      <c r="E65" s="172">
        <v>61.65</v>
      </c>
      <c r="F65" s="99">
        <v>600</v>
      </c>
      <c r="G65" s="99">
        <f t="shared" si="4"/>
        <v>36990</v>
      </c>
      <c r="H65" s="100" t="s">
        <v>65</v>
      </c>
      <c r="I65" s="101" t="s">
        <v>66</v>
      </c>
      <c r="J65" s="102"/>
      <c r="K65" s="102"/>
      <c r="L65" s="102"/>
      <c r="M65" s="102"/>
      <c r="N65" s="103"/>
    </row>
    <row r="66" spans="1:14" x14ac:dyDescent="0.25">
      <c r="A66" s="95">
        <f t="shared" si="5"/>
        <v>61</v>
      </c>
      <c r="B66" s="136">
        <v>46047</v>
      </c>
      <c r="C66" s="84" t="s">
        <v>678</v>
      </c>
      <c r="D66" s="84" t="s">
        <v>583</v>
      </c>
      <c r="E66" s="172">
        <v>61.8</v>
      </c>
      <c r="F66" s="99">
        <v>600</v>
      </c>
      <c r="G66" s="99">
        <f t="shared" si="4"/>
        <v>37080</v>
      </c>
      <c r="H66" s="100" t="s">
        <v>65</v>
      </c>
      <c r="I66" s="101" t="s">
        <v>66</v>
      </c>
      <c r="J66" s="102"/>
      <c r="K66" s="102"/>
      <c r="L66" s="102"/>
      <c r="M66" s="102"/>
      <c r="N66" s="103"/>
    </row>
    <row r="67" spans="1:14" x14ac:dyDescent="0.25">
      <c r="A67" s="95">
        <f t="shared" si="5"/>
        <v>62</v>
      </c>
      <c r="B67" s="136">
        <v>46047</v>
      </c>
      <c r="C67" s="84" t="s">
        <v>677</v>
      </c>
      <c r="D67" s="84" t="s">
        <v>584</v>
      </c>
      <c r="E67" s="172">
        <v>61.85</v>
      </c>
      <c r="F67" s="99">
        <v>600</v>
      </c>
      <c r="G67" s="99">
        <f t="shared" si="4"/>
        <v>37110</v>
      </c>
      <c r="H67" s="100" t="s">
        <v>65</v>
      </c>
      <c r="I67" s="101" t="s">
        <v>66</v>
      </c>
      <c r="J67" s="102"/>
      <c r="K67" s="102"/>
      <c r="L67" s="102"/>
      <c r="M67" s="102"/>
      <c r="N67" s="103"/>
    </row>
    <row r="68" spans="1:14" x14ac:dyDescent="0.25">
      <c r="A68" s="95">
        <f t="shared" si="5"/>
        <v>63</v>
      </c>
      <c r="B68" s="136">
        <v>46047</v>
      </c>
      <c r="C68" s="84" t="s">
        <v>679</v>
      </c>
      <c r="D68" s="84" t="s">
        <v>585</v>
      </c>
      <c r="E68" s="172">
        <v>63.15</v>
      </c>
      <c r="F68" s="99">
        <v>600</v>
      </c>
      <c r="G68" s="99">
        <f t="shared" si="4"/>
        <v>37890</v>
      </c>
      <c r="H68" s="100" t="s">
        <v>65</v>
      </c>
      <c r="I68" s="101" t="s">
        <v>66</v>
      </c>
      <c r="J68" s="102"/>
      <c r="K68" s="102"/>
      <c r="L68" s="102"/>
      <c r="M68" s="102"/>
      <c r="N68" s="103"/>
    </row>
    <row r="69" spans="1:14" x14ac:dyDescent="0.25">
      <c r="A69" s="95">
        <f t="shared" si="5"/>
        <v>64</v>
      </c>
      <c r="B69" s="136">
        <v>46047</v>
      </c>
      <c r="C69" s="84" t="s">
        <v>680</v>
      </c>
      <c r="D69" s="84" t="s">
        <v>586</v>
      </c>
      <c r="E69" s="172">
        <v>64.25</v>
      </c>
      <c r="F69" s="99">
        <v>600</v>
      </c>
      <c r="G69" s="99">
        <f t="shared" si="4"/>
        <v>38550</v>
      </c>
      <c r="H69" s="100" t="s">
        <v>65</v>
      </c>
      <c r="I69" s="101" t="s">
        <v>66</v>
      </c>
      <c r="J69" s="102"/>
      <c r="K69" s="102"/>
      <c r="L69" s="102"/>
      <c r="M69" s="102"/>
      <c r="N69" s="103"/>
    </row>
    <row r="70" spans="1:14" x14ac:dyDescent="0.25">
      <c r="A70" s="95">
        <f t="shared" si="5"/>
        <v>65</v>
      </c>
      <c r="B70" s="136">
        <v>46047</v>
      </c>
      <c r="C70" s="84" t="s">
        <v>681</v>
      </c>
      <c r="D70" s="84" t="s">
        <v>587</v>
      </c>
      <c r="E70" s="172">
        <v>64.3</v>
      </c>
      <c r="F70" s="99">
        <v>600</v>
      </c>
      <c r="G70" s="99">
        <f t="shared" si="4"/>
        <v>38580</v>
      </c>
      <c r="H70" s="100" t="s">
        <v>65</v>
      </c>
      <c r="I70" s="101" t="s">
        <v>66</v>
      </c>
      <c r="J70" s="102"/>
      <c r="K70" s="102"/>
      <c r="L70" s="102"/>
      <c r="M70" s="102"/>
      <c r="N70" s="103"/>
    </row>
    <row r="71" spans="1:14" x14ac:dyDescent="0.25">
      <c r="A71" s="95">
        <f t="shared" si="5"/>
        <v>66</v>
      </c>
      <c r="B71" s="136">
        <v>46047</v>
      </c>
      <c r="C71" s="84" t="s">
        <v>682</v>
      </c>
      <c r="D71" s="84" t="s">
        <v>588</v>
      </c>
      <c r="E71" s="172">
        <v>64.3</v>
      </c>
      <c r="F71" s="99">
        <v>600</v>
      </c>
      <c r="G71" s="99">
        <f t="shared" si="4"/>
        <v>38580</v>
      </c>
      <c r="H71" s="100" t="s">
        <v>65</v>
      </c>
      <c r="I71" s="101" t="s">
        <v>66</v>
      </c>
      <c r="J71" s="102"/>
      <c r="K71" s="102"/>
      <c r="L71" s="102"/>
      <c r="M71" s="102"/>
      <c r="N71" s="103"/>
    </row>
    <row r="72" spans="1:14" x14ac:dyDescent="0.25">
      <c r="A72" s="95">
        <f t="shared" si="5"/>
        <v>67</v>
      </c>
      <c r="B72" s="136">
        <v>46047</v>
      </c>
      <c r="C72" s="84" t="s">
        <v>675</v>
      </c>
      <c r="D72" s="84" t="s">
        <v>589</v>
      </c>
      <c r="E72" s="172">
        <v>64.3</v>
      </c>
      <c r="F72" s="99">
        <v>600</v>
      </c>
      <c r="G72" s="99">
        <f t="shared" si="4"/>
        <v>38580</v>
      </c>
      <c r="H72" s="100" t="s">
        <v>65</v>
      </c>
      <c r="I72" s="101" t="s">
        <v>66</v>
      </c>
      <c r="J72" s="102"/>
      <c r="K72" s="102"/>
      <c r="L72" s="102"/>
      <c r="M72" s="102"/>
      <c r="N72" s="103"/>
    </row>
    <row r="73" spans="1:14" x14ac:dyDescent="0.25">
      <c r="A73" s="95">
        <f t="shared" si="5"/>
        <v>68</v>
      </c>
      <c r="B73" s="136">
        <v>46047</v>
      </c>
      <c r="C73" s="84" t="s">
        <v>675</v>
      </c>
      <c r="D73" s="84" t="s">
        <v>590</v>
      </c>
      <c r="E73" s="172">
        <v>64.3</v>
      </c>
      <c r="F73" s="99">
        <v>600</v>
      </c>
      <c r="G73" s="99">
        <f t="shared" si="4"/>
        <v>38580</v>
      </c>
      <c r="H73" s="100" t="s">
        <v>65</v>
      </c>
      <c r="I73" s="101" t="s">
        <v>66</v>
      </c>
      <c r="J73" s="102"/>
      <c r="K73" s="102"/>
      <c r="L73" s="102"/>
      <c r="M73" s="102"/>
      <c r="N73" s="103"/>
    </row>
    <row r="74" spans="1:14" x14ac:dyDescent="0.25">
      <c r="A74" s="95">
        <f t="shared" si="5"/>
        <v>69</v>
      </c>
      <c r="B74" s="136">
        <v>46047</v>
      </c>
      <c r="C74" s="84" t="s">
        <v>675</v>
      </c>
      <c r="D74" s="84" t="s">
        <v>591</v>
      </c>
      <c r="E74" s="172">
        <v>64.3</v>
      </c>
      <c r="F74" s="99">
        <v>600</v>
      </c>
      <c r="G74" s="99">
        <f t="shared" si="4"/>
        <v>38580</v>
      </c>
      <c r="H74" s="100" t="s">
        <v>65</v>
      </c>
      <c r="I74" s="101" t="s">
        <v>66</v>
      </c>
      <c r="J74" s="102"/>
      <c r="K74" s="102"/>
      <c r="L74" s="102"/>
      <c r="M74" s="102"/>
      <c r="N74" s="103"/>
    </row>
    <row r="75" spans="1:14" x14ac:dyDescent="0.25">
      <c r="A75" s="95">
        <f t="shared" si="5"/>
        <v>70</v>
      </c>
      <c r="B75" s="136">
        <v>46047</v>
      </c>
      <c r="C75" s="84" t="s">
        <v>675</v>
      </c>
      <c r="D75" s="84" t="s">
        <v>592</v>
      </c>
      <c r="E75" s="172">
        <v>64.400000000000006</v>
      </c>
      <c r="F75" s="99">
        <v>600</v>
      </c>
      <c r="G75" s="99">
        <f t="shared" si="4"/>
        <v>38640</v>
      </c>
      <c r="H75" s="100" t="s">
        <v>65</v>
      </c>
      <c r="I75" s="101" t="s">
        <v>66</v>
      </c>
      <c r="J75" s="102"/>
      <c r="K75" s="102"/>
      <c r="L75" s="102"/>
      <c r="M75" s="102"/>
      <c r="N75" s="103"/>
    </row>
    <row r="76" spans="1:14" x14ac:dyDescent="0.25">
      <c r="A76" s="95">
        <f t="shared" si="5"/>
        <v>71</v>
      </c>
      <c r="B76" s="136">
        <v>46047</v>
      </c>
      <c r="C76" s="84" t="s">
        <v>675</v>
      </c>
      <c r="D76" s="84" t="s">
        <v>593</v>
      </c>
      <c r="E76" s="172">
        <v>64.400000000000006</v>
      </c>
      <c r="F76" s="99">
        <v>600</v>
      </c>
      <c r="G76" s="99">
        <f t="shared" si="4"/>
        <v>38640</v>
      </c>
      <c r="H76" s="100" t="s">
        <v>65</v>
      </c>
      <c r="I76" s="101" t="s">
        <v>66</v>
      </c>
      <c r="J76" s="102"/>
      <c r="K76" s="102"/>
      <c r="L76" s="102"/>
      <c r="M76" s="102"/>
      <c r="N76" s="103"/>
    </row>
    <row r="77" spans="1:14" x14ac:dyDescent="0.25">
      <c r="A77" s="95">
        <f t="shared" si="5"/>
        <v>72</v>
      </c>
      <c r="B77" s="136">
        <v>46047</v>
      </c>
      <c r="C77" s="84" t="s">
        <v>683</v>
      </c>
      <c r="D77" s="84" t="s">
        <v>594</v>
      </c>
      <c r="E77" s="172">
        <v>64.400000000000006</v>
      </c>
      <c r="F77" s="99">
        <v>600</v>
      </c>
      <c r="G77" s="99">
        <f t="shared" si="4"/>
        <v>38640</v>
      </c>
      <c r="H77" s="100" t="s">
        <v>65</v>
      </c>
      <c r="I77" s="101" t="s">
        <v>66</v>
      </c>
      <c r="J77" s="102"/>
      <c r="K77" s="102"/>
      <c r="L77" s="102"/>
      <c r="M77" s="102"/>
      <c r="N77" s="103"/>
    </row>
    <row r="78" spans="1:14" x14ac:dyDescent="0.25">
      <c r="A78" s="95">
        <f t="shared" si="5"/>
        <v>73</v>
      </c>
      <c r="B78" s="136">
        <v>46047</v>
      </c>
      <c r="C78" s="84" t="s">
        <v>674</v>
      </c>
      <c r="D78" s="84" t="s">
        <v>595</v>
      </c>
      <c r="E78" s="172">
        <v>64.400000000000006</v>
      </c>
      <c r="F78" s="99">
        <v>600</v>
      </c>
      <c r="G78" s="99">
        <f t="shared" si="4"/>
        <v>38640</v>
      </c>
      <c r="H78" s="100" t="s">
        <v>65</v>
      </c>
      <c r="I78" s="101" t="s">
        <v>66</v>
      </c>
      <c r="J78" s="102"/>
      <c r="K78" s="102"/>
      <c r="L78" s="102"/>
      <c r="M78" s="102"/>
      <c r="N78" s="103"/>
    </row>
    <row r="79" spans="1:14" x14ac:dyDescent="0.25">
      <c r="A79" s="95">
        <f t="shared" si="5"/>
        <v>74</v>
      </c>
      <c r="B79" s="136">
        <v>46047</v>
      </c>
      <c r="C79" s="84" t="s">
        <v>675</v>
      </c>
      <c r="D79" s="84" t="s">
        <v>596</v>
      </c>
      <c r="E79" s="172">
        <v>64.400000000000006</v>
      </c>
      <c r="F79" s="99">
        <v>600</v>
      </c>
      <c r="G79" s="99">
        <f t="shared" si="4"/>
        <v>38640</v>
      </c>
      <c r="H79" s="100" t="s">
        <v>65</v>
      </c>
      <c r="I79" s="101" t="s">
        <v>66</v>
      </c>
      <c r="J79" s="102"/>
      <c r="K79" s="102"/>
      <c r="L79" s="102"/>
      <c r="M79" s="102"/>
      <c r="N79" s="103"/>
    </row>
    <row r="80" spans="1:14" x14ac:dyDescent="0.25">
      <c r="A80" s="95">
        <f t="shared" si="5"/>
        <v>75</v>
      </c>
      <c r="B80" s="136">
        <v>46047</v>
      </c>
      <c r="C80" s="84" t="s">
        <v>680</v>
      </c>
      <c r="D80" s="84" t="s">
        <v>597</v>
      </c>
      <c r="E80" s="172">
        <v>64.45</v>
      </c>
      <c r="F80" s="99">
        <v>600</v>
      </c>
      <c r="G80" s="99">
        <f t="shared" si="4"/>
        <v>38670</v>
      </c>
      <c r="H80" s="100" t="s">
        <v>65</v>
      </c>
      <c r="I80" s="101" t="s">
        <v>66</v>
      </c>
      <c r="J80" s="102"/>
      <c r="K80" s="102"/>
      <c r="L80" s="102"/>
      <c r="M80" s="102"/>
      <c r="N80" s="103"/>
    </row>
    <row r="81" spans="1:14" x14ac:dyDescent="0.25">
      <c r="A81" s="95">
        <f t="shared" si="5"/>
        <v>76</v>
      </c>
      <c r="B81" s="136">
        <v>46047</v>
      </c>
      <c r="C81" s="84" t="s">
        <v>675</v>
      </c>
      <c r="D81" s="84" t="s">
        <v>598</v>
      </c>
      <c r="E81" s="172">
        <v>64.45</v>
      </c>
      <c r="F81" s="99">
        <v>600</v>
      </c>
      <c r="G81" s="99">
        <f t="shared" si="4"/>
        <v>38670</v>
      </c>
      <c r="H81" s="100" t="s">
        <v>65</v>
      </c>
      <c r="I81" s="101" t="s">
        <v>66</v>
      </c>
      <c r="J81" s="102"/>
      <c r="K81" s="102"/>
      <c r="L81" s="102"/>
      <c r="M81" s="102"/>
      <c r="N81" s="103"/>
    </row>
    <row r="82" spans="1:14" x14ac:dyDescent="0.25">
      <c r="A82" s="95">
        <f t="shared" si="5"/>
        <v>77</v>
      </c>
      <c r="B82" s="136">
        <v>46047</v>
      </c>
      <c r="C82" s="84" t="s">
        <v>675</v>
      </c>
      <c r="D82" s="84" t="s">
        <v>599</v>
      </c>
      <c r="E82" s="172">
        <v>64.45</v>
      </c>
      <c r="F82" s="99">
        <v>600</v>
      </c>
      <c r="G82" s="99">
        <f t="shared" si="4"/>
        <v>38670</v>
      </c>
      <c r="H82" s="100" t="s">
        <v>65</v>
      </c>
      <c r="I82" s="101" t="s">
        <v>66</v>
      </c>
      <c r="J82" s="102"/>
      <c r="K82" s="102"/>
      <c r="L82" s="102"/>
      <c r="M82" s="102"/>
      <c r="N82" s="103"/>
    </row>
    <row r="83" spans="1:14" ht="15.75" thickBot="1" x14ac:dyDescent="0.3">
      <c r="A83" s="95">
        <f t="shared" si="5"/>
        <v>78</v>
      </c>
      <c r="B83" s="124">
        <v>46047</v>
      </c>
      <c r="C83" s="84" t="s">
        <v>675</v>
      </c>
      <c r="D83" s="84" t="s">
        <v>600</v>
      </c>
      <c r="E83" s="175">
        <v>64.650000000000006</v>
      </c>
      <c r="F83" s="99">
        <v>600</v>
      </c>
      <c r="G83" s="99">
        <f t="shared" si="4"/>
        <v>38790</v>
      </c>
      <c r="H83" s="100" t="s">
        <v>65</v>
      </c>
      <c r="I83" s="101" t="s">
        <v>66</v>
      </c>
      <c r="J83" s="113"/>
      <c r="K83" s="113"/>
      <c r="L83" s="113"/>
      <c r="M83" s="113"/>
      <c r="N83" s="114"/>
    </row>
    <row r="84" spans="1:14" ht="15.75" thickBot="1" x14ac:dyDescent="0.3">
      <c r="A84" s="401"/>
      <c r="B84" s="402"/>
      <c r="C84" s="402"/>
      <c r="D84" s="402"/>
      <c r="E84" s="409">
        <f>SUM(E60:E83)</f>
        <v>1501.5000000000002</v>
      </c>
      <c r="F84" s="402"/>
      <c r="G84" s="404">
        <f>SUM(G60:G83)</f>
        <v>900900</v>
      </c>
      <c r="H84" s="402"/>
      <c r="I84" s="405"/>
      <c r="J84" s="410"/>
      <c r="K84" s="411"/>
      <c r="L84" s="411"/>
      <c r="M84" s="411"/>
      <c r="N84" s="412"/>
    </row>
    <row r="85" spans="1:14" x14ac:dyDescent="0.25">
      <c r="A85" s="181">
        <v>79</v>
      </c>
      <c r="B85" s="124">
        <v>46047</v>
      </c>
      <c r="C85" s="125" t="s">
        <v>684</v>
      </c>
      <c r="D85" s="125" t="s">
        <v>601</v>
      </c>
      <c r="E85" s="127">
        <v>57.35</v>
      </c>
      <c r="F85" s="128">
        <v>600</v>
      </c>
      <c r="G85" s="128">
        <f t="shared" ref="G85:G106" si="6">E85*F85</f>
        <v>34410</v>
      </c>
      <c r="H85" s="129" t="s">
        <v>65</v>
      </c>
      <c r="I85" s="130" t="s">
        <v>66</v>
      </c>
      <c r="J85" s="315"/>
      <c r="K85" s="133"/>
      <c r="L85" s="133"/>
      <c r="M85" s="133"/>
      <c r="N85" s="135"/>
    </row>
    <row r="86" spans="1:14" x14ac:dyDescent="0.25">
      <c r="A86" s="95">
        <f t="shared" ref="A86:A106" si="7">A85+1</f>
        <v>80</v>
      </c>
      <c r="B86" s="136">
        <v>46047</v>
      </c>
      <c r="C86" s="84" t="s">
        <v>685</v>
      </c>
      <c r="D86" s="84" t="s">
        <v>602</v>
      </c>
      <c r="E86" s="138">
        <v>59.6</v>
      </c>
      <c r="F86" s="99">
        <v>600</v>
      </c>
      <c r="G86" s="99">
        <f t="shared" si="6"/>
        <v>35760</v>
      </c>
      <c r="H86" s="100" t="s">
        <v>65</v>
      </c>
      <c r="I86" s="101" t="s">
        <v>66</v>
      </c>
      <c r="J86" s="319"/>
      <c r="K86" s="102"/>
      <c r="L86" s="102"/>
      <c r="M86" s="102"/>
      <c r="N86" s="103"/>
    </row>
    <row r="87" spans="1:14" x14ac:dyDescent="0.25">
      <c r="A87" s="95">
        <f t="shared" si="7"/>
        <v>81</v>
      </c>
      <c r="B87" s="136">
        <v>46047</v>
      </c>
      <c r="C87" s="84" t="s">
        <v>686</v>
      </c>
      <c r="D87" s="84" t="s">
        <v>603</v>
      </c>
      <c r="E87" s="138">
        <v>64.3</v>
      </c>
      <c r="F87" s="99">
        <v>600</v>
      </c>
      <c r="G87" s="99">
        <f t="shared" si="6"/>
        <v>38580</v>
      </c>
      <c r="H87" s="100" t="s">
        <v>65</v>
      </c>
      <c r="I87" s="101" t="s">
        <v>66</v>
      </c>
      <c r="J87" s="319"/>
      <c r="K87" s="102"/>
      <c r="L87" s="102"/>
      <c r="M87" s="102"/>
      <c r="N87" s="103"/>
    </row>
    <row r="88" spans="1:14" x14ac:dyDescent="0.25">
      <c r="A88" s="95">
        <f t="shared" si="7"/>
        <v>82</v>
      </c>
      <c r="B88" s="136">
        <v>46047</v>
      </c>
      <c r="C88" s="84" t="s">
        <v>685</v>
      </c>
      <c r="D88" s="84" t="s">
        <v>604</v>
      </c>
      <c r="E88" s="138">
        <v>64.3</v>
      </c>
      <c r="F88" s="99">
        <v>600</v>
      </c>
      <c r="G88" s="99">
        <f t="shared" si="6"/>
        <v>38580</v>
      </c>
      <c r="H88" s="100" t="s">
        <v>65</v>
      </c>
      <c r="I88" s="101" t="s">
        <v>66</v>
      </c>
      <c r="J88" s="319"/>
      <c r="K88" s="102"/>
      <c r="L88" s="102"/>
      <c r="M88" s="102"/>
      <c r="N88" s="103"/>
    </row>
    <row r="89" spans="1:14" x14ac:dyDescent="0.25">
      <c r="A89" s="95">
        <f t="shared" si="7"/>
        <v>83</v>
      </c>
      <c r="B89" s="136">
        <v>46047</v>
      </c>
      <c r="C89" s="84" t="s">
        <v>687</v>
      </c>
      <c r="D89" s="84" t="s">
        <v>605</v>
      </c>
      <c r="E89" s="138">
        <v>64.349999999999994</v>
      </c>
      <c r="F89" s="99">
        <v>600</v>
      </c>
      <c r="G89" s="99">
        <f t="shared" si="6"/>
        <v>38610</v>
      </c>
      <c r="H89" s="100" t="s">
        <v>65</v>
      </c>
      <c r="I89" s="101" t="s">
        <v>66</v>
      </c>
      <c r="J89" s="319"/>
      <c r="K89" s="102"/>
      <c r="L89" s="102"/>
      <c r="M89" s="102"/>
      <c r="N89" s="103"/>
    </row>
    <row r="90" spans="1:14" x14ac:dyDescent="0.25">
      <c r="A90" s="95">
        <f t="shared" si="7"/>
        <v>84</v>
      </c>
      <c r="B90" s="136">
        <v>46047</v>
      </c>
      <c r="C90" s="84" t="s">
        <v>686</v>
      </c>
      <c r="D90" s="84" t="s">
        <v>606</v>
      </c>
      <c r="E90" s="138">
        <v>64.349999999999994</v>
      </c>
      <c r="F90" s="99">
        <v>600</v>
      </c>
      <c r="G90" s="99">
        <f t="shared" si="6"/>
        <v>38610</v>
      </c>
      <c r="H90" s="100" t="s">
        <v>65</v>
      </c>
      <c r="I90" s="101" t="s">
        <v>66</v>
      </c>
      <c r="J90" s="319"/>
      <c r="K90" s="102"/>
      <c r="L90" s="102"/>
      <c r="M90" s="102"/>
      <c r="N90" s="103"/>
    </row>
    <row r="91" spans="1:14" x14ac:dyDescent="0.25">
      <c r="A91" s="95">
        <f t="shared" si="7"/>
        <v>85</v>
      </c>
      <c r="B91" s="136">
        <v>46047</v>
      </c>
      <c r="C91" s="84" t="s">
        <v>688</v>
      </c>
      <c r="D91" s="84" t="s">
        <v>607</v>
      </c>
      <c r="E91" s="138">
        <v>64.349999999999994</v>
      </c>
      <c r="F91" s="99">
        <v>600</v>
      </c>
      <c r="G91" s="99">
        <f t="shared" si="6"/>
        <v>38610</v>
      </c>
      <c r="H91" s="100" t="s">
        <v>65</v>
      </c>
      <c r="I91" s="101" t="s">
        <v>66</v>
      </c>
      <c r="J91" s="319"/>
      <c r="K91" s="102"/>
      <c r="L91" s="102"/>
      <c r="M91" s="102"/>
      <c r="N91" s="103"/>
    </row>
    <row r="92" spans="1:14" x14ac:dyDescent="0.25">
      <c r="A92" s="95">
        <f t="shared" si="7"/>
        <v>86</v>
      </c>
      <c r="B92" s="136">
        <v>46047</v>
      </c>
      <c r="C92" s="84" t="s">
        <v>685</v>
      </c>
      <c r="D92" s="84" t="s">
        <v>608</v>
      </c>
      <c r="E92" s="138">
        <v>64.349999999999994</v>
      </c>
      <c r="F92" s="99">
        <v>600</v>
      </c>
      <c r="G92" s="99">
        <f t="shared" si="6"/>
        <v>38610</v>
      </c>
      <c r="H92" s="100" t="s">
        <v>65</v>
      </c>
      <c r="I92" s="101" t="s">
        <v>66</v>
      </c>
      <c r="J92" s="319"/>
      <c r="K92" s="102"/>
      <c r="L92" s="102"/>
      <c r="M92" s="102"/>
      <c r="N92" s="103"/>
    </row>
    <row r="93" spans="1:14" x14ac:dyDescent="0.25">
      <c r="A93" s="95">
        <f t="shared" si="7"/>
        <v>87</v>
      </c>
      <c r="B93" s="136">
        <v>46047</v>
      </c>
      <c r="C93" s="84" t="s">
        <v>689</v>
      </c>
      <c r="D93" s="84" t="s">
        <v>609</v>
      </c>
      <c r="E93" s="138">
        <v>64.400000000000006</v>
      </c>
      <c r="F93" s="99">
        <v>600</v>
      </c>
      <c r="G93" s="99">
        <f t="shared" si="6"/>
        <v>38640</v>
      </c>
      <c r="H93" s="100" t="s">
        <v>65</v>
      </c>
      <c r="I93" s="101" t="s">
        <v>66</v>
      </c>
      <c r="J93" s="319"/>
      <c r="K93" s="102"/>
      <c r="L93" s="102"/>
      <c r="M93" s="102"/>
      <c r="N93" s="103"/>
    </row>
    <row r="94" spans="1:14" x14ac:dyDescent="0.25">
      <c r="A94" s="95">
        <f t="shared" si="7"/>
        <v>88</v>
      </c>
      <c r="B94" s="136">
        <v>46047</v>
      </c>
      <c r="C94" s="84" t="s">
        <v>686</v>
      </c>
      <c r="D94" s="84" t="s">
        <v>610</v>
      </c>
      <c r="E94" s="138">
        <v>64.400000000000006</v>
      </c>
      <c r="F94" s="99">
        <v>600</v>
      </c>
      <c r="G94" s="99">
        <f t="shared" si="6"/>
        <v>38640</v>
      </c>
      <c r="H94" s="100" t="s">
        <v>65</v>
      </c>
      <c r="I94" s="101" t="s">
        <v>66</v>
      </c>
      <c r="J94" s="319"/>
      <c r="K94" s="102"/>
      <c r="L94" s="102"/>
      <c r="M94" s="102"/>
      <c r="N94" s="103"/>
    </row>
    <row r="95" spans="1:14" x14ac:dyDescent="0.25">
      <c r="A95" s="95">
        <f t="shared" si="7"/>
        <v>89</v>
      </c>
      <c r="B95" s="136">
        <v>46047</v>
      </c>
      <c r="C95" s="84" t="s">
        <v>684</v>
      </c>
      <c r="D95" s="84" t="s">
        <v>611</v>
      </c>
      <c r="E95" s="138">
        <v>64.400000000000006</v>
      </c>
      <c r="F95" s="99">
        <v>600</v>
      </c>
      <c r="G95" s="99">
        <f t="shared" si="6"/>
        <v>38640</v>
      </c>
      <c r="H95" s="100" t="s">
        <v>65</v>
      </c>
      <c r="I95" s="101" t="s">
        <v>66</v>
      </c>
      <c r="J95" s="319"/>
      <c r="K95" s="102"/>
      <c r="L95" s="102"/>
      <c r="M95" s="102"/>
      <c r="N95" s="103"/>
    </row>
    <row r="96" spans="1:14" x14ac:dyDescent="0.25">
      <c r="A96" s="95">
        <f t="shared" si="7"/>
        <v>90</v>
      </c>
      <c r="B96" s="136">
        <v>46047</v>
      </c>
      <c r="C96" s="84" t="s">
        <v>688</v>
      </c>
      <c r="D96" s="84" t="s">
        <v>612</v>
      </c>
      <c r="E96" s="138">
        <v>64.45</v>
      </c>
      <c r="F96" s="99">
        <v>600</v>
      </c>
      <c r="G96" s="99">
        <f t="shared" si="6"/>
        <v>38670</v>
      </c>
      <c r="H96" s="100" t="s">
        <v>65</v>
      </c>
      <c r="I96" s="101" t="s">
        <v>66</v>
      </c>
      <c r="J96" s="319"/>
      <c r="K96" s="102"/>
      <c r="L96" s="102"/>
      <c r="M96" s="102"/>
      <c r="N96" s="103"/>
    </row>
    <row r="97" spans="1:16" x14ac:dyDescent="0.25">
      <c r="A97" s="95">
        <f t="shared" si="7"/>
        <v>91</v>
      </c>
      <c r="B97" s="136">
        <v>46047</v>
      </c>
      <c r="C97" s="84" t="s">
        <v>688</v>
      </c>
      <c r="D97" s="84" t="s">
        <v>613</v>
      </c>
      <c r="E97" s="138">
        <v>64.45</v>
      </c>
      <c r="F97" s="99">
        <v>600</v>
      </c>
      <c r="G97" s="99">
        <f t="shared" si="6"/>
        <v>38670</v>
      </c>
      <c r="H97" s="100" t="s">
        <v>65</v>
      </c>
      <c r="I97" s="101" t="s">
        <v>66</v>
      </c>
      <c r="J97" s="319"/>
      <c r="K97" s="102"/>
      <c r="L97" s="102"/>
      <c r="M97" s="102"/>
      <c r="N97" s="103"/>
    </row>
    <row r="98" spans="1:16" x14ac:dyDescent="0.25">
      <c r="A98" s="95">
        <f t="shared" si="7"/>
        <v>92</v>
      </c>
      <c r="B98" s="136">
        <v>46047</v>
      </c>
      <c r="C98" s="84" t="s">
        <v>684</v>
      </c>
      <c r="D98" s="84" t="s">
        <v>614</v>
      </c>
      <c r="E98" s="138">
        <v>64.45</v>
      </c>
      <c r="F98" s="99">
        <v>600</v>
      </c>
      <c r="G98" s="99">
        <f t="shared" si="6"/>
        <v>38670</v>
      </c>
      <c r="H98" s="100" t="s">
        <v>65</v>
      </c>
      <c r="I98" s="101" t="s">
        <v>66</v>
      </c>
      <c r="J98" s="319"/>
      <c r="K98" s="102"/>
      <c r="L98" s="102"/>
      <c r="M98" s="102"/>
      <c r="N98" s="103"/>
    </row>
    <row r="99" spans="1:16" x14ac:dyDescent="0.25">
      <c r="A99" s="95">
        <f t="shared" si="7"/>
        <v>93</v>
      </c>
      <c r="B99" s="136">
        <v>46047</v>
      </c>
      <c r="C99" s="84" t="s">
        <v>688</v>
      </c>
      <c r="D99" s="84" t="s">
        <v>615</v>
      </c>
      <c r="E99" s="138">
        <v>64.45</v>
      </c>
      <c r="F99" s="99">
        <v>600</v>
      </c>
      <c r="G99" s="99">
        <f t="shared" si="6"/>
        <v>38670</v>
      </c>
      <c r="H99" s="100" t="s">
        <v>65</v>
      </c>
      <c r="I99" s="101" t="s">
        <v>66</v>
      </c>
      <c r="J99" s="319"/>
      <c r="K99" s="102"/>
      <c r="L99" s="102"/>
      <c r="M99" s="102"/>
      <c r="N99" s="103"/>
    </row>
    <row r="100" spans="1:16" x14ac:dyDescent="0.25">
      <c r="A100" s="95">
        <f t="shared" si="7"/>
        <v>94</v>
      </c>
      <c r="B100" s="136">
        <v>46047</v>
      </c>
      <c r="C100" s="84" t="s">
        <v>688</v>
      </c>
      <c r="D100" s="84" t="s">
        <v>616</v>
      </c>
      <c r="E100" s="138">
        <v>64.45</v>
      </c>
      <c r="F100" s="99">
        <v>600</v>
      </c>
      <c r="G100" s="99">
        <f t="shared" si="6"/>
        <v>38670</v>
      </c>
      <c r="H100" s="100" t="s">
        <v>65</v>
      </c>
      <c r="I100" s="101" t="s">
        <v>66</v>
      </c>
      <c r="J100" s="319"/>
      <c r="K100" s="102"/>
      <c r="L100" s="102"/>
      <c r="M100" s="102"/>
      <c r="N100" s="103"/>
    </row>
    <row r="101" spans="1:16" x14ac:dyDescent="0.25">
      <c r="A101" s="95">
        <f t="shared" si="7"/>
        <v>95</v>
      </c>
      <c r="B101" s="136">
        <v>46047</v>
      </c>
      <c r="C101" s="84" t="s">
        <v>689</v>
      </c>
      <c r="D101" s="84" t="s">
        <v>617</v>
      </c>
      <c r="E101" s="138">
        <v>64.45</v>
      </c>
      <c r="F101" s="99">
        <v>600</v>
      </c>
      <c r="G101" s="99">
        <f t="shared" si="6"/>
        <v>38670</v>
      </c>
      <c r="H101" s="100" t="s">
        <v>65</v>
      </c>
      <c r="I101" s="101" t="s">
        <v>66</v>
      </c>
      <c r="J101" s="319"/>
      <c r="K101" s="102"/>
      <c r="L101" s="102"/>
      <c r="M101" s="102"/>
      <c r="N101" s="103"/>
    </row>
    <row r="102" spans="1:16" x14ac:dyDescent="0.25">
      <c r="A102" s="95">
        <f t="shared" si="7"/>
        <v>96</v>
      </c>
      <c r="B102" s="136">
        <v>46047</v>
      </c>
      <c r="C102" s="84" t="s">
        <v>687</v>
      </c>
      <c r="D102" s="84" t="s">
        <v>618</v>
      </c>
      <c r="E102" s="138">
        <v>64.45</v>
      </c>
      <c r="F102" s="99">
        <v>600</v>
      </c>
      <c r="G102" s="99">
        <f t="shared" si="6"/>
        <v>38670</v>
      </c>
      <c r="H102" s="100" t="s">
        <v>65</v>
      </c>
      <c r="I102" s="101" t="s">
        <v>66</v>
      </c>
      <c r="J102" s="319"/>
      <c r="K102" s="102"/>
      <c r="L102" s="102"/>
      <c r="M102" s="102"/>
      <c r="N102" s="103"/>
    </row>
    <row r="103" spans="1:16" x14ac:dyDescent="0.25">
      <c r="A103" s="95">
        <f t="shared" si="7"/>
        <v>97</v>
      </c>
      <c r="B103" s="136">
        <v>46047</v>
      </c>
      <c r="C103" s="84" t="s">
        <v>689</v>
      </c>
      <c r="D103" s="84" t="s">
        <v>619</v>
      </c>
      <c r="E103" s="138">
        <v>64.5</v>
      </c>
      <c r="F103" s="99">
        <v>600</v>
      </c>
      <c r="G103" s="99">
        <f t="shared" si="6"/>
        <v>38700</v>
      </c>
      <c r="H103" s="100" t="s">
        <v>65</v>
      </c>
      <c r="I103" s="101" t="s">
        <v>66</v>
      </c>
      <c r="J103" s="319"/>
      <c r="K103" s="102"/>
      <c r="L103" s="102"/>
      <c r="M103" s="102"/>
      <c r="N103" s="103"/>
    </row>
    <row r="104" spans="1:16" x14ac:dyDescent="0.25">
      <c r="A104" s="95">
        <f t="shared" si="7"/>
        <v>98</v>
      </c>
      <c r="B104" s="136">
        <v>46047</v>
      </c>
      <c r="C104" s="84" t="s">
        <v>690</v>
      </c>
      <c r="D104" s="84" t="s">
        <v>620</v>
      </c>
      <c r="E104" s="138">
        <v>64.5</v>
      </c>
      <c r="F104" s="99">
        <v>600</v>
      </c>
      <c r="G104" s="99">
        <f t="shared" si="6"/>
        <v>38700</v>
      </c>
      <c r="H104" s="100" t="s">
        <v>65</v>
      </c>
      <c r="I104" s="101" t="s">
        <v>66</v>
      </c>
      <c r="J104" s="319"/>
      <c r="K104" s="102"/>
      <c r="L104" s="102"/>
      <c r="M104" s="102"/>
      <c r="N104" s="103"/>
    </row>
    <row r="105" spans="1:16" x14ac:dyDescent="0.25">
      <c r="A105" s="95">
        <f t="shared" si="7"/>
        <v>99</v>
      </c>
      <c r="B105" s="136">
        <v>46047</v>
      </c>
      <c r="C105" s="84" t="s">
        <v>688</v>
      </c>
      <c r="D105" s="84" t="s">
        <v>621</v>
      </c>
      <c r="E105" s="138">
        <v>64.5</v>
      </c>
      <c r="F105" s="99">
        <v>600</v>
      </c>
      <c r="G105" s="99">
        <f t="shared" si="6"/>
        <v>38700</v>
      </c>
      <c r="H105" s="100" t="s">
        <v>65</v>
      </c>
      <c r="I105" s="101" t="s">
        <v>66</v>
      </c>
      <c r="J105" s="319"/>
      <c r="K105" s="102"/>
      <c r="L105" s="102"/>
      <c r="M105" s="102"/>
      <c r="N105" s="103"/>
    </row>
    <row r="106" spans="1:16" ht="15.75" thickBot="1" x14ac:dyDescent="0.3">
      <c r="A106" s="104">
        <f t="shared" si="7"/>
        <v>100</v>
      </c>
      <c r="B106" s="183">
        <v>46047</v>
      </c>
      <c r="C106" s="106" t="s">
        <v>691</v>
      </c>
      <c r="D106" s="106" t="s">
        <v>622</v>
      </c>
      <c r="E106" s="140">
        <v>64.5</v>
      </c>
      <c r="F106" s="109">
        <v>600</v>
      </c>
      <c r="G106" s="109">
        <f t="shared" si="6"/>
        <v>38700</v>
      </c>
      <c r="H106" s="110" t="s">
        <v>65</v>
      </c>
      <c r="I106" s="111" t="s">
        <v>66</v>
      </c>
      <c r="J106" s="326"/>
      <c r="K106" s="113"/>
      <c r="L106" s="113"/>
      <c r="M106" s="113"/>
      <c r="N106" s="114"/>
    </row>
    <row r="107" spans="1:16" ht="15.75" thickBot="1" x14ac:dyDescent="0.3">
      <c r="A107" s="401"/>
      <c r="B107" s="402"/>
      <c r="C107" s="402"/>
      <c r="D107" s="402"/>
      <c r="E107" s="413">
        <f>SUM(E85:E106)</f>
        <v>1405.3000000000002</v>
      </c>
      <c r="F107" s="402"/>
      <c r="G107" s="404">
        <f>SUM(G85:G106)</f>
        <v>843180</v>
      </c>
      <c r="H107" s="402"/>
      <c r="I107" s="405"/>
      <c r="J107" s="401"/>
      <c r="K107" s="402"/>
      <c r="L107" s="402"/>
      <c r="M107" s="402"/>
      <c r="N107" s="405"/>
    </row>
    <row r="108" spans="1:16" x14ac:dyDescent="0.25">
      <c r="A108" s="123">
        <v>101</v>
      </c>
      <c r="B108" s="124">
        <v>46048</v>
      </c>
      <c r="C108" s="84" t="s">
        <v>692</v>
      </c>
      <c r="D108" s="84" t="s">
        <v>623</v>
      </c>
      <c r="E108" s="138">
        <v>55</v>
      </c>
      <c r="F108" s="128">
        <v>600</v>
      </c>
      <c r="G108" s="128">
        <f t="shared" ref="G108:G140" si="8">E108*F108</f>
        <v>33000</v>
      </c>
      <c r="H108" s="129" t="s">
        <v>65</v>
      </c>
      <c r="I108" s="392" t="s">
        <v>66</v>
      </c>
      <c r="J108" s="131"/>
      <c r="K108" s="133"/>
      <c r="L108" s="133"/>
      <c r="M108" s="133"/>
      <c r="N108" s="135"/>
      <c r="P108" s="414"/>
    </row>
    <row r="109" spans="1:16" x14ac:dyDescent="0.25">
      <c r="A109" s="102">
        <f t="shared" ref="A109:A140" si="9">A108+1</f>
        <v>102</v>
      </c>
      <c r="B109" s="136">
        <v>46048</v>
      </c>
      <c r="C109" s="84" t="s">
        <v>693</v>
      </c>
      <c r="D109" s="84" t="s">
        <v>624</v>
      </c>
      <c r="E109" s="138">
        <v>55.9</v>
      </c>
      <c r="F109" s="99">
        <v>600</v>
      </c>
      <c r="G109" s="99">
        <f t="shared" si="8"/>
        <v>33540</v>
      </c>
      <c r="H109" s="100" t="s">
        <v>65</v>
      </c>
      <c r="I109" s="391" t="s">
        <v>66</v>
      </c>
      <c r="J109" s="95"/>
      <c r="K109" s="102"/>
      <c r="L109" s="102"/>
      <c r="M109" s="102"/>
      <c r="N109" s="103"/>
      <c r="P109" s="414"/>
    </row>
    <row r="110" spans="1:16" x14ac:dyDescent="0.25">
      <c r="A110" s="102">
        <f t="shared" si="9"/>
        <v>103</v>
      </c>
      <c r="B110" s="136">
        <v>46048</v>
      </c>
      <c r="C110" s="84" t="s">
        <v>694</v>
      </c>
      <c r="D110" s="84" t="s">
        <v>625</v>
      </c>
      <c r="E110" s="138">
        <v>55.9</v>
      </c>
      <c r="F110" s="99">
        <v>600</v>
      </c>
      <c r="G110" s="99">
        <f t="shared" si="8"/>
        <v>33540</v>
      </c>
      <c r="H110" s="100" t="s">
        <v>65</v>
      </c>
      <c r="I110" s="391" t="s">
        <v>66</v>
      </c>
      <c r="J110" s="95"/>
      <c r="K110" s="102"/>
      <c r="L110" s="102"/>
      <c r="M110" s="102"/>
      <c r="N110" s="103"/>
      <c r="P110" s="414"/>
    </row>
    <row r="111" spans="1:16" x14ac:dyDescent="0.25">
      <c r="A111" s="102">
        <f t="shared" si="9"/>
        <v>104</v>
      </c>
      <c r="B111" s="136">
        <v>46048</v>
      </c>
      <c r="C111" s="84" t="s">
        <v>695</v>
      </c>
      <c r="D111" s="84" t="s">
        <v>626</v>
      </c>
      <c r="E111" s="138">
        <v>56.6</v>
      </c>
      <c r="F111" s="99">
        <v>600</v>
      </c>
      <c r="G111" s="99">
        <f t="shared" si="8"/>
        <v>33960</v>
      </c>
      <c r="H111" s="100" t="s">
        <v>65</v>
      </c>
      <c r="I111" s="391" t="s">
        <v>66</v>
      </c>
      <c r="J111" s="95"/>
      <c r="K111" s="102"/>
      <c r="L111" s="102"/>
      <c r="M111" s="102"/>
      <c r="N111" s="103"/>
      <c r="P111" s="414"/>
    </row>
    <row r="112" spans="1:16" x14ac:dyDescent="0.25">
      <c r="A112" s="102">
        <f t="shared" si="9"/>
        <v>105</v>
      </c>
      <c r="B112" s="136">
        <v>46048</v>
      </c>
      <c r="C112" s="84" t="s">
        <v>695</v>
      </c>
      <c r="D112" s="84" t="s">
        <v>627</v>
      </c>
      <c r="E112" s="138">
        <v>57</v>
      </c>
      <c r="F112" s="99">
        <v>600</v>
      </c>
      <c r="G112" s="99">
        <f t="shared" si="8"/>
        <v>34200</v>
      </c>
      <c r="H112" s="100" t="s">
        <v>65</v>
      </c>
      <c r="I112" s="391" t="s">
        <v>66</v>
      </c>
      <c r="J112" s="95"/>
      <c r="K112" s="102"/>
      <c r="L112" s="102"/>
      <c r="M112" s="102"/>
      <c r="N112" s="103"/>
      <c r="P112" s="414"/>
    </row>
    <row r="113" spans="1:17" x14ac:dyDescent="0.25">
      <c r="A113" s="102">
        <f t="shared" si="9"/>
        <v>106</v>
      </c>
      <c r="B113" s="136">
        <v>46048</v>
      </c>
      <c r="C113" s="84" t="s">
        <v>692</v>
      </c>
      <c r="D113" s="84" t="s">
        <v>628</v>
      </c>
      <c r="E113" s="138">
        <v>57.1</v>
      </c>
      <c r="F113" s="99">
        <v>600</v>
      </c>
      <c r="G113" s="99">
        <f t="shared" si="8"/>
        <v>34260</v>
      </c>
      <c r="H113" s="100" t="s">
        <v>65</v>
      </c>
      <c r="I113" s="391" t="s">
        <v>66</v>
      </c>
      <c r="J113" s="95"/>
      <c r="K113" s="102"/>
      <c r="L113" s="102"/>
      <c r="M113" s="102"/>
      <c r="N113" s="103"/>
      <c r="P113" s="414"/>
    </row>
    <row r="114" spans="1:17" x14ac:dyDescent="0.25">
      <c r="A114" s="102">
        <f t="shared" si="9"/>
        <v>107</v>
      </c>
      <c r="B114" s="136">
        <v>46048</v>
      </c>
      <c r="C114" s="84" t="s">
        <v>695</v>
      </c>
      <c r="D114" s="84" t="s">
        <v>629</v>
      </c>
      <c r="E114" s="138">
        <v>57.15</v>
      </c>
      <c r="F114" s="99">
        <v>600</v>
      </c>
      <c r="G114" s="99">
        <f t="shared" si="8"/>
        <v>34290</v>
      </c>
      <c r="H114" s="100" t="s">
        <v>65</v>
      </c>
      <c r="I114" s="391" t="s">
        <v>66</v>
      </c>
      <c r="J114" s="95"/>
      <c r="K114" s="102"/>
      <c r="L114" s="102"/>
      <c r="M114" s="102"/>
      <c r="N114" s="103"/>
      <c r="P114" s="414"/>
    </row>
    <row r="115" spans="1:17" x14ac:dyDescent="0.25">
      <c r="A115" s="102">
        <f t="shared" si="9"/>
        <v>108</v>
      </c>
      <c r="B115" s="136">
        <v>46048</v>
      </c>
      <c r="C115" s="84" t="s">
        <v>696</v>
      </c>
      <c r="D115" s="84" t="s">
        <v>630</v>
      </c>
      <c r="E115" s="138">
        <v>58</v>
      </c>
      <c r="F115" s="99">
        <v>600</v>
      </c>
      <c r="G115" s="99">
        <f t="shared" si="8"/>
        <v>34800</v>
      </c>
      <c r="H115" s="100" t="s">
        <v>65</v>
      </c>
      <c r="I115" s="391" t="s">
        <v>66</v>
      </c>
      <c r="J115" s="95"/>
      <c r="K115" s="102"/>
      <c r="L115" s="102"/>
      <c r="M115" s="102"/>
      <c r="N115" s="103"/>
      <c r="P115" s="414"/>
    </row>
    <row r="116" spans="1:17" x14ac:dyDescent="0.25">
      <c r="A116" s="102">
        <f t="shared" si="9"/>
        <v>109</v>
      </c>
      <c r="B116" s="136">
        <v>46048</v>
      </c>
      <c r="C116" s="84" t="s">
        <v>693</v>
      </c>
      <c r="D116" s="84" t="s">
        <v>631</v>
      </c>
      <c r="E116" s="138">
        <v>59.15</v>
      </c>
      <c r="F116" s="99">
        <v>600</v>
      </c>
      <c r="G116" s="99">
        <f t="shared" si="8"/>
        <v>35490</v>
      </c>
      <c r="H116" s="100" t="s">
        <v>65</v>
      </c>
      <c r="I116" s="391" t="s">
        <v>66</v>
      </c>
      <c r="J116" s="95"/>
      <c r="K116" s="102"/>
      <c r="L116" s="102"/>
      <c r="M116" s="102"/>
      <c r="N116" s="103"/>
      <c r="P116" s="414"/>
    </row>
    <row r="117" spans="1:17" x14ac:dyDescent="0.25">
      <c r="A117" s="102">
        <f t="shared" si="9"/>
        <v>110</v>
      </c>
      <c r="B117" s="136">
        <v>46048</v>
      </c>
      <c r="C117" s="84" t="s">
        <v>692</v>
      </c>
      <c r="D117" s="84" t="s">
        <v>632</v>
      </c>
      <c r="E117" s="138">
        <v>60.9</v>
      </c>
      <c r="F117" s="99">
        <v>600</v>
      </c>
      <c r="G117" s="99">
        <f t="shared" si="8"/>
        <v>36540</v>
      </c>
      <c r="H117" s="100" t="s">
        <v>65</v>
      </c>
      <c r="I117" s="391" t="s">
        <v>66</v>
      </c>
      <c r="J117" s="95"/>
      <c r="K117" s="102"/>
      <c r="L117" s="102"/>
      <c r="M117" s="102"/>
      <c r="N117" s="103"/>
      <c r="P117" s="414"/>
    </row>
    <row r="118" spans="1:17" x14ac:dyDescent="0.25">
      <c r="A118" s="102">
        <f t="shared" si="9"/>
        <v>111</v>
      </c>
      <c r="B118" s="136">
        <v>46048</v>
      </c>
      <c r="C118" s="84" t="s">
        <v>692</v>
      </c>
      <c r="D118" s="84" t="s">
        <v>633</v>
      </c>
      <c r="E118" s="138">
        <v>60.95</v>
      </c>
      <c r="F118" s="99">
        <v>600</v>
      </c>
      <c r="G118" s="99">
        <f t="shared" si="8"/>
        <v>36570</v>
      </c>
      <c r="H118" s="100" t="s">
        <v>65</v>
      </c>
      <c r="I118" s="391" t="s">
        <v>66</v>
      </c>
      <c r="J118" s="95"/>
      <c r="K118" s="102"/>
      <c r="L118" s="102"/>
      <c r="M118" s="102"/>
      <c r="N118" s="103"/>
      <c r="P118" s="414"/>
    </row>
    <row r="119" spans="1:17" x14ac:dyDescent="0.25">
      <c r="A119" s="102">
        <f t="shared" si="9"/>
        <v>112</v>
      </c>
      <c r="B119" s="136">
        <v>46048</v>
      </c>
      <c r="C119" s="84" t="s">
        <v>694</v>
      </c>
      <c r="D119" s="84" t="s">
        <v>634</v>
      </c>
      <c r="E119" s="138">
        <v>61.65</v>
      </c>
      <c r="F119" s="99">
        <v>600</v>
      </c>
      <c r="G119" s="99">
        <f t="shared" si="8"/>
        <v>36990</v>
      </c>
      <c r="H119" s="100" t="s">
        <v>65</v>
      </c>
      <c r="I119" s="391" t="s">
        <v>66</v>
      </c>
      <c r="J119" s="95"/>
      <c r="K119" s="102"/>
      <c r="L119" s="102"/>
      <c r="M119" s="102"/>
      <c r="N119" s="103"/>
      <c r="P119" s="414"/>
    </row>
    <row r="120" spans="1:17" x14ac:dyDescent="0.25">
      <c r="A120" s="102">
        <f t="shared" si="9"/>
        <v>113</v>
      </c>
      <c r="B120" s="136">
        <v>46048</v>
      </c>
      <c r="C120" s="84" t="s">
        <v>694</v>
      </c>
      <c r="D120" s="84" t="s">
        <v>635</v>
      </c>
      <c r="E120" s="138">
        <v>61.85</v>
      </c>
      <c r="F120" s="99">
        <v>600</v>
      </c>
      <c r="G120" s="99">
        <f t="shared" si="8"/>
        <v>37110</v>
      </c>
      <c r="H120" s="100" t="s">
        <v>65</v>
      </c>
      <c r="I120" s="391" t="s">
        <v>66</v>
      </c>
      <c r="J120" s="95"/>
      <c r="K120" s="102"/>
      <c r="L120" s="102"/>
      <c r="M120" s="102"/>
      <c r="N120" s="103"/>
      <c r="P120" s="414"/>
    </row>
    <row r="121" spans="1:17" x14ac:dyDescent="0.25">
      <c r="A121" s="102">
        <f t="shared" si="9"/>
        <v>114</v>
      </c>
      <c r="B121" s="136">
        <v>46048</v>
      </c>
      <c r="C121" s="84" t="s">
        <v>693</v>
      </c>
      <c r="D121" s="84" t="s">
        <v>636</v>
      </c>
      <c r="E121" s="138">
        <v>62.1</v>
      </c>
      <c r="F121" s="99">
        <v>600</v>
      </c>
      <c r="G121" s="99">
        <f t="shared" si="8"/>
        <v>37260</v>
      </c>
      <c r="H121" s="100" t="s">
        <v>65</v>
      </c>
      <c r="I121" s="391" t="s">
        <v>66</v>
      </c>
      <c r="J121" s="95"/>
      <c r="K121" s="102"/>
      <c r="L121" s="102"/>
      <c r="M121" s="102"/>
      <c r="N121" s="103"/>
      <c r="P121" s="414"/>
    </row>
    <row r="122" spans="1:17" x14ac:dyDescent="0.25">
      <c r="A122" s="102">
        <f t="shared" si="9"/>
        <v>115</v>
      </c>
      <c r="B122" s="136">
        <v>46048</v>
      </c>
      <c r="C122" s="84" t="s">
        <v>693</v>
      </c>
      <c r="D122" s="84" t="s">
        <v>637</v>
      </c>
      <c r="E122" s="138">
        <v>62.15</v>
      </c>
      <c r="F122" s="99">
        <v>600</v>
      </c>
      <c r="G122" s="99">
        <f t="shared" si="8"/>
        <v>37290</v>
      </c>
      <c r="H122" s="100" t="s">
        <v>65</v>
      </c>
      <c r="I122" s="391" t="s">
        <v>66</v>
      </c>
      <c r="J122" s="95"/>
      <c r="K122" s="102"/>
      <c r="L122" s="102"/>
      <c r="M122" s="102"/>
      <c r="N122" s="103"/>
      <c r="P122" s="414"/>
    </row>
    <row r="123" spans="1:17" x14ac:dyDescent="0.25">
      <c r="A123" s="102">
        <f t="shared" si="9"/>
        <v>116</v>
      </c>
      <c r="B123" s="136">
        <v>46048</v>
      </c>
      <c r="C123" s="84" t="s">
        <v>693</v>
      </c>
      <c r="D123" s="84" t="s">
        <v>638</v>
      </c>
      <c r="E123" s="138">
        <v>62.25</v>
      </c>
      <c r="F123" s="99">
        <v>600</v>
      </c>
      <c r="G123" s="99">
        <f t="shared" si="8"/>
        <v>37350</v>
      </c>
      <c r="H123" s="100" t="s">
        <v>65</v>
      </c>
      <c r="I123" s="391" t="s">
        <v>66</v>
      </c>
      <c r="J123" s="95"/>
      <c r="K123" s="102"/>
      <c r="L123" s="102"/>
      <c r="M123" s="102"/>
      <c r="N123" s="103"/>
      <c r="P123" s="414"/>
    </row>
    <row r="124" spans="1:17" x14ac:dyDescent="0.25">
      <c r="A124" s="102">
        <f t="shared" si="9"/>
        <v>117</v>
      </c>
      <c r="B124" s="136">
        <v>46048</v>
      </c>
      <c r="C124" s="84" t="s">
        <v>697</v>
      </c>
      <c r="D124" s="84" t="s">
        <v>639</v>
      </c>
      <c r="E124" s="138">
        <v>62.25</v>
      </c>
      <c r="F124" s="99">
        <v>600</v>
      </c>
      <c r="G124" s="99">
        <f t="shared" si="8"/>
        <v>37350</v>
      </c>
      <c r="H124" s="100" t="s">
        <v>65</v>
      </c>
      <c r="I124" s="391" t="s">
        <v>66</v>
      </c>
      <c r="J124" s="95"/>
      <c r="K124" s="102"/>
      <c r="L124" s="102"/>
      <c r="M124" s="102"/>
      <c r="N124" s="103"/>
      <c r="P124" s="414"/>
    </row>
    <row r="125" spans="1:17" x14ac:dyDescent="0.25">
      <c r="A125" s="102">
        <f t="shared" si="9"/>
        <v>118</v>
      </c>
      <c r="B125" s="136">
        <v>46048</v>
      </c>
      <c r="C125" s="84" t="s">
        <v>694</v>
      </c>
      <c r="D125" s="84" t="s">
        <v>640</v>
      </c>
      <c r="E125" s="138">
        <v>62.3</v>
      </c>
      <c r="F125" s="99">
        <v>600</v>
      </c>
      <c r="G125" s="99">
        <f t="shared" si="8"/>
        <v>37380</v>
      </c>
      <c r="H125" s="100" t="s">
        <v>65</v>
      </c>
      <c r="I125" s="391" t="s">
        <v>66</v>
      </c>
      <c r="J125" s="95"/>
      <c r="K125" s="102"/>
      <c r="L125" s="102"/>
      <c r="M125" s="102"/>
      <c r="N125" s="103"/>
      <c r="P125" s="414"/>
      <c r="Q125" s="415"/>
    </row>
    <row r="126" spans="1:17" x14ac:dyDescent="0.25">
      <c r="A126" s="102">
        <f t="shared" si="9"/>
        <v>119</v>
      </c>
      <c r="B126" s="136">
        <v>46048</v>
      </c>
      <c r="C126" s="84" t="s">
        <v>698</v>
      </c>
      <c r="D126" s="84" t="s">
        <v>641</v>
      </c>
      <c r="E126" s="138">
        <v>62.5</v>
      </c>
      <c r="F126" s="99">
        <v>600</v>
      </c>
      <c r="G126" s="99">
        <f t="shared" si="8"/>
        <v>37500</v>
      </c>
      <c r="H126" s="100" t="s">
        <v>65</v>
      </c>
      <c r="I126" s="391" t="s">
        <v>66</v>
      </c>
      <c r="J126" s="95"/>
      <c r="K126" s="102"/>
      <c r="L126" s="102"/>
      <c r="M126" s="102"/>
      <c r="N126" s="103"/>
      <c r="P126" s="414"/>
    </row>
    <row r="127" spans="1:17" x14ac:dyDescent="0.25">
      <c r="A127" s="102">
        <f t="shared" si="9"/>
        <v>120</v>
      </c>
      <c r="B127" s="136">
        <v>46048</v>
      </c>
      <c r="C127" s="84" t="s">
        <v>699</v>
      </c>
      <c r="D127" s="84" t="s">
        <v>642</v>
      </c>
      <c r="E127" s="138">
        <v>62.55</v>
      </c>
      <c r="F127" s="99">
        <v>600</v>
      </c>
      <c r="G127" s="99">
        <f t="shared" si="8"/>
        <v>37530</v>
      </c>
      <c r="H127" s="100" t="s">
        <v>65</v>
      </c>
      <c r="I127" s="391" t="s">
        <v>66</v>
      </c>
      <c r="J127" s="95"/>
      <c r="K127" s="102"/>
      <c r="L127" s="102"/>
      <c r="M127" s="102"/>
      <c r="N127" s="103"/>
      <c r="P127" s="414"/>
    </row>
    <row r="128" spans="1:17" x14ac:dyDescent="0.25">
      <c r="A128" s="102">
        <f t="shared" si="9"/>
        <v>121</v>
      </c>
      <c r="B128" s="136">
        <v>46048</v>
      </c>
      <c r="C128" s="84" t="s">
        <v>694</v>
      </c>
      <c r="D128" s="84" t="s">
        <v>643</v>
      </c>
      <c r="E128" s="138">
        <v>62.7</v>
      </c>
      <c r="F128" s="99">
        <v>600</v>
      </c>
      <c r="G128" s="99">
        <f t="shared" si="8"/>
        <v>37620</v>
      </c>
      <c r="H128" s="100" t="s">
        <v>65</v>
      </c>
      <c r="I128" s="391" t="s">
        <v>66</v>
      </c>
      <c r="J128" s="95"/>
      <c r="K128" s="102"/>
      <c r="L128" s="102"/>
      <c r="M128" s="102"/>
      <c r="N128" s="103"/>
      <c r="P128" s="461"/>
      <c r="Q128" s="414"/>
    </row>
    <row r="129" spans="1:17" x14ac:dyDescent="0.25">
      <c r="A129" s="102">
        <f t="shared" si="9"/>
        <v>122</v>
      </c>
      <c r="B129" s="136">
        <v>46048</v>
      </c>
      <c r="C129" s="84" t="s">
        <v>700</v>
      </c>
      <c r="D129" s="84" t="s">
        <v>644</v>
      </c>
      <c r="E129" s="138">
        <v>62.7</v>
      </c>
      <c r="F129" s="99">
        <v>600</v>
      </c>
      <c r="G129" s="99">
        <f t="shared" si="8"/>
        <v>37620</v>
      </c>
      <c r="H129" s="100" t="s">
        <v>65</v>
      </c>
      <c r="I129" s="391" t="s">
        <v>66</v>
      </c>
      <c r="J129" s="95"/>
      <c r="K129" s="102"/>
      <c r="L129" s="102"/>
      <c r="M129" s="102"/>
      <c r="N129" s="103"/>
      <c r="P129" s="461"/>
      <c r="Q129" s="414"/>
    </row>
    <row r="130" spans="1:17" x14ac:dyDescent="0.25">
      <c r="A130" s="102">
        <f t="shared" si="9"/>
        <v>123</v>
      </c>
      <c r="B130" s="136">
        <v>46048</v>
      </c>
      <c r="C130" s="84" t="s">
        <v>692</v>
      </c>
      <c r="D130" s="84" t="s">
        <v>645</v>
      </c>
      <c r="E130" s="138">
        <v>62.8</v>
      </c>
      <c r="F130" s="99">
        <v>600</v>
      </c>
      <c r="G130" s="99">
        <f t="shared" si="8"/>
        <v>37680</v>
      </c>
      <c r="H130" s="100" t="s">
        <v>65</v>
      </c>
      <c r="I130" s="391" t="s">
        <v>66</v>
      </c>
      <c r="J130" s="95"/>
      <c r="K130" s="102"/>
      <c r="L130" s="102"/>
      <c r="M130" s="102"/>
      <c r="N130" s="103"/>
      <c r="P130" s="461"/>
      <c r="Q130" s="414"/>
    </row>
    <row r="131" spans="1:17" x14ac:dyDescent="0.25">
      <c r="A131" s="150">
        <f t="shared" si="9"/>
        <v>124</v>
      </c>
      <c r="B131" s="183">
        <v>46048</v>
      </c>
      <c r="C131" s="106" t="s">
        <v>693</v>
      </c>
      <c r="D131" s="106" t="s">
        <v>646</v>
      </c>
      <c r="E131" s="140">
        <v>63</v>
      </c>
      <c r="F131" s="109">
        <v>600</v>
      </c>
      <c r="G131" s="109">
        <f t="shared" si="8"/>
        <v>37800</v>
      </c>
      <c r="H131" s="110" t="s">
        <v>65</v>
      </c>
      <c r="I131" s="393" t="s">
        <v>66</v>
      </c>
      <c r="J131" s="104"/>
      <c r="K131" s="150"/>
      <c r="L131" s="150"/>
      <c r="M131" s="150"/>
      <c r="N131" s="151"/>
      <c r="P131" s="461"/>
      <c r="Q131" s="414"/>
    </row>
    <row r="132" spans="1:17" x14ac:dyDescent="0.25">
      <c r="A132" s="150">
        <f t="shared" si="9"/>
        <v>125</v>
      </c>
      <c r="B132" s="183">
        <v>46048</v>
      </c>
      <c r="C132" s="171" t="s">
        <v>694</v>
      </c>
      <c r="D132" s="171" t="s">
        <v>647</v>
      </c>
      <c r="E132" s="172">
        <v>63.25</v>
      </c>
      <c r="F132" s="109">
        <v>600</v>
      </c>
      <c r="G132" s="109">
        <f t="shared" si="8"/>
        <v>37950</v>
      </c>
      <c r="H132" s="110" t="s">
        <v>65</v>
      </c>
      <c r="I132" s="393" t="s">
        <v>66</v>
      </c>
      <c r="J132" s="95"/>
      <c r="K132" s="102"/>
      <c r="L132" s="102"/>
      <c r="M132" s="102"/>
      <c r="N132" s="103"/>
      <c r="P132" s="461"/>
      <c r="Q132" s="414"/>
    </row>
    <row r="133" spans="1:17" x14ac:dyDescent="0.25">
      <c r="A133" s="150">
        <f t="shared" si="9"/>
        <v>126</v>
      </c>
      <c r="B133" s="183">
        <v>46048</v>
      </c>
      <c r="C133" s="171" t="s">
        <v>692</v>
      </c>
      <c r="D133" s="171" t="s">
        <v>648</v>
      </c>
      <c r="E133" s="172">
        <v>63.35</v>
      </c>
      <c r="F133" s="109">
        <v>600</v>
      </c>
      <c r="G133" s="109">
        <f t="shared" si="8"/>
        <v>38010</v>
      </c>
      <c r="H133" s="110" t="s">
        <v>65</v>
      </c>
      <c r="I133" s="393" t="s">
        <v>66</v>
      </c>
      <c r="J133" s="95"/>
      <c r="K133" s="102"/>
      <c r="L133" s="102"/>
      <c r="M133" s="102"/>
      <c r="N133" s="103"/>
      <c r="P133" s="461"/>
      <c r="Q133" s="414"/>
    </row>
    <row r="134" spans="1:17" x14ac:dyDescent="0.25">
      <c r="A134" s="150">
        <f t="shared" si="9"/>
        <v>127</v>
      </c>
      <c r="B134" s="183">
        <v>46048</v>
      </c>
      <c r="C134" s="171" t="s">
        <v>698</v>
      </c>
      <c r="D134" s="171" t="s">
        <v>649</v>
      </c>
      <c r="E134" s="172">
        <v>64.25</v>
      </c>
      <c r="F134" s="109">
        <v>600</v>
      </c>
      <c r="G134" s="109">
        <f t="shared" si="8"/>
        <v>38550</v>
      </c>
      <c r="H134" s="110" t="s">
        <v>65</v>
      </c>
      <c r="I134" s="393" t="s">
        <v>66</v>
      </c>
      <c r="J134" s="95"/>
      <c r="K134" s="102"/>
      <c r="L134" s="102"/>
      <c r="M134" s="102"/>
      <c r="N134" s="103"/>
      <c r="P134" s="461"/>
      <c r="Q134" s="414"/>
    </row>
    <row r="135" spans="1:17" x14ac:dyDescent="0.25">
      <c r="A135" s="150">
        <f t="shared" si="9"/>
        <v>128</v>
      </c>
      <c r="B135" s="183">
        <v>46048</v>
      </c>
      <c r="C135" s="171" t="s">
        <v>701</v>
      </c>
      <c r="D135" s="171" t="s">
        <v>650</v>
      </c>
      <c r="E135" s="172">
        <v>64.25</v>
      </c>
      <c r="F135" s="109">
        <v>600</v>
      </c>
      <c r="G135" s="109">
        <f t="shared" si="8"/>
        <v>38550</v>
      </c>
      <c r="H135" s="110" t="s">
        <v>65</v>
      </c>
      <c r="I135" s="393" t="s">
        <v>66</v>
      </c>
      <c r="J135" s="95"/>
      <c r="K135" s="102"/>
      <c r="L135" s="102"/>
      <c r="M135" s="102"/>
      <c r="N135" s="103"/>
      <c r="P135" s="461"/>
      <c r="Q135" s="414"/>
    </row>
    <row r="136" spans="1:17" x14ac:dyDescent="0.25">
      <c r="A136" s="150">
        <f t="shared" si="9"/>
        <v>129</v>
      </c>
      <c r="B136" s="183">
        <v>46048</v>
      </c>
      <c r="C136" s="171" t="s">
        <v>695</v>
      </c>
      <c r="D136" s="171" t="s">
        <v>651</v>
      </c>
      <c r="E136" s="172">
        <v>64.349999999999994</v>
      </c>
      <c r="F136" s="109">
        <v>600</v>
      </c>
      <c r="G136" s="109">
        <f t="shared" si="8"/>
        <v>38610</v>
      </c>
      <c r="H136" s="110" t="s">
        <v>65</v>
      </c>
      <c r="I136" s="393" t="s">
        <v>66</v>
      </c>
      <c r="J136" s="95"/>
      <c r="K136" s="102"/>
      <c r="L136" s="102"/>
      <c r="M136" s="102"/>
      <c r="N136" s="103"/>
      <c r="P136" s="461"/>
      <c r="Q136" s="414"/>
    </row>
    <row r="137" spans="1:17" x14ac:dyDescent="0.25">
      <c r="A137" s="150">
        <f t="shared" si="9"/>
        <v>130</v>
      </c>
      <c r="B137" s="183">
        <v>46048</v>
      </c>
      <c r="C137" s="171" t="s">
        <v>701</v>
      </c>
      <c r="D137" s="171" t="s">
        <v>652</v>
      </c>
      <c r="E137" s="172">
        <v>64.349999999999994</v>
      </c>
      <c r="F137" s="109">
        <v>600</v>
      </c>
      <c r="G137" s="109">
        <f t="shared" si="8"/>
        <v>38610</v>
      </c>
      <c r="H137" s="110" t="s">
        <v>65</v>
      </c>
      <c r="I137" s="393" t="s">
        <v>66</v>
      </c>
      <c r="J137" s="95"/>
      <c r="K137" s="102"/>
      <c r="L137" s="102"/>
      <c r="M137" s="102"/>
      <c r="N137" s="103"/>
      <c r="P137" s="461"/>
      <c r="Q137" s="414"/>
    </row>
    <row r="138" spans="1:17" x14ac:dyDescent="0.25">
      <c r="A138" s="150">
        <f t="shared" si="9"/>
        <v>131</v>
      </c>
      <c r="B138" s="183">
        <v>46048</v>
      </c>
      <c r="C138" s="171" t="s">
        <v>695</v>
      </c>
      <c r="D138" s="171" t="s">
        <v>189</v>
      </c>
      <c r="E138" s="172">
        <v>64.45</v>
      </c>
      <c r="F138" s="109">
        <v>600</v>
      </c>
      <c r="G138" s="109">
        <f t="shared" si="8"/>
        <v>38670</v>
      </c>
      <c r="H138" s="110" t="s">
        <v>65</v>
      </c>
      <c r="I138" s="393" t="s">
        <v>66</v>
      </c>
      <c r="J138" s="95"/>
      <c r="K138" s="102"/>
      <c r="L138" s="102"/>
      <c r="M138" s="102"/>
      <c r="N138" s="103"/>
      <c r="P138" s="461"/>
      <c r="Q138" s="414"/>
    </row>
    <row r="139" spans="1:17" x14ac:dyDescent="0.25">
      <c r="A139" s="150">
        <f t="shared" si="9"/>
        <v>132</v>
      </c>
      <c r="B139" s="183">
        <v>46048</v>
      </c>
      <c r="C139" s="171" t="s">
        <v>701</v>
      </c>
      <c r="D139" s="171" t="s">
        <v>653</v>
      </c>
      <c r="E139" s="172">
        <v>64.5</v>
      </c>
      <c r="F139" s="109">
        <v>600</v>
      </c>
      <c r="G139" s="109">
        <f t="shared" si="8"/>
        <v>38700</v>
      </c>
      <c r="H139" s="110" t="s">
        <v>65</v>
      </c>
      <c r="I139" s="393" t="s">
        <v>66</v>
      </c>
      <c r="J139" s="95"/>
      <c r="K139" s="102"/>
      <c r="L139" s="102"/>
      <c r="M139" s="102"/>
      <c r="N139" s="103"/>
      <c r="P139" s="461"/>
      <c r="Q139" s="414"/>
    </row>
    <row r="140" spans="1:17" ht="15.75" thickBot="1" x14ac:dyDescent="0.3">
      <c r="A140" s="150">
        <f t="shared" si="9"/>
        <v>133</v>
      </c>
      <c r="B140" s="183">
        <v>46048</v>
      </c>
      <c r="C140" s="125" t="s">
        <v>702</v>
      </c>
      <c r="D140" s="125" t="s">
        <v>654</v>
      </c>
      <c r="E140" s="127">
        <v>64.55</v>
      </c>
      <c r="F140" s="109">
        <v>600</v>
      </c>
      <c r="G140" s="109">
        <f t="shared" si="8"/>
        <v>38730</v>
      </c>
      <c r="H140" s="110" t="s">
        <v>65</v>
      </c>
      <c r="I140" s="393" t="s">
        <v>66</v>
      </c>
      <c r="J140" s="160"/>
      <c r="K140" s="161"/>
      <c r="L140" s="161"/>
      <c r="M140" s="161"/>
      <c r="N140" s="162"/>
      <c r="P140" s="461"/>
      <c r="Q140" s="414"/>
    </row>
    <row r="141" spans="1:17" ht="15.75" thickBot="1" x14ac:dyDescent="0.3">
      <c r="A141" s="410"/>
      <c r="B141" s="411"/>
      <c r="C141" s="411"/>
      <c r="D141" s="411"/>
      <c r="E141" s="462">
        <f>SUM(E108:E140)</f>
        <v>2021.7499999999998</v>
      </c>
      <c r="F141" s="411"/>
      <c r="G141" s="463">
        <f>SUM(G108:G140)</f>
        <v>1213050</v>
      </c>
      <c r="H141" s="411"/>
      <c r="I141" s="412"/>
      <c r="J141" s="464"/>
      <c r="K141" s="465"/>
      <c r="L141" s="465"/>
      <c r="M141" s="465"/>
      <c r="N141" s="466"/>
      <c r="P141" s="461"/>
      <c r="Q141" s="414"/>
    </row>
    <row r="142" spans="1:17" x14ac:dyDescent="0.25">
      <c r="A142" s="131">
        <v>134</v>
      </c>
      <c r="B142" s="132">
        <v>46052</v>
      </c>
      <c r="C142" s="142" t="s">
        <v>712</v>
      </c>
      <c r="D142" s="467" t="s">
        <v>713</v>
      </c>
      <c r="E142" s="144">
        <v>62.1</v>
      </c>
      <c r="F142" s="87">
        <v>600</v>
      </c>
      <c r="G142" s="87">
        <f t="shared" ref="G142:G144" si="10">E142*F142</f>
        <v>37260</v>
      </c>
      <c r="H142" s="88" t="s">
        <v>65</v>
      </c>
      <c r="I142" s="89" t="s">
        <v>66</v>
      </c>
      <c r="J142" s="315"/>
      <c r="K142" s="133"/>
      <c r="L142" s="133"/>
      <c r="M142" s="133"/>
      <c r="N142" s="135"/>
      <c r="P142" s="461"/>
      <c r="Q142" s="414"/>
    </row>
    <row r="143" spans="1:17" x14ac:dyDescent="0.25">
      <c r="A143" s="95">
        <f>A142+1</f>
        <v>135</v>
      </c>
      <c r="B143" s="136">
        <v>46052</v>
      </c>
      <c r="C143" s="84" t="s">
        <v>714</v>
      </c>
      <c r="D143" s="468" t="s">
        <v>715</v>
      </c>
      <c r="E143" s="138">
        <v>64.5</v>
      </c>
      <c r="F143" s="109">
        <v>600</v>
      </c>
      <c r="G143" s="109">
        <f t="shared" si="10"/>
        <v>38700</v>
      </c>
      <c r="H143" s="110" t="s">
        <v>65</v>
      </c>
      <c r="I143" s="111" t="s">
        <v>66</v>
      </c>
      <c r="J143" s="319"/>
      <c r="K143" s="102"/>
      <c r="L143" s="102"/>
      <c r="M143" s="102"/>
      <c r="N143" s="103"/>
      <c r="P143" s="461"/>
      <c r="Q143" s="414"/>
    </row>
    <row r="144" spans="1:17" ht="15.75" thickBot="1" x14ac:dyDescent="0.3">
      <c r="A144" s="112">
        <f>A143+1</f>
        <v>136</v>
      </c>
      <c r="B144" s="141">
        <v>46052</v>
      </c>
      <c r="C144" s="154" t="s">
        <v>714</v>
      </c>
      <c r="D144" s="469" t="s">
        <v>716</v>
      </c>
      <c r="E144" s="156">
        <v>64.599999999999994</v>
      </c>
      <c r="F144" s="157">
        <v>600</v>
      </c>
      <c r="G144" s="157">
        <f t="shared" si="10"/>
        <v>38760</v>
      </c>
      <c r="H144" s="158" t="s">
        <v>65</v>
      </c>
      <c r="I144" s="159" t="s">
        <v>66</v>
      </c>
      <c r="J144" s="326"/>
      <c r="K144" s="113"/>
      <c r="L144" s="113"/>
      <c r="M144" s="113"/>
      <c r="N144" s="114"/>
      <c r="P144" s="461"/>
      <c r="Q144" s="414"/>
    </row>
    <row r="145" spans="1:17" ht="15.75" thickBot="1" x14ac:dyDescent="0.3">
      <c r="A145" s="401"/>
      <c r="B145" s="402"/>
      <c r="C145" s="402"/>
      <c r="D145" s="402"/>
      <c r="E145" s="413">
        <f>SUM(E142:E144)</f>
        <v>191.2</v>
      </c>
      <c r="F145" s="402"/>
      <c r="G145" s="404">
        <f>SUM(G142:G144)</f>
        <v>114720</v>
      </c>
      <c r="H145" s="402"/>
      <c r="I145" s="405"/>
      <c r="J145" s="406"/>
      <c r="K145" s="402"/>
      <c r="L145" s="402"/>
      <c r="M145" s="402"/>
      <c r="N145" s="405"/>
      <c r="P145" s="461"/>
      <c r="Q145" s="414"/>
    </row>
    <row r="146" spans="1:17" x14ac:dyDescent="0.25">
      <c r="A146" s="123">
        <v>137</v>
      </c>
      <c r="B146" s="170">
        <v>46053</v>
      </c>
      <c r="C146" s="125" t="s">
        <v>717</v>
      </c>
      <c r="D146" s="470" t="s">
        <v>718</v>
      </c>
      <c r="E146" s="127">
        <v>56.95</v>
      </c>
      <c r="F146" s="178">
        <v>600</v>
      </c>
      <c r="G146" s="178">
        <f t="shared" ref="G146:G166" si="11">E146*F146</f>
        <v>34170</v>
      </c>
      <c r="H146" s="179" t="s">
        <v>65</v>
      </c>
      <c r="I146" s="180" t="s">
        <v>66</v>
      </c>
      <c r="J146" s="181"/>
      <c r="K146" s="123"/>
      <c r="L146" s="123"/>
      <c r="M146" s="123"/>
      <c r="N146" s="182"/>
      <c r="P146" s="461"/>
      <c r="Q146" s="414"/>
    </row>
    <row r="147" spans="1:17" x14ac:dyDescent="0.25">
      <c r="A147" s="102">
        <f>A146+1</f>
        <v>138</v>
      </c>
      <c r="B147" s="136">
        <v>46053</v>
      </c>
      <c r="C147" s="84" t="s">
        <v>717</v>
      </c>
      <c r="D147" s="468" t="s">
        <v>719</v>
      </c>
      <c r="E147" s="138">
        <v>64.2</v>
      </c>
      <c r="F147" s="109">
        <v>600</v>
      </c>
      <c r="G147" s="109">
        <f t="shared" si="11"/>
        <v>38520</v>
      </c>
      <c r="H147" s="110" t="s">
        <v>65</v>
      </c>
      <c r="I147" s="111" t="s">
        <v>66</v>
      </c>
      <c r="J147" s="95"/>
      <c r="K147" s="102"/>
      <c r="L147" s="102"/>
      <c r="M147" s="102"/>
      <c r="N147" s="103"/>
      <c r="P147" s="461"/>
      <c r="Q147" s="414"/>
    </row>
    <row r="148" spans="1:17" x14ac:dyDescent="0.25">
      <c r="A148" s="102">
        <f t="shared" ref="A148:A166" si="12">A147+1</f>
        <v>139</v>
      </c>
      <c r="B148" s="136">
        <v>46053</v>
      </c>
      <c r="C148" s="84" t="s">
        <v>717</v>
      </c>
      <c r="D148" s="468" t="s">
        <v>720</v>
      </c>
      <c r="E148" s="138">
        <v>64.25</v>
      </c>
      <c r="F148" s="109">
        <v>600</v>
      </c>
      <c r="G148" s="109">
        <f t="shared" si="11"/>
        <v>38550</v>
      </c>
      <c r="H148" s="110" t="s">
        <v>65</v>
      </c>
      <c r="I148" s="111" t="s">
        <v>66</v>
      </c>
      <c r="J148" s="95"/>
      <c r="K148" s="102"/>
      <c r="L148" s="102"/>
      <c r="M148" s="102"/>
      <c r="N148" s="103"/>
      <c r="P148" s="461"/>
      <c r="Q148" s="414"/>
    </row>
    <row r="149" spans="1:17" x14ac:dyDescent="0.25">
      <c r="A149" s="102">
        <f t="shared" si="12"/>
        <v>140</v>
      </c>
      <c r="B149" s="136">
        <v>46053</v>
      </c>
      <c r="C149" s="84" t="s">
        <v>717</v>
      </c>
      <c r="D149" s="468" t="s">
        <v>721</v>
      </c>
      <c r="E149" s="138">
        <v>64.25</v>
      </c>
      <c r="F149" s="109">
        <v>600</v>
      </c>
      <c r="G149" s="109">
        <f t="shared" si="11"/>
        <v>38550</v>
      </c>
      <c r="H149" s="110" t="s">
        <v>65</v>
      </c>
      <c r="I149" s="111" t="s">
        <v>66</v>
      </c>
      <c r="J149" s="95"/>
      <c r="K149" s="102"/>
      <c r="L149" s="102"/>
      <c r="M149" s="102"/>
      <c r="N149" s="103"/>
      <c r="P149" s="461"/>
      <c r="Q149" s="414"/>
    </row>
    <row r="150" spans="1:17" x14ac:dyDescent="0.25">
      <c r="A150" s="102">
        <f t="shared" si="12"/>
        <v>141</v>
      </c>
      <c r="B150" s="136">
        <v>46053</v>
      </c>
      <c r="C150" s="84" t="s">
        <v>717</v>
      </c>
      <c r="D150" s="468" t="s">
        <v>722</v>
      </c>
      <c r="E150" s="138">
        <v>64.3</v>
      </c>
      <c r="F150" s="109">
        <v>600</v>
      </c>
      <c r="G150" s="109">
        <f t="shared" si="11"/>
        <v>38580</v>
      </c>
      <c r="H150" s="110" t="s">
        <v>65</v>
      </c>
      <c r="I150" s="111" t="s">
        <v>66</v>
      </c>
      <c r="J150" s="95"/>
      <c r="K150" s="102"/>
      <c r="L150" s="102"/>
      <c r="M150" s="102"/>
      <c r="N150" s="103"/>
      <c r="P150" s="461"/>
      <c r="Q150" s="414"/>
    </row>
    <row r="151" spans="1:17" x14ac:dyDescent="0.25">
      <c r="A151" s="102">
        <f t="shared" si="12"/>
        <v>142</v>
      </c>
      <c r="B151" s="136">
        <v>46053</v>
      </c>
      <c r="C151" s="84" t="s">
        <v>717</v>
      </c>
      <c r="D151" s="468" t="s">
        <v>723</v>
      </c>
      <c r="E151" s="138">
        <v>64.3</v>
      </c>
      <c r="F151" s="109">
        <v>600</v>
      </c>
      <c r="G151" s="109">
        <f t="shared" si="11"/>
        <v>38580</v>
      </c>
      <c r="H151" s="110" t="s">
        <v>65</v>
      </c>
      <c r="I151" s="111" t="s">
        <v>66</v>
      </c>
      <c r="J151" s="95"/>
      <c r="K151" s="102"/>
      <c r="L151" s="102"/>
      <c r="M151" s="102"/>
      <c r="N151" s="103"/>
      <c r="P151" s="461"/>
      <c r="Q151" s="414"/>
    </row>
    <row r="152" spans="1:17" x14ac:dyDescent="0.25">
      <c r="A152" s="102">
        <f t="shared" si="12"/>
        <v>143</v>
      </c>
      <c r="B152" s="136">
        <v>46053</v>
      </c>
      <c r="C152" s="84" t="s">
        <v>717</v>
      </c>
      <c r="D152" s="468" t="s">
        <v>724</v>
      </c>
      <c r="E152" s="138">
        <v>64.3</v>
      </c>
      <c r="F152" s="109">
        <v>600</v>
      </c>
      <c r="G152" s="109">
        <f t="shared" si="11"/>
        <v>38580</v>
      </c>
      <c r="H152" s="110" t="s">
        <v>65</v>
      </c>
      <c r="I152" s="111" t="s">
        <v>66</v>
      </c>
      <c r="J152" s="95"/>
      <c r="K152" s="102"/>
      <c r="L152" s="102"/>
      <c r="M152" s="102"/>
      <c r="N152" s="103"/>
      <c r="P152" s="461"/>
      <c r="Q152" s="414"/>
    </row>
    <row r="153" spans="1:17" x14ac:dyDescent="0.25">
      <c r="A153" s="102">
        <f t="shared" si="12"/>
        <v>144</v>
      </c>
      <c r="B153" s="136">
        <v>46053</v>
      </c>
      <c r="C153" s="84" t="s">
        <v>725</v>
      </c>
      <c r="D153" s="468" t="s">
        <v>726</v>
      </c>
      <c r="E153" s="138">
        <v>64.3</v>
      </c>
      <c r="F153" s="109">
        <v>600</v>
      </c>
      <c r="G153" s="109">
        <f t="shared" si="11"/>
        <v>38580</v>
      </c>
      <c r="H153" s="110" t="s">
        <v>65</v>
      </c>
      <c r="I153" s="111" t="s">
        <v>66</v>
      </c>
      <c r="J153" s="95"/>
      <c r="K153" s="102"/>
      <c r="L153" s="102"/>
      <c r="M153" s="102"/>
      <c r="N153" s="103"/>
      <c r="P153" s="461"/>
      <c r="Q153" s="414"/>
    </row>
    <row r="154" spans="1:17" x14ac:dyDescent="0.25">
      <c r="A154" s="102">
        <f t="shared" si="12"/>
        <v>145</v>
      </c>
      <c r="B154" s="136">
        <v>46053</v>
      </c>
      <c r="C154" s="84" t="s">
        <v>725</v>
      </c>
      <c r="D154" s="468" t="s">
        <v>727</v>
      </c>
      <c r="E154" s="138">
        <v>64.349999999999994</v>
      </c>
      <c r="F154" s="109">
        <v>600</v>
      </c>
      <c r="G154" s="109">
        <f t="shared" si="11"/>
        <v>38610</v>
      </c>
      <c r="H154" s="110" t="s">
        <v>65</v>
      </c>
      <c r="I154" s="111" t="s">
        <v>66</v>
      </c>
      <c r="J154" s="95"/>
      <c r="K154" s="102"/>
      <c r="L154" s="102"/>
      <c r="M154" s="102"/>
      <c r="N154" s="103"/>
      <c r="P154" s="461"/>
      <c r="Q154" s="414"/>
    </row>
    <row r="155" spans="1:17" x14ac:dyDescent="0.25">
      <c r="A155" s="102">
        <f t="shared" si="12"/>
        <v>146</v>
      </c>
      <c r="B155" s="136">
        <v>46053</v>
      </c>
      <c r="C155" s="84" t="s">
        <v>728</v>
      </c>
      <c r="D155" s="468" t="s">
        <v>729</v>
      </c>
      <c r="E155" s="138">
        <v>64.349999999999994</v>
      </c>
      <c r="F155" s="109">
        <v>600</v>
      </c>
      <c r="G155" s="109">
        <f t="shared" si="11"/>
        <v>38610</v>
      </c>
      <c r="H155" s="110" t="s">
        <v>65</v>
      </c>
      <c r="I155" s="111" t="s">
        <v>66</v>
      </c>
      <c r="J155" s="95"/>
      <c r="K155" s="102"/>
      <c r="L155" s="102"/>
      <c r="M155" s="102"/>
      <c r="N155" s="103"/>
      <c r="P155" s="461"/>
      <c r="Q155" s="414"/>
    </row>
    <row r="156" spans="1:17" x14ac:dyDescent="0.25">
      <c r="A156" s="102">
        <f t="shared" si="12"/>
        <v>147</v>
      </c>
      <c r="B156" s="136">
        <v>46053</v>
      </c>
      <c r="C156" s="84" t="s">
        <v>717</v>
      </c>
      <c r="D156" s="468" t="s">
        <v>730</v>
      </c>
      <c r="E156" s="138">
        <v>64.349999999999994</v>
      </c>
      <c r="F156" s="109">
        <v>600</v>
      </c>
      <c r="G156" s="109">
        <f t="shared" si="11"/>
        <v>38610</v>
      </c>
      <c r="H156" s="110" t="s">
        <v>65</v>
      </c>
      <c r="I156" s="111" t="s">
        <v>66</v>
      </c>
      <c r="J156" s="95"/>
      <c r="K156" s="102"/>
      <c r="L156" s="102"/>
      <c r="M156" s="102"/>
      <c r="N156" s="103"/>
      <c r="P156" s="461"/>
      <c r="Q156" s="414"/>
    </row>
    <row r="157" spans="1:17" x14ac:dyDescent="0.25">
      <c r="A157" s="102">
        <f t="shared" si="12"/>
        <v>148</v>
      </c>
      <c r="B157" s="136">
        <v>46053</v>
      </c>
      <c r="C157" s="84" t="s">
        <v>717</v>
      </c>
      <c r="D157" s="468" t="s">
        <v>731</v>
      </c>
      <c r="E157" s="138">
        <v>64.400000000000006</v>
      </c>
      <c r="F157" s="109">
        <v>600</v>
      </c>
      <c r="G157" s="109">
        <f t="shared" si="11"/>
        <v>38640</v>
      </c>
      <c r="H157" s="110" t="s">
        <v>65</v>
      </c>
      <c r="I157" s="111" t="s">
        <v>66</v>
      </c>
      <c r="J157" s="95"/>
      <c r="K157" s="102"/>
      <c r="L157" s="102"/>
      <c r="M157" s="102"/>
      <c r="N157" s="103"/>
      <c r="P157" s="461"/>
      <c r="Q157" s="414"/>
    </row>
    <row r="158" spans="1:17" x14ac:dyDescent="0.25">
      <c r="A158" s="102">
        <f t="shared" si="12"/>
        <v>149</v>
      </c>
      <c r="B158" s="136">
        <v>46053</v>
      </c>
      <c r="C158" s="84" t="s">
        <v>725</v>
      </c>
      <c r="D158" s="468" t="s">
        <v>732</v>
      </c>
      <c r="E158" s="138">
        <v>64.400000000000006</v>
      </c>
      <c r="F158" s="109">
        <v>600</v>
      </c>
      <c r="G158" s="109">
        <f t="shared" si="11"/>
        <v>38640</v>
      </c>
      <c r="H158" s="110" t="s">
        <v>65</v>
      </c>
      <c r="I158" s="111" t="s">
        <v>66</v>
      </c>
      <c r="J158" s="95"/>
      <c r="K158" s="102"/>
      <c r="L158" s="102"/>
      <c r="M158" s="102"/>
      <c r="N158" s="103"/>
      <c r="P158" s="461"/>
      <c r="Q158" s="414"/>
    </row>
    <row r="159" spans="1:17" x14ac:dyDescent="0.25">
      <c r="A159" s="102">
        <f t="shared" si="12"/>
        <v>150</v>
      </c>
      <c r="B159" s="136">
        <v>46053</v>
      </c>
      <c r="C159" s="84" t="s">
        <v>733</v>
      </c>
      <c r="D159" s="468" t="s">
        <v>734</v>
      </c>
      <c r="E159" s="138">
        <v>64.45</v>
      </c>
      <c r="F159" s="109">
        <v>600</v>
      </c>
      <c r="G159" s="109">
        <f t="shared" si="11"/>
        <v>38670</v>
      </c>
      <c r="H159" s="110" t="s">
        <v>65</v>
      </c>
      <c r="I159" s="111" t="s">
        <v>66</v>
      </c>
      <c r="J159" s="95"/>
      <c r="K159" s="102"/>
      <c r="L159" s="102"/>
      <c r="M159" s="102"/>
      <c r="N159" s="103"/>
      <c r="P159" s="461"/>
      <c r="Q159" s="414"/>
    </row>
    <row r="160" spans="1:17" x14ac:dyDescent="0.25">
      <c r="A160" s="102">
        <f t="shared" si="12"/>
        <v>151</v>
      </c>
      <c r="B160" s="136">
        <v>46053</v>
      </c>
      <c r="C160" s="84" t="s">
        <v>717</v>
      </c>
      <c r="D160" s="468" t="s">
        <v>399</v>
      </c>
      <c r="E160" s="138">
        <v>64.45</v>
      </c>
      <c r="F160" s="109">
        <v>600</v>
      </c>
      <c r="G160" s="109">
        <f t="shared" si="11"/>
        <v>38670</v>
      </c>
      <c r="H160" s="110" t="s">
        <v>65</v>
      </c>
      <c r="I160" s="111" t="s">
        <v>66</v>
      </c>
      <c r="J160" s="95"/>
      <c r="K160" s="102"/>
      <c r="L160" s="102"/>
      <c r="M160" s="102"/>
      <c r="N160" s="103"/>
      <c r="P160" s="461"/>
      <c r="Q160" s="414"/>
    </row>
    <row r="161" spans="1:21" ht="16.5" customHeight="1" x14ac:dyDescent="0.25">
      <c r="A161" s="102">
        <f t="shared" si="12"/>
        <v>152</v>
      </c>
      <c r="B161" s="136">
        <v>46053</v>
      </c>
      <c r="C161" s="84" t="s">
        <v>717</v>
      </c>
      <c r="D161" s="468" t="s">
        <v>735</v>
      </c>
      <c r="E161" s="138">
        <v>64.45</v>
      </c>
      <c r="F161" s="109">
        <v>600</v>
      </c>
      <c r="G161" s="109">
        <f>E161*F161</f>
        <v>38670</v>
      </c>
      <c r="H161" s="110" t="s">
        <v>65</v>
      </c>
      <c r="I161" s="111" t="s">
        <v>66</v>
      </c>
      <c r="J161" s="95"/>
      <c r="K161" s="102"/>
      <c r="L161" s="102"/>
      <c r="M161" s="102"/>
      <c r="N161" s="103"/>
      <c r="P161" s="461"/>
      <c r="Q161" s="414"/>
    </row>
    <row r="162" spans="1:21" ht="16.5" customHeight="1" x14ac:dyDescent="0.25">
      <c r="A162" s="102">
        <f t="shared" si="12"/>
        <v>153</v>
      </c>
      <c r="B162" s="136">
        <v>46053</v>
      </c>
      <c r="C162" s="84" t="s">
        <v>717</v>
      </c>
      <c r="D162" s="468" t="s">
        <v>736</v>
      </c>
      <c r="E162" s="138">
        <v>64.5</v>
      </c>
      <c r="F162" s="109">
        <v>600</v>
      </c>
      <c r="G162" s="109">
        <f t="shared" si="11"/>
        <v>38700</v>
      </c>
      <c r="H162" s="110" t="s">
        <v>65</v>
      </c>
      <c r="I162" s="111" t="s">
        <v>66</v>
      </c>
      <c r="J162" s="95"/>
      <c r="K162" s="102"/>
      <c r="L162" s="102"/>
      <c r="M162" s="102"/>
      <c r="N162" s="103"/>
      <c r="P162" s="461"/>
      <c r="Q162" s="414"/>
    </row>
    <row r="163" spans="1:21" ht="16.5" customHeight="1" x14ac:dyDescent="0.25">
      <c r="A163" s="102">
        <f t="shared" si="12"/>
        <v>154</v>
      </c>
      <c r="B163" s="136">
        <v>46053</v>
      </c>
      <c r="C163" s="84" t="s">
        <v>717</v>
      </c>
      <c r="D163" s="468" t="s">
        <v>737</v>
      </c>
      <c r="E163" s="138">
        <v>64.5</v>
      </c>
      <c r="F163" s="109">
        <v>600</v>
      </c>
      <c r="G163" s="109">
        <f t="shared" si="11"/>
        <v>38700</v>
      </c>
      <c r="H163" s="110" t="s">
        <v>65</v>
      </c>
      <c r="I163" s="111" t="s">
        <v>66</v>
      </c>
      <c r="J163" s="95"/>
      <c r="K163" s="102"/>
      <c r="L163" s="102"/>
      <c r="M163" s="102"/>
      <c r="N163" s="103"/>
      <c r="P163" s="461"/>
      <c r="Q163" s="414"/>
    </row>
    <row r="164" spans="1:21" ht="16.5" customHeight="1" x14ac:dyDescent="0.25">
      <c r="A164" s="102">
        <f t="shared" si="12"/>
        <v>155</v>
      </c>
      <c r="B164" s="136">
        <v>46053</v>
      </c>
      <c r="C164" s="84" t="s">
        <v>728</v>
      </c>
      <c r="D164" s="468" t="s">
        <v>738</v>
      </c>
      <c r="E164" s="138">
        <v>64.5</v>
      </c>
      <c r="F164" s="109">
        <v>600</v>
      </c>
      <c r="G164" s="109">
        <f t="shared" si="11"/>
        <v>38700</v>
      </c>
      <c r="H164" s="110" t="s">
        <v>65</v>
      </c>
      <c r="I164" s="111" t="s">
        <v>66</v>
      </c>
      <c r="J164" s="95"/>
      <c r="K164" s="102"/>
      <c r="L164" s="102"/>
      <c r="M164" s="102"/>
      <c r="N164" s="103"/>
      <c r="P164" s="461"/>
      <c r="Q164" s="414"/>
    </row>
    <row r="165" spans="1:21" ht="16.5" customHeight="1" x14ac:dyDescent="0.25">
      <c r="A165" s="102">
        <f t="shared" si="12"/>
        <v>156</v>
      </c>
      <c r="B165" s="136">
        <v>46053</v>
      </c>
      <c r="C165" s="84" t="s">
        <v>728</v>
      </c>
      <c r="D165" s="468" t="s">
        <v>739</v>
      </c>
      <c r="E165" s="138">
        <v>64.599999999999994</v>
      </c>
      <c r="F165" s="109">
        <v>600</v>
      </c>
      <c r="G165" s="109">
        <f t="shared" si="11"/>
        <v>38760</v>
      </c>
      <c r="H165" s="110" t="s">
        <v>65</v>
      </c>
      <c r="I165" s="111" t="s">
        <v>66</v>
      </c>
      <c r="J165" s="95"/>
      <c r="K165" s="102"/>
      <c r="L165" s="102"/>
      <c r="M165" s="102"/>
      <c r="N165" s="103"/>
      <c r="P165" s="461"/>
      <c r="Q165" s="414"/>
    </row>
    <row r="166" spans="1:21" ht="16.5" customHeight="1" thickBot="1" x14ac:dyDescent="0.3">
      <c r="A166" s="150">
        <f t="shared" si="12"/>
        <v>157</v>
      </c>
      <c r="B166" s="170">
        <v>46053</v>
      </c>
      <c r="C166" s="106" t="s">
        <v>728</v>
      </c>
      <c r="D166" s="471" t="s">
        <v>740</v>
      </c>
      <c r="E166" s="140">
        <v>64.599999999999994</v>
      </c>
      <c r="F166" s="109">
        <v>600</v>
      </c>
      <c r="G166" s="109">
        <f t="shared" si="11"/>
        <v>38760</v>
      </c>
      <c r="H166" s="110" t="s">
        <v>65</v>
      </c>
      <c r="I166" s="111" t="s">
        <v>66</v>
      </c>
      <c r="J166" s="112"/>
      <c r="K166" s="113"/>
      <c r="L166" s="113"/>
      <c r="M166" s="113"/>
      <c r="N166" s="114"/>
      <c r="P166" s="461"/>
      <c r="Q166" s="414"/>
    </row>
    <row r="167" spans="1:21" ht="16.5" customHeight="1" thickBot="1" x14ac:dyDescent="0.3">
      <c r="A167" s="401"/>
      <c r="B167" s="402"/>
      <c r="C167" s="402"/>
      <c r="D167" s="406"/>
      <c r="E167" s="413">
        <f>SUM(E146:E166)</f>
        <v>1344.75</v>
      </c>
      <c r="F167" s="402"/>
      <c r="G167" s="404">
        <f>SUM(G146:G166)</f>
        <v>806850</v>
      </c>
      <c r="H167" s="402"/>
      <c r="I167" s="405"/>
      <c r="J167" s="416"/>
      <c r="K167" s="417"/>
      <c r="L167" s="417"/>
      <c r="M167" s="417"/>
      <c r="N167" s="418"/>
      <c r="P167" s="461"/>
      <c r="Q167" s="414"/>
      <c r="U167" s="415"/>
    </row>
    <row r="168" spans="1:21" ht="16.5" customHeight="1" thickBot="1" x14ac:dyDescent="0.3">
      <c r="A168" s="238">
        <v>158</v>
      </c>
      <c r="B168" s="239">
        <v>46053</v>
      </c>
      <c r="C168" s="240" t="s">
        <v>741</v>
      </c>
      <c r="D168" s="472" t="s">
        <v>742</v>
      </c>
      <c r="E168" s="241">
        <v>56.95</v>
      </c>
      <c r="F168" s="242">
        <v>600</v>
      </c>
      <c r="G168" s="242">
        <f t="shared" ref="G168" si="13">E168*F168</f>
        <v>34170</v>
      </c>
      <c r="H168" s="243" t="s">
        <v>65</v>
      </c>
      <c r="I168" s="244" t="s">
        <v>66</v>
      </c>
      <c r="J168" s="389"/>
      <c r="K168" s="161"/>
      <c r="L168" s="161"/>
      <c r="M168" s="161"/>
      <c r="N168" s="162"/>
      <c r="P168" s="461"/>
      <c r="Q168" s="414"/>
    </row>
    <row r="169" spans="1:21" ht="16.5" customHeight="1" thickBot="1" x14ac:dyDescent="0.3">
      <c r="A169" s="401"/>
      <c r="B169" s="402"/>
      <c r="C169" s="402"/>
      <c r="D169" s="402"/>
      <c r="E169" s="473">
        <f>E168</f>
        <v>56.95</v>
      </c>
      <c r="F169" s="402"/>
      <c r="G169" s="404">
        <f>G168</f>
        <v>34170</v>
      </c>
      <c r="H169" s="402"/>
      <c r="I169" s="405"/>
      <c r="J169" s="416"/>
      <c r="K169" s="417"/>
      <c r="L169" s="417"/>
      <c r="M169" s="417"/>
      <c r="N169" s="418"/>
      <c r="P169" s="461"/>
      <c r="Q169" s="414"/>
    </row>
    <row r="170" spans="1:21" ht="16.5" customHeight="1" thickBot="1" x14ac:dyDescent="0.3">
      <c r="A170" s="419"/>
      <c r="B170" s="420"/>
      <c r="C170" s="420"/>
      <c r="D170" s="420"/>
      <c r="E170" s="421">
        <f>E34+E59+E84+E141+E107+E169+E167+E145</f>
        <v>9967.6500000000015</v>
      </c>
      <c r="F170" s="420"/>
      <c r="G170" s="422">
        <f>G34+G59++G84+G141+G107+G169+G167+G145</f>
        <v>5980590</v>
      </c>
      <c r="H170" s="420"/>
      <c r="I170" s="423"/>
      <c r="J170" s="424"/>
      <c r="K170" s="420"/>
      <c r="L170" s="420"/>
      <c r="M170" s="420"/>
      <c r="N170" s="423"/>
      <c r="P170" s="461"/>
      <c r="Q170" s="414"/>
    </row>
    <row r="171" spans="1:21" ht="16.5" customHeight="1" x14ac:dyDescent="0.25">
      <c r="P171" s="461"/>
      <c r="Q171" s="414"/>
    </row>
    <row r="172" spans="1:21" ht="16.5" customHeight="1" thickBot="1" x14ac:dyDescent="0.3">
      <c r="P172" s="461"/>
      <c r="Q172" s="414"/>
    </row>
    <row r="173" spans="1:21" ht="16.5" customHeight="1" x14ac:dyDescent="0.25">
      <c r="B173" s="630" t="s">
        <v>494</v>
      </c>
      <c r="C173" s="631"/>
      <c r="D173" s="632"/>
      <c r="E173" s="298">
        <v>20000</v>
      </c>
      <c r="P173" s="461"/>
      <c r="Q173" s="414"/>
    </row>
    <row r="174" spans="1:21" ht="16.5" customHeight="1" x14ac:dyDescent="0.25">
      <c r="B174" s="633" t="s">
        <v>495</v>
      </c>
      <c r="C174" s="634"/>
      <c r="D174" s="635"/>
      <c r="E174" s="299">
        <f>E170</f>
        <v>9967.6500000000015</v>
      </c>
      <c r="P174" s="461"/>
      <c r="Q174" s="414"/>
    </row>
    <row r="175" spans="1:21" ht="16.5" customHeight="1" thickBot="1" x14ac:dyDescent="0.3">
      <c r="B175" s="636" t="s">
        <v>496</v>
      </c>
      <c r="C175" s="637"/>
      <c r="D175" s="638"/>
      <c r="E175" s="300">
        <f>E173-E174</f>
        <v>10032.349999999999</v>
      </c>
      <c r="P175" s="461"/>
      <c r="Q175" s="414"/>
    </row>
    <row r="176" spans="1:21" ht="16.5" customHeight="1" x14ac:dyDescent="0.25">
      <c r="P176" s="461"/>
      <c r="Q176" s="414"/>
    </row>
    <row r="177" spans="16:17" x14ac:dyDescent="0.25">
      <c r="P177" s="461"/>
      <c r="Q177" s="414"/>
    </row>
  </sheetData>
  <mergeCells count="5">
    <mergeCell ref="B173:D173"/>
    <mergeCell ref="B174:D174"/>
    <mergeCell ref="B175:D175"/>
    <mergeCell ref="A1:N1"/>
    <mergeCell ref="A2:N2"/>
  </mergeCells>
  <conditionalFormatting sqref="D3">
    <cfRule type="duplicateValues" dxfId="3" priority="2"/>
  </conditionalFormatting>
  <conditionalFormatting sqref="D173:D175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topLeftCell="A165" workbookViewId="0">
      <selection activeCell="G183" sqref="G183"/>
    </sheetView>
  </sheetViews>
  <sheetFormatPr defaultColWidth="9.140625" defaultRowHeight="15" x14ac:dyDescent="0.25"/>
  <cols>
    <col min="1" max="1" width="9.140625" style="69"/>
    <col min="2" max="2" width="12" style="69" customWidth="1"/>
    <col min="3" max="3" width="10.28515625" style="69" customWidth="1"/>
    <col min="4" max="4" width="9.140625" style="69"/>
    <col min="5" max="5" width="11.140625" style="69" customWidth="1"/>
    <col min="6" max="6" width="9.5703125" style="69" bestFit="1" customWidth="1"/>
    <col min="7" max="7" width="24.42578125" style="69" customWidth="1"/>
    <col min="8" max="8" width="18.7109375" style="69" customWidth="1"/>
    <col min="9" max="9" width="11.5703125" style="69" customWidth="1"/>
    <col min="10" max="16384" width="9.140625" style="69"/>
  </cols>
  <sheetData>
    <row r="1" spans="1:14" ht="25.5" customHeight="1" x14ac:dyDescent="0.25">
      <c r="A1" s="650" t="s">
        <v>47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</row>
    <row r="2" spans="1:14" ht="24.75" customHeight="1" thickBot="1" x14ac:dyDescent="0.3">
      <c r="A2" s="651" t="s">
        <v>743</v>
      </c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</row>
    <row r="3" spans="1:14" ht="60.75" thickBot="1" x14ac:dyDescent="0.3">
      <c r="A3" s="70" t="s">
        <v>51</v>
      </c>
      <c r="B3" s="71" t="s">
        <v>1</v>
      </c>
      <c r="C3" s="72" t="s">
        <v>52</v>
      </c>
      <c r="D3" s="77" t="s">
        <v>53</v>
      </c>
      <c r="E3" s="74" t="s">
        <v>54</v>
      </c>
      <c r="F3" s="475" t="s">
        <v>744</v>
      </c>
      <c r="G3" s="76" t="s">
        <v>56</v>
      </c>
      <c r="H3" s="77" t="s">
        <v>57</v>
      </c>
      <c r="I3" s="78" t="s">
        <v>58</v>
      </c>
      <c r="J3" s="309" t="s">
        <v>59</v>
      </c>
      <c r="K3" s="310" t="s">
        <v>60</v>
      </c>
      <c r="L3" s="310" t="s">
        <v>61</v>
      </c>
      <c r="M3" s="310" t="s">
        <v>10</v>
      </c>
      <c r="N3" s="311" t="s">
        <v>62</v>
      </c>
    </row>
    <row r="4" spans="1:14" ht="13.5" customHeight="1" x14ac:dyDescent="0.25">
      <c r="A4" s="476">
        <v>1</v>
      </c>
      <c r="B4" s="477">
        <v>46054</v>
      </c>
      <c r="C4" s="478" t="s">
        <v>745</v>
      </c>
      <c r="D4" s="479">
        <v>58642927</v>
      </c>
      <c r="E4" s="480">
        <v>61.55</v>
      </c>
      <c r="F4" s="481">
        <v>580</v>
      </c>
      <c r="G4" s="482">
        <f>E4*F4</f>
        <v>35699</v>
      </c>
      <c r="H4" s="483" t="s">
        <v>65</v>
      </c>
      <c r="I4" s="484" t="s">
        <v>66</v>
      </c>
      <c r="J4" s="485"/>
      <c r="K4" s="486"/>
      <c r="L4" s="486"/>
      <c r="M4" s="486"/>
      <c r="N4" s="487"/>
    </row>
    <row r="5" spans="1:14" ht="13.5" customHeight="1" x14ac:dyDescent="0.25">
      <c r="A5" s="488">
        <f>A4+1</f>
        <v>2</v>
      </c>
      <c r="B5" s="477">
        <v>46054</v>
      </c>
      <c r="C5" s="171" t="s">
        <v>745</v>
      </c>
      <c r="D5" s="489">
        <v>53977104</v>
      </c>
      <c r="E5" s="490">
        <v>52.9</v>
      </c>
      <c r="F5" s="481">
        <v>580</v>
      </c>
      <c r="G5" s="482">
        <f t="shared" ref="G4:G37" si="0">E5*F5</f>
        <v>30682</v>
      </c>
      <c r="H5" s="483" t="s">
        <v>65</v>
      </c>
      <c r="I5" s="484" t="s">
        <v>66</v>
      </c>
      <c r="J5" s="491"/>
      <c r="K5" s="488"/>
      <c r="L5" s="488"/>
      <c r="M5" s="488"/>
      <c r="N5" s="492"/>
    </row>
    <row r="6" spans="1:14" ht="13.5" customHeight="1" x14ac:dyDescent="0.25">
      <c r="A6" s="488">
        <f t="shared" ref="A6:A36" si="1">A5+1</f>
        <v>3</v>
      </c>
      <c r="B6" s="477">
        <v>46054</v>
      </c>
      <c r="C6" s="171" t="s">
        <v>745</v>
      </c>
      <c r="D6" s="489">
        <v>57399768</v>
      </c>
      <c r="E6" s="490">
        <v>61.9</v>
      </c>
      <c r="F6" s="481">
        <v>580</v>
      </c>
      <c r="G6" s="482">
        <f t="shared" si="0"/>
        <v>35902</v>
      </c>
      <c r="H6" s="483" t="s">
        <v>65</v>
      </c>
      <c r="I6" s="484" t="s">
        <v>66</v>
      </c>
      <c r="J6" s="491"/>
      <c r="K6" s="488"/>
      <c r="L6" s="488"/>
      <c r="M6" s="488"/>
      <c r="N6" s="492"/>
    </row>
    <row r="7" spans="1:14" ht="13.5" customHeight="1" x14ac:dyDescent="0.25">
      <c r="A7" s="488">
        <f t="shared" si="1"/>
        <v>4</v>
      </c>
      <c r="B7" s="477">
        <v>46054</v>
      </c>
      <c r="C7" s="171" t="s">
        <v>745</v>
      </c>
      <c r="D7" s="489">
        <v>54240023</v>
      </c>
      <c r="E7" s="490">
        <v>61.65</v>
      </c>
      <c r="F7" s="481">
        <v>580</v>
      </c>
      <c r="G7" s="482">
        <f t="shared" si="0"/>
        <v>35757</v>
      </c>
      <c r="H7" s="483" t="s">
        <v>65</v>
      </c>
      <c r="I7" s="484" t="s">
        <v>66</v>
      </c>
      <c r="J7" s="491"/>
      <c r="K7" s="488"/>
      <c r="L7" s="488"/>
      <c r="M7" s="488"/>
      <c r="N7" s="492"/>
    </row>
    <row r="8" spans="1:14" ht="13.5" customHeight="1" x14ac:dyDescent="0.25">
      <c r="A8" s="488">
        <f t="shared" si="1"/>
        <v>5</v>
      </c>
      <c r="B8" s="477">
        <v>46054</v>
      </c>
      <c r="C8" s="171" t="s">
        <v>745</v>
      </c>
      <c r="D8" s="489">
        <v>76838499</v>
      </c>
      <c r="E8" s="490">
        <v>62.1</v>
      </c>
      <c r="F8" s="481">
        <v>580</v>
      </c>
      <c r="G8" s="482">
        <f t="shared" si="0"/>
        <v>36018</v>
      </c>
      <c r="H8" s="483" t="s">
        <v>65</v>
      </c>
      <c r="I8" s="484" t="s">
        <v>66</v>
      </c>
      <c r="J8" s="491"/>
      <c r="K8" s="488"/>
      <c r="L8" s="488"/>
      <c r="M8" s="488"/>
      <c r="N8" s="492"/>
    </row>
    <row r="9" spans="1:14" ht="13.5" customHeight="1" x14ac:dyDescent="0.25">
      <c r="A9" s="488">
        <f t="shared" si="1"/>
        <v>6</v>
      </c>
      <c r="B9" s="477">
        <v>46054</v>
      </c>
      <c r="C9" s="171" t="s">
        <v>745</v>
      </c>
      <c r="D9" s="489">
        <v>51449718</v>
      </c>
      <c r="E9" s="490">
        <v>51.8</v>
      </c>
      <c r="F9" s="481">
        <v>580</v>
      </c>
      <c r="G9" s="482">
        <f>E9*F9</f>
        <v>30044</v>
      </c>
      <c r="H9" s="483" t="s">
        <v>65</v>
      </c>
      <c r="I9" s="484" t="s">
        <v>66</v>
      </c>
      <c r="J9" s="491"/>
      <c r="K9" s="488"/>
      <c r="L9" s="488"/>
      <c r="M9" s="488"/>
      <c r="N9" s="492"/>
    </row>
    <row r="10" spans="1:14" ht="13.5" customHeight="1" x14ac:dyDescent="0.25">
      <c r="A10" s="488">
        <f t="shared" si="1"/>
        <v>7</v>
      </c>
      <c r="B10" s="477">
        <v>46054</v>
      </c>
      <c r="C10" s="171" t="s">
        <v>745</v>
      </c>
      <c r="D10" s="489">
        <v>73138950</v>
      </c>
      <c r="E10" s="490">
        <v>61.6</v>
      </c>
      <c r="F10" s="481">
        <v>580</v>
      </c>
      <c r="G10" s="482">
        <f t="shared" si="0"/>
        <v>35728</v>
      </c>
      <c r="H10" s="483" t="s">
        <v>65</v>
      </c>
      <c r="I10" s="484" t="s">
        <v>66</v>
      </c>
      <c r="J10" s="491"/>
      <c r="K10" s="488"/>
      <c r="L10" s="488"/>
      <c r="M10" s="488"/>
      <c r="N10" s="492"/>
    </row>
    <row r="11" spans="1:14" ht="13.5" customHeight="1" x14ac:dyDescent="0.25">
      <c r="A11" s="488">
        <f t="shared" si="1"/>
        <v>8</v>
      </c>
      <c r="B11" s="477">
        <v>46054</v>
      </c>
      <c r="C11" s="171" t="s">
        <v>745</v>
      </c>
      <c r="D11" s="489">
        <v>73155376</v>
      </c>
      <c r="E11" s="490">
        <v>61.55</v>
      </c>
      <c r="F11" s="481">
        <v>580</v>
      </c>
      <c r="G11" s="482">
        <f t="shared" si="0"/>
        <v>35699</v>
      </c>
      <c r="H11" s="483" t="s">
        <v>65</v>
      </c>
      <c r="I11" s="484" t="s">
        <v>66</v>
      </c>
      <c r="J11" s="491"/>
      <c r="K11" s="488"/>
      <c r="L11" s="488"/>
      <c r="M11" s="488"/>
      <c r="N11" s="492"/>
    </row>
    <row r="12" spans="1:14" ht="13.5" customHeight="1" x14ac:dyDescent="0.25">
      <c r="A12" s="488">
        <f t="shared" si="1"/>
        <v>9</v>
      </c>
      <c r="B12" s="477">
        <v>46054</v>
      </c>
      <c r="C12" s="171" t="s">
        <v>745</v>
      </c>
      <c r="D12" s="489">
        <v>51089191</v>
      </c>
      <c r="E12" s="490">
        <v>51.85</v>
      </c>
      <c r="F12" s="481">
        <v>580</v>
      </c>
      <c r="G12" s="482">
        <f t="shared" si="0"/>
        <v>30073</v>
      </c>
      <c r="H12" s="483" t="s">
        <v>65</v>
      </c>
      <c r="I12" s="484" t="s">
        <v>66</v>
      </c>
      <c r="J12" s="491"/>
      <c r="K12" s="488"/>
      <c r="L12" s="488"/>
      <c r="M12" s="488"/>
      <c r="N12" s="492"/>
    </row>
    <row r="13" spans="1:14" ht="13.5" customHeight="1" x14ac:dyDescent="0.25">
      <c r="A13" s="488">
        <f t="shared" si="1"/>
        <v>10</v>
      </c>
      <c r="B13" s="477">
        <v>46054</v>
      </c>
      <c r="C13" s="171" t="s">
        <v>745</v>
      </c>
      <c r="D13" s="489">
        <v>75120246</v>
      </c>
      <c r="E13" s="490">
        <v>61.55</v>
      </c>
      <c r="F13" s="481">
        <v>580</v>
      </c>
      <c r="G13" s="482">
        <f t="shared" si="0"/>
        <v>35699</v>
      </c>
      <c r="H13" s="483" t="s">
        <v>65</v>
      </c>
      <c r="I13" s="484" t="s">
        <v>66</v>
      </c>
      <c r="J13" s="491"/>
      <c r="K13" s="488"/>
      <c r="L13" s="488"/>
      <c r="M13" s="488"/>
      <c r="N13" s="492"/>
    </row>
    <row r="14" spans="1:14" ht="13.5" customHeight="1" x14ac:dyDescent="0.25">
      <c r="A14" s="488">
        <f t="shared" si="1"/>
        <v>11</v>
      </c>
      <c r="B14" s="477">
        <v>46054</v>
      </c>
      <c r="C14" s="171" t="s">
        <v>745</v>
      </c>
      <c r="D14" s="489">
        <v>73717274</v>
      </c>
      <c r="E14" s="490">
        <v>61.55</v>
      </c>
      <c r="F14" s="481">
        <v>580</v>
      </c>
      <c r="G14" s="482">
        <f t="shared" si="0"/>
        <v>35699</v>
      </c>
      <c r="H14" s="483" t="s">
        <v>65</v>
      </c>
      <c r="I14" s="484" t="s">
        <v>66</v>
      </c>
      <c r="J14" s="491"/>
      <c r="K14" s="488"/>
      <c r="L14" s="488"/>
      <c r="M14" s="488"/>
      <c r="N14" s="492"/>
    </row>
    <row r="15" spans="1:14" ht="13.5" customHeight="1" x14ac:dyDescent="0.25">
      <c r="A15" s="488">
        <f t="shared" si="1"/>
        <v>12</v>
      </c>
      <c r="B15" s="477">
        <v>46054</v>
      </c>
      <c r="C15" s="171" t="s">
        <v>745</v>
      </c>
      <c r="D15" s="489">
        <v>51561165</v>
      </c>
      <c r="E15" s="490">
        <v>51.75</v>
      </c>
      <c r="F15" s="481">
        <v>580</v>
      </c>
      <c r="G15" s="482">
        <f t="shared" si="0"/>
        <v>30015</v>
      </c>
      <c r="H15" s="483" t="s">
        <v>65</v>
      </c>
      <c r="I15" s="484" t="s">
        <v>66</v>
      </c>
      <c r="J15" s="491"/>
      <c r="K15" s="488"/>
      <c r="L15" s="488"/>
      <c r="M15" s="488"/>
      <c r="N15" s="492"/>
    </row>
    <row r="16" spans="1:14" ht="13.5" customHeight="1" x14ac:dyDescent="0.25">
      <c r="A16" s="488">
        <f t="shared" si="1"/>
        <v>13</v>
      </c>
      <c r="B16" s="477">
        <v>46054</v>
      </c>
      <c r="C16" s="171" t="s">
        <v>745</v>
      </c>
      <c r="D16" s="489">
        <v>51756559</v>
      </c>
      <c r="E16" s="490">
        <v>53.15</v>
      </c>
      <c r="F16" s="481">
        <v>580</v>
      </c>
      <c r="G16" s="482">
        <f t="shared" si="0"/>
        <v>30827</v>
      </c>
      <c r="H16" s="483" t="s">
        <v>65</v>
      </c>
      <c r="I16" s="484" t="s">
        <v>66</v>
      </c>
      <c r="J16" s="491"/>
      <c r="K16" s="488"/>
      <c r="L16" s="488"/>
      <c r="M16" s="488"/>
      <c r="N16" s="492"/>
    </row>
    <row r="17" spans="1:14" ht="13.5" customHeight="1" x14ac:dyDescent="0.25">
      <c r="A17" s="488">
        <f t="shared" si="1"/>
        <v>14</v>
      </c>
      <c r="B17" s="477">
        <v>46054</v>
      </c>
      <c r="C17" s="171" t="s">
        <v>745</v>
      </c>
      <c r="D17" s="489">
        <v>75105528</v>
      </c>
      <c r="E17" s="490">
        <v>61.6</v>
      </c>
      <c r="F17" s="481">
        <v>580</v>
      </c>
      <c r="G17" s="482">
        <f t="shared" si="0"/>
        <v>35728</v>
      </c>
      <c r="H17" s="483" t="s">
        <v>65</v>
      </c>
      <c r="I17" s="484" t="s">
        <v>66</v>
      </c>
      <c r="J17" s="491"/>
      <c r="K17" s="488"/>
      <c r="L17" s="488"/>
      <c r="M17" s="488"/>
      <c r="N17" s="492"/>
    </row>
    <row r="18" spans="1:14" ht="13.5" customHeight="1" x14ac:dyDescent="0.25">
      <c r="A18" s="488">
        <f t="shared" si="1"/>
        <v>15</v>
      </c>
      <c r="B18" s="477">
        <v>46054</v>
      </c>
      <c r="C18" s="171" t="s">
        <v>745</v>
      </c>
      <c r="D18" s="489">
        <v>73103772</v>
      </c>
      <c r="E18" s="490">
        <v>61.65</v>
      </c>
      <c r="F18" s="481">
        <v>580</v>
      </c>
      <c r="G18" s="482">
        <f t="shared" si="0"/>
        <v>35757</v>
      </c>
      <c r="H18" s="483" t="s">
        <v>65</v>
      </c>
      <c r="I18" s="484" t="s">
        <v>66</v>
      </c>
      <c r="J18" s="493"/>
      <c r="K18" s="494"/>
      <c r="L18" s="494"/>
      <c r="M18" s="494"/>
      <c r="N18" s="495"/>
    </row>
    <row r="19" spans="1:14" ht="13.5" customHeight="1" x14ac:dyDescent="0.25">
      <c r="A19" s="488">
        <f t="shared" si="1"/>
        <v>16</v>
      </c>
      <c r="B19" s="477">
        <v>46054</v>
      </c>
      <c r="C19" s="171" t="s">
        <v>745</v>
      </c>
      <c r="D19" s="489">
        <v>55946735</v>
      </c>
      <c r="E19" s="490">
        <v>61.7</v>
      </c>
      <c r="F19" s="481">
        <v>580</v>
      </c>
      <c r="G19" s="482">
        <f t="shared" si="0"/>
        <v>35786</v>
      </c>
      <c r="H19" s="483" t="s">
        <v>65</v>
      </c>
      <c r="I19" s="484" t="s">
        <v>66</v>
      </c>
      <c r="J19" s="491"/>
      <c r="K19" s="488"/>
      <c r="L19" s="488"/>
      <c r="M19" s="488"/>
      <c r="N19" s="492"/>
    </row>
    <row r="20" spans="1:14" ht="13.5" customHeight="1" x14ac:dyDescent="0.25">
      <c r="A20" s="488">
        <f t="shared" si="1"/>
        <v>17</v>
      </c>
      <c r="B20" s="477">
        <v>46054</v>
      </c>
      <c r="C20" s="171" t="s">
        <v>745</v>
      </c>
      <c r="D20" s="489">
        <v>75112466</v>
      </c>
      <c r="E20" s="490">
        <v>61.5</v>
      </c>
      <c r="F20" s="481">
        <v>580</v>
      </c>
      <c r="G20" s="482">
        <f t="shared" si="0"/>
        <v>35670</v>
      </c>
      <c r="H20" s="483" t="s">
        <v>65</v>
      </c>
      <c r="I20" s="484" t="s">
        <v>66</v>
      </c>
      <c r="J20" s="491"/>
      <c r="K20" s="488"/>
      <c r="L20" s="488"/>
      <c r="M20" s="488"/>
      <c r="N20" s="492"/>
    </row>
    <row r="21" spans="1:14" ht="13.5" customHeight="1" x14ac:dyDescent="0.25">
      <c r="A21" s="488">
        <f t="shared" si="1"/>
        <v>18</v>
      </c>
      <c r="B21" s="477">
        <v>46054</v>
      </c>
      <c r="C21" s="171" t="s">
        <v>746</v>
      </c>
      <c r="D21" s="489">
        <v>73151979</v>
      </c>
      <c r="E21" s="490">
        <v>61.6</v>
      </c>
      <c r="F21" s="481">
        <v>580</v>
      </c>
      <c r="G21" s="482">
        <f t="shared" si="0"/>
        <v>35728</v>
      </c>
      <c r="H21" s="483" t="s">
        <v>65</v>
      </c>
      <c r="I21" s="484" t="s">
        <v>66</v>
      </c>
      <c r="J21" s="491"/>
      <c r="K21" s="488"/>
      <c r="L21" s="488"/>
      <c r="M21" s="488"/>
      <c r="N21" s="492"/>
    </row>
    <row r="22" spans="1:14" ht="13.5" customHeight="1" x14ac:dyDescent="0.25">
      <c r="A22" s="488">
        <f t="shared" si="1"/>
        <v>19</v>
      </c>
      <c r="B22" s="477">
        <v>46054</v>
      </c>
      <c r="C22" s="171" t="s">
        <v>746</v>
      </c>
      <c r="D22" s="489">
        <v>51179091</v>
      </c>
      <c r="E22" s="490">
        <v>51.8</v>
      </c>
      <c r="F22" s="481">
        <v>580</v>
      </c>
      <c r="G22" s="482">
        <f t="shared" si="0"/>
        <v>30044</v>
      </c>
      <c r="H22" s="483" t="s">
        <v>65</v>
      </c>
      <c r="I22" s="484" t="s">
        <v>66</v>
      </c>
      <c r="J22" s="491"/>
      <c r="K22" s="488"/>
      <c r="L22" s="488"/>
      <c r="M22" s="488"/>
      <c r="N22" s="492"/>
    </row>
    <row r="23" spans="1:14" ht="13.5" customHeight="1" x14ac:dyDescent="0.25">
      <c r="A23" s="488">
        <f t="shared" si="1"/>
        <v>20</v>
      </c>
      <c r="B23" s="477">
        <v>46054</v>
      </c>
      <c r="C23" s="171" t="s">
        <v>746</v>
      </c>
      <c r="D23" s="489">
        <v>51180024</v>
      </c>
      <c r="E23" s="490">
        <v>61.5</v>
      </c>
      <c r="F23" s="481">
        <v>580</v>
      </c>
      <c r="G23" s="482">
        <f t="shared" si="0"/>
        <v>35670</v>
      </c>
      <c r="H23" s="483" t="s">
        <v>65</v>
      </c>
      <c r="I23" s="484" t="s">
        <v>66</v>
      </c>
      <c r="J23" s="491"/>
      <c r="K23" s="488"/>
      <c r="L23" s="488"/>
      <c r="M23" s="488"/>
      <c r="N23" s="492"/>
    </row>
    <row r="24" spans="1:14" ht="13.5" customHeight="1" x14ac:dyDescent="0.25">
      <c r="A24" s="488">
        <f t="shared" si="1"/>
        <v>21</v>
      </c>
      <c r="B24" s="477">
        <v>46054</v>
      </c>
      <c r="C24" s="171" t="s">
        <v>746</v>
      </c>
      <c r="D24" s="489">
        <v>54078753</v>
      </c>
      <c r="E24" s="490">
        <v>61.65</v>
      </c>
      <c r="F24" s="481">
        <v>580</v>
      </c>
      <c r="G24" s="482">
        <f t="shared" si="0"/>
        <v>35757</v>
      </c>
      <c r="H24" s="483" t="s">
        <v>65</v>
      </c>
      <c r="I24" s="484" t="s">
        <v>66</v>
      </c>
      <c r="J24" s="491"/>
      <c r="K24" s="488"/>
      <c r="L24" s="488"/>
      <c r="M24" s="488"/>
      <c r="N24" s="492"/>
    </row>
    <row r="25" spans="1:14" ht="13.5" customHeight="1" x14ac:dyDescent="0.25">
      <c r="A25" s="488">
        <f t="shared" si="1"/>
        <v>22</v>
      </c>
      <c r="B25" s="477">
        <v>46054</v>
      </c>
      <c r="C25" s="171" t="s">
        <v>746</v>
      </c>
      <c r="D25" s="489">
        <v>53944047</v>
      </c>
      <c r="E25" s="490">
        <v>52.75</v>
      </c>
      <c r="F25" s="481">
        <v>580</v>
      </c>
      <c r="G25" s="482">
        <f t="shared" si="0"/>
        <v>30595</v>
      </c>
      <c r="H25" s="483" t="s">
        <v>65</v>
      </c>
      <c r="I25" s="484" t="s">
        <v>66</v>
      </c>
      <c r="J25" s="491"/>
      <c r="K25" s="488"/>
      <c r="L25" s="488"/>
      <c r="M25" s="488"/>
      <c r="N25" s="492"/>
    </row>
    <row r="26" spans="1:14" ht="13.5" customHeight="1" x14ac:dyDescent="0.25">
      <c r="A26" s="488">
        <f t="shared" si="1"/>
        <v>23</v>
      </c>
      <c r="B26" s="477">
        <v>46054</v>
      </c>
      <c r="C26" s="171" t="s">
        <v>746</v>
      </c>
      <c r="D26" s="489">
        <v>57131534</v>
      </c>
      <c r="E26" s="490">
        <v>61.65</v>
      </c>
      <c r="F26" s="481">
        <v>580</v>
      </c>
      <c r="G26" s="482">
        <f t="shared" si="0"/>
        <v>35757</v>
      </c>
      <c r="H26" s="483" t="s">
        <v>65</v>
      </c>
      <c r="I26" s="484" t="s">
        <v>66</v>
      </c>
      <c r="J26" s="491"/>
      <c r="K26" s="488"/>
      <c r="L26" s="488"/>
      <c r="M26" s="488"/>
      <c r="N26" s="492"/>
    </row>
    <row r="27" spans="1:14" ht="13.5" customHeight="1" x14ac:dyDescent="0.25">
      <c r="A27" s="488">
        <f t="shared" si="1"/>
        <v>24</v>
      </c>
      <c r="B27" s="477">
        <v>46054</v>
      </c>
      <c r="C27" s="171" t="s">
        <v>746</v>
      </c>
      <c r="D27" s="489">
        <v>51617777</v>
      </c>
      <c r="E27" s="490">
        <v>51.75</v>
      </c>
      <c r="F27" s="481">
        <v>580</v>
      </c>
      <c r="G27" s="482">
        <f t="shared" si="0"/>
        <v>30015</v>
      </c>
      <c r="H27" s="483" t="s">
        <v>65</v>
      </c>
      <c r="I27" s="484" t="s">
        <v>66</v>
      </c>
      <c r="J27" s="491"/>
      <c r="K27" s="488"/>
      <c r="L27" s="488"/>
      <c r="M27" s="488"/>
      <c r="N27" s="492"/>
    </row>
    <row r="28" spans="1:14" ht="13.5" customHeight="1" x14ac:dyDescent="0.25">
      <c r="A28" s="488">
        <f t="shared" si="1"/>
        <v>25</v>
      </c>
      <c r="B28" s="477">
        <v>46054</v>
      </c>
      <c r="C28" s="171" t="s">
        <v>746</v>
      </c>
      <c r="D28" s="489">
        <v>71048227</v>
      </c>
      <c r="E28" s="490">
        <v>60.75</v>
      </c>
      <c r="F28" s="481">
        <v>580</v>
      </c>
      <c r="G28" s="482">
        <f t="shared" si="0"/>
        <v>35235</v>
      </c>
      <c r="H28" s="483" t="s">
        <v>65</v>
      </c>
      <c r="I28" s="484" t="s">
        <v>66</v>
      </c>
      <c r="J28" s="491"/>
      <c r="K28" s="488"/>
      <c r="L28" s="488"/>
      <c r="M28" s="488"/>
      <c r="N28" s="492"/>
    </row>
    <row r="29" spans="1:14" ht="13.5" customHeight="1" x14ac:dyDescent="0.25">
      <c r="A29" s="488">
        <f t="shared" si="1"/>
        <v>26</v>
      </c>
      <c r="B29" s="477">
        <v>46054</v>
      </c>
      <c r="C29" s="171" t="s">
        <v>746</v>
      </c>
      <c r="D29" s="489">
        <v>75241380</v>
      </c>
      <c r="E29" s="490">
        <v>62</v>
      </c>
      <c r="F29" s="481">
        <v>580</v>
      </c>
      <c r="G29" s="482">
        <f t="shared" si="0"/>
        <v>35960</v>
      </c>
      <c r="H29" s="483" t="s">
        <v>65</v>
      </c>
      <c r="I29" s="484" t="s">
        <v>66</v>
      </c>
      <c r="J29" s="491"/>
      <c r="K29" s="488"/>
      <c r="L29" s="488"/>
      <c r="M29" s="488"/>
      <c r="N29" s="492"/>
    </row>
    <row r="30" spans="1:14" ht="13.5" customHeight="1" x14ac:dyDescent="0.25">
      <c r="A30" s="488">
        <f t="shared" si="1"/>
        <v>27</v>
      </c>
      <c r="B30" s="477">
        <v>46054</v>
      </c>
      <c r="C30" s="171" t="s">
        <v>746</v>
      </c>
      <c r="D30" s="489">
        <v>75049635</v>
      </c>
      <c r="E30" s="490">
        <v>61.25</v>
      </c>
      <c r="F30" s="481">
        <v>580</v>
      </c>
      <c r="G30" s="482">
        <f t="shared" si="0"/>
        <v>35525</v>
      </c>
      <c r="H30" s="483" t="s">
        <v>65</v>
      </c>
      <c r="I30" s="484" t="s">
        <v>66</v>
      </c>
      <c r="J30" s="491"/>
      <c r="K30" s="488"/>
      <c r="L30" s="488"/>
      <c r="M30" s="488"/>
      <c r="N30" s="492"/>
    </row>
    <row r="31" spans="1:14" ht="13.5" customHeight="1" x14ac:dyDescent="0.25">
      <c r="A31" s="488">
        <f t="shared" si="1"/>
        <v>28</v>
      </c>
      <c r="B31" s="477">
        <v>46054</v>
      </c>
      <c r="C31" s="171" t="s">
        <v>746</v>
      </c>
      <c r="D31" s="489">
        <v>57422594</v>
      </c>
      <c r="E31" s="490">
        <v>61.1</v>
      </c>
      <c r="F31" s="481">
        <v>580</v>
      </c>
      <c r="G31" s="482">
        <f t="shared" si="0"/>
        <v>35438</v>
      </c>
      <c r="H31" s="483" t="s">
        <v>65</v>
      </c>
      <c r="I31" s="484" t="s">
        <v>66</v>
      </c>
      <c r="J31" s="491"/>
      <c r="K31" s="488"/>
      <c r="L31" s="488"/>
      <c r="M31" s="488"/>
      <c r="N31" s="492"/>
    </row>
    <row r="32" spans="1:14" ht="13.5" customHeight="1" x14ac:dyDescent="0.25">
      <c r="A32" s="488">
        <f t="shared" si="1"/>
        <v>29</v>
      </c>
      <c r="B32" s="477">
        <v>46054</v>
      </c>
      <c r="C32" s="171" t="s">
        <v>746</v>
      </c>
      <c r="D32" s="489">
        <v>76789791</v>
      </c>
      <c r="E32" s="490">
        <v>62.2</v>
      </c>
      <c r="F32" s="481">
        <v>580</v>
      </c>
      <c r="G32" s="482">
        <f t="shared" si="0"/>
        <v>36076</v>
      </c>
      <c r="H32" s="483" t="s">
        <v>65</v>
      </c>
      <c r="I32" s="484" t="s">
        <v>66</v>
      </c>
      <c r="J32" s="491"/>
      <c r="K32" s="488"/>
      <c r="L32" s="488"/>
      <c r="M32" s="488"/>
      <c r="N32" s="492"/>
    </row>
    <row r="33" spans="1:14" ht="13.5" customHeight="1" x14ac:dyDescent="0.25">
      <c r="A33" s="488">
        <f t="shared" si="1"/>
        <v>30</v>
      </c>
      <c r="B33" s="477">
        <v>46054</v>
      </c>
      <c r="C33" s="171" t="s">
        <v>746</v>
      </c>
      <c r="D33" s="489">
        <v>73965683</v>
      </c>
      <c r="E33" s="490">
        <v>61.45</v>
      </c>
      <c r="F33" s="481">
        <v>580</v>
      </c>
      <c r="G33" s="482">
        <f t="shared" si="0"/>
        <v>35641</v>
      </c>
      <c r="H33" s="483" t="s">
        <v>65</v>
      </c>
      <c r="I33" s="484" t="s">
        <v>66</v>
      </c>
      <c r="J33" s="491"/>
      <c r="K33" s="488"/>
      <c r="L33" s="488"/>
      <c r="M33" s="488"/>
      <c r="N33" s="492"/>
    </row>
    <row r="34" spans="1:14" ht="13.5" customHeight="1" x14ac:dyDescent="0.25">
      <c r="A34" s="488">
        <f t="shared" si="1"/>
        <v>31</v>
      </c>
      <c r="B34" s="477">
        <v>46054</v>
      </c>
      <c r="C34" s="171" t="s">
        <v>746</v>
      </c>
      <c r="D34" s="489">
        <v>51342970</v>
      </c>
      <c r="E34" s="490">
        <v>51.9</v>
      </c>
      <c r="F34" s="481">
        <v>580</v>
      </c>
      <c r="G34" s="482">
        <f t="shared" si="0"/>
        <v>30102</v>
      </c>
      <c r="H34" s="483" t="s">
        <v>65</v>
      </c>
      <c r="I34" s="484" t="s">
        <v>66</v>
      </c>
      <c r="J34" s="491"/>
      <c r="K34" s="488"/>
      <c r="L34" s="488"/>
      <c r="M34" s="488"/>
      <c r="N34" s="492"/>
    </row>
    <row r="35" spans="1:14" ht="13.5" customHeight="1" x14ac:dyDescent="0.25">
      <c r="A35" s="488">
        <f t="shared" si="1"/>
        <v>32</v>
      </c>
      <c r="B35" s="477">
        <v>46054</v>
      </c>
      <c r="C35" s="171" t="s">
        <v>746</v>
      </c>
      <c r="D35" s="489">
        <v>71044804</v>
      </c>
      <c r="E35" s="490">
        <v>60.7</v>
      </c>
      <c r="F35" s="481">
        <v>580</v>
      </c>
      <c r="G35" s="482">
        <f t="shared" si="0"/>
        <v>35206</v>
      </c>
      <c r="H35" s="483" t="s">
        <v>65</v>
      </c>
      <c r="I35" s="484" t="s">
        <v>66</v>
      </c>
      <c r="J35" s="491"/>
      <c r="K35" s="488"/>
      <c r="L35" s="488"/>
      <c r="M35" s="488"/>
      <c r="N35" s="492"/>
    </row>
    <row r="36" spans="1:14" ht="13.5" customHeight="1" x14ac:dyDescent="0.25">
      <c r="A36" s="488">
        <f t="shared" si="1"/>
        <v>33</v>
      </c>
      <c r="B36" s="477">
        <v>46054</v>
      </c>
      <c r="C36" s="171" t="s">
        <v>746</v>
      </c>
      <c r="D36" s="489">
        <v>75038414</v>
      </c>
      <c r="E36" s="490">
        <v>61.1</v>
      </c>
      <c r="F36" s="481">
        <v>580</v>
      </c>
      <c r="G36" s="482">
        <f t="shared" si="0"/>
        <v>35438</v>
      </c>
      <c r="H36" s="483" t="s">
        <v>65</v>
      </c>
      <c r="I36" s="484" t="s">
        <v>66</v>
      </c>
      <c r="J36" s="491"/>
      <c r="K36" s="488"/>
      <c r="L36" s="488"/>
      <c r="M36" s="488"/>
      <c r="N36" s="492"/>
    </row>
    <row r="37" spans="1:14" ht="13.5" customHeight="1" thickBot="1" x14ac:dyDescent="0.3">
      <c r="A37" s="494">
        <f>A36+1</f>
        <v>34</v>
      </c>
      <c r="B37" s="477">
        <v>46054</v>
      </c>
      <c r="C37" s="496" t="s">
        <v>746</v>
      </c>
      <c r="D37" s="497">
        <v>74926916</v>
      </c>
      <c r="E37" s="498">
        <v>61.55</v>
      </c>
      <c r="F37" s="499">
        <v>580</v>
      </c>
      <c r="G37" s="500">
        <f t="shared" si="0"/>
        <v>35699</v>
      </c>
      <c r="H37" s="501" t="s">
        <v>65</v>
      </c>
      <c r="I37" s="502" t="s">
        <v>66</v>
      </c>
      <c r="J37" s="503"/>
      <c r="K37" s="504"/>
      <c r="L37" s="504"/>
      <c r="M37" s="504"/>
      <c r="N37" s="505"/>
    </row>
    <row r="38" spans="1:14" ht="15.75" thickBot="1" x14ac:dyDescent="0.3">
      <c r="A38" s="506"/>
      <c r="B38" s="507"/>
      <c r="C38" s="507"/>
      <c r="D38" s="507"/>
      <c r="E38" s="508">
        <f>SUM(E4:E37)</f>
        <v>2008.0500000000002</v>
      </c>
      <c r="F38" s="507"/>
      <c r="G38" s="509">
        <f>SUM(G4:G37)</f>
        <v>1164669</v>
      </c>
      <c r="H38" s="507"/>
      <c r="I38" s="510"/>
      <c r="J38" s="506"/>
      <c r="K38" s="507"/>
      <c r="L38" s="507"/>
      <c r="M38" s="507"/>
      <c r="N38" s="511"/>
    </row>
    <row r="39" spans="1:14" ht="13.5" customHeight="1" x14ac:dyDescent="0.25">
      <c r="A39" s="512">
        <v>35</v>
      </c>
      <c r="B39" s="477">
        <v>46055</v>
      </c>
      <c r="C39" s="414" t="s">
        <v>747</v>
      </c>
      <c r="D39" s="479">
        <v>74909029</v>
      </c>
      <c r="E39" s="480">
        <v>62.85</v>
      </c>
      <c r="F39" s="513">
        <v>580</v>
      </c>
      <c r="G39" s="514">
        <f t="shared" ref="G39:G51" si="2">E39*F39</f>
        <v>36453</v>
      </c>
      <c r="H39" s="515" t="s">
        <v>65</v>
      </c>
      <c r="I39" s="516" t="s">
        <v>66</v>
      </c>
      <c r="J39" s="485"/>
      <c r="K39" s="486"/>
      <c r="L39" s="486"/>
      <c r="M39" s="486"/>
      <c r="N39" s="487"/>
    </row>
    <row r="40" spans="1:14" ht="13.5" customHeight="1" x14ac:dyDescent="0.25">
      <c r="A40" s="491">
        <f>A39+1</f>
        <v>36</v>
      </c>
      <c r="B40" s="477">
        <v>46055</v>
      </c>
      <c r="C40" s="517" t="s">
        <v>747</v>
      </c>
      <c r="D40" s="489">
        <v>73053373</v>
      </c>
      <c r="E40" s="490">
        <v>61.6</v>
      </c>
      <c r="F40" s="481">
        <v>580</v>
      </c>
      <c r="G40" s="482">
        <f t="shared" si="2"/>
        <v>35728</v>
      </c>
      <c r="H40" s="483" t="s">
        <v>65</v>
      </c>
      <c r="I40" s="484" t="s">
        <v>66</v>
      </c>
      <c r="J40" s="491"/>
      <c r="K40" s="488"/>
      <c r="L40" s="488"/>
      <c r="M40" s="488"/>
      <c r="N40" s="492"/>
    </row>
    <row r="41" spans="1:14" ht="13.5" customHeight="1" x14ac:dyDescent="0.25">
      <c r="A41" s="491">
        <f t="shared" ref="A41:A51" si="3">A40+1</f>
        <v>37</v>
      </c>
      <c r="B41" s="477">
        <v>46055</v>
      </c>
      <c r="C41" s="517" t="s">
        <v>747</v>
      </c>
      <c r="D41" s="489">
        <v>75299800</v>
      </c>
      <c r="E41" s="490">
        <v>62.2</v>
      </c>
      <c r="F41" s="481">
        <v>580</v>
      </c>
      <c r="G41" s="482">
        <f t="shared" si="2"/>
        <v>36076</v>
      </c>
      <c r="H41" s="483" t="s">
        <v>65</v>
      </c>
      <c r="I41" s="484" t="s">
        <v>66</v>
      </c>
      <c r="J41" s="491"/>
      <c r="K41" s="488"/>
      <c r="L41" s="488"/>
      <c r="M41" s="488"/>
      <c r="N41" s="492"/>
    </row>
    <row r="42" spans="1:14" ht="13.5" customHeight="1" x14ac:dyDescent="0.25">
      <c r="A42" s="491">
        <f t="shared" si="3"/>
        <v>38</v>
      </c>
      <c r="B42" s="477">
        <v>46055</v>
      </c>
      <c r="C42" s="517" t="s">
        <v>747</v>
      </c>
      <c r="D42" s="489">
        <v>75299982</v>
      </c>
      <c r="E42" s="490">
        <v>62.1</v>
      </c>
      <c r="F42" s="481">
        <v>580</v>
      </c>
      <c r="G42" s="482">
        <f t="shared" si="2"/>
        <v>36018</v>
      </c>
      <c r="H42" s="483" t="s">
        <v>65</v>
      </c>
      <c r="I42" s="484" t="s">
        <v>66</v>
      </c>
      <c r="J42" s="491"/>
      <c r="K42" s="488"/>
      <c r="L42" s="488"/>
      <c r="M42" s="488"/>
      <c r="N42" s="492"/>
    </row>
    <row r="43" spans="1:14" ht="13.5" customHeight="1" x14ac:dyDescent="0.25">
      <c r="A43" s="491">
        <f t="shared" si="3"/>
        <v>39</v>
      </c>
      <c r="B43" s="477">
        <v>46055</v>
      </c>
      <c r="C43" s="517" t="s">
        <v>747</v>
      </c>
      <c r="D43" s="489">
        <v>51720951</v>
      </c>
      <c r="E43" s="490">
        <v>52.9</v>
      </c>
      <c r="F43" s="481">
        <v>580</v>
      </c>
      <c r="G43" s="482">
        <f t="shared" si="2"/>
        <v>30682</v>
      </c>
      <c r="H43" s="483" t="s">
        <v>65</v>
      </c>
      <c r="I43" s="484" t="s">
        <v>66</v>
      </c>
      <c r="J43" s="491"/>
      <c r="K43" s="488"/>
      <c r="L43" s="488"/>
      <c r="M43" s="488"/>
      <c r="N43" s="492"/>
    </row>
    <row r="44" spans="1:14" ht="13.5" customHeight="1" x14ac:dyDescent="0.25">
      <c r="A44" s="491">
        <f t="shared" si="3"/>
        <v>40</v>
      </c>
      <c r="B44" s="477">
        <v>46055</v>
      </c>
      <c r="C44" s="517" t="s">
        <v>747</v>
      </c>
      <c r="D44" s="489">
        <v>54704424</v>
      </c>
      <c r="E44" s="490">
        <v>61.55</v>
      </c>
      <c r="F44" s="481">
        <v>580</v>
      </c>
      <c r="G44" s="482">
        <f t="shared" si="2"/>
        <v>35699</v>
      </c>
      <c r="H44" s="483" t="s">
        <v>65</v>
      </c>
      <c r="I44" s="484" t="s">
        <v>66</v>
      </c>
      <c r="J44" s="491"/>
      <c r="K44" s="488"/>
      <c r="L44" s="488"/>
      <c r="M44" s="488"/>
      <c r="N44" s="492"/>
    </row>
    <row r="45" spans="1:14" ht="13.5" customHeight="1" x14ac:dyDescent="0.25">
      <c r="A45" s="491">
        <f t="shared" si="3"/>
        <v>41</v>
      </c>
      <c r="B45" s="477">
        <v>46055</v>
      </c>
      <c r="C45" s="517" t="s">
        <v>747</v>
      </c>
      <c r="D45" s="489">
        <v>73105272</v>
      </c>
      <c r="E45" s="490">
        <v>61.65</v>
      </c>
      <c r="F45" s="481">
        <v>580</v>
      </c>
      <c r="G45" s="482">
        <f t="shared" si="2"/>
        <v>35757</v>
      </c>
      <c r="H45" s="483" t="s">
        <v>65</v>
      </c>
      <c r="I45" s="484" t="s">
        <v>66</v>
      </c>
      <c r="J45" s="491"/>
      <c r="K45" s="488"/>
      <c r="L45" s="488"/>
      <c r="M45" s="488"/>
      <c r="N45" s="492"/>
    </row>
    <row r="46" spans="1:14" ht="13.5" customHeight="1" x14ac:dyDescent="0.25">
      <c r="A46" s="491">
        <f t="shared" si="3"/>
        <v>42</v>
      </c>
      <c r="B46" s="477">
        <v>46055</v>
      </c>
      <c r="C46" s="517" t="s">
        <v>747</v>
      </c>
      <c r="D46" s="489">
        <v>73100109</v>
      </c>
      <c r="E46" s="490">
        <v>61.6</v>
      </c>
      <c r="F46" s="481">
        <v>580</v>
      </c>
      <c r="G46" s="482">
        <f t="shared" si="2"/>
        <v>35728</v>
      </c>
      <c r="H46" s="483" t="s">
        <v>65</v>
      </c>
      <c r="I46" s="484" t="s">
        <v>66</v>
      </c>
      <c r="J46" s="491"/>
      <c r="K46" s="488"/>
      <c r="L46" s="488"/>
      <c r="M46" s="488"/>
      <c r="N46" s="492"/>
    </row>
    <row r="47" spans="1:14" ht="13.5" customHeight="1" x14ac:dyDescent="0.25">
      <c r="A47" s="491">
        <f t="shared" si="3"/>
        <v>43</v>
      </c>
      <c r="B47" s="477">
        <v>46055</v>
      </c>
      <c r="C47" s="517" t="s">
        <v>747</v>
      </c>
      <c r="D47" s="489">
        <v>73101685</v>
      </c>
      <c r="E47" s="490">
        <v>61.6</v>
      </c>
      <c r="F47" s="481">
        <v>580</v>
      </c>
      <c r="G47" s="482">
        <f t="shared" si="2"/>
        <v>35728</v>
      </c>
      <c r="H47" s="483" t="s">
        <v>65</v>
      </c>
      <c r="I47" s="484" t="s">
        <v>66</v>
      </c>
      <c r="J47" s="491"/>
      <c r="K47" s="488"/>
      <c r="L47" s="488"/>
      <c r="M47" s="488"/>
      <c r="N47" s="492"/>
    </row>
    <row r="48" spans="1:14" ht="13.5" customHeight="1" x14ac:dyDescent="0.25">
      <c r="A48" s="491">
        <f t="shared" si="3"/>
        <v>44</v>
      </c>
      <c r="B48" s="477">
        <v>46055</v>
      </c>
      <c r="C48" s="517" t="s">
        <v>747</v>
      </c>
      <c r="D48" s="489">
        <v>75207506</v>
      </c>
      <c r="E48" s="490">
        <v>61.95</v>
      </c>
      <c r="F48" s="481">
        <v>580</v>
      </c>
      <c r="G48" s="482">
        <f t="shared" si="2"/>
        <v>35931</v>
      </c>
      <c r="H48" s="483" t="s">
        <v>65</v>
      </c>
      <c r="I48" s="484" t="s">
        <v>66</v>
      </c>
      <c r="J48" s="491"/>
      <c r="K48" s="488"/>
      <c r="L48" s="488"/>
      <c r="M48" s="488"/>
      <c r="N48" s="492"/>
    </row>
    <row r="49" spans="1:14" ht="13.5" customHeight="1" x14ac:dyDescent="0.25">
      <c r="A49" s="491">
        <f t="shared" si="3"/>
        <v>45</v>
      </c>
      <c r="B49" s="477">
        <v>46055</v>
      </c>
      <c r="C49" s="517" t="s">
        <v>747</v>
      </c>
      <c r="D49" s="489">
        <v>73215436</v>
      </c>
      <c r="E49" s="490">
        <v>61.65</v>
      </c>
      <c r="F49" s="481">
        <v>580</v>
      </c>
      <c r="G49" s="482">
        <f t="shared" si="2"/>
        <v>35757</v>
      </c>
      <c r="H49" s="483" t="s">
        <v>65</v>
      </c>
      <c r="I49" s="484" t="s">
        <v>66</v>
      </c>
      <c r="J49" s="491"/>
      <c r="K49" s="488"/>
      <c r="L49" s="488"/>
      <c r="M49" s="488"/>
      <c r="N49" s="492"/>
    </row>
    <row r="50" spans="1:14" ht="13.5" customHeight="1" x14ac:dyDescent="0.25">
      <c r="A50" s="491">
        <f t="shared" si="3"/>
        <v>46</v>
      </c>
      <c r="B50" s="477">
        <v>46055</v>
      </c>
      <c r="C50" s="517" t="s">
        <v>747</v>
      </c>
      <c r="D50" s="489">
        <v>76913193</v>
      </c>
      <c r="E50" s="490">
        <v>62.1</v>
      </c>
      <c r="F50" s="481">
        <v>580</v>
      </c>
      <c r="G50" s="482">
        <f t="shared" si="2"/>
        <v>36018</v>
      </c>
      <c r="H50" s="483" t="s">
        <v>65</v>
      </c>
      <c r="I50" s="484" t="s">
        <v>66</v>
      </c>
      <c r="J50" s="491"/>
      <c r="K50" s="488"/>
      <c r="L50" s="488"/>
      <c r="M50" s="488"/>
      <c r="N50" s="492"/>
    </row>
    <row r="51" spans="1:14" ht="13.5" customHeight="1" thickBot="1" x14ac:dyDescent="0.3">
      <c r="A51" s="491">
        <f t="shared" si="3"/>
        <v>47</v>
      </c>
      <c r="B51" s="477">
        <v>46055</v>
      </c>
      <c r="C51" s="518" t="s">
        <v>748</v>
      </c>
      <c r="D51" s="497">
        <v>51508893</v>
      </c>
      <c r="E51" s="498">
        <v>53</v>
      </c>
      <c r="F51" s="499">
        <v>580</v>
      </c>
      <c r="G51" s="500">
        <f t="shared" si="2"/>
        <v>30740</v>
      </c>
      <c r="H51" s="501" t="s">
        <v>65</v>
      </c>
      <c r="I51" s="502" t="s">
        <v>66</v>
      </c>
      <c r="J51" s="503"/>
      <c r="K51" s="504"/>
      <c r="L51" s="504"/>
      <c r="M51" s="504"/>
      <c r="N51" s="505"/>
    </row>
    <row r="52" spans="1:14" ht="15.75" thickBot="1" x14ac:dyDescent="0.3">
      <c r="A52" s="506"/>
      <c r="B52" s="507"/>
      <c r="C52" s="507"/>
      <c r="D52" s="507"/>
      <c r="E52" s="519">
        <f>SUM(E39:E51)</f>
        <v>786.75</v>
      </c>
      <c r="F52" s="507"/>
      <c r="G52" s="509">
        <f>SUM(G39:G51)</f>
        <v>456315</v>
      </c>
      <c r="H52" s="507"/>
      <c r="I52" s="520"/>
      <c r="J52" s="521"/>
      <c r="K52" s="522"/>
      <c r="L52" s="522"/>
      <c r="M52" s="522"/>
      <c r="N52" s="520"/>
    </row>
    <row r="53" spans="1:14" ht="14.25" customHeight="1" x14ac:dyDescent="0.25">
      <c r="A53" s="512">
        <v>48</v>
      </c>
      <c r="B53" s="477">
        <v>46055</v>
      </c>
      <c r="C53" s="478" t="s">
        <v>749</v>
      </c>
      <c r="D53" s="479">
        <v>75106179</v>
      </c>
      <c r="E53" s="480">
        <v>61.75</v>
      </c>
      <c r="F53" s="513">
        <v>580</v>
      </c>
      <c r="G53" s="514">
        <f t="shared" ref="G53:G82" si="4">E53*F53</f>
        <v>35815</v>
      </c>
      <c r="H53" s="515" t="s">
        <v>65</v>
      </c>
      <c r="I53" s="516" t="s">
        <v>66</v>
      </c>
      <c r="J53" s="485"/>
      <c r="K53" s="486"/>
      <c r="L53" s="486"/>
      <c r="M53" s="486"/>
      <c r="N53" s="487"/>
    </row>
    <row r="54" spans="1:14" ht="14.25" customHeight="1" x14ac:dyDescent="0.25">
      <c r="A54" s="491">
        <f>A53+1</f>
        <v>49</v>
      </c>
      <c r="B54" s="477">
        <v>46055</v>
      </c>
      <c r="C54" s="171" t="s">
        <v>749</v>
      </c>
      <c r="D54" s="489">
        <v>50335405</v>
      </c>
      <c r="E54" s="490">
        <v>61.35</v>
      </c>
      <c r="F54" s="481">
        <v>580</v>
      </c>
      <c r="G54" s="482">
        <f t="shared" si="4"/>
        <v>35583</v>
      </c>
      <c r="H54" s="483" t="s">
        <v>65</v>
      </c>
      <c r="I54" s="484" t="s">
        <v>66</v>
      </c>
      <c r="J54" s="491"/>
      <c r="K54" s="488"/>
      <c r="L54" s="488"/>
      <c r="M54" s="488"/>
      <c r="N54" s="492"/>
    </row>
    <row r="55" spans="1:14" ht="14.25" customHeight="1" x14ac:dyDescent="0.25">
      <c r="A55" s="491">
        <f t="shared" ref="A55:A82" si="5">A54+1</f>
        <v>50</v>
      </c>
      <c r="B55" s="477">
        <v>46055</v>
      </c>
      <c r="C55" s="171" t="s">
        <v>749</v>
      </c>
      <c r="D55" s="489">
        <v>57546491</v>
      </c>
      <c r="E55" s="490">
        <v>61.7</v>
      </c>
      <c r="F55" s="481">
        <v>580</v>
      </c>
      <c r="G55" s="482">
        <f t="shared" si="4"/>
        <v>35786</v>
      </c>
      <c r="H55" s="483" t="s">
        <v>65</v>
      </c>
      <c r="I55" s="484" t="s">
        <v>66</v>
      </c>
      <c r="J55" s="491"/>
      <c r="K55" s="488"/>
      <c r="L55" s="488"/>
      <c r="M55" s="488"/>
      <c r="N55" s="492"/>
    </row>
    <row r="56" spans="1:14" ht="14.25" customHeight="1" x14ac:dyDescent="0.25">
      <c r="A56" s="491">
        <f t="shared" si="5"/>
        <v>51</v>
      </c>
      <c r="B56" s="477">
        <v>46055</v>
      </c>
      <c r="C56" s="171" t="s">
        <v>749</v>
      </c>
      <c r="D56" s="489">
        <v>73953283</v>
      </c>
      <c r="E56" s="490">
        <v>62.15</v>
      </c>
      <c r="F56" s="481">
        <v>580</v>
      </c>
      <c r="G56" s="482">
        <f t="shared" si="4"/>
        <v>36047</v>
      </c>
      <c r="H56" s="483" t="s">
        <v>65</v>
      </c>
      <c r="I56" s="484" t="s">
        <v>66</v>
      </c>
      <c r="J56" s="493"/>
      <c r="K56" s="494"/>
      <c r="L56" s="494"/>
      <c r="M56" s="494"/>
      <c r="N56" s="495"/>
    </row>
    <row r="57" spans="1:14" ht="14.25" customHeight="1" x14ac:dyDescent="0.25">
      <c r="A57" s="491">
        <f t="shared" si="5"/>
        <v>52</v>
      </c>
      <c r="B57" s="477">
        <v>46055</v>
      </c>
      <c r="C57" s="171" t="s">
        <v>749</v>
      </c>
      <c r="D57" s="489">
        <v>75057158</v>
      </c>
      <c r="E57" s="490">
        <v>61.65</v>
      </c>
      <c r="F57" s="481">
        <v>580</v>
      </c>
      <c r="G57" s="482">
        <f t="shared" si="4"/>
        <v>35757</v>
      </c>
      <c r="H57" s="483" t="s">
        <v>65</v>
      </c>
      <c r="I57" s="484" t="s">
        <v>66</v>
      </c>
      <c r="J57" s="491"/>
      <c r="K57" s="488"/>
      <c r="L57" s="488"/>
      <c r="M57" s="488"/>
      <c r="N57" s="492"/>
    </row>
    <row r="58" spans="1:14" ht="14.25" customHeight="1" x14ac:dyDescent="0.25">
      <c r="A58" s="491">
        <f t="shared" si="5"/>
        <v>53</v>
      </c>
      <c r="B58" s="477">
        <v>46055</v>
      </c>
      <c r="C58" s="171" t="s">
        <v>749</v>
      </c>
      <c r="D58" s="489">
        <v>51179570</v>
      </c>
      <c r="E58" s="490">
        <v>61.8</v>
      </c>
      <c r="F58" s="481">
        <v>580</v>
      </c>
      <c r="G58" s="482">
        <f t="shared" si="4"/>
        <v>35844</v>
      </c>
      <c r="H58" s="483" t="s">
        <v>65</v>
      </c>
      <c r="I58" s="484" t="s">
        <v>66</v>
      </c>
      <c r="J58" s="491"/>
      <c r="K58" s="488"/>
      <c r="L58" s="488"/>
      <c r="M58" s="488"/>
      <c r="N58" s="492"/>
    </row>
    <row r="59" spans="1:14" ht="14.25" customHeight="1" x14ac:dyDescent="0.25">
      <c r="A59" s="491">
        <f t="shared" si="5"/>
        <v>54</v>
      </c>
      <c r="B59" s="477">
        <v>46055</v>
      </c>
      <c r="C59" s="171" t="s">
        <v>749</v>
      </c>
      <c r="D59" s="489">
        <v>75235549</v>
      </c>
      <c r="E59" s="490">
        <v>62.2</v>
      </c>
      <c r="F59" s="481">
        <v>580</v>
      </c>
      <c r="G59" s="482">
        <f t="shared" si="4"/>
        <v>36076</v>
      </c>
      <c r="H59" s="483" t="s">
        <v>65</v>
      </c>
      <c r="I59" s="484" t="s">
        <v>66</v>
      </c>
      <c r="J59" s="491"/>
      <c r="K59" s="488"/>
      <c r="L59" s="488"/>
      <c r="M59" s="488"/>
      <c r="N59" s="492"/>
    </row>
    <row r="60" spans="1:14" ht="14.25" customHeight="1" x14ac:dyDescent="0.25">
      <c r="A60" s="491">
        <f t="shared" si="5"/>
        <v>55</v>
      </c>
      <c r="B60" s="477">
        <v>46055</v>
      </c>
      <c r="C60" s="171" t="s">
        <v>749</v>
      </c>
      <c r="D60" s="489">
        <v>76085893</v>
      </c>
      <c r="E60" s="490">
        <v>62.35</v>
      </c>
      <c r="F60" s="481">
        <v>580</v>
      </c>
      <c r="G60" s="482">
        <f t="shared" si="4"/>
        <v>36163</v>
      </c>
      <c r="H60" s="483" t="s">
        <v>65</v>
      </c>
      <c r="I60" s="484" t="s">
        <v>66</v>
      </c>
      <c r="J60" s="491"/>
      <c r="K60" s="488"/>
      <c r="L60" s="488"/>
      <c r="M60" s="488"/>
      <c r="N60" s="492"/>
    </row>
    <row r="61" spans="1:14" ht="14.25" customHeight="1" x14ac:dyDescent="0.25">
      <c r="A61" s="491">
        <f t="shared" si="5"/>
        <v>56</v>
      </c>
      <c r="B61" s="477">
        <v>46055</v>
      </c>
      <c r="C61" s="171" t="s">
        <v>749</v>
      </c>
      <c r="D61" s="489">
        <v>73194474</v>
      </c>
      <c r="E61" s="490">
        <v>61.8</v>
      </c>
      <c r="F61" s="481">
        <v>580</v>
      </c>
      <c r="G61" s="482">
        <f t="shared" si="4"/>
        <v>35844</v>
      </c>
      <c r="H61" s="483" t="s">
        <v>65</v>
      </c>
      <c r="I61" s="484" t="s">
        <v>66</v>
      </c>
      <c r="J61" s="491"/>
      <c r="K61" s="488"/>
      <c r="L61" s="488"/>
      <c r="M61" s="488"/>
      <c r="N61" s="492"/>
    </row>
    <row r="62" spans="1:14" ht="14.25" customHeight="1" x14ac:dyDescent="0.25">
      <c r="A62" s="491">
        <f t="shared" si="5"/>
        <v>57</v>
      </c>
      <c r="B62" s="477">
        <v>46055</v>
      </c>
      <c r="C62" s="171" t="s">
        <v>749</v>
      </c>
      <c r="D62" s="489">
        <v>73973067</v>
      </c>
      <c r="E62" s="490">
        <v>61.25</v>
      </c>
      <c r="F62" s="481">
        <v>580</v>
      </c>
      <c r="G62" s="482">
        <f t="shared" si="4"/>
        <v>35525</v>
      </c>
      <c r="H62" s="483" t="s">
        <v>65</v>
      </c>
      <c r="I62" s="484" t="s">
        <v>66</v>
      </c>
      <c r="J62" s="491"/>
      <c r="K62" s="488"/>
      <c r="L62" s="488"/>
      <c r="M62" s="488"/>
      <c r="N62" s="492"/>
    </row>
    <row r="63" spans="1:14" ht="14.25" customHeight="1" x14ac:dyDescent="0.25">
      <c r="A63" s="491">
        <f t="shared" si="5"/>
        <v>58</v>
      </c>
      <c r="B63" s="477">
        <v>46055</v>
      </c>
      <c r="C63" s="171" t="s">
        <v>749</v>
      </c>
      <c r="D63" s="489">
        <v>54721030</v>
      </c>
      <c r="E63" s="490">
        <v>61.15</v>
      </c>
      <c r="F63" s="481">
        <v>580</v>
      </c>
      <c r="G63" s="482">
        <f t="shared" si="4"/>
        <v>35467</v>
      </c>
      <c r="H63" s="483" t="s">
        <v>65</v>
      </c>
      <c r="I63" s="484" t="s">
        <v>66</v>
      </c>
      <c r="J63" s="491"/>
      <c r="K63" s="488"/>
      <c r="L63" s="488"/>
      <c r="M63" s="488"/>
      <c r="N63" s="492"/>
    </row>
    <row r="64" spans="1:14" ht="14.25" customHeight="1" x14ac:dyDescent="0.25">
      <c r="A64" s="491">
        <f t="shared" si="5"/>
        <v>59</v>
      </c>
      <c r="B64" s="477">
        <v>46055</v>
      </c>
      <c r="C64" s="171" t="s">
        <v>749</v>
      </c>
      <c r="D64" s="489">
        <v>57179061</v>
      </c>
      <c r="E64" s="490">
        <v>61.75</v>
      </c>
      <c r="F64" s="481">
        <v>580</v>
      </c>
      <c r="G64" s="482">
        <f t="shared" si="4"/>
        <v>35815</v>
      </c>
      <c r="H64" s="483" t="s">
        <v>65</v>
      </c>
      <c r="I64" s="484" t="s">
        <v>66</v>
      </c>
      <c r="J64" s="491"/>
      <c r="K64" s="488"/>
      <c r="L64" s="488"/>
      <c r="M64" s="488"/>
      <c r="N64" s="492"/>
    </row>
    <row r="65" spans="1:14" ht="14.25" customHeight="1" x14ac:dyDescent="0.25">
      <c r="A65" s="491">
        <f t="shared" si="5"/>
        <v>60</v>
      </c>
      <c r="B65" s="477">
        <v>46055</v>
      </c>
      <c r="C65" s="171" t="s">
        <v>749</v>
      </c>
      <c r="D65" s="489">
        <v>54695804</v>
      </c>
      <c r="E65" s="490">
        <v>61.7</v>
      </c>
      <c r="F65" s="481">
        <v>580</v>
      </c>
      <c r="G65" s="482">
        <f t="shared" si="4"/>
        <v>35786</v>
      </c>
      <c r="H65" s="483" t="s">
        <v>65</v>
      </c>
      <c r="I65" s="484" t="s">
        <v>66</v>
      </c>
      <c r="J65" s="491"/>
      <c r="K65" s="488"/>
      <c r="L65" s="488"/>
      <c r="M65" s="488"/>
      <c r="N65" s="492"/>
    </row>
    <row r="66" spans="1:14" ht="14.25" customHeight="1" x14ac:dyDescent="0.25">
      <c r="A66" s="491">
        <f t="shared" si="5"/>
        <v>61</v>
      </c>
      <c r="B66" s="477">
        <v>46055</v>
      </c>
      <c r="C66" s="171" t="s">
        <v>749</v>
      </c>
      <c r="D66" s="489">
        <v>75737296</v>
      </c>
      <c r="E66" s="490">
        <v>62.35</v>
      </c>
      <c r="F66" s="481">
        <v>580</v>
      </c>
      <c r="G66" s="482">
        <f t="shared" si="4"/>
        <v>36163</v>
      </c>
      <c r="H66" s="483" t="s">
        <v>65</v>
      </c>
      <c r="I66" s="484" t="s">
        <v>66</v>
      </c>
      <c r="J66" s="491"/>
      <c r="K66" s="488"/>
      <c r="L66" s="488"/>
      <c r="M66" s="488"/>
      <c r="N66" s="492"/>
    </row>
    <row r="67" spans="1:14" ht="14.25" customHeight="1" x14ac:dyDescent="0.25">
      <c r="A67" s="491">
        <f t="shared" si="5"/>
        <v>62</v>
      </c>
      <c r="B67" s="477">
        <v>46055</v>
      </c>
      <c r="C67" s="171" t="s">
        <v>749</v>
      </c>
      <c r="D67" s="489">
        <v>73991366</v>
      </c>
      <c r="E67" s="490">
        <v>61.65</v>
      </c>
      <c r="F67" s="481">
        <v>580</v>
      </c>
      <c r="G67" s="482">
        <f t="shared" si="4"/>
        <v>35757</v>
      </c>
      <c r="H67" s="483" t="s">
        <v>65</v>
      </c>
      <c r="I67" s="484" t="s">
        <v>66</v>
      </c>
      <c r="J67" s="491"/>
      <c r="K67" s="488"/>
      <c r="L67" s="488"/>
      <c r="M67" s="488"/>
      <c r="N67" s="492"/>
    </row>
    <row r="68" spans="1:14" ht="14.25" customHeight="1" x14ac:dyDescent="0.25">
      <c r="A68" s="491">
        <f t="shared" si="5"/>
        <v>63</v>
      </c>
      <c r="B68" s="477">
        <v>46055</v>
      </c>
      <c r="C68" s="171" t="s">
        <v>750</v>
      </c>
      <c r="D68" s="489">
        <v>73143711</v>
      </c>
      <c r="E68" s="490">
        <v>61.7</v>
      </c>
      <c r="F68" s="481">
        <v>580</v>
      </c>
      <c r="G68" s="482">
        <f t="shared" si="4"/>
        <v>35786</v>
      </c>
      <c r="H68" s="483" t="s">
        <v>65</v>
      </c>
      <c r="I68" s="484" t="s">
        <v>66</v>
      </c>
      <c r="J68" s="491"/>
      <c r="K68" s="488"/>
      <c r="L68" s="488"/>
      <c r="M68" s="488"/>
      <c r="N68" s="492"/>
    </row>
    <row r="69" spans="1:14" ht="14.25" customHeight="1" x14ac:dyDescent="0.25">
      <c r="A69" s="491">
        <f t="shared" si="5"/>
        <v>64</v>
      </c>
      <c r="B69" s="477">
        <v>46055</v>
      </c>
      <c r="C69" s="171" t="s">
        <v>750</v>
      </c>
      <c r="D69" s="489">
        <v>75488098</v>
      </c>
      <c r="E69" s="490">
        <v>62.4</v>
      </c>
      <c r="F69" s="481">
        <v>580</v>
      </c>
      <c r="G69" s="482">
        <f t="shared" si="4"/>
        <v>36192</v>
      </c>
      <c r="H69" s="483" t="s">
        <v>65</v>
      </c>
      <c r="I69" s="484" t="s">
        <v>66</v>
      </c>
      <c r="J69" s="491"/>
      <c r="K69" s="488"/>
      <c r="L69" s="488"/>
      <c r="M69" s="488"/>
      <c r="N69" s="492"/>
    </row>
    <row r="70" spans="1:14" ht="14.25" customHeight="1" x14ac:dyDescent="0.25">
      <c r="A70" s="491">
        <f t="shared" si="5"/>
        <v>65</v>
      </c>
      <c r="B70" s="477">
        <v>46055</v>
      </c>
      <c r="C70" s="171" t="s">
        <v>750</v>
      </c>
      <c r="D70" s="489">
        <v>55052856</v>
      </c>
      <c r="E70" s="490">
        <v>61.8</v>
      </c>
      <c r="F70" s="481">
        <v>580</v>
      </c>
      <c r="G70" s="482">
        <f t="shared" si="4"/>
        <v>35844</v>
      </c>
      <c r="H70" s="483" t="s">
        <v>65</v>
      </c>
      <c r="I70" s="484" t="s">
        <v>66</v>
      </c>
      <c r="J70" s="491"/>
      <c r="K70" s="488"/>
      <c r="L70" s="488"/>
      <c r="M70" s="488"/>
      <c r="N70" s="492"/>
    </row>
    <row r="71" spans="1:14" ht="14.25" customHeight="1" x14ac:dyDescent="0.25">
      <c r="A71" s="491">
        <f t="shared" si="5"/>
        <v>66</v>
      </c>
      <c r="B71" s="477">
        <v>46055</v>
      </c>
      <c r="C71" s="171" t="s">
        <v>750</v>
      </c>
      <c r="D71" s="489">
        <v>73103426</v>
      </c>
      <c r="E71" s="490">
        <v>61.85</v>
      </c>
      <c r="F71" s="481">
        <v>580</v>
      </c>
      <c r="G71" s="482">
        <f t="shared" si="4"/>
        <v>35873</v>
      </c>
      <c r="H71" s="483" t="s">
        <v>65</v>
      </c>
      <c r="I71" s="484" t="s">
        <v>66</v>
      </c>
      <c r="J71" s="491"/>
      <c r="K71" s="488"/>
      <c r="L71" s="488"/>
      <c r="M71" s="488"/>
      <c r="N71" s="492"/>
    </row>
    <row r="72" spans="1:14" ht="14.25" customHeight="1" x14ac:dyDescent="0.25">
      <c r="A72" s="491">
        <f t="shared" si="5"/>
        <v>67</v>
      </c>
      <c r="B72" s="477">
        <v>46055</v>
      </c>
      <c r="C72" s="171" t="s">
        <v>750</v>
      </c>
      <c r="D72" s="489">
        <v>74992488</v>
      </c>
      <c r="E72" s="490">
        <v>63.05</v>
      </c>
      <c r="F72" s="481">
        <v>580</v>
      </c>
      <c r="G72" s="482">
        <f t="shared" si="4"/>
        <v>36569</v>
      </c>
      <c r="H72" s="483" t="s">
        <v>65</v>
      </c>
      <c r="I72" s="484" t="s">
        <v>66</v>
      </c>
      <c r="J72" s="491"/>
      <c r="K72" s="488"/>
      <c r="L72" s="488"/>
      <c r="M72" s="488"/>
      <c r="N72" s="492"/>
    </row>
    <row r="73" spans="1:14" ht="14.25" customHeight="1" x14ac:dyDescent="0.25">
      <c r="A73" s="491">
        <f t="shared" si="5"/>
        <v>68</v>
      </c>
      <c r="B73" s="477">
        <v>46055</v>
      </c>
      <c r="C73" s="171" t="s">
        <v>750</v>
      </c>
      <c r="D73" s="489">
        <v>73984270</v>
      </c>
      <c r="E73" s="490">
        <v>63.05</v>
      </c>
      <c r="F73" s="481">
        <v>580</v>
      </c>
      <c r="G73" s="482">
        <f t="shared" si="4"/>
        <v>36569</v>
      </c>
      <c r="H73" s="483" t="s">
        <v>65</v>
      </c>
      <c r="I73" s="484" t="s">
        <v>66</v>
      </c>
      <c r="J73" s="491"/>
      <c r="K73" s="488"/>
      <c r="L73" s="488"/>
      <c r="M73" s="488"/>
      <c r="N73" s="492"/>
    </row>
    <row r="74" spans="1:14" ht="14.25" customHeight="1" x14ac:dyDescent="0.25">
      <c r="A74" s="491">
        <f t="shared" si="5"/>
        <v>69</v>
      </c>
      <c r="B74" s="477">
        <v>46055</v>
      </c>
      <c r="C74" s="171" t="s">
        <v>750</v>
      </c>
      <c r="D74" s="489">
        <v>73196826</v>
      </c>
      <c r="E74" s="490">
        <v>61.75</v>
      </c>
      <c r="F74" s="481">
        <v>580</v>
      </c>
      <c r="G74" s="482">
        <f t="shared" si="4"/>
        <v>35815</v>
      </c>
      <c r="H74" s="483" t="s">
        <v>65</v>
      </c>
      <c r="I74" s="484" t="s">
        <v>66</v>
      </c>
      <c r="J74" s="491"/>
      <c r="K74" s="488"/>
      <c r="L74" s="488"/>
      <c r="M74" s="488"/>
      <c r="N74" s="492"/>
    </row>
    <row r="75" spans="1:14" ht="14.25" customHeight="1" x14ac:dyDescent="0.25">
      <c r="A75" s="491">
        <f t="shared" si="5"/>
        <v>70</v>
      </c>
      <c r="B75" s="477">
        <v>46055</v>
      </c>
      <c r="C75" s="171" t="s">
        <v>750</v>
      </c>
      <c r="D75" s="489">
        <v>75237586</v>
      </c>
      <c r="E75" s="490">
        <v>62.3</v>
      </c>
      <c r="F75" s="481">
        <v>580</v>
      </c>
      <c r="G75" s="482">
        <f t="shared" si="4"/>
        <v>36134</v>
      </c>
      <c r="H75" s="483" t="s">
        <v>65</v>
      </c>
      <c r="I75" s="484" t="s">
        <v>66</v>
      </c>
      <c r="J75" s="491"/>
      <c r="K75" s="488"/>
      <c r="L75" s="488"/>
      <c r="M75" s="488"/>
      <c r="N75" s="492"/>
    </row>
    <row r="76" spans="1:14" ht="14.25" customHeight="1" x14ac:dyDescent="0.25">
      <c r="A76" s="491">
        <f t="shared" si="5"/>
        <v>71</v>
      </c>
      <c r="B76" s="477">
        <v>46055</v>
      </c>
      <c r="C76" s="171" t="s">
        <v>750</v>
      </c>
      <c r="D76" s="489">
        <v>74934860</v>
      </c>
      <c r="E76" s="490">
        <v>61.65</v>
      </c>
      <c r="F76" s="481">
        <v>580</v>
      </c>
      <c r="G76" s="482">
        <f t="shared" si="4"/>
        <v>35757</v>
      </c>
      <c r="H76" s="483" t="s">
        <v>65</v>
      </c>
      <c r="I76" s="484" t="s">
        <v>66</v>
      </c>
      <c r="J76" s="491"/>
      <c r="K76" s="488"/>
      <c r="L76" s="488"/>
      <c r="M76" s="488"/>
      <c r="N76" s="492"/>
    </row>
    <row r="77" spans="1:14" ht="14.25" customHeight="1" x14ac:dyDescent="0.25">
      <c r="A77" s="491">
        <f t="shared" si="5"/>
        <v>72</v>
      </c>
      <c r="B77" s="477">
        <v>46055</v>
      </c>
      <c r="C77" s="171" t="s">
        <v>750</v>
      </c>
      <c r="D77" s="489">
        <v>51277044</v>
      </c>
      <c r="E77" s="490">
        <v>61.65</v>
      </c>
      <c r="F77" s="481">
        <v>580</v>
      </c>
      <c r="G77" s="482">
        <f t="shared" si="4"/>
        <v>35757</v>
      </c>
      <c r="H77" s="483" t="s">
        <v>65</v>
      </c>
      <c r="I77" s="484" t="s">
        <v>66</v>
      </c>
      <c r="J77" s="491"/>
      <c r="K77" s="488"/>
      <c r="L77" s="488"/>
      <c r="M77" s="488"/>
      <c r="N77" s="492"/>
    </row>
    <row r="78" spans="1:14" ht="14.25" customHeight="1" x14ac:dyDescent="0.25">
      <c r="A78" s="491">
        <f t="shared" si="5"/>
        <v>73</v>
      </c>
      <c r="B78" s="477">
        <v>46055</v>
      </c>
      <c r="C78" s="171" t="s">
        <v>750</v>
      </c>
      <c r="D78" s="489">
        <v>73328585</v>
      </c>
      <c r="E78" s="490">
        <v>61.7</v>
      </c>
      <c r="F78" s="481">
        <v>580</v>
      </c>
      <c r="G78" s="482">
        <f t="shared" si="4"/>
        <v>35786</v>
      </c>
      <c r="H78" s="483" t="s">
        <v>65</v>
      </c>
      <c r="I78" s="484" t="s">
        <v>66</v>
      </c>
      <c r="J78" s="491"/>
      <c r="K78" s="488"/>
      <c r="L78" s="488"/>
      <c r="M78" s="488"/>
      <c r="N78" s="492"/>
    </row>
    <row r="79" spans="1:14" ht="14.25" customHeight="1" x14ac:dyDescent="0.25">
      <c r="A79" s="491">
        <f t="shared" si="5"/>
        <v>74</v>
      </c>
      <c r="B79" s="477">
        <v>46055</v>
      </c>
      <c r="C79" s="171" t="s">
        <v>750</v>
      </c>
      <c r="D79" s="489">
        <v>55055305</v>
      </c>
      <c r="E79" s="490">
        <v>61.7</v>
      </c>
      <c r="F79" s="481">
        <v>580</v>
      </c>
      <c r="G79" s="482">
        <f t="shared" si="4"/>
        <v>35786</v>
      </c>
      <c r="H79" s="483" t="s">
        <v>65</v>
      </c>
      <c r="I79" s="484" t="s">
        <v>66</v>
      </c>
      <c r="J79" s="491"/>
      <c r="K79" s="488"/>
      <c r="L79" s="488"/>
      <c r="M79" s="488"/>
      <c r="N79" s="492"/>
    </row>
    <row r="80" spans="1:14" ht="14.25" customHeight="1" x14ac:dyDescent="0.25">
      <c r="A80" s="491">
        <f t="shared" si="5"/>
        <v>75</v>
      </c>
      <c r="B80" s="477">
        <v>46055</v>
      </c>
      <c r="C80" s="171" t="s">
        <v>750</v>
      </c>
      <c r="D80" s="489">
        <v>57197295</v>
      </c>
      <c r="E80" s="490">
        <v>61.8</v>
      </c>
      <c r="F80" s="481">
        <v>580</v>
      </c>
      <c r="G80" s="482">
        <f t="shared" si="4"/>
        <v>35844</v>
      </c>
      <c r="H80" s="483" t="s">
        <v>65</v>
      </c>
      <c r="I80" s="484" t="s">
        <v>66</v>
      </c>
      <c r="J80" s="491"/>
      <c r="K80" s="488"/>
      <c r="L80" s="488"/>
      <c r="M80" s="488"/>
      <c r="N80" s="492"/>
    </row>
    <row r="81" spans="1:15" ht="14.25" customHeight="1" x14ac:dyDescent="0.25">
      <c r="A81" s="491">
        <f t="shared" si="5"/>
        <v>76</v>
      </c>
      <c r="B81" s="477">
        <v>46055</v>
      </c>
      <c r="C81" s="171" t="s">
        <v>750</v>
      </c>
      <c r="D81" s="489">
        <v>73211641</v>
      </c>
      <c r="E81" s="490">
        <v>61.75</v>
      </c>
      <c r="F81" s="481">
        <v>580</v>
      </c>
      <c r="G81" s="482">
        <f t="shared" si="4"/>
        <v>35815</v>
      </c>
      <c r="H81" s="483" t="s">
        <v>65</v>
      </c>
      <c r="I81" s="484" t="s">
        <v>66</v>
      </c>
      <c r="J81" s="491"/>
      <c r="K81" s="488"/>
      <c r="L81" s="488"/>
      <c r="M81" s="488"/>
      <c r="N81" s="492"/>
    </row>
    <row r="82" spans="1:15" ht="14.25" customHeight="1" thickBot="1" x14ac:dyDescent="0.3">
      <c r="A82" s="491">
        <f t="shared" si="5"/>
        <v>77</v>
      </c>
      <c r="B82" s="477">
        <v>46055</v>
      </c>
      <c r="C82" s="496" t="s">
        <v>750</v>
      </c>
      <c r="D82" s="497">
        <v>53988366</v>
      </c>
      <c r="E82" s="498">
        <v>60.95</v>
      </c>
      <c r="F82" s="481">
        <v>580</v>
      </c>
      <c r="G82" s="482">
        <f t="shared" si="4"/>
        <v>35351</v>
      </c>
      <c r="H82" s="483" t="s">
        <v>65</v>
      </c>
      <c r="I82" s="484" t="s">
        <v>66</v>
      </c>
      <c r="J82" s="503"/>
      <c r="K82" s="504"/>
      <c r="L82" s="504"/>
      <c r="M82" s="504"/>
      <c r="N82" s="505"/>
    </row>
    <row r="83" spans="1:15" ht="15.75" thickBot="1" x14ac:dyDescent="0.3">
      <c r="A83" s="523"/>
      <c r="B83" s="522"/>
      <c r="C83" s="522"/>
      <c r="D83" s="522"/>
      <c r="E83" s="508">
        <f>SUM(E53:E82)</f>
        <v>1855.7</v>
      </c>
      <c r="F83" s="507"/>
      <c r="G83" s="509">
        <f>SUM(G53:G82)</f>
        <v>1076306</v>
      </c>
      <c r="H83" s="522"/>
      <c r="I83" s="520"/>
      <c r="J83" s="521"/>
      <c r="K83" s="522"/>
      <c r="L83" s="522"/>
      <c r="M83" s="522"/>
      <c r="N83" s="520"/>
      <c r="O83" s="177">
        <f>E83+E52+E38</f>
        <v>4650.5</v>
      </c>
    </row>
    <row r="84" spans="1:15" ht="15.75" customHeight="1" x14ac:dyDescent="0.25">
      <c r="A84" s="524">
        <v>78</v>
      </c>
      <c r="B84" s="525">
        <v>46056</v>
      </c>
      <c r="C84" s="547" t="s">
        <v>751</v>
      </c>
      <c r="D84" s="526">
        <v>58646597</v>
      </c>
      <c r="E84" s="527">
        <v>61.8</v>
      </c>
      <c r="F84" s="528">
        <v>580</v>
      </c>
      <c r="G84" s="529">
        <f>E84*F84</f>
        <v>35844</v>
      </c>
      <c r="H84" s="530" t="s">
        <v>65</v>
      </c>
      <c r="I84" s="531" t="s">
        <v>66</v>
      </c>
      <c r="J84" s="524"/>
      <c r="K84" s="532"/>
      <c r="L84" s="532"/>
      <c r="M84" s="532"/>
      <c r="N84" s="533"/>
    </row>
    <row r="85" spans="1:15" x14ac:dyDescent="0.25">
      <c r="A85" s="491">
        <f>A84+1</f>
        <v>79</v>
      </c>
      <c r="B85" s="534">
        <v>46056</v>
      </c>
      <c r="C85" s="548" t="s">
        <v>751</v>
      </c>
      <c r="D85" s="489">
        <v>75842799</v>
      </c>
      <c r="E85" s="490">
        <v>62.25</v>
      </c>
      <c r="F85" s="481">
        <v>580</v>
      </c>
      <c r="G85" s="482">
        <f t="shared" ref="G85:G89" si="6">E85*F85</f>
        <v>36105</v>
      </c>
      <c r="H85" s="483" t="s">
        <v>65</v>
      </c>
      <c r="I85" s="484" t="s">
        <v>66</v>
      </c>
      <c r="J85" s="491"/>
      <c r="K85" s="488"/>
      <c r="L85" s="488"/>
      <c r="M85" s="488"/>
      <c r="N85" s="492"/>
    </row>
    <row r="86" spans="1:15" x14ac:dyDescent="0.25">
      <c r="A86" s="491">
        <f t="shared" ref="A86:A89" si="7">A85+1</f>
        <v>80</v>
      </c>
      <c r="B86" s="534">
        <v>46056</v>
      </c>
      <c r="C86" s="548" t="s">
        <v>751</v>
      </c>
      <c r="D86" s="489">
        <v>50752724</v>
      </c>
      <c r="E86" s="490">
        <v>61.5</v>
      </c>
      <c r="F86" s="481">
        <v>580</v>
      </c>
      <c r="G86" s="482">
        <f t="shared" si="6"/>
        <v>35670</v>
      </c>
      <c r="H86" s="483" t="s">
        <v>65</v>
      </c>
      <c r="I86" s="484" t="s">
        <v>66</v>
      </c>
      <c r="J86" s="491"/>
      <c r="K86" s="488"/>
      <c r="L86" s="488"/>
      <c r="M86" s="488"/>
      <c r="N86" s="492"/>
    </row>
    <row r="87" spans="1:15" x14ac:dyDescent="0.25">
      <c r="A87" s="491">
        <f t="shared" si="7"/>
        <v>81</v>
      </c>
      <c r="B87" s="534">
        <v>46056</v>
      </c>
      <c r="C87" s="548" t="s">
        <v>751</v>
      </c>
      <c r="D87" s="489">
        <v>51526739</v>
      </c>
      <c r="E87" s="490">
        <v>52.8</v>
      </c>
      <c r="F87" s="481">
        <v>580</v>
      </c>
      <c r="G87" s="482">
        <f t="shared" si="6"/>
        <v>30624</v>
      </c>
      <c r="H87" s="483" t="s">
        <v>65</v>
      </c>
      <c r="I87" s="484" t="s">
        <v>66</v>
      </c>
      <c r="J87" s="491"/>
      <c r="K87" s="488"/>
      <c r="L87" s="488"/>
      <c r="M87" s="488"/>
      <c r="N87" s="492"/>
    </row>
    <row r="88" spans="1:15" x14ac:dyDescent="0.25">
      <c r="A88" s="491">
        <f t="shared" si="7"/>
        <v>82</v>
      </c>
      <c r="B88" s="534">
        <v>46056</v>
      </c>
      <c r="C88" s="548" t="s">
        <v>751</v>
      </c>
      <c r="D88" s="489">
        <v>51378222</v>
      </c>
      <c r="E88" s="490">
        <v>52.45</v>
      </c>
      <c r="F88" s="481">
        <v>580</v>
      </c>
      <c r="G88" s="482">
        <f t="shared" si="6"/>
        <v>30421</v>
      </c>
      <c r="H88" s="483" t="s">
        <v>65</v>
      </c>
      <c r="I88" s="484" t="s">
        <v>66</v>
      </c>
      <c r="J88" s="491"/>
      <c r="K88" s="488"/>
      <c r="L88" s="488"/>
      <c r="M88" s="488"/>
      <c r="N88" s="492"/>
    </row>
    <row r="89" spans="1:15" ht="15.75" thickBot="1" x14ac:dyDescent="0.3">
      <c r="A89" s="503">
        <f t="shared" si="7"/>
        <v>83</v>
      </c>
      <c r="B89" s="535">
        <v>46056</v>
      </c>
      <c r="C89" s="549" t="s">
        <v>751</v>
      </c>
      <c r="D89" s="536">
        <v>73202236</v>
      </c>
      <c r="E89" s="537">
        <v>61.65</v>
      </c>
      <c r="F89" s="538">
        <v>580</v>
      </c>
      <c r="G89" s="539">
        <f t="shared" si="6"/>
        <v>35757</v>
      </c>
      <c r="H89" s="540" t="s">
        <v>65</v>
      </c>
      <c r="I89" s="541" t="s">
        <v>66</v>
      </c>
      <c r="J89" s="503"/>
      <c r="K89" s="504"/>
      <c r="L89" s="504"/>
      <c r="M89" s="504"/>
      <c r="N89" s="505"/>
    </row>
    <row r="90" spans="1:15" ht="15.75" thickBot="1" x14ac:dyDescent="0.3">
      <c r="A90" s="550"/>
      <c r="B90" s="551"/>
      <c r="C90" s="551"/>
      <c r="D90" s="551"/>
      <c r="E90" s="552">
        <f>SUM(E84:E89)</f>
        <v>352.45</v>
      </c>
      <c r="F90" s="553"/>
      <c r="G90" s="554">
        <f>SUM(G84:G89)</f>
        <v>204421</v>
      </c>
      <c r="H90" s="551"/>
      <c r="I90" s="555"/>
      <c r="J90" s="556"/>
      <c r="K90" s="551"/>
      <c r="L90" s="551"/>
      <c r="M90" s="551"/>
      <c r="N90" s="555"/>
      <c r="O90" s="177">
        <f>O83+E90</f>
        <v>5002.95</v>
      </c>
    </row>
    <row r="91" spans="1:15" x14ac:dyDescent="0.25">
      <c r="A91" s="485">
        <v>84</v>
      </c>
      <c r="B91" s="557">
        <v>46078</v>
      </c>
      <c r="C91" s="558" t="s">
        <v>752</v>
      </c>
      <c r="D91" s="486">
        <v>74946062</v>
      </c>
      <c r="E91" s="559">
        <v>60.95</v>
      </c>
      <c r="F91" s="528">
        <v>580</v>
      </c>
      <c r="G91" s="560">
        <f t="shared" ref="G91:G93" si="8">E91*F91</f>
        <v>35351</v>
      </c>
      <c r="H91" s="561" t="s">
        <v>65</v>
      </c>
      <c r="I91" s="562" t="s">
        <v>66</v>
      </c>
      <c r="J91" s="486"/>
      <c r="K91" s="486"/>
      <c r="L91" s="486"/>
      <c r="M91" s="486"/>
      <c r="N91" s="487"/>
    </row>
    <row r="92" spans="1:15" x14ac:dyDescent="0.25">
      <c r="A92" s="491">
        <v>85</v>
      </c>
      <c r="B92" s="534">
        <v>46078</v>
      </c>
      <c r="C92" s="563" t="s">
        <v>752</v>
      </c>
      <c r="D92" s="488">
        <v>57133951</v>
      </c>
      <c r="E92" s="564">
        <v>60.8</v>
      </c>
      <c r="F92" s="481">
        <v>580</v>
      </c>
      <c r="G92" s="482">
        <f t="shared" si="8"/>
        <v>35264</v>
      </c>
      <c r="H92" s="483" t="s">
        <v>65</v>
      </c>
      <c r="I92" s="484" t="s">
        <v>66</v>
      </c>
      <c r="J92" s="488"/>
      <c r="K92" s="488"/>
      <c r="L92" s="488"/>
      <c r="M92" s="488"/>
      <c r="N92" s="492"/>
    </row>
    <row r="93" spans="1:15" ht="15.75" thickBot="1" x14ac:dyDescent="0.3">
      <c r="A93" s="503">
        <v>86</v>
      </c>
      <c r="B93" s="535">
        <v>46078</v>
      </c>
      <c r="C93" s="565" t="s">
        <v>752</v>
      </c>
      <c r="D93" s="504">
        <v>54750047</v>
      </c>
      <c r="E93" s="566">
        <v>60.95</v>
      </c>
      <c r="F93" s="538">
        <v>580</v>
      </c>
      <c r="G93" s="539">
        <f t="shared" si="8"/>
        <v>35351</v>
      </c>
      <c r="H93" s="540" t="s">
        <v>65</v>
      </c>
      <c r="I93" s="541" t="s">
        <v>66</v>
      </c>
      <c r="J93" s="504"/>
      <c r="K93" s="504"/>
      <c r="L93" s="504"/>
      <c r="M93" s="504"/>
      <c r="N93" s="505"/>
    </row>
    <row r="94" spans="1:15" ht="15.75" thickBot="1" x14ac:dyDescent="0.3">
      <c r="A94" s="567"/>
      <c r="B94" s="568"/>
      <c r="C94" s="568"/>
      <c r="D94" s="568"/>
      <c r="E94" s="569">
        <f>SUM(E91:E93)</f>
        <v>182.7</v>
      </c>
      <c r="F94" s="570"/>
      <c r="G94" s="571">
        <f>SUM(G91:G93)</f>
        <v>105966</v>
      </c>
      <c r="H94" s="568"/>
      <c r="I94" s="572"/>
      <c r="J94" s="573"/>
      <c r="K94" s="568"/>
      <c r="L94" s="568"/>
      <c r="M94" s="568"/>
      <c r="N94" s="572"/>
    </row>
    <row r="95" spans="1:15" x14ac:dyDescent="0.25">
      <c r="A95" s="485">
        <v>87</v>
      </c>
      <c r="B95" s="557">
        <v>46080</v>
      </c>
      <c r="C95" s="486">
        <v>8611457</v>
      </c>
      <c r="D95" s="313">
        <v>73185480</v>
      </c>
      <c r="E95" s="314">
        <v>61.5</v>
      </c>
      <c r="F95" s="528">
        <v>580</v>
      </c>
      <c r="G95" s="560">
        <f t="shared" ref="G95:G96" si="9">E95*F95</f>
        <v>35670</v>
      </c>
      <c r="H95" s="561" t="s">
        <v>65</v>
      </c>
      <c r="I95" s="562" t="s">
        <v>66</v>
      </c>
      <c r="J95" s="486"/>
      <c r="K95" s="486"/>
      <c r="L95" s="486"/>
      <c r="M95" s="486"/>
      <c r="N95" s="487"/>
    </row>
    <row r="96" spans="1:15" ht="15.75" thickBot="1" x14ac:dyDescent="0.3">
      <c r="A96" s="503">
        <v>88</v>
      </c>
      <c r="B96" s="535">
        <v>46080</v>
      </c>
      <c r="C96" s="504">
        <v>8611457</v>
      </c>
      <c r="D96" s="321">
        <v>50068550</v>
      </c>
      <c r="E96" s="322">
        <v>61.4</v>
      </c>
      <c r="F96" s="538">
        <v>580</v>
      </c>
      <c r="G96" s="539">
        <f t="shared" si="9"/>
        <v>35612</v>
      </c>
      <c r="H96" s="540" t="s">
        <v>65</v>
      </c>
      <c r="I96" s="541" t="s">
        <v>66</v>
      </c>
      <c r="J96" s="504"/>
      <c r="K96" s="504"/>
      <c r="L96" s="504"/>
      <c r="M96" s="504"/>
      <c r="N96" s="505"/>
    </row>
    <row r="97" spans="1:16" ht="15.75" thickBot="1" x14ac:dyDescent="0.3">
      <c r="A97" s="523"/>
      <c r="B97" s="522"/>
      <c r="C97" s="522"/>
      <c r="D97" s="522"/>
      <c r="E97" s="519">
        <f>SUM(E95:E96)</f>
        <v>122.9</v>
      </c>
      <c r="F97" s="507"/>
      <c r="G97" s="509">
        <f>SUM(G95:G96)</f>
        <v>71282</v>
      </c>
      <c r="H97" s="522"/>
      <c r="I97" s="520"/>
      <c r="J97" s="521"/>
      <c r="K97" s="522"/>
      <c r="L97" s="522"/>
      <c r="M97" s="522"/>
      <c r="N97" s="520"/>
      <c r="O97" s="237">
        <f>E94+E97</f>
        <v>305.60000000000002</v>
      </c>
      <c r="P97" s="237">
        <f>O97-428.4</f>
        <v>-122.79999999999995</v>
      </c>
    </row>
    <row r="98" spans="1:16" x14ac:dyDescent="0.25">
      <c r="A98" s="609">
        <v>89</v>
      </c>
      <c r="B98" s="610">
        <v>46081</v>
      </c>
      <c r="C98" s="611">
        <v>8611472</v>
      </c>
      <c r="D98" s="611">
        <v>54243944</v>
      </c>
      <c r="E98" s="612">
        <v>61.6</v>
      </c>
      <c r="F98" s="513">
        <v>580</v>
      </c>
      <c r="G98" s="514">
        <f t="shared" ref="G98:G99" si="10">E98*F98</f>
        <v>35728</v>
      </c>
      <c r="H98" s="515" t="s">
        <v>65</v>
      </c>
      <c r="I98" s="516" t="s">
        <v>66</v>
      </c>
      <c r="J98" s="611"/>
      <c r="K98" s="611"/>
      <c r="L98" s="611"/>
      <c r="M98" s="611"/>
      <c r="N98" s="613"/>
      <c r="O98" s="237"/>
      <c r="P98" s="237"/>
    </row>
    <row r="99" spans="1:16" ht="15.75" thickBot="1" x14ac:dyDescent="0.3">
      <c r="A99" s="614">
        <v>90</v>
      </c>
      <c r="B99" s="615">
        <v>46081</v>
      </c>
      <c r="C99" s="616">
        <v>8611472</v>
      </c>
      <c r="D99" s="616">
        <v>51813095</v>
      </c>
      <c r="E99" s="617">
        <v>61.2</v>
      </c>
      <c r="F99" s="618">
        <v>580</v>
      </c>
      <c r="G99" s="601">
        <f t="shared" si="10"/>
        <v>35496</v>
      </c>
      <c r="H99" s="602" t="s">
        <v>65</v>
      </c>
      <c r="I99" s="603" t="s">
        <v>66</v>
      </c>
      <c r="J99" s="616"/>
      <c r="K99" s="616"/>
      <c r="L99" s="616"/>
      <c r="M99" s="616"/>
      <c r="N99" s="619"/>
      <c r="O99" s="237"/>
      <c r="P99" s="237"/>
    </row>
    <row r="100" spans="1:16" ht="15.75" thickBot="1" x14ac:dyDescent="0.3">
      <c r="A100" s="574"/>
      <c r="B100" s="575"/>
      <c r="C100" s="575"/>
      <c r="D100" s="575"/>
      <c r="E100" s="620">
        <f>SUM(E98:E99)</f>
        <v>122.80000000000001</v>
      </c>
      <c r="F100" s="576"/>
      <c r="G100" s="577">
        <f>SUM(G98:G99)</f>
        <v>71224</v>
      </c>
      <c r="H100" s="575"/>
      <c r="I100" s="575"/>
      <c r="J100" s="575"/>
      <c r="K100" s="575"/>
      <c r="L100" s="575"/>
      <c r="M100" s="575"/>
      <c r="N100" s="578"/>
      <c r="O100" s="237"/>
      <c r="P100" s="237"/>
    </row>
    <row r="101" spans="1:16" x14ac:dyDescent="0.25">
      <c r="A101" s="476">
        <v>92</v>
      </c>
      <c r="B101" s="477">
        <v>46087</v>
      </c>
      <c r="C101" s="476">
        <v>8611710</v>
      </c>
      <c r="D101" s="347">
        <v>73996001</v>
      </c>
      <c r="E101" s="348">
        <v>60.9</v>
      </c>
      <c r="F101" s="513">
        <v>580</v>
      </c>
      <c r="G101" s="514">
        <f t="shared" ref="G101:G116" si="11">E101*F101</f>
        <v>35322</v>
      </c>
      <c r="H101" s="580" t="s">
        <v>65</v>
      </c>
      <c r="I101" s="581" t="s">
        <v>66</v>
      </c>
      <c r="J101" s="512"/>
      <c r="K101" s="476"/>
      <c r="L101" s="476"/>
      <c r="M101" s="476"/>
      <c r="N101" s="585"/>
    </row>
    <row r="102" spans="1:16" x14ac:dyDescent="0.25">
      <c r="A102" s="488">
        <f>A101+1</f>
        <v>93</v>
      </c>
      <c r="B102" s="534">
        <v>46087</v>
      </c>
      <c r="C102" s="488">
        <v>8611710</v>
      </c>
      <c r="D102" s="317">
        <v>74755471</v>
      </c>
      <c r="E102" s="318">
        <v>61.15</v>
      </c>
      <c r="F102" s="481">
        <v>580</v>
      </c>
      <c r="G102" s="482">
        <f t="shared" si="11"/>
        <v>35467</v>
      </c>
      <c r="H102" s="483" t="s">
        <v>65</v>
      </c>
      <c r="I102" s="582" t="s">
        <v>66</v>
      </c>
      <c r="J102" s="491"/>
      <c r="K102" s="488"/>
      <c r="L102" s="488"/>
      <c r="M102" s="488"/>
      <c r="N102" s="492"/>
    </row>
    <row r="103" spans="1:16" x14ac:dyDescent="0.25">
      <c r="A103" s="488">
        <f t="shared" ref="A103:A116" si="12">A102+1</f>
        <v>94</v>
      </c>
      <c r="B103" s="534">
        <v>46087</v>
      </c>
      <c r="C103" s="488">
        <v>8611710</v>
      </c>
      <c r="D103" s="317">
        <v>74753179</v>
      </c>
      <c r="E103" s="318">
        <v>60.9</v>
      </c>
      <c r="F103" s="481">
        <v>580</v>
      </c>
      <c r="G103" s="482">
        <f t="shared" si="11"/>
        <v>35322</v>
      </c>
      <c r="H103" s="483" t="s">
        <v>65</v>
      </c>
      <c r="I103" s="582" t="s">
        <v>66</v>
      </c>
      <c r="J103" s="491"/>
      <c r="K103" s="488"/>
      <c r="L103" s="488"/>
      <c r="M103" s="488"/>
      <c r="N103" s="492"/>
    </row>
    <row r="104" spans="1:16" x14ac:dyDescent="0.25">
      <c r="A104" s="488">
        <f t="shared" si="12"/>
        <v>95</v>
      </c>
      <c r="B104" s="534">
        <v>46087</v>
      </c>
      <c r="C104" s="488">
        <v>8611710</v>
      </c>
      <c r="D104" s="317">
        <v>74752601</v>
      </c>
      <c r="E104" s="318">
        <v>61.1</v>
      </c>
      <c r="F104" s="481">
        <v>580</v>
      </c>
      <c r="G104" s="482">
        <f t="shared" si="11"/>
        <v>35438</v>
      </c>
      <c r="H104" s="483" t="s">
        <v>65</v>
      </c>
      <c r="I104" s="582" t="s">
        <v>66</v>
      </c>
      <c r="J104" s="491"/>
      <c r="K104" s="488"/>
      <c r="L104" s="488"/>
      <c r="M104" s="488"/>
      <c r="N104" s="492"/>
    </row>
    <row r="105" spans="1:16" x14ac:dyDescent="0.25">
      <c r="A105" s="488">
        <f t="shared" si="12"/>
        <v>96</v>
      </c>
      <c r="B105" s="534">
        <v>46087</v>
      </c>
      <c r="C105" s="488">
        <v>8611710</v>
      </c>
      <c r="D105" s="317">
        <v>74722042</v>
      </c>
      <c r="E105" s="318">
        <v>60.9</v>
      </c>
      <c r="F105" s="481">
        <v>580</v>
      </c>
      <c r="G105" s="482">
        <f t="shared" si="11"/>
        <v>35322</v>
      </c>
      <c r="H105" s="483" t="s">
        <v>65</v>
      </c>
      <c r="I105" s="582" t="s">
        <v>66</v>
      </c>
      <c r="J105" s="491"/>
      <c r="K105" s="488"/>
      <c r="L105" s="488"/>
      <c r="M105" s="488"/>
      <c r="N105" s="492"/>
    </row>
    <row r="106" spans="1:16" x14ac:dyDescent="0.25">
      <c r="A106" s="488">
        <f t="shared" si="12"/>
        <v>97</v>
      </c>
      <c r="B106" s="534">
        <v>46087</v>
      </c>
      <c r="C106" s="488">
        <v>8611710</v>
      </c>
      <c r="D106" s="317">
        <v>74974809</v>
      </c>
      <c r="E106" s="318">
        <v>60.6</v>
      </c>
      <c r="F106" s="481">
        <v>580</v>
      </c>
      <c r="G106" s="482">
        <f t="shared" si="11"/>
        <v>35148</v>
      </c>
      <c r="H106" s="483" t="s">
        <v>65</v>
      </c>
      <c r="I106" s="582" t="s">
        <v>66</v>
      </c>
      <c r="J106" s="491"/>
      <c r="K106" s="488"/>
      <c r="L106" s="488"/>
      <c r="M106" s="488"/>
      <c r="N106" s="492"/>
    </row>
    <row r="107" spans="1:16" x14ac:dyDescent="0.25">
      <c r="A107" s="488">
        <f t="shared" si="12"/>
        <v>98</v>
      </c>
      <c r="B107" s="534">
        <v>46087</v>
      </c>
      <c r="C107" s="488">
        <v>8611710</v>
      </c>
      <c r="D107" s="317">
        <v>74746751</v>
      </c>
      <c r="E107" s="318">
        <v>60.95</v>
      </c>
      <c r="F107" s="481">
        <v>580</v>
      </c>
      <c r="G107" s="482">
        <f t="shared" si="11"/>
        <v>35351</v>
      </c>
      <c r="H107" s="483" t="s">
        <v>65</v>
      </c>
      <c r="I107" s="582" t="s">
        <v>66</v>
      </c>
      <c r="J107" s="491"/>
      <c r="K107" s="488"/>
      <c r="L107" s="488"/>
      <c r="M107" s="488"/>
      <c r="N107" s="492"/>
    </row>
    <row r="108" spans="1:16" x14ac:dyDescent="0.25">
      <c r="A108" s="488">
        <f t="shared" si="12"/>
        <v>99</v>
      </c>
      <c r="B108" s="534">
        <v>46087</v>
      </c>
      <c r="C108" s="488">
        <v>8611710</v>
      </c>
      <c r="D108" s="317">
        <v>73925455</v>
      </c>
      <c r="E108" s="318">
        <v>60.65</v>
      </c>
      <c r="F108" s="481">
        <v>580</v>
      </c>
      <c r="G108" s="482">
        <f t="shared" si="11"/>
        <v>35177</v>
      </c>
      <c r="H108" s="483" t="s">
        <v>65</v>
      </c>
      <c r="I108" s="582" t="s">
        <v>66</v>
      </c>
      <c r="J108" s="491"/>
      <c r="K108" s="488"/>
      <c r="L108" s="488"/>
      <c r="M108" s="488"/>
      <c r="N108" s="492"/>
    </row>
    <row r="109" spans="1:16" x14ac:dyDescent="0.25">
      <c r="A109" s="488">
        <f t="shared" si="12"/>
        <v>100</v>
      </c>
      <c r="B109" s="534">
        <v>46087</v>
      </c>
      <c r="C109" s="488">
        <v>8611710</v>
      </c>
      <c r="D109" s="317">
        <v>75023929</v>
      </c>
      <c r="E109" s="318">
        <v>60.45</v>
      </c>
      <c r="F109" s="481">
        <v>580</v>
      </c>
      <c r="G109" s="482">
        <f t="shared" si="11"/>
        <v>35061</v>
      </c>
      <c r="H109" s="483" t="s">
        <v>65</v>
      </c>
      <c r="I109" s="582" t="s">
        <v>66</v>
      </c>
      <c r="J109" s="491"/>
      <c r="K109" s="488"/>
      <c r="L109" s="488"/>
      <c r="M109" s="488"/>
      <c r="N109" s="492"/>
    </row>
    <row r="110" spans="1:16" x14ac:dyDescent="0.25">
      <c r="A110" s="488">
        <f t="shared" si="12"/>
        <v>101</v>
      </c>
      <c r="B110" s="534">
        <v>46087</v>
      </c>
      <c r="C110" s="488">
        <v>8611710</v>
      </c>
      <c r="D110" s="317">
        <v>74722026</v>
      </c>
      <c r="E110" s="318">
        <v>61.25</v>
      </c>
      <c r="F110" s="481">
        <v>580</v>
      </c>
      <c r="G110" s="482">
        <f t="shared" si="11"/>
        <v>35525</v>
      </c>
      <c r="H110" s="483" t="s">
        <v>65</v>
      </c>
      <c r="I110" s="582" t="s">
        <v>66</v>
      </c>
      <c r="J110" s="491"/>
      <c r="K110" s="488"/>
      <c r="L110" s="488"/>
      <c r="M110" s="488"/>
      <c r="N110" s="492"/>
    </row>
    <row r="111" spans="1:16" x14ac:dyDescent="0.25">
      <c r="A111" s="488">
        <f t="shared" si="12"/>
        <v>102</v>
      </c>
      <c r="B111" s="534">
        <v>46087</v>
      </c>
      <c r="C111" s="488">
        <v>8611710</v>
      </c>
      <c r="D111" s="317">
        <v>74722331</v>
      </c>
      <c r="E111" s="318">
        <v>60.95</v>
      </c>
      <c r="F111" s="481">
        <v>580</v>
      </c>
      <c r="G111" s="482">
        <f t="shared" si="11"/>
        <v>35351</v>
      </c>
      <c r="H111" s="483" t="s">
        <v>65</v>
      </c>
      <c r="I111" s="582" t="s">
        <v>66</v>
      </c>
      <c r="J111" s="491"/>
      <c r="K111" s="488"/>
      <c r="L111" s="488"/>
      <c r="M111" s="488"/>
      <c r="N111" s="492"/>
    </row>
    <row r="112" spans="1:16" x14ac:dyDescent="0.25">
      <c r="A112" s="488">
        <f t="shared" si="12"/>
        <v>103</v>
      </c>
      <c r="B112" s="534">
        <v>46087</v>
      </c>
      <c r="C112" s="488">
        <v>8611710</v>
      </c>
      <c r="D112" s="317">
        <v>74752114</v>
      </c>
      <c r="E112" s="318">
        <v>61.05</v>
      </c>
      <c r="F112" s="481">
        <v>580</v>
      </c>
      <c r="G112" s="482">
        <f t="shared" si="11"/>
        <v>35409</v>
      </c>
      <c r="H112" s="483" t="s">
        <v>65</v>
      </c>
      <c r="I112" s="582" t="s">
        <v>66</v>
      </c>
      <c r="J112" s="491"/>
      <c r="K112" s="488"/>
      <c r="L112" s="488"/>
      <c r="M112" s="488"/>
      <c r="N112" s="492"/>
    </row>
    <row r="113" spans="1:14" x14ac:dyDescent="0.25">
      <c r="A113" s="488">
        <f t="shared" si="12"/>
        <v>104</v>
      </c>
      <c r="B113" s="534">
        <v>46087</v>
      </c>
      <c r="C113" s="488">
        <v>8611710</v>
      </c>
      <c r="D113" s="317">
        <v>74939588</v>
      </c>
      <c r="E113" s="318">
        <v>60.9</v>
      </c>
      <c r="F113" s="481">
        <v>580</v>
      </c>
      <c r="G113" s="482">
        <f t="shared" si="11"/>
        <v>35322</v>
      </c>
      <c r="H113" s="483" t="s">
        <v>65</v>
      </c>
      <c r="I113" s="582" t="s">
        <v>66</v>
      </c>
      <c r="J113" s="491"/>
      <c r="K113" s="488"/>
      <c r="L113" s="488"/>
      <c r="M113" s="488"/>
      <c r="N113" s="492"/>
    </row>
    <row r="114" spans="1:14" x14ac:dyDescent="0.25">
      <c r="A114" s="488">
        <f t="shared" si="12"/>
        <v>105</v>
      </c>
      <c r="B114" s="534">
        <v>46087</v>
      </c>
      <c r="C114" s="488">
        <v>8611710</v>
      </c>
      <c r="D114" s="317">
        <v>74755315</v>
      </c>
      <c r="E114" s="318">
        <v>61.2</v>
      </c>
      <c r="F114" s="481">
        <v>580</v>
      </c>
      <c r="G114" s="482">
        <f t="shared" si="11"/>
        <v>35496</v>
      </c>
      <c r="H114" s="483" t="s">
        <v>65</v>
      </c>
      <c r="I114" s="582" t="s">
        <v>66</v>
      </c>
      <c r="J114" s="491"/>
      <c r="K114" s="488"/>
      <c r="L114" s="488"/>
      <c r="M114" s="488"/>
      <c r="N114" s="492"/>
    </row>
    <row r="115" spans="1:14" x14ac:dyDescent="0.25">
      <c r="A115" s="488">
        <f t="shared" si="12"/>
        <v>106</v>
      </c>
      <c r="B115" s="534">
        <v>46087</v>
      </c>
      <c r="C115" s="488">
        <v>8611710</v>
      </c>
      <c r="D115" s="317">
        <v>74722174</v>
      </c>
      <c r="E115" s="318">
        <v>60.95</v>
      </c>
      <c r="F115" s="481">
        <v>580</v>
      </c>
      <c r="G115" s="482">
        <f t="shared" si="11"/>
        <v>35351</v>
      </c>
      <c r="H115" s="483" t="s">
        <v>65</v>
      </c>
      <c r="I115" s="582" t="s">
        <v>66</v>
      </c>
      <c r="J115" s="491"/>
      <c r="K115" s="488"/>
      <c r="L115" s="488"/>
      <c r="M115" s="488"/>
      <c r="N115" s="492"/>
    </row>
    <row r="116" spans="1:14" ht="15.75" thickBot="1" x14ac:dyDescent="0.3">
      <c r="A116" s="494">
        <f t="shared" si="12"/>
        <v>107</v>
      </c>
      <c r="B116" s="583">
        <v>46087</v>
      </c>
      <c r="C116" s="494">
        <v>8611710</v>
      </c>
      <c r="D116" s="353">
        <v>74752486</v>
      </c>
      <c r="E116" s="341">
        <v>61</v>
      </c>
      <c r="F116" s="481">
        <v>580</v>
      </c>
      <c r="G116" s="482">
        <f t="shared" si="11"/>
        <v>35380</v>
      </c>
      <c r="H116" s="580" t="s">
        <v>65</v>
      </c>
      <c r="I116" s="581" t="s">
        <v>66</v>
      </c>
      <c r="J116" s="493"/>
      <c r="K116" s="494"/>
      <c r="L116" s="494"/>
      <c r="M116" s="494"/>
      <c r="N116" s="495"/>
    </row>
    <row r="117" spans="1:14" ht="15.75" thickBot="1" x14ac:dyDescent="0.3">
      <c r="A117" s="523"/>
      <c r="B117" s="522"/>
      <c r="C117" s="522"/>
      <c r="D117" s="522"/>
      <c r="E117" s="621">
        <f>SUM(E101:E116)</f>
        <v>974.90000000000009</v>
      </c>
      <c r="F117" s="507"/>
      <c r="G117" s="509">
        <f>SUM(G101:G116)</f>
        <v>565442</v>
      </c>
      <c r="H117" s="522"/>
      <c r="I117" s="520"/>
      <c r="J117" s="521"/>
      <c r="K117" s="522"/>
      <c r="L117" s="522"/>
      <c r="M117" s="522"/>
      <c r="N117" s="520"/>
    </row>
    <row r="118" spans="1:14" x14ac:dyDescent="0.25">
      <c r="A118" s="476">
        <v>105</v>
      </c>
      <c r="B118" s="477">
        <v>46089</v>
      </c>
      <c r="C118" s="476">
        <v>8611774</v>
      </c>
      <c r="D118" s="347">
        <v>74941857</v>
      </c>
      <c r="E118" s="348">
        <v>60.95</v>
      </c>
      <c r="F118" s="481">
        <v>580</v>
      </c>
      <c r="G118" s="482">
        <f t="shared" ref="G118:G150" si="13">E118*F118</f>
        <v>35351</v>
      </c>
      <c r="H118" s="515" t="s">
        <v>65</v>
      </c>
      <c r="I118" s="584" t="s">
        <v>66</v>
      </c>
      <c r="J118" s="512"/>
      <c r="K118" s="476"/>
      <c r="L118" s="476"/>
      <c r="M118" s="476"/>
      <c r="N118" s="585"/>
    </row>
    <row r="119" spans="1:14" x14ac:dyDescent="0.25">
      <c r="A119" s="488">
        <f>A118+1</f>
        <v>106</v>
      </c>
      <c r="B119" s="534">
        <v>46089</v>
      </c>
      <c r="C119" s="488">
        <v>8611774</v>
      </c>
      <c r="D119" s="317">
        <v>74986472</v>
      </c>
      <c r="E119" s="318">
        <v>60.6</v>
      </c>
      <c r="F119" s="481">
        <v>580</v>
      </c>
      <c r="G119" s="482">
        <f t="shared" si="13"/>
        <v>35148</v>
      </c>
      <c r="H119" s="483" t="s">
        <v>65</v>
      </c>
      <c r="I119" s="582" t="s">
        <v>66</v>
      </c>
      <c r="J119" s="491"/>
      <c r="K119" s="488"/>
      <c r="L119" s="488"/>
      <c r="M119" s="488"/>
      <c r="N119" s="492"/>
    </row>
    <row r="120" spans="1:14" x14ac:dyDescent="0.25">
      <c r="A120" s="488">
        <f t="shared" ref="A120:A150" si="14">A119+1</f>
        <v>107</v>
      </c>
      <c r="B120" s="534">
        <v>46089</v>
      </c>
      <c r="C120" s="488">
        <v>8611774</v>
      </c>
      <c r="D120" s="317">
        <v>73997116</v>
      </c>
      <c r="E120" s="318">
        <v>61</v>
      </c>
      <c r="F120" s="481">
        <v>580</v>
      </c>
      <c r="G120" s="482">
        <f t="shared" si="13"/>
        <v>35380</v>
      </c>
      <c r="H120" s="483" t="s">
        <v>65</v>
      </c>
      <c r="I120" s="582" t="s">
        <v>66</v>
      </c>
      <c r="J120" s="491"/>
      <c r="K120" s="488"/>
      <c r="L120" s="488"/>
      <c r="M120" s="488"/>
      <c r="N120" s="492"/>
    </row>
    <row r="121" spans="1:14" x14ac:dyDescent="0.25">
      <c r="A121" s="488">
        <f t="shared" si="14"/>
        <v>108</v>
      </c>
      <c r="B121" s="534">
        <v>46089</v>
      </c>
      <c r="C121" s="488">
        <v>8611774</v>
      </c>
      <c r="D121" s="317">
        <v>74975251</v>
      </c>
      <c r="E121" s="318">
        <v>60.7</v>
      </c>
      <c r="F121" s="481">
        <v>580</v>
      </c>
      <c r="G121" s="482">
        <f t="shared" si="13"/>
        <v>35206</v>
      </c>
      <c r="H121" s="483" t="s">
        <v>65</v>
      </c>
      <c r="I121" s="582" t="s">
        <v>66</v>
      </c>
      <c r="J121" s="491"/>
      <c r="K121" s="488"/>
      <c r="L121" s="488"/>
      <c r="M121" s="488"/>
      <c r="N121" s="492"/>
    </row>
    <row r="122" spans="1:14" x14ac:dyDescent="0.25">
      <c r="A122" s="488">
        <f t="shared" si="14"/>
        <v>109</v>
      </c>
      <c r="B122" s="534">
        <v>46089</v>
      </c>
      <c r="C122" s="488">
        <v>8611774</v>
      </c>
      <c r="D122" s="317">
        <v>73926107</v>
      </c>
      <c r="E122" s="318">
        <v>61.05</v>
      </c>
      <c r="F122" s="481">
        <v>580</v>
      </c>
      <c r="G122" s="482">
        <f t="shared" si="13"/>
        <v>35409</v>
      </c>
      <c r="H122" s="483" t="s">
        <v>65</v>
      </c>
      <c r="I122" s="582" t="s">
        <v>66</v>
      </c>
      <c r="J122" s="491"/>
      <c r="K122" s="488"/>
      <c r="L122" s="488"/>
      <c r="M122" s="488"/>
      <c r="N122" s="492"/>
    </row>
    <row r="123" spans="1:14" x14ac:dyDescent="0.25">
      <c r="A123" s="488">
        <f t="shared" si="14"/>
        <v>110</v>
      </c>
      <c r="B123" s="534">
        <v>46089</v>
      </c>
      <c r="C123" s="488">
        <v>8611774</v>
      </c>
      <c r="D123" s="317">
        <v>73969206</v>
      </c>
      <c r="E123" s="318">
        <v>60.7</v>
      </c>
      <c r="F123" s="481">
        <v>580</v>
      </c>
      <c r="G123" s="482">
        <f t="shared" si="13"/>
        <v>35206</v>
      </c>
      <c r="H123" s="483" t="s">
        <v>65</v>
      </c>
      <c r="I123" s="582" t="s">
        <v>66</v>
      </c>
      <c r="J123" s="491"/>
      <c r="K123" s="488"/>
      <c r="L123" s="488"/>
      <c r="M123" s="488"/>
      <c r="N123" s="492"/>
    </row>
    <row r="124" spans="1:14" x14ac:dyDescent="0.25">
      <c r="A124" s="488">
        <f t="shared" si="14"/>
        <v>111</v>
      </c>
      <c r="B124" s="534">
        <v>46089</v>
      </c>
      <c r="C124" s="488">
        <v>8611774</v>
      </c>
      <c r="D124" s="317">
        <v>73925315</v>
      </c>
      <c r="E124" s="318">
        <v>60.25</v>
      </c>
      <c r="F124" s="481">
        <v>580</v>
      </c>
      <c r="G124" s="482">
        <f t="shared" si="13"/>
        <v>34945</v>
      </c>
      <c r="H124" s="483" t="s">
        <v>65</v>
      </c>
      <c r="I124" s="582" t="s">
        <v>66</v>
      </c>
      <c r="J124" s="491"/>
      <c r="K124" s="488"/>
      <c r="L124" s="488"/>
      <c r="M124" s="488"/>
      <c r="N124" s="492"/>
    </row>
    <row r="125" spans="1:14" x14ac:dyDescent="0.25">
      <c r="A125" s="488">
        <f t="shared" si="14"/>
        <v>112</v>
      </c>
      <c r="B125" s="534">
        <v>46089</v>
      </c>
      <c r="C125" s="488">
        <v>8611774</v>
      </c>
      <c r="D125" s="317">
        <v>74940826</v>
      </c>
      <c r="E125" s="318">
        <v>61.1</v>
      </c>
      <c r="F125" s="481">
        <v>580</v>
      </c>
      <c r="G125" s="482">
        <f t="shared" si="13"/>
        <v>35438</v>
      </c>
      <c r="H125" s="483" t="s">
        <v>65</v>
      </c>
      <c r="I125" s="582" t="s">
        <v>66</v>
      </c>
      <c r="J125" s="491"/>
      <c r="K125" s="488"/>
      <c r="L125" s="488"/>
      <c r="M125" s="488"/>
      <c r="N125" s="492"/>
    </row>
    <row r="126" spans="1:14" x14ac:dyDescent="0.25">
      <c r="A126" s="488">
        <f t="shared" si="14"/>
        <v>113</v>
      </c>
      <c r="B126" s="534">
        <v>46089</v>
      </c>
      <c r="C126" s="488">
        <v>8611774</v>
      </c>
      <c r="D126" s="317">
        <v>74946500</v>
      </c>
      <c r="E126" s="318">
        <v>60.65</v>
      </c>
      <c r="F126" s="481">
        <v>580</v>
      </c>
      <c r="G126" s="482">
        <f t="shared" si="13"/>
        <v>35177</v>
      </c>
      <c r="H126" s="483" t="s">
        <v>65</v>
      </c>
      <c r="I126" s="582" t="s">
        <v>66</v>
      </c>
      <c r="J126" s="491"/>
      <c r="K126" s="488"/>
      <c r="L126" s="488"/>
      <c r="M126" s="488"/>
      <c r="N126" s="492"/>
    </row>
    <row r="127" spans="1:14" x14ac:dyDescent="0.25">
      <c r="A127" s="488">
        <f t="shared" si="14"/>
        <v>114</v>
      </c>
      <c r="B127" s="534">
        <v>46089</v>
      </c>
      <c r="C127" s="488">
        <v>8611774</v>
      </c>
      <c r="D127" s="317">
        <v>74941915</v>
      </c>
      <c r="E127" s="318">
        <v>61</v>
      </c>
      <c r="F127" s="481">
        <v>580</v>
      </c>
      <c r="G127" s="482">
        <f t="shared" si="13"/>
        <v>35380</v>
      </c>
      <c r="H127" s="483" t="s">
        <v>65</v>
      </c>
      <c r="I127" s="582" t="s">
        <v>66</v>
      </c>
      <c r="J127" s="491"/>
      <c r="K127" s="488"/>
      <c r="L127" s="488"/>
      <c r="M127" s="488"/>
      <c r="N127" s="492"/>
    </row>
    <row r="128" spans="1:14" x14ac:dyDescent="0.25">
      <c r="A128" s="488">
        <f t="shared" si="14"/>
        <v>115</v>
      </c>
      <c r="B128" s="534">
        <v>46089</v>
      </c>
      <c r="C128" s="488">
        <v>8611774</v>
      </c>
      <c r="D128" s="317">
        <v>74951948</v>
      </c>
      <c r="E128" s="318">
        <v>60.55</v>
      </c>
      <c r="F128" s="481">
        <v>580</v>
      </c>
      <c r="G128" s="482">
        <f t="shared" si="13"/>
        <v>35119</v>
      </c>
      <c r="H128" s="483" t="s">
        <v>65</v>
      </c>
      <c r="I128" s="582" t="s">
        <v>66</v>
      </c>
      <c r="J128" s="491"/>
      <c r="K128" s="488"/>
      <c r="L128" s="488"/>
      <c r="M128" s="488"/>
      <c r="N128" s="492"/>
    </row>
    <row r="129" spans="1:14" x14ac:dyDescent="0.25">
      <c r="A129" s="488">
        <f t="shared" si="14"/>
        <v>116</v>
      </c>
      <c r="B129" s="534">
        <v>46089</v>
      </c>
      <c r="C129" s="488">
        <v>8611774</v>
      </c>
      <c r="D129" s="317">
        <v>74974973</v>
      </c>
      <c r="E129" s="318">
        <v>60.7</v>
      </c>
      <c r="F129" s="481">
        <v>580</v>
      </c>
      <c r="G129" s="482">
        <f t="shared" si="13"/>
        <v>35206</v>
      </c>
      <c r="H129" s="483" t="s">
        <v>65</v>
      </c>
      <c r="I129" s="582" t="s">
        <v>66</v>
      </c>
      <c r="J129" s="491"/>
      <c r="K129" s="488"/>
      <c r="L129" s="488"/>
      <c r="M129" s="488"/>
      <c r="N129" s="492"/>
    </row>
    <row r="130" spans="1:14" x14ac:dyDescent="0.25">
      <c r="A130" s="488">
        <f t="shared" si="14"/>
        <v>117</v>
      </c>
      <c r="B130" s="534">
        <v>46089</v>
      </c>
      <c r="C130" s="488">
        <v>8611774</v>
      </c>
      <c r="D130" s="317">
        <v>74900168</v>
      </c>
      <c r="E130" s="318">
        <v>60.95</v>
      </c>
      <c r="F130" s="481">
        <v>580</v>
      </c>
      <c r="G130" s="482">
        <f t="shared" si="13"/>
        <v>35351</v>
      </c>
      <c r="H130" s="483" t="s">
        <v>65</v>
      </c>
      <c r="I130" s="582" t="s">
        <v>66</v>
      </c>
      <c r="J130" s="491"/>
      <c r="K130" s="488"/>
      <c r="L130" s="488"/>
      <c r="M130" s="488"/>
      <c r="N130" s="492"/>
    </row>
    <row r="131" spans="1:14" x14ac:dyDescent="0.25">
      <c r="A131" s="488">
        <f t="shared" si="14"/>
        <v>118</v>
      </c>
      <c r="B131" s="534">
        <v>46089</v>
      </c>
      <c r="C131" s="488">
        <v>8611774</v>
      </c>
      <c r="D131" s="317">
        <v>73996142</v>
      </c>
      <c r="E131" s="318">
        <v>61.1</v>
      </c>
      <c r="F131" s="481">
        <v>580</v>
      </c>
      <c r="G131" s="482">
        <f t="shared" si="13"/>
        <v>35438</v>
      </c>
      <c r="H131" s="483" t="s">
        <v>65</v>
      </c>
      <c r="I131" s="582" t="s">
        <v>66</v>
      </c>
      <c r="J131" s="491"/>
      <c r="K131" s="488"/>
      <c r="L131" s="488"/>
      <c r="M131" s="488"/>
      <c r="N131" s="492"/>
    </row>
    <row r="132" spans="1:14" x14ac:dyDescent="0.25">
      <c r="A132" s="488">
        <f t="shared" si="14"/>
        <v>119</v>
      </c>
      <c r="B132" s="534">
        <v>46089</v>
      </c>
      <c r="C132" s="488">
        <v>8611774</v>
      </c>
      <c r="D132" s="317">
        <v>74939901</v>
      </c>
      <c r="E132" s="318">
        <v>61.05</v>
      </c>
      <c r="F132" s="481">
        <v>580</v>
      </c>
      <c r="G132" s="482">
        <f t="shared" si="13"/>
        <v>35409</v>
      </c>
      <c r="H132" s="483" t="s">
        <v>65</v>
      </c>
      <c r="I132" s="582" t="s">
        <v>66</v>
      </c>
      <c r="J132" s="491"/>
      <c r="K132" s="488"/>
      <c r="L132" s="488"/>
      <c r="M132" s="488"/>
      <c r="N132" s="492"/>
    </row>
    <row r="133" spans="1:14" x14ac:dyDescent="0.25">
      <c r="A133" s="488">
        <f t="shared" si="14"/>
        <v>120</v>
      </c>
      <c r="B133" s="534">
        <v>46089</v>
      </c>
      <c r="C133" s="488">
        <v>8611774</v>
      </c>
      <c r="D133" s="317">
        <v>74941808</v>
      </c>
      <c r="E133" s="318">
        <v>61.05</v>
      </c>
      <c r="F133" s="481">
        <v>580</v>
      </c>
      <c r="G133" s="482">
        <f t="shared" si="13"/>
        <v>35409</v>
      </c>
      <c r="H133" s="483" t="s">
        <v>65</v>
      </c>
      <c r="I133" s="582" t="s">
        <v>66</v>
      </c>
      <c r="J133" s="491"/>
      <c r="K133" s="488"/>
      <c r="L133" s="488"/>
      <c r="M133" s="488"/>
      <c r="N133" s="492"/>
    </row>
    <row r="134" spans="1:14" x14ac:dyDescent="0.25">
      <c r="A134" s="488">
        <f t="shared" si="14"/>
        <v>121</v>
      </c>
      <c r="B134" s="534">
        <v>46089</v>
      </c>
      <c r="C134" s="488">
        <v>8611774</v>
      </c>
      <c r="D134" s="317">
        <v>74943465</v>
      </c>
      <c r="E134" s="318">
        <v>61.05</v>
      </c>
      <c r="F134" s="481">
        <v>580</v>
      </c>
      <c r="G134" s="482">
        <f t="shared" si="13"/>
        <v>35409</v>
      </c>
      <c r="H134" s="483" t="s">
        <v>65</v>
      </c>
      <c r="I134" s="582" t="s">
        <v>66</v>
      </c>
      <c r="J134" s="491"/>
      <c r="K134" s="488"/>
      <c r="L134" s="488"/>
      <c r="M134" s="488"/>
      <c r="N134" s="492"/>
    </row>
    <row r="135" spans="1:14" x14ac:dyDescent="0.25">
      <c r="A135" s="488">
        <f t="shared" si="14"/>
        <v>122</v>
      </c>
      <c r="B135" s="534">
        <v>46089</v>
      </c>
      <c r="C135" s="488">
        <v>8611774</v>
      </c>
      <c r="D135" s="317">
        <v>74940065</v>
      </c>
      <c r="E135" s="318">
        <v>61.05</v>
      </c>
      <c r="F135" s="481">
        <v>580</v>
      </c>
      <c r="G135" s="482">
        <f t="shared" si="13"/>
        <v>35409</v>
      </c>
      <c r="H135" s="483" t="s">
        <v>65</v>
      </c>
      <c r="I135" s="582" t="s">
        <v>66</v>
      </c>
      <c r="J135" s="491"/>
      <c r="K135" s="488"/>
      <c r="L135" s="488"/>
      <c r="M135" s="488"/>
      <c r="N135" s="492"/>
    </row>
    <row r="136" spans="1:14" x14ac:dyDescent="0.25">
      <c r="A136" s="488">
        <f t="shared" si="14"/>
        <v>123</v>
      </c>
      <c r="B136" s="534">
        <v>46089</v>
      </c>
      <c r="C136" s="488">
        <v>8611774</v>
      </c>
      <c r="D136" s="317">
        <v>74946468</v>
      </c>
      <c r="E136" s="318">
        <v>60.6</v>
      </c>
      <c r="F136" s="481">
        <v>580</v>
      </c>
      <c r="G136" s="482">
        <f t="shared" si="13"/>
        <v>35148</v>
      </c>
      <c r="H136" s="483" t="s">
        <v>65</v>
      </c>
      <c r="I136" s="582" t="s">
        <v>66</v>
      </c>
      <c r="J136" s="491"/>
      <c r="K136" s="488"/>
      <c r="L136" s="488"/>
      <c r="M136" s="488"/>
      <c r="N136" s="492"/>
    </row>
    <row r="137" spans="1:14" x14ac:dyDescent="0.25">
      <c r="A137" s="488">
        <f t="shared" si="14"/>
        <v>124</v>
      </c>
      <c r="B137" s="534">
        <v>46089</v>
      </c>
      <c r="C137" s="488">
        <v>8611775</v>
      </c>
      <c r="D137" s="317">
        <v>73926321</v>
      </c>
      <c r="E137" s="318">
        <v>61</v>
      </c>
      <c r="F137" s="481">
        <v>580</v>
      </c>
      <c r="G137" s="482">
        <f t="shared" si="13"/>
        <v>35380</v>
      </c>
      <c r="H137" s="483" t="s">
        <v>65</v>
      </c>
      <c r="I137" s="582" t="s">
        <v>66</v>
      </c>
      <c r="J137" s="491"/>
      <c r="K137" s="488"/>
      <c r="L137" s="488"/>
      <c r="M137" s="488"/>
      <c r="N137" s="492"/>
    </row>
    <row r="138" spans="1:14" x14ac:dyDescent="0.25">
      <c r="A138" s="488">
        <f t="shared" si="14"/>
        <v>125</v>
      </c>
      <c r="B138" s="534">
        <v>46089</v>
      </c>
      <c r="C138" s="488">
        <v>8611775</v>
      </c>
      <c r="D138" s="317">
        <v>74961954</v>
      </c>
      <c r="E138" s="318">
        <v>60.65</v>
      </c>
      <c r="F138" s="481">
        <v>580</v>
      </c>
      <c r="G138" s="482">
        <f t="shared" si="13"/>
        <v>35177</v>
      </c>
      <c r="H138" s="483" t="s">
        <v>65</v>
      </c>
      <c r="I138" s="582" t="s">
        <v>66</v>
      </c>
      <c r="J138" s="491"/>
      <c r="K138" s="488"/>
      <c r="L138" s="488"/>
      <c r="M138" s="488"/>
      <c r="N138" s="492"/>
    </row>
    <row r="139" spans="1:14" x14ac:dyDescent="0.25">
      <c r="A139" s="488">
        <f t="shared" si="14"/>
        <v>126</v>
      </c>
      <c r="B139" s="534">
        <v>46089</v>
      </c>
      <c r="C139" s="488">
        <v>8611775</v>
      </c>
      <c r="D139" s="317">
        <v>74944026</v>
      </c>
      <c r="E139" s="318">
        <v>60.65</v>
      </c>
      <c r="F139" s="481">
        <v>580</v>
      </c>
      <c r="G139" s="482">
        <f t="shared" si="13"/>
        <v>35177</v>
      </c>
      <c r="H139" s="483" t="s">
        <v>65</v>
      </c>
      <c r="I139" s="582" t="s">
        <v>66</v>
      </c>
      <c r="J139" s="491"/>
      <c r="K139" s="488"/>
      <c r="L139" s="488"/>
      <c r="M139" s="488"/>
      <c r="N139" s="492"/>
    </row>
    <row r="140" spans="1:14" x14ac:dyDescent="0.25">
      <c r="A140" s="488">
        <f t="shared" si="14"/>
        <v>127</v>
      </c>
      <c r="B140" s="534">
        <v>46089</v>
      </c>
      <c r="C140" s="488">
        <v>8611775</v>
      </c>
      <c r="D140" s="317">
        <v>74971912</v>
      </c>
      <c r="E140" s="318">
        <v>60.55</v>
      </c>
      <c r="F140" s="481">
        <v>580</v>
      </c>
      <c r="G140" s="482">
        <f t="shared" si="13"/>
        <v>35119</v>
      </c>
      <c r="H140" s="483" t="s">
        <v>65</v>
      </c>
      <c r="I140" s="582" t="s">
        <v>66</v>
      </c>
      <c r="J140" s="491"/>
      <c r="K140" s="488"/>
      <c r="L140" s="488"/>
      <c r="M140" s="488"/>
      <c r="N140" s="492"/>
    </row>
    <row r="141" spans="1:14" x14ac:dyDescent="0.25">
      <c r="A141" s="488">
        <f t="shared" si="14"/>
        <v>128</v>
      </c>
      <c r="B141" s="534">
        <v>46089</v>
      </c>
      <c r="C141" s="488">
        <v>8611775</v>
      </c>
      <c r="D141" s="317">
        <v>74970807</v>
      </c>
      <c r="E141" s="318">
        <v>60.6</v>
      </c>
      <c r="F141" s="481">
        <v>580</v>
      </c>
      <c r="G141" s="482">
        <f t="shared" si="13"/>
        <v>35148</v>
      </c>
      <c r="H141" s="483" t="s">
        <v>65</v>
      </c>
      <c r="I141" s="582" t="s">
        <v>66</v>
      </c>
      <c r="J141" s="491"/>
      <c r="K141" s="488"/>
      <c r="L141" s="488"/>
      <c r="M141" s="488"/>
      <c r="N141" s="492"/>
    </row>
    <row r="142" spans="1:14" x14ac:dyDescent="0.25">
      <c r="A142" s="488">
        <f t="shared" si="14"/>
        <v>129</v>
      </c>
      <c r="B142" s="534">
        <v>46089</v>
      </c>
      <c r="C142" s="488">
        <v>8611775</v>
      </c>
      <c r="D142" s="317">
        <v>74942376</v>
      </c>
      <c r="E142" s="318">
        <v>61.1</v>
      </c>
      <c r="F142" s="481">
        <v>580</v>
      </c>
      <c r="G142" s="482">
        <f t="shared" si="13"/>
        <v>35438</v>
      </c>
      <c r="H142" s="483" t="s">
        <v>65</v>
      </c>
      <c r="I142" s="582" t="s">
        <v>66</v>
      </c>
      <c r="J142" s="491"/>
      <c r="K142" s="488"/>
      <c r="L142" s="488"/>
      <c r="M142" s="488"/>
      <c r="N142" s="492"/>
    </row>
    <row r="143" spans="1:14" x14ac:dyDescent="0.25">
      <c r="A143" s="488">
        <f t="shared" si="14"/>
        <v>130</v>
      </c>
      <c r="B143" s="534">
        <v>46089</v>
      </c>
      <c r="C143" s="488">
        <v>8611775</v>
      </c>
      <c r="D143" s="317">
        <v>73996803</v>
      </c>
      <c r="E143" s="318">
        <v>61.3</v>
      </c>
      <c r="F143" s="481">
        <v>580</v>
      </c>
      <c r="G143" s="482">
        <f t="shared" si="13"/>
        <v>35554</v>
      </c>
      <c r="H143" s="483" t="s">
        <v>65</v>
      </c>
      <c r="I143" s="582" t="s">
        <v>66</v>
      </c>
      <c r="J143" s="491"/>
      <c r="K143" s="488"/>
      <c r="L143" s="488"/>
      <c r="M143" s="488"/>
      <c r="N143" s="492"/>
    </row>
    <row r="144" spans="1:14" x14ac:dyDescent="0.25">
      <c r="A144" s="488">
        <f t="shared" si="14"/>
        <v>131</v>
      </c>
      <c r="B144" s="534">
        <v>46089</v>
      </c>
      <c r="C144" s="488">
        <v>8611775</v>
      </c>
      <c r="D144" s="317">
        <v>74974379</v>
      </c>
      <c r="E144" s="318">
        <v>60.6</v>
      </c>
      <c r="F144" s="481">
        <v>580</v>
      </c>
      <c r="G144" s="482">
        <f t="shared" si="13"/>
        <v>35148</v>
      </c>
      <c r="H144" s="483" t="s">
        <v>65</v>
      </c>
      <c r="I144" s="582" t="s">
        <v>66</v>
      </c>
      <c r="J144" s="491"/>
      <c r="K144" s="488"/>
      <c r="L144" s="488"/>
      <c r="M144" s="488"/>
      <c r="N144" s="492"/>
    </row>
    <row r="145" spans="1:15" x14ac:dyDescent="0.25">
      <c r="A145" s="488">
        <f t="shared" si="14"/>
        <v>132</v>
      </c>
      <c r="B145" s="534">
        <v>46089</v>
      </c>
      <c r="C145" s="488">
        <v>8611775</v>
      </c>
      <c r="D145" s="317">
        <v>74942608</v>
      </c>
      <c r="E145" s="318">
        <v>61</v>
      </c>
      <c r="F145" s="481">
        <v>580</v>
      </c>
      <c r="G145" s="482">
        <f t="shared" si="13"/>
        <v>35380</v>
      </c>
      <c r="H145" s="483" t="s">
        <v>65</v>
      </c>
      <c r="I145" s="582" t="s">
        <v>66</v>
      </c>
      <c r="J145" s="491"/>
      <c r="K145" s="488"/>
      <c r="L145" s="488"/>
      <c r="M145" s="488"/>
      <c r="N145" s="492"/>
    </row>
    <row r="146" spans="1:15" x14ac:dyDescent="0.25">
      <c r="A146" s="488">
        <f t="shared" si="14"/>
        <v>133</v>
      </c>
      <c r="B146" s="534">
        <v>46089</v>
      </c>
      <c r="C146" s="488">
        <v>8611775</v>
      </c>
      <c r="D146" s="317">
        <v>74943119</v>
      </c>
      <c r="E146" s="318">
        <v>61.05</v>
      </c>
      <c r="F146" s="481">
        <v>580</v>
      </c>
      <c r="G146" s="482">
        <f t="shared" si="13"/>
        <v>35409</v>
      </c>
      <c r="H146" s="483" t="s">
        <v>65</v>
      </c>
      <c r="I146" s="582" t="s">
        <v>66</v>
      </c>
      <c r="J146" s="491"/>
      <c r="K146" s="488"/>
      <c r="L146" s="488"/>
      <c r="M146" s="488"/>
      <c r="N146" s="492"/>
    </row>
    <row r="147" spans="1:15" x14ac:dyDescent="0.25">
      <c r="A147" s="488">
        <f t="shared" si="14"/>
        <v>134</v>
      </c>
      <c r="B147" s="534">
        <v>46089</v>
      </c>
      <c r="C147" s="488">
        <v>8611775</v>
      </c>
      <c r="D147" s="317">
        <v>74944372</v>
      </c>
      <c r="E147" s="318">
        <v>60.5</v>
      </c>
      <c r="F147" s="481">
        <v>580</v>
      </c>
      <c r="G147" s="482">
        <f t="shared" si="13"/>
        <v>35090</v>
      </c>
      <c r="H147" s="483" t="s">
        <v>65</v>
      </c>
      <c r="I147" s="582" t="s">
        <v>66</v>
      </c>
      <c r="J147" s="491"/>
      <c r="K147" s="488"/>
      <c r="L147" s="488"/>
      <c r="M147" s="488"/>
      <c r="N147" s="492"/>
    </row>
    <row r="148" spans="1:15" x14ac:dyDescent="0.25">
      <c r="A148" s="488">
        <f t="shared" si="14"/>
        <v>135</v>
      </c>
      <c r="B148" s="534">
        <v>46089</v>
      </c>
      <c r="C148" s="488">
        <v>8611775</v>
      </c>
      <c r="D148" s="317">
        <v>74945882</v>
      </c>
      <c r="E148" s="318">
        <v>60.6</v>
      </c>
      <c r="F148" s="481">
        <v>580</v>
      </c>
      <c r="G148" s="482">
        <f t="shared" si="13"/>
        <v>35148</v>
      </c>
      <c r="H148" s="483" t="s">
        <v>65</v>
      </c>
      <c r="I148" s="582" t="s">
        <v>66</v>
      </c>
      <c r="J148" s="491"/>
      <c r="K148" s="488"/>
      <c r="L148" s="488"/>
      <c r="M148" s="488"/>
      <c r="N148" s="492"/>
    </row>
    <row r="149" spans="1:15" x14ac:dyDescent="0.25">
      <c r="A149" s="488">
        <f t="shared" si="14"/>
        <v>136</v>
      </c>
      <c r="B149" s="534">
        <v>46089</v>
      </c>
      <c r="C149" s="488">
        <v>8611775</v>
      </c>
      <c r="D149" s="317">
        <v>74939539</v>
      </c>
      <c r="E149" s="318">
        <v>61.05</v>
      </c>
      <c r="F149" s="481">
        <v>580</v>
      </c>
      <c r="G149" s="482">
        <f t="shared" si="13"/>
        <v>35409</v>
      </c>
      <c r="H149" s="483" t="s">
        <v>65</v>
      </c>
      <c r="I149" s="582" t="s">
        <v>66</v>
      </c>
      <c r="J149" s="491"/>
      <c r="K149" s="488"/>
      <c r="L149" s="488"/>
      <c r="M149" s="488"/>
      <c r="N149" s="492"/>
    </row>
    <row r="150" spans="1:15" ht="15.75" thickBot="1" x14ac:dyDescent="0.3">
      <c r="A150" s="494">
        <f t="shared" si="14"/>
        <v>137</v>
      </c>
      <c r="B150" s="583">
        <v>46089</v>
      </c>
      <c r="C150" s="488">
        <v>8611775</v>
      </c>
      <c r="D150" s="353">
        <v>53996070</v>
      </c>
      <c r="E150" s="341">
        <v>51.5</v>
      </c>
      <c r="F150" s="499">
        <v>580</v>
      </c>
      <c r="G150" s="500">
        <f t="shared" si="13"/>
        <v>29870</v>
      </c>
      <c r="H150" s="501" t="s">
        <v>65</v>
      </c>
      <c r="I150" s="586" t="s">
        <v>66</v>
      </c>
      <c r="J150" s="503"/>
      <c r="K150" s="504"/>
      <c r="L150" s="504"/>
      <c r="M150" s="504"/>
      <c r="N150" s="505"/>
    </row>
    <row r="151" spans="1:15" ht="15.75" thickBot="1" x14ac:dyDescent="0.3">
      <c r="A151" s="550"/>
      <c r="B151" s="551"/>
      <c r="C151" s="551"/>
      <c r="D151" s="551"/>
      <c r="E151" s="587">
        <f>SUM(E118:E150)</f>
        <v>1998.2499999999995</v>
      </c>
      <c r="F151" s="553"/>
      <c r="G151" s="554">
        <f>SUM(G118:G150)</f>
        <v>1158985</v>
      </c>
      <c r="H151" s="551"/>
      <c r="I151" s="555"/>
      <c r="J151" s="573"/>
      <c r="K151" s="568"/>
      <c r="L151" s="568"/>
      <c r="M151" s="568"/>
      <c r="N151" s="572"/>
      <c r="O151" s="177">
        <f>E151+E117</f>
        <v>2973.1499999999996</v>
      </c>
    </row>
    <row r="152" spans="1:15" x14ac:dyDescent="0.25">
      <c r="A152" s="485">
        <v>138</v>
      </c>
      <c r="B152" s="557">
        <v>46091</v>
      </c>
      <c r="C152" s="486">
        <v>8611852</v>
      </c>
      <c r="D152" s="313">
        <v>73997124</v>
      </c>
      <c r="E152" s="588">
        <v>60.35</v>
      </c>
      <c r="F152" s="528">
        <v>580</v>
      </c>
      <c r="G152" s="560">
        <f t="shared" ref="G152:G163" si="15">E152*F152</f>
        <v>35003</v>
      </c>
      <c r="H152" s="561" t="s">
        <v>65</v>
      </c>
      <c r="I152" s="562" t="s">
        <v>66</v>
      </c>
      <c r="J152" s="485"/>
      <c r="K152" s="486"/>
      <c r="L152" s="486"/>
      <c r="M152" s="486"/>
      <c r="N152" s="487"/>
    </row>
    <row r="153" spans="1:15" x14ac:dyDescent="0.25">
      <c r="A153" s="491">
        <f>A152+1</f>
        <v>139</v>
      </c>
      <c r="B153" s="534">
        <v>46091</v>
      </c>
      <c r="C153" s="488">
        <v>8611852</v>
      </c>
      <c r="D153" s="317">
        <v>74946047</v>
      </c>
      <c r="E153" s="318">
        <v>59.95</v>
      </c>
      <c r="F153" s="481">
        <v>580</v>
      </c>
      <c r="G153" s="482">
        <f t="shared" si="15"/>
        <v>34771</v>
      </c>
      <c r="H153" s="483" t="s">
        <v>65</v>
      </c>
      <c r="I153" s="484" t="s">
        <v>66</v>
      </c>
      <c r="J153" s="491"/>
      <c r="K153" s="488"/>
      <c r="L153" s="488"/>
      <c r="M153" s="488"/>
      <c r="N153" s="492"/>
    </row>
    <row r="154" spans="1:15" x14ac:dyDescent="0.25">
      <c r="A154" s="491">
        <f t="shared" ref="A154:A163" si="16">A153+1</f>
        <v>140</v>
      </c>
      <c r="B154" s="534">
        <v>46091</v>
      </c>
      <c r="C154" s="488">
        <v>8611852</v>
      </c>
      <c r="D154" s="317">
        <v>74953209</v>
      </c>
      <c r="E154" s="318">
        <v>59.85</v>
      </c>
      <c r="F154" s="481">
        <v>580</v>
      </c>
      <c r="G154" s="482">
        <f t="shared" si="15"/>
        <v>34713</v>
      </c>
      <c r="H154" s="483" t="s">
        <v>65</v>
      </c>
      <c r="I154" s="484" t="s">
        <v>66</v>
      </c>
      <c r="J154" s="491"/>
      <c r="K154" s="488"/>
      <c r="L154" s="488"/>
      <c r="M154" s="488"/>
      <c r="N154" s="492"/>
    </row>
    <row r="155" spans="1:15" x14ac:dyDescent="0.25">
      <c r="A155" s="491">
        <f t="shared" si="16"/>
        <v>141</v>
      </c>
      <c r="B155" s="534">
        <v>46091</v>
      </c>
      <c r="C155" s="488">
        <v>8611852</v>
      </c>
      <c r="D155" s="317">
        <v>73997520</v>
      </c>
      <c r="E155" s="318">
        <v>60.35</v>
      </c>
      <c r="F155" s="481">
        <v>580</v>
      </c>
      <c r="G155" s="482">
        <f t="shared" si="15"/>
        <v>35003</v>
      </c>
      <c r="H155" s="483" t="s">
        <v>65</v>
      </c>
      <c r="I155" s="484" t="s">
        <v>66</v>
      </c>
      <c r="J155" s="491"/>
      <c r="K155" s="488"/>
      <c r="L155" s="488"/>
      <c r="M155" s="488"/>
      <c r="N155" s="492"/>
    </row>
    <row r="156" spans="1:15" x14ac:dyDescent="0.25">
      <c r="A156" s="491">
        <f t="shared" si="16"/>
        <v>142</v>
      </c>
      <c r="B156" s="534">
        <v>46091</v>
      </c>
      <c r="C156" s="488">
        <v>8611852</v>
      </c>
      <c r="D156" s="317">
        <v>74953985</v>
      </c>
      <c r="E156" s="318">
        <v>59.9</v>
      </c>
      <c r="F156" s="481">
        <v>580</v>
      </c>
      <c r="G156" s="482">
        <f t="shared" si="15"/>
        <v>34742</v>
      </c>
      <c r="H156" s="483" t="s">
        <v>65</v>
      </c>
      <c r="I156" s="484" t="s">
        <v>66</v>
      </c>
      <c r="J156" s="491"/>
      <c r="K156" s="488"/>
      <c r="L156" s="488"/>
      <c r="M156" s="488"/>
      <c r="N156" s="492"/>
    </row>
    <row r="157" spans="1:15" x14ac:dyDescent="0.25">
      <c r="A157" s="491">
        <f t="shared" si="16"/>
        <v>143</v>
      </c>
      <c r="B157" s="534">
        <v>46091</v>
      </c>
      <c r="C157" s="488">
        <v>8611852</v>
      </c>
      <c r="D157" s="317">
        <v>74939174</v>
      </c>
      <c r="E157" s="318">
        <v>60.35</v>
      </c>
      <c r="F157" s="481">
        <v>580</v>
      </c>
      <c r="G157" s="482">
        <f t="shared" si="15"/>
        <v>35003</v>
      </c>
      <c r="H157" s="483" t="s">
        <v>65</v>
      </c>
      <c r="I157" s="484" t="s">
        <v>66</v>
      </c>
      <c r="J157" s="491"/>
      <c r="K157" s="488"/>
      <c r="L157" s="488"/>
      <c r="M157" s="488"/>
      <c r="N157" s="492"/>
    </row>
    <row r="158" spans="1:15" x14ac:dyDescent="0.25">
      <c r="A158" s="491">
        <f t="shared" si="16"/>
        <v>144</v>
      </c>
      <c r="B158" s="534">
        <v>46091</v>
      </c>
      <c r="C158" s="488">
        <v>8611852</v>
      </c>
      <c r="D158" s="317">
        <v>74946617</v>
      </c>
      <c r="E158" s="318">
        <v>59.85</v>
      </c>
      <c r="F158" s="481">
        <v>580</v>
      </c>
      <c r="G158" s="482">
        <f t="shared" si="15"/>
        <v>34713</v>
      </c>
      <c r="H158" s="483" t="s">
        <v>65</v>
      </c>
      <c r="I158" s="484" t="s">
        <v>66</v>
      </c>
      <c r="J158" s="491"/>
      <c r="K158" s="488"/>
      <c r="L158" s="488"/>
      <c r="M158" s="488"/>
      <c r="N158" s="492"/>
    </row>
    <row r="159" spans="1:15" x14ac:dyDescent="0.25">
      <c r="A159" s="491">
        <f t="shared" si="16"/>
        <v>145</v>
      </c>
      <c r="B159" s="534">
        <v>46091</v>
      </c>
      <c r="C159" s="488">
        <v>8611852</v>
      </c>
      <c r="D159" s="317">
        <v>74939612</v>
      </c>
      <c r="E159" s="318">
        <v>60.25</v>
      </c>
      <c r="F159" s="481">
        <v>580</v>
      </c>
      <c r="G159" s="482">
        <f t="shared" si="15"/>
        <v>34945</v>
      </c>
      <c r="H159" s="483" t="s">
        <v>65</v>
      </c>
      <c r="I159" s="484" t="s">
        <v>66</v>
      </c>
      <c r="J159" s="491"/>
      <c r="K159" s="488"/>
      <c r="L159" s="488"/>
      <c r="M159" s="488"/>
      <c r="N159" s="492"/>
    </row>
    <row r="160" spans="1:15" x14ac:dyDescent="0.25">
      <c r="A160" s="491">
        <f t="shared" si="16"/>
        <v>146</v>
      </c>
      <c r="B160" s="534">
        <v>46091</v>
      </c>
      <c r="C160" s="488">
        <v>8611852</v>
      </c>
      <c r="D160" s="317">
        <v>74940149</v>
      </c>
      <c r="E160" s="318">
        <v>60.3</v>
      </c>
      <c r="F160" s="481">
        <v>580</v>
      </c>
      <c r="G160" s="482">
        <f t="shared" si="15"/>
        <v>34974</v>
      </c>
      <c r="H160" s="483" t="s">
        <v>65</v>
      </c>
      <c r="I160" s="484" t="s">
        <v>66</v>
      </c>
      <c r="J160" s="491"/>
      <c r="K160" s="488"/>
      <c r="L160" s="488"/>
      <c r="M160" s="488"/>
      <c r="N160" s="492"/>
    </row>
    <row r="161" spans="1:14" x14ac:dyDescent="0.25">
      <c r="A161" s="491">
        <f t="shared" si="16"/>
        <v>147</v>
      </c>
      <c r="B161" s="534">
        <v>46091</v>
      </c>
      <c r="C161" s="488">
        <v>8611852</v>
      </c>
      <c r="D161" s="317">
        <v>73998247</v>
      </c>
      <c r="E161" s="318">
        <v>60.3</v>
      </c>
      <c r="F161" s="481">
        <v>580</v>
      </c>
      <c r="G161" s="482">
        <f t="shared" si="15"/>
        <v>34974</v>
      </c>
      <c r="H161" s="483" t="s">
        <v>65</v>
      </c>
      <c r="I161" s="484" t="s">
        <v>66</v>
      </c>
      <c r="J161" s="491"/>
      <c r="K161" s="488"/>
      <c r="L161" s="488"/>
      <c r="M161" s="488"/>
      <c r="N161" s="492"/>
    </row>
    <row r="162" spans="1:14" x14ac:dyDescent="0.25">
      <c r="A162" s="491">
        <f t="shared" si="16"/>
        <v>148</v>
      </c>
      <c r="B162" s="534">
        <v>46091</v>
      </c>
      <c r="C162" s="488">
        <v>8611852</v>
      </c>
      <c r="D162" s="317">
        <v>74986530</v>
      </c>
      <c r="E162" s="318">
        <v>59.9</v>
      </c>
      <c r="F162" s="481">
        <v>580</v>
      </c>
      <c r="G162" s="482">
        <f t="shared" si="15"/>
        <v>34742</v>
      </c>
      <c r="H162" s="483" t="s">
        <v>65</v>
      </c>
      <c r="I162" s="484" t="s">
        <v>66</v>
      </c>
      <c r="J162" s="491"/>
      <c r="K162" s="488"/>
      <c r="L162" s="488"/>
      <c r="M162" s="488"/>
      <c r="N162" s="492"/>
    </row>
    <row r="163" spans="1:14" ht="15.75" thickBot="1" x14ac:dyDescent="0.3">
      <c r="A163" s="503">
        <f t="shared" si="16"/>
        <v>149</v>
      </c>
      <c r="B163" s="535">
        <v>46091</v>
      </c>
      <c r="C163" s="504">
        <v>8611852</v>
      </c>
      <c r="D163" s="321">
        <v>74941147</v>
      </c>
      <c r="E163" s="322">
        <v>60.35</v>
      </c>
      <c r="F163" s="538">
        <v>580</v>
      </c>
      <c r="G163" s="539">
        <f t="shared" si="15"/>
        <v>35003</v>
      </c>
      <c r="H163" s="540" t="s">
        <v>65</v>
      </c>
      <c r="I163" s="541" t="s">
        <v>66</v>
      </c>
      <c r="J163" s="503"/>
      <c r="K163" s="504"/>
      <c r="L163" s="504"/>
      <c r="M163" s="504"/>
      <c r="N163" s="505"/>
    </row>
    <row r="164" spans="1:14" ht="15.75" thickBot="1" x14ac:dyDescent="0.3">
      <c r="A164" s="567"/>
      <c r="B164" s="568"/>
      <c r="C164" s="568"/>
      <c r="D164" s="568"/>
      <c r="E164" s="622">
        <f>SUM(E152:E163)</f>
        <v>721.69999999999993</v>
      </c>
      <c r="F164" s="570"/>
      <c r="G164" s="571">
        <f>SUM(G152:G163)</f>
        <v>418586</v>
      </c>
      <c r="H164" s="568"/>
      <c r="I164" s="572"/>
      <c r="J164" s="573"/>
      <c r="K164" s="568"/>
      <c r="L164" s="568"/>
      <c r="M164" s="568"/>
      <c r="N164" s="572"/>
    </row>
    <row r="165" spans="1:14" x14ac:dyDescent="0.25">
      <c r="A165" s="485">
        <v>150</v>
      </c>
      <c r="B165" s="557">
        <v>46093</v>
      </c>
      <c r="C165" s="486">
        <v>8611918</v>
      </c>
      <c r="D165" s="313">
        <v>53870168</v>
      </c>
      <c r="E165" s="314">
        <v>60</v>
      </c>
      <c r="F165" s="528">
        <v>580</v>
      </c>
      <c r="G165" s="560">
        <f t="shared" ref="G165:G167" si="17">E165*F165</f>
        <v>34800</v>
      </c>
      <c r="H165" s="561" t="s">
        <v>65</v>
      </c>
      <c r="I165" s="562" t="s">
        <v>66</v>
      </c>
      <c r="J165" s="486"/>
      <c r="K165" s="486"/>
      <c r="L165" s="486"/>
      <c r="M165" s="486"/>
      <c r="N165" s="487"/>
    </row>
    <row r="166" spans="1:14" x14ac:dyDescent="0.25">
      <c r="A166" s="491">
        <f>A165+1</f>
        <v>151</v>
      </c>
      <c r="B166" s="534">
        <v>46093</v>
      </c>
      <c r="C166" s="488">
        <v>8611918</v>
      </c>
      <c r="D166" s="317">
        <v>53887451</v>
      </c>
      <c r="E166" s="318">
        <v>60.05</v>
      </c>
      <c r="F166" s="481">
        <v>580</v>
      </c>
      <c r="G166" s="482">
        <f t="shared" si="17"/>
        <v>34829</v>
      </c>
      <c r="H166" s="483" t="s">
        <v>65</v>
      </c>
      <c r="I166" s="484" t="s">
        <v>66</v>
      </c>
      <c r="J166" s="488"/>
      <c r="K166" s="488"/>
      <c r="L166" s="488"/>
      <c r="M166" s="488"/>
      <c r="N166" s="492"/>
    </row>
    <row r="167" spans="1:14" ht="15.75" thickBot="1" x14ac:dyDescent="0.3">
      <c r="A167" s="503">
        <f>A166+1</f>
        <v>152</v>
      </c>
      <c r="B167" s="535">
        <v>46093</v>
      </c>
      <c r="C167" s="504">
        <v>8611918</v>
      </c>
      <c r="D167" s="321">
        <v>53887592</v>
      </c>
      <c r="E167" s="322">
        <v>60.05</v>
      </c>
      <c r="F167" s="538">
        <v>580</v>
      </c>
      <c r="G167" s="539">
        <f t="shared" si="17"/>
        <v>34829</v>
      </c>
      <c r="H167" s="540" t="s">
        <v>65</v>
      </c>
      <c r="I167" s="541" t="s">
        <v>66</v>
      </c>
      <c r="J167" s="504"/>
      <c r="K167" s="504"/>
      <c r="L167" s="504"/>
      <c r="M167" s="504"/>
      <c r="N167" s="505"/>
    </row>
    <row r="168" spans="1:14" ht="15.75" thickBot="1" x14ac:dyDescent="0.3">
      <c r="A168" s="567"/>
      <c r="B168" s="568"/>
      <c r="C168" s="568"/>
      <c r="D168" s="568"/>
      <c r="E168" s="591">
        <f>SUM(E165:E167)</f>
        <v>180.1</v>
      </c>
      <c r="F168" s="570"/>
      <c r="G168" s="571">
        <f>SUM(G165:G167)</f>
        <v>104458</v>
      </c>
      <c r="H168" s="568"/>
      <c r="I168" s="572"/>
      <c r="J168" s="573"/>
      <c r="K168" s="568"/>
      <c r="L168" s="568"/>
      <c r="M168" s="568"/>
      <c r="N168" s="572"/>
    </row>
    <row r="169" spans="1:14" x14ac:dyDescent="0.25">
      <c r="A169" s="485">
        <v>153</v>
      </c>
      <c r="B169" s="557">
        <v>46094</v>
      </c>
      <c r="C169" s="486">
        <v>8611933</v>
      </c>
      <c r="D169" s="313">
        <v>54663554</v>
      </c>
      <c r="E169" s="314">
        <v>60.45</v>
      </c>
      <c r="F169" s="528">
        <v>580</v>
      </c>
      <c r="G169" s="560">
        <f t="shared" ref="G169:G170" si="18">E169*F169</f>
        <v>35061</v>
      </c>
      <c r="H169" s="561" t="s">
        <v>65</v>
      </c>
      <c r="I169" s="562" t="s">
        <v>66</v>
      </c>
      <c r="J169" s="486"/>
      <c r="K169" s="486"/>
      <c r="L169" s="486"/>
      <c r="M169" s="486"/>
      <c r="N169" s="487"/>
    </row>
    <row r="170" spans="1:14" ht="15.75" thickBot="1" x14ac:dyDescent="0.3">
      <c r="A170" s="503">
        <v>154</v>
      </c>
      <c r="B170" s="535">
        <v>46094</v>
      </c>
      <c r="C170" s="504">
        <v>8611933</v>
      </c>
      <c r="D170" s="321">
        <v>58149964</v>
      </c>
      <c r="E170" s="592">
        <v>60.35</v>
      </c>
      <c r="F170" s="538">
        <v>580</v>
      </c>
      <c r="G170" s="539">
        <f t="shared" si="18"/>
        <v>35003</v>
      </c>
      <c r="H170" s="540" t="s">
        <v>65</v>
      </c>
      <c r="I170" s="541" t="s">
        <v>66</v>
      </c>
      <c r="J170" s="504"/>
      <c r="K170" s="504"/>
      <c r="L170" s="504"/>
      <c r="M170" s="504"/>
      <c r="N170" s="505"/>
    </row>
    <row r="171" spans="1:14" ht="15.75" thickBot="1" x14ac:dyDescent="0.3">
      <c r="A171" s="567"/>
      <c r="B171" s="568"/>
      <c r="C171" s="568"/>
      <c r="D171" s="568"/>
      <c r="E171" s="591">
        <f>SUM(E169:E170)</f>
        <v>120.80000000000001</v>
      </c>
      <c r="F171" s="570"/>
      <c r="G171" s="571">
        <f>SUM(G169:G170)</f>
        <v>70064</v>
      </c>
      <c r="H171" s="568"/>
      <c r="I171" s="572"/>
      <c r="J171" s="573"/>
      <c r="K171" s="568"/>
      <c r="L171" s="568"/>
      <c r="M171" s="568"/>
      <c r="N171" s="572"/>
    </row>
    <row r="172" spans="1:14" x14ac:dyDescent="0.25">
      <c r="A172" s="485">
        <v>155</v>
      </c>
      <c r="B172" s="557">
        <v>46094</v>
      </c>
      <c r="C172" s="486">
        <v>8611940</v>
      </c>
      <c r="D172" s="313">
        <v>50039635</v>
      </c>
      <c r="E172" s="314">
        <v>60.2</v>
      </c>
      <c r="F172" s="528">
        <v>580</v>
      </c>
      <c r="G172" s="560">
        <f t="shared" ref="G172:G173" si="19">E172*F172</f>
        <v>34916</v>
      </c>
      <c r="H172" s="561" t="s">
        <v>65</v>
      </c>
      <c r="I172" s="562" t="s">
        <v>66</v>
      </c>
      <c r="J172" s="593"/>
      <c r="K172" s="486"/>
      <c r="L172" s="486"/>
      <c r="M172" s="486"/>
      <c r="N172" s="487"/>
    </row>
    <row r="173" spans="1:14" ht="15.75" thickBot="1" x14ac:dyDescent="0.3">
      <c r="A173" s="594">
        <v>156</v>
      </c>
      <c r="B173" s="595">
        <v>46094</v>
      </c>
      <c r="C173" s="596">
        <v>8611940</v>
      </c>
      <c r="D173" s="321">
        <v>54657226</v>
      </c>
      <c r="E173" s="322">
        <v>60.35</v>
      </c>
      <c r="F173" s="538">
        <v>580</v>
      </c>
      <c r="G173" s="539">
        <f t="shared" si="19"/>
        <v>35003</v>
      </c>
      <c r="H173" s="540" t="s">
        <v>65</v>
      </c>
      <c r="I173" s="541" t="s">
        <v>66</v>
      </c>
      <c r="J173" s="597"/>
      <c r="K173" s="596"/>
      <c r="L173" s="596"/>
      <c r="M173" s="596"/>
      <c r="N173" s="598"/>
    </row>
    <row r="174" spans="1:14" ht="15.75" thickBot="1" x14ac:dyDescent="0.3">
      <c r="A174" s="567"/>
      <c r="B174" s="568"/>
      <c r="C174" s="568"/>
      <c r="D174" s="568"/>
      <c r="E174" s="591">
        <f>SUM(E172:E173)</f>
        <v>120.55000000000001</v>
      </c>
      <c r="F174" s="570"/>
      <c r="G174" s="571">
        <f>SUM(G172:G173)</f>
        <v>69919</v>
      </c>
      <c r="H174" s="568"/>
      <c r="I174" s="572"/>
      <c r="J174" s="573"/>
      <c r="K174" s="568"/>
      <c r="L174" s="568"/>
      <c r="M174" s="568"/>
      <c r="N174" s="572"/>
    </row>
    <row r="175" spans="1:14" x14ac:dyDescent="0.25">
      <c r="A175" s="485">
        <v>157</v>
      </c>
      <c r="B175" s="557">
        <v>46095</v>
      </c>
      <c r="C175" s="486">
        <v>8611950</v>
      </c>
      <c r="D175" s="313">
        <v>53873253</v>
      </c>
      <c r="E175" s="314">
        <v>59.9</v>
      </c>
      <c r="F175" s="528">
        <v>580</v>
      </c>
      <c r="G175" s="560">
        <f t="shared" ref="G175:G181" si="20">E175*F175</f>
        <v>34742</v>
      </c>
      <c r="H175" s="561" t="s">
        <v>65</v>
      </c>
      <c r="I175" s="562" t="s">
        <v>66</v>
      </c>
      <c r="J175" s="593"/>
      <c r="K175" s="486"/>
      <c r="L175" s="486"/>
      <c r="M175" s="486"/>
      <c r="N175" s="487"/>
    </row>
    <row r="176" spans="1:14" x14ac:dyDescent="0.25">
      <c r="A176" s="491">
        <f>A175+1</f>
        <v>158</v>
      </c>
      <c r="B176" s="534">
        <v>46095</v>
      </c>
      <c r="C176" s="488">
        <v>8611950</v>
      </c>
      <c r="D176" s="317">
        <v>75192005</v>
      </c>
      <c r="E176" s="318">
        <v>60.7</v>
      </c>
      <c r="F176" s="481">
        <v>580</v>
      </c>
      <c r="G176" s="482">
        <f>E176*F176</f>
        <v>35206</v>
      </c>
      <c r="H176" s="483" t="s">
        <v>65</v>
      </c>
      <c r="I176" s="484" t="s">
        <v>66</v>
      </c>
      <c r="J176" s="599"/>
      <c r="K176" s="488"/>
      <c r="L176" s="488"/>
      <c r="M176" s="488"/>
      <c r="N176" s="492"/>
    </row>
    <row r="177" spans="1:15" x14ac:dyDescent="0.25">
      <c r="A177" s="491">
        <f t="shared" ref="A177:A181" si="21">A176+1</f>
        <v>159</v>
      </c>
      <c r="B177" s="534">
        <v>46095</v>
      </c>
      <c r="C177" s="488">
        <v>8611950</v>
      </c>
      <c r="D177" s="317">
        <v>57645194</v>
      </c>
      <c r="E177" s="318">
        <v>59.55</v>
      </c>
      <c r="F177" s="481">
        <v>580</v>
      </c>
      <c r="G177" s="482">
        <f t="shared" si="20"/>
        <v>34539</v>
      </c>
      <c r="H177" s="483" t="s">
        <v>65</v>
      </c>
      <c r="I177" s="484" t="s">
        <v>66</v>
      </c>
      <c r="J177" s="599"/>
      <c r="K177" s="488"/>
      <c r="L177" s="488"/>
      <c r="M177" s="488"/>
      <c r="N177" s="492"/>
    </row>
    <row r="178" spans="1:15" x14ac:dyDescent="0.25">
      <c r="A178" s="491">
        <f t="shared" si="21"/>
        <v>160</v>
      </c>
      <c r="B178" s="534">
        <v>46095</v>
      </c>
      <c r="C178" s="488">
        <v>8611950</v>
      </c>
      <c r="D178" s="317">
        <v>50975259</v>
      </c>
      <c r="E178" s="318">
        <v>59.9</v>
      </c>
      <c r="F178" s="481">
        <v>580</v>
      </c>
      <c r="G178" s="482">
        <f t="shared" si="20"/>
        <v>34742</v>
      </c>
      <c r="H178" s="483" t="s">
        <v>65</v>
      </c>
      <c r="I178" s="484" t="s">
        <v>66</v>
      </c>
      <c r="J178" s="599"/>
      <c r="K178" s="488"/>
      <c r="L178" s="488"/>
      <c r="M178" s="488"/>
      <c r="N178" s="492"/>
    </row>
    <row r="179" spans="1:15" x14ac:dyDescent="0.25">
      <c r="A179" s="491">
        <f t="shared" si="21"/>
        <v>161</v>
      </c>
      <c r="B179" s="534">
        <v>46095</v>
      </c>
      <c r="C179" s="488">
        <v>8611950</v>
      </c>
      <c r="D179" s="317">
        <v>57039182</v>
      </c>
      <c r="E179" s="318">
        <v>60</v>
      </c>
      <c r="F179" s="481">
        <v>580</v>
      </c>
      <c r="G179" s="482">
        <f>E179*F179</f>
        <v>34800</v>
      </c>
      <c r="H179" s="483" t="s">
        <v>65</v>
      </c>
      <c r="I179" s="484" t="s">
        <v>66</v>
      </c>
      <c r="J179" s="599"/>
      <c r="K179" s="488"/>
      <c r="L179" s="488"/>
      <c r="M179" s="488"/>
      <c r="N179" s="492"/>
    </row>
    <row r="180" spans="1:15" x14ac:dyDescent="0.25">
      <c r="A180" s="491">
        <f t="shared" si="21"/>
        <v>162</v>
      </c>
      <c r="B180" s="534">
        <v>46095</v>
      </c>
      <c r="C180" s="488">
        <v>8611950</v>
      </c>
      <c r="D180" s="317">
        <v>51281145</v>
      </c>
      <c r="E180" s="318">
        <v>59.7</v>
      </c>
      <c r="F180" s="481">
        <v>580</v>
      </c>
      <c r="G180" s="482">
        <f t="shared" si="20"/>
        <v>34626</v>
      </c>
      <c r="H180" s="483" t="s">
        <v>65</v>
      </c>
      <c r="I180" s="484" t="s">
        <v>66</v>
      </c>
      <c r="J180" s="599"/>
      <c r="K180" s="488"/>
      <c r="L180" s="488"/>
      <c r="M180" s="488"/>
      <c r="N180" s="492"/>
    </row>
    <row r="181" spans="1:15" ht="15.75" thickBot="1" x14ac:dyDescent="0.3">
      <c r="A181" s="503">
        <f t="shared" si="21"/>
        <v>163</v>
      </c>
      <c r="B181" s="535">
        <v>46095</v>
      </c>
      <c r="C181" s="504">
        <v>8611950</v>
      </c>
      <c r="D181" s="321">
        <v>57131583</v>
      </c>
      <c r="E181" s="322">
        <v>59.95</v>
      </c>
      <c r="F181" s="538">
        <v>580</v>
      </c>
      <c r="G181" s="539">
        <f t="shared" si="20"/>
        <v>34771</v>
      </c>
      <c r="H181" s="540" t="s">
        <v>65</v>
      </c>
      <c r="I181" s="541" t="s">
        <v>66</v>
      </c>
      <c r="J181" s="600"/>
      <c r="K181" s="504"/>
      <c r="L181" s="504"/>
      <c r="M181" s="504"/>
      <c r="N181" s="505"/>
    </row>
    <row r="182" spans="1:15" ht="15.75" thickBot="1" x14ac:dyDescent="0.3">
      <c r="A182" s="574"/>
      <c r="B182" s="575"/>
      <c r="C182" s="575"/>
      <c r="D182" s="575"/>
      <c r="E182" s="589">
        <f>SUM(E175:E181)</f>
        <v>419.69999999999993</v>
      </c>
      <c r="F182" s="576"/>
      <c r="G182" s="577">
        <f>SUM(G175:G181)</f>
        <v>243426</v>
      </c>
      <c r="H182" s="575"/>
      <c r="I182" s="578"/>
      <c r="J182" s="579"/>
      <c r="K182" s="575"/>
      <c r="L182" s="575"/>
      <c r="M182" s="575"/>
      <c r="N182" s="578"/>
      <c r="O182" s="177">
        <f>E182+E174+E171+E168+E164</f>
        <v>1562.85</v>
      </c>
    </row>
    <row r="183" spans="1:15" ht="15.75" thickBot="1" x14ac:dyDescent="0.3">
      <c r="A183" s="542"/>
      <c r="B183" s="543"/>
      <c r="C183" s="543"/>
      <c r="D183" s="543"/>
      <c r="E183" s="544">
        <f>E90+E52+E83+E38+E94+E97+E117+E151+E164+E168+E171+E174+E182+E100</f>
        <v>9967.35</v>
      </c>
      <c r="F183" s="545"/>
      <c r="G183" s="590">
        <f>G90+G52+G83+G38+G94+G97+G117+G151+G164+G168+G171+G174+G182+G100</f>
        <v>5781063</v>
      </c>
      <c r="H183" s="543"/>
      <c r="I183" s="546"/>
      <c r="J183" s="542"/>
      <c r="K183" s="543"/>
      <c r="L183" s="543"/>
      <c r="M183" s="543"/>
      <c r="N183" s="546"/>
    </row>
    <row r="184" spans="1:15" ht="15.75" thickBot="1" x14ac:dyDescent="0.3">
      <c r="A184" s="474"/>
      <c r="B184" s="474"/>
      <c r="C184" s="474"/>
      <c r="D184" s="474"/>
      <c r="E184" s="474"/>
      <c r="F184" s="474"/>
      <c r="G184" s="474"/>
      <c r="H184" s="474"/>
      <c r="I184" s="474"/>
      <c r="J184" s="474"/>
      <c r="K184" s="474"/>
      <c r="L184" s="474"/>
      <c r="M184" s="474"/>
      <c r="N184" s="474"/>
    </row>
    <row r="185" spans="1:15" x14ac:dyDescent="0.25">
      <c r="A185" s="474"/>
      <c r="B185" s="630" t="s">
        <v>494</v>
      </c>
      <c r="C185" s="631"/>
      <c r="D185" s="632"/>
      <c r="E185" s="298">
        <v>10000</v>
      </c>
      <c r="F185" s="474"/>
      <c r="G185" s="474"/>
      <c r="H185" s="474"/>
      <c r="I185" s="474"/>
      <c r="J185" s="474"/>
      <c r="K185" s="474"/>
      <c r="L185" s="474"/>
      <c r="M185" s="474"/>
      <c r="N185" s="474"/>
    </row>
    <row r="186" spans="1:15" x14ac:dyDescent="0.25">
      <c r="A186" s="474"/>
      <c r="B186" s="633" t="s">
        <v>495</v>
      </c>
      <c r="C186" s="634"/>
      <c r="D186" s="635"/>
      <c r="E186" s="299">
        <f>E183</f>
        <v>9967.35</v>
      </c>
      <c r="F186" s="474"/>
      <c r="G186" s="474"/>
      <c r="H186" s="474"/>
      <c r="I186" s="474"/>
      <c r="J186" s="474"/>
      <c r="K186" s="474"/>
      <c r="L186" s="474"/>
      <c r="M186" s="474"/>
      <c r="N186" s="474"/>
    </row>
    <row r="187" spans="1:15" ht="15.75" thickBot="1" x14ac:dyDescent="0.3">
      <c r="A187" s="474"/>
      <c r="B187" s="636" t="s">
        <v>496</v>
      </c>
      <c r="C187" s="637"/>
      <c r="D187" s="638"/>
      <c r="E187" s="300">
        <f>E185-E186</f>
        <v>32.649999999999636</v>
      </c>
      <c r="F187" s="474"/>
      <c r="G187" s="474"/>
      <c r="H187" s="474"/>
      <c r="I187" s="474"/>
      <c r="J187" s="474"/>
      <c r="K187" s="474"/>
      <c r="L187" s="474"/>
      <c r="M187" s="474"/>
      <c r="N187" s="474"/>
    </row>
    <row r="188" spans="1:15" x14ac:dyDescent="0.25">
      <c r="A188" s="474"/>
      <c r="B188" s="474"/>
      <c r="C188" s="474"/>
      <c r="D188" s="474"/>
      <c r="E188" s="474"/>
      <c r="F188" s="474"/>
      <c r="G188" s="474"/>
      <c r="H188" s="474"/>
      <c r="I188" s="474"/>
      <c r="J188" s="474"/>
      <c r="K188" s="474"/>
      <c r="L188" s="474"/>
      <c r="M188" s="474"/>
      <c r="N188" s="474"/>
    </row>
    <row r="189" spans="1:15" x14ac:dyDescent="0.25">
      <c r="A189" s="474"/>
      <c r="B189" s="474"/>
      <c r="C189" s="474"/>
      <c r="D189" s="474"/>
      <c r="E189" s="474"/>
      <c r="F189" s="474"/>
      <c r="G189" s="474"/>
      <c r="H189" s="474"/>
      <c r="I189" s="474"/>
      <c r="J189" s="474"/>
      <c r="K189" s="474"/>
      <c r="L189" s="474"/>
      <c r="M189" s="474"/>
      <c r="N189" s="474"/>
    </row>
    <row r="190" spans="1:15" x14ac:dyDescent="0.25">
      <c r="A190" s="474"/>
      <c r="B190" s="474"/>
      <c r="C190" s="474"/>
      <c r="D190" s="474"/>
      <c r="E190" s="474"/>
      <c r="F190" s="474"/>
      <c r="G190" s="474"/>
      <c r="H190" s="474"/>
      <c r="I190" s="474"/>
      <c r="J190" s="474"/>
      <c r="K190" s="474"/>
      <c r="L190" s="474"/>
      <c r="M190" s="474"/>
      <c r="N190" s="474"/>
    </row>
    <row r="191" spans="1:15" x14ac:dyDescent="0.25">
      <c r="A191" s="474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4"/>
      <c r="N191" s="474"/>
    </row>
    <row r="192" spans="1:15" x14ac:dyDescent="0.25">
      <c r="A192" s="474"/>
      <c r="B192" s="474"/>
      <c r="C192" s="474"/>
      <c r="D192" s="474"/>
      <c r="E192" s="474"/>
      <c r="F192" s="474"/>
      <c r="G192" s="474"/>
      <c r="H192" s="474"/>
      <c r="I192" s="474"/>
      <c r="J192" s="474"/>
      <c r="K192" s="474"/>
      <c r="L192" s="474"/>
      <c r="M192" s="474"/>
      <c r="N192" s="474"/>
    </row>
  </sheetData>
  <mergeCells count="5">
    <mergeCell ref="B185:D185"/>
    <mergeCell ref="B186:D186"/>
    <mergeCell ref="B187:D187"/>
    <mergeCell ref="A1:N1"/>
    <mergeCell ref="A2:N2"/>
  </mergeCells>
  <conditionalFormatting sqref="D3">
    <cfRule type="duplicateValues" dxfId="1" priority="2"/>
  </conditionalFormatting>
  <conditionalFormatting sqref="D185:D1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2026</vt:lpstr>
      <vt:lpstr>commission</vt:lpstr>
      <vt:lpstr>10000 MT Gasoline# 570</vt:lpstr>
      <vt:lpstr>20000 MT DIESEL # 610</vt:lpstr>
      <vt:lpstr>20000 MT Diesel  # 600</vt:lpstr>
      <vt:lpstr>10000 Diesel 580</vt:lpstr>
      <vt:lpstr>'2026'!Print_Area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2026-07-22T11:46:50Z</dcterms:modified>
</cp:coreProperties>
</file>