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Work folder\Contract\2026\BNK KHUMOR\"/>
    </mc:Choice>
  </mc:AlternateContent>
  <xr:revisionPtr revIDLastSave="0" documentId="13_ncr:1_{EB2CD3EB-E8DC-4576-8BA1-534CF24404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0" i="1" l="1"/>
  <c r="G270" i="1"/>
  <c r="I269" i="1"/>
  <c r="G269" i="1"/>
  <c r="I268" i="1"/>
  <c r="G268" i="1"/>
  <c r="I267" i="1"/>
  <c r="G267" i="1"/>
  <c r="I266" i="1"/>
  <c r="G266" i="1"/>
  <c r="I265" i="1"/>
  <c r="G265" i="1"/>
  <c r="I264" i="1"/>
  <c r="G264" i="1"/>
  <c r="A264" i="1"/>
  <c r="A265" i="1" s="1"/>
  <c r="A266" i="1" s="1"/>
  <c r="A267" i="1" s="1"/>
  <c r="A268" i="1" s="1"/>
  <c r="A269" i="1" s="1"/>
  <c r="A270" i="1" s="1"/>
  <c r="I263" i="1"/>
  <c r="G263" i="1"/>
  <c r="A263" i="1"/>
  <c r="I262" i="1"/>
  <c r="G262" i="1"/>
  <c r="I260" i="1"/>
  <c r="G260" i="1"/>
  <c r="I259" i="1"/>
  <c r="G259" i="1"/>
  <c r="I257" i="1"/>
  <c r="G257" i="1"/>
  <c r="I256" i="1"/>
  <c r="G256" i="1"/>
  <c r="I255" i="1"/>
  <c r="G255" i="1"/>
  <c r="I254" i="1"/>
  <c r="G254" i="1"/>
  <c r="I253" i="1"/>
  <c r="G253" i="1"/>
  <c r="I252" i="1"/>
  <c r="G252" i="1"/>
  <c r="I251" i="1"/>
  <c r="G251" i="1"/>
  <c r="I250" i="1"/>
  <c r="G250" i="1"/>
  <c r="I249" i="1"/>
  <c r="G249" i="1"/>
  <c r="I248" i="1"/>
  <c r="G248" i="1"/>
  <c r="I247" i="1"/>
  <c r="G247" i="1"/>
  <c r="I246" i="1"/>
  <c r="G246" i="1"/>
  <c r="I245" i="1"/>
  <c r="G245" i="1"/>
  <c r="I244" i="1"/>
  <c r="G244" i="1"/>
  <c r="I243" i="1"/>
  <c r="G243" i="1"/>
  <c r="I242" i="1"/>
  <c r="G242" i="1"/>
  <c r="I241" i="1"/>
  <c r="G241" i="1"/>
  <c r="I240" i="1"/>
  <c r="G240" i="1"/>
  <c r="I239" i="1"/>
  <c r="G239" i="1"/>
  <c r="I238" i="1"/>
  <c r="G238" i="1"/>
  <c r="I237" i="1"/>
  <c r="G237" i="1"/>
  <c r="I236" i="1"/>
  <c r="G236" i="1"/>
  <c r="I235" i="1"/>
  <c r="G235" i="1"/>
  <c r="A235" i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I234" i="1"/>
  <c r="G234" i="1"/>
  <c r="I233" i="1"/>
  <c r="G233" i="1"/>
  <c r="I232" i="1"/>
  <c r="G232" i="1"/>
  <c r="A232" i="1"/>
  <c r="A233" i="1" s="1"/>
  <c r="A234" i="1" s="1"/>
  <c r="I231" i="1"/>
  <c r="G231" i="1"/>
  <c r="I229" i="1"/>
  <c r="G229" i="1"/>
  <c r="I228" i="1"/>
  <c r="G228" i="1"/>
  <c r="I227" i="1"/>
  <c r="G227" i="1"/>
  <c r="I226" i="1"/>
  <c r="G226" i="1"/>
  <c r="I225" i="1"/>
  <c r="G225" i="1"/>
  <c r="I224" i="1"/>
  <c r="G224" i="1"/>
  <c r="I223" i="1"/>
  <c r="G223" i="1"/>
  <c r="I222" i="1"/>
  <c r="G222" i="1"/>
  <c r="I221" i="1"/>
  <c r="G221" i="1"/>
  <c r="I220" i="1"/>
  <c r="G220" i="1"/>
  <c r="I219" i="1"/>
  <c r="G219" i="1"/>
  <c r="I218" i="1"/>
  <c r="G218" i="1"/>
  <c r="I217" i="1"/>
  <c r="G217" i="1"/>
  <c r="I216" i="1"/>
  <c r="G216" i="1"/>
  <c r="I215" i="1"/>
  <c r="G215" i="1"/>
  <c r="I214" i="1"/>
  <c r="G214" i="1"/>
  <c r="I213" i="1"/>
  <c r="G213" i="1"/>
  <c r="I212" i="1"/>
  <c r="G212" i="1"/>
  <c r="I211" i="1"/>
  <c r="G211" i="1"/>
  <c r="I210" i="1"/>
  <c r="G210" i="1"/>
  <c r="I209" i="1"/>
  <c r="G209" i="1"/>
  <c r="I208" i="1"/>
  <c r="G208" i="1"/>
  <c r="I207" i="1"/>
  <c r="G207" i="1"/>
  <c r="I206" i="1"/>
  <c r="G206" i="1"/>
  <c r="I205" i="1"/>
  <c r="G205" i="1"/>
  <c r="I204" i="1"/>
  <c r="G204" i="1"/>
  <c r="I203" i="1"/>
  <c r="G203" i="1"/>
  <c r="I202" i="1"/>
  <c r="G202" i="1"/>
  <c r="I201" i="1"/>
  <c r="G201" i="1"/>
  <c r="I200" i="1"/>
  <c r="G200" i="1"/>
  <c r="I199" i="1"/>
  <c r="G199" i="1"/>
  <c r="I198" i="1"/>
  <c r="G198" i="1"/>
  <c r="I197" i="1"/>
  <c r="G197" i="1"/>
  <c r="I196" i="1"/>
  <c r="G196" i="1"/>
  <c r="I195" i="1"/>
  <c r="G195" i="1"/>
  <c r="I194" i="1"/>
  <c r="G194" i="1"/>
  <c r="I193" i="1"/>
  <c r="G193" i="1"/>
  <c r="I192" i="1"/>
  <c r="G192" i="1"/>
  <c r="I191" i="1"/>
  <c r="G191" i="1"/>
  <c r="I190" i="1"/>
  <c r="G190" i="1"/>
  <c r="I189" i="1"/>
  <c r="G189" i="1"/>
  <c r="I188" i="1"/>
  <c r="G188" i="1"/>
  <c r="A188" i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I187" i="1"/>
  <c r="G187" i="1"/>
  <c r="A187" i="1"/>
  <c r="I186" i="1"/>
  <c r="G186" i="1"/>
  <c r="I184" i="1"/>
  <c r="G184" i="1"/>
  <c r="I183" i="1"/>
  <c r="G183" i="1"/>
  <c r="I182" i="1"/>
  <c r="G182" i="1"/>
  <c r="I181" i="1"/>
  <c r="G181" i="1"/>
  <c r="I180" i="1"/>
  <c r="G180" i="1"/>
  <c r="I179" i="1"/>
  <c r="G179" i="1"/>
  <c r="I178" i="1"/>
  <c r="G178" i="1"/>
  <c r="I177" i="1"/>
  <c r="G177" i="1"/>
  <c r="A177" i="1"/>
  <c r="A178" i="1" s="1"/>
  <c r="A179" i="1" s="1"/>
  <c r="A180" i="1" s="1"/>
  <c r="A181" i="1" s="1"/>
  <c r="A182" i="1" s="1"/>
  <c r="A183" i="1" s="1"/>
  <c r="A184" i="1" s="1"/>
  <c r="I176" i="1"/>
  <c r="G176" i="1"/>
  <c r="A176" i="1"/>
  <c r="I175" i="1"/>
  <c r="G175" i="1"/>
  <c r="I173" i="1"/>
  <c r="G173" i="1"/>
  <c r="I172" i="1"/>
  <c r="G172" i="1"/>
  <c r="I171" i="1"/>
  <c r="G171" i="1"/>
  <c r="I170" i="1"/>
  <c r="G170" i="1"/>
  <c r="I169" i="1"/>
  <c r="G169" i="1"/>
  <c r="I168" i="1"/>
  <c r="G168" i="1"/>
  <c r="I167" i="1"/>
  <c r="G167" i="1"/>
  <c r="I166" i="1"/>
  <c r="G166" i="1"/>
  <c r="I165" i="1"/>
  <c r="G165" i="1"/>
  <c r="I164" i="1"/>
  <c r="G164" i="1"/>
  <c r="I163" i="1"/>
  <c r="G163" i="1"/>
  <c r="I162" i="1"/>
  <c r="G162" i="1"/>
  <c r="I161" i="1"/>
  <c r="G161" i="1"/>
  <c r="I160" i="1"/>
  <c r="G160" i="1"/>
  <c r="I159" i="1"/>
  <c r="G159" i="1"/>
  <c r="I158" i="1"/>
  <c r="G158" i="1"/>
  <c r="I157" i="1"/>
  <c r="G157" i="1"/>
  <c r="I156" i="1"/>
  <c r="G156" i="1"/>
  <c r="I155" i="1"/>
  <c r="G155" i="1"/>
  <c r="I154" i="1"/>
  <c r="G154" i="1"/>
  <c r="I153" i="1"/>
  <c r="G153" i="1"/>
  <c r="I152" i="1"/>
  <c r="G152" i="1"/>
  <c r="I151" i="1"/>
  <c r="G151" i="1"/>
  <c r="I150" i="1"/>
  <c r="G150" i="1"/>
  <c r="I149" i="1"/>
  <c r="G149" i="1"/>
  <c r="A149" i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I148" i="1"/>
  <c r="G148" i="1"/>
  <c r="I147" i="1"/>
  <c r="G147" i="1"/>
  <c r="I146" i="1"/>
  <c r="G146" i="1"/>
  <c r="A146" i="1"/>
  <c r="A147" i="1" s="1"/>
  <c r="A148" i="1" s="1"/>
  <c r="I145" i="1"/>
  <c r="G145" i="1"/>
  <c r="A145" i="1"/>
  <c r="I144" i="1"/>
  <c r="G144" i="1"/>
  <c r="A144" i="1"/>
  <c r="I143" i="1"/>
  <c r="G143" i="1"/>
  <c r="I141" i="1"/>
  <c r="G141" i="1"/>
  <c r="I140" i="1"/>
  <c r="G140" i="1"/>
  <c r="I139" i="1"/>
  <c r="G139" i="1"/>
  <c r="I138" i="1"/>
  <c r="G138" i="1"/>
  <c r="I137" i="1"/>
  <c r="G137" i="1"/>
  <c r="I136" i="1"/>
  <c r="G136" i="1"/>
  <c r="I135" i="1"/>
  <c r="G135" i="1"/>
  <c r="I134" i="1"/>
  <c r="G134" i="1"/>
  <c r="A134" i="1"/>
  <c r="A135" i="1" s="1"/>
  <c r="A136" i="1" s="1"/>
  <c r="A137" i="1" s="1"/>
  <c r="A138" i="1" s="1"/>
  <c r="A139" i="1" s="1"/>
  <c r="A140" i="1" s="1"/>
  <c r="A141" i="1" s="1"/>
  <c r="I133" i="1"/>
  <c r="G133" i="1"/>
  <c r="I132" i="1"/>
  <c r="G132" i="1"/>
  <c r="I131" i="1"/>
  <c r="G131" i="1"/>
  <c r="A131" i="1"/>
  <c r="A132" i="1" s="1"/>
  <c r="A133" i="1" s="1"/>
  <c r="I130" i="1"/>
  <c r="G130" i="1"/>
  <c r="A130" i="1"/>
  <c r="I129" i="1"/>
  <c r="G129" i="1"/>
  <c r="I127" i="1"/>
  <c r="G127" i="1"/>
  <c r="I126" i="1"/>
  <c r="G126" i="1"/>
  <c r="I125" i="1"/>
  <c r="G125" i="1"/>
  <c r="I124" i="1"/>
  <c r="G124" i="1"/>
  <c r="I123" i="1"/>
  <c r="G123" i="1"/>
  <c r="I122" i="1"/>
  <c r="G122" i="1"/>
  <c r="I121" i="1"/>
  <c r="G121" i="1"/>
  <c r="I120" i="1"/>
  <c r="G120" i="1"/>
  <c r="I119" i="1"/>
  <c r="G119" i="1"/>
  <c r="I118" i="1"/>
  <c r="G118" i="1"/>
  <c r="I117" i="1"/>
  <c r="G117" i="1"/>
  <c r="I116" i="1"/>
  <c r="G116" i="1"/>
  <c r="I115" i="1"/>
  <c r="G115" i="1"/>
  <c r="I114" i="1"/>
  <c r="G114" i="1"/>
  <c r="I113" i="1"/>
  <c r="G113" i="1"/>
  <c r="A113" i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I112" i="1"/>
  <c r="G112" i="1"/>
  <c r="I110" i="1"/>
  <c r="G110" i="1"/>
  <c r="I109" i="1"/>
  <c r="G109" i="1"/>
  <c r="I108" i="1"/>
  <c r="G108" i="1"/>
  <c r="A108" i="1"/>
  <c r="A109" i="1" s="1"/>
  <c r="A110" i="1" s="1"/>
  <c r="I107" i="1"/>
  <c r="G107" i="1"/>
  <c r="I106" i="1"/>
  <c r="G106" i="1"/>
  <c r="I105" i="1"/>
  <c r="G105" i="1"/>
  <c r="A105" i="1"/>
  <c r="A106" i="1" s="1"/>
  <c r="A107" i="1" s="1"/>
  <c r="I104" i="1"/>
  <c r="G104" i="1"/>
  <c r="A104" i="1"/>
  <c r="I103" i="1"/>
  <c r="G103" i="1"/>
  <c r="I102" i="1"/>
  <c r="G102" i="1"/>
  <c r="I101" i="1"/>
  <c r="G101" i="1"/>
  <c r="A101" i="1"/>
  <c r="A102" i="1" s="1"/>
  <c r="A103" i="1" s="1"/>
  <c r="I100" i="1"/>
  <c r="G100" i="1"/>
  <c r="I97" i="1"/>
  <c r="G97" i="1"/>
  <c r="I96" i="1"/>
  <c r="G96" i="1"/>
  <c r="I95" i="1"/>
  <c r="G95" i="1"/>
  <c r="I94" i="1"/>
  <c r="G94" i="1"/>
  <c r="I93" i="1"/>
  <c r="G93" i="1"/>
  <c r="I92" i="1"/>
  <c r="G92" i="1"/>
  <c r="I91" i="1"/>
  <c r="G91" i="1"/>
  <c r="I90" i="1"/>
  <c r="G90" i="1"/>
  <c r="I89" i="1"/>
  <c r="G89" i="1"/>
  <c r="I88" i="1"/>
  <c r="G88" i="1"/>
  <c r="I87" i="1"/>
  <c r="G87" i="1"/>
  <c r="I86" i="1"/>
  <c r="G86" i="1"/>
  <c r="I85" i="1"/>
  <c r="G85" i="1"/>
  <c r="A85" i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I84" i="1"/>
  <c r="G84" i="1"/>
  <c r="I82" i="1"/>
  <c r="G82" i="1"/>
  <c r="A82" i="1"/>
  <c r="I81" i="1"/>
  <c r="G81" i="1"/>
  <c r="A81" i="1"/>
  <c r="I80" i="1"/>
  <c r="G80" i="1"/>
  <c r="I78" i="1"/>
  <c r="G78" i="1"/>
  <c r="I77" i="1"/>
  <c r="G77" i="1"/>
  <c r="I76" i="1"/>
  <c r="G76" i="1"/>
  <c r="I75" i="1"/>
  <c r="G75" i="1"/>
  <c r="I74" i="1"/>
  <c r="G74" i="1"/>
  <c r="I73" i="1"/>
  <c r="G73" i="1"/>
  <c r="I72" i="1"/>
  <c r="G72" i="1"/>
  <c r="I71" i="1"/>
  <c r="G71" i="1"/>
  <c r="I70" i="1"/>
  <c r="G70" i="1"/>
  <c r="I69" i="1"/>
  <c r="G69" i="1"/>
  <c r="I68" i="1"/>
  <c r="G68" i="1"/>
  <c r="A68" i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I67" i="1"/>
  <c r="G67" i="1"/>
  <c r="A67" i="1"/>
  <c r="I66" i="1"/>
  <c r="G66" i="1"/>
  <c r="A66" i="1"/>
  <c r="I65" i="1"/>
  <c r="G65" i="1"/>
  <c r="I63" i="1"/>
  <c r="G63" i="1"/>
  <c r="I61" i="1"/>
  <c r="G61" i="1"/>
  <c r="A61" i="1"/>
  <c r="I60" i="1"/>
  <c r="G60" i="1"/>
  <c r="I59" i="1"/>
  <c r="G59" i="1"/>
  <c r="I58" i="1"/>
  <c r="G58" i="1"/>
  <c r="A58" i="1"/>
  <c r="A59" i="1" s="1"/>
  <c r="A60" i="1" s="1"/>
  <c r="I57" i="1"/>
  <c r="G57" i="1"/>
  <c r="I55" i="1"/>
  <c r="G55" i="1"/>
  <c r="A55" i="1"/>
  <c r="I54" i="1"/>
  <c r="G54" i="1"/>
  <c r="A54" i="1"/>
  <c r="I53" i="1"/>
  <c r="G53" i="1"/>
  <c r="I51" i="1"/>
  <c r="G51" i="1"/>
  <c r="I50" i="1"/>
  <c r="G50" i="1"/>
  <c r="I49" i="1"/>
  <c r="G49" i="1"/>
  <c r="I48" i="1"/>
  <c r="G48" i="1"/>
  <c r="A48" i="1"/>
  <c r="A49" i="1" s="1"/>
  <c r="A50" i="1" s="1"/>
  <c r="A51" i="1" s="1"/>
  <c r="I47" i="1"/>
  <c r="G47" i="1"/>
  <c r="A47" i="1"/>
  <c r="I46" i="1"/>
  <c r="G46" i="1"/>
  <c r="I44" i="1"/>
  <c r="G44" i="1"/>
  <c r="I43" i="1"/>
  <c r="G43" i="1"/>
  <c r="I42" i="1"/>
  <c r="G42" i="1"/>
  <c r="I41" i="1"/>
  <c r="G41" i="1"/>
  <c r="I40" i="1"/>
  <c r="G40" i="1"/>
  <c r="A40" i="1"/>
  <c r="A41" i="1" s="1"/>
  <c r="A42" i="1" s="1"/>
  <c r="A43" i="1" s="1"/>
  <c r="A44" i="1" s="1"/>
  <c r="I39" i="1"/>
  <c r="G39" i="1"/>
  <c r="I38" i="1"/>
  <c r="G38" i="1"/>
  <c r="I37" i="1"/>
  <c r="G37" i="1"/>
  <c r="A37" i="1"/>
  <c r="A38" i="1" s="1"/>
  <c r="A39" i="1" s="1"/>
  <c r="I36" i="1"/>
  <c r="G36" i="1"/>
  <c r="E277" i="1"/>
  <c r="E278" i="1" s="1"/>
  <c r="I34" i="1"/>
  <c r="G34" i="1"/>
  <c r="I33" i="1"/>
  <c r="G33" i="1"/>
  <c r="I32" i="1"/>
  <c r="G32" i="1"/>
  <c r="I31" i="1"/>
  <c r="G31" i="1"/>
  <c r="I30" i="1"/>
  <c r="G30" i="1"/>
  <c r="I29" i="1"/>
  <c r="G29" i="1"/>
  <c r="I28" i="1"/>
  <c r="G28" i="1"/>
  <c r="I27" i="1"/>
  <c r="G27" i="1"/>
  <c r="I26" i="1"/>
  <c r="G26" i="1"/>
  <c r="I25" i="1"/>
  <c r="G25" i="1"/>
  <c r="I24" i="1"/>
  <c r="G24" i="1"/>
  <c r="I23" i="1"/>
  <c r="G23" i="1"/>
  <c r="I22" i="1"/>
  <c r="G22" i="1"/>
  <c r="I21" i="1"/>
  <c r="G21" i="1"/>
  <c r="I20" i="1"/>
  <c r="G20" i="1"/>
  <c r="I19" i="1"/>
  <c r="G19" i="1"/>
  <c r="I18" i="1"/>
  <c r="G18" i="1"/>
  <c r="I17" i="1"/>
  <c r="G17" i="1"/>
  <c r="I16" i="1"/>
  <c r="G16" i="1"/>
  <c r="I15" i="1"/>
  <c r="G15" i="1"/>
  <c r="I14" i="1"/>
  <c r="G14" i="1"/>
  <c r="I13" i="1"/>
  <c r="G13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I12" i="1"/>
  <c r="G12" i="1"/>
  <c r="I11" i="1"/>
  <c r="G11" i="1"/>
  <c r="I10" i="1"/>
  <c r="G10" i="1"/>
  <c r="A10" i="1"/>
  <c r="A11" i="1" s="1"/>
  <c r="A12" i="1" s="1"/>
  <c r="I9" i="1"/>
  <c r="G9" i="1"/>
  <c r="A9" i="1"/>
  <c r="I8" i="1"/>
  <c r="G8" i="1"/>
  <c r="I7" i="1"/>
  <c r="G7" i="1"/>
  <c r="I6" i="1"/>
  <c r="G6" i="1"/>
  <c r="A6" i="1"/>
  <c r="A7" i="1" s="1"/>
  <c r="A8" i="1" s="1"/>
  <c r="I5" i="1"/>
  <c r="F5" i="1"/>
  <c r="G5" i="1" s="1"/>
</calcChain>
</file>

<file path=xl/sharedStrings.xml><?xml version="1.0" encoding="utf-8"?>
<sst xmlns="http://schemas.openxmlformats.org/spreadsheetml/2006/main" count="529" uniqueCount="20">
  <si>
    <t xml:space="preserve"> Contract BNK-KHM/9-4-12/140 dd 29.07.2022, between "BNK-FZCO" (UAE) and "KHUMOR" LLC (KYRGYZ REPUBLIC) </t>
  </si>
  <si>
    <t>ADDENDUM № 34-M dd 06.01.26 (FCA BARBAROV) 15'000 mt</t>
  </si>
  <si>
    <t>-121,57$</t>
  </si>
  <si>
    <t>№</t>
  </si>
  <si>
    <t>Date</t>
  </si>
  <si>
    <t>RWB No</t>
  </si>
  <si>
    <t xml:space="preserve">Wagons No </t>
  </si>
  <si>
    <t>Loaded quantity (MT)</t>
  </si>
  <si>
    <t>Price in January 01.01.26-31.01.26 $</t>
  </si>
  <si>
    <t>Total</t>
  </si>
  <si>
    <t xml:space="preserve">Fix price in rub </t>
  </si>
  <si>
    <t>Consignee</t>
  </si>
  <si>
    <t>Destination</t>
  </si>
  <si>
    <t>Terminal Ilinka</t>
  </si>
  <si>
    <t>Barbarov</t>
  </si>
  <si>
    <t>08610697</t>
  </si>
  <si>
    <t>08610698</t>
  </si>
  <si>
    <t>FULL TONNAGE</t>
  </si>
  <si>
    <t>LOADED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</si>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</sst>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dd\.mm\.yy"/>
    <numFmt numFmtId="165" formatCode="00000000"/>
    <numFmt numFmtId="166" formatCode="0.000"/>
    <numFmt numFmtId="167" formatCode="[$$-C09]#,##0.00"/>
    <numFmt numFmtId="168" formatCode="[$$-C09]#,##0.000"/>
    <numFmt numFmtId="169" formatCode="#,##0.00\ &quot;₽&quot;"/>
    <numFmt numFmtId="170" formatCode="#,##0.000\ &quot;₽&quot;"/>
    <numFmt numFmtId="171" formatCode="#,##0.000"/>
    <numFmt numFmtId="172" formatCode="#,##0.00;[Red]#,##0.00"/>
    <numFmt numFmtId="173" formatCode="#,##0.000;[Red]#,##0.000"/>
  </numFmts>
  <fonts count="8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1"/>
      <color rgb="FF660066"/>
      <name val="Times New Roman"/>
      <family val="1"/>
      <charset val="204"/>
    </font>
    <font>
      <b/>
      <i/>
      <sz val="11"/>
      <color rgb="FF00B050"/>
      <name val="Times New Roman"/>
      <family val="1"/>
      <charset val="204"/>
    </font>
    <font>
      <i/>
      <sz val="11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FE699"/>
        <bgColor rgb="FF000000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66" fontId="2" fillId="0" borderId="5" xfId="0" applyNumberFormat="1" applyFont="1" applyBorder="1" applyAlignment="1">
      <alignment horizontal="center" wrapText="1"/>
    </xf>
    <xf numFmtId="167" fontId="2" fillId="0" borderId="5" xfId="0" applyNumberFormat="1" applyFont="1" applyBorder="1" applyAlignment="1">
      <alignment horizontal="center"/>
    </xf>
    <xf numFmtId="168" fontId="2" fillId="0" borderId="5" xfId="0" applyNumberFormat="1" applyFont="1" applyBorder="1" applyAlignment="1">
      <alignment horizontal="center"/>
    </xf>
    <xf numFmtId="169" fontId="2" fillId="0" borderId="5" xfId="0" applyNumberFormat="1" applyFont="1" applyBorder="1" applyAlignment="1">
      <alignment horizontal="center"/>
    </xf>
    <xf numFmtId="170" fontId="2" fillId="0" borderId="5" xfId="0" applyNumberFormat="1" applyFont="1" applyBorder="1" applyAlignment="1">
      <alignment horizontal="center"/>
    </xf>
    <xf numFmtId="167" fontId="6" fillId="0" borderId="6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 wrapText="1"/>
    </xf>
    <xf numFmtId="167" fontId="2" fillId="0" borderId="8" xfId="0" applyNumberFormat="1" applyFont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 wrapText="1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171" fontId="1" fillId="2" borderId="11" xfId="0" applyNumberFormat="1" applyFont="1" applyFill="1" applyBorder="1" applyAlignment="1">
      <alignment horizontal="center"/>
    </xf>
    <xf numFmtId="167" fontId="1" fillId="2" borderId="11" xfId="0" applyNumberFormat="1" applyFont="1" applyFill="1" applyBorder="1" applyAlignment="1">
      <alignment horizontal="center"/>
    </xf>
    <xf numFmtId="168" fontId="1" fillId="2" borderId="11" xfId="0" applyNumberFormat="1" applyFont="1" applyFill="1" applyBorder="1" applyAlignment="1">
      <alignment horizontal="center"/>
    </xf>
    <xf numFmtId="170" fontId="1" fillId="2" borderId="11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14" fontId="2" fillId="0" borderId="14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5" fontId="2" fillId="0" borderId="16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168" fontId="2" fillId="0" borderId="14" xfId="0" applyNumberFormat="1" applyFont="1" applyBorder="1" applyAlignment="1">
      <alignment horizontal="center"/>
    </xf>
    <xf numFmtId="166" fontId="1" fillId="2" borderId="11" xfId="0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169" fontId="2" fillId="0" borderId="14" xfId="0" applyNumberFormat="1" applyFont="1" applyBorder="1" applyAlignment="1">
      <alignment horizontal="center"/>
    </xf>
    <xf numFmtId="170" fontId="2" fillId="0" borderId="14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4" fontId="2" fillId="0" borderId="11" xfId="0" applyNumberFormat="1" applyFont="1" applyBorder="1" applyAlignment="1">
      <alignment horizontal="center"/>
    </xf>
    <xf numFmtId="167" fontId="6" fillId="0" borderId="19" xfId="0" applyNumberFormat="1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/>
    </xf>
    <xf numFmtId="14" fontId="2" fillId="0" borderId="24" xfId="0" applyNumberFormat="1" applyFont="1" applyBorder="1" applyAlignment="1">
      <alignment horizontal="center"/>
    </xf>
    <xf numFmtId="165" fontId="2" fillId="0" borderId="24" xfId="0" applyNumberFormat="1" applyFont="1" applyBorder="1" applyAlignment="1">
      <alignment horizontal="center"/>
    </xf>
    <xf numFmtId="1" fontId="2" fillId="0" borderId="24" xfId="0" applyNumberFormat="1" applyFont="1" applyBorder="1" applyAlignment="1">
      <alignment horizontal="center"/>
    </xf>
    <xf numFmtId="166" fontId="2" fillId="0" borderId="24" xfId="0" applyNumberFormat="1" applyFont="1" applyBorder="1" applyAlignment="1">
      <alignment horizontal="center" wrapText="1"/>
    </xf>
    <xf numFmtId="168" fontId="2" fillId="0" borderId="25" xfId="0" applyNumberFormat="1" applyFont="1" applyBorder="1" applyAlignment="1">
      <alignment horizontal="center"/>
    </xf>
    <xf numFmtId="169" fontId="2" fillId="0" borderId="25" xfId="0" applyNumberFormat="1" applyFont="1" applyBorder="1" applyAlignment="1">
      <alignment horizontal="center"/>
    </xf>
    <xf numFmtId="170" fontId="2" fillId="0" borderId="25" xfId="0" applyNumberFormat="1" applyFont="1" applyBorder="1" applyAlignment="1">
      <alignment horizontal="center"/>
    </xf>
    <xf numFmtId="167" fontId="6" fillId="0" borderId="26" xfId="0" applyNumberFormat="1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171" fontId="1" fillId="3" borderId="11" xfId="0" applyNumberFormat="1" applyFont="1" applyFill="1" applyBorder="1" applyAlignment="1">
      <alignment horizontal="center"/>
    </xf>
    <xf numFmtId="167" fontId="1" fillId="3" borderId="11" xfId="0" applyNumberFormat="1" applyFont="1" applyFill="1" applyBorder="1" applyAlignment="1">
      <alignment horizontal="center"/>
    </xf>
    <xf numFmtId="168" fontId="1" fillId="3" borderId="11" xfId="0" applyNumberFormat="1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170" fontId="1" fillId="3" borderId="11" xfId="0" applyNumberFormat="1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/>
    </xf>
    <xf numFmtId="167" fontId="2" fillId="0" borderId="14" xfId="0" applyNumberFormat="1" applyFont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166" fontId="2" fillId="0" borderId="5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0" fontId="6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/>
    </xf>
    <xf numFmtId="14" fontId="2" fillId="0" borderId="37" xfId="0" applyNumberFormat="1" applyFont="1" applyBorder="1" applyAlignment="1">
      <alignment horizontal="center"/>
    </xf>
    <xf numFmtId="165" fontId="2" fillId="0" borderId="37" xfId="0" applyNumberFormat="1" applyFont="1" applyBorder="1" applyAlignment="1">
      <alignment horizontal="center"/>
    </xf>
    <xf numFmtId="1" fontId="2" fillId="0" borderId="37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 wrapText="1"/>
    </xf>
    <xf numFmtId="168" fontId="2" fillId="0" borderId="37" xfId="0" applyNumberFormat="1" applyFont="1" applyBorder="1" applyAlignment="1">
      <alignment horizontal="center"/>
    </xf>
    <xf numFmtId="169" fontId="2" fillId="0" borderId="37" xfId="0" applyNumberFormat="1" applyFont="1" applyBorder="1" applyAlignment="1">
      <alignment horizontal="center"/>
    </xf>
    <xf numFmtId="170" fontId="2" fillId="0" borderId="37" xfId="0" applyNumberFormat="1" applyFont="1" applyBorder="1" applyAlignment="1">
      <alignment horizontal="center"/>
    </xf>
    <xf numFmtId="167" fontId="6" fillId="0" borderId="38" xfId="0" applyNumberFormat="1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167" fontId="2" fillId="0" borderId="37" xfId="0" applyNumberFormat="1" applyFont="1" applyBorder="1" applyAlignment="1">
      <alignment horizontal="center"/>
    </xf>
    <xf numFmtId="14" fontId="2" fillId="0" borderId="25" xfId="0" applyNumberFormat="1" applyFont="1" applyBorder="1" applyAlignment="1">
      <alignment horizontal="center"/>
    </xf>
    <xf numFmtId="167" fontId="2" fillId="0" borderId="25" xfId="0" applyNumberFormat="1" applyFont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1" fontId="1" fillId="2" borderId="25" xfId="0" applyNumberFormat="1" applyFont="1" applyFill="1" applyBorder="1" applyAlignment="1">
      <alignment horizontal="center"/>
    </xf>
    <xf numFmtId="167" fontId="1" fillId="2" borderId="25" xfId="0" applyNumberFormat="1" applyFont="1" applyFill="1" applyBorder="1" applyAlignment="1">
      <alignment horizontal="center"/>
    </xf>
    <xf numFmtId="168" fontId="1" fillId="2" borderId="25" xfId="0" applyNumberFormat="1" applyFont="1" applyFill="1" applyBorder="1" applyAlignment="1">
      <alignment horizontal="center"/>
    </xf>
    <xf numFmtId="170" fontId="1" fillId="2" borderId="25" xfId="0" applyNumberFormat="1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171" fontId="1" fillId="4" borderId="11" xfId="0" applyNumberFormat="1" applyFont="1" applyFill="1" applyBorder="1" applyAlignment="1">
      <alignment horizontal="center"/>
    </xf>
    <xf numFmtId="167" fontId="1" fillId="4" borderId="11" xfId="0" applyNumberFormat="1" applyFont="1" applyFill="1" applyBorder="1" applyAlignment="1">
      <alignment horizontal="center"/>
    </xf>
    <xf numFmtId="168" fontId="1" fillId="4" borderId="11" xfId="0" applyNumberFormat="1" applyFont="1" applyFill="1" applyBorder="1" applyAlignment="1">
      <alignment horizontal="center"/>
    </xf>
    <xf numFmtId="170" fontId="1" fillId="4" borderId="11" xfId="0" applyNumberFormat="1" applyFont="1" applyFill="1" applyBorder="1" applyAlignment="1">
      <alignment horizontal="center"/>
    </xf>
    <xf numFmtId="0" fontId="2" fillId="4" borderId="28" xfId="0" applyFont="1" applyFill="1" applyBorder="1" applyAlignment="1">
      <alignment horizontal="center"/>
    </xf>
    <xf numFmtId="0" fontId="1" fillId="0" borderId="44" xfId="0" applyFont="1" applyBorder="1" applyAlignment="1">
      <alignment horizontal="center" vertical="center"/>
    </xf>
    <xf numFmtId="172" fontId="1" fillId="0" borderId="45" xfId="0" applyNumberFormat="1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173" fontId="1" fillId="0" borderId="7" xfId="0" applyNumberFormat="1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173" fontId="7" fillId="0" borderId="5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1" fillId="3" borderId="30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1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fawad%20S%20G%20C/Downloads/Humor%20bnc%20(2).xlsx" TargetMode="External"/><Relationship Id="rId1" Type="http://schemas.openxmlformats.org/officeDocument/2006/relationships/externalLinkPath" Target="/Users/fawad%20S%20G%20C/Downloads/Humor%20bnc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I-92-K5 -EURO"/>
      <sheetName val="ACCOUNT 2024-15M"/>
      <sheetName val="Add Agreement15-M-16"/>
      <sheetName val="Add Agreement M-17"/>
      <sheetName val="Add Agreement M-18"/>
      <sheetName val="Add Agreement M-19"/>
      <sheetName val="Add Agreement M-20"/>
      <sheetName val="Add Agreement M-21"/>
      <sheetName val="Add Agreement M-22"/>
      <sheetName val="23-М"/>
      <sheetName val="AddAgreement 24-C"/>
      <sheetName val="Add Agreement 25-H"/>
      <sheetName val="Add Agreement 26-M"/>
      <sheetName val="Add Agreement 27-M"/>
      <sheetName val="28-M"/>
      <sheetName val="29-H"/>
      <sheetName val="Add Agreement 30-M"/>
      <sheetName val="32-M"/>
      <sheetName val="33-М"/>
      <sheetName val=" 34-M AI-92"/>
      <sheetName val="35-М Diesel DT-E-K5"/>
      <sheetName val="Platts2025"/>
      <sheetName val="Platt's 2026"/>
      <sheetName val="Acc AGR. M-16;17;18;19;20;21"/>
      <sheetName val="Vessels"/>
      <sheetName val="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O31">
            <v>683.92499999999995</v>
          </cell>
        </row>
        <row r="34">
          <cell r="B34">
            <v>641.68181818181813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1"/>
  <sheetViews>
    <sheetView tabSelected="1" topLeftCell="A240" workbookViewId="0">
      <selection activeCell="A273" sqref="A273:XFD273"/>
    </sheetView>
  </sheetViews>
  <sheetFormatPr defaultRowHeight="15" x14ac:dyDescent="0.25"/>
  <cols>
    <col min="5" max="5" width="16.5703125" customWidth="1"/>
    <col min="7" max="7" width="16.42578125" customWidth="1"/>
    <col min="8" max="8" width="20.140625" customWidth="1"/>
    <col min="9" max="9" width="18.42578125" customWidth="1"/>
    <col min="11" max="11" width="18" customWidth="1"/>
  </cols>
  <sheetData>
    <row r="1" spans="1:11" x14ac:dyDescent="0.25">
      <c r="A1" s="122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</row>
    <row r="2" spans="1:11" x14ac:dyDescent="0.25">
      <c r="A2" s="122" t="s">
        <v>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</row>
    <row r="3" spans="1:11" ht="15.75" thickBot="1" x14ac:dyDescent="0.3">
      <c r="A3" s="1"/>
      <c r="B3" s="1"/>
      <c r="C3" s="1"/>
      <c r="D3" s="1"/>
      <c r="E3" s="1"/>
      <c r="F3" s="2" t="s">
        <v>2</v>
      </c>
      <c r="G3" s="1"/>
      <c r="H3" s="3"/>
      <c r="I3" s="3"/>
      <c r="J3" s="1"/>
      <c r="K3" s="1"/>
    </row>
    <row r="4" spans="1:11" ht="78" customHeight="1" thickBot="1" x14ac:dyDescent="0.3">
      <c r="A4" s="4" t="s">
        <v>3</v>
      </c>
      <c r="B4" s="5" t="s">
        <v>4</v>
      </c>
      <c r="C4" s="6" t="s">
        <v>5</v>
      </c>
      <c r="D4" s="5" t="s">
        <v>6</v>
      </c>
      <c r="E4" s="5" t="s">
        <v>7</v>
      </c>
      <c r="F4" s="7" t="s">
        <v>8</v>
      </c>
      <c r="G4" s="7" t="s">
        <v>9</v>
      </c>
      <c r="H4" s="8" t="s">
        <v>10</v>
      </c>
      <c r="I4" s="8" t="s">
        <v>9</v>
      </c>
      <c r="J4" s="5" t="s">
        <v>11</v>
      </c>
      <c r="K4" s="9" t="s">
        <v>12</v>
      </c>
    </row>
    <row r="5" spans="1:11" ht="30" x14ac:dyDescent="0.25">
      <c r="A5" s="10">
        <v>1</v>
      </c>
      <c r="B5" s="11">
        <v>46045</v>
      </c>
      <c r="C5" s="12">
        <v>8610245</v>
      </c>
      <c r="D5" s="13">
        <v>50220904</v>
      </c>
      <c r="E5" s="14">
        <v>61</v>
      </c>
      <c r="F5" s="15">
        <f>'[1]Platt''s 2026'!B34-121.57</f>
        <v>520.11181818181808</v>
      </c>
      <c r="G5" s="16">
        <f>E5*F5</f>
        <v>31726.820909090904</v>
      </c>
      <c r="H5" s="17">
        <v>46076.86</v>
      </c>
      <c r="I5" s="18">
        <f>E5*H5</f>
        <v>2810688.46</v>
      </c>
      <c r="J5" s="19" t="s">
        <v>13</v>
      </c>
      <c r="K5" s="20" t="s">
        <v>14</v>
      </c>
    </row>
    <row r="6" spans="1:11" ht="30" x14ac:dyDescent="0.25">
      <c r="A6" s="21">
        <f>A5+1</f>
        <v>2</v>
      </c>
      <c r="B6" s="22">
        <v>46045</v>
      </c>
      <c r="C6" s="23">
        <v>8610246</v>
      </c>
      <c r="D6" s="24">
        <v>50413400</v>
      </c>
      <c r="E6" s="25">
        <v>60.95</v>
      </c>
      <c r="F6" s="26">
        <v>520.11</v>
      </c>
      <c r="G6" s="16">
        <f t="shared" ref="G6:G34" si="0">E6*F6</f>
        <v>31700.704500000003</v>
      </c>
      <c r="H6" s="17">
        <v>46076.86</v>
      </c>
      <c r="I6" s="18">
        <f t="shared" ref="I6:I34" si="1">E6*H6</f>
        <v>2808384.6170000001</v>
      </c>
      <c r="J6" s="19" t="s">
        <v>13</v>
      </c>
      <c r="K6" s="20" t="s">
        <v>14</v>
      </c>
    </row>
    <row r="7" spans="1:11" ht="30" x14ac:dyDescent="0.25">
      <c r="A7" s="21">
        <f t="shared" ref="A7:A34" si="2">A6+1</f>
        <v>3</v>
      </c>
      <c r="B7" s="22">
        <v>46045</v>
      </c>
      <c r="C7" s="23">
        <v>8610246</v>
      </c>
      <c r="D7" s="24">
        <v>51833374</v>
      </c>
      <c r="E7" s="25">
        <v>61.1</v>
      </c>
      <c r="F7" s="26">
        <v>520.11</v>
      </c>
      <c r="G7" s="16">
        <f t="shared" si="0"/>
        <v>31778.721000000001</v>
      </c>
      <c r="H7" s="17">
        <v>46076.86</v>
      </c>
      <c r="I7" s="18">
        <f t="shared" si="1"/>
        <v>2815296.1460000002</v>
      </c>
      <c r="J7" s="19" t="s">
        <v>13</v>
      </c>
      <c r="K7" s="20" t="s">
        <v>14</v>
      </c>
    </row>
    <row r="8" spans="1:11" ht="30" x14ac:dyDescent="0.25">
      <c r="A8" s="21">
        <f t="shared" si="2"/>
        <v>4</v>
      </c>
      <c r="B8" s="22">
        <v>46045</v>
      </c>
      <c r="C8" s="23">
        <v>8610245</v>
      </c>
      <c r="D8" s="24">
        <v>54026836</v>
      </c>
      <c r="E8" s="25">
        <v>60.95</v>
      </c>
      <c r="F8" s="26">
        <v>520.11</v>
      </c>
      <c r="G8" s="16">
        <f t="shared" si="0"/>
        <v>31700.704500000003</v>
      </c>
      <c r="H8" s="17">
        <v>46076.86</v>
      </c>
      <c r="I8" s="18">
        <f t="shared" si="1"/>
        <v>2808384.6170000001</v>
      </c>
      <c r="J8" s="19" t="s">
        <v>13</v>
      </c>
      <c r="K8" s="20" t="s">
        <v>14</v>
      </c>
    </row>
    <row r="9" spans="1:11" ht="30" x14ac:dyDescent="0.25">
      <c r="A9" s="21">
        <f t="shared" si="2"/>
        <v>5</v>
      </c>
      <c r="B9" s="22">
        <v>46045</v>
      </c>
      <c r="C9" s="23">
        <v>8610245</v>
      </c>
      <c r="D9" s="24">
        <v>54721329</v>
      </c>
      <c r="E9" s="25">
        <v>61.2</v>
      </c>
      <c r="F9" s="26">
        <v>520.11</v>
      </c>
      <c r="G9" s="16">
        <f t="shared" si="0"/>
        <v>31830.732000000004</v>
      </c>
      <c r="H9" s="17">
        <v>46076.86</v>
      </c>
      <c r="I9" s="18">
        <f t="shared" si="1"/>
        <v>2819903.8319999999</v>
      </c>
      <c r="J9" s="19" t="s">
        <v>13</v>
      </c>
      <c r="K9" s="20" t="s">
        <v>14</v>
      </c>
    </row>
    <row r="10" spans="1:11" ht="30" x14ac:dyDescent="0.25">
      <c r="A10" s="21">
        <f t="shared" si="2"/>
        <v>6</v>
      </c>
      <c r="B10" s="22">
        <v>46045</v>
      </c>
      <c r="C10" s="23">
        <v>8610246</v>
      </c>
      <c r="D10" s="24">
        <v>57429383</v>
      </c>
      <c r="E10" s="25">
        <v>60.9</v>
      </c>
      <c r="F10" s="26">
        <v>520.11</v>
      </c>
      <c r="G10" s="16">
        <f t="shared" si="0"/>
        <v>31674.699000000001</v>
      </c>
      <c r="H10" s="17">
        <v>46076.86</v>
      </c>
      <c r="I10" s="18">
        <f t="shared" si="1"/>
        <v>2806080.7739999997</v>
      </c>
      <c r="J10" s="19" t="s">
        <v>13</v>
      </c>
      <c r="K10" s="20" t="s">
        <v>14</v>
      </c>
    </row>
    <row r="11" spans="1:11" ht="30" x14ac:dyDescent="0.25">
      <c r="A11" s="21">
        <f t="shared" si="2"/>
        <v>7</v>
      </c>
      <c r="B11" s="22">
        <v>46045</v>
      </c>
      <c r="C11" s="23">
        <v>8610245</v>
      </c>
      <c r="D11" s="24">
        <v>57434193</v>
      </c>
      <c r="E11" s="25">
        <v>60.95</v>
      </c>
      <c r="F11" s="26">
        <v>520.11</v>
      </c>
      <c r="G11" s="16">
        <f t="shared" si="0"/>
        <v>31700.704500000003</v>
      </c>
      <c r="H11" s="17">
        <v>46076.86</v>
      </c>
      <c r="I11" s="18">
        <f t="shared" si="1"/>
        <v>2808384.6170000001</v>
      </c>
      <c r="J11" s="19" t="s">
        <v>13</v>
      </c>
      <c r="K11" s="20" t="s">
        <v>14</v>
      </c>
    </row>
    <row r="12" spans="1:11" ht="30" x14ac:dyDescent="0.25">
      <c r="A12" s="21">
        <f t="shared" si="2"/>
        <v>8</v>
      </c>
      <c r="B12" s="22">
        <v>46045</v>
      </c>
      <c r="C12" s="23">
        <v>8610245</v>
      </c>
      <c r="D12" s="24">
        <v>73021644</v>
      </c>
      <c r="E12" s="25">
        <v>61.5</v>
      </c>
      <c r="F12" s="26">
        <v>520.11</v>
      </c>
      <c r="G12" s="16">
        <f t="shared" si="0"/>
        <v>31986.764999999999</v>
      </c>
      <c r="H12" s="17">
        <v>46076.86</v>
      </c>
      <c r="I12" s="18">
        <f t="shared" si="1"/>
        <v>2833726.89</v>
      </c>
      <c r="J12" s="19" t="s">
        <v>13</v>
      </c>
      <c r="K12" s="20" t="s">
        <v>14</v>
      </c>
    </row>
    <row r="13" spans="1:11" ht="30" x14ac:dyDescent="0.25">
      <c r="A13" s="21">
        <f t="shared" si="2"/>
        <v>9</v>
      </c>
      <c r="B13" s="22">
        <v>46045</v>
      </c>
      <c r="C13" s="23">
        <v>8610245</v>
      </c>
      <c r="D13" s="24">
        <v>73049454</v>
      </c>
      <c r="E13" s="25">
        <v>61.5</v>
      </c>
      <c r="F13" s="26">
        <v>520.11</v>
      </c>
      <c r="G13" s="16">
        <f t="shared" si="0"/>
        <v>31986.764999999999</v>
      </c>
      <c r="H13" s="17">
        <v>46076.86</v>
      </c>
      <c r="I13" s="18">
        <f t="shared" si="1"/>
        <v>2833726.89</v>
      </c>
      <c r="J13" s="19" t="s">
        <v>13</v>
      </c>
      <c r="K13" s="20" t="s">
        <v>14</v>
      </c>
    </row>
    <row r="14" spans="1:11" ht="30" x14ac:dyDescent="0.25">
      <c r="A14" s="21">
        <f t="shared" si="2"/>
        <v>10</v>
      </c>
      <c r="B14" s="22">
        <v>46045</v>
      </c>
      <c r="C14" s="23">
        <v>8610245</v>
      </c>
      <c r="D14" s="24">
        <v>73062325</v>
      </c>
      <c r="E14" s="25">
        <v>61.55</v>
      </c>
      <c r="F14" s="26">
        <v>520.11</v>
      </c>
      <c r="G14" s="16">
        <f t="shared" si="0"/>
        <v>32012.770499999999</v>
      </c>
      <c r="H14" s="17">
        <v>46076.86</v>
      </c>
      <c r="I14" s="18">
        <f t="shared" si="1"/>
        <v>2836030.733</v>
      </c>
      <c r="J14" s="19" t="s">
        <v>13</v>
      </c>
      <c r="K14" s="20" t="s">
        <v>14</v>
      </c>
    </row>
    <row r="15" spans="1:11" ht="30" x14ac:dyDescent="0.25">
      <c r="A15" s="21">
        <f t="shared" si="2"/>
        <v>11</v>
      </c>
      <c r="B15" s="22">
        <v>46045</v>
      </c>
      <c r="C15" s="23">
        <v>8610246</v>
      </c>
      <c r="D15" s="24">
        <v>73069189</v>
      </c>
      <c r="E15" s="25">
        <v>61.7</v>
      </c>
      <c r="F15" s="26">
        <v>520.11</v>
      </c>
      <c r="G15" s="16">
        <f t="shared" si="0"/>
        <v>32090.787000000004</v>
      </c>
      <c r="H15" s="17">
        <v>46076.86</v>
      </c>
      <c r="I15" s="18">
        <f t="shared" si="1"/>
        <v>2842942.2620000001</v>
      </c>
      <c r="J15" s="19" t="s">
        <v>13</v>
      </c>
      <c r="K15" s="20" t="s">
        <v>14</v>
      </c>
    </row>
    <row r="16" spans="1:11" ht="30" x14ac:dyDescent="0.25">
      <c r="A16" s="21">
        <f t="shared" si="2"/>
        <v>12</v>
      </c>
      <c r="B16" s="22">
        <v>46045</v>
      </c>
      <c r="C16" s="23">
        <v>8610246</v>
      </c>
      <c r="D16" s="24">
        <v>73071086</v>
      </c>
      <c r="E16" s="25">
        <v>61.5</v>
      </c>
      <c r="F16" s="26">
        <v>520.11</v>
      </c>
      <c r="G16" s="16">
        <f t="shared" si="0"/>
        <v>31986.764999999999</v>
      </c>
      <c r="H16" s="17">
        <v>46076.86</v>
      </c>
      <c r="I16" s="18">
        <f t="shared" si="1"/>
        <v>2833726.89</v>
      </c>
      <c r="J16" s="19" t="s">
        <v>13</v>
      </c>
      <c r="K16" s="20" t="s">
        <v>14</v>
      </c>
    </row>
    <row r="17" spans="1:11" ht="30" x14ac:dyDescent="0.25">
      <c r="A17" s="21">
        <f t="shared" si="2"/>
        <v>13</v>
      </c>
      <c r="B17" s="22">
        <v>46045</v>
      </c>
      <c r="C17" s="23">
        <v>8610245</v>
      </c>
      <c r="D17" s="24">
        <v>73084485</v>
      </c>
      <c r="E17" s="25">
        <v>61.7</v>
      </c>
      <c r="F17" s="26">
        <v>520.11</v>
      </c>
      <c r="G17" s="16">
        <f t="shared" si="0"/>
        <v>32090.787000000004</v>
      </c>
      <c r="H17" s="17">
        <v>46076.86</v>
      </c>
      <c r="I17" s="18">
        <f t="shared" si="1"/>
        <v>2842942.2620000001</v>
      </c>
      <c r="J17" s="19" t="s">
        <v>13</v>
      </c>
      <c r="K17" s="20" t="s">
        <v>14</v>
      </c>
    </row>
    <row r="18" spans="1:11" ht="30" x14ac:dyDescent="0.25">
      <c r="A18" s="21">
        <f t="shared" si="2"/>
        <v>14</v>
      </c>
      <c r="B18" s="22">
        <v>46045</v>
      </c>
      <c r="C18" s="23">
        <v>8610245</v>
      </c>
      <c r="D18" s="24">
        <v>73090466</v>
      </c>
      <c r="E18" s="25">
        <v>61.55</v>
      </c>
      <c r="F18" s="26">
        <v>520.11</v>
      </c>
      <c r="G18" s="16">
        <f t="shared" si="0"/>
        <v>32012.770499999999</v>
      </c>
      <c r="H18" s="17">
        <v>46076.86</v>
      </c>
      <c r="I18" s="18">
        <f t="shared" si="1"/>
        <v>2836030.733</v>
      </c>
      <c r="J18" s="19" t="s">
        <v>13</v>
      </c>
      <c r="K18" s="20" t="s">
        <v>14</v>
      </c>
    </row>
    <row r="19" spans="1:11" ht="30" x14ac:dyDescent="0.25">
      <c r="A19" s="21">
        <f t="shared" si="2"/>
        <v>15</v>
      </c>
      <c r="B19" s="22">
        <v>46045</v>
      </c>
      <c r="C19" s="23">
        <v>8610245</v>
      </c>
      <c r="D19" s="24">
        <v>73115867</v>
      </c>
      <c r="E19" s="25">
        <v>61.75</v>
      </c>
      <c r="F19" s="26">
        <v>520.11</v>
      </c>
      <c r="G19" s="16">
        <f t="shared" si="0"/>
        <v>32116.7925</v>
      </c>
      <c r="H19" s="17">
        <v>46076.86</v>
      </c>
      <c r="I19" s="18">
        <f t="shared" si="1"/>
        <v>2845246.105</v>
      </c>
      <c r="J19" s="19" t="s">
        <v>13</v>
      </c>
      <c r="K19" s="20" t="s">
        <v>14</v>
      </c>
    </row>
    <row r="20" spans="1:11" ht="30" x14ac:dyDescent="0.25">
      <c r="A20" s="21">
        <f t="shared" si="2"/>
        <v>16</v>
      </c>
      <c r="B20" s="22">
        <v>46045</v>
      </c>
      <c r="C20" s="23">
        <v>8610245</v>
      </c>
      <c r="D20" s="24">
        <v>73173700</v>
      </c>
      <c r="E20" s="25">
        <v>61.55</v>
      </c>
      <c r="F20" s="26">
        <v>520.11</v>
      </c>
      <c r="G20" s="16">
        <f t="shared" si="0"/>
        <v>32012.770499999999</v>
      </c>
      <c r="H20" s="17">
        <v>46076.86</v>
      </c>
      <c r="I20" s="18">
        <f t="shared" si="1"/>
        <v>2836030.733</v>
      </c>
      <c r="J20" s="19" t="s">
        <v>13</v>
      </c>
      <c r="K20" s="20" t="s">
        <v>14</v>
      </c>
    </row>
    <row r="21" spans="1:11" ht="30" x14ac:dyDescent="0.25">
      <c r="A21" s="21">
        <f t="shared" si="2"/>
        <v>17</v>
      </c>
      <c r="B21" s="22">
        <v>46045</v>
      </c>
      <c r="C21" s="23">
        <v>8610246</v>
      </c>
      <c r="D21" s="24">
        <v>73183527</v>
      </c>
      <c r="E21" s="25">
        <v>61.55</v>
      </c>
      <c r="F21" s="26">
        <v>520.11</v>
      </c>
      <c r="G21" s="16">
        <f t="shared" si="0"/>
        <v>32012.770499999999</v>
      </c>
      <c r="H21" s="17">
        <v>46076.86</v>
      </c>
      <c r="I21" s="18">
        <f t="shared" si="1"/>
        <v>2836030.733</v>
      </c>
      <c r="J21" s="19" t="s">
        <v>13</v>
      </c>
      <c r="K21" s="20" t="s">
        <v>14</v>
      </c>
    </row>
    <row r="22" spans="1:11" ht="30" x14ac:dyDescent="0.25">
      <c r="A22" s="21">
        <f t="shared" si="2"/>
        <v>18</v>
      </c>
      <c r="B22" s="22">
        <v>46045</v>
      </c>
      <c r="C22" s="23">
        <v>8610246</v>
      </c>
      <c r="D22" s="24">
        <v>73187023</v>
      </c>
      <c r="E22" s="25">
        <v>61.55</v>
      </c>
      <c r="F22" s="26">
        <v>520.11</v>
      </c>
      <c r="G22" s="16">
        <f t="shared" si="0"/>
        <v>32012.770499999999</v>
      </c>
      <c r="H22" s="17">
        <v>46076.86</v>
      </c>
      <c r="I22" s="18">
        <f t="shared" si="1"/>
        <v>2836030.733</v>
      </c>
      <c r="J22" s="19" t="s">
        <v>13</v>
      </c>
      <c r="K22" s="20" t="s">
        <v>14</v>
      </c>
    </row>
    <row r="23" spans="1:11" ht="30" x14ac:dyDescent="0.25">
      <c r="A23" s="21">
        <f t="shared" si="2"/>
        <v>19</v>
      </c>
      <c r="B23" s="22">
        <v>46045</v>
      </c>
      <c r="C23" s="23">
        <v>8610246</v>
      </c>
      <c r="D23" s="24">
        <v>73205858</v>
      </c>
      <c r="E23" s="25">
        <v>61.35</v>
      </c>
      <c r="F23" s="26">
        <v>520.11</v>
      </c>
      <c r="G23" s="16">
        <f t="shared" si="0"/>
        <v>31908.748500000002</v>
      </c>
      <c r="H23" s="17">
        <v>46076.86</v>
      </c>
      <c r="I23" s="18">
        <f t="shared" si="1"/>
        <v>2826815.361</v>
      </c>
      <c r="J23" s="19" t="s">
        <v>13</v>
      </c>
      <c r="K23" s="20" t="s">
        <v>14</v>
      </c>
    </row>
    <row r="24" spans="1:11" ht="30" x14ac:dyDescent="0.25">
      <c r="A24" s="21">
        <f t="shared" si="2"/>
        <v>20</v>
      </c>
      <c r="B24" s="22">
        <v>46045</v>
      </c>
      <c r="C24" s="23">
        <v>8610245</v>
      </c>
      <c r="D24" s="24">
        <v>73220600</v>
      </c>
      <c r="E24" s="25">
        <v>61.5</v>
      </c>
      <c r="F24" s="26">
        <v>520.11</v>
      </c>
      <c r="G24" s="16">
        <f t="shared" si="0"/>
        <v>31986.764999999999</v>
      </c>
      <c r="H24" s="17">
        <v>46076.86</v>
      </c>
      <c r="I24" s="18">
        <f t="shared" si="1"/>
        <v>2833726.89</v>
      </c>
      <c r="J24" s="19" t="s">
        <v>13</v>
      </c>
      <c r="K24" s="20" t="s">
        <v>14</v>
      </c>
    </row>
    <row r="25" spans="1:11" ht="30" x14ac:dyDescent="0.25">
      <c r="A25" s="21">
        <f t="shared" si="2"/>
        <v>21</v>
      </c>
      <c r="B25" s="22">
        <v>46045</v>
      </c>
      <c r="C25" s="23">
        <v>8610245</v>
      </c>
      <c r="D25" s="24">
        <v>73230336</v>
      </c>
      <c r="E25" s="25">
        <v>61.7</v>
      </c>
      <c r="F25" s="26">
        <v>520.11</v>
      </c>
      <c r="G25" s="16">
        <f t="shared" si="0"/>
        <v>32090.787000000004</v>
      </c>
      <c r="H25" s="17">
        <v>46076.86</v>
      </c>
      <c r="I25" s="18">
        <f t="shared" si="1"/>
        <v>2842942.2620000001</v>
      </c>
      <c r="J25" s="19" t="s">
        <v>13</v>
      </c>
      <c r="K25" s="20" t="s">
        <v>14</v>
      </c>
    </row>
    <row r="26" spans="1:11" ht="30" x14ac:dyDescent="0.25">
      <c r="A26" s="21">
        <f t="shared" si="2"/>
        <v>22</v>
      </c>
      <c r="B26" s="22">
        <v>46045</v>
      </c>
      <c r="C26" s="23">
        <v>8610245</v>
      </c>
      <c r="D26" s="24">
        <v>73230377</v>
      </c>
      <c r="E26" s="25">
        <v>61.45</v>
      </c>
      <c r="F26" s="26">
        <v>520.11</v>
      </c>
      <c r="G26" s="16">
        <f t="shared" si="0"/>
        <v>31960.759500000004</v>
      </c>
      <c r="H26" s="17">
        <v>46076.86</v>
      </c>
      <c r="I26" s="18">
        <f t="shared" si="1"/>
        <v>2831423.0470000003</v>
      </c>
      <c r="J26" s="19" t="s">
        <v>13</v>
      </c>
      <c r="K26" s="20" t="s">
        <v>14</v>
      </c>
    </row>
    <row r="27" spans="1:11" ht="30" x14ac:dyDescent="0.25">
      <c r="A27" s="21">
        <f t="shared" si="2"/>
        <v>23</v>
      </c>
      <c r="B27" s="22">
        <v>46045</v>
      </c>
      <c r="C27" s="23">
        <v>8610245</v>
      </c>
      <c r="D27" s="24">
        <v>73230930</v>
      </c>
      <c r="E27" s="25">
        <v>61.5</v>
      </c>
      <c r="F27" s="26">
        <v>520.11</v>
      </c>
      <c r="G27" s="16">
        <f t="shared" si="0"/>
        <v>31986.764999999999</v>
      </c>
      <c r="H27" s="17">
        <v>46076.86</v>
      </c>
      <c r="I27" s="18">
        <f t="shared" si="1"/>
        <v>2833726.89</v>
      </c>
      <c r="J27" s="19" t="s">
        <v>13</v>
      </c>
      <c r="K27" s="20" t="s">
        <v>14</v>
      </c>
    </row>
    <row r="28" spans="1:11" ht="30" x14ac:dyDescent="0.25">
      <c r="A28" s="21">
        <f t="shared" si="2"/>
        <v>24</v>
      </c>
      <c r="B28" s="22">
        <v>46045</v>
      </c>
      <c r="C28" s="23">
        <v>8610246</v>
      </c>
      <c r="D28" s="24">
        <v>73231938</v>
      </c>
      <c r="E28" s="25">
        <v>61.35</v>
      </c>
      <c r="F28" s="26">
        <v>520.11</v>
      </c>
      <c r="G28" s="16">
        <f t="shared" si="0"/>
        <v>31908.748500000002</v>
      </c>
      <c r="H28" s="17">
        <v>46076.86</v>
      </c>
      <c r="I28" s="18">
        <f t="shared" si="1"/>
        <v>2826815.361</v>
      </c>
      <c r="J28" s="19" t="s">
        <v>13</v>
      </c>
      <c r="K28" s="20" t="s">
        <v>14</v>
      </c>
    </row>
    <row r="29" spans="1:11" ht="30" x14ac:dyDescent="0.25">
      <c r="A29" s="21">
        <f t="shared" si="2"/>
        <v>25</v>
      </c>
      <c r="B29" s="22">
        <v>46045</v>
      </c>
      <c r="C29" s="23">
        <v>8610246</v>
      </c>
      <c r="D29" s="24">
        <v>75229518</v>
      </c>
      <c r="E29" s="25">
        <v>61.65</v>
      </c>
      <c r="F29" s="26">
        <v>520.11</v>
      </c>
      <c r="G29" s="16">
        <f t="shared" si="0"/>
        <v>32064.781500000001</v>
      </c>
      <c r="H29" s="17">
        <v>46076.86</v>
      </c>
      <c r="I29" s="18">
        <f t="shared" si="1"/>
        <v>2840638.4189999998</v>
      </c>
      <c r="J29" s="19" t="s">
        <v>13</v>
      </c>
      <c r="K29" s="20" t="s">
        <v>14</v>
      </c>
    </row>
    <row r="30" spans="1:11" ht="30" x14ac:dyDescent="0.25">
      <c r="A30" s="21">
        <f t="shared" si="2"/>
        <v>26</v>
      </c>
      <c r="B30" s="22">
        <v>46045</v>
      </c>
      <c r="C30" s="23">
        <v>8610246</v>
      </c>
      <c r="D30" s="24">
        <v>75256750</v>
      </c>
      <c r="E30" s="25">
        <v>61.6</v>
      </c>
      <c r="F30" s="26">
        <v>520.11</v>
      </c>
      <c r="G30" s="16">
        <f t="shared" si="0"/>
        <v>32038.776000000002</v>
      </c>
      <c r="H30" s="17">
        <v>46076.86</v>
      </c>
      <c r="I30" s="18">
        <f t="shared" si="1"/>
        <v>2838334.5759999999</v>
      </c>
      <c r="J30" s="19" t="s">
        <v>13</v>
      </c>
      <c r="K30" s="20" t="s">
        <v>14</v>
      </c>
    </row>
    <row r="31" spans="1:11" ht="30" x14ac:dyDescent="0.25">
      <c r="A31" s="21">
        <f t="shared" si="2"/>
        <v>27</v>
      </c>
      <c r="B31" s="22">
        <v>46045</v>
      </c>
      <c r="C31" s="23">
        <v>8610246</v>
      </c>
      <c r="D31" s="24">
        <v>76322494</v>
      </c>
      <c r="E31" s="25">
        <v>61.65</v>
      </c>
      <c r="F31" s="26">
        <v>520.11</v>
      </c>
      <c r="G31" s="16">
        <f t="shared" si="0"/>
        <v>32064.781500000001</v>
      </c>
      <c r="H31" s="17">
        <v>46076.86</v>
      </c>
      <c r="I31" s="18">
        <f t="shared" si="1"/>
        <v>2840638.4189999998</v>
      </c>
      <c r="J31" s="19" t="s">
        <v>13</v>
      </c>
      <c r="K31" s="20" t="s">
        <v>14</v>
      </c>
    </row>
    <row r="32" spans="1:11" ht="30" x14ac:dyDescent="0.25">
      <c r="A32" s="21">
        <f t="shared" si="2"/>
        <v>28</v>
      </c>
      <c r="B32" s="22">
        <v>46045</v>
      </c>
      <c r="C32" s="23">
        <v>8610245</v>
      </c>
      <c r="D32" s="24">
        <v>76351998</v>
      </c>
      <c r="E32" s="25">
        <v>61.75</v>
      </c>
      <c r="F32" s="26">
        <v>520.11</v>
      </c>
      <c r="G32" s="16">
        <f t="shared" si="0"/>
        <v>32116.7925</v>
      </c>
      <c r="H32" s="17">
        <v>46076.86</v>
      </c>
      <c r="I32" s="18">
        <f t="shared" si="1"/>
        <v>2845246.105</v>
      </c>
      <c r="J32" s="19" t="s">
        <v>13</v>
      </c>
      <c r="K32" s="20" t="s">
        <v>14</v>
      </c>
    </row>
    <row r="33" spans="1:11" ht="30" x14ac:dyDescent="0.25">
      <c r="A33" s="21">
        <f t="shared" si="2"/>
        <v>29</v>
      </c>
      <c r="B33" s="22">
        <v>46045</v>
      </c>
      <c r="C33" s="23">
        <v>8610245</v>
      </c>
      <c r="D33" s="24">
        <v>76352194</v>
      </c>
      <c r="E33" s="25">
        <v>62.1</v>
      </c>
      <c r="F33" s="26">
        <v>520.11</v>
      </c>
      <c r="G33" s="16">
        <f t="shared" si="0"/>
        <v>32298.831000000002</v>
      </c>
      <c r="H33" s="17">
        <v>46076.86</v>
      </c>
      <c r="I33" s="18">
        <f t="shared" si="1"/>
        <v>2861373.0060000001</v>
      </c>
      <c r="J33" s="19" t="s">
        <v>13</v>
      </c>
      <c r="K33" s="20" t="s">
        <v>14</v>
      </c>
    </row>
    <row r="34" spans="1:11" ht="30.75" thickBot="1" x14ac:dyDescent="0.3">
      <c r="A34" s="21">
        <f t="shared" si="2"/>
        <v>30</v>
      </c>
      <c r="B34" s="27">
        <v>46045</v>
      </c>
      <c r="C34" s="28">
        <v>8610246</v>
      </c>
      <c r="D34" s="29">
        <v>76427996</v>
      </c>
      <c r="E34" s="30">
        <v>61.85</v>
      </c>
      <c r="F34" s="26">
        <v>520.11</v>
      </c>
      <c r="G34" s="16">
        <f t="shared" si="0"/>
        <v>32168.803500000002</v>
      </c>
      <c r="H34" s="17">
        <v>46076.86</v>
      </c>
      <c r="I34" s="18">
        <f t="shared" si="1"/>
        <v>2849853.7910000002</v>
      </c>
      <c r="J34" s="19" t="s">
        <v>13</v>
      </c>
      <c r="K34" s="20" t="s">
        <v>14</v>
      </c>
    </row>
    <row r="35" spans="1:11" ht="15.75" thickBot="1" x14ac:dyDescent="0.3">
      <c r="A35" s="31"/>
      <c r="B35" s="32"/>
      <c r="C35" s="32"/>
      <c r="D35" s="32"/>
      <c r="E35" s="33"/>
      <c r="F35" s="34"/>
      <c r="G35" s="35"/>
      <c r="H35" s="32"/>
      <c r="I35" s="36"/>
      <c r="J35" s="32"/>
      <c r="K35" s="37"/>
    </row>
    <row r="36" spans="1:11" ht="30" x14ac:dyDescent="0.25">
      <c r="A36" s="38">
        <v>31</v>
      </c>
      <c r="B36" s="39">
        <v>46046</v>
      </c>
      <c r="C36" s="12">
        <v>8610247</v>
      </c>
      <c r="D36" s="13">
        <v>58344888</v>
      </c>
      <c r="E36" s="14">
        <v>61.05</v>
      </c>
      <c r="F36" s="26">
        <v>520.11</v>
      </c>
      <c r="G36" s="16">
        <f t="shared" ref="G36:G44" si="3">E36*F36</f>
        <v>31752.715499999998</v>
      </c>
      <c r="H36" s="17">
        <v>46076.86</v>
      </c>
      <c r="I36" s="18">
        <f t="shared" ref="I36:I44" si="4">E36*H36</f>
        <v>2812992.3029999998</v>
      </c>
      <c r="J36" s="19" t="s">
        <v>13</v>
      </c>
      <c r="K36" s="20" t="s">
        <v>14</v>
      </c>
    </row>
    <row r="37" spans="1:11" ht="30" x14ac:dyDescent="0.25">
      <c r="A37" s="40">
        <f>A36+1</f>
        <v>32</v>
      </c>
      <c r="B37" s="22">
        <v>46046</v>
      </c>
      <c r="C37" s="41">
        <v>8610247</v>
      </c>
      <c r="D37" s="24">
        <v>73047516</v>
      </c>
      <c r="E37" s="25">
        <v>61.5</v>
      </c>
      <c r="F37" s="26">
        <v>520.11</v>
      </c>
      <c r="G37" s="16">
        <f t="shared" si="3"/>
        <v>31986.764999999999</v>
      </c>
      <c r="H37" s="17">
        <v>46076.86</v>
      </c>
      <c r="I37" s="18">
        <f t="shared" si="4"/>
        <v>2833726.89</v>
      </c>
      <c r="J37" s="19" t="s">
        <v>13</v>
      </c>
      <c r="K37" s="20" t="s">
        <v>14</v>
      </c>
    </row>
    <row r="38" spans="1:11" ht="30" x14ac:dyDescent="0.25">
      <c r="A38" s="40">
        <f t="shared" ref="A38:A44" si="5">A37+1</f>
        <v>33</v>
      </c>
      <c r="B38" s="22">
        <v>46046</v>
      </c>
      <c r="C38" s="41">
        <v>8610247</v>
      </c>
      <c r="D38" s="24">
        <v>73080210</v>
      </c>
      <c r="E38" s="25">
        <v>61.55</v>
      </c>
      <c r="F38" s="26">
        <v>520.11</v>
      </c>
      <c r="G38" s="16">
        <f t="shared" si="3"/>
        <v>32012.770499999999</v>
      </c>
      <c r="H38" s="17">
        <v>46076.86</v>
      </c>
      <c r="I38" s="18">
        <f t="shared" si="4"/>
        <v>2836030.733</v>
      </c>
      <c r="J38" s="19" t="s">
        <v>13</v>
      </c>
      <c r="K38" s="20" t="s">
        <v>14</v>
      </c>
    </row>
    <row r="39" spans="1:11" ht="30" x14ac:dyDescent="0.25">
      <c r="A39" s="40">
        <f t="shared" si="5"/>
        <v>34</v>
      </c>
      <c r="B39" s="22">
        <v>46046</v>
      </c>
      <c r="C39" s="41">
        <v>8610247</v>
      </c>
      <c r="D39" s="24">
        <v>73084477</v>
      </c>
      <c r="E39" s="25">
        <v>61.65</v>
      </c>
      <c r="F39" s="26">
        <v>520.11</v>
      </c>
      <c r="G39" s="16">
        <f t="shared" si="3"/>
        <v>32064.781500000001</v>
      </c>
      <c r="H39" s="17">
        <v>46076.86</v>
      </c>
      <c r="I39" s="18">
        <f t="shared" si="4"/>
        <v>2840638.4189999998</v>
      </c>
      <c r="J39" s="19" t="s">
        <v>13</v>
      </c>
      <c r="K39" s="20" t="s">
        <v>14</v>
      </c>
    </row>
    <row r="40" spans="1:11" ht="30" x14ac:dyDescent="0.25">
      <c r="A40" s="40">
        <f t="shared" si="5"/>
        <v>35</v>
      </c>
      <c r="B40" s="22">
        <v>46046</v>
      </c>
      <c r="C40" s="41">
        <v>8610247</v>
      </c>
      <c r="D40" s="24">
        <v>73086019</v>
      </c>
      <c r="E40" s="25">
        <v>61.7</v>
      </c>
      <c r="F40" s="26">
        <v>520.11</v>
      </c>
      <c r="G40" s="16">
        <f t="shared" si="3"/>
        <v>32090.787000000004</v>
      </c>
      <c r="H40" s="17">
        <v>46076.86</v>
      </c>
      <c r="I40" s="18">
        <f t="shared" si="4"/>
        <v>2842942.2620000001</v>
      </c>
      <c r="J40" s="19" t="s">
        <v>13</v>
      </c>
      <c r="K40" s="20" t="s">
        <v>14</v>
      </c>
    </row>
    <row r="41" spans="1:11" ht="30" x14ac:dyDescent="0.25">
      <c r="A41" s="40">
        <f t="shared" si="5"/>
        <v>36</v>
      </c>
      <c r="B41" s="22">
        <v>46046</v>
      </c>
      <c r="C41" s="41">
        <v>8610247</v>
      </c>
      <c r="D41" s="24">
        <v>73156507</v>
      </c>
      <c r="E41" s="25">
        <v>61.75</v>
      </c>
      <c r="F41" s="26">
        <v>520.11</v>
      </c>
      <c r="G41" s="16">
        <f t="shared" si="3"/>
        <v>32116.7925</v>
      </c>
      <c r="H41" s="17">
        <v>46076.86</v>
      </c>
      <c r="I41" s="18">
        <f t="shared" si="4"/>
        <v>2845246.105</v>
      </c>
      <c r="J41" s="19" t="s">
        <v>13</v>
      </c>
      <c r="K41" s="20" t="s">
        <v>14</v>
      </c>
    </row>
    <row r="42" spans="1:11" ht="30" x14ac:dyDescent="0.25">
      <c r="A42" s="40">
        <f t="shared" si="5"/>
        <v>37</v>
      </c>
      <c r="B42" s="22">
        <v>46046</v>
      </c>
      <c r="C42" s="41">
        <v>8610247</v>
      </c>
      <c r="D42" s="24">
        <v>73163081</v>
      </c>
      <c r="E42" s="25">
        <v>61.5</v>
      </c>
      <c r="F42" s="26">
        <v>520.11</v>
      </c>
      <c r="G42" s="16">
        <f t="shared" si="3"/>
        <v>31986.764999999999</v>
      </c>
      <c r="H42" s="17">
        <v>46076.86</v>
      </c>
      <c r="I42" s="18">
        <f t="shared" si="4"/>
        <v>2833726.89</v>
      </c>
      <c r="J42" s="19" t="s">
        <v>13</v>
      </c>
      <c r="K42" s="20" t="s">
        <v>14</v>
      </c>
    </row>
    <row r="43" spans="1:11" ht="30" x14ac:dyDescent="0.25">
      <c r="A43" s="40">
        <f t="shared" si="5"/>
        <v>38</v>
      </c>
      <c r="B43" s="22">
        <v>46046</v>
      </c>
      <c r="C43" s="41">
        <v>8610247</v>
      </c>
      <c r="D43" s="24">
        <v>73224172</v>
      </c>
      <c r="E43" s="25">
        <v>61.6</v>
      </c>
      <c r="F43" s="26">
        <v>520.11</v>
      </c>
      <c r="G43" s="16">
        <f t="shared" si="3"/>
        <v>32038.776000000002</v>
      </c>
      <c r="H43" s="17">
        <v>46076.86</v>
      </c>
      <c r="I43" s="18">
        <f t="shared" si="4"/>
        <v>2838334.5759999999</v>
      </c>
      <c r="J43" s="19" t="s">
        <v>13</v>
      </c>
      <c r="K43" s="20" t="s">
        <v>14</v>
      </c>
    </row>
    <row r="44" spans="1:11" ht="30.75" thickBot="1" x14ac:dyDescent="0.3">
      <c r="A44" s="42">
        <f t="shared" si="5"/>
        <v>39</v>
      </c>
      <c r="B44" s="39">
        <v>46046</v>
      </c>
      <c r="C44" s="28">
        <v>8610247</v>
      </c>
      <c r="D44" s="29">
        <v>73235731</v>
      </c>
      <c r="E44" s="30">
        <v>61.55</v>
      </c>
      <c r="F44" s="26">
        <v>520.11</v>
      </c>
      <c r="G44" s="43">
        <f t="shared" si="3"/>
        <v>32012.770499999999</v>
      </c>
      <c r="H44" s="17">
        <v>46076.86</v>
      </c>
      <c r="I44" s="18">
        <f t="shared" si="4"/>
        <v>2836030.733</v>
      </c>
      <c r="J44" s="19" t="s">
        <v>13</v>
      </c>
      <c r="K44" s="20" t="s">
        <v>14</v>
      </c>
    </row>
    <row r="45" spans="1:11" ht="15.75" thickBot="1" x14ac:dyDescent="0.3">
      <c r="A45" s="31"/>
      <c r="B45" s="32"/>
      <c r="C45" s="32"/>
      <c r="D45" s="32"/>
      <c r="E45" s="44"/>
      <c r="F45" s="34"/>
      <c r="G45" s="35"/>
      <c r="H45" s="32"/>
      <c r="I45" s="36"/>
      <c r="J45" s="32"/>
      <c r="K45" s="37"/>
    </row>
    <row r="46" spans="1:11" ht="30" x14ac:dyDescent="0.25">
      <c r="A46" s="38">
        <v>40</v>
      </c>
      <c r="B46" s="11">
        <v>46046</v>
      </c>
      <c r="C46" s="12">
        <v>8610312</v>
      </c>
      <c r="D46" s="13">
        <v>54256235</v>
      </c>
      <c r="E46" s="14">
        <v>60.9</v>
      </c>
      <c r="F46" s="26">
        <v>520.11</v>
      </c>
      <c r="G46" s="16">
        <f t="shared" ref="G46:G51" si="6">E46*F46</f>
        <v>31674.699000000001</v>
      </c>
      <c r="H46" s="17">
        <v>46076.86</v>
      </c>
      <c r="I46" s="18">
        <f t="shared" ref="I46:I51" si="7">E46*H46</f>
        <v>2806080.7739999997</v>
      </c>
      <c r="J46" s="19" t="s">
        <v>13</v>
      </c>
      <c r="K46" s="20" t="s">
        <v>14</v>
      </c>
    </row>
    <row r="47" spans="1:11" ht="30" x14ac:dyDescent="0.25">
      <c r="A47" s="45">
        <f>A46+1</f>
        <v>41</v>
      </c>
      <c r="B47" s="22">
        <v>46046</v>
      </c>
      <c r="C47" s="23">
        <v>8610312</v>
      </c>
      <c r="D47" s="24">
        <v>73087058</v>
      </c>
      <c r="E47" s="25">
        <v>61.4</v>
      </c>
      <c r="F47" s="26">
        <v>520.11</v>
      </c>
      <c r="G47" s="16">
        <f t="shared" si="6"/>
        <v>31934.754000000001</v>
      </c>
      <c r="H47" s="17">
        <v>46076.86</v>
      </c>
      <c r="I47" s="18">
        <f t="shared" si="7"/>
        <v>2829119.2039999999</v>
      </c>
      <c r="J47" s="19" t="s">
        <v>13</v>
      </c>
      <c r="K47" s="20" t="s">
        <v>14</v>
      </c>
    </row>
    <row r="48" spans="1:11" ht="30" x14ac:dyDescent="0.25">
      <c r="A48" s="45">
        <f t="shared" ref="A48:A51" si="8">A47+1</f>
        <v>42</v>
      </c>
      <c r="B48" s="22">
        <v>46046</v>
      </c>
      <c r="C48" s="23">
        <v>8610312</v>
      </c>
      <c r="D48" s="24">
        <v>73090839</v>
      </c>
      <c r="E48" s="25">
        <v>61.4</v>
      </c>
      <c r="F48" s="26">
        <v>520.11</v>
      </c>
      <c r="G48" s="16">
        <f t="shared" si="6"/>
        <v>31934.754000000001</v>
      </c>
      <c r="H48" s="17">
        <v>46076.86</v>
      </c>
      <c r="I48" s="18">
        <f t="shared" si="7"/>
        <v>2829119.2039999999</v>
      </c>
      <c r="J48" s="19" t="s">
        <v>13</v>
      </c>
      <c r="K48" s="20" t="s">
        <v>14</v>
      </c>
    </row>
    <row r="49" spans="1:11" ht="30" x14ac:dyDescent="0.25">
      <c r="A49" s="45">
        <f t="shared" si="8"/>
        <v>43</v>
      </c>
      <c r="B49" s="22">
        <v>46046</v>
      </c>
      <c r="C49" s="23">
        <v>8610312</v>
      </c>
      <c r="D49" s="24">
        <v>73228025</v>
      </c>
      <c r="E49" s="25">
        <v>61.55</v>
      </c>
      <c r="F49" s="26">
        <v>520.11</v>
      </c>
      <c r="G49" s="16">
        <f t="shared" si="6"/>
        <v>32012.770499999999</v>
      </c>
      <c r="H49" s="17">
        <v>46076.86</v>
      </c>
      <c r="I49" s="18">
        <f t="shared" si="7"/>
        <v>2836030.733</v>
      </c>
      <c r="J49" s="19" t="s">
        <v>13</v>
      </c>
      <c r="K49" s="20" t="s">
        <v>14</v>
      </c>
    </row>
    <row r="50" spans="1:11" ht="30" x14ac:dyDescent="0.25">
      <c r="A50" s="45">
        <f t="shared" si="8"/>
        <v>44</v>
      </c>
      <c r="B50" s="22">
        <v>46046</v>
      </c>
      <c r="C50" s="23">
        <v>8610312</v>
      </c>
      <c r="D50" s="24">
        <v>73228702</v>
      </c>
      <c r="E50" s="25">
        <v>61.45</v>
      </c>
      <c r="F50" s="26">
        <v>520.11</v>
      </c>
      <c r="G50" s="16">
        <f t="shared" si="6"/>
        <v>31960.759500000004</v>
      </c>
      <c r="H50" s="17">
        <v>46076.86</v>
      </c>
      <c r="I50" s="18">
        <f t="shared" si="7"/>
        <v>2831423.0470000003</v>
      </c>
      <c r="J50" s="19" t="s">
        <v>13</v>
      </c>
      <c r="K50" s="20" t="s">
        <v>14</v>
      </c>
    </row>
    <row r="51" spans="1:11" ht="30.75" thickBot="1" x14ac:dyDescent="0.3">
      <c r="A51" s="42">
        <f t="shared" si="8"/>
        <v>45</v>
      </c>
      <c r="B51" s="27">
        <v>46046</v>
      </c>
      <c r="C51" s="28">
        <v>8610312</v>
      </c>
      <c r="D51" s="29">
        <v>76163096</v>
      </c>
      <c r="E51" s="30">
        <v>61.65</v>
      </c>
      <c r="F51" s="26">
        <v>520.11</v>
      </c>
      <c r="G51" s="43">
        <f t="shared" si="6"/>
        <v>32064.781500000001</v>
      </c>
      <c r="H51" s="46">
        <v>46076.86</v>
      </c>
      <c r="I51" s="47">
        <f t="shared" si="7"/>
        <v>2840638.4189999998</v>
      </c>
      <c r="J51" s="19" t="s">
        <v>13</v>
      </c>
      <c r="K51" s="20" t="s">
        <v>14</v>
      </c>
    </row>
    <row r="52" spans="1:11" ht="15.75" thickBot="1" x14ac:dyDescent="0.3">
      <c r="A52" s="31"/>
      <c r="B52" s="32"/>
      <c r="C52" s="32"/>
      <c r="D52" s="32"/>
      <c r="E52" s="44"/>
      <c r="F52" s="34"/>
      <c r="G52" s="35"/>
      <c r="H52" s="32"/>
      <c r="I52" s="36"/>
      <c r="J52" s="32"/>
      <c r="K52" s="37"/>
    </row>
    <row r="53" spans="1:11" ht="30" x14ac:dyDescent="0.25">
      <c r="A53" s="38">
        <v>46</v>
      </c>
      <c r="B53" s="11">
        <v>46047</v>
      </c>
      <c r="C53" s="12">
        <v>8610366</v>
      </c>
      <c r="D53" s="13">
        <v>73109258</v>
      </c>
      <c r="E53" s="14">
        <v>61.05</v>
      </c>
      <c r="F53" s="26">
        <v>520.11</v>
      </c>
      <c r="G53" s="16">
        <f t="shared" ref="G53:G55" si="9">E53*F53</f>
        <v>31752.715499999998</v>
      </c>
      <c r="H53" s="17">
        <v>46076.86</v>
      </c>
      <c r="I53" s="18">
        <f t="shared" ref="I53:I55" si="10">E53*H53</f>
        <v>2812992.3029999998</v>
      </c>
      <c r="J53" s="19" t="s">
        <v>13</v>
      </c>
      <c r="K53" s="20" t="s">
        <v>14</v>
      </c>
    </row>
    <row r="54" spans="1:11" ht="30" x14ac:dyDescent="0.25">
      <c r="A54" s="45">
        <f>A53+1</f>
        <v>47</v>
      </c>
      <c r="B54" s="22">
        <v>46047</v>
      </c>
      <c r="C54" s="23">
        <v>8610368</v>
      </c>
      <c r="D54" s="24">
        <v>75004267</v>
      </c>
      <c r="E54" s="25">
        <v>61.55</v>
      </c>
      <c r="F54" s="26">
        <v>520.11</v>
      </c>
      <c r="G54" s="16">
        <f t="shared" si="9"/>
        <v>32012.770499999999</v>
      </c>
      <c r="H54" s="17">
        <v>46076.86</v>
      </c>
      <c r="I54" s="18">
        <f t="shared" si="10"/>
        <v>2836030.733</v>
      </c>
      <c r="J54" s="19" t="s">
        <v>13</v>
      </c>
      <c r="K54" s="20" t="s">
        <v>14</v>
      </c>
    </row>
    <row r="55" spans="1:11" ht="30.75" thickBot="1" x14ac:dyDescent="0.3">
      <c r="A55" s="42">
        <f>A54+1</f>
        <v>48</v>
      </c>
      <c r="B55" s="27">
        <v>46047</v>
      </c>
      <c r="C55" s="28">
        <v>8610367</v>
      </c>
      <c r="D55" s="29">
        <v>75788695</v>
      </c>
      <c r="E55" s="30">
        <v>61.1</v>
      </c>
      <c r="F55" s="26">
        <v>520.11</v>
      </c>
      <c r="G55" s="43">
        <f t="shared" si="9"/>
        <v>31778.721000000001</v>
      </c>
      <c r="H55" s="46">
        <v>46076.86</v>
      </c>
      <c r="I55" s="47">
        <f t="shared" si="10"/>
        <v>2815296.1460000002</v>
      </c>
      <c r="J55" s="19" t="s">
        <v>13</v>
      </c>
      <c r="K55" s="20" t="s">
        <v>14</v>
      </c>
    </row>
    <row r="56" spans="1:11" ht="15.75" thickBot="1" x14ac:dyDescent="0.3">
      <c r="A56" s="31"/>
      <c r="B56" s="32"/>
      <c r="C56" s="32"/>
      <c r="D56" s="32"/>
      <c r="E56" s="44"/>
      <c r="F56" s="34"/>
      <c r="G56" s="35"/>
      <c r="H56" s="32"/>
      <c r="I56" s="36"/>
      <c r="J56" s="32"/>
      <c r="K56" s="37"/>
    </row>
    <row r="57" spans="1:11" ht="30" x14ac:dyDescent="0.25">
      <c r="A57" s="38">
        <v>49</v>
      </c>
      <c r="B57" s="11">
        <v>46048</v>
      </c>
      <c r="C57" s="12">
        <v>8610402</v>
      </c>
      <c r="D57" s="13">
        <v>73010704</v>
      </c>
      <c r="E57" s="14">
        <v>61.4</v>
      </c>
      <c r="F57" s="26">
        <v>520.11</v>
      </c>
      <c r="G57" s="16">
        <f t="shared" ref="G57:G61" si="11">E57*F57</f>
        <v>31934.754000000001</v>
      </c>
      <c r="H57" s="17">
        <v>46076.86</v>
      </c>
      <c r="I57" s="18">
        <f t="shared" ref="I57:I61" si="12">E57*H57</f>
        <v>2829119.2039999999</v>
      </c>
      <c r="J57" s="19" t="s">
        <v>13</v>
      </c>
      <c r="K57" s="20" t="s">
        <v>14</v>
      </c>
    </row>
    <row r="58" spans="1:11" ht="30" x14ac:dyDescent="0.25">
      <c r="A58" s="45">
        <f>A57+1</f>
        <v>50</v>
      </c>
      <c r="B58" s="22">
        <v>46048</v>
      </c>
      <c r="C58" s="23">
        <v>8610402</v>
      </c>
      <c r="D58" s="24">
        <v>73098402</v>
      </c>
      <c r="E58" s="25">
        <v>61.45</v>
      </c>
      <c r="F58" s="26">
        <v>520.11</v>
      </c>
      <c r="G58" s="16">
        <f t="shared" si="11"/>
        <v>31960.759500000004</v>
      </c>
      <c r="H58" s="17">
        <v>46076.86</v>
      </c>
      <c r="I58" s="18">
        <f t="shared" si="12"/>
        <v>2831423.0470000003</v>
      </c>
      <c r="J58" s="19" t="s">
        <v>13</v>
      </c>
      <c r="K58" s="20" t="s">
        <v>14</v>
      </c>
    </row>
    <row r="59" spans="1:11" ht="30" x14ac:dyDescent="0.25">
      <c r="A59" s="45">
        <f t="shared" ref="A59:A61" si="13">A58+1</f>
        <v>51</v>
      </c>
      <c r="B59" s="22">
        <v>46048</v>
      </c>
      <c r="C59" s="23">
        <v>8610402</v>
      </c>
      <c r="D59" s="24">
        <v>73157604</v>
      </c>
      <c r="E59" s="25">
        <v>61.4</v>
      </c>
      <c r="F59" s="26">
        <v>520.11</v>
      </c>
      <c r="G59" s="16">
        <f t="shared" si="11"/>
        <v>31934.754000000001</v>
      </c>
      <c r="H59" s="17">
        <v>46076.86</v>
      </c>
      <c r="I59" s="18">
        <f t="shared" si="12"/>
        <v>2829119.2039999999</v>
      </c>
      <c r="J59" s="19" t="s">
        <v>13</v>
      </c>
      <c r="K59" s="20" t="s">
        <v>14</v>
      </c>
    </row>
    <row r="60" spans="1:11" ht="30" x14ac:dyDescent="0.25">
      <c r="A60" s="45">
        <f t="shared" si="13"/>
        <v>52</v>
      </c>
      <c r="B60" s="22">
        <v>46048</v>
      </c>
      <c r="C60" s="23">
        <v>8610402</v>
      </c>
      <c r="D60" s="24">
        <v>73228207</v>
      </c>
      <c r="E60" s="25">
        <v>61.4</v>
      </c>
      <c r="F60" s="26">
        <v>520.11</v>
      </c>
      <c r="G60" s="16">
        <f t="shared" si="11"/>
        <v>31934.754000000001</v>
      </c>
      <c r="H60" s="17">
        <v>46076.86</v>
      </c>
      <c r="I60" s="18">
        <f t="shared" si="12"/>
        <v>2829119.2039999999</v>
      </c>
      <c r="J60" s="19" t="s">
        <v>13</v>
      </c>
      <c r="K60" s="20" t="s">
        <v>14</v>
      </c>
    </row>
    <row r="61" spans="1:11" ht="30.75" thickBot="1" x14ac:dyDescent="0.3">
      <c r="A61" s="42">
        <f t="shared" si="13"/>
        <v>53</v>
      </c>
      <c r="B61" s="27">
        <v>46048</v>
      </c>
      <c r="C61" s="28">
        <v>8610402</v>
      </c>
      <c r="D61" s="29">
        <v>73228454</v>
      </c>
      <c r="E61" s="30">
        <v>61.35</v>
      </c>
      <c r="F61" s="26">
        <v>520.11</v>
      </c>
      <c r="G61" s="43">
        <f t="shared" si="11"/>
        <v>31908.748500000002</v>
      </c>
      <c r="H61" s="46">
        <v>46076.86</v>
      </c>
      <c r="I61" s="47">
        <f t="shared" si="12"/>
        <v>2826815.361</v>
      </c>
      <c r="J61" s="19" t="s">
        <v>13</v>
      </c>
      <c r="K61" s="20" t="s">
        <v>14</v>
      </c>
    </row>
    <row r="62" spans="1:11" ht="15.75" thickBot="1" x14ac:dyDescent="0.3">
      <c r="A62" s="31"/>
      <c r="B62" s="32"/>
      <c r="C62" s="32"/>
      <c r="D62" s="32"/>
      <c r="E62" s="44"/>
      <c r="F62" s="34"/>
      <c r="G62" s="35"/>
      <c r="H62" s="32"/>
      <c r="I62" s="36"/>
      <c r="J62" s="32"/>
      <c r="K62" s="37"/>
    </row>
    <row r="63" spans="1:11" ht="30.75" thickBot="1" x14ac:dyDescent="0.3">
      <c r="A63" s="48">
        <v>54</v>
      </c>
      <c r="B63" s="49">
        <v>46050</v>
      </c>
      <c r="C63" s="23">
        <v>8610487</v>
      </c>
      <c r="D63" s="24">
        <v>73227845</v>
      </c>
      <c r="E63" s="25">
        <v>60.65</v>
      </c>
      <c r="F63" s="26">
        <v>520.11</v>
      </c>
      <c r="G63" s="16">
        <f t="shared" ref="G63" si="14">E63*F63</f>
        <v>31544.6715</v>
      </c>
      <c r="H63" s="17">
        <v>46076.86</v>
      </c>
      <c r="I63" s="18">
        <f t="shared" ref="I63" si="15">E63*H63</f>
        <v>2794561.5589999999</v>
      </c>
      <c r="J63" s="19" t="s">
        <v>13</v>
      </c>
      <c r="K63" s="20" t="s">
        <v>14</v>
      </c>
    </row>
    <row r="64" spans="1:11" ht="15.75" thickBot="1" x14ac:dyDescent="0.3">
      <c r="A64" s="31"/>
      <c r="B64" s="32"/>
      <c r="C64" s="32"/>
      <c r="D64" s="32"/>
      <c r="E64" s="44"/>
      <c r="F64" s="34"/>
      <c r="G64" s="35"/>
      <c r="H64" s="32"/>
      <c r="I64" s="36"/>
      <c r="J64" s="32"/>
      <c r="K64" s="37"/>
    </row>
    <row r="65" spans="1:11" ht="30" x14ac:dyDescent="0.25">
      <c r="A65" s="38">
        <v>55</v>
      </c>
      <c r="B65" s="11">
        <v>46052</v>
      </c>
      <c r="C65" s="12">
        <v>8610564</v>
      </c>
      <c r="D65" s="13">
        <v>50409713</v>
      </c>
      <c r="E65" s="14">
        <v>61.35</v>
      </c>
      <c r="F65" s="26">
        <v>520.11</v>
      </c>
      <c r="G65" s="16">
        <f t="shared" ref="G65:G78" si="16">E65*F65</f>
        <v>31908.748500000002</v>
      </c>
      <c r="H65" s="17">
        <v>46076.86</v>
      </c>
      <c r="I65" s="18">
        <f t="shared" ref="I65:I78" si="17">E65*H65</f>
        <v>2826815.361</v>
      </c>
      <c r="J65" s="50" t="s">
        <v>13</v>
      </c>
      <c r="K65" s="51" t="s">
        <v>14</v>
      </c>
    </row>
    <row r="66" spans="1:11" ht="30" x14ac:dyDescent="0.25">
      <c r="A66" s="45">
        <f>A65+1</f>
        <v>56</v>
      </c>
      <c r="B66" s="22">
        <v>46052</v>
      </c>
      <c r="C66" s="23">
        <v>8610565</v>
      </c>
      <c r="D66" s="24">
        <v>50774330</v>
      </c>
      <c r="E66" s="25">
        <v>52.95</v>
      </c>
      <c r="F66" s="26">
        <v>520.11</v>
      </c>
      <c r="G66" s="16">
        <f t="shared" si="16"/>
        <v>27539.824500000002</v>
      </c>
      <c r="H66" s="17">
        <v>46076.86</v>
      </c>
      <c r="I66" s="18">
        <f t="shared" si="17"/>
        <v>2439769.7370000002</v>
      </c>
      <c r="J66" s="19" t="s">
        <v>13</v>
      </c>
      <c r="K66" s="52" t="s">
        <v>14</v>
      </c>
    </row>
    <row r="67" spans="1:11" ht="30" x14ac:dyDescent="0.25">
      <c r="A67" s="45">
        <f t="shared" ref="A67:A78" si="18">A66+1</f>
        <v>57</v>
      </c>
      <c r="B67" s="22">
        <v>46052</v>
      </c>
      <c r="C67" s="23">
        <v>8610565</v>
      </c>
      <c r="D67" s="24">
        <v>53901732</v>
      </c>
      <c r="E67" s="25">
        <v>51.95</v>
      </c>
      <c r="F67" s="26">
        <v>520.11</v>
      </c>
      <c r="G67" s="16">
        <f t="shared" si="16"/>
        <v>27019.714500000002</v>
      </c>
      <c r="H67" s="17">
        <v>46076.86</v>
      </c>
      <c r="I67" s="18">
        <f t="shared" si="17"/>
        <v>2393692.8770000003</v>
      </c>
      <c r="J67" s="19" t="s">
        <v>13</v>
      </c>
      <c r="K67" s="52" t="s">
        <v>14</v>
      </c>
    </row>
    <row r="68" spans="1:11" ht="30" x14ac:dyDescent="0.25">
      <c r="A68" s="45">
        <f t="shared" si="18"/>
        <v>58</v>
      </c>
      <c r="B68" s="22">
        <v>46052</v>
      </c>
      <c r="C68" s="23">
        <v>8610565</v>
      </c>
      <c r="D68" s="24">
        <v>54244066</v>
      </c>
      <c r="E68" s="25">
        <v>61.7</v>
      </c>
      <c r="F68" s="26">
        <v>520.11</v>
      </c>
      <c r="G68" s="16">
        <f t="shared" si="16"/>
        <v>32090.787000000004</v>
      </c>
      <c r="H68" s="17">
        <v>46076.86</v>
      </c>
      <c r="I68" s="18">
        <f t="shared" si="17"/>
        <v>2842942.2620000001</v>
      </c>
      <c r="J68" s="19" t="s">
        <v>13</v>
      </c>
      <c r="K68" s="52" t="s">
        <v>14</v>
      </c>
    </row>
    <row r="69" spans="1:11" ht="30" x14ac:dyDescent="0.25">
      <c r="A69" s="45">
        <f t="shared" si="18"/>
        <v>59</v>
      </c>
      <c r="B69" s="22">
        <v>46052</v>
      </c>
      <c r="C69" s="23">
        <v>8610565</v>
      </c>
      <c r="D69" s="24">
        <v>54259098</v>
      </c>
      <c r="E69" s="25">
        <v>61.55</v>
      </c>
      <c r="F69" s="26">
        <v>520.11</v>
      </c>
      <c r="G69" s="16">
        <f t="shared" si="16"/>
        <v>32012.770499999999</v>
      </c>
      <c r="H69" s="17">
        <v>46076.86</v>
      </c>
      <c r="I69" s="18">
        <f t="shared" si="17"/>
        <v>2836030.733</v>
      </c>
      <c r="J69" s="19" t="s">
        <v>13</v>
      </c>
      <c r="K69" s="52" t="s">
        <v>14</v>
      </c>
    </row>
    <row r="70" spans="1:11" ht="30" x14ac:dyDescent="0.25">
      <c r="A70" s="45">
        <f t="shared" si="18"/>
        <v>60</v>
      </c>
      <c r="B70" s="22">
        <v>46052</v>
      </c>
      <c r="C70" s="23">
        <v>8610564</v>
      </c>
      <c r="D70" s="24">
        <v>73087017</v>
      </c>
      <c r="E70" s="25">
        <v>61.8</v>
      </c>
      <c r="F70" s="26">
        <v>520.11</v>
      </c>
      <c r="G70" s="16">
        <f t="shared" si="16"/>
        <v>32142.797999999999</v>
      </c>
      <c r="H70" s="17">
        <v>46076.86</v>
      </c>
      <c r="I70" s="18">
        <f t="shared" si="17"/>
        <v>2847549.9479999999</v>
      </c>
      <c r="J70" s="19" t="s">
        <v>13</v>
      </c>
      <c r="K70" s="52" t="s">
        <v>14</v>
      </c>
    </row>
    <row r="71" spans="1:11" ht="30" x14ac:dyDescent="0.25">
      <c r="A71" s="45">
        <f t="shared" si="18"/>
        <v>61</v>
      </c>
      <c r="B71" s="22">
        <v>46052</v>
      </c>
      <c r="C71" s="23">
        <v>8610564</v>
      </c>
      <c r="D71" s="24">
        <v>73206641</v>
      </c>
      <c r="E71" s="25">
        <v>61.8</v>
      </c>
      <c r="F71" s="26">
        <v>520.11</v>
      </c>
      <c r="G71" s="16">
        <f t="shared" si="16"/>
        <v>32142.797999999999</v>
      </c>
      <c r="H71" s="17">
        <v>46076.86</v>
      </c>
      <c r="I71" s="18">
        <f t="shared" si="17"/>
        <v>2847549.9479999999</v>
      </c>
      <c r="J71" s="19" t="s">
        <v>13</v>
      </c>
      <c r="K71" s="52" t="s">
        <v>14</v>
      </c>
    </row>
    <row r="72" spans="1:11" ht="30" x14ac:dyDescent="0.25">
      <c r="A72" s="45">
        <f t="shared" si="18"/>
        <v>62</v>
      </c>
      <c r="B72" s="22">
        <v>46052</v>
      </c>
      <c r="C72" s="23">
        <v>8610564</v>
      </c>
      <c r="D72" s="24">
        <v>73216830</v>
      </c>
      <c r="E72" s="25">
        <v>61.8</v>
      </c>
      <c r="F72" s="26">
        <v>520.11</v>
      </c>
      <c r="G72" s="16">
        <f t="shared" si="16"/>
        <v>32142.797999999999</v>
      </c>
      <c r="H72" s="17">
        <v>46076.86</v>
      </c>
      <c r="I72" s="18">
        <f t="shared" si="17"/>
        <v>2847549.9479999999</v>
      </c>
      <c r="J72" s="19" t="s">
        <v>13</v>
      </c>
      <c r="K72" s="52" t="s">
        <v>14</v>
      </c>
    </row>
    <row r="73" spans="1:11" ht="30" x14ac:dyDescent="0.25">
      <c r="A73" s="45">
        <f t="shared" si="18"/>
        <v>63</v>
      </c>
      <c r="B73" s="22">
        <v>46052</v>
      </c>
      <c r="C73" s="23">
        <v>8610564</v>
      </c>
      <c r="D73" s="24">
        <v>73219008</v>
      </c>
      <c r="E73" s="25">
        <v>61.8</v>
      </c>
      <c r="F73" s="26">
        <v>520.11</v>
      </c>
      <c r="G73" s="16">
        <f t="shared" si="16"/>
        <v>32142.797999999999</v>
      </c>
      <c r="H73" s="17">
        <v>46076.86</v>
      </c>
      <c r="I73" s="18">
        <f t="shared" si="17"/>
        <v>2847549.9479999999</v>
      </c>
      <c r="J73" s="19" t="s">
        <v>13</v>
      </c>
      <c r="K73" s="52" t="s">
        <v>14</v>
      </c>
    </row>
    <row r="74" spans="1:11" ht="30" x14ac:dyDescent="0.25">
      <c r="A74" s="45">
        <f t="shared" si="18"/>
        <v>64</v>
      </c>
      <c r="B74" s="22">
        <v>46052</v>
      </c>
      <c r="C74" s="23">
        <v>8610564</v>
      </c>
      <c r="D74" s="24">
        <v>73225187</v>
      </c>
      <c r="E74" s="25">
        <v>61.8</v>
      </c>
      <c r="F74" s="26">
        <v>520.11</v>
      </c>
      <c r="G74" s="16">
        <f t="shared" si="16"/>
        <v>32142.797999999999</v>
      </c>
      <c r="H74" s="17">
        <v>46076.86</v>
      </c>
      <c r="I74" s="18">
        <f t="shared" si="17"/>
        <v>2847549.9479999999</v>
      </c>
      <c r="J74" s="19" t="s">
        <v>13</v>
      </c>
      <c r="K74" s="52" t="s">
        <v>14</v>
      </c>
    </row>
    <row r="75" spans="1:11" ht="30" x14ac:dyDescent="0.25">
      <c r="A75" s="45">
        <f t="shared" si="18"/>
        <v>65</v>
      </c>
      <c r="B75" s="22">
        <v>46052</v>
      </c>
      <c r="C75" s="23">
        <v>8610565</v>
      </c>
      <c r="D75" s="24">
        <v>75046714</v>
      </c>
      <c r="E75" s="25">
        <v>61.3</v>
      </c>
      <c r="F75" s="26">
        <v>520.11</v>
      </c>
      <c r="G75" s="16">
        <f t="shared" si="16"/>
        <v>31882.742999999999</v>
      </c>
      <c r="H75" s="17">
        <v>46076.86</v>
      </c>
      <c r="I75" s="18">
        <f t="shared" si="17"/>
        <v>2824511.5179999997</v>
      </c>
      <c r="J75" s="19" t="s">
        <v>13</v>
      </c>
      <c r="K75" s="52" t="s">
        <v>14</v>
      </c>
    </row>
    <row r="76" spans="1:11" ht="30" x14ac:dyDescent="0.25">
      <c r="A76" s="45">
        <f t="shared" si="18"/>
        <v>66</v>
      </c>
      <c r="B76" s="22">
        <v>46052</v>
      </c>
      <c r="C76" s="23">
        <v>8610564</v>
      </c>
      <c r="D76" s="24">
        <v>75211615</v>
      </c>
      <c r="E76" s="25">
        <v>62.25</v>
      </c>
      <c r="F76" s="26">
        <v>520.11</v>
      </c>
      <c r="G76" s="16">
        <f t="shared" si="16"/>
        <v>32376.8475</v>
      </c>
      <c r="H76" s="17">
        <v>46076.86</v>
      </c>
      <c r="I76" s="18">
        <f t="shared" si="17"/>
        <v>2868284.5350000001</v>
      </c>
      <c r="J76" s="19" t="s">
        <v>13</v>
      </c>
      <c r="K76" s="52" t="s">
        <v>14</v>
      </c>
    </row>
    <row r="77" spans="1:11" ht="30" x14ac:dyDescent="0.25">
      <c r="A77" s="45">
        <f t="shared" si="18"/>
        <v>67</v>
      </c>
      <c r="B77" s="22">
        <v>46052</v>
      </c>
      <c r="C77" s="23">
        <v>8610564</v>
      </c>
      <c r="D77" s="24">
        <v>75282400</v>
      </c>
      <c r="E77" s="25">
        <v>62.05</v>
      </c>
      <c r="F77" s="26">
        <v>520.11</v>
      </c>
      <c r="G77" s="16">
        <f t="shared" si="16"/>
        <v>32272.825499999999</v>
      </c>
      <c r="H77" s="17">
        <v>46076.86</v>
      </c>
      <c r="I77" s="18">
        <f t="shared" si="17"/>
        <v>2859069.1629999997</v>
      </c>
      <c r="J77" s="19" t="s">
        <v>13</v>
      </c>
      <c r="K77" s="52" t="s">
        <v>14</v>
      </c>
    </row>
    <row r="78" spans="1:11" ht="30.75" thickBot="1" x14ac:dyDescent="0.3">
      <c r="A78" s="42">
        <f t="shared" si="18"/>
        <v>68</v>
      </c>
      <c r="B78" s="27">
        <v>46052</v>
      </c>
      <c r="C78" s="28">
        <v>8610564</v>
      </c>
      <c r="D78" s="29">
        <v>76441393</v>
      </c>
      <c r="E78" s="30">
        <v>62.2</v>
      </c>
      <c r="F78" s="26">
        <v>520.11</v>
      </c>
      <c r="G78" s="43">
        <f t="shared" si="16"/>
        <v>32350.842000000001</v>
      </c>
      <c r="H78" s="46">
        <v>46076.86</v>
      </c>
      <c r="I78" s="47">
        <f t="shared" si="17"/>
        <v>2865980.6920000003</v>
      </c>
      <c r="J78" s="19" t="s">
        <v>13</v>
      </c>
      <c r="K78" s="53" t="s">
        <v>14</v>
      </c>
    </row>
    <row r="79" spans="1:11" ht="15.75" thickBot="1" x14ac:dyDescent="0.3">
      <c r="A79" s="31"/>
      <c r="B79" s="32"/>
      <c r="C79" s="32"/>
      <c r="D79" s="32"/>
      <c r="E79" s="44"/>
      <c r="F79" s="34"/>
      <c r="G79" s="35"/>
      <c r="H79" s="32"/>
      <c r="I79" s="36"/>
      <c r="J79" s="32"/>
      <c r="K79" s="37"/>
    </row>
    <row r="80" spans="1:11" ht="30" x14ac:dyDescent="0.25">
      <c r="A80" s="38">
        <v>69</v>
      </c>
      <c r="B80" s="11">
        <v>46053</v>
      </c>
      <c r="C80" s="12">
        <v>8610619</v>
      </c>
      <c r="D80" s="13">
        <v>57040339</v>
      </c>
      <c r="E80" s="14">
        <v>60.9</v>
      </c>
      <c r="F80" s="15">
        <v>520.11</v>
      </c>
      <c r="G80" s="16">
        <f t="shared" ref="G80:G82" si="19">E80*F80</f>
        <v>31674.699000000001</v>
      </c>
      <c r="H80" s="17">
        <v>46076.86</v>
      </c>
      <c r="I80" s="18">
        <f t="shared" ref="I80:I82" si="20">E80*H80</f>
        <v>2806080.7739999997</v>
      </c>
      <c r="J80" s="50" t="s">
        <v>13</v>
      </c>
      <c r="K80" s="51" t="s">
        <v>14</v>
      </c>
    </row>
    <row r="81" spans="1:11" ht="30" x14ac:dyDescent="0.25">
      <c r="A81" s="45">
        <f>A80+1</f>
        <v>70</v>
      </c>
      <c r="B81" s="22">
        <v>46053</v>
      </c>
      <c r="C81" s="23">
        <v>8610618</v>
      </c>
      <c r="D81" s="24">
        <v>75191841</v>
      </c>
      <c r="E81" s="25">
        <v>61.6</v>
      </c>
      <c r="F81" s="26">
        <v>520.11</v>
      </c>
      <c r="G81" s="16">
        <f t="shared" si="19"/>
        <v>32038.776000000002</v>
      </c>
      <c r="H81" s="17">
        <v>46076.86</v>
      </c>
      <c r="I81" s="18">
        <f t="shared" si="20"/>
        <v>2838334.5759999999</v>
      </c>
      <c r="J81" s="19" t="s">
        <v>13</v>
      </c>
      <c r="K81" s="52" t="s">
        <v>14</v>
      </c>
    </row>
    <row r="82" spans="1:11" ht="30.75" thickBot="1" x14ac:dyDescent="0.3">
      <c r="A82" s="54">
        <f>A81+1</f>
        <v>71</v>
      </c>
      <c r="B82" s="55">
        <v>46053</v>
      </c>
      <c r="C82" s="56">
        <v>8610620</v>
      </c>
      <c r="D82" s="57">
        <v>75241729</v>
      </c>
      <c r="E82" s="58">
        <v>61.65</v>
      </c>
      <c r="F82" s="26">
        <v>520.11</v>
      </c>
      <c r="G82" s="59">
        <f t="shared" si="19"/>
        <v>32064.781500000001</v>
      </c>
      <c r="H82" s="60">
        <v>46076.86</v>
      </c>
      <c r="I82" s="61">
        <f t="shared" si="20"/>
        <v>2840638.4189999998</v>
      </c>
      <c r="J82" s="62" t="s">
        <v>13</v>
      </c>
      <c r="K82" s="63" t="s">
        <v>14</v>
      </c>
    </row>
    <row r="83" spans="1:11" ht="15.75" thickBot="1" x14ac:dyDescent="0.3">
      <c r="A83" s="31"/>
      <c r="B83" s="32"/>
      <c r="C83" s="32"/>
      <c r="D83" s="32"/>
      <c r="E83" s="44"/>
      <c r="F83" s="34"/>
      <c r="G83" s="35"/>
      <c r="H83" s="32"/>
      <c r="I83" s="36"/>
      <c r="J83" s="32"/>
      <c r="K83" s="64"/>
    </row>
    <row r="84" spans="1:11" ht="30" x14ac:dyDescent="0.25">
      <c r="A84" s="10">
        <v>72</v>
      </c>
      <c r="B84" s="22">
        <v>46053</v>
      </c>
      <c r="C84" s="23">
        <v>8610628</v>
      </c>
      <c r="D84" s="24">
        <v>50214980</v>
      </c>
      <c r="E84" s="25">
        <v>61.2</v>
      </c>
      <c r="F84" s="26">
        <v>520.11</v>
      </c>
      <c r="G84" s="16">
        <f t="shared" ref="G84:G97" si="21">E84*F84</f>
        <v>31830.732000000004</v>
      </c>
      <c r="H84" s="17">
        <v>46076.86</v>
      </c>
      <c r="I84" s="18">
        <f t="shared" ref="I84:I97" si="22">E84*H84</f>
        <v>2819903.8319999999</v>
      </c>
      <c r="J84" s="19" t="s">
        <v>13</v>
      </c>
      <c r="K84" s="52" t="s">
        <v>14</v>
      </c>
    </row>
    <row r="85" spans="1:11" ht="30" x14ac:dyDescent="0.25">
      <c r="A85" s="21">
        <f>A84+1</f>
        <v>73</v>
      </c>
      <c r="B85" s="22">
        <v>46053</v>
      </c>
      <c r="C85" s="23">
        <v>8610628</v>
      </c>
      <c r="D85" s="24">
        <v>51812824</v>
      </c>
      <c r="E85" s="25">
        <v>60.95</v>
      </c>
      <c r="F85" s="26">
        <v>520.11</v>
      </c>
      <c r="G85" s="16">
        <f t="shared" si="21"/>
        <v>31700.704500000003</v>
      </c>
      <c r="H85" s="17">
        <v>46076.86</v>
      </c>
      <c r="I85" s="18">
        <f t="shared" si="22"/>
        <v>2808384.6170000001</v>
      </c>
      <c r="J85" s="19" t="s">
        <v>13</v>
      </c>
      <c r="K85" s="52" t="s">
        <v>14</v>
      </c>
    </row>
    <row r="86" spans="1:11" ht="30" x14ac:dyDescent="0.25">
      <c r="A86" s="21">
        <f t="shared" ref="A86:A97" si="23">A85+1</f>
        <v>74</v>
      </c>
      <c r="B86" s="22">
        <v>46053</v>
      </c>
      <c r="C86" s="23">
        <v>8610628</v>
      </c>
      <c r="D86" s="24">
        <v>51891505</v>
      </c>
      <c r="E86" s="25">
        <v>61.45</v>
      </c>
      <c r="F86" s="26">
        <v>520.11</v>
      </c>
      <c r="G86" s="16">
        <f t="shared" si="21"/>
        <v>31960.759500000004</v>
      </c>
      <c r="H86" s="17">
        <v>46076.86</v>
      </c>
      <c r="I86" s="18">
        <f t="shared" si="22"/>
        <v>2831423.0470000003</v>
      </c>
      <c r="J86" s="19" t="s">
        <v>13</v>
      </c>
      <c r="K86" s="52" t="s">
        <v>14</v>
      </c>
    </row>
    <row r="87" spans="1:11" ht="30" x14ac:dyDescent="0.25">
      <c r="A87" s="21">
        <f t="shared" si="23"/>
        <v>75</v>
      </c>
      <c r="B87" s="22">
        <v>46053</v>
      </c>
      <c r="C87" s="23">
        <v>8610629</v>
      </c>
      <c r="D87" s="24">
        <v>53914461</v>
      </c>
      <c r="E87" s="25">
        <v>52.65</v>
      </c>
      <c r="F87" s="26">
        <v>520.11</v>
      </c>
      <c r="G87" s="16">
        <f t="shared" si="21"/>
        <v>27383.791499999999</v>
      </c>
      <c r="H87" s="17">
        <v>46076.86</v>
      </c>
      <c r="I87" s="18">
        <f t="shared" si="22"/>
        <v>2425946.679</v>
      </c>
      <c r="J87" s="19" t="s">
        <v>13</v>
      </c>
      <c r="K87" s="52" t="s">
        <v>14</v>
      </c>
    </row>
    <row r="88" spans="1:11" ht="30" x14ac:dyDescent="0.25">
      <c r="A88" s="21">
        <f t="shared" si="23"/>
        <v>76</v>
      </c>
      <c r="B88" s="22">
        <v>46053</v>
      </c>
      <c r="C88" s="23">
        <v>8610628</v>
      </c>
      <c r="D88" s="24">
        <v>54067178</v>
      </c>
      <c r="E88" s="25">
        <v>61.1</v>
      </c>
      <c r="F88" s="26">
        <v>520.11</v>
      </c>
      <c r="G88" s="16">
        <f t="shared" si="21"/>
        <v>31778.721000000001</v>
      </c>
      <c r="H88" s="17">
        <v>46076.86</v>
      </c>
      <c r="I88" s="18">
        <f t="shared" si="22"/>
        <v>2815296.1460000002</v>
      </c>
      <c r="J88" s="19" t="s">
        <v>13</v>
      </c>
      <c r="K88" s="52" t="s">
        <v>14</v>
      </c>
    </row>
    <row r="89" spans="1:11" ht="30" x14ac:dyDescent="0.25">
      <c r="A89" s="21">
        <f t="shared" si="23"/>
        <v>77</v>
      </c>
      <c r="B89" s="22">
        <v>46053</v>
      </c>
      <c r="C89" s="23">
        <v>8610629</v>
      </c>
      <c r="D89" s="24">
        <v>73010746</v>
      </c>
      <c r="E89" s="25">
        <v>61.45</v>
      </c>
      <c r="F89" s="26">
        <v>520.11</v>
      </c>
      <c r="G89" s="16">
        <f t="shared" si="21"/>
        <v>31960.759500000004</v>
      </c>
      <c r="H89" s="17">
        <v>46076.86</v>
      </c>
      <c r="I89" s="18">
        <f t="shared" si="22"/>
        <v>2831423.0470000003</v>
      </c>
      <c r="J89" s="19" t="s">
        <v>13</v>
      </c>
      <c r="K89" s="52" t="s">
        <v>14</v>
      </c>
    </row>
    <row r="90" spans="1:11" ht="30" x14ac:dyDescent="0.25">
      <c r="A90" s="21">
        <f t="shared" si="23"/>
        <v>78</v>
      </c>
      <c r="B90" s="22">
        <v>46053</v>
      </c>
      <c r="C90" s="23">
        <v>8610629</v>
      </c>
      <c r="D90" s="24">
        <v>73127037</v>
      </c>
      <c r="E90" s="25">
        <v>61.5</v>
      </c>
      <c r="F90" s="26">
        <v>520.11</v>
      </c>
      <c r="G90" s="16">
        <f t="shared" si="21"/>
        <v>31986.764999999999</v>
      </c>
      <c r="H90" s="17">
        <v>46076.86</v>
      </c>
      <c r="I90" s="18">
        <f t="shared" si="22"/>
        <v>2833726.89</v>
      </c>
      <c r="J90" s="19" t="s">
        <v>13</v>
      </c>
      <c r="K90" s="52" t="s">
        <v>14</v>
      </c>
    </row>
    <row r="91" spans="1:11" ht="30" x14ac:dyDescent="0.25">
      <c r="A91" s="21">
        <f t="shared" si="23"/>
        <v>79</v>
      </c>
      <c r="B91" s="22">
        <v>46053</v>
      </c>
      <c r="C91" s="23">
        <v>8610629</v>
      </c>
      <c r="D91" s="24">
        <v>73173411</v>
      </c>
      <c r="E91" s="25">
        <v>61.5</v>
      </c>
      <c r="F91" s="26">
        <v>520.11</v>
      </c>
      <c r="G91" s="16">
        <f t="shared" si="21"/>
        <v>31986.764999999999</v>
      </c>
      <c r="H91" s="17">
        <v>46076.86</v>
      </c>
      <c r="I91" s="18">
        <f t="shared" si="22"/>
        <v>2833726.89</v>
      </c>
      <c r="J91" s="19" t="s">
        <v>13</v>
      </c>
      <c r="K91" s="52" t="s">
        <v>14</v>
      </c>
    </row>
    <row r="92" spans="1:11" ht="30" x14ac:dyDescent="0.25">
      <c r="A92" s="21">
        <f t="shared" si="23"/>
        <v>80</v>
      </c>
      <c r="B92" s="22">
        <v>46053</v>
      </c>
      <c r="C92" s="23">
        <v>8610629</v>
      </c>
      <c r="D92" s="24">
        <v>73173445</v>
      </c>
      <c r="E92" s="25">
        <v>61.6</v>
      </c>
      <c r="F92" s="26">
        <v>520.11</v>
      </c>
      <c r="G92" s="16">
        <f t="shared" si="21"/>
        <v>32038.776000000002</v>
      </c>
      <c r="H92" s="17">
        <v>46076.86</v>
      </c>
      <c r="I92" s="18">
        <f t="shared" si="22"/>
        <v>2838334.5759999999</v>
      </c>
      <c r="J92" s="19" t="s">
        <v>13</v>
      </c>
      <c r="K92" s="52" t="s">
        <v>14</v>
      </c>
    </row>
    <row r="93" spans="1:11" ht="30" x14ac:dyDescent="0.25">
      <c r="A93" s="21">
        <f t="shared" si="23"/>
        <v>81</v>
      </c>
      <c r="B93" s="22">
        <v>46053</v>
      </c>
      <c r="C93" s="23">
        <v>8610629</v>
      </c>
      <c r="D93" s="24">
        <v>73173940</v>
      </c>
      <c r="E93" s="25">
        <v>61.5</v>
      </c>
      <c r="F93" s="26">
        <v>520.11</v>
      </c>
      <c r="G93" s="16">
        <f t="shared" si="21"/>
        <v>31986.764999999999</v>
      </c>
      <c r="H93" s="17">
        <v>46076.86</v>
      </c>
      <c r="I93" s="18">
        <f t="shared" si="22"/>
        <v>2833726.89</v>
      </c>
      <c r="J93" s="19" t="s">
        <v>13</v>
      </c>
      <c r="K93" s="52" t="s">
        <v>14</v>
      </c>
    </row>
    <row r="94" spans="1:11" ht="30" x14ac:dyDescent="0.25">
      <c r="A94" s="21">
        <f t="shared" si="23"/>
        <v>82</v>
      </c>
      <c r="B94" s="22">
        <v>46053</v>
      </c>
      <c r="C94" s="23">
        <v>8610629</v>
      </c>
      <c r="D94" s="24">
        <v>73174013</v>
      </c>
      <c r="E94" s="25">
        <v>61.5</v>
      </c>
      <c r="F94" s="26">
        <v>520.11</v>
      </c>
      <c r="G94" s="16">
        <f t="shared" si="21"/>
        <v>31986.764999999999</v>
      </c>
      <c r="H94" s="17">
        <v>46076.86</v>
      </c>
      <c r="I94" s="18">
        <f t="shared" si="22"/>
        <v>2833726.89</v>
      </c>
      <c r="J94" s="19" t="s">
        <v>13</v>
      </c>
      <c r="K94" s="52" t="s">
        <v>14</v>
      </c>
    </row>
    <row r="95" spans="1:11" ht="30" x14ac:dyDescent="0.25">
      <c r="A95" s="21">
        <f t="shared" si="23"/>
        <v>83</v>
      </c>
      <c r="B95" s="22">
        <v>46053</v>
      </c>
      <c r="C95" s="23">
        <v>8610629</v>
      </c>
      <c r="D95" s="24">
        <v>73178337</v>
      </c>
      <c r="E95" s="25">
        <v>61.75</v>
      </c>
      <c r="F95" s="26">
        <v>520.11</v>
      </c>
      <c r="G95" s="16">
        <f t="shared" si="21"/>
        <v>32116.7925</v>
      </c>
      <c r="H95" s="17">
        <v>46076.86</v>
      </c>
      <c r="I95" s="18">
        <f t="shared" si="22"/>
        <v>2845246.105</v>
      </c>
      <c r="J95" s="19" t="s">
        <v>13</v>
      </c>
      <c r="K95" s="52" t="s">
        <v>14</v>
      </c>
    </row>
    <row r="96" spans="1:11" ht="30" x14ac:dyDescent="0.25">
      <c r="A96" s="21">
        <f t="shared" si="23"/>
        <v>84</v>
      </c>
      <c r="B96" s="22">
        <v>46053</v>
      </c>
      <c r="C96" s="23">
        <v>8610629</v>
      </c>
      <c r="D96" s="24">
        <v>73221533</v>
      </c>
      <c r="E96" s="25">
        <v>61.65</v>
      </c>
      <c r="F96" s="26">
        <v>520.11</v>
      </c>
      <c r="G96" s="16">
        <f t="shared" si="21"/>
        <v>32064.781500000001</v>
      </c>
      <c r="H96" s="17">
        <v>46076.86</v>
      </c>
      <c r="I96" s="18">
        <f t="shared" si="22"/>
        <v>2840638.4189999998</v>
      </c>
      <c r="J96" s="19" t="s">
        <v>13</v>
      </c>
      <c r="K96" s="52" t="s">
        <v>14</v>
      </c>
    </row>
    <row r="97" spans="1:11" ht="30.75" thickBot="1" x14ac:dyDescent="0.3">
      <c r="A97" s="65">
        <f t="shared" si="23"/>
        <v>85</v>
      </c>
      <c r="B97" s="27">
        <v>46053</v>
      </c>
      <c r="C97" s="28">
        <v>8610628</v>
      </c>
      <c r="D97" s="29">
        <v>75102475</v>
      </c>
      <c r="E97" s="25">
        <v>61.8</v>
      </c>
      <c r="F97" s="26">
        <v>520.11</v>
      </c>
      <c r="G97" s="16">
        <f t="shared" si="21"/>
        <v>32142.797999999999</v>
      </c>
      <c r="H97" s="17">
        <v>46076.86</v>
      </c>
      <c r="I97" s="18">
        <f t="shared" si="22"/>
        <v>2847549.9479999999</v>
      </c>
      <c r="J97" s="19" t="s">
        <v>13</v>
      </c>
      <c r="K97" s="52" t="s">
        <v>14</v>
      </c>
    </row>
    <row r="98" spans="1:11" ht="15.75" thickBot="1" x14ac:dyDescent="0.3">
      <c r="A98" s="31"/>
      <c r="B98" s="32"/>
      <c r="C98" s="32"/>
      <c r="D98" s="32"/>
      <c r="E98" s="44"/>
      <c r="F98" s="34"/>
      <c r="G98" s="35"/>
      <c r="H98" s="32"/>
      <c r="I98" s="36"/>
      <c r="J98" s="32"/>
      <c r="K98" s="37"/>
    </row>
    <row r="99" spans="1:11" ht="15.75" thickBot="1" x14ac:dyDescent="0.3">
      <c r="A99" s="124"/>
      <c r="B99" s="125"/>
      <c r="C99" s="125"/>
      <c r="D99" s="126"/>
      <c r="E99" s="66"/>
      <c r="F99" s="67"/>
      <c r="G99" s="68"/>
      <c r="H99" s="69"/>
      <c r="I99" s="70"/>
      <c r="J99" s="71"/>
      <c r="K99" s="72"/>
    </row>
    <row r="100" spans="1:11" ht="30" x14ac:dyDescent="0.25">
      <c r="A100" s="38">
        <v>86</v>
      </c>
      <c r="B100" s="11">
        <v>46056</v>
      </c>
      <c r="C100" s="12">
        <v>8610685</v>
      </c>
      <c r="D100" s="13">
        <v>50464833</v>
      </c>
      <c r="E100" s="14">
        <v>53.15</v>
      </c>
      <c r="F100" s="15">
        <v>564.96</v>
      </c>
      <c r="G100" s="16">
        <f t="shared" ref="G100:G110" si="24">E100*F100</f>
        <v>30027.624</v>
      </c>
      <c r="H100" s="17">
        <v>46076.86</v>
      </c>
      <c r="I100" s="18">
        <f t="shared" ref="I100:I110" si="25">E100*H100</f>
        <v>2448985.1090000002</v>
      </c>
      <c r="J100" s="50" t="s">
        <v>13</v>
      </c>
      <c r="K100" s="51" t="s">
        <v>14</v>
      </c>
    </row>
    <row r="101" spans="1:11" ht="30" x14ac:dyDescent="0.25">
      <c r="A101" s="45">
        <f>A100+1</f>
        <v>87</v>
      </c>
      <c r="B101" s="22">
        <v>46056</v>
      </c>
      <c r="C101" s="23">
        <v>8610685</v>
      </c>
      <c r="D101" s="24">
        <v>50745082</v>
      </c>
      <c r="E101" s="25">
        <v>52.1</v>
      </c>
      <c r="F101" s="15">
        <v>564.96</v>
      </c>
      <c r="G101" s="16">
        <f t="shared" si="24"/>
        <v>29434.416000000001</v>
      </c>
      <c r="H101" s="17">
        <v>46076.86</v>
      </c>
      <c r="I101" s="18">
        <f t="shared" si="25"/>
        <v>2400604.406</v>
      </c>
      <c r="J101" s="19" t="s">
        <v>13</v>
      </c>
      <c r="K101" s="52" t="s">
        <v>14</v>
      </c>
    </row>
    <row r="102" spans="1:11" ht="30" x14ac:dyDescent="0.25">
      <c r="A102" s="45">
        <f t="shared" ref="A102:A110" si="26">A101+1</f>
        <v>88</v>
      </c>
      <c r="B102" s="22">
        <v>46056</v>
      </c>
      <c r="C102" s="23">
        <v>8610687</v>
      </c>
      <c r="D102" s="24">
        <v>50786201</v>
      </c>
      <c r="E102" s="25">
        <v>52.15</v>
      </c>
      <c r="F102" s="15">
        <v>564.96</v>
      </c>
      <c r="G102" s="16">
        <f t="shared" si="24"/>
        <v>29462.664000000001</v>
      </c>
      <c r="H102" s="17">
        <v>46076.86</v>
      </c>
      <c r="I102" s="18">
        <f t="shared" si="25"/>
        <v>2402908.2489999998</v>
      </c>
      <c r="J102" s="19" t="s">
        <v>13</v>
      </c>
      <c r="K102" s="52" t="s">
        <v>14</v>
      </c>
    </row>
    <row r="103" spans="1:11" ht="30" x14ac:dyDescent="0.25">
      <c r="A103" s="45">
        <f t="shared" si="26"/>
        <v>89</v>
      </c>
      <c r="B103" s="22">
        <v>46056</v>
      </c>
      <c r="C103" s="23">
        <v>8610688</v>
      </c>
      <c r="D103" s="24">
        <v>50978568</v>
      </c>
      <c r="E103" s="25">
        <v>53.25</v>
      </c>
      <c r="F103" s="15">
        <v>564.96</v>
      </c>
      <c r="G103" s="16">
        <f t="shared" si="24"/>
        <v>30084.120000000003</v>
      </c>
      <c r="H103" s="17">
        <v>46076.86</v>
      </c>
      <c r="I103" s="18">
        <f t="shared" si="25"/>
        <v>2453592.7949999999</v>
      </c>
      <c r="J103" s="19" t="s">
        <v>13</v>
      </c>
      <c r="K103" s="52" t="s">
        <v>14</v>
      </c>
    </row>
    <row r="104" spans="1:11" ht="30" x14ac:dyDescent="0.25">
      <c r="A104" s="45">
        <f t="shared" si="26"/>
        <v>90</v>
      </c>
      <c r="B104" s="22">
        <v>46056</v>
      </c>
      <c r="C104" s="23">
        <v>8610685</v>
      </c>
      <c r="D104" s="24">
        <v>53920807</v>
      </c>
      <c r="E104" s="25">
        <v>52.65</v>
      </c>
      <c r="F104" s="15">
        <v>564.96</v>
      </c>
      <c r="G104" s="16">
        <f t="shared" si="24"/>
        <v>29745.144</v>
      </c>
      <c r="H104" s="17">
        <v>46076.86</v>
      </c>
      <c r="I104" s="18">
        <f t="shared" si="25"/>
        <v>2425946.679</v>
      </c>
      <c r="J104" s="19" t="s">
        <v>13</v>
      </c>
      <c r="K104" s="52" t="s">
        <v>14</v>
      </c>
    </row>
    <row r="105" spans="1:11" ht="30" x14ac:dyDescent="0.25">
      <c r="A105" s="45">
        <f t="shared" si="26"/>
        <v>91</v>
      </c>
      <c r="B105" s="22">
        <v>46056</v>
      </c>
      <c r="C105" s="23">
        <v>8610684</v>
      </c>
      <c r="D105" s="24">
        <v>57133423</v>
      </c>
      <c r="E105" s="25">
        <v>61</v>
      </c>
      <c r="F105" s="15">
        <v>564.96</v>
      </c>
      <c r="G105" s="16">
        <f t="shared" si="24"/>
        <v>34462.560000000005</v>
      </c>
      <c r="H105" s="17">
        <v>46076.86</v>
      </c>
      <c r="I105" s="18">
        <f t="shared" si="25"/>
        <v>2810688.46</v>
      </c>
      <c r="J105" s="19" t="s">
        <v>13</v>
      </c>
      <c r="K105" s="52" t="s">
        <v>14</v>
      </c>
    </row>
    <row r="106" spans="1:11" ht="30" x14ac:dyDescent="0.25">
      <c r="A106" s="45">
        <f t="shared" si="26"/>
        <v>92</v>
      </c>
      <c r="B106" s="22">
        <v>46056</v>
      </c>
      <c r="C106" s="23">
        <v>8610689</v>
      </c>
      <c r="D106" s="24">
        <v>73139669</v>
      </c>
      <c r="E106" s="25">
        <v>61.55</v>
      </c>
      <c r="F106" s="15">
        <v>564.96</v>
      </c>
      <c r="G106" s="16">
        <f t="shared" si="24"/>
        <v>34773.288</v>
      </c>
      <c r="H106" s="17">
        <v>46076.86</v>
      </c>
      <c r="I106" s="18">
        <f t="shared" si="25"/>
        <v>2836030.733</v>
      </c>
      <c r="J106" s="19" t="s">
        <v>13</v>
      </c>
      <c r="K106" s="52" t="s">
        <v>14</v>
      </c>
    </row>
    <row r="107" spans="1:11" ht="30" x14ac:dyDescent="0.25">
      <c r="A107" s="45">
        <f t="shared" si="26"/>
        <v>93</v>
      </c>
      <c r="B107" s="22">
        <v>46056</v>
      </c>
      <c r="C107" s="23">
        <v>8610685</v>
      </c>
      <c r="D107" s="24">
        <v>73212102</v>
      </c>
      <c r="E107" s="25">
        <v>61.55</v>
      </c>
      <c r="F107" s="15">
        <v>564.96</v>
      </c>
      <c r="G107" s="16">
        <f t="shared" si="24"/>
        <v>34773.288</v>
      </c>
      <c r="H107" s="17">
        <v>46076.86</v>
      </c>
      <c r="I107" s="18">
        <f t="shared" si="25"/>
        <v>2836030.733</v>
      </c>
      <c r="J107" s="19" t="s">
        <v>13</v>
      </c>
      <c r="K107" s="52" t="s">
        <v>14</v>
      </c>
    </row>
    <row r="108" spans="1:11" ht="30" x14ac:dyDescent="0.25">
      <c r="A108" s="45">
        <f t="shared" si="26"/>
        <v>94</v>
      </c>
      <c r="B108" s="22">
        <v>46056</v>
      </c>
      <c r="C108" s="23">
        <v>8610685</v>
      </c>
      <c r="D108" s="24">
        <v>73607483</v>
      </c>
      <c r="E108" s="25">
        <v>61.45</v>
      </c>
      <c r="F108" s="15">
        <v>564.96</v>
      </c>
      <c r="G108" s="16">
        <f t="shared" si="24"/>
        <v>34716.792000000001</v>
      </c>
      <c r="H108" s="17">
        <v>46076.86</v>
      </c>
      <c r="I108" s="18">
        <f t="shared" si="25"/>
        <v>2831423.0470000003</v>
      </c>
      <c r="J108" s="19" t="s">
        <v>13</v>
      </c>
      <c r="K108" s="52" t="s">
        <v>14</v>
      </c>
    </row>
    <row r="109" spans="1:11" ht="30" x14ac:dyDescent="0.25">
      <c r="A109" s="45">
        <f t="shared" si="26"/>
        <v>95</v>
      </c>
      <c r="B109" s="22">
        <v>46056</v>
      </c>
      <c r="C109" s="23">
        <v>8610685</v>
      </c>
      <c r="D109" s="24">
        <v>75052522</v>
      </c>
      <c r="E109" s="25">
        <v>61.45</v>
      </c>
      <c r="F109" s="15">
        <v>564.96</v>
      </c>
      <c r="G109" s="16">
        <f t="shared" si="24"/>
        <v>34716.792000000001</v>
      </c>
      <c r="H109" s="17">
        <v>46076.86</v>
      </c>
      <c r="I109" s="18">
        <f t="shared" si="25"/>
        <v>2831423.0470000003</v>
      </c>
      <c r="J109" s="19" t="s">
        <v>13</v>
      </c>
      <c r="K109" s="52" t="s">
        <v>14</v>
      </c>
    </row>
    <row r="110" spans="1:11" ht="30.75" thickBot="1" x14ac:dyDescent="0.3">
      <c r="A110" s="42">
        <f t="shared" si="26"/>
        <v>96</v>
      </c>
      <c r="B110" s="27">
        <v>46056</v>
      </c>
      <c r="C110" s="28">
        <v>8610685</v>
      </c>
      <c r="D110" s="29">
        <v>76079193</v>
      </c>
      <c r="E110" s="30">
        <v>61.95</v>
      </c>
      <c r="F110" s="73">
        <v>564.96</v>
      </c>
      <c r="G110" s="43">
        <f t="shared" si="24"/>
        <v>34999.272000000004</v>
      </c>
      <c r="H110" s="46">
        <v>46076.86</v>
      </c>
      <c r="I110" s="47">
        <f t="shared" si="25"/>
        <v>2854461.477</v>
      </c>
      <c r="J110" s="19" t="s">
        <v>13</v>
      </c>
      <c r="K110" s="53" t="s">
        <v>14</v>
      </c>
    </row>
    <row r="111" spans="1:11" ht="15.75" thickBot="1" x14ac:dyDescent="0.3">
      <c r="A111" s="31"/>
      <c r="B111" s="32"/>
      <c r="C111" s="32"/>
      <c r="D111" s="32"/>
      <c r="E111" s="44"/>
      <c r="F111" s="34"/>
      <c r="G111" s="35"/>
      <c r="H111" s="32"/>
      <c r="I111" s="36"/>
      <c r="J111" s="32"/>
      <c r="K111" s="74"/>
    </row>
    <row r="112" spans="1:11" ht="30" x14ac:dyDescent="0.25">
      <c r="A112" s="10">
        <v>97</v>
      </c>
      <c r="B112" s="11">
        <v>46057</v>
      </c>
      <c r="C112" s="75" t="s">
        <v>15</v>
      </c>
      <c r="D112" s="10">
        <v>73119653</v>
      </c>
      <c r="E112" s="76">
        <v>61.15</v>
      </c>
      <c r="F112" s="15">
        <v>564.96</v>
      </c>
      <c r="G112" s="16">
        <f t="shared" ref="G112:G127" si="27">E112*F112</f>
        <v>34547.304000000004</v>
      </c>
      <c r="H112" s="17">
        <v>46076.86</v>
      </c>
      <c r="I112" s="18">
        <f t="shared" ref="I112:I127" si="28">E112*H112</f>
        <v>2817599.9890000001</v>
      </c>
      <c r="J112" s="19" t="s">
        <v>13</v>
      </c>
      <c r="K112" s="52" t="s">
        <v>14</v>
      </c>
    </row>
    <row r="113" spans="1:11" ht="30" x14ac:dyDescent="0.25">
      <c r="A113" s="21">
        <f>A112+1</f>
        <v>98</v>
      </c>
      <c r="B113" s="22">
        <v>46057</v>
      </c>
      <c r="C113" s="77" t="s">
        <v>15</v>
      </c>
      <c r="D113" s="21">
        <v>54071782</v>
      </c>
      <c r="E113" s="78">
        <v>61</v>
      </c>
      <c r="F113" s="15">
        <v>564.96</v>
      </c>
      <c r="G113" s="16">
        <f t="shared" si="27"/>
        <v>34462.560000000005</v>
      </c>
      <c r="H113" s="17">
        <v>46076.86</v>
      </c>
      <c r="I113" s="18">
        <f t="shared" si="28"/>
        <v>2810688.46</v>
      </c>
      <c r="J113" s="19" t="s">
        <v>13</v>
      </c>
      <c r="K113" s="52" t="s">
        <v>14</v>
      </c>
    </row>
    <row r="114" spans="1:11" ht="30" x14ac:dyDescent="0.25">
      <c r="A114" s="21">
        <f t="shared" ref="A114:A127" si="29">A113+1</f>
        <v>99</v>
      </c>
      <c r="B114" s="22">
        <v>46057</v>
      </c>
      <c r="C114" s="77" t="s">
        <v>15</v>
      </c>
      <c r="D114" s="21">
        <v>54256441</v>
      </c>
      <c r="E114" s="78">
        <v>60.55</v>
      </c>
      <c r="F114" s="15">
        <v>564.96</v>
      </c>
      <c r="G114" s="16">
        <f t="shared" si="27"/>
        <v>34208.328000000001</v>
      </c>
      <c r="H114" s="17">
        <v>46076.86</v>
      </c>
      <c r="I114" s="18">
        <f t="shared" si="28"/>
        <v>2789953.8729999997</v>
      </c>
      <c r="J114" s="19" t="s">
        <v>13</v>
      </c>
      <c r="K114" s="52" t="s">
        <v>14</v>
      </c>
    </row>
    <row r="115" spans="1:11" ht="30" x14ac:dyDescent="0.25">
      <c r="A115" s="21">
        <f t="shared" si="29"/>
        <v>100</v>
      </c>
      <c r="B115" s="22">
        <v>46057</v>
      </c>
      <c r="C115" s="77" t="s">
        <v>15</v>
      </c>
      <c r="D115" s="21">
        <v>76982594</v>
      </c>
      <c r="E115" s="78">
        <v>60.7</v>
      </c>
      <c r="F115" s="15">
        <v>564.96</v>
      </c>
      <c r="G115" s="16">
        <f t="shared" si="27"/>
        <v>34293.072000000007</v>
      </c>
      <c r="H115" s="17">
        <v>46076.86</v>
      </c>
      <c r="I115" s="18">
        <f t="shared" si="28"/>
        <v>2796865.4020000002</v>
      </c>
      <c r="J115" s="19" t="s">
        <v>13</v>
      </c>
      <c r="K115" s="52" t="s">
        <v>14</v>
      </c>
    </row>
    <row r="116" spans="1:11" ht="30" x14ac:dyDescent="0.25">
      <c r="A116" s="21">
        <f t="shared" si="29"/>
        <v>101</v>
      </c>
      <c r="B116" s="22">
        <v>46057</v>
      </c>
      <c r="C116" s="77" t="s">
        <v>15</v>
      </c>
      <c r="D116" s="21">
        <v>51957496</v>
      </c>
      <c r="E116" s="78">
        <v>60.5</v>
      </c>
      <c r="F116" s="15">
        <v>564.96</v>
      </c>
      <c r="G116" s="16">
        <f t="shared" si="27"/>
        <v>34180.080000000002</v>
      </c>
      <c r="H116" s="17">
        <v>46076.86</v>
      </c>
      <c r="I116" s="18">
        <f t="shared" si="28"/>
        <v>2787650.0300000003</v>
      </c>
      <c r="J116" s="19" t="s">
        <v>13</v>
      </c>
      <c r="K116" s="52" t="s">
        <v>14</v>
      </c>
    </row>
    <row r="117" spans="1:11" ht="30" x14ac:dyDescent="0.25">
      <c r="A117" s="21">
        <f t="shared" si="29"/>
        <v>102</v>
      </c>
      <c r="B117" s="22">
        <v>46057</v>
      </c>
      <c r="C117" s="77" t="s">
        <v>15</v>
      </c>
      <c r="D117" s="21">
        <v>73991762</v>
      </c>
      <c r="E117" s="78">
        <v>60.1</v>
      </c>
      <c r="F117" s="15">
        <v>564.96</v>
      </c>
      <c r="G117" s="16">
        <f t="shared" si="27"/>
        <v>33954.096000000005</v>
      </c>
      <c r="H117" s="17">
        <v>46076.86</v>
      </c>
      <c r="I117" s="18">
        <f t="shared" si="28"/>
        <v>2769219.2860000003</v>
      </c>
      <c r="J117" s="19" t="s">
        <v>13</v>
      </c>
      <c r="K117" s="52" t="s">
        <v>14</v>
      </c>
    </row>
    <row r="118" spans="1:11" ht="30" x14ac:dyDescent="0.25">
      <c r="A118" s="21">
        <f t="shared" si="29"/>
        <v>103</v>
      </c>
      <c r="B118" s="22">
        <v>46057</v>
      </c>
      <c r="C118" s="77" t="s">
        <v>15</v>
      </c>
      <c r="D118" s="21">
        <v>50717149</v>
      </c>
      <c r="E118" s="78">
        <v>52.4</v>
      </c>
      <c r="F118" s="15">
        <v>564.96</v>
      </c>
      <c r="G118" s="16">
        <f t="shared" si="27"/>
        <v>29603.904000000002</v>
      </c>
      <c r="H118" s="17">
        <v>46076.86</v>
      </c>
      <c r="I118" s="18">
        <f t="shared" si="28"/>
        <v>2414427.4640000002</v>
      </c>
      <c r="J118" s="19" t="s">
        <v>13</v>
      </c>
      <c r="K118" s="52" t="s">
        <v>14</v>
      </c>
    </row>
    <row r="119" spans="1:11" ht="30" x14ac:dyDescent="0.25">
      <c r="A119" s="21">
        <f t="shared" si="29"/>
        <v>104</v>
      </c>
      <c r="B119" s="22">
        <v>46057</v>
      </c>
      <c r="C119" s="77" t="s">
        <v>15</v>
      </c>
      <c r="D119" s="21">
        <v>73219321</v>
      </c>
      <c r="E119" s="78">
        <v>60.5</v>
      </c>
      <c r="F119" s="15">
        <v>564.96</v>
      </c>
      <c r="G119" s="16">
        <f t="shared" si="27"/>
        <v>34180.080000000002</v>
      </c>
      <c r="H119" s="17">
        <v>46076.86</v>
      </c>
      <c r="I119" s="18">
        <f t="shared" si="28"/>
        <v>2787650.0300000003</v>
      </c>
      <c r="J119" s="19" t="s">
        <v>13</v>
      </c>
      <c r="K119" s="52" t="s">
        <v>14</v>
      </c>
    </row>
    <row r="120" spans="1:11" ht="30" x14ac:dyDescent="0.25">
      <c r="A120" s="21">
        <f t="shared" si="29"/>
        <v>105</v>
      </c>
      <c r="B120" s="22">
        <v>46057</v>
      </c>
      <c r="C120" s="77" t="s">
        <v>15</v>
      </c>
      <c r="D120" s="21">
        <v>51823391</v>
      </c>
      <c r="E120" s="78">
        <v>61.05</v>
      </c>
      <c r="F120" s="15">
        <v>564.96</v>
      </c>
      <c r="G120" s="16">
        <f t="shared" si="27"/>
        <v>34490.807999999997</v>
      </c>
      <c r="H120" s="17">
        <v>46076.86</v>
      </c>
      <c r="I120" s="18">
        <f t="shared" si="28"/>
        <v>2812992.3029999998</v>
      </c>
      <c r="J120" s="19" t="s">
        <v>13</v>
      </c>
      <c r="K120" s="52" t="s">
        <v>14</v>
      </c>
    </row>
    <row r="121" spans="1:11" ht="30" x14ac:dyDescent="0.25">
      <c r="A121" s="21">
        <f t="shared" si="29"/>
        <v>106</v>
      </c>
      <c r="B121" s="22">
        <v>46057</v>
      </c>
      <c r="C121" s="77" t="s">
        <v>15</v>
      </c>
      <c r="D121" s="21">
        <v>51713402</v>
      </c>
      <c r="E121" s="78">
        <v>51.3</v>
      </c>
      <c r="F121" s="15">
        <v>564.96</v>
      </c>
      <c r="G121" s="16">
        <f t="shared" si="27"/>
        <v>28982.448</v>
      </c>
      <c r="H121" s="17">
        <v>46076.86</v>
      </c>
      <c r="I121" s="18">
        <f t="shared" si="28"/>
        <v>2363742.9180000001</v>
      </c>
      <c r="J121" s="19" t="s">
        <v>13</v>
      </c>
      <c r="K121" s="52" t="s">
        <v>14</v>
      </c>
    </row>
    <row r="122" spans="1:11" ht="30" x14ac:dyDescent="0.25">
      <c r="A122" s="21">
        <f t="shared" si="29"/>
        <v>107</v>
      </c>
      <c r="B122" s="22">
        <v>46057</v>
      </c>
      <c r="C122" s="77" t="s">
        <v>15</v>
      </c>
      <c r="D122" s="21">
        <v>53961421</v>
      </c>
      <c r="E122" s="78">
        <v>59</v>
      </c>
      <c r="F122" s="15">
        <v>564.96</v>
      </c>
      <c r="G122" s="16">
        <f t="shared" si="27"/>
        <v>33332.639999999999</v>
      </c>
      <c r="H122" s="17">
        <v>46076.86</v>
      </c>
      <c r="I122" s="18">
        <f t="shared" si="28"/>
        <v>2718534.74</v>
      </c>
      <c r="J122" s="19" t="s">
        <v>13</v>
      </c>
      <c r="K122" s="52" t="s">
        <v>14</v>
      </c>
    </row>
    <row r="123" spans="1:11" ht="30" x14ac:dyDescent="0.25">
      <c r="A123" s="21">
        <f t="shared" si="29"/>
        <v>108</v>
      </c>
      <c r="B123" s="22">
        <v>46057</v>
      </c>
      <c r="C123" s="77" t="s">
        <v>15</v>
      </c>
      <c r="D123" s="21">
        <v>73117947</v>
      </c>
      <c r="E123" s="78">
        <v>60.5</v>
      </c>
      <c r="F123" s="15">
        <v>564.96</v>
      </c>
      <c r="G123" s="16">
        <f t="shared" si="27"/>
        <v>34180.080000000002</v>
      </c>
      <c r="H123" s="17">
        <v>46076.86</v>
      </c>
      <c r="I123" s="18">
        <f t="shared" si="28"/>
        <v>2787650.0300000003</v>
      </c>
      <c r="J123" s="19" t="s">
        <v>13</v>
      </c>
      <c r="K123" s="52" t="s">
        <v>14</v>
      </c>
    </row>
    <row r="124" spans="1:11" ht="30" x14ac:dyDescent="0.25">
      <c r="A124" s="21">
        <f t="shared" si="29"/>
        <v>109</v>
      </c>
      <c r="B124" s="22">
        <v>46057</v>
      </c>
      <c r="C124" s="77" t="s">
        <v>15</v>
      </c>
      <c r="D124" s="21">
        <v>73082372</v>
      </c>
      <c r="E124" s="78">
        <v>59.6</v>
      </c>
      <c r="F124" s="15">
        <v>564.96</v>
      </c>
      <c r="G124" s="16">
        <f t="shared" si="27"/>
        <v>33671.616000000002</v>
      </c>
      <c r="H124" s="17">
        <v>46076.86</v>
      </c>
      <c r="I124" s="18">
        <f t="shared" si="28"/>
        <v>2746180.8560000001</v>
      </c>
      <c r="J124" s="19" t="s">
        <v>13</v>
      </c>
      <c r="K124" s="52" t="s">
        <v>14</v>
      </c>
    </row>
    <row r="125" spans="1:11" ht="30" x14ac:dyDescent="0.25">
      <c r="A125" s="21">
        <f t="shared" si="29"/>
        <v>110</v>
      </c>
      <c r="B125" s="22">
        <v>46057</v>
      </c>
      <c r="C125" s="77" t="s">
        <v>15</v>
      </c>
      <c r="D125" s="21">
        <v>73176745</v>
      </c>
      <c r="E125" s="78">
        <v>61.6</v>
      </c>
      <c r="F125" s="15">
        <v>564.96</v>
      </c>
      <c r="G125" s="16">
        <f t="shared" si="27"/>
        <v>34801.536</v>
      </c>
      <c r="H125" s="17">
        <v>46076.86</v>
      </c>
      <c r="I125" s="18">
        <f t="shared" si="28"/>
        <v>2838334.5759999999</v>
      </c>
      <c r="J125" s="19" t="s">
        <v>13</v>
      </c>
      <c r="K125" s="52" t="s">
        <v>14</v>
      </c>
    </row>
    <row r="126" spans="1:11" ht="30" x14ac:dyDescent="0.25">
      <c r="A126" s="21">
        <f t="shared" si="29"/>
        <v>111</v>
      </c>
      <c r="B126" s="22">
        <v>46057</v>
      </c>
      <c r="C126" s="77" t="s">
        <v>15</v>
      </c>
      <c r="D126" s="21">
        <v>73050650</v>
      </c>
      <c r="E126" s="78">
        <v>60.75</v>
      </c>
      <c r="F126" s="15">
        <v>564.96</v>
      </c>
      <c r="G126" s="16">
        <f t="shared" si="27"/>
        <v>34321.32</v>
      </c>
      <c r="H126" s="17">
        <v>46076.86</v>
      </c>
      <c r="I126" s="18">
        <f t="shared" si="28"/>
        <v>2799169.2450000001</v>
      </c>
      <c r="J126" s="19" t="s">
        <v>13</v>
      </c>
      <c r="K126" s="52" t="s">
        <v>14</v>
      </c>
    </row>
    <row r="127" spans="1:11" ht="30.75" thickBot="1" x14ac:dyDescent="0.3">
      <c r="A127" s="65">
        <f t="shared" si="29"/>
        <v>112</v>
      </c>
      <c r="B127" s="27">
        <v>46057</v>
      </c>
      <c r="C127" s="79" t="s">
        <v>16</v>
      </c>
      <c r="D127" s="65">
        <v>54244405</v>
      </c>
      <c r="E127" s="80">
        <v>61.1</v>
      </c>
      <c r="F127" s="15">
        <v>564.96</v>
      </c>
      <c r="G127" s="16">
        <f t="shared" si="27"/>
        <v>34519.056000000004</v>
      </c>
      <c r="H127" s="17">
        <v>46076.86</v>
      </c>
      <c r="I127" s="18">
        <f t="shared" si="28"/>
        <v>2815296.1460000002</v>
      </c>
      <c r="J127" s="19" t="s">
        <v>13</v>
      </c>
      <c r="K127" s="52" t="s">
        <v>14</v>
      </c>
    </row>
    <row r="128" spans="1:11" ht="15.75" thickBot="1" x14ac:dyDescent="0.3">
      <c r="A128" s="31"/>
      <c r="B128" s="32"/>
      <c r="C128" s="32"/>
      <c r="D128" s="32"/>
      <c r="E128" s="44"/>
      <c r="F128" s="34"/>
      <c r="G128" s="35"/>
      <c r="H128" s="32"/>
      <c r="I128" s="36"/>
      <c r="J128" s="32"/>
      <c r="K128" s="74"/>
    </row>
    <row r="129" spans="1:11" ht="30" x14ac:dyDescent="0.25">
      <c r="A129" s="38">
        <v>113</v>
      </c>
      <c r="B129" s="39">
        <v>46058</v>
      </c>
      <c r="C129" s="12">
        <v>8610735</v>
      </c>
      <c r="D129" s="13">
        <v>50033265</v>
      </c>
      <c r="E129" s="14">
        <v>60.85</v>
      </c>
      <c r="F129" s="15">
        <v>564.96</v>
      </c>
      <c r="G129" s="16">
        <f t="shared" ref="G129:G141" si="30">E129*F129</f>
        <v>34377.816000000006</v>
      </c>
      <c r="H129" s="17">
        <v>46076.86</v>
      </c>
      <c r="I129" s="18">
        <f t="shared" ref="I129:I141" si="31">E129*H129</f>
        <v>2803776.9310000003</v>
      </c>
      <c r="J129" s="50" t="s">
        <v>13</v>
      </c>
      <c r="K129" s="51" t="s">
        <v>14</v>
      </c>
    </row>
    <row r="130" spans="1:11" ht="30" x14ac:dyDescent="0.25">
      <c r="A130" s="45">
        <f>A129+1</f>
        <v>114</v>
      </c>
      <c r="B130" s="22">
        <v>46058</v>
      </c>
      <c r="C130" s="23">
        <v>8610734</v>
      </c>
      <c r="D130" s="24">
        <v>50772003</v>
      </c>
      <c r="E130" s="25">
        <v>52.05</v>
      </c>
      <c r="F130" s="15">
        <v>564.96</v>
      </c>
      <c r="G130" s="16">
        <f t="shared" si="30"/>
        <v>29406.168000000001</v>
      </c>
      <c r="H130" s="17">
        <v>46076.86</v>
      </c>
      <c r="I130" s="18">
        <f t="shared" si="31"/>
        <v>2398300.5630000001</v>
      </c>
      <c r="J130" s="19" t="s">
        <v>13</v>
      </c>
      <c r="K130" s="52" t="s">
        <v>14</v>
      </c>
    </row>
    <row r="131" spans="1:11" ht="30" x14ac:dyDescent="0.25">
      <c r="A131" s="45">
        <f t="shared" ref="A131:A141" si="32">A130+1</f>
        <v>115</v>
      </c>
      <c r="B131" s="22">
        <v>46058</v>
      </c>
      <c r="C131" s="23">
        <v>8610736</v>
      </c>
      <c r="D131" s="24">
        <v>53950663</v>
      </c>
      <c r="E131" s="25">
        <v>52.7</v>
      </c>
      <c r="F131" s="15">
        <v>564.96</v>
      </c>
      <c r="G131" s="16">
        <f t="shared" si="30"/>
        <v>29773.392000000003</v>
      </c>
      <c r="H131" s="17">
        <v>46076.86</v>
      </c>
      <c r="I131" s="18">
        <f t="shared" si="31"/>
        <v>2428250.5220000003</v>
      </c>
      <c r="J131" s="19" t="s">
        <v>13</v>
      </c>
      <c r="K131" s="52" t="s">
        <v>14</v>
      </c>
    </row>
    <row r="132" spans="1:11" ht="30" x14ac:dyDescent="0.25">
      <c r="A132" s="45">
        <f t="shared" si="32"/>
        <v>116</v>
      </c>
      <c r="B132" s="22">
        <v>46058</v>
      </c>
      <c r="C132" s="23">
        <v>8610737</v>
      </c>
      <c r="D132" s="24">
        <v>54046412</v>
      </c>
      <c r="E132" s="25">
        <v>61</v>
      </c>
      <c r="F132" s="15">
        <v>564.96</v>
      </c>
      <c r="G132" s="16">
        <f t="shared" si="30"/>
        <v>34462.560000000005</v>
      </c>
      <c r="H132" s="17">
        <v>46076.86</v>
      </c>
      <c r="I132" s="18">
        <f t="shared" si="31"/>
        <v>2810688.46</v>
      </c>
      <c r="J132" s="19" t="s">
        <v>13</v>
      </c>
      <c r="K132" s="52" t="s">
        <v>14</v>
      </c>
    </row>
    <row r="133" spans="1:11" ht="30" x14ac:dyDescent="0.25">
      <c r="A133" s="45">
        <f t="shared" si="32"/>
        <v>117</v>
      </c>
      <c r="B133" s="22">
        <v>46058</v>
      </c>
      <c r="C133" s="23">
        <v>8610736</v>
      </c>
      <c r="D133" s="24">
        <v>57905663</v>
      </c>
      <c r="E133" s="25">
        <v>61</v>
      </c>
      <c r="F133" s="15">
        <v>564.96</v>
      </c>
      <c r="G133" s="16">
        <f t="shared" si="30"/>
        <v>34462.560000000005</v>
      </c>
      <c r="H133" s="17">
        <v>46076.86</v>
      </c>
      <c r="I133" s="18">
        <f t="shared" si="31"/>
        <v>2810688.46</v>
      </c>
      <c r="J133" s="19" t="s">
        <v>13</v>
      </c>
      <c r="K133" s="52" t="s">
        <v>14</v>
      </c>
    </row>
    <row r="134" spans="1:11" ht="30" x14ac:dyDescent="0.25">
      <c r="A134" s="45">
        <f t="shared" si="32"/>
        <v>118</v>
      </c>
      <c r="B134" s="22">
        <v>46058</v>
      </c>
      <c r="C134" s="23">
        <v>8610736</v>
      </c>
      <c r="D134" s="24">
        <v>73111817</v>
      </c>
      <c r="E134" s="25">
        <v>61.5</v>
      </c>
      <c r="F134" s="15">
        <v>564.96</v>
      </c>
      <c r="G134" s="16">
        <f t="shared" si="30"/>
        <v>34745.040000000001</v>
      </c>
      <c r="H134" s="17">
        <v>46076.86</v>
      </c>
      <c r="I134" s="18">
        <f t="shared" si="31"/>
        <v>2833726.89</v>
      </c>
      <c r="J134" s="19" t="s">
        <v>13</v>
      </c>
      <c r="K134" s="52" t="s">
        <v>14</v>
      </c>
    </row>
    <row r="135" spans="1:11" ht="30" x14ac:dyDescent="0.25">
      <c r="A135" s="45">
        <f t="shared" si="32"/>
        <v>119</v>
      </c>
      <c r="B135" s="22">
        <v>46058</v>
      </c>
      <c r="C135" s="23">
        <v>8610736</v>
      </c>
      <c r="D135" s="24">
        <v>73159055</v>
      </c>
      <c r="E135" s="25">
        <v>61.55</v>
      </c>
      <c r="F135" s="15">
        <v>564.96</v>
      </c>
      <c r="G135" s="16">
        <f t="shared" si="30"/>
        <v>34773.288</v>
      </c>
      <c r="H135" s="17">
        <v>46076.86</v>
      </c>
      <c r="I135" s="18">
        <f t="shared" si="31"/>
        <v>2836030.733</v>
      </c>
      <c r="J135" s="19" t="s">
        <v>13</v>
      </c>
      <c r="K135" s="52" t="s">
        <v>14</v>
      </c>
    </row>
    <row r="136" spans="1:11" ht="30" x14ac:dyDescent="0.25">
      <c r="A136" s="45">
        <f t="shared" si="32"/>
        <v>120</v>
      </c>
      <c r="B136" s="22">
        <v>46058</v>
      </c>
      <c r="C136" s="23">
        <v>8610736</v>
      </c>
      <c r="D136" s="24">
        <v>73166522</v>
      </c>
      <c r="E136" s="25">
        <v>61.4</v>
      </c>
      <c r="F136" s="15">
        <v>564.96</v>
      </c>
      <c r="G136" s="16">
        <f t="shared" si="30"/>
        <v>34688.544000000002</v>
      </c>
      <c r="H136" s="17">
        <v>46076.86</v>
      </c>
      <c r="I136" s="18">
        <f t="shared" si="31"/>
        <v>2829119.2039999999</v>
      </c>
      <c r="J136" s="19" t="s">
        <v>13</v>
      </c>
      <c r="K136" s="52" t="s">
        <v>14</v>
      </c>
    </row>
    <row r="137" spans="1:11" ht="30" x14ac:dyDescent="0.25">
      <c r="A137" s="45">
        <f t="shared" si="32"/>
        <v>121</v>
      </c>
      <c r="B137" s="22">
        <v>46058</v>
      </c>
      <c r="C137" s="23">
        <v>8610736</v>
      </c>
      <c r="D137" s="24">
        <v>73177438</v>
      </c>
      <c r="E137" s="25">
        <v>61.55</v>
      </c>
      <c r="F137" s="15">
        <v>564.96</v>
      </c>
      <c r="G137" s="16">
        <f t="shared" si="30"/>
        <v>34773.288</v>
      </c>
      <c r="H137" s="17">
        <v>46076.86</v>
      </c>
      <c r="I137" s="18">
        <f t="shared" si="31"/>
        <v>2836030.733</v>
      </c>
      <c r="J137" s="19" t="s">
        <v>13</v>
      </c>
      <c r="K137" s="52" t="s">
        <v>14</v>
      </c>
    </row>
    <row r="138" spans="1:11" ht="30" x14ac:dyDescent="0.25">
      <c r="A138" s="45">
        <f t="shared" si="32"/>
        <v>122</v>
      </c>
      <c r="B138" s="22">
        <v>46058</v>
      </c>
      <c r="C138" s="23">
        <v>8610736</v>
      </c>
      <c r="D138" s="24">
        <v>73185142</v>
      </c>
      <c r="E138" s="25">
        <v>61.5</v>
      </c>
      <c r="F138" s="15">
        <v>564.96</v>
      </c>
      <c r="G138" s="16">
        <f t="shared" si="30"/>
        <v>34745.040000000001</v>
      </c>
      <c r="H138" s="17">
        <v>46076.86</v>
      </c>
      <c r="I138" s="18">
        <f t="shared" si="31"/>
        <v>2833726.89</v>
      </c>
      <c r="J138" s="19" t="s">
        <v>13</v>
      </c>
      <c r="K138" s="52" t="s">
        <v>14</v>
      </c>
    </row>
    <row r="139" spans="1:11" ht="30" x14ac:dyDescent="0.25">
      <c r="A139" s="45">
        <f t="shared" si="32"/>
        <v>123</v>
      </c>
      <c r="B139" s="22">
        <v>46058</v>
      </c>
      <c r="C139" s="23">
        <v>8610736</v>
      </c>
      <c r="D139" s="24">
        <v>73227852</v>
      </c>
      <c r="E139" s="25">
        <v>61.4</v>
      </c>
      <c r="F139" s="15">
        <v>564.96</v>
      </c>
      <c r="G139" s="16">
        <f t="shared" si="30"/>
        <v>34688.544000000002</v>
      </c>
      <c r="H139" s="17">
        <v>46076.86</v>
      </c>
      <c r="I139" s="18">
        <f t="shared" si="31"/>
        <v>2829119.2039999999</v>
      </c>
      <c r="J139" s="19" t="s">
        <v>13</v>
      </c>
      <c r="K139" s="52" t="s">
        <v>14</v>
      </c>
    </row>
    <row r="140" spans="1:11" ht="30" x14ac:dyDescent="0.25">
      <c r="A140" s="45">
        <f t="shared" si="32"/>
        <v>124</v>
      </c>
      <c r="B140" s="22">
        <v>46058</v>
      </c>
      <c r="C140" s="23">
        <v>8610736</v>
      </c>
      <c r="D140" s="24">
        <v>73227928</v>
      </c>
      <c r="E140" s="25">
        <v>61.5</v>
      </c>
      <c r="F140" s="15">
        <v>564.96</v>
      </c>
      <c r="G140" s="16">
        <f t="shared" si="30"/>
        <v>34745.040000000001</v>
      </c>
      <c r="H140" s="17">
        <v>46076.86</v>
      </c>
      <c r="I140" s="18">
        <f t="shared" si="31"/>
        <v>2833726.89</v>
      </c>
      <c r="J140" s="19" t="s">
        <v>13</v>
      </c>
      <c r="K140" s="52" t="s">
        <v>14</v>
      </c>
    </row>
    <row r="141" spans="1:11" ht="30.75" thickBot="1" x14ac:dyDescent="0.3">
      <c r="A141" s="42">
        <f t="shared" si="32"/>
        <v>125</v>
      </c>
      <c r="B141" s="39">
        <v>46058</v>
      </c>
      <c r="C141" s="28">
        <v>8610736</v>
      </c>
      <c r="D141" s="29">
        <v>75288126</v>
      </c>
      <c r="E141" s="30">
        <v>61.8</v>
      </c>
      <c r="F141" s="15">
        <v>564.96</v>
      </c>
      <c r="G141" s="43">
        <f t="shared" si="30"/>
        <v>34914.527999999998</v>
      </c>
      <c r="H141" s="46">
        <v>46076.86</v>
      </c>
      <c r="I141" s="47">
        <f t="shared" si="31"/>
        <v>2847549.9479999999</v>
      </c>
      <c r="J141" s="19" t="s">
        <v>13</v>
      </c>
      <c r="K141" s="53" t="s">
        <v>14</v>
      </c>
    </row>
    <row r="142" spans="1:11" ht="15.75" thickBot="1" x14ac:dyDescent="0.3">
      <c r="A142" s="31"/>
      <c r="B142" s="32"/>
      <c r="C142" s="32"/>
      <c r="D142" s="32"/>
      <c r="E142" s="44"/>
      <c r="F142" s="34"/>
      <c r="G142" s="35"/>
      <c r="H142" s="32"/>
      <c r="I142" s="36"/>
      <c r="J142" s="32"/>
      <c r="K142" s="64"/>
    </row>
    <row r="143" spans="1:11" ht="30" x14ac:dyDescent="0.25">
      <c r="A143" s="10">
        <v>126</v>
      </c>
      <c r="B143" s="11">
        <v>46058</v>
      </c>
      <c r="C143" s="12">
        <v>8610751</v>
      </c>
      <c r="D143" s="13">
        <v>50042977</v>
      </c>
      <c r="E143" s="14">
        <v>61.45</v>
      </c>
      <c r="F143" s="15">
        <v>564.96</v>
      </c>
      <c r="G143" s="16">
        <f t="shared" ref="G143:G173" si="33">E143*F143</f>
        <v>34716.792000000001</v>
      </c>
      <c r="H143" s="17">
        <v>46076.86</v>
      </c>
      <c r="I143" s="18">
        <f t="shared" ref="I143:I173" si="34">E143*H143</f>
        <v>2831423.0470000003</v>
      </c>
      <c r="J143" s="50" t="s">
        <v>13</v>
      </c>
      <c r="K143" s="81" t="s">
        <v>14</v>
      </c>
    </row>
    <row r="144" spans="1:11" ht="30" x14ac:dyDescent="0.25">
      <c r="A144" s="21">
        <f>A143+1</f>
        <v>127</v>
      </c>
      <c r="B144" s="22">
        <v>46058</v>
      </c>
      <c r="C144" s="23">
        <v>8610751</v>
      </c>
      <c r="D144" s="24">
        <v>50175504</v>
      </c>
      <c r="E144" s="25">
        <v>61.55</v>
      </c>
      <c r="F144" s="15">
        <v>564.96</v>
      </c>
      <c r="G144" s="16">
        <f t="shared" si="33"/>
        <v>34773.288</v>
      </c>
      <c r="H144" s="17">
        <v>46076.86</v>
      </c>
      <c r="I144" s="18">
        <f t="shared" si="34"/>
        <v>2836030.733</v>
      </c>
      <c r="J144" s="19" t="s">
        <v>13</v>
      </c>
      <c r="K144" s="82" t="s">
        <v>14</v>
      </c>
    </row>
    <row r="145" spans="1:11" ht="30" x14ac:dyDescent="0.25">
      <c r="A145" s="21">
        <f t="shared" ref="A145:A173" si="35">A144+1</f>
        <v>128</v>
      </c>
      <c r="B145" s="22">
        <v>46058</v>
      </c>
      <c r="C145" s="23">
        <v>8610751</v>
      </c>
      <c r="D145" s="24">
        <v>50355502</v>
      </c>
      <c r="E145" s="25">
        <v>51.4</v>
      </c>
      <c r="F145" s="15">
        <v>564.96</v>
      </c>
      <c r="G145" s="16">
        <f t="shared" si="33"/>
        <v>29038.944</v>
      </c>
      <c r="H145" s="17">
        <v>46076.86</v>
      </c>
      <c r="I145" s="18">
        <f t="shared" si="34"/>
        <v>2368350.6039999998</v>
      </c>
      <c r="J145" s="19" t="s">
        <v>13</v>
      </c>
      <c r="K145" s="82" t="s">
        <v>14</v>
      </c>
    </row>
    <row r="146" spans="1:11" ht="30" x14ac:dyDescent="0.25">
      <c r="A146" s="21">
        <f t="shared" si="35"/>
        <v>129</v>
      </c>
      <c r="B146" s="22">
        <v>46058</v>
      </c>
      <c r="C146" s="23">
        <v>8610752</v>
      </c>
      <c r="D146" s="24">
        <v>50357672</v>
      </c>
      <c r="E146" s="25">
        <v>53.35</v>
      </c>
      <c r="F146" s="15">
        <v>564.96</v>
      </c>
      <c r="G146" s="16">
        <f t="shared" si="33"/>
        <v>30140.616000000002</v>
      </c>
      <c r="H146" s="17">
        <v>46076.86</v>
      </c>
      <c r="I146" s="18">
        <f t="shared" si="34"/>
        <v>2458200.4810000001</v>
      </c>
      <c r="J146" s="19" t="s">
        <v>13</v>
      </c>
      <c r="K146" s="82" t="s">
        <v>14</v>
      </c>
    </row>
    <row r="147" spans="1:11" ht="30" x14ac:dyDescent="0.25">
      <c r="A147" s="21">
        <f t="shared" si="35"/>
        <v>130</v>
      </c>
      <c r="B147" s="22">
        <v>46058</v>
      </c>
      <c r="C147" s="23">
        <v>8610751</v>
      </c>
      <c r="D147" s="24">
        <v>50408194</v>
      </c>
      <c r="E147" s="25">
        <v>61.65</v>
      </c>
      <c r="F147" s="15">
        <v>564.96</v>
      </c>
      <c r="G147" s="16">
        <f t="shared" si="33"/>
        <v>34829.784</v>
      </c>
      <c r="H147" s="17">
        <v>46076.86</v>
      </c>
      <c r="I147" s="18">
        <f t="shared" si="34"/>
        <v>2840638.4189999998</v>
      </c>
      <c r="J147" s="19" t="s">
        <v>13</v>
      </c>
      <c r="K147" s="82" t="s">
        <v>14</v>
      </c>
    </row>
    <row r="148" spans="1:11" ht="30" x14ac:dyDescent="0.25">
      <c r="A148" s="21">
        <f t="shared" si="35"/>
        <v>131</v>
      </c>
      <c r="B148" s="22">
        <v>46058</v>
      </c>
      <c r="C148" s="23">
        <v>8610751</v>
      </c>
      <c r="D148" s="24">
        <v>51468148</v>
      </c>
      <c r="E148" s="25">
        <v>51.7</v>
      </c>
      <c r="F148" s="15">
        <v>564.96</v>
      </c>
      <c r="G148" s="16">
        <f t="shared" si="33"/>
        <v>29208.432000000004</v>
      </c>
      <c r="H148" s="17">
        <v>46076.86</v>
      </c>
      <c r="I148" s="18">
        <f t="shared" si="34"/>
        <v>2382173.662</v>
      </c>
      <c r="J148" s="19" t="s">
        <v>13</v>
      </c>
      <c r="K148" s="82" t="s">
        <v>14</v>
      </c>
    </row>
    <row r="149" spans="1:11" ht="30" x14ac:dyDescent="0.25">
      <c r="A149" s="21">
        <f t="shared" si="35"/>
        <v>132</v>
      </c>
      <c r="B149" s="22">
        <v>46058</v>
      </c>
      <c r="C149" s="23">
        <v>8610752</v>
      </c>
      <c r="D149" s="24">
        <v>51487247</v>
      </c>
      <c r="E149" s="25">
        <v>52.05</v>
      </c>
      <c r="F149" s="15">
        <v>564.96</v>
      </c>
      <c r="G149" s="16">
        <f t="shared" si="33"/>
        <v>29406.168000000001</v>
      </c>
      <c r="H149" s="17">
        <v>46076.86</v>
      </c>
      <c r="I149" s="18">
        <f t="shared" si="34"/>
        <v>2398300.5630000001</v>
      </c>
      <c r="J149" s="19" t="s">
        <v>13</v>
      </c>
      <c r="K149" s="82" t="s">
        <v>14</v>
      </c>
    </row>
    <row r="150" spans="1:11" ht="30" x14ac:dyDescent="0.25">
      <c r="A150" s="21">
        <f t="shared" si="35"/>
        <v>133</v>
      </c>
      <c r="B150" s="22">
        <v>46058</v>
      </c>
      <c r="C150" s="23">
        <v>8610752</v>
      </c>
      <c r="D150" s="24">
        <v>51514693</v>
      </c>
      <c r="E150" s="25">
        <v>60.85</v>
      </c>
      <c r="F150" s="15">
        <v>564.96</v>
      </c>
      <c r="G150" s="16">
        <f t="shared" si="33"/>
        <v>34377.816000000006</v>
      </c>
      <c r="H150" s="17">
        <v>46076.86</v>
      </c>
      <c r="I150" s="18">
        <f t="shared" si="34"/>
        <v>2803776.9310000003</v>
      </c>
      <c r="J150" s="19" t="s">
        <v>13</v>
      </c>
      <c r="K150" s="82" t="s">
        <v>14</v>
      </c>
    </row>
    <row r="151" spans="1:11" ht="30" x14ac:dyDescent="0.25">
      <c r="A151" s="21">
        <f t="shared" si="35"/>
        <v>134</v>
      </c>
      <c r="B151" s="22">
        <v>46058</v>
      </c>
      <c r="C151" s="23">
        <v>8610751</v>
      </c>
      <c r="D151" s="24">
        <v>51835858</v>
      </c>
      <c r="E151" s="25">
        <v>61.15</v>
      </c>
      <c r="F151" s="15">
        <v>564.96</v>
      </c>
      <c r="G151" s="16">
        <f t="shared" si="33"/>
        <v>34547.304000000004</v>
      </c>
      <c r="H151" s="17">
        <v>46076.86</v>
      </c>
      <c r="I151" s="18">
        <f t="shared" si="34"/>
        <v>2817599.9890000001</v>
      </c>
      <c r="J151" s="19" t="s">
        <v>13</v>
      </c>
      <c r="K151" s="82" t="s">
        <v>14</v>
      </c>
    </row>
    <row r="152" spans="1:11" ht="30" x14ac:dyDescent="0.25">
      <c r="A152" s="21">
        <f t="shared" si="35"/>
        <v>135</v>
      </c>
      <c r="B152" s="22">
        <v>46058</v>
      </c>
      <c r="C152" s="23">
        <v>8610751</v>
      </c>
      <c r="D152" s="24">
        <v>53995361</v>
      </c>
      <c r="E152" s="25">
        <v>51.75</v>
      </c>
      <c r="F152" s="15">
        <v>564.96</v>
      </c>
      <c r="G152" s="16">
        <f t="shared" si="33"/>
        <v>29236.68</v>
      </c>
      <c r="H152" s="17">
        <v>46076.86</v>
      </c>
      <c r="I152" s="18">
        <f t="shared" si="34"/>
        <v>2384477.5049999999</v>
      </c>
      <c r="J152" s="19" t="s">
        <v>13</v>
      </c>
      <c r="K152" s="82" t="s">
        <v>14</v>
      </c>
    </row>
    <row r="153" spans="1:11" ht="30" x14ac:dyDescent="0.25">
      <c r="A153" s="21">
        <f t="shared" si="35"/>
        <v>136</v>
      </c>
      <c r="B153" s="22">
        <v>46058</v>
      </c>
      <c r="C153" s="23">
        <v>8610751</v>
      </c>
      <c r="D153" s="24">
        <v>54074679</v>
      </c>
      <c r="E153" s="25">
        <v>61.6</v>
      </c>
      <c r="F153" s="15">
        <v>564.96</v>
      </c>
      <c r="G153" s="16">
        <f t="shared" si="33"/>
        <v>34801.536</v>
      </c>
      <c r="H153" s="17">
        <v>46076.86</v>
      </c>
      <c r="I153" s="18">
        <f t="shared" si="34"/>
        <v>2838334.5759999999</v>
      </c>
      <c r="J153" s="19" t="s">
        <v>13</v>
      </c>
      <c r="K153" s="82" t="s">
        <v>14</v>
      </c>
    </row>
    <row r="154" spans="1:11" ht="30" x14ac:dyDescent="0.25">
      <c r="A154" s="21">
        <f t="shared" si="35"/>
        <v>137</v>
      </c>
      <c r="B154" s="22">
        <v>46058</v>
      </c>
      <c r="C154" s="23">
        <v>8610752</v>
      </c>
      <c r="D154" s="24">
        <v>54099551</v>
      </c>
      <c r="E154" s="25">
        <v>61.25</v>
      </c>
      <c r="F154" s="15">
        <v>564.96</v>
      </c>
      <c r="G154" s="16">
        <f t="shared" si="33"/>
        <v>34603.800000000003</v>
      </c>
      <c r="H154" s="17">
        <v>46076.86</v>
      </c>
      <c r="I154" s="18">
        <f t="shared" si="34"/>
        <v>2822207.6749999998</v>
      </c>
      <c r="J154" s="19" t="s">
        <v>13</v>
      </c>
      <c r="K154" s="82" t="s">
        <v>14</v>
      </c>
    </row>
    <row r="155" spans="1:11" ht="30" x14ac:dyDescent="0.25">
      <c r="A155" s="21">
        <f t="shared" si="35"/>
        <v>138</v>
      </c>
      <c r="B155" s="22">
        <v>46058</v>
      </c>
      <c r="C155" s="23">
        <v>8610751</v>
      </c>
      <c r="D155" s="24">
        <v>55948368</v>
      </c>
      <c r="E155" s="25">
        <v>61.65</v>
      </c>
      <c r="F155" s="15">
        <v>564.96</v>
      </c>
      <c r="G155" s="16">
        <f t="shared" si="33"/>
        <v>34829.784</v>
      </c>
      <c r="H155" s="17">
        <v>46076.86</v>
      </c>
      <c r="I155" s="18">
        <f t="shared" si="34"/>
        <v>2840638.4189999998</v>
      </c>
      <c r="J155" s="19" t="s">
        <v>13</v>
      </c>
      <c r="K155" s="82" t="s">
        <v>14</v>
      </c>
    </row>
    <row r="156" spans="1:11" ht="30" x14ac:dyDescent="0.25">
      <c r="A156" s="21">
        <f t="shared" si="35"/>
        <v>139</v>
      </c>
      <c r="B156" s="22">
        <v>46058</v>
      </c>
      <c r="C156" s="23">
        <v>8610752</v>
      </c>
      <c r="D156" s="24">
        <v>56908015</v>
      </c>
      <c r="E156" s="25">
        <v>61.3</v>
      </c>
      <c r="F156" s="15">
        <v>564.96</v>
      </c>
      <c r="G156" s="16">
        <f t="shared" si="33"/>
        <v>34632.048000000003</v>
      </c>
      <c r="H156" s="17">
        <v>46076.86</v>
      </c>
      <c r="I156" s="18">
        <f t="shared" si="34"/>
        <v>2824511.5179999997</v>
      </c>
      <c r="J156" s="19" t="s">
        <v>13</v>
      </c>
      <c r="K156" s="82" t="s">
        <v>14</v>
      </c>
    </row>
    <row r="157" spans="1:11" ht="30" x14ac:dyDescent="0.25">
      <c r="A157" s="21">
        <f t="shared" si="35"/>
        <v>140</v>
      </c>
      <c r="B157" s="22">
        <v>46058</v>
      </c>
      <c r="C157" s="23">
        <v>8610751</v>
      </c>
      <c r="D157" s="24">
        <v>57118283</v>
      </c>
      <c r="E157" s="25">
        <v>61.45</v>
      </c>
      <c r="F157" s="15">
        <v>564.96</v>
      </c>
      <c r="G157" s="16">
        <f t="shared" si="33"/>
        <v>34716.792000000001</v>
      </c>
      <c r="H157" s="17">
        <v>46076.86</v>
      </c>
      <c r="I157" s="18">
        <f t="shared" si="34"/>
        <v>2831423.0470000003</v>
      </c>
      <c r="J157" s="19" t="s">
        <v>13</v>
      </c>
      <c r="K157" s="82" t="s">
        <v>14</v>
      </c>
    </row>
    <row r="158" spans="1:11" ht="30" x14ac:dyDescent="0.25">
      <c r="A158" s="21">
        <f t="shared" si="35"/>
        <v>141</v>
      </c>
      <c r="B158" s="22">
        <v>46058</v>
      </c>
      <c r="C158" s="23">
        <v>8610752</v>
      </c>
      <c r="D158" s="24">
        <v>57341505</v>
      </c>
      <c r="E158" s="25">
        <v>61.25</v>
      </c>
      <c r="F158" s="15">
        <v>564.96</v>
      </c>
      <c r="G158" s="16">
        <f t="shared" si="33"/>
        <v>34603.800000000003</v>
      </c>
      <c r="H158" s="17">
        <v>46076.86</v>
      </c>
      <c r="I158" s="18">
        <f t="shared" si="34"/>
        <v>2822207.6749999998</v>
      </c>
      <c r="J158" s="19" t="s">
        <v>13</v>
      </c>
      <c r="K158" s="82" t="s">
        <v>14</v>
      </c>
    </row>
    <row r="159" spans="1:11" ht="30" x14ac:dyDescent="0.25">
      <c r="A159" s="21">
        <f t="shared" si="35"/>
        <v>142</v>
      </c>
      <c r="B159" s="22">
        <v>46058</v>
      </c>
      <c r="C159" s="23">
        <v>8610752</v>
      </c>
      <c r="D159" s="24">
        <v>58644303</v>
      </c>
      <c r="E159" s="25">
        <v>61.65</v>
      </c>
      <c r="F159" s="15">
        <v>564.96</v>
      </c>
      <c r="G159" s="16">
        <f t="shared" si="33"/>
        <v>34829.784</v>
      </c>
      <c r="H159" s="17">
        <v>46076.86</v>
      </c>
      <c r="I159" s="18">
        <f t="shared" si="34"/>
        <v>2840638.4189999998</v>
      </c>
      <c r="J159" s="19" t="s">
        <v>13</v>
      </c>
      <c r="K159" s="82" t="s">
        <v>14</v>
      </c>
    </row>
    <row r="160" spans="1:11" ht="30" x14ac:dyDescent="0.25">
      <c r="A160" s="21">
        <f t="shared" si="35"/>
        <v>143</v>
      </c>
      <c r="B160" s="22">
        <v>46058</v>
      </c>
      <c r="C160" s="23">
        <v>8610752</v>
      </c>
      <c r="D160" s="24">
        <v>71046734</v>
      </c>
      <c r="E160" s="25">
        <v>60.65</v>
      </c>
      <c r="F160" s="15">
        <v>564.96</v>
      </c>
      <c r="G160" s="16">
        <f t="shared" si="33"/>
        <v>34264.824000000001</v>
      </c>
      <c r="H160" s="17">
        <v>46076.86</v>
      </c>
      <c r="I160" s="18">
        <f t="shared" si="34"/>
        <v>2794561.5589999999</v>
      </c>
      <c r="J160" s="19" t="s">
        <v>13</v>
      </c>
      <c r="K160" s="82" t="s">
        <v>14</v>
      </c>
    </row>
    <row r="161" spans="1:11" ht="30" x14ac:dyDescent="0.25">
      <c r="A161" s="21">
        <f t="shared" si="35"/>
        <v>144</v>
      </c>
      <c r="B161" s="22">
        <v>46058</v>
      </c>
      <c r="C161" s="23">
        <v>8610751</v>
      </c>
      <c r="D161" s="24">
        <v>73000911</v>
      </c>
      <c r="E161" s="25">
        <v>61.55</v>
      </c>
      <c r="F161" s="15">
        <v>564.96</v>
      </c>
      <c r="G161" s="16">
        <f t="shared" si="33"/>
        <v>34773.288</v>
      </c>
      <c r="H161" s="17">
        <v>46076.86</v>
      </c>
      <c r="I161" s="18">
        <f t="shared" si="34"/>
        <v>2836030.733</v>
      </c>
      <c r="J161" s="19" t="s">
        <v>13</v>
      </c>
      <c r="K161" s="82" t="s">
        <v>14</v>
      </c>
    </row>
    <row r="162" spans="1:11" ht="30" x14ac:dyDescent="0.25">
      <c r="A162" s="21">
        <f t="shared" si="35"/>
        <v>145</v>
      </c>
      <c r="B162" s="22">
        <v>46058</v>
      </c>
      <c r="C162" s="23">
        <v>8610751</v>
      </c>
      <c r="D162" s="24">
        <v>73059545</v>
      </c>
      <c r="E162" s="25">
        <v>61.65</v>
      </c>
      <c r="F162" s="15">
        <v>564.96</v>
      </c>
      <c r="G162" s="16">
        <f t="shared" si="33"/>
        <v>34829.784</v>
      </c>
      <c r="H162" s="17">
        <v>46076.86</v>
      </c>
      <c r="I162" s="18">
        <f t="shared" si="34"/>
        <v>2840638.4189999998</v>
      </c>
      <c r="J162" s="19" t="s">
        <v>13</v>
      </c>
      <c r="K162" s="82" t="s">
        <v>14</v>
      </c>
    </row>
    <row r="163" spans="1:11" ht="30" x14ac:dyDescent="0.25">
      <c r="A163" s="21">
        <f t="shared" si="35"/>
        <v>146</v>
      </c>
      <c r="B163" s="22">
        <v>46058</v>
      </c>
      <c r="C163" s="23">
        <v>8610752</v>
      </c>
      <c r="D163" s="24">
        <v>73196453</v>
      </c>
      <c r="E163" s="25">
        <v>61.7</v>
      </c>
      <c r="F163" s="15">
        <v>564.96</v>
      </c>
      <c r="G163" s="16">
        <f t="shared" si="33"/>
        <v>34858.032000000007</v>
      </c>
      <c r="H163" s="17">
        <v>46076.86</v>
      </c>
      <c r="I163" s="18">
        <f t="shared" si="34"/>
        <v>2842942.2620000001</v>
      </c>
      <c r="J163" s="19" t="s">
        <v>13</v>
      </c>
      <c r="K163" s="82" t="s">
        <v>14</v>
      </c>
    </row>
    <row r="164" spans="1:11" ht="30" x14ac:dyDescent="0.25">
      <c r="A164" s="21">
        <f t="shared" si="35"/>
        <v>147</v>
      </c>
      <c r="B164" s="22">
        <v>46058</v>
      </c>
      <c r="C164" s="23">
        <v>8610752</v>
      </c>
      <c r="D164" s="24">
        <v>73652281</v>
      </c>
      <c r="E164" s="25">
        <v>61.55</v>
      </c>
      <c r="F164" s="15">
        <v>564.96</v>
      </c>
      <c r="G164" s="16">
        <f t="shared" si="33"/>
        <v>34773.288</v>
      </c>
      <c r="H164" s="17">
        <v>46076.86</v>
      </c>
      <c r="I164" s="18">
        <f t="shared" si="34"/>
        <v>2836030.733</v>
      </c>
      <c r="J164" s="19" t="s">
        <v>13</v>
      </c>
      <c r="K164" s="82" t="s">
        <v>14</v>
      </c>
    </row>
    <row r="165" spans="1:11" ht="30" x14ac:dyDescent="0.25">
      <c r="A165" s="21">
        <f t="shared" si="35"/>
        <v>148</v>
      </c>
      <c r="B165" s="22">
        <v>46058</v>
      </c>
      <c r="C165" s="23">
        <v>8610752</v>
      </c>
      <c r="D165" s="24">
        <v>73965584</v>
      </c>
      <c r="E165" s="25">
        <v>61.55</v>
      </c>
      <c r="F165" s="15">
        <v>564.96</v>
      </c>
      <c r="G165" s="16">
        <f t="shared" si="33"/>
        <v>34773.288</v>
      </c>
      <c r="H165" s="17">
        <v>46076.86</v>
      </c>
      <c r="I165" s="18">
        <f t="shared" si="34"/>
        <v>2836030.733</v>
      </c>
      <c r="J165" s="19" t="s">
        <v>13</v>
      </c>
      <c r="K165" s="82" t="s">
        <v>14</v>
      </c>
    </row>
    <row r="166" spans="1:11" ht="30" x14ac:dyDescent="0.25">
      <c r="A166" s="21">
        <f t="shared" si="35"/>
        <v>149</v>
      </c>
      <c r="B166" s="22">
        <v>46058</v>
      </c>
      <c r="C166" s="23">
        <v>8610751</v>
      </c>
      <c r="D166" s="24">
        <v>73966764</v>
      </c>
      <c r="E166" s="25">
        <v>61.55</v>
      </c>
      <c r="F166" s="15">
        <v>564.96</v>
      </c>
      <c r="G166" s="16">
        <f t="shared" si="33"/>
        <v>34773.288</v>
      </c>
      <c r="H166" s="17">
        <v>46076.86</v>
      </c>
      <c r="I166" s="18">
        <f t="shared" si="34"/>
        <v>2836030.733</v>
      </c>
      <c r="J166" s="19" t="s">
        <v>13</v>
      </c>
      <c r="K166" s="82" t="s">
        <v>14</v>
      </c>
    </row>
    <row r="167" spans="1:11" ht="30" x14ac:dyDescent="0.25">
      <c r="A167" s="21">
        <f t="shared" si="35"/>
        <v>150</v>
      </c>
      <c r="B167" s="22">
        <v>46058</v>
      </c>
      <c r="C167" s="23">
        <v>8610752</v>
      </c>
      <c r="D167" s="24">
        <v>73989964</v>
      </c>
      <c r="E167" s="25">
        <v>61.6</v>
      </c>
      <c r="F167" s="15">
        <v>564.96</v>
      </c>
      <c r="G167" s="16">
        <f t="shared" si="33"/>
        <v>34801.536</v>
      </c>
      <c r="H167" s="17">
        <v>46076.86</v>
      </c>
      <c r="I167" s="18">
        <f t="shared" si="34"/>
        <v>2838334.5759999999</v>
      </c>
      <c r="J167" s="19" t="s">
        <v>13</v>
      </c>
      <c r="K167" s="82" t="s">
        <v>14</v>
      </c>
    </row>
    <row r="168" spans="1:11" ht="30" x14ac:dyDescent="0.25">
      <c r="A168" s="21">
        <f t="shared" si="35"/>
        <v>151</v>
      </c>
      <c r="B168" s="22">
        <v>46058</v>
      </c>
      <c r="C168" s="23">
        <v>8610751</v>
      </c>
      <c r="D168" s="24">
        <v>75009159</v>
      </c>
      <c r="E168" s="25">
        <v>61.65</v>
      </c>
      <c r="F168" s="15">
        <v>564.96</v>
      </c>
      <c r="G168" s="16">
        <f t="shared" si="33"/>
        <v>34829.784</v>
      </c>
      <c r="H168" s="17">
        <v>46076.86</v>
      </c>
      <c r="I168" s="18">
        <f t="shared" si="34"/>
        <v>2840638.4189999998</v>
      </c>
      <c r="J168" s="19" t="s">
        <v>13</v>
      </c>
      <c r="K168" s="82" t="s">
        <v>14</v>
      </c>
    </row>
    <row r="169" spans="1:11" ht="30" x14ac:dyDescent="0.25">
      <c r="A169" s="21">
        <f t="shared" si="35"/>
        <v>152</v>
      </c>
      <c r="B169" s="22">
        <v>46058</v>
      </c>
      <c r="C169" s="23">
        <v>8610751</v>
      </c>
      <c r="D169" s="24">
        <v>75009811</v>
      </c>
      <c r="E169" s="25">
        <v>61.5</v>
      </c>
      <c r="F169" s="15">
        <v>564.96</v>
      </c>
      <c r="G169" s="16">
        <f t="shared" si="33"/>
        <v>34745.040000000001</v>
      </c>
      <c r="H169" s="17">
        <v>46076.86</v>
      </c>
      <c r="I169" s="18">
        <f t="shared" si="34"/>
        <v>2833726.89</v>
      </c>
      <c r="J169" s="19" t="s">
        <v>13</v>
      </c>
      <c r="K169" s="82" t="s">
        <v>14</v>
      </c>
    </row>
    <row r="170" spans="1:11" ht="30" x14ac:dyDescent="0.25">
      <c r="A170" s="21">
        <f t="shared" si="35"/>
        <v>153</v>
      </c>
      <c r="B170" s="22">
        <v>46058</v>
      </c>
      <c r="C170" s="23">
        <v>8610752</v>
      </c>
      <c r="D170" s="24">
        <v>75242537</v>
      </c>
      <c r="E170" s="25">
        <v>62.05</v>
      </c>
      <c r="F170" s="15">
        <v>564.96</v>
      </c>
      <c r="G170" s="16">
        <f t="shared" si="33"/>
        <v>35055.768000000004</v>
      </c>
      <c r="H170" s="17">
        <v>46076.86</v>
      </c>
      <c r="I170" s="18">
        <f t="shared" si="34"/>
        <v>2859069.1629999997</v>
      </c>
      <c r="J170" s="19" t="s">
        <v>13</v>
      </c>
      <c r="K170" s="82" t="s">
        <v>14</v>
      </c>
    </row>
    <row r="171" spans="1:11" ht="30" x14ac:dyDescent="0.25">
      <c r="A171" s="21">
        <f t="shared" si="35"/>
        <v>154</v>
      </c>
      <c r="B171" s="22">
        <v>46058</v>
      </c>
      <c r="C171" s="23">
        <v>8610752</v>
      </c>
      <c r="D171" s="24">
        <v>75292706</v>
      </c>
      <c r="E171" s="25">
        <v>62.25</v>
      </c>
      <c r="F171" s="15">
        <v>564.96</v>
      </c>
      <c r="G171" s="16">
        <f t="shared" si="33"/>
        <v>35168.76</v>
      </c>
      <c r="H171" s="17">
        <v>46076.86</v>
      </c>
      <c r="I171" s="18">
        <f t="shared" si="34"/>
        <v>2868284.5350000001</v>
      </c>
      <c r="J171" s="19" t="s">
        <v>13</v>
      </c>
      <c r="K171" s="82" t="s">
        <v>14</v>
      </c>
    </row>
    <row r="172" spans="1:11" ht="30" x14ac:dyDescent="0.25">
      <c r="A172" s="21">
        <f t="shared" si="35"/>
        <v>155</v>
      </c>
      <c r="B172" s="22">
        <v>46058</v>
      </c>
      <c r="C172" s="23">
        <v>8610752</v>
      </c>
      <c r="D172" s="24">
        <v>75807099</v>
      </c>
      <c r="E172" s="25">
        <v>62.25</v>
      </c>
      <c r="F172" s="15">
        <v>564.96</v>
      </c>
      <c r="G172" s="16">
        <f t="shared" si="33"/>
        <v>35168.76</v>
      </c>
      <c r="H172" s="17">
        <v>46076.86</v>
      </c>
      <c r="I172" s="18">
        <f t="shared" si="34"/>
        <v>2868284.5350000001</v>
      </c>
      <c r="J172" s="19" t="s">
        <v>13</v>
      </c>
      <c r="K172" s="82" t="s">
        <v>14</v>
      </c>
    </row>
    <row r="173" spans="1:11" ht="30.75" thickBot="1" x14ac:dyDescent="0.3">
      <c r="A173" s="65">
        <f t="shared" si="35"/>
        <v>156</v>
      </c>
      <c r="B173" s="27">
        <v>46058</v>
      </c>
      <c r="C173" s="28">
        <v>8610752</v>
      </c>
      <c r="D173" s="29">
        <v>76069392</v>
      </c>
      <c r="E173" s="30">
        <v>61.85</v>
      </c>
      <c r="F173" s="15">
        <v>564.96</v>
      </c>
      <c r="G173" s="43">
        <f t="shared" si="33"/>
        <v>34942.776000000005</v>
      </c>
      <c r="H173" s="46">
        <v>46076.86</v>
      </c>
      <c r="I173" s="47">
        <f t="shared" si="34"/>
        <v>2849853.7910000002</v>
      </c>
      <c r="J173" s="19" t="s">
        <v>13</v>
      </c>
      <c r="K173" s="83" t="s">
        <v>14</v>
      </c>
    </row>
    <row r="174" spans="1:11" ht="15.75" thickBot="1" x14ac:dyDescent="0.3">
      <c r="A174" s="31"/>
      <c r="B174" s="32"/>
      <c r="C174" s="32"/>
      <c r="D174" s="32"/>
      <c r="E174" s="33"/>
      <c r="F174" s="34"/>
      <c r="G174" s="35"/>
      <c r="H174" s="32"/>
      <c r="I174" s="36"/>
      <c r="J174" s="32"/>
      <c r="K174" s="64"/>
    </row>
    <row r="175" spans="1:11" ht="30" x14ac:dyDescent="0.25">
      <c r="A175" s="84">
        <v>157</v>
      </c>
      <c r="B175" s="85">
        <v>46059</v>
      </c>
      <c r="C175" s="86">
        <v>8610806</v>
      </c>
      <c r="D175" s="87">
        <v>51608834</v>
      </c>
      <c r="E175" s="88">
        <v>61.05</v>
      </c>
      <c r="F175" s="15">
        <v>564.96</v>
      </c>
      <c r="G175" s="89">
        <f t="shared" ref="G175:G184" si="36">E175*F175</f>
        <v>34490.807999999997</v>
      </c>
      <c r="H175" s="90">
        <v>46076.86</v>
      </c>
      <c r="I175" s="91">
        <f t="shared" ref="I175:I184" si="37">E175*H175</f>
        <v>2812992.3029999998</v>
      </c>
      <c r="J175" s="92" t="s">
        <v>13</v>
      </c>
      <c r="K175" s="93" t="s">
        <v>14</v>
      </c>
    </row>
    <row r="176" spans="1:11" ht="30" x14ac:dyDescent="0.25">
      <c r="A176" s="45">
        <f>A175+1</f>
        <v>158</v>
      </c>
      <c r="B176" s="22">
        <v>46059</v>
      </c>
      <c r="C176" s="23">
        <v>8610806</v>
      </c>
      <c r="D176" s="24">
        <v>73009870</v>
      </c>
      <c r="E176" s="25">
        <v>61.75</v>
      </c>
      <c r="F176" s="15">
        <v>564.96</v>
      </c>
      <c r="G176" s="16">
        <f t="shared" si="36"/>
        <v>34886.28</v>
      </c>
      <c r="H176" s="17">
        <v>46076.86</v>
      </c>
      <c r="I176" s="18">
        <f t="shared" si="37"/>
        <v>2845246.105</v>
      </c>
      <c r="J176" s="19" t="s">
        <v>13</v>
      </c>
      <c r="K176" s="52" t="s">
        <v>14</v>
      </c>
    </row>
    <row r="177" spans="1:11" ht="30" x14ac:dyDescent="0.25">
      <c r="A177" s="45">
        <f t="shared" ref="A177:A184" si="38">A176+1</f>
        <v>159</v>
      </c>
      <c r="B177" s="22">
        <v>46059</v>
      </c>
      <c r="C177" s="23">
        <v>8610806</v>
      </c>
      <c r="D177" s="24">
        <v>73092470</v>
      </c>
      <c r="E177" s="25">
        <v>61.65</v>
      </c>
      <c r="F177" s="15">
        <v>564.96</v>
      </c>
      <c r="G177" s="16">
        <f t="shared" si="36"/>
        <v>34829.784</v>
      </c>
      <c r="H177" s="17">
        <v>46076.86</v>
      </c>
      <c r="I177" s="18">
        <f t="shared" si="37"/>
        <v>2840638.4189999998</v>
      </c>
      <c r="J177" s="19" t="s">
        <v>13</v>
      </c>
      <c r="K177" s="52" t="s">
        <v>14</v>
      </c>
    </row>
    <row r="178" spans="1:11" ht="30" x14ac:dyDescent="0.25">
      <c r="A178" s="45">
        <f t="shared" si="38"/>
        <v>160</v>
      </c>
      <c r="B178" s="22">
        <v>46059</v>
      </c>
      <c r="C178" s="23">
        <v>8610806</v>
      </c>
      <c r="D178" s="24">
        <v>73106007</v>
      </c>
      <c r="E178" s="25">
        <v>61.7</v>
      </c>
      <c r="F178" s="15">
        <v>564.96</v>
      </c>
      <c r="G178" s="16">
        <f t="shared" si="36"/>
        <v>34858.032000000007</v>
      </c>
      <c r="H178" s="17">
        <v>46076.86</v>
      </c>
      <c r="I178" s="18">
        <f t="shared" si="37"/>
        <v>2842942.2620000001</v>
      </c>
      <c r="J178" s="19" t="s">
        <v>13</v>
      </c>
      <c r="K178" s="52" t="s">
        <v>14</v>
      </c>
    </row>
    <row r="179" spans="1:11" ht="30" x14ac:dyDescent="0.25">
      <c r="A179" s="45">
        <f t="shared" si="38"/>
        <v>161</v>
      </c>
      <c r="B179" s="22">
        <v>46059</v>
      </c>
      <c r="C179" s="23">
        <v>8610806</v>
      </c>
      <c r="D179" s="24">
        <v>73107765</v>
      </c>
      <c r="E179" s="25">
        <v>61.7</v>
      </c>
      <c r="F179" s="15">
        <v>564.96</v>
      </c>
      <c r="G179" s="16">
        <f t="shared" si="36"/>
        <v>34858.032000000007</v>
      </c>
      <c r="H179" s="17">
        <v>46076.86</v>
      </c>
      <c r="I179" s="18">
        <f t="shared" si="37"/>
        <v>2842942.2620000001</v>
      </c>
      <c r="J179" s="19" t="s">
        <v>13</v>
      </c>
      <c r="K179" s="52" t="s">
        <v>14</v>
      </c>
    </row>
    <row r="180" spans="1:11" ht="30" x14ac:dyDescent="0.25">
      <c r="A180" s="45">
        <f t="shared" si="38"/>
        <v>162</v>
      </c>
      <c r="B180" s="22">
        <v>46059</v>
      </c>
      <c r="C180" s="23">
        <v>8610806</v>
      </c>
      <c r="D180" s="24">
        <v>73110959</v>
      </c>
      <c r="E180" s="25">
        <v>61.6</v>
      </c>
      <c r="F180" s="15">
        <v>564.96</v>
      </c>
      <c r="G180" s="16">
        <f t="shared" si="36"/>
        <v>34801.536</v>
      </c>
      <c r="H180" s="17">
        <v>46076.86</v>
      </c>
      <c r="I180" s="18">
        <f t="shared" si="37"/>
        <v>2838334.5759999999</v>
      </c>
      <c r="J180" s="19" t="s">
        <v>13</v>
      </c>
      <c r="K180" s="52" t="s">
        <v>14</v>
      </c>
    </row>
    <row r="181" spans="1:11" ht="30" x14ac:dyDescent="0.25">
      <c r="A181" s="45">
        <f t="shared" si="38"/>
        <v>163</v>
      </c>
      <c r="B181" s="22">
        <v>46059</v>
      </c>
      <c r="C181" s="23">
        <v>8610806</v>
      </c>
      <c r="D181" s="24">
        <v>73112641</v>
      </c>
      <c r="E181" s="25">
        <v>61.7</v>
      </c>
      <c r="F181" s="15">
        <v>564.96</v>
      </c>
      <c r="G181" s="16">
        <f t="shared" si="36"/>
        <v>34858.032000000007</v>
      </c>
      <c r="H181" s="17">
        <v>46076.86</v>
      </c>
      <c r="I181" s="18">
        <f t="shared" si="37"/>
        <v>2842942.2620000001</v>
      </c>
      <c r="J181" s="19" t="s">
        <v>13</v>
      </c>
      <c r="K181" s="52" t="s">
        <v>14</v>
      </c>
    </row>
    <row r="182" spans="1:11" ht="30" x14ac:dyDescent="0.25">
      <c r="A182" s="45">
        <f t="shared" si="38"/>
        <v>164</v>
      </c>
      <c r="B182" s="22">
        <v>46059</v>
      </c>
      <c r="C182" s="23">
        <v>8610806</v>
      </c>
      <c r="D182" s="24">
        <v>73125221</v>
      </c>
      <c r="E182" s="25">
        <v>61.65</v>
      </c>
      <c r="F182" s="15">
        <v>564.96</v>
      </c>
      <c r="G182" s="16">
        <f t="shared" si="36"/>
        <v>34829.784</v>
      </c>
      <c r="H182" s="17">
        <v>46076.86</v>
      </c>
      <c r="I182" s="18">
        <f t="shared" si="37"/>
        <v>2840638.4189999998</v>
      </c>
      <c r="J182" s="19" t="s">
        <v>13</v>
      </c>
      <c r="K182" s="52" t="s">
        <v>14</v>
      </c>
    </row>
    <row r="183" spans="1:11" ht="30" x14ac:dyDescent="0.25">
      <c r="A183" s="45">
        <f t="shared" si="38"/>
        <v>165</v>
      </c>
      <c r="B183" s="22">
        <v>46059</v>
      </c>
      <c r="C183" s="23">
        <v>8610806</v>
      </c>
      <c r="D183" s="24">
        <v>73159170</v>
      </c>
      <c r="E183" s="25">
        <v>61.7</v>
      </c>
      <c r="F183" s="15">
        <v>564.96</v>
      </c>
      <c r="G183" s="16">
        <f t="shared" si="36"/>
        <v>34858.032000000007</v>
      </c>
      <c r="H183" s="17">
        <v>46076.86</v>
      </c>
      <c r="I183" s="18">
        <f t="shared" si="37"/>
        <v>2842942.2620000001</v>
      </c>
      <c r="J183" s="19" t="s">
        <v>13</v>
      </c>
      <c r="K183" s="52" t="s">
        <v>14</v>
      </c>
    </row>
    <row r="184" spans="1:11" ht="30.75" thickBot="1" x14ac:dyDescent="0.3">
      <c r="A184" s="54">
        <f t="shared" si="38"/>
        <v>166</v>
      </c>
      <c r="B184" s="55">
        <v>46059</v>
      </c>
      <c r="C184" s="56">
        <v>8610806</v>
      </c>
      <c r="D184" s="57">
        <v>73170201</v>
      </c>
      <c r="E184" s="58">
        <v>61.6</v>
      </c>
      <c r="F184" s="15">
        <v>564.96</v>
      </c>
      <c r="G184" s="59">
        <f t="shared" si="36"/>
        <v>34801.536</v>
      </c>
      <c r="H184" s="60">
        <v>46076.86</v>
      </c>
      <c r="I184" s="61">
        <f t="shared" si="37"/>
        <v>2838334.5759999999</v>
      </c>
      <c r="J184" s="62" t="s">
        <v>13</v>
      </c>
      <c r="K184" s="63" t="s">
        <v>14</v>
      </c>
    </row>
    <row r="185" spans="1:11" ht="15.75" thickBot="1" x14ac:dyDescent="0.3">
      <c r="A185" s="31"/>
      <c r="B185" s="32"/>
      <c r="C185" s="32"/>
      <c r="D185" s="32"/>
      <c r="E185" s="33"/>
      <c r="F185" s="34"/>
      <c r="G185" s="35"/>
      <c r="H185" s="32"/>
      <c r="I185" s="36"/>
      <c r="J185" s="32"/>
      <c r="K185" s="64"/>
    </row>
    <row r="186" spans="1:11" ht="30" x14ac:dyDescent="0.25">
      <c r="A186" s="10">
        <v>167</v>
      </c>
      <c r="B186" s="11">
        <v>46060</v>
      </c>
      <c r="C186" s="12">
        <v>8610822</v>
      </c>
      <c r="D186" s="13">
        <v>50034370</v>
      </c>
      <c r="E186" s="14">
        <v>60.95</v>
      </c>
      <c r="F186" s="15">
        <v>564.96</v>
      </c>
      <c r="G186" s="16">
        <f t="shared" ref="G186:G229" si="39">E186*F186</f>
        <v>34434.312000000005</v>
      </c>
      <c r="H186" s="17">
        <v>46076.86</v>
      </c>
      <c r="I186" s="18">
        <f t="shared" ref="I186:I229" si="40">E186*H186</f>
        <v>2808384.6170000001</v>
      </c>
      <c r="J186" s="50" t="s">
        <v>13</v>
      </c>
      <c r="K186" s="51" t="s">
        <v>14</v>
      </c>
    </row>
    <row r="187" spans="1:11" ht="30" x14ac:dyDescent="0.25">
      <c r="A187" s="21">
        <f>A186+1</f>
        <v>168</v>
      </c>
      <c r="B187" s="22">
        <v>46060</v>
      </c>
      <c r="C187" s="23">
        <v>8610822</v>
      </c>
      <c r="D187" s="24">
        <v>50133438</v>
      </c>
      <c r="E187" s="25">
        <v>61.2</v>
      </c>
      <c r="F187" s="15">
        <v>564.96</v>
      </c>
      <c r="G187" s="16">
        <f t="shared" si="39"/>
        <v>34575.552000000003</v>
      </c>
      <c r="H187" s="17">
        <v>46076.86</v>
      </c>
      <c r="I187" s="18">
        <f t="shared" si="40"/>
        <v>2819903.8319999999</v>
      </c>
      <c r="J187" s="19" t="s">
        <v>13</v>
      </c>
      <c r="K187" s="52" t="s">
        <v>14</v>
      </c>
    </row>
    <row r="188" spans="1:11" ht="30" x14ac:dyDescent="0.25">
      <c r="A188" s="21">
        <f t="shared" ref="A188:A229" si="41">A187+1</f>
        <v>169</v>
      </c>
      <c r="B188" s="22">
        <v>46060</v>
      </c>
      <c r="C188" s="23">
        <v>8610822</v>
      </c>
      <c r="D188" s="24">
        <v>50214477</v>
      </c>
      <c r="E188" s="25">
        <v>61.25</v>
      </c>
      <c r="F188" s="15">
        <v>564.96</v>
      </c>
      <c r="G188" s="16">
        <f t="shared" si="39"/>
        <v>34603.800000000003</v>
      </c>
      <c r="H188" s="17">
        <v>46076.86</v>
      </c>
      <c r="I188" s="18">
        <f t="shared" si="40"/>
        <v>2822207.6749999998</v>
      </c>
      <c r="J188" s="19" t="s">
        <v>13</v>
      </c>
      <c r="K188" s="52" t="s">
        <v>14</v>
      </c>
    </row>
    <row r="189" spans="1:11" ht="30" x14ac:dyDescent="0.25">
      <c r="A189" s="21">
        <f t="shared" si="41"/>
        <v>170</v>
      </c>
      <c r="B189" s="22">
        <v>46060</v>
      </c>
      <c r="C189" s="23">
        <v>8610820</v>
      </c>
      <c r="D189" s="24">
        <v>50292465</v>
      </c>
      <c r="E189" s="25">
        <v>61.2</v>
      </c>
      <c r="F189" s="15">
        <v>564.96</v>
      </c>
      <c r="G189" s="16">
        <f t="shared" si="39"/>
        <v>34575.552000000003</v>
      </c>
      <c r="H189" s="17">
        <v>46076.86</v>
      </c>
      <c r="I189" s="18">
        <f t="shared" si="40"/>
        <v>2819903.8319999999</v>
      </c>
      <c r="J189" s="19" t="s">
        <v>13</v>
      </c>
      <c r="K189" s="52" t="s">
        <v>14</v>
      </c>
    </row>
    <row r="190" spans="1:11" ht="30" x14ac:dyDescent="0.25">
      <c r="A190" s="21">
        <f t="shared" si="41"/>
        <v>171</v>
      </c>
      <c r="B190" s="22">
        <v>46060</v>
      </c>
      <c r="C190" s="23">
        <v>8610821</v>
      </c>
      <c r="D190" s="24">
        <v>50417401</v>
      </c>
      <c r="E190" s="25">
        <v>61.15</v>
      </c>
      <c r="F190" s="15">
        <v>564.96</v>
      </c>
      <c r="G190" s="16">
        <f t="shared" si="39"/>
        <v>34547.304000000004</v>
      </c>
      <c r="H190" s="17">
        <v>46076.86</v>
      </c>
      <c r="I190" s="18">
        <f t="shared" si="40"/>
        <v>2817599.9890000001</v>
      </c>
      <c r="J190" s="19" t="s">
        <v>13</v>
      </c>
      <c r="K190" s="52" t="s">
        <v>14</v>
      </c>
    </row>
    <row r="191" spans="1:11" ht="30" x14ac:dyDescent="0.25">
      <c r="A191" s="21">
        <f t="shared" si="41"/>
        <v>172</v>
      </c>
      <c r="B191" s="22">
        <v>46060</v>
      </c>
      <c r="C191" s="23">
        <v>8610821</v>
      </c>
      <c r="D191" s="24">
        <v>50487636</v>
      </c>
      <c r="E191" s="25">
        <v>61.15</v>
      </c>
      <c r="F191" s="15">
        <v>564.96</v>
      </c>
      <c r="G191" s="16">
        <f t="shared" si="39"/>
        <v>34547.304000000004</v>
      </c>
      <c r="H191" s="17">
        <v>46076.86</v>
      </c>
      <c r="I191" s="18">
        <f t="shared" si="40"/>
        <v>2817599.9890000001</v>
      </c>
      <c r="J191" s="19" t="s">
        <v>13</v>
      </c>
      <c r="K191" s="52" t="s">
        <v>14</v>
      </c>
    </row>
    <row r="192" spans="1:11" ht="30" x14ac:dyDescent="0.25">
      <c r="A192" s="21">
        <f t="shared" si="41"/>
        <v>173</v>
      </c>
      <c r="B192" s="22">
        <v>46060</v>
      </c>
      <c r="C192" s="23">
        <v>8610820</v>
      </c>
      <c r="D192" s="24">
        <v>50765809</v>
      </c>
      <c r="E192" s="25">
        <v>52.7</v>
      </c>
      <c r="F192" s="15">
        <v>564.96</v>
      </c>
      <c r="G192" s="16">
        <f t="shared" si="39"/>
        <v>29773.392000000003</v>
      </c>
      <c r="H192" s="17">
        <v>46076.86</v>
      </c>
      <c r="I192" s="18">
        <f t="shared" si="40"/>
        <v>2428250.5220000003</v>
      </c>
      <c r="J192" s="19" t="s">
        <v>13</v>
      </c>
      <c r="K192" s="52" t="s">
        <v>14</v>
      </c>
    </row>
    <row r="193" spans="1:11" ht="30" x14ac:dyDescent="0.25">
      <c r="A193" s="21">
        <f t="shared" si="41"/>
        <v>174</v>
      </c>
      <c r="B193" s="22">
        <v>46060</v>
      </c>
      <c r="C193" s="23">
        <v>8610821</v>
      </c>
      <c r="D193" s="24">
        <v>51224608</v>
      </c>
      <c r="E193" s="25">
        <v>61.55</v>
      </c>
      <c r="F193" s="15">
        <v>564.96</v>
      </c>
      <c r="G193" s="16">
        <f t="shared" si="39"/>
        <v>34773.288</v>
      </c>
      <c r="H193" s="17">
        <v>46076.86</v>
      </c>
      <c r="I193" s="18">
        <f t="shared" si="40"/>
        <v>2836030.733</v>
      </c>
      <c r="J193" s="19" t="s">
        <v>13</v>
      </c>
      <c r="K193" s="52" t="s">
        <v>14</v>
      </c>
    </row>
    <row r="194" spans="1:11" ht="30" x14ac:dyDescent="0.25">
      <c r="A194" s="21">
        <f t="shared" si="41"/>
        <v>175</v>
      </c>
      <c r="B194" s="22">
        <v>46060</v>
      </c>
      <c r="C194" s="23">
        <v>8610821</v>
      </c>
      <c r="D194" s="24">
        <v>51368181</v>
      </c>
      <c r="E194" s="25">
        <v>52.6</v>
      </c>
      <c r="F194" s="15">
        <v>564.96</v>
      </c>
      <c r="G194" s="16">
        <f t="shared" si="39"/>
        <v>29716.896000000004</v>
      </c>
      <c r="H194" s="17">
        <v>46076.86</v>
      </c>
      <c r="I194" s="18">
        <f t="shared" si="40"/>
        <v>2423642.8360000001</v>
      </c>
      <c r="J194" s="19" t="s">
        <v>13</v>
      </c>
      <c r="K194" s="52" t="s">
        <v>14</v>
      </c>
    </row>
    <row r="195" spans="1:11" ht="30" x14ac:dyDescent="0.25">
      <c r="A195" s="21">
        <f t="shared" si="41"/>
        <v>176</v>
      </c>
      <c r="B195" s="22">
        <v>46060</v>
      </c>
      <c r="C195" s="23">
        <v>8610821</v>
      </c>
      <c r="D195" s="24">
        <v>51405488</v>
      </c>
      <c r="E195" s="25">
        <v>51.75</v>
      </c>
      <c r="F195" s="15">
        <v>564.96</v>
      </c>
      <c r="G195" s="16">
        <f t="shared" si="39"/>
        <v>29236.68</v>
      </c>
      <c r="H195" s="17">
        <v>46076.86</v>
      </c>
      <c r="I195" s="18">
        <f t="shared" si="40"/>
        <v>2384477.5049999999</v>
      </c>
      <c r="J195" s="19" t="s">
        <v>13</v>
      </c>
      <c r="K195" s="52" t="s">
        <v>14</v>
      </c>
    </row>
    <row r="196" spans="1:11" ht="30" x14ac:dyDescent="0.25">
      <c r="A196" s="21">
        <f t="shared" si="41"/>
        <v>177</v>
      </c>
      <c r="B196" s="22">
        <v>46060</v>
      </c>
      <c r="C196" s="23">
        <v>8610820</v>
      </c>
      <c r="D196" s="24">
        <v>51609642</v>
      </c>
      <c r="E196" s="25">
        <v>61.1</v>
      </c>
      <c r="F196" s="15">
        <v>564.96</v>
      </c>
      <c r="G196" s="16">
        <f t="shared" si="39"/>
        <v>34519.056000000004</v>
      </c>
      <c r="H196" s="17">
        <v>46076.86</v>
      </c>
      <c r="I196" s="18">
        <f t="shared" si="40"/>
        <v>2815296.1460000002</v>
      </c>
      <c r="J196" s="19" t="s">
        <v>13</v>
      </c>
      <c r="K196" s="52" t="s">
        <v>14</v>
      </c>
    </row>
    <row r="197" spans="1:11" ht="30" x14ac:dyDescent="0.25">
      <c r="A197" s="21">
        <f t="shared" si="41"/>
        <v>178</v>
      </c>
      <c r="B197" s="22">
        <v>46060</v>
      </c>
      <c r="C197" s="23">
        <v>8610821</v>
      </c>
      <c r="D197" s="24">
        <v>51680031</v>
      </c>
      <c r="E197" s="25">
        <v>53.2</v>
      </c>
      <c r="F197" s="15">
        <v>564.96</v>
      </c>
      <c r="G197" s="16">
        <f t="shared" si="39"/>
        <v>30055.872000000003</v>
      </c>
      <c r="H197" s="17">
        <v>46076.86</v>
      </c>
      <c r="I197" s="18">
        <f t="shared" si="40"/>
        <v>2451288.952</v>
      </c>
      <c r="J197" s="19" t="s">
        <v>13</v>
      </c>
      <c r="K197" s="52" t="s">
        <v>14</v>
      </c>
    </row>
    <row r="198" spans="1:11" ht="30" x14ac:dyDescent="0.25">
      <c r="A198" s="21">
        <f t="shared" si="41"/>
        <v>179</v>
      </c>
      <c r="B198" s="22">
        <v>46060</v>
      </c>
      <c r="C198" s="23">
        <v>8610821</v>
      </c>
      <c r="D198" s="24">
        <v>54072459</v>
      </c>
      <c r="E198" s="25">
        <v>61.1</v>
      </c>
      <c r="F198" s="15">
        <v>564.96</v>
      </c>
      <c r="G198" s="16">
        <f t="shared" si="39"/>
        <v>34519.056000000004</v>
      </c>
      <c r="H198" s="17">
        <v>46076.86</v>
      </c>
      <c r="I198" s="18">
        <f t="shared" si="40"/>
        <v>2815296.1460000002</v>
      </c>
      <c r="J198" s="19" t="s">
        <v>13</v>
      </c>
      <c r="K198" s="52" t="s">
        <v>14</v>
      </c>
    </row>
    <row r="199" spans="1:11" ht="30" x14ac:dyDescent="0.25">
      <c r="A199" s="21">
        <f t="shared" si="41"/>
        <v>180</v>
      </c>
      <c r="B199" s="22">
        <v>46060</v>
      </c>
      <c r="C199" s="23">
        <v>8610822</v>
      </c>
      <c r="D199" s="24">
        <v>54097522</v>
      </c>
      <c r="E199" s="25">
        <v>61.1</v>
      </c>
      <c r="F199" s="15">
        <v>564.96</v>
      </c>
      <c r="G199" s="16">
        <f t="shared" si="39"/>
        <v>34519.056000000004</v>
      </c>
      <c r="H199" s="17">
        <v>46076.86</v>
      </c>
      <c r="I199" s="18">
        <f t="shared" si="40"/>
        <v>2815296.1460000002</v>
      </c>
      <c r="J199" s="19" t="s">
        <v>13</v>
      </c>
      <c r="K199" s="52" t="s">
        <v>14</v>
      </c>
    </row>
    <row r="200" spans="1:11" ht="30" x14ac:dyDescent="0.25">
      <c r="A200" s="21">
        <f t="shared" si="41"/>
        <v>181</v>
      </c>
      <c r="B200" s="22">
        <v>46060</v>
      </c>
      <c r="C200" s="23">
        <v>8610820</v>
      </c>
      <c r="D200" s="24">
        <v>54255328</v>
      </c>
      <c r="E200" s="25">
        <v>61.15</v>
      </c>
      <c r="F200" s="15">
        <v>564.96</v>
      </c>
      <c r="G200" s="16">
        <f t="shared" si="39"/>
        <v>34547.304000000004</v>
      </c>
      <c r="H200" s="17">
        <v>46076.86</v>
      </c>
      <c r="I200" s="18">
        <f t="shared" si="40"/>
        <v>2817599.9890000001</v>
      </c>
      <c r="J200" s="19" t="s">
        <v>13</v>
      </c>
      <c r="K200" s="52" t="s">
        <v>14</v>
      </c>
    </row>
    <row r="201" spans="1:11" ht="30" x14ac:dyDescent="0.25">
      <c r="A201" s="21">
        <f t="shared" si="41"/>
        <v>182</v>
      </c>
      <c r="B201" s="22">
        <v>46060</v>
      </c>
      <c r="C201" s="23">
        <v>8610822</v>
      </c>
      <c r="D201" s="24">
        <v>54258199</v>
      </c>
      <c r="E201" s="25">
        <v>61.15</v>
      </c>
      <c r="F201" s="15">
        <v>564.96</v>
      </c>
      <c r="G201" s="16">
        <f t="shared" si="39"/>
        <v>34547.304000000004</v>
      </c>
      <c r="H201" s="17">
        <v>46076.86</v>
      </c>
      <c r="I201" s="18">
        <f t="shared" si="40"/>
        <v>2817599.9890000001</v>
      </c>
      <c r="J201" s="19" t="s">
        <v>13</v>
      </c>
      <c r="K201" s="52" t="s">
        <v>14</v>
      </c>
    </row>
    <row r="202" spans="1:11" ht="30" x14ac:dyDescent="0.25">
      <c r="A202" s="21">
        <f t="shared" si="41"/>
        <v>183</v>
      </c>
      <c r="B202" s="22">
        <v>46060</v>
      </c>
      <c r="C202" s="23">
        <v>8610822</v>
      </c>
      <c r="D202" s="24">
        <v>54643473</v>
      </c>
      <c r="E202" s="25">
        <v>61.35</v>
      </c>
      <c r="F202" s="15">
        <v>564.96</v>
      </c>
      <c r="G202" s="16">
        <f t="shared" si="39"/>
        <v>34660.296000000002</v>
      </c>
      <c r="H202" s="17">
        <v>46076.86</v>
      </c>
      <c r="I202" s="18">
        <f t="shared" si="40"/>
        <v>2826815.361</v>
      </c>
      <c r="J202" s="19" t="s">
        <v>13</v>
      </c>
      <c r="K202" s="52" t="s">
        <v>14</v>
      </c>
    </row>
    <row r="203" spans="1:11" ht="30" x14ac:dyDescent="0.25">
      <c r="A203" s="21">
        <f t="shared" si="41"/>
        <v>184</v>
      </c>
      <c r="B203" s="22">
        <v>46060</v>
      </c>
      <c r="C203" s="23">
        <v>8610822</v>
      </c>
      <c r="D203" s="24">
        <v>54643952</v>
      </c>
      <c r="E203" s="25">
        <v>61.2</v>
      </c>
      <c r="F203" s="15">
        <v>564.96</v>
      </c>
      <c r="G203" s="16">
        <f t="shared" si="39"/>
        <v>34575.552000000003</v>
      </c>
      <c r="H203" s="17">
        <v>46076.86</v>
      </c>
      <c r="I203" s="18">
        <f t="shared" si="40"/>
        <v>2819903.8319999999</v>
      </c>
      <c r="J203" s="19" t="s">
        <v>13</v>
      </c>
      <c r="K203" s="52" t="s">
        <v>14</v>
      </c>
    </row>
    <row r="204" spans="1:11" ht="30" x14ac:dyDescent="0.25">
      <c r="A204" s="21">
        <f t="shared" si="41"/>
        <v>185</v>
      </c>
      <c r="B204" s="22">
        <v>46060</v>
      </c>
      <c r="C204" s="23">
        <v>8610820</v>
      </c>
      <c r="D204" s="24">
        <v>55837603</v>
      </c>
      <c r="E204" s="25">
        <v>61.8</v>
      </c>
      <c r="F204" s="15">
        <v>564.96</v>
      </c>
      <c r="G204" s="16">
        <f t="shared" si="39"/>
        <v>34914.527999999998</v>
      </c>
      <c r="H204" s="17">
        <v>46076.86</v>
      </c>
      <c r="I204" s="18">
        <f t="shared" si="40"/>
        <v>2847549.9479999999</v>
      </c>
      <c r="J204" s="19" t="s">
        <v>13</v>
      </c>
      <c r="K204" s="52" t="s">
        <v>14</v>
      </c>
    </row>
    <row r="205" spans="1:11" ht="30" x14ac:dyDescent="0.25">
      <c r="A205" s="21">
        <f t="shared" si="41"/>
        <v>186</v>
      </c>
      <c r="B205" s="22">
        <v>46060</v>
      </c>
      <c r="C205" s="23">
        <v>8610821</v>
      </c>
      <c r="D205" s="24">
        <v>57438897</v>
      </c>
      <c r="E205" s="25">
        <v>61.25</v>
      </c>
      <c r="F205" s="15">
        <v>564.96</v>
      </c>
      <c r="G205" s="16">
        <f t="shared" si="39"/>
        <v>34603.800000000003</v>
      </c>
      <c r="H205" s="17">
        <v>46076.86</v>
      </c>
      <c r="I205" s="18">
        <f t="shared" si="40"/>
        <v>2822207.6749999998</v>
      </c>
      <c r="J205" s="19" t="s">
        <v>13</v>
      </c>
      <c r="K205" s="52" t="s">
        <v>14</v>
      </c>
    </row>
    <row r="206" spans="1:11" ht="30" x14ac:dyDescent="0.25">
      <c r="A206" s="21">
        <f t="shared" si="41"/>
        <v>187</v>
      </c>
      <c r="B206" s="22">
        <v>46060</v>
      </c>
      <c r="C206" s="23">
        <v>8610821</v>
      </c>
      <c r="D206" s="24">
        <v>58345562</v>
      </c>
      <c r="E206" s="25">
        <v>61.15</v>
      </c>
      <c r="F206" s="15">
        <v>564.96</v>
      </c>
      <c r="G206" s="16">
        <f t="shared" si="39"/>
        <v>34547.304000000004</v>
      </c>
      <c r="H206" s="17">
        <v>46076.86</v>
      </c>
      <c r="I206" s="18">
        <f t="shared" si="40"/>
        <v>2817599.9890000001</v>
      </c>
      <c r="J206" s="19" t="s">
        <v>13</v>
      </c>
      <c r="K206" s="52" t="s">
        <v>14</v>
      </c>
    </row>
    <row r="207" spans="1:11" ht="30" x14ac:dyDescent="0.25">
      <c r="A207" s="21">
        <f t="shared" si="41"/>
        <v>188</v>
      </c>
      <c r="B207" s="22">
        <v>46060</v>
      </c>
      <c r="C207" s="23">
        <v>8610821</v>
      </c>
      <c r="D207" s="24">
        <v>73011447</v>
      </c>
      <c r="E207" s="25">
        <v>61.65</v>
      </c>
      <c r="F207" s="15">
        <v>564.96</v>
      </c>
      <c r="G207" s="16">
        <f t="shared" si="39"/>
        <v>34829.784</v>
      </c>
      <c r="H207" s="17">
        <v>46076.86</v>
      </c>
      <c r="I207" s="18">
        <f t="shared" si="40"/>
        <v>2840638.4189999998</v>
      </c>
      <c r="J207" s="19" t="s">
        <v>13</v>
      </c>
      <c r="K207" s="52" t="s">
        <v>14</v>
      </c>
    </row>
    <row r="208" spans="1:11" ht="30" x14ac:dyDescent="0.25">
      <c r="A208" s="21">
        <f t="shared" si="41"/>
        <v>189</v>
      </c>
      <c r="B208" s="22">
        <v>46060</v>
      </c>
      <c r="C208" s="23">
        <v>8610821</v>
      </c>
      <c r="D208" s="24">
        <v>73094161</v>
      </c>
      <c r="E208" s="25">
        <v>61.85</v>
      </c>
      <c r="F208" s="15">
        <v>564.96</v>
      </c>
      <c r="G208" s="16">
        <f t="shared" si="39"/>
        <v>34942.776000000005</v>
      </c>
      <c r="H208" s="17">
        <v>46076.86</v>
      </c>
      <c r="I208" s="18">
        <f t="shared" si="40"/>
        <v>2849853.7910000002</v>
      </c>
      <c r="J208" s="19" t="s">
        <v>13</v>
      </c>
      <c r="K208" s="52" t="s">
        <v>14</v>
      </c>
    </row>
    <row r="209" spans="1:11" ht="30" x14ac:dyDescent="0.25">
      <c r="A209" s="21">
        <f t="shared" si="41"/>
        <v>190</v>
      </c>
      <c r="B209" s="22">
        <v>46060</v>
      </c>
      <c r="C209" s="23">
        <v>8610821</v>
      </c>
      <c r="D209" s="24">
        <v>73116352</v>
      </c>
      <c r="E209" s="25">
        <v>61.7</v>
      </c>
      <c r="F209" s="15">
        <v>564.96</v>
      </c>
      <c r="G209" s="16">
        <f t="shared" si="39"/>
        <v>34858.032000000007</v>
      </c>
      <c r="H209" s="17">
        <v>46076.86</v>
      </c>
      <c r="I209" s="18">
        <f t="shared" si="40"/>
        <v>2842942.2620000001</v>
      </c>
      <c r="J209" s="19" t="s">
        <v>13</v>
      </c>
      <c r="K209" s="52" t="s">
        <v>14</v>
      </c>
    </row>
    <row r="210" spans="1:11" ht="30" x14ac:dyDescent="0.25">
      <c r="A210" s="21">
        <f t="shared" si="41"/>
        <v>191</v>
      </c>
      <c r="B210" s="22">
        <v>46060</v>
      </c>
      <c r="C210" s="23">
        <v>8610821</v>
      </c>
      <c r="D210" s="24">
        <v>73125247</v>
      </c>
      <c r="E210" s="25">
        <v>61.6</v>
      </c>
      <c r="F210" s="15">
        <v>564.96</v>
      </c>
      <c r="G210" s="16">
        <f t="shared" si="39"/>
        <v>34801.536</v>
      </c>
      <c r="H210" s="17">
        <v>46076.86</v>
      </c>
      <c r="I210" s="18">
        <f t="shared" si="40"/>
        <v>2838334.5759999999</v>
      </c>
      <c r="J210" s="19" t="s">
        <v>13</v>
      </c>
      <c r="K210" s="52" t="s">
        <v>14</v>
      </c>
    </row>
    <row r="211" spans="1:11" ht="30" x14ac:dyDescent="0.25">
      <c r="A211" s="21">
        <f t="shared" si="41"/>
        <v>192</v>
      </c>
      <c r="B211" s="22">
        <v>46060</v>
      </c>
      <c r="C211" s="23">
        <v>8610820</v>
      </c>
      <c r="D211" s="24">
        <v>73138828</v>
      </c>
      <c r="E211" s="25">
        <v>61.6</v>
      </c>
      <c r="F211" s="15">
        <v>564.96</v>
      </c>
      <c r="G211" s="16">
        <f t="shared" si="39"/>
        <v>34801.536</v>
      </c>
      <c r="H211" s="17">
        <v>46076.86</v>
      </c>
      <c r="I211" s="18">
        <f t="shared" si="40"/>
        <v>2838334.5759999999</v>
      </c>
      <c r="J211" s="19" t="s">
        <v>13</v>
      </c>
      <c r="K211" s="52" t="s">
        <v>14</v>
      </c>
    </row>
    <row r="212" spans="1:11" ht="30" x14ac:dyDescent="0.25">
      <c r="A212" s="21">
        <f t="shared" si="41"/>
        <v>193</v>
      </c>
      <c r="B212" s="22">
        <v>46060</v>
      </c>
      <c r="C212" s="23">
        <v>8610820</v>
      </c>
      <c r="D212" s="24">
        <v>73157877</v>
      </c>
      <c r="E212" s="25">
        <v>61.7</v>
      </c>
      <c r="F212" s="15">
        <v>564.96</v>
      </c>
      <c r="G212" s="16">
        <f t="shared" si="39"/>
        <v>34858.032000000007</v>
      </c>
      <c r="H212" s="17">
        <v>46076.86</v>
      </c>
      <c r="I212" s="18">
        <f t="shared" si="40"/>
        <v>2842942.2620000001</v>
      </c>
      <c r="J212" s="19" t="s">
        <v>13</v>
      </c>
      <c r="K212" s="52" t="s">
        <v>14</v>
      </c>
    </row>
    <row r="213" spans="1:11" ht="30" x14ac:dyDescent="0.25">
      <c r="A213" s="21">
        <f t="shared" si="41"/>
        <v>194</v>
      </c>
      <c r="B213" s="22">
        <v>46060</v>
      </c>
      <c r="C213" s="23">
        <v>8610821</v>
      </c>
      <c r="D213" s="24">
        <v>73159535</v>
      </c>
      <c r="E213" s="25">
        <v>61.6</v>
      </c>
      <c r="F213" s="15">
        <v>564.96</v>
      </c>
      <c r="G213" s="16">
        <f t="shared" si="39"/>
        <v>34801.536</v>
      </c>
      <c r="H213" s="17">
        <v>46076.86</v>
      </c>
      <c r="I213" s="18">
        <f t="shared" si="40"/>
        <v>2838334.5759999999</v>
      </c>
      <c r="J213" s="19" t="s">
        <v>13</v>
      </c>
      <c r="K213" s="52" t="s">
        <v>14</v>
      </c>
    </row>
    <row r="214" spans="1:11" ht="30" x14ac:dyDescent="0.25">
      <c r="A214" s="21">
        <f t="shared" si="41"/>
        <v>195</v>
      </c>
      <c r="B214" s="22">
        <v>46060</v>
      </c>
      <c r="C214" s="23">
        <v>8610821</v>
      </c>
      <c r="D214" s="24">
        <v>73166670</v>
      </c>
      <c r="E214" s="25">
        <v>61.65</v>
      </c>
      <c r="F214" s="15">
        <v>564.96</v>
      </c>
      <c r="G214" s="16">
        <f t="shared" si="39"/>
        <v>34829.784</v>
      </c>
      <c r="H214" s="17">
        <v>46076.86</v>
      </c>
      <c r="I214" s="18">
        <f t="shared" si="40"/>
        <v>2840638.4189999998</v>
      </c>
      <c r="J214" s="19" t="s">
        <v>13</v>
      </c>
      <c r="K214" s="52" t="s">
        <v>14</v>
      </c>
    </row>
    <row r="215" spans="1:11" ht="30" x14ac:dyDescent="0.25">
      <c r="A215" s="21">
        <f t="shared" si="41"/>
        <v>196</v>
      </c>
      <c r="B215" s="22">
        <v>46060</v>
      </c>
      <c r="C215" s="23">
        <v>8610821</v>
      </c>
      <c r="D215" s="24">
        <v>73168205</v>
      </c>
      <c r="E215" s="25">
        <v>61.6</v>
      </c>
      <c r="F215" s="15">
        <v>564.96</v>
      </c>
      <c r="G215" s="16">
        <f t="shared" si="39"/>
        <v>34801.536</v>
      </c>
      <c r="H215" s="17">
        <v>46076.86</v>
      </c>
      <c r="I215" s="18">
        <f t="shared" si="40"/>
        <v>2838334.5759999999</v>
      </c>
      <c r="J215" s="19" t="s">
        <v>13</v>
      </c>
      <c r="K215" s="52" t="s">
        <v>14</v>
      </c>
    </row>
    <row r="216" spans="1:11" ht="30" x14ac:dyDescent="0.25">
      <c r="A216" s="21">
        <f t="shared" si="41"/>
        <v>197</v>
      </c>
      <c r="B216" s="22">
        <v>46060</v>
      </c>
      <c r="C216" s="23">
        <v>8610821</v>
      </c>
      <c r="D216" s="24">
        <v>73229072</v>
      </c>
      <c r="E216" s="25">
        <v>61.6</v>
      </c>
      <c r="F216" s="15">
        <v>564.96</v>
      </c>
      <c r="G216" s="16">
        <f t="shared" si="39"/>
        <v>34801.536</v>
      </c>
      <c r="H216" s="17">
        <v>46076.86</v>
      </c>
      <c r="I216" s="18">
        <f t="shared" si="40"/>
        <v>2838334.5759999999</v>
      </c>
      <c r="J216" s="19" t="s">
        <v>13</v>
      </c>
      <c r="K216" s="52" t="s">
        <v>14</v>
      </c>
    </row>
    <row r="217" spans="1:11" ht="30" x14ac:dyDescent="0.25">
      <c r="A217" s="21">
        <f t="shared" si="41"/>
        <v>198</v>
      </c>
      <c r="B217" s="22">
        <v>46060</v>
      </c>
      <c r="C217" s="23">
        <v>8610821</v>
      </c>
      <c r="D217" s="24">
        <v>73229346</v>
      </c>
      <c r="E217" s="25">
        <v>61.65</v>
      </c>
      <c r="F217" s="15">
        <v>564.96</v>
      </c>
      <c r="G217" s="16">
        <f t="shared" si="39"/>
        <v>34829.784</v>
      </c>
      <c r="H217" s="17">
        <v>46076.86</v>
      </c>
      <c r="I217" s="18">
        <f t="shared" si="40"/>
        <v>2840638.4189999998</v>
      </c>
      <c r="J217" s="19" t="s">
        <v>13</v>
      </c>
      <c r="K217" s="52" t="s">
        <v>14</v>
      </c>
    </row>
    <row r="218" spans="1:11" ht="30" x14ac:dyDescent="0.25">
      <c r="A218" s="21">
        <f t="shared" si="41"/>
        <v>199</v>
      </c>
      <c r="B218" s="22">
        <v>46060</v>
      </c>
      <c r="C218" s="23">
        <v>8610822</v>
      </c>
      <c r="D218" s="24">
        <v>74999558</v>
      </c>
      <c r="E218" s="25">
        <v>61.15</v>
      </c>
      <c r="F218" s="15">
        <v>564.96</v>
      </c>
      <c r="G218" s="16">
        <f t="shared" si="39"/>
        <v>34547.304000000004</v>
      </c>
      <c r="H218" s="17">
        <v>46076.86</v>
      </c>
      <c r="I218" s="18">
        <f t="shared" si="40"/>
        <v>2817599.9890000001</v>
      </c>
      <c r="J218" s="19" t="s">
        <v>13</v>
      </c>
      <c r="K218" s="52" t="s">
        <v>14</v>
      </c>
    </row>
    <row r="219" spans="1:11" ht="30" x14ac:dyDescent="0.25">
      <c r="A219" s="21">
        <f t="shared" si="41"/>
        <v>200</v>
      </c>
      <c r="B219" s="22">
        <v>46060</v>
      </c>
      <c r="C219" s="23">
        <v>8610822</v>
      </c>
      <c r="D219" s="24">
        <v>75033472</v>
      </c>
      <c r="E219" s="25">
        <v>61.8</v>
      </c>
      <c r="F219" s="15">
        <v>564.96</v>
      </c>
      <c r="G219" s="16">
        <f t="shared" si="39"/>
        <v>34914.527999999998</v>
      </c>
      <c r="H219" s="17">
        <v>46076.86</v>
      </c>
      <c r="I219" s="18">
        <f t="shared" si="40"/>
        <v>2847549.9479999999</v>
      </c>
      <c r="J219" s="19" t="s">
        <v>13</v>
      </c>
      <c r="K219" s="52" t="s">
        <v>14</v>
      </c>
    </row>
    <row r="220" spans="1:11" ht="30" x14ac:dyDescent="0.25">
      <c r="A220" s="21">
        <f t="shared" si="41"/>
        <v>201</v>
      </c>
      <c r="B220" s="22">
        <v>46060</v>
      </c>
      <c r="C220" s="23">
        <v>8610822</v>
      </c>
      <c r="D220" s="24">
        <v>75131342</v>
      </c>
      <c r="E220" s="25">
        <v>61.1</v>
      </c>
      <c r="F220" s="15">
        <v>564.96</v>
      </c>
      <c r="G220" s="16">
        <f t="shared" si="39"/>
        <v>34519.056000000004</v>
      </c>
      <c r="H220" s="17">
        <v>46076.86</v>
      </c>
      <c r="I220" s="18">
        <f t="shared" si="40"/>
        <v>2815296.1460000002</v>
      </c>
      <c r="J220" s="19" t="s">
        <v>13</v>
      </c>
      <c r="K220" s="52" t="s">
        <v>14</v>
      </c>
    </row>
    <row r="221" spans="1:11" ht="30" x14ac:dyDescent="0.25">
      <c r="A221" s="21">
        <f t="shared" si="41"/>
        <v>202</v>
      </c>
      <c r="B221" s="22">
        <v>46060</v>
      </c>
      <c r="C221" s="23">
        <v>8610820</v>
      </c>
      <c r="D221" s="24">
        <v>75213488</v>
      </c>
      <c r="E221" s="25">
        <v>62.3</v>
      </c>
      <c r="F221" s="15">
        <v>564.96</v>
      </c>
      <c r="G221" s="16">
        <f t="shared" si="39"/>
        <v>35197.008000000002</v>
      </c>
      <c r="H221" s="17">
        <v>46076.86</v>
      </c>
      <c r="I221" s="18">
        <f t="shared" si="40"/>
        <v>2870588.378</v>
      </c>
      <c r="J221" s="19" t="s">
        <v>13</v>
      </c>
      <c r="K221" s="52" t="s">
        <v>14</v>
      </c>
    </row>
    <row r="222" spans="1:11" ht="30" x14ac:dyDescent="0.25">
      <c r="A222" s="21">
        <f t="shared" si="41"/>
        <v>203</v>
      </c>
      <c r="B222" s="22">
        <v>46060</v>
      </c>
      <c r="C222" s="23">
        <v>8610820</v>
      </c>
      <c r="D222" s="24">
        <v>75225722</v>
      </c>
      <c r="E222" s="25">
        <v>61.95</v>
      </c>
      <c r="F222" s="15">
        <v>564.96</v>
      </c>
      <c r="G222" s="16">
        <f t="shared" si="39"/>
        <v>34999.272000000004</v>
      </c>
      <c r="H222" s="17">
        <v>46076.86</v>
      </c>
      <c r="I222" s="18">
        <f t="shared" si="40"/>
        <v>2854461.477</v>
      </c>
      <c r="J222" s="19" t="s">
        <v>13</v>
      </c>
      <c r="K222" s="52" t="s">
        <v>14</v>
      </c>
    </row>
    <row r="223" spans="1:11" ht="30" x14ac:dyDescent="0.25">
      <c r="A223" s="21">
        <f t="shared" si="41"/>
        <v>204</v>
      </c>
      <c r="B223" s="22">
        <v>46060</v>
      </c>
      <c r="C223" s="23">
        <v>8610820</v>
      </c>
      <c r="D223" s="24">
        <v>75254474</v>
      </c>
      <c r="E223" s="25">
        <v>61.95</v>
      </c>
      <c r="F223" s="15">
        <v>564.96</v>
      </c>
      <c r="G223" s="16">
        <f t="shared" si="39"/>
        <v>34999.272000000004</v>
      </c>
      <c r="H223" s="17">
        <v>46076.86</v>
      </c>
      <c r="I223" s="18">
        <f t="shared" si="40"/>
        <v>2854461.477</v>
      </c>
      <c r="J223" s="19" t="s">
        <v>13</v>
      </c>
      <c r="K223" s="52" t="s">
        <v>14</v>
      </c>
    </row>
    <row r="224" spans="1:11" ht="30" x14ac:dyDescent="0.25">
      <c r="A224" s="21">
        <f t="shared" si="41"/>
        <v>205</v>
      </c>
      <c r="B224" s="22">
        <v>46060</v>
      </c>
      <c r="C224" s="23">
        <v>8610820</v>
      </c>
      <c r="D224" s="24">
        <v>75255562</v>
      </c>
      <c r="E224" s="25">
        <v>62.1</v>
      </c>
      <c r="F224" s="15">
        <v>564.96</v>
      </c>
      <c r="G224" s="16">
        <f t="shared" si="39"/>
        <v>35084.016000000003</v>
      </c>
      <c r="H224" s="17">
        <v>46076.86</v>
      </c>
      <c r="I224" s="18">
        <f t="shared" si="40"/>
        <v>2861373.0060000001</v>
      </c>
      <c r="J224" s="19" t="s">
        <v>13</v>
      </c>
      <c r="K224" s="52" t="s">
        <v>14</v>
      </c>
    </row>
    <row r="225" spans="1:11" ht="30" x14ac:dyDescent="0.25">
      <c r="A225" s="21">
        <f t="shared" si="41"/>
        <v>206</v>
      </c>
      <c r="B225" s="22">
        <v>46060</v>
      </c>
      <c r="C225" s="23">
        <v>8610820</v>
      </c>
      <c r="D225" s="24">
        <v>75278416</v>
      </c>
      <c r="E225" s="25">
        <v>62</v>
      </c>
      <c r="F225" s="15">
        <v>564.96</v>
      </c>
      <c r="G225" s="16">
        <f t="shared" si="39"/>
        <v>35027.520000000004</v>
      </c>
      <c r="H225" s="17">
        <v>46076.86</v>
      </c>
      <c r="I225" s="18">
        <f t="shared" si="40"/>
        <v>2856765.32</v>
      </c>
      <c r="J225" s="19" t="s">
        <v>13</v>
      </c>
      <c r="K225" s="52" t="s">
        <v>14</v>
      </c>
    </row>
    <row r="226" spans="1:11" ht="30" x14ac:dyDescent="0.25">
      <c r="A226" s="21">
        <f t="shared" si="41"/>
        <v>207</v>
      </c>
      <c r="B226" s="22">
        <v>46060</v>
      </c>
      <c r="C226" s="23">
        <v>8610820</v>
      </c>
      <c r="D226" s="24">
        <v>75401091</v>
      </c>
      <c r="E226" s="25">
        <v>61.85</v>
      </c>
      <c r="F226" s="15">
        <v>564.96</v>
      </c>
      <c r="G226" s="16">
        <f t="shared" si="39"/>
        <v>34942.776000000005</v>
      </c>
      <c r="H226" s="17">
        <v>46076.86</v>
      </c>
      <c r="I226" s="18">
        <f t="shared" si="40"/>
        <v>2849853.7910000002</v>
      </c>
      <c r="J226" s="19" t="s">
        <v>13</v>
      </c>
      <c r="K226" s="52" t="s">
        <v>14</v>
      </c>
    </row>
    <row r="227" spans="1:11" ht="30" x14ac:dyDescent="0.25">
      <c r="A227" s="21">
        <f t="shared" si="41"/>
        <v>208</v>
      </c>
      <c r="B227" s="22">
        <v>46060</v>
      </c>
      <c r="C227" s="23">
        <v>8610820</v>
      </c>
      <c r="D227" s="24">
        <v>75511899</v>
      </c>
      <c r="E227" s="25">
        <v>62.05</v>
      </c>
      <c r="F227" s="15">
        <v>564.96</v>
      </c>
      <c r="G227" s="16">
        <f t="shared" si="39"/>
        <v>35055.768000000004</v>
      </c>
      <c r="H227" s="17">
        <v>46076.86</v>
      </c>
      <c r="I227" s="18">
        <f t="shared" si="40"/>
        <v>2859069.1629999997</v>
      </c>
      <c r="J227" s="19" t="s">
        <v>13</v>
      </c>
      <c r="K227" s="52" t="s">
        <v>14</v>
      </c>
    </row>
    <row r="228" spans="1:11" ht="30" x14ac:dyDescent="0.25">
      <c r="A228" s="21">
        <f t="shared" si="41"/>
        <v>209</v>
      </c>
      <c r="B228" s="22">
        <v>46060</v>
      </c>
      <c r="C228" s="23">
        <v>8610820</v>
      </c>
      <c r="D228" s="24">
        <v>75563890</v>
      </c>
      <c r="E228" s="25">
        <v>62.1</v>
      </c>
      <c r="F228" s="15">
        <v>564.96</v>
      </c>
      <c r="G228" s="16">
        <f t="shared" si="39"/>
        <v>35084.016000000003</v>
      </c>
      <c r="H228" s="17">
        <v>46076.86</v>
      </c>
      <c r="I228" s="18">
        <f t="shared" si="40"/>
        <v>2861373.0060000001</v>
      </c>
      <c r="J228" s="19" t="s">
        <v>13</v>
      </c>
      <c r="K228" s="52" t="s">
        <v>14</v>
      </c>
    </row>
    <row r="229" spans="1:11" ht="30.75" thickBot="1" x14ac:dyDescent="0.3">
      <c r="A229" s="21">
        <f t="shared" si="41"/>
        <v>210</v>
      </c>
      <c r="B229" s="22">
        <v>46060</v>
      </c>
      <c r="C229" s="28">
        <v>8610820</v>
      </c>
      <c r="D229" s="29">
        <v>75718197</v>
      </c>
      <c r="E229" s="30">
        <v>62.2</v>
      </c>
      <c r="F229" s="15">
        <v>564.96</v>
      </c>
      <c r="G229" s="43">
        <f t="shared" si="39"/>
        <v>35140.512000000002</v>
      </c>
      <c r="H229" s="46">
        <v>46076.86</v>
      </c>
      <c r="I229" s="47">
        <f t="shared" si="40"/>
        <v>2865980.6920000003</v>
      </c>
      <c r="J229" s="19" t="s">
        <v>13</v>
      </c>
      <c r="K229" s="53" t="s">
        <v>14</v>
      </c>
    </row>
    <row r="230" spans="1:11" ht="15.75" thickBot="1" x14ac:dyDescent="0.3">
      <c r="A230" s="31"/>
      <c r="B230" s="32"/>
      <c r="C230" s="32"/>
      <c r="D230" s="32"/>
      <c r="E230" s="33"/>
      <c r="F230" s="34"/>
      <c r="G230" s="35"/>
      <c r="H230" s="32"/>
      <c r="I230" s="36"/>
      <c r="J230" s="32"/>
      <c r="K230" s="64"/>
    </row>
    <row r="231" spans="1:11" ht="30" x14ac:dyDescent="0.25">
      <c r="A231" s="10">
        <v>211</v>
      </c>
      <c r="B231" s="11">
        <v>46061</v>
      </c>
      <c r="C231" s="23">
        <v>8610826</v>
      </c>
      <c r="D231" s="24">
        <v>50197854</v>
      </c>
      <c r="E231" s="25">
        <v>61.3</v>
      </c>
      <c r="F231" s="15">
        <v>564.96</v>
      </c>
      <c r="G231" s="16">
        <f t="shared" ref="G231:G257" si="42">E231*F231</f>
        <v>34632.048000000003</v>
      </c>
      <c r="H231" s="17">
        <v>46076.86</v>
      </c>
      <c r="I231" s="18">
        <f t="shared" ref="I231:I257" si="43">E231*H231</f>
        <v>2824511.5179999997</v>
      </c>
      <c r="J231" s="19" t="s">
        <v>13</v>
      </c>
      <c r="K231" s="52" t="s">
        <v>14</v>
      </c>
    </row>
    <row r="232" spans="1:11" ht="30" x14ac:dyDescent="0.25">
      <c r="A232" s="21">
        <f>A231+1</f>
        <v>212</v>
      </c>
      <c r="B232" s="11">
        <v>46061</v>
      </c>
      <c r="C232" s="23">
        <v>8610826</v>
      </c>
      <c r="D232" s="24">
        <v>50417070</v>
      </c>
      <c r="E232" s="25">
        <v>61.1</v>
      </c>
      <c r="F232" s="15">
        <v>564.96</v>
      </c>
      <c r="G232" s="16">
        <f t="shared" si="42"/>
        <v>34519.056000000004</v>
      </c>
      <c r="H232" s="17">
        <v>46076.86</v>
      </c>
      <c r="I232" s="18">
        <f t="shared" si="43"/>
        <v>2815296.1460000002</v>
      </c>
      <c r="J232" s="19" t="s">
        <v>13</v>
      </c>
      <c r="K232" s="52" t="s">
        <v>14</v>
      </c>
    </row>
    <row r="233" spans="1:11" ht="30" x14ac:dyDescent="0.25">
      <c r="A233" s="21">
        <f t="shared" ref="A233:A257" si="44">A232+1</f>
        <v>213</v>
      </c>
      <c r="B233" s="11">
        <v>46061</v>
      </c>
      <c r="C233" s="23">
        <v>8610824</v>
      </c>
      <c r="D233" s="24">
        <v>50779057</v>
      </c>
      <c r="E233" s="25">
        <v>52.5</v>
      </c>
      <c r="F233" s="15">
        <v>564.96</v>
      </c>
      <c r="G233" s="16">
        <f t="shared" si="42"/>
        <v>29660.400000000001</v>
      </c>
      <c r="H233" s="17">
        <v>46076.86</v>
      </c>
      <c r="I233" s="18">
        <f t="shared" si="43"/>
        <v>2419035.15</v>
      </c>
      <c r="J233" s="19" t="s">
        <v>13</v>
      </c>
      <c r="K233" s="52" t="s">
        <v>14</v>
      </c>
    </row>
    <row r="234" spans="1:11" ht="30" x14ac:dyDescent="0.25">
      <c r="A234" s="21">
        <f t="shared" si="44"/>
        <v>214</v>
      </c>
      <c r="B234" s="11">
        <v>46061</v>
      </c>
      <c r="C234" s="23">
        <v>8610825</v>
      </c>
      <c r="D234" s="24">
        <v>51411692</v>
      </c>
      <c r="E234" s="25">
        <v>52.7</v>
      </c>
      <c r="F234" s="15">
        <v>564.96</v>
      </c>
      <c r="G234" s="16">
        <f t="shared" si="42"/>
        <v>29773.392000000003</v>
      </c>
      <c r="H234" s="17">
        <v>46076.86</v>
      </c>
      <c r="I234" s="18">
        <f t="shared" si="43"/>
        <v>2428250.5220000003</v>
      </c>
      <c r="J234" s="19" t="s">
        <v>13</v>
      </c>
      <c r="K234" s="52" t="s">
        <v>14</v>
      </c>
    </row>
    <row r="235" spans="1:11" ht="30" x14ac:dyDescent="0.25">
      <c r="A235" s="21">
        <f t="shared" si="44"/>
        <v>215</v>
      </c>
      <c r="B235" s="11">
        <v>46061</v>
      </c>
      <c r="C235" s="23">
        <v>8610825</v>
      </c>
      <c r="D235" s="24">
        <v>51506392</v>
      </c>
      <c r="E235" s="25">
        <v>52.8</v>
      </c>
      <c r="F235" s="15">
        <v>564.96</v>
      </c>
      <c r="G235" s="16">
        <f t="shared" si="42"/>
        <v>29829.887999999999</v>
      </c>
      <c r="H235" s="17">
        <v>46076.86</v>
      </c>
      <c r="I235" s="18">
        <f t="shared" si="43"/>
        <v>2432858.2080000001</v>
      </c>
      <c r="J235" s="19" t="s">
        <v>13</v>
      </c>
      <c r="K235" s="52" t="s">
        <v>14</v>
      </c>
    </row>
    <row r="236" spans="1:11" ht="30" x14ac:dyDescent="0.25">
      <c r="A236" s="21">
        <f t="shared" si="44"/>
        <v>216</v>
      </c>
      <c r="B236" s="11">
        <v>46061</v>
      </c>
      <c r="C236" s="23">
        <v>8610826</v>
      </c>
      <c r="D236" s="24">
        <v>53961165</v>
      </c>
      <c r="E236" s="25">
        <v>60.9</v>
      </c>
      <c r="F236" s="15">
        <v>564.96</v>
      </c>
      <c r="G236" s="16">
        <f t="shared" si="42"/>
        <v>34406.063999999998</v>
      </c>
      <c r="H236" s="17">
        <v>46076.86</v>
      </c>
      <c r="I236" s="18">
        <f t="shared" si="43"/>
        <v>2806080.7739999997</v>
      </c>
      <c r="J236" s="19" t="s">
        <v>13</v>
      </c>
      <c r="K236" s="52" t="s">
        <v>14</v>
      </c>
    </row>
    <row r="237" spans="1:11" ht="30" x14ac:dyDescent="0.25">
      <c r="A237" s="21">
        <f t="shared" si="44"/>
        <v>217</v>
      </c>
      <c r="B237" s="11">
        <v>46061</v>
      </c>
      <c r="C237" s="23">
        <v>8610824</v>
      </c>
      <c r="D237" s="24">
        <v>53996187</v>
      </c>
      <c r="E237" s="25">
        <v>51.8</v>
      </c>
      <c r="F237" s="15">
        <v>564.96</v>
      </c>
      <c r="G237" s="16">
        <f t="shared" si="42"/>
        <v>29264.928</v>
      </c>
      <c r="H237" s="17">
        <v>46076.86</v>
      </c>
      <c r="I237" s="18">
        <f t="shared" si="43"/>
        <v>2386781.3479999998</v>
      </c>
      <c r="J237" s="19" t="s">
        <v>13</v>
      </c>
      <c r="K237" s="52" t="s">
        <v>14</v>
      </c>
    </row>
    <row r="238" spans="1:11" ht="30" x14ac:dyDescent="0.25">
      <c r="A238" s="21">
        <f t="shared" si="44"/>
        <v>218</v>
      </c>
      <c r="B238" s="11">
        <v>46061</v>
      </c>
      <c r="C238" s="23">
        <v>8610826</v>
      </c>
      <c r="D238" s="24">
        <v>54087960</v>
      </c>
      <c r="E238" s="25">
        <v>61.15</v>
      </c>
      <c r="F238" s="15">
        <v>564.96</v>
      </c>
      <c r="G238" s="16">
        <f t="shared" si="42"/>
        <v>34547.304000000004</v>
      </c>
      <c r="H238" s="17">
        <v>46076.86</v>
      </c>
      <c r="I238" s="18">
        <f t="shared" si="43"/>
        <v>2817599.9890000001</v>
      </c>
      <c r="J238" s="19" t="s">
        <v>13</v>
      </c>
      <c r="K238" s="52" t="s">
        <v>14</v>
      </c>
    </row>
    <row r="239" spans="1:11" ht="30" x14ac:dyDescent="0.25">
      <c r="A239" s="21">
        <f t="shared" si="44"/>
        <v>219</v>
      </c>
      <c r="B239" s="11">
        <v>46061</v>
      </c>
      <c r="C239" s="23">
        <v>8610826</v>
      </c>
      <c r="D239" s="24">
        <v>54628912</v>
      </c>
      <c r="E239" s="25">
        <v>61.15</v>
      </c>
      <c r="F239" s="15">
        <v>564.96</v>
      </c>
      <c r="G239" s="16">
        <f t="shared" si="42"/>
        <v>34547.304000000004</v>
      </c>
      <c r="H239" s="17">
        <v>46076.86</v>
      </c>
      <c r="I239" s="18">
        <f t="shared" si="43"/>
        <v>2817599.9890000001</v>
      </c>
      <c r="J239" s="19" t="s">
        <v>13</v>
      </c>
      <c r="K239" s="52" t="s">
        <v>14</v>
      </c>
    </row>
    <row r="240" spans="1:11" ht="30" x14ac:dyDescent="0.25">
      <c r="A240" s="21">
        <f t="shared" si="44"/>
        <v>220</v>
      </c>
      <c r="B240" s="11">
        <v>46061</v>
      </c>
      <c r="C240" s="23">
        <v>8610824</v>
      </c>
      <c r="D240" s="24">
        <v>57644890</v>
      </c>
      <c r="E240" s="25">
        <v>61.3</v>
      </c>
      <c r="F240" s="15">
        <v>564.96</v>
      </c>
      <c r="G240" s="16">
        <f t="shared" si="42"/>
        <v>34632.048000000003</v>
      </c>
      <c r="H240" s="17">
        <v>46076.86</v>
      </c>
      <c r="I240" s="18">
        <f t="shared" si="43"/>
        <v>2824511.5179999997</v>
      </c>
      <c r="J240" s="19" t="s">
        <v>13</v>
      </c>
      <c r="K240" s="52" t="s">
        <v>14</v>
      </c>
    </row>
    <row r="241" spans="1:11" ht="30" x14ac:dyDescent="0.25">
      <c r="A241" s="21">
        <f t="shared" si="44"/>
        <v>221</v>
      </c>
      <c r="B241" s="22">
        <v>46061</v>
      </c>
      <c r="C241" s="23">
        <v>8610826</v>
      </c>
      <c r="D241" s="24">
        <v>73049637</v>
      </c>
      <c r="E241" s="25">
        <v>61.7</v>
      </c>
      <c r="F241" s="15">
        <v>564.96</v>
      </c>
      <c r="G241" s="16">
        <f t="shared" si="42"/>
        <v>34858.032000000007</v>
      </c>
      <c r="H241" s="17">
        <v>46076.86</v>
      </c>
      <c r="I241" s="18">
        <f t="shared" si="43"/>
        <v>2842942.2620000001</v>
      </c>
      <c r="J241" s="19" t="s">
        <v>13</v>
      </c>
      <c r="K241" s="52" t="s">
        <v>14</v>
      </c>
    </row>
    <row r="242" spans="1:11" ht="30" x14ac:dyDescent="0.25">
      <c r="A242" s="21">
        <f t="shared" si="44"/>
        <v>222</v>
      </c>
      <c r="B242" s="22">
        <v>46061</v>
      </c>
      <c r="C242" s="23">
        <v>8610826</v>
      </c>
      <c r="D242" s="24">
        <v>73055915</v>
      </c>
      <c r="E242" s="25">
        <v>61.6</v>
      </c>
      <c r="F242" s="15">
        <v>564.96</v>
      </c>
      <c r="G242" s="16">
        <f t="shared" si="42"/>
        <v>34801.536</v>
      </c>
      <c r="H242" s="17">
        <v>46076.86</v>
      </c>
      <c r="I242" s="18">
        <f t="shared" si="43"/>
        <v>2838334.5759999999</v>
      </c>
      <c r="J242" s="19" t="s">
        <v>13</v>
      </c>
      <c r="K242" s="52" t="s">
        <v>14</v>
      </c>
    </row>
    <row r="243" spans="1:11" ht="30" x14ac:dyDescent="0.25">
      <c r="A243" s="21">
        <f t="shared" si="44"/>
        <v>223</v>
      </c>
      <c r="B243" s="22">
        <v>46061</v>
      </c>
      <c r="C243" s="23">
        <v>8610826</v>
      </c>
      <c r="D243" s="24">
        <v>73062630</v>
      </c>
      <c r="E243" s="25">
        <v>61.6</v>
      </c>
      <c r="F243" s="15">
        <v>564.96</v>
      </c>
      <c r="G243" s="16">
        <f t="shared" si="42"/>
        <v>34801.536</v>
      </c>
      <c r="H243" s="17">
        <v>46076.86</v>
      </c>
      <c r="I243" s="18">
        <f t="shared" si="43"/>
        <v>2838334.5759999999</v>
      </c>
      <c r="J243" s="19" t="s">
        <v>13</v>
      </c>
      <c r="K243" s="52" t="s">
        <v>14</v>
      </c>
    </row>
    <row r="244" spans="1:11" ht="30" x14ac:dyDescent="0.25">
      <c r="A244" s="21">
        <f t="shared" si="44"/>
        <v>224</v>
      </c>
      <c r="B244" s="22">
        <v>46061</v>
      </c>
      <c r="C244" s="23">
        <v>8610826</v>
      </c>
      <c r="D244" s="24">
        <v>73081457</v>
      </c>
      <c r="E244" s="25">
        <v>61.65</v>
      </c>
      <c r="F244" s="15">
        <v>564.96</v>
      </c>
      <c r="G244" s="16">
        <f t="shared" si="42"/>
        <v>34829.784</v>
      </c>
      <c r="H244" s="17">
        <v>46076.86</v>
      </c>
      <c r="I244" s="18">
        <f t="shared" si="43"/>
        <v>2840638.4189999998</v>
      </c>
      <c r="J244" s="19" t="s">
        <v>13</v>
      </c>
      <c r="K244" s="52" t="s">
        <v>14</v>
      </c>
    </row>
    <row r="245" spans="1:11" ht="30" x14ac:dyDescent="0.25">
      <c r="A245" s="21">
        <f t="shared" si="44"/>
        <v>225</v>
      </c>
      <c r="B245" s="22">
        <v>46061</v>
      </c>
      <c r="C245" s="23">
        <v>8610826</v>
      </c>
      <c r="D245" s="24">
        <v>73114563</v>
      </c>
      <c r="E245" s="25">
        <v>61.75</v>
      </c>
      <c r="F245" s="15">
        <v>564.96</v>
      </c>
      <c r="G245" s="16">
        <f t="shared" si="42"/>
        <v>34886.28</v>
      </c>
      <c r="H245" s="17">
        <v>46076.86</v>
      </c>
      <c r="I245" s="18">
        <f t="shared" si="43"/>
        <v>2845246.105</v>
      </c>
      <c r="J245" s="19" t="s">
        <v>13</v>
      </c>
      <c r="K245" s="52" t="s">
        <v>14</v>
      </c>
    </row>
    <row r="246" spans="1:11" ht="30" x14ac:dyDescent="0.25">
      <c r="A246" s="21">
        <f t="shared" si="44"/>
        <v>226</v>
      </c>
      <c r="B246" s="22">
        <v>46061</v>
      </c>
      <c r="C246" s="23">
        <v>8610826</v>
      </c>
      <c r="D246" s="24">
        <v>73154510</v>
      </c>
      <c r="E246" s="25">
        <v>61.6</v>
      </c>
      <c r="F246" s="15">
        <v>564.96</v>
      </c>
      <c r="G246" s="16">
        <f t="shared" si="42"/>
        <v>34801.536</v>
      </c>
      <c r="H246" s="17">
        <v>46076.86</v>
      </c>
      <c r="I246" s="18">
        <f t="shared" si="43"/>
        <v>2838334.5759999999</v>
      </c>
      <c r="J246" s="19" t="s">
        <v>13</v>
      </c>
      <c r="K246" s="52" t="s">
        <v>14</v>
      </c>
    </row>
    <row r="247" spans="1:11" ht="30" x14ac:dyDescent="0.25">
      <c r="A247" s="21">
        <f t="shared" si="44"/>
        <v>227</v>
      </c>
      <c r="B247" s="22">
        <v>46061</v>
      </c>
      <c r="C247" s="23">
        <v>8610826</v>
      </c>
      <c r="D247" s="24">
        <v>73158305</v>
      </c>
      <c r="E247" s="25">
        <v>61.6</v>
      </c>
      <c r="F247" s="15">
        <v>564.96</v>
      </c>
      <c r="G247" s="16">
        <f t="shared" si="42"/>
        <v>34801.536</v>
      </c>
      <c r="H247" s="17">
        <v>46076.86</v>
      </c>
      <c r="I247" s="18">
        <f t="shared" si="43"/>
        <v>2838334.5759999999</v>
      </c>
      <c r="J247" s="19" t="s">
        <v>13</v>
      </c>
      <c r="K247" s="52" t="s">
        <v>14</v>
      </c>
    </row>
    <row r="248" spans="1:11" ht="30" x14ac:dyDescent="0.25">
      <c r="A248" s="21">
        <f t="shared" si="44"/>
        <v>228</v>
      </c>
      <c r="B248" s="22">
        <v>46061</v>
      </c>
      <c r="C248" s="23">
        <v>8610825</v>
      </c>
      <c r="D248" s="24">
        <v>73160749</v>
      </c>
      <c r="E248" s="25">
        <v>61.7</v>
      </c>
      <c r="F248" s="15">
        <v>564.96</v>
      </c>
      <c r="G248" s="16">
        <f t="shared" si="42"/>
        <v>34858.032000000007</v>
      </c>
      <c r="H248" s="17">
        <v>46076.86</v>
      </c>
      <c r="I248" s="18">
        <f t="shared" si="43"/>
        <v>2842942.2620000001</v>
      </c>
      <c r="J248" s="19" t="s">
        <v>13</v>
      </c>
      <c r="K248" s="52" t="s">
        <v>14</v>
      </c>
    </row>
    <row r="249" spans="1:11" ht="30" x14ac:dyDescent="0.25">
      <c r="A249" s="21">
        <f t="shared" si="44"/>
        <v>229</v>
      </c>
      <c r="B249" s="22">
        <v>46061</v>
      </c>
      <c r="C249" s="23">
        <v>8610826</v>
      </c>
      <c r="D249" s="24">
        <v>73177511</v>
      </c>
      <c r="E249" s="25">
        <v>61.6</v>
      </c>
      <c r="F249" s="15">
        <v>564.96</v>
      </c>
      <c r="G249" s="16">
        <f t="shared" si="42"/>
        <v>34801.536</v>
      </c>
      <c r="H249" s="17">
        <v>46076.86</v>
      </c>
      <c r="I249" s="18">
        <f t="shared" si="43"/>
        <v>2838334.5759999999</v>
      </c>
      <c r="J249" s="19" t="s">
        <v>13</v>
      </c>
      <c r="K249" s="52" t="s">
        <v>14</v>
      </c>
    </row>
    <row r="250" spans="1:11" ht="30" x14ac:dyDescent="0.25">
      <c r="A250" s="21">
        <f t="shared" si="44"/>
        <v>230</v>
      </c>
      <c r="B250" s="22">
        <v>46061</v>
      </c>
      <c r="C250" s="23">
        <v>8610826</v>
      </c>
      <c r="D250" s="24">
        <v>73231003</v>
      </c>
      <c r="E250" s="25">
        <v>61.9</v>
      </c>
      <c r="F250" s="15">
        <v>564.96</v>
      </c>
      <c r="G250" s="16">
        <f t="shared" si="42"/>
        <v>34971.024000000005</v>
      </c>
      <c r="H250" s="17">
        <v>46076.86</v>
      </c>
      <c r="I250" s="18">
        <f t="shared" si="43"/>
        <v>2852157.6340000001</v>
      </c>
      <c r="J250" s="19" t="s">
        <v>13</v>
      </c>
      <c r="K250" s="52" t="s">
        <v>14</v>
      </c>
    </row>
    <row r="251" spans="1:11" ht="30" x14ac:dyDescent="0.25">
      <c r="A251" s="21">
        <f t="shared" si="44"/>
        <v>231</v>
      </c>
      <c r="B251" s="22">
        <v>46061</v>
      </c>
      <c r="C251" s="23">
        <v>8610826</v>
      </c>
      <c r="D251" s="24">
        <v>73231235</v>
      </c>
      <c r="E251" s="25">
        <v>61.6</v>
      </c>
      <c r="F251" s="15">
        <v>564.96</v>
      </c>
      <c r="G251" s="16">
        <f t="shared" si="42"/>
        <v>34801.536</v>
      </c>
      <c r="H251" s="17">
        <v>46076.86</v>
      </c>
      <c r="I251" s="18">
        <f t="shared" si="43"/>
        <v>2838334.5759999999</v>
      </c>
      <c r="J251" s="19" t="s">
        <v>13</v>
      </c>
      <c r="K251" s="52" t="s">
        <v>14</v>
      </c>
    </row>
    <row r="252" spans="1:11" ht="30" x14ac:dyDescent="0.25">
      <c r="A252" s="21">
        <f t="shared" si="44"/>
        <v>232</v>
      </c>
      <c r="B252" s="22">
        <v>46061</v>
      </c>
      <c r="C252" s="23">
        <v>8610826</v>
      </c>
      <c r="D252" s="24">
        <v>73233165</v>
      </c>
      <c r="E252" s="25">
        <v>61.6</v>
      </c>
      <c r="F252" s="15">
        <v>564.96</v>
      </c>
      <c r="G252" s="16">
        <f t="shared" si="42"/>
        <v>34801.536</v>
      </c>
      <c r="H252" s="17">
        <v>46076.86</v>
      </c>
      <c r="I252" s="18">
        <f t="shared" si="43"/>
        <v>2838334.5759999999</v>
      </c>
      <c r="J252" s="19" t="s">
        <v>13</v>
      </c>
      <c r="K252" s="52" t="s">
        <v>14</v>
      </c>
    </row>
    <row r="253" spans="1:11" ht="30" x14ac:dyDescent="0.25">
      <c r="A253" s="21">
        <f t="shared" si="44"/>
        <v>233</v>
      </c>
      <c r="B253" s="22">
        <v>46061</v>
      </c>
      <c r="C253" s="23">
        <v>8610826</v>
      </c>
      <c r="D253" s="24">
        <v>73913717</v>
      </c>
      <c r="E253" s="25">
        <v>61.7</v>
      </c>
      <c r="F253" s="15">
        <v>564.96</v>
      </c>
      <c r="G253" s="16">
        <f t="shared" si="42"/>
        <v>34858.032000000007</v>
      </c>
      <c r="H253" s="17">
        <v>46076.86</v>
      </c>
      <c r="I253" s="18">
        <f t="shared" si="43"/>
        <v>2842942.2620000001</v>
      </c>
      <c r="J253" s="19" t="s">
        <v>13</v>
      </c>
      <c r="K253" s="52" t="s">
        <v>14</v>
      </c>
    </row>
    <row r="254" spans="1:11" ht="30" x14ac:dyDescent="0.25">
      <c r="A254" s="21">
        <f t="shared" si="44"/>
        <v>234</v>
      </c>
      <c r="B254" s="22">
        <v>46061</v>
      </c>
      <c r="C254" s="23">
        <v>8610825</v>
      </c>
      <c r="D254" s="24">
        <v>73971053</v>
      </c>
      <c r="E254" s="25">
        <v>61.35</v>
      </c>
      <c r="F254" s="15">
        <v>564.96</v>
      </c>
      <c r="G254" s="16">
        <f t="shared" si="42"/>
        <v>34660.296000000002</v>
      </c>
      <c r="H254" s="17">
        <v>46076.86</v>
      </c>
      <c r="I254" s="18">
        <f t="shared" si="43"/>
        <v>2826815.361</v>
      </c>
      <c r="J254" s="19" t="s">
        <v>13</v>
      </c>
      <c r="K254" s="52" t="s">
        <v>14</v>
      </c>
    </row>
    <row r="255" spans="1:11" ht="30" x14ac:dyDescent="0.25">
      <c r="A255" s="21">
        <f t="shared" si="44"/>
        <v>235</v>
      </c>
      <c r="B255" s="22">
        <v>46061</v>
      </c>
      <c r="C255" s="23">
        <v>8610824</v>
      </c>
      <c r="D255" s="24">
        <v>74245226</v>
      </c>
      <c r="E255" s="25">
        <v>52.65</v>
      </c>
      <c r="F255" s="15">
        <v>564.96</v>
      </c>
      <c r="G255" s="16">
        <f t="shared" si="42"/>
        <v>29745.144</v>
      </c>
      <c r="H255" s="17">
        <v>46076.86</v>
      </c>
      <c r="I255" s="18">
        <f t="shared" si="43"/>
        <v>2425946.679</v>
      </c>
      <c r="J255" s="19" t="s">
        <v>13</v>
      </c>
      <c r="K255" s="52" t="s">
        <v>14</v>
      </c>
    </row>
    <row r="256" spans="1:11" ht="30" x14ac:dyDescent="0.25">
      <c r="A256" s="21">
        <f t="shared" si="44"/>
        <v>236</v>
      </c>
      <c r="B256" s="22">
        <v>46061</v>
      </c>
      <c r="C256" s="23">
        <v>8610824</v>
      </c>
      <c r="D256" s="24">
        <v>75004101</v>
      </c>
      <c r="E256" s="25">
        <v>61.25</v>
      </c>
      <c r="F256" s="15">
        <v>564.96</v>
      </c>
      <c r="G256" s="16">
        <f t="shared" si="42"/>
        <v>34603.800000000003</v>
      </c>
      <c r="H256" s="17">
        <v>46076.86</v>
      </c>
      <c r="I256" s="18">
        <f t="shared" si="43"/>
        <v>2822207.6749999998</v>
      </c>
      <c r="J256" s="19" t="s">
        <v>13</v>
      </c>
      <c r="K256" s="52" t="s">
        <v>14</v>
      </c>
    </row>
    <row r="257" spans="1:11" ht="30.75" thickBot="1" x14ac:dyDescent="0.3">
      <c r="A257" s="21">
        <f t="shared" si="44"/>
        <v>237</v>
      </c>
      <c r="B257" s="27">
        <v>46061</v>
      </c>
      <c r="C257" s="28">
        <v>8610825</v>
      </c>
      <c r="D257" s="29">
        <v>75080788</v>
      </c>
      <c r="E257" s="30">
        <v>61.7</v>
      </c>
      <c r="F257" s="15">
        <v>564.96</v>
      </c>
      <c r="G257" s="43">
        <f t="shared" si="42"/>
        <v>34858.032000000007</v>
      </c>
      <c r="H257" s="46">
        <v>46076.86</v>
      </c>
      <c r="I257" s="47">
        <f t="shared" si="43"/>
        <v>2842942.2620000001</v>
      </c>
      <c r="J257" s="19" t="s">
        <v>13</v>
      </c>
      <c r="K257" s="53" t="s">
        <v>14</v>
      </c>
    </row>
    <row r="258" spans="1:11" ht="15.75" thickBot="1" x14ac:dyDescent="0.3">
      <c r="A258" s="31"/>
      <c r="B258" s="32"/>
      <c r="C258" s="32"/>
      <c r="D258" s="32"/>
      <c r="E258" s="33"/>
      <c r="F258" s="34"/>
      <c r="G258" s="35"/>
      <c r="H258" s="32"/>
      <c r="I258" s="36"/>
      <c r="J258" s="32"/>
      <c r="K258" s="64"/>
    </row>
    <row r="259" spans="1:11" ht="30" x14ac:dyDescent="0.25">
      <c r="A259" s="10">
        <v>238</v>
      </c>
      <c r="B259" s="22">
        <v>46061</v>
      </c>
      <c r="C259" s="23">
        <v>8610819</v>
      </c>
      <c r="D259" s="24">
        <v>50133461</v>
      </c>
      <c r="E259" s="25">
        <v>60.4</v>
      </c>
      <c r="F259" s="15">
        <v>564.96</v>
      </c>
      <c r="G259" s="16">
        <f t="shared" ref="G259:G260" si="45">E259*F259</f>
        <v>34123.584000000003</v>
      </c>
      <c r="H259" s="17">
        <v>46076.86</v>
      </c>
      <c r="I259" s="18">
        <f t="shared" ref="I259:I260" si="46">E259*H259</f>
        <v>2783042.344</v>
      </c>
      <c r="J259" s="19" t="s">
        <v>13</v>
      </c>
      <c r="K259" s="52" t="s">
        <v>14</v>
      </c>
    </row>
    <row r="260" spans="1:11" ht="30.75" thickBot="1" x14ac:dyDescent="0.3">
      <c r="A260" s="65">
        <v>239</v>
      </c>
      <c r="B260" s="27">
        <v>46061</v>
      </c>
      <c r="C260" s="28">
        <v>8610818</v>
      </c>
      <c r="D260" s="29">
        <v>73224131</v>
      </c>
      <c r="E260" s="25">
        <v>60.15</v>
      </c>
      <c r="F260" s="15">
        <v>564.96</v>
      </c>
      <c r="G260" s="16">
        <f t="shared" si="45"/>
        <v>33982.344000000005</v>
      </c>
      <c r="H260" s="17">
        <v>46076.86</v>
      </c>
      <c r="I260" s="18">
        <f t="shared" si="46"/>
        <v>2771523.1290000002</v>
      </c>
      <c r="J260" s="19" t="s">
        <v>13</v>
      </c>
      <c r="K260" s="52" t="s">
        <v>14</v>
      </c>
    </row>
    <row r="261" spans="1:11" ht="15.75" thickBot="1" x14ac:dyDescent="0.3">
      <c r="A261" s="31"/>
      <c r="B261" s="32"/>
      <c r="C261" s="32"/>
      <c r="D261" s="32"/>
      <c r="E261" s="33"/>
      <c r="F261" s="34"/>
      <c r="G261" s="35"/>
      <c r="H261" s="32"/>
      <c r="I261" s="36"/>
      <c r="J261" s="32"/>
      <c r="K261" s="64"/>
    </row>
    <row r="262" spans="1:11" ht="30" x14ac:dyDescent="0.25">
      <c r="A262" s="84">
        <v>240</v>
      </c>
      <c r="B262" s="85">
        <v>46061</v>
      </c>
      <c r="C262" s="86">
        <v>8610828</v>
      </c>
      <c r="D262" s="87">
        <v>50394899</v>
      </c>
      <c r="E262" s="88">
        <v>59.7</v>
      </c>
      <c r="F262" s="94">
        <v>564.96</v>
      </c>
      <c r="G262" s="89">
        <f t="shared" ref="G262:G270" si="47">E262*F262</f>
        <v>33728.112000000001</v>
      </c>
      <c r="H262" s="90">
        <v>46076.86</v>
      </c>
      <c r="I262" s="91">
        <f t="shared" ref="I262:I270" si="48">E262*H262</f>
        <v>2750788.5420000004</v>
      </c>
      <c r="J262" s="92" t="s">
        <v>13</v>
      </c>
      <c r="K262" s="93" t="s">
        <v>14</v>
      </c>
    </row>
    <row r="263" spans="1:11" ht="30" x14ac:dyDescent="0.25">
      <c r="A263" s="45">
        <f>A262+1</f>
        <v>241</v>
      </c>
      <c r="B263" s="11">
        <v>46061</v>
      </c>
      <c r="C263" s="23">
        <v>8610828</v>
      </c>
      <c r="D263" s="24">
        <v>73084261</v>
      </c>
      <c r="E263" s="25">
        <v>61.25</v>
      </c>
      <c r="F263" s="15">
        <v>564.96</v>
      </c>
      <c r="G263" s="16">
        <f t="shared" si="47"/>
        <v>34603.800000000003</v>
      </c>
      <c r="H263" s="17">
        <v>46076.86</v>
      </c>
      <c r="I263" s="18">
        <f t="shared" si="48"/>
        <v>2822207.6749999998</v>
      </c>
      <c r="J263" s="19" t="s">
        <v>13</v>
      </c>
      <c r="K263" s="52" t="s">
        <v>14</v>
      </c>
    </row>
    <row r="264" spans="1:11" ht="30" x14ac:dyDescent="0.25">
      <c r="A264" s="45">
        <f t="shared" ref="A264:A270" si="49">A263+1</f>
        <v>242</v>
      </c>
      <c r="B264" s="11">
        <v>46061</v>
      </c>
      <c r="C264" s="23">
        <v>8610828</v>
      </c>
      <c r="D264" s="24">
        <v>73137309</v>
      </c>
      <c r="E264" s="25">
        <v>58.5</v>
      </c>
      <c r="F264" s="15">
        <v>564.96</v>
      </c>
      <c r="G264" s="16">
        <f t="shared" si="47"/>
        <v>33050.160000000003</v>
      </c>
      <c r="H264" s="17">
        <v>46076.86</v>
      </c>
      <c r="I264" s="18">
        <f t="shared" si="48"/>
        <v>2695496.31</v>
      </c>
      <c r="J264" s="19" t="s">
        <v>13</v>
      </c>
      <c r="K264" s="52" t="s">
        <v>14</v>
      </c>
    </row>
    <row r="265" spans="1:11" ht="30" x14ac:dyDescent="0.25">
      <c r="A265" s="45">
        <f t="shared" si="49"/>
        <v>243</v>
      </c>
      <c r="B265" s="11">
        <v>46061</v>
      </c>
      <c r="C265" s="23">
        <v>8610828</v>
      </c>
      <c r="D265" s="24">
        <v>73176364</v>
      </c>
      <c r="E265" s="25">
        <v>61</v>
      </c>
      <c r="F265" s="15">
        <v>564.96</v>
      </c>
      <c r="G265" s="16">
        <f t="shared" si="47"/>
        <v>34462.560000000005</v>
      </c>
      <c r="H265" s="17">
        <v>46076.86</v>
      </c>
      <c r="I265" s="18">
        <f t="shared" si="48"/>
        <v>2810688.46</v>
      </c>
      <c r="J265" s="19" t="s">
        <v>13</v>
      </c>
      <c r="K265" s="52" t="s">
        <v>14</v>
      </c>
    </row>
    <row r="266" spans="1:11" ht="30" x14ac:dyDescent="0.25">
      <c r="A266" s="45">
        <f t="shared" si="49"/>
        <v>244</v>
      </c>
      <c r="B266" s="11">
        <v>46061</v>
      </c>
      <c r="C266" s="28">
        <v>8610828</v>
      </c>
      <c r="D266" s="29">
        <v>73229957</v>
      </c>
      <c r="E266" s="25">
        <v>59.45</v>
      </c>
      <c r="F266" s="15">
        <v>564.96</v>
      </c>
      <c r="G266" s="16">
        <f t="shared" si="47"/>
        <v>33586.872000000003</v>
      </c>
      <c r="H266" s="17">
        <v>46076.86</v>
      </c>
      <c r="I266" s="18">
        <f t="shared" si="48"/>
        <v>2739269.327</v>
      </c>
      <c r="J266" s="19" t="s">
        <v>13</v>
      </c>
      <c r="K266" s="52" t="s">
        <v>14</v>
      </c>
    </row>
    <row r="267" spans="1:11" ht="30" x14ac:dyDescent="0.25">
      <c r="A267" s="45">
        <f t="shared" si="49"/>
        <v>245</v>
      </c>
      <c r="B267" s="11">
        <v>46061</v>
      </c>
      <c r="C267" s="23">
        <v>8610828</v>
      </c>
      <c r="D267" s="24">
        <v>73230831</v>
      </c>
      <c r="E267" s="25">
        <v>60.6</v>
      </c>
      <c r="F267" s="15">
        <v>564.96</v>
      </c>
      <c r="G267" s="16">
        <f t="shared" si="47"/>
        <v>34236.576000000001</v>
      </c>
      <c r="H267" s="17">
        <v>46076.86</v>
      </c>
      <c r="I267" s="18">
        <f t="shared" si="48"/>
        <v>2792257.716</v>
      </c>
      <c r="J267" s="19" t="s">
        <v>13</v>
      </c>
      <c r="K267" s="52" t="s">
        <v>14</v>
      </c>
    </row>
    <row r="268" spans="1:11" ht="30" x14ac:dyDescent="0.25">
      <c r="A268" s="45">
        <f t="shared" si="49"/>
        <v>246</v>
      </c>
      <c r="B268" s="11">
        <v>46061</v>
      </c>
      <c r="C268" s="23">
        <v>8610828</v>
      </c>
      <c r="D268" s="24">
        <v>75256768</v>
      </c>
      <c r="E268" s="25">
        <v>59.15</v>
      </c>
      <c r="F268" s="15">
        <v>564.96</v>
      </c>
      <c r="G268" s="16">
        <f t="shared" si="47"/>
        <v>33417.383999999998</v>
      </c>
      <c r="H268" s="17">
        <v>46076.86</v>
      </c>
      <c r="I268" s="18">
        <f t="shared" si="48"/>
        <v>2725446.2689999999</v>
      </c>
      <c r="J268" s="19" t="s">
        <v>13</v>
      </c>
      <c r="K268" s="52" t="s">
        <v>14</v>
      </c>
    </row>
    <row r="269" spans="1:11" ht="30" x14ac:dyDescent="0.25">
      <c r="A269" s="45">
        <f t="shared" si="49"/>
        <v>247</v>
      </c>
      <c r="B269" s="11">
        <v>46061</v>
      </c>
      <c r="C269" s="23">
        <v>8610828</v>
      </c>
      <c r="D269" s="24">
        <v>75259374</v>
      </c>
      <c r="E269" s="25">
        <v>56.3</v>
      </c>
      <c r="F269" s="15">
        <v>564.96</v>
      </c>
      <c r="G269" s="16">
        <f t="shared" si="47"/>
        <v>31807.248</v>
      </c>
      <c r="H269" s="17">
        <v>46076.86</v>
      </c>
      <c r="I269" s="18">
        <f t="shared" si="48"/>
        <v>2594127.2179999999</v>
      </c>
      <c r="J269" s="19" t="s">
        <v>13</v>
      </c>
      <c r="K269" s="52" t="s">
        <v>14</v>
      </c>
    </row>
    <row r="270" spans="1:11" ht="30.75" thickBot="1" x14ac:dyDescent="0.3">
      <c r="A270" s="54">
        <f t="shared" si="49"/>
        <v>248</v>
      </c>
      <c r="B270" s="95">
        <v>46061</v>
      </c>
      <c r="C270" s="56">
        <v>8610828</v>
      </c>
      <c r="D270" s="57">
        <v>75278366</v>
      </c>
      <c r="E270" s="58">
        <v>60.55</v>
      </c>
      <c r="F270" s="96">
        <v>564.96</v>
      </c>
      <c r="G270" s="59">
        <f t="shared" si="47"/>
        <v>34208.328000000001</v>
      </c>
      <c r="H270" s="60">
        <v>46076.86</v>
      </c>
      <c r="I270" s="61">
        <f t="shared" si="48"/>
        <v>2789953.8729999997</v>
      </c>
      <c r="J270" s="62" t="s">
        <v>13</v>
      </c>
      <c r="K270" s="63" t="s">
        <v>14</v>
      </c>
    </row>
    <row r="271" spans="1:11" ht="15.75" thickBot="1" x14ac:dyDescent="0.3">
      <c r="A271" s="97"/>
      <c r="B271" s="98"/>
      <c r="C271" s="98"/>
      <c r="D271" s="98"/>
      <c r="E271" s="99"/>
      <c r="F271" s="100"/>
      <c r="G271" s="101"/>
      <c r="H271" s="98"/>
      <c r="I271" s="102"/>
      <c r="J271" s="98"/>
      <c r="K271" s="103"/>
    </row>
    <row r="272" spans="1:11" ht="15.75" thickBot="1" x14ac:dyDescent="0.3">
      <c r="A272" s="124"/>
      <c r="B272" s="125"/>
      <c r="C272" s="125"/>
      <c r="D272" s="126"/>
      <c r="E272" s="66"/>
      <c r="F272" s="67"/>
      <c r="G272" s="68"/>
      <c r="H272" s="69"/>
      <c r="I272" s="70"/>
      <c r="J272" s="69"/>
      <c r="K272" s="104"/>
    </row>
    <row r="273" spans="1:11" ht="15.75" thickBot="1" x14ac:dyDescent="0.3">
      <c r="A273" s="105"/>
      <c r="B273" s="106"/>
      <c r="C273" s="106"/>
      <c r="D273" s="106"/>
      <c r="E273" s="107"/>
      <c r="F273" s="108"/>
      <c r="G273" s="109"/>
      <c r="H273" s="106"/>
      <c r="I273" s="110"/>
      <c r="J273" s="106"/>
      <c r="K273" s="111"/>
    </row>
    <row r="274" spans="1:1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x14ac:dyDescent="0.25">
      <c r="A276" s="1"/>
      <c r="B276" s="127" t="s">
        <v>17</v>
      </c>
      <c r="C276" s="128"/>
      <c r="D276" s="112"/>
      <c r="E276" s="113">
        <v>15000</v>
      </c>
      <c r="F276" s="1"/>
      <c r="G276" s="1"/>
      <c r="H276" s="1"/>
      <c r="I276" s="1"/>
      <c r="J276" s="1"/>
      <c r="K276" s="1"/>
    </row>
    <row r="277" spans="1:11" x14ac:dyDescent="0.25">
      <c r="A277" s="1"/>
      <c r="B277" s="114" t="s">
        <v>18</v>
      </c>
      <c r="C277" s="115"/>
      <c r="D277" s="116"/>
      <c r="E277" s="117">
        <f>E273</f>
        <v>0</v>
      </c>
      <c r="F277" s="1"/>
      <c r="G277" s="1"/>
      <c r="H277" s="1"/>
      <c r="I277" s="1"/>
      <c r="J277" s="1"/>
      <c r="K277" s="1"/>
    </row>
    <row r="278" spans="1:11" ht="15.75" thickBot="1" x14ac:dyDescent="0.3">
      <c r="A278" s="1"/>
      <c r="B278" s="118" t="s">
        <v>19</v>
      </c>
      <c r="C278" s="119"/>
      <c r="D278" s="120"/>
      <c r="E278" s="121">
        <f>E276-E277</f>
        <v>15000</v>
      </c>
      <c r="F278" s="1"/>
      <c r="G278" s="1"/>
      <c r="H278" s="1"/>
      <c r="I278" s="1"/>
      <c r="J278" s="1"/>
      <c r="K278" s="1"/>
    </row>
    <row r="279" spans="1:1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</sheetData>
  <mergeCells count="5">
    <mergeCell ref="A1:K1"/>
    <mergeCell ref="A2:K2"/>
    <mergeCell ref="A99:D99"/>
    <mergeCell ref="A272:D272"/>
    <mergeCell ref="B276:C2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Fawad Seddiqi</dc:creator>
  <cp:lastModifiedBy>Sayed Neman Alemi</cp:lastModifiedBy>
  <dcterms:created xsi:type="dcterms:W3CDTF">2015-06-05T18:17:20Z</dcterms:created>
  <dcterms:modified xsi:type="dcterms:W3CDTF">2026-08-02T07:02:33Z</dcterms:modified>
</cp:coreProperties>
</file>