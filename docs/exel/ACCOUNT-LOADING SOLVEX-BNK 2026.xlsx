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wad S G C\Desktop\دیتابس\"/>
    </mc:Choice>
  </mc:AlternateContent>
  <bookViews>
    <workbookView xWindow="0" yWindow="0" windowWidth="28800" windowHeight="12228" tabRatio="778" activeTab="2"/>
  </bookViews>
  <sheets>
    <sheet name="9600 MT January" sheetId="13" r:id="rId1"/>
    <sheet name="10000 MT MARCH " sheetId="14" r:id="rId2"/>
    <sheet name="Account" sheetId="17" r:id="rId3"/>
  </sheets>
  <calcPr calcId="152511"/>
</workbook>
</file>

<file path=xl/calcChain.xml><?xml version="1.0" encoding="utf-8"?>
<calcChain xmlns="http://schemas.openxmlformats.org/spreadsheetml/2006/main">
  <c r="H12" i="17" l="1"/>
  <c r="N6" i="17"/>
  <c r="N7" i="17" s="1"/>
  <c r="N8" i="17" s="1"/>
  <c r="N9" i="17" s="1"/>
  <c r="N10" i="17" s="1"/>
  <c r="N11" i="17" s="1"/>
  <c r="N5" i="17"/>
  <c r="N4" i="17"/>
  <c r="I4" i="17"/>
  <c r="L11" i="17"/>
  <c r="K9" i="17" l="1"/>
  <c r="F9" i="17" s="1"/>
  <c r="H9" i="17" s="1"/>
  <c r="L25" i="17"/>
  <c r="G29" i="17" l="1"/>
  <c r="M24" i="17"/>
  <c r="F24" i="17"/>
  <c r="H24" i="17" s="1"/>
  <c r="L23" i="17"/>
  <c r="L22" i="17"/>
  <c r="L21" i="17"/>
  <c r="L20" i="17"/>
  <c r="L19" i="17"/>
  <c r="L18" i="17"/>
  <c r="L17" i="17"/>
  <c r="L16" i="17"/>
  <c r="L15" i="17"/>
  <c r="M12" i="17"/>
  <c r="N12" i="17" s="1"/>
  <c r="N13" i="17" s="1"/>
  <c r="N14" i="17" s="1"/>
  <c r="N15" i="17" s="1"/>
  <c r="N16" i="17" s="1"/>
  <c r="N17" i="17" s="1"/>
  <c r="N18" i="17" s="1"/>
  <c r="N19" i="17" s="1"/>
  <c r="N20" i="17" s="1"/>
  <c r="N21" i="17" s="1"/>
  <c r="N22" i="17" s="1"/>
  <c r="N23" i="17" s="1"/>
  <c r="N24" i="17" s="1"/>
  <c r="N25" i="17" s="1"/>
  <c r="N26" i="17" s="1"/>
  <c r="M10" i="17"/>
  <c r="M9" i="17"/>
  <c r="L8" i="17"/>
  <c r="L7" i="17"/>
  <c r="L6" i="17"/>
  <c r="L5" i="17"/>
  <c r="O4" i="17"/>
  <c r="L4" i="17"/>
  <c r="I5" i="17"/>
  <c r="I6" i="17" s="1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I22" i="17" s="1"/>
  <c r="I23" i="17" s="1"/>
  <c r="M29" i="17" l="1"/>
  <c r="L29" i="17"/>
  <c r="I24" i="17"/>
  <c r="I25" i="17" s="1"/>
  <c r="I26" i="17" s="1"/>
  <c r="H29" i="17"/>
  <c r="G175" i="13" l="1"/>
  <c r="G145" i="13" l="1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4" i="13"/>
  <c r="G176" i="13"/>
  <c r="G177" i="13"/>
  <c r="G178" i="13"/>
  <c r="G180" i="13"/>
  <c r="G181" i="13"/>
  <c r="G182" i="13"/>
  <c r="G183" i="13"/>
  <c r="G184" i="13"/>
  <c r="G144" i="13"/>
  <c r="G143" i="13"/>
  <c r="G139" i="13"/>
  <c r="G140" i="13"/>
  <c r="G141" i="13"/>
  <c r="G138" i="13"/>
  <c r="G136" i="13"/>
  <c r="G134" i="13"/>
  <c r="G132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14" i="13"/>
  <c r="G113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6" i="13"/>
  <c r="G107" i="13"/>
  <c r="G108" i="13"/>
  <c r="G109" i="13"/>
  <c r="G110" i="13"/>
  <c r="G111" i="13"/>
  <c r="G89" i="13"/>
  <c r="G79" i="13"/>
  <c r="G80" i="13"/>
  <c r="G81" i="13"/>
  <c r="G82" i="13"/>
  <c r="G83" i="13"/>
  <c r="G84" i="13"/>
  <c r="G85" i="13"/>
  <c r="G86" i="13"/>
  <c r="G87" i="13"/>
  <c r="G78" i="13"/>
  <c r="G75" i="13"/>
  <c r="G76" i="13"/>
  <c r="G74" i="13"/>
  <c r="G66" i="13"/>
  <c r="G67" i="13"/>
  <c r="G68" i="13"/>
  <c r="G69" i="13"/>
  <c r="G70" i="13"/>
  <c r="G71" i="13"/>
  <c r="G72" i="13"/>
  <c r="G65" i="13"/>
  <c r="G64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38" i="13"/>
  <c r="G37" i="13"/>
  <c r="G35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6" i="13"/>
  <c r="G7" i="13"/>
  <c r="G5" i="13"/>
  <c r="G182" i="14" l="1"/>
  <c r="G181" i="14" l="1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29" i="14"/>
  <c r="G128" i="14"/>
  <c r="G127" i="14"/>
  <c r="G126" i="14"/>
  <c r="G125" i="14"/>
  <c r="G124" i="14"/>
  <c r="G123" i="14"/>
  <c r="G122" i="14"/>
  <c r="G121" i="14"/>
  <c r="G120" i="14"/>
  <c r="G119" i="14"/>
  <c r="G117" i="14"/>
  <c r="G116" i="14"/>
  <c r="G115" i="14"/>
  <c r="G114" i="14"/>
  <c r="G113" i="14"/>
  <c r="G112" i="14"/>
  <c r="G111" i="14"/>
  <c r="G110" i="14"/>
  <c r="G109" i="14"/>
  <c r="G108" i="14"/>
  <c r="G107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7" i="14"/>
  <c r="G85" i="14"/>
  <c r="G84" i="14"/>
  <c r="G83" i="14"/>
  <c r="G82" i="14"/>
  <c r="G81" i="14"/>
  <c r="G80" i="14"/>
  <c r="G79" i="14"/>
  <c r="G78" i="14"/>
  <c r="G77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6" i="14"/>
  <c r="G44" i="14"/>
  <c r="G43" i="14"/>
  <c r="G42" i="14"/>
  <c r="G41" i="14"/>
  <c r="G40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J184" i="14" l="1"/>
  <c r="E184" i="14"/>
  <c r="J164" i="14"/>
  <c r="E164" i="14"/>
  <c r="J163" i="14"/>
  <c r="H163" i="14"/>
  <c r="J162" i="14"/>
  <c r="H162" i="14"/>
  <c r="J161" i="14"/>
  <c r="H161" i="14"/>
  <c r="J160" i="14"/>
  <c r="H160" i="14"/>
  <c r="J159" i="14"/>
  <c r="H159" i="14"/>
  <c r="J158" i="14"/>
  <c r="H158" i="14"/>
  <c r="J157" i="14"/>
  <c r="H157" i="14"/>
  <c r="J156" i="14"/>
  <c r="H156" i="14"/>
  <c r="J155" i="14"/>
  <c r="H155" i="14"/>
  <c r="J154" i="14"/>
  <c r="H154" i="14"/>
  <c r="J153" i="14"/>
  <c r="H153" i="14"/>
  <c r="J152" i="14"/>
  <c r="H152" i="14"/>
  <c r="J151" i="14"/>
  <c r="H151" i="14"/>
  <c r="J150" i="14"/>
  <c r="H150" i="14"/>
  <c r="J149" i="14"/>
  <c r="H149" i="14"/>
  <c r="J148" i="14"/>
  <c r="H148" i="14"/>
  <c r="J147" i="14"/>
  <c r="H147" i="14"/>
  <c r="J146" i="14"/>
  <c r="H146" i="14"/>
  <c r="J145" i="14"/>
  <c r="H145" i="14"/>
  <c r="J144" i="14"/>
  <c r="H144" i="14"/>
  <c r="J143" i="14"/>
  <c r="H143" i="14"/>
  <c r="J142" i="14"/>
  <c r="H142" i="14"/>
  <c r="J141" i="14"/>
  <c r="H141" i="14"/>
  <c r="J140" i="14"/>
  <c r="H140" i="14"/>
  <c r="J139" i="14"/>
  <c r="H139" i="14"/>
  <c r="J138" i="14"/>
  <c r="H138" i="14"/>
  <c r="J137" i="14"/>
  <c r="H137" i="14"/>
  <c r="J136" i="14"/>
  <c r="H136" i="14"/>
  <c r="J135" i="14"/>
  <c r="H135" i="14"/>
  <c r="J134" i="14"/>
  <c r="H134" i="14"/>
  <c r="J133" i="14"/>
  <c r="H133" i="14"/>
  <c r="J132" i="14"/>
  <c r="H132" i="14"/>
  <c r="J131" i="14"/>
  <c r="H131" i="14"/>
  <c r="A133" i="14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32" i="14"/>
  <c r="J183" i="14"/>
  <c r="J182" i="14"/>
  <c r="H182" i="14"/>
  <c r="J181" i="14"/>
  <c r="H181" i="14"/>
  <c r="J180" i="14"/>
  <c r="H180" i="14"/>
  <c r="J179" i="14"/>
  <c r="H179" i="14"/>
  <c r="J178" i="14"/>
  <c r="H178" i="14"/>
  <c r="J177" i="14"/>
  <c r="H177" i="14"/>
  <c r="J176" i="14"/>
  <c r="H176" i="14"/>
  <c r="J175" i="14"/>
  <c r="H175" i="14"/>
  <c r="J174" i="14"/>
  <c r="H174" i="14"/>
  <c r="J173" i="14"/>
  <c r="H173" i="14"/>
  <c r="J172" i="14"/>
  <c r="H172" i="14"/>
  <c r="J171" i="14"/>
  <c r="H171" i="14"/>
  <c r="J170" i="14"/>
  <c r="H170" i="14"/>
  <c r="J169" i="14"/>
  <c r="H169" i="14"/>
  <c r="J168" i="14"/>
  <c r="H168" i="14"/>
  <c r="J167" i="14"/>
  <c r="H167" i="14"/>
  <c r="J166" i="14"/>
  <c r="H166" i="14"/>
  <c r="J165" i="14"/>
  <c r="H165" i="14"/>
  <c r="H183" i="14" s="1"/>
  <c r="E183" i="14"/>
  <c r="A166" i="14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09" i="14"/>
  <c r="A110" i="14" s="1"/>
  <c r="A111" i="14" s="1"/>
  <c r="A112" i="14" s="1"/>
  <c r="A113" i="14" s="1"/>
  <c r="A114" i="14" s="1"/>
  <c r="A115" i="14" s="1"/>
  <c r="A116" i="14" s="1"/>
  <c r="A117" i="14" s="1"/>
  <c r="A108" i="14"/>
  <c r="J117" i="14"/>
  <c r="H117" i="14"/>
  <c r="J116" i="14"/>
  <c r="H116" i="14"/>
  <c r="J115" i="14"/>
  <c r="H115" i="14"/>
  <c r="J114" i="14"/>
  <c r="H114" i="14"/>
  <c r="J113" i="14"/>
  <c r="H113" i="14"/>
  <c r="J112" i="14"/>
  <c r="H112" i="14"/>
  <c r="J111" i="14"/>
  <c r="H111" i="14"/>
  <c r="J110" i="14"/>
  <c r="H110" i="14"/>
  <c r="J109" i="14"/>
  <c r="H109" i="14"/>
  <c r="J108" i="14"/>
  <c r="H108" i="14"/>
  <c r="H118" i="14" s="1"/>
  <c r="J107" i="14"/>
  <c r="J118" i="14" s="1"/>
  <c r="H107" i="14"/>
  <c r="E118" i="14"/>
  <c r="J129" i="14"/>
  <c r="H129" i="14"/>
  <c r="J128" i="14"/>
  <c r="H128" i="14"/>
  <c r="J127" i="14"/>
  <c r="H127" i="14"/>
  <c r="J126" i="14"/>
  <c r="H126" i="14"/>
  <c r="J125" i="14"/>
  <c r="H125" i="14"/>
  <c r="J124" i="14"/>
  <c r="H124" i="14"/>
  <c r="J123" i="14"/>
  <c r="H123" i="14"/>
  <c r="J122" i="14"/>
  <c r="H122" i="14"/>
  <c r="J121" i="14"/>
  <c r="H121" i="14"/>
  <c r="J120" i="14"/>
  <c r="J130" i="14" s="1"/>
  <c r="H120" i="14"/>
  <c r="J119" i="14"/>
  <c r="H119" i="14"/>
  <c r="H130" i="14" s="1"/>
  <c r="E130" i="14"/>
  <c r="A120" i="14"/>
  <c r="A121" i="14" s="1"/>
  <c r="A122" i="14" s="1"/>
  <c r="A123" i="14" s="1"/>
  <c r="A124" i="14" s="1"/>
  <c r="A125" i="14" s="1"/>
  <c r="A126" i="14" s="1"/>
  <c r="A127" i="14" s="1"/>
  <c r="A128" i="14" s="1"/>
  <c r="A129" i="14" s="1"/>
  <c r="H164" i="14" l="1"/>
  <c r="J105" i="14" l="1"/>
  <c r="H105" i="14"/>
  <c r="J104" i="14"/>
  <c r="H104" i="14"/>
  <c r="J103" i="14"/>
  <c r="H103" i="14"/>
  <c r="J102" i="14"/>
  <c r="H102" i="14"/>
  <c r="J101" i="14"/>
  <c r="H101" i="14"/>
  <c r="J100" i="14"/>
  <c r="H100" i="14"/>
  <c r="J99" i="14"/>
  <c r="H99" i="14"/>
  <c r="J98" i="14"/>
  <c r="H98" i="14"/>
  <c r="J97" i="14"/>
  <c r="H97" i="14"/>
  <c r="J96" i="14"/>
  <c r="H96" i="14"/>
  <c r="J95" i="14"/>
  <c r="H95" i="14"/>
  <c r="J94" i="14"/>
  <c r="H94" i="14"/>
  <c r="J93" i="14"/>
  <c r="H93" i="14"/>
  <c r="J92" i="14"/>
  <c r="H92" i="14"/>
  <c r="J91" i="14"/>
  <c r="H91" i="14"/>
  <c r="J90" i="14"/>
  <c r="H90" i="14"/>
  <c r="J89" i="14"/>
  <c r="H89" i="14"/>
  <c r="E106" i="14"/>
  <c r="A91" i="14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90" i="14"/>
  <c r="J85" i="14"/>
  <c r="J84" i="14"/>
  <c r="J83" i="14"/>
  <c r="J82" i="14"/>
  <c r="J81" i="14"/>
  <c r="J80" i="14"/>
  <c r="J79" i="14"/>
  <c r="J78" i="14"/>
  <c r="J77" i="14"/>
  <c r="H85" i="14"/>
  <c r="H84" i="14"/>
  <c r="H83" i="14"/>
  <c r="H82" i="14"/>
  <c r="H81" i="14"/>
  <c r="H80" i="14"/>
  <c r="H79" i="14"/>
  <c r="H78" i="14"/>
  <c r="H77" i="14"/>
  <c r="J88" i="14"/>
  <c r="H88" i="14"/>
  <c r="J87" i="14"/>
  <c r="H87" i="14"/>
  <c r="E88" i="14"/>
  <c r="E86" i="14"/>
  <c r="A78" i="14"/>
  <c r="A79" i="14" s="1"/>
  <c r="A80" i="14" s="1"/>
  <c r="A81" i="14" s="1"/>
  <c r="A82" i="14" s="1"/>
  <c r="A83" i="14" s="1"/>
  <c r="A84" i="14" s="1"/>
  <c r="A85" i="14" s="1"/>
  <c r="J106" i="14" l="1"/>
  <c r="H106" i="14"/>
  <c r="H86" i="14"/>
  <c r="J86" i="14"/>
  <c r="J7" i="13"/>
  <c r="J75" i="14" l="1"/>
  <c r="H75" i="14"/>
  <c r="J74" i="14"/>
  <c r="H74" i="14"/>
  <c r="J73" i="14"/>
  <c r="H73" i="14"/>
  <c r="J72" i="14"/>
  <c r="H72" i="14"/>
  <c r="J71" i="14"/>
  <c r="H71" i="14"/>
  <c r="J70" i="14"/>
  <c r="H70" i="14"/>
  <c r="J69" i="14"/>
  <c r="H69" i="14"/>
  <c r="J68" i="14"/>
  <c r="H68" i="14"/>
  <c r="J67" i="14"/>
  <c r="H67" i="14"/>
  <c r="J66" i="14"/>
  <c r="H66" i="14"/>
  <c r="J65" i="14"/>
  <c r="J76" i="14" s="1"/>
  <c r="H65" i="14"/>
  <c r="J64" i="14"/>
  <c r="H64" i="14"/>
  <c r="H76" i="14" s="1"/>
  <c r="E76" i="14"/>
  <c r="A65" i="14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E63" i="14"/>
  <c r="J62" i="14"/>
  <c r="H62" i="14"/>
  <c r="J61" i="14"/>
  <c r="H61" i="14"/>
  <c r="J60" i="14"/>
  <c r="H60" i="14"/>
  <c r="J59" i="14"/>
  <c r="H59" i="14"/>
  <c r="J58" i="14"/>
  <c r="H58" i="14"/>
  <c r="J57" i="14"/>
  <c r="H57" i="14"/>
  <c r="J56" i="14"/>
  <c r="H56" i="14"/>
  <c r="J55" i="14"/>
  <c r="H55" i="14"/>
  <c r="J54" i="14"/>
  <c r="H54" i="14"/>
  <c r="J53" i="14"/>
  <c r="H53" i="14"/>
  <c r="J52" i="14"/>
  <c r="H52" i="14"/>
  <c r="J51" i="14"/>
  <c r="H51" i="14"/>
  <c r="J50" i="14"/>
  <c r="H50" i="14"/>
  <c r="J49" i="14"/>
  <c r="H49" i="14"/>
  <c r="J48" i="14"/>
  <c r="H48" i="14"/>
  <c r="H63" i="14" s="1"/>
  <c r="A49" i="14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J46" i="14"/>
  <c r="J47" i="14" s="1"/>
  <c r="J44" i="14"/>
  <c r="J43" i="14"/>
  <c r="J42" i="14"/>
  <c r="J41" i="14"/>
  <c r="J40" i="14"/>
  <c r="H44" i="14"/>
  <c r="H43" i="14"/>
  <c r="H42" i="14"/>
  <c r="H41" i="14"/>
  <c r="H40" i="14"/>
  <c r="H36" i="14"/>
  <c r="H46" i="14"/>
  <c r="H47" i="14" s="1"/>
  <c r="E47" i="14"/>
  <c r="E45" i="14"/>
  <c r="A41" i="14"/>
  <c r="A42" i="14" s="1"/>
  <c r="A43" i="14" s="1"/>
  <c r="A44" i="14" s="1"/>
  <c r="H45" i="14" l="1"/>
  <c r="J63" i="14"/>
  <c r="J45" i="14"/>
  <c r="J38" i="14"/>
  <c r="H38" i="14"/>
  <c r="J37" i="14"/>
  <c r="H37" i="14"/>
  <c r="J36" i="14"/>
  <c r="J35" i="14"/>
  <c r="H35" i="14"/>
  <c r="J34" i="14"/>
  <c r="H34" i="14"/>
  <c r="J33" i="14"/>
  <c r="H33" i="14"/>
  <c r="J32" i="14"/>
  <c r="H32" i="14"/>
  <c r="J31" i="14"/>
  <c r="H31" i="14"/>
  <c r="J30" i="14"/>
  <c r="H30" i="14"/>
  <c r="J29" i="14"/>
  <c r="H29" i="14"/>
  <c r="J28" i="14"/>
  <c r="H28" i="14"/>
  <c r="J27" i="14"/>
  <c r="H27" i="14"/>
  <c r="J26" i="14"/>
  <c r="H26" i="14"/>
  <c r="J47" i="13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F5" i="14"/>
  <c r="G5" i="14" s="1"/>
  <c r="J39" i="14" l="1"/>
  <c r="J25" i="14"/>
  <c r="H39" i="14"/>
  <c r="H5" i="14"/>
  <c r="H25" i="14" s="1"/>
  <c r="E39" i="14"/>
  <c r="E25" i="14"/>
  <c r="H184" i="14" l="1"/>
  <c r="E188" i="14"/>
  <c r="A27" i="14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E189" i="14" l="1"/>
  <c r="Q32" i="13"/>
  <c r="Q33" i="13"/>
  <c r="Q6" i="13"/>
  <c r="Q22" i="13"/>
  <c r="Q23" i="13"/>
  <c r="Q26" i="13"/>
  <c r="Q30" i="13"/>
  <c r="Q10" i="13"/>
  <c r="Q20" i="13"/>
  <c r="Q18" i="13"/>
  <c r="Q27" i="13"/>
  <c r="Q28" i="13"/>
  <c r="Q11" i="13"/>
  <c r="Q31" i="13"/>
  <c r="Q29" i="13"/>
  <c r="Q5" i="13"/>
  <c r="Q16" i="13"/>
  <c r="E186" i="13"/>
  <c r="E185" i="13"/>
  <c r="J184" i="13"/>
  <c r="H184" i="13"/>
  <c r="J183" i="13"/>
  <c r="H183" i="13"/>
  <c r="J182" i="13"/>
  <c r="H182" i="13"/>
  <c r="J181" i="13"/>
  <c r="H181" i="13"/>
  <c r="J180" i="13"/>
  <c r="J185" i="13" s="1"/>
  <c r="H180" i="13"/>
  <c r="A182" i="13"/>
  <c r="A183" i="13"/>
  <c r="A184" i="13"/>
  <c r="A181" i="13"/>
  <c r="Q87" i="13"/>
  <c r="Q86" i="13"/>
  <c r="P77" i="13"/>
  <c r="Q77" i="13"/>
  <c r="Q76" i="13"/>
  <c r="Q75" i="13"/>
  <c r="Q74" i="13"/>
  <c r="E179" i="13"/>
  <c r="J178" i="13"/>
  <c r="H178" i="13"/>
  <c r="J177" i="13"/>
  <c r="H177" i="13"/>
  <c r="J176" i="13"/>
  <c r="H176" i="13"/>
  <c r="J175" i="13"/>
  <c r="H175" i="13"/>
  <c r="J174" i="13"/>
  <c r="J179" i="13" s="1"/>
  <c r="H174" i="13"/>
  <c r="H179" i="13" s="1"/>
  <c r="A176" i="13"/>
  <c r="A177" i="13"/>
  <c r="A178" i="13"/>
  <c r="A175" i="13"/>
  <c r="H5" i="13"/>
  <c r="J172" i="13"/>
  <c r="H172" i="13"/>
  <c r="J171" i="13"/>
  <c r="H171" i="13"/>
  <c r="J170" i="13"/>
  <c r="H170" i="13"/>
  <c r="J169" i="13"/>
  <c r="H169" i="13"/>
  <c r="J168" i="13"/>
  <c r="H168" i="13"/>
  <c r="J167" i="13"/>
  <c r="H167" i="13"/>
  <c r="J166" i="13"/>
  <c r="H166" i="13"/>
  <c r="J165" i="13"/>
  <c r="H165" i="13"/>
  <c r="J164" i="13"/>
  <c r="H164" i="13"/>
  <c r="J163" i="13"/>
  <c r="H163" i="13"/>
  <c r="J162" i="13"/>
  <c r="H162" i="13"/>
  <c r="J161" i="13"/>
  <c r="H161" i="13"/>
  <c r="J160" i="13"/>
  <c r="H160" i="13"/>
  <c r="J159" i="13"/>
  <c r="J173" i="13" s="1"/>
  <c r="H159" i="13"/>
  <c r="H173" i="13" s="1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60" i="13"/>
  <c r="E173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E158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J5" i="13"/>
  <c r="J6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5" i="13"/>
  <c r="J36" i="13"/>
  <c r="J37" i="13"/>
  <c r="J38" i="13"/>
  <c r="J39" i="13"/>
  <c r="J40" i="13"/>
  <c r="J63" i="13" s="1"/>
  <c r="J41" i="13"/>
  <c r="J42" i="13"/>
  <c r="J43" i="13"/>
  <c r="J44" i="13"/>
  <c r="J45" i="13"/>
  <c r="J46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4" i="13"/>
  <c r="J65" i="13"/>
  <c r="J66" i="13"/>
  <c r="J73" i="13" s="1"/>
  <c r="J67" i="13"/>
  <c r="J68" i="13"/>
  <c r="J69" i="13"/>
  <c r="J70" i="13"/>
  <c r="J71" i="13"/>
  <c r="J72" i="13"/>
  <c r="J74" i="13"/>
  <c r="J75" i="13"/>
  <c r="J76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105" i="13" s="1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6" i="13"/>
  <c r="J107" i="13"/>
  <c r="J108" i="13"/>
  <c r="J109" i="13"/>
  <c r="J112" i="13" s="1"/>
  <c r="J110" i="13"/>
  <c r="J111" i="13"/>
  <c r="J113" i="13"/>
  <c r="J131" i="13" s="1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2" i="13"/>
  <c r="J133" i="13" s="1"/>
  <c r="J134" i="13"/>
  <c r="J135" i="13" s="1"/>
  <c r="J136" i="13"/>
  <c r="J137" i="13"/>
  <c r="J138" i="13"/>
  <c r="J139" i="13"/>
  <c r="J140" i="13"/>
  <c r="J141" i="13"/>
  <c r="J142" i="13" s="1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4" i="13"/>
  <c r="H65" i="13"/>
  <c r="H66" i="13"/>
  <c r="H67" i="13"/>
  <c r="H68" i="13"/>
  <c r="H69" i="13"/>
  <c r="H70" i="13"/>
  <c r="H71" i="13"/>
  <c r="H72" i="13"/>
  <c r="H74" i="13"/>
  <c r="H75" i="13"/>
  <c r="H76" i="13"/>
  <c r="H78" i="13"/>
  <c r="H79" i="13"/>
  <c r="H80" i="13"/>
  <c r="H81" i="13"/>
  <c r="H82" i="13"/>
  <c r="H83" i="13"/>
  <c r="H84" i="13"/>
  <c r="H85" i="13"/>
  <c r="H86" i="13"/>
  <c r="H87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6" i="13"/>
  <c r="H112" i="13"/>
  <c r="H107" i="13"/>
  <c r="H108" i="13"/>
  <c r="H109" i="13"/>
  <c r="H110" i="13"/>
  <c r="H111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2" i="13"/>
  <c r="H133" i="13" s="1"/>
  <c r="H134" i="13"/>
  <c r="H135" i="13" s="1"/>
  <c r="H136" i="13"/>
  <c r="H137" i="13"/>
  <c r="H138" i="13"/>
  <c r="H139" i="13"/>
  <c r="H140" i="13"/>
  <c r="H141" i="13"/>
  <c r="E34" i="13"/>
  <c r="E36" i="13"/>
  <c r="E63" i="13"/>
  <c r="E73" i="13"/>
  <c r="E77" i="13"/>
  <c r="E88" i="13"/>
  <c r="E105" i="13"/>
  <c r="E112" i="13"/>
  <c r="E131" i="13"/>
  <c r="E133" i="13"/>
  <c r="E135" i="13"/>
  <c r="E137" i="13"/>
  <c r="E142" i="13"/>
  <c r="A139" i="13"/>
  <c r="A140" i="13"/>
  <c r="A141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P36" i="13"/>
  <c r="P73" i="13"/>
  <c r="P186" i="13"/>
  <c r="Q35" i="13"/>
  <c r="Q36" i="13"/>
  <c r="Q64" i="13"/>
  <c r="Q65" i="13"/>
  <c r="Q66" i="13"/>
  <c r="Q67" i="13"/>
  <c r="Q68" i="13"/>
  <c r="Q69" i="13"/>
  <c r="Q70" i="13"/>
  <c r="Q71" i="13"/>
  <c r="Q72" i="13"/>
  <c r="Q73" i="13"/>
  <c r="Q186" i="13"/>
  <c r="A107" i="13"/>
  <c r="A108" i="13"/>
  <c r="A109" i="13"/>
  <c r="A110" i="13"/>
  <c r="A111" i="13"/>
  <c r="E190" i="13"/>
  <c r="E191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79" i="13"/>
  <c r="A80" i="13"/>
  <c r="A81" i="13"/>
  <c r="A82" i="13"/>
  <c r="A83" i="13"/>
  <c r="A84" i="13"/>
  <c r="A85" i="13"/>
  <c r="A86" i="13"/>
  <c r="A87" i="13"/>
  <c r="A75" i="13"/>
  <c r="A76" i="13"/>
  <c r="A65" i="13"/>
  <c r="A66" i="13"/>
  <c r="A67" i="13"/>
  <c r="A68" i="13"/>
  <c r="A69" i="13"/>
  <c r="A70" i="13"/>
  <c r="A71" i="13"/>
  <c r="A72" i="13"/>
  <c r="A38" i="13"/>
  <c r="A39" i="13"/>
  <c r="A51" i="13"/>
  <c r="A52" i="13"/>
  <c r="A40" i="13"/>
  <c r="A41" i="13"/>
  <c r="A53" i="13"/>
  <c r="A42" i="13"/>
  <c r="A43" i="13"/>
  <c r="A44" i="13"/>
  <c r="A45" i="13"/>
  <c r="A54" i="13"/>
  <c r="A55" i="13"/>
  <c r="A46" i="13"/>
  <c r="A47" i="13"/>
  <c r="A56" i="13"/>
  <c r="A57" i="13"/>
  <c r="A48" i="13"/>
  <c r="A49" i="13"/>
  <c r="A58" i="13"/>
  <c r="A59" i="13"/>
  <c r="A60" i="13"/>
  <c r="A61" i="13"/>
  <c r="A62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H88" i="13"/>
  <c r="H77" i="13"/>
  <c r="H158" i="13" l="1"/>
  <c r="H142" i="13"/>
  <c r="H131" i="13"/>
  <c r="H105" i="13"/>
  <c r="H73" i="13"/>
  <c r="H63" i="13"/>
  <c r="H34" i="13"/>
  <c r="J77" i="13"/>
  <c r="J34" i="13"/>
  <c r="J186" i="13" s="1"/>
  <c r="H185" i="13"/>
  <c r="H186" i="13" l="1"/>
</calcChain>
</file>

<file path=xl/sharedStrings.xml><?xml version="1.0" encoding="utf-8"?>
<sst xmlns="http://schemas.openxmlformats.org/spreadsheetml/2006/main" count="989" uniqueCount="161">
  <si>
    <t xml:space="preserve"> Contract № 8-4-11/93  dd 26.05.2025, between "SOLVEX" FZE (UAE) and "BNK"</t>
  </si>
  <si>
    <t>№</t>
  </si>
  <si>
    <t>Date</t>
  </si>
  <si>
    <t>RWB No</t>
  </si>
  <si>
    <t xml:space="preserve">Wagons No </t>
  </si>
  <si>
    <t>Loaded quantity (MT)</t>
  </si>
  <si>
    <t>Total $</t>
  </si>
  <si>
    <t xml:space="preserve"> price in rub </t>
  </si>
  <si>
    <t>Total Rub</t>
  </si>
  <si>
    <t>Consignee</t>
  </si>
  <si>
    <t>Destination</t>
  </si>
  <si>
    <t>Date of arrival of wagons</t>
  </si>
  <si>
    <t>Date of leak</t>
  </si>
  <si>
    <t>Quantity</t>
  </si>
  <si>
    <t>Difference</t>
  </si>
  <si>
    <t>Remarks</t>
  </si>
  <si>
    <t>Terminal Ilinka</t>
  </si>
  <si>
    <t>Novopolotsk</t>
  </si>
  <si>
    <t>FULL TONNAGE</t>
  </si>
  <si>
    <t>LOADED</t>
  </si>
  <si>
    <t>BALANCE</t>
  </si>
  <si>
    <t>Trusovo</t>
  </si>
  <si>
    <t>Platt's (average value) in $  January</t>
  </si>
  <si>
    <t>9'600 mt - cargo (8.93-H DD 19.12.2025)</t>
  </si>
  <si>
    <t>ADDITIONAL AGREEMENT № 8.93-H dd 19.12.25 (FCA ST.NOVOPOLOTSK) 9'600 mt</t>
  </si>
  <si>
    <t>Transferred from addendum #7.93H</t>
  </si>
  <si>
    <t>09983299</t>
  </si>
  <si>
    <t>09983300</t>
  </si>
  <si>
    <t>ADDITIONAL AGREEMENT № 10.93-М dd 20.02.26 (CPT TRUSOVO-EKSPERT) 10'000 mt</t>
  </si>
  <si>
    <t>Discount    -42</t>
  </si>
  <si>
    <t xml:space="preserve">8611769 </t>
  </si>
  <si>
    <t>07.03.2026</t>
  </si>
  <si>
    <t>70704143</t>
  </si>
  <si>
    <t>73961062</t>
  </si>
  <si>
    <t>74743659</t>
  </si>
  <si>
    <t>74752205</t>
  </si>
  <si>
    <t>74752916</t>
  </si>
  <si>
    <t>74755455</t>
  </si>
  <si>
    <t>74812017</t>
  </si>
  <si>
    <t>74812348</t>
  </si>
  <si>
    <t>74813270</t>
  </si>
  <si>
    <t>74873456</t>
  </si>
  <si>
    <t>74891383</t>
  </si>
  <si>
    <t>74895756</t>
  </si>
  <si>
    <t>74907205</t>
  </si>
  <si>
    <t>74939554</t>
  </si>
  <si>
    <t>74940545</t>
  </si>
  <si>
    <t>74940628</t>
  </si>
  <si>
    <t>74970617</t>
  </si>
  <si>
    <t>74971367</t>
  </si>
  <si>
    <t>74974833</t>
  </si>
  <si>
    <t>74986654</t>
  </si>
  <si>
    <t>Platt's (average value) in $   March</t>
  </si>
  <si>
    <t xml:space="preserve">8611770 </t>
  </si>
  <si>
    <t>70703681</t>
  </si>
  <si>
    <t>73969412</t>
  </si>
  <si>
    <t>73995417</t>
  </si>
  <si>
    <t>74812132</t>
  </si>
  <si>
    <t>74891649</t>
  </si>
  <si>
    <t>74907288</t>
  </si>
  <si>
    <t>74943275</t>
  </si>
  <si>
    <t>74944786</t>
  </si>
  <si>
    <t>74945320</t>
  </si>
  <si>
    <t>74971003</t>
  </si>
  <si>
    <t>74975004</t>
  </si>
  <si>
    <t>74995549</t>
  </si>
  <si>
    <t>75019513</t>
  </si>
  <si>
    <t xml:space="preserve">       41 464,11 </t>
  </si>
  <si>
    <t xml:space="preserve">8611891 </t>
  </si>
  <si>
    <t>54246996</t>
  </si>
  <si>
    <t>57380594</t>
  </si>
  <si>
    <t>73741985</t>
  </si>
  <si>
    <t>75004127</t>
  </si>
  <si>
    <t>76814748</t>
  </si>
  <si>
    <t xml:space="preserve">8611892 </t>
  </si>
  <si>
    <t>54087770</t>
  </si>
  <si>
    <t xml:space="preserve">8611894 </t>
  </si>
  <si>
    <t>50913656</t>
  </si>
  <si>
    <t>53918959</t>
  </si>
  <si>
    <t>54077649</t>
  </si>
  <si>
    <t>57439598</t>
  </si>
  <si>
    <t>58344284</t>
  </si>
  <si>
    <t>73030546</t>
  </si>
  <si>
    <t>73091142</t>
  </si>
  <si>
    <t>73117707</t>
  </si>
  <si>
    <t>73168619</t>
  </si>
  <si>
    <t>73168718</t>
  </si>
  <si>
    <t>73174666</t>
  </si>
  <si>
    <t>73227738</t>
  </si>
  <si>
    <t>73229726</t>
  </si>
  <si>
    <t>75221820</t>
  </si>
  <si>
    <t>75402099</t>
  </si>
  <si>
    <t xml:space="preserve">8611895 </t>
  </si>
  <si>
    <t>50754415</t>
  </si>
  <si>
    <t>50768209</t>
  </si>
  <si>
    <t>50769546</t>
  </si>
  <si>
    <t>51247849</t>
  </si>
  <si>
    <t>51262970</t>
  </si>
  <si>
    <t>53870119</t>
  </si>
  <si>
    <t>53870127</t>
  </si>
  <si>
    <t>57134827</t>
  </si>
  <si>
    <t>57661308</t>
  </si>
  <si>
    <t>57967523</t>
  </si>
  <si>
    <t>74939349</t>
  </si>
  <si>
    <t>75046607</t>
  </si>
  <si>
    <t>50413327</t>
  </si>
  <si>
    <t>51699957</t>
  </si>
  <si>
    <t>54256508</t>
  </si>
  <si>
    <t>73053175</t>
  </si>
  <si>
    <t>73081614</t>
  </si>
  <si>
    <t>73108029</t>
  </si>
  <si>
    <t>73169278</t>
  </si>
  <si>
    <t>73287682</t>
  </si>
  <si>
    <t>75229658</t>
  </si>
  <si>
    <t xml:space="preserve">8611897 </t>
  </si>
  <si>
    <t xml:space="preserve">8611898 </t>
  </si>
  <si>
    <t>57372492</t>
  </si>
  <si>
    <t xml:space="preserve">8611910 </t>
  </si>
  <si>
    <t>50485481</t>
  </si>
  <si>
    <t>50497346</t>
  </si>
  <si>
    <t>54088521</t>
  </si>
  <si>
    <t>54096029</t>
  </si>
  <si>
    <t>54255674</t>
  </si>
  <si>
    <t>54681325</t>
  </si>
  <si>
    <t>57425290</t>
  </si>
  <si>
    <t>57425399</t>
  </si>
  <si>
    <t>73060402</t>
  </si>
  <si>
    <t>73114878</t>
  </si>
  <si>
    <t>73171688</t>
  </si>
  <si>
    <t>73220527</t>
  </si>
  <si>
    <t>73221525</t>
  </si>
  <si>
    <t>73225526</t>
  </si>
  <si>
    <t>73241028</t>
  </si>
  <si>
    <t>76172295</t>
  </si>
  <si>
    <t>76568393</t>
  </si>
  <si>
    <t>No</t>
  </si>
  <si>
    <t>contract</t>
  </si>
  <si>
    <t>Details</t>
  </si>
  <si>
    <t>M-Tone</t>
  </si>
  <si>
    <t>Unit Price</t>
  </si>
  <si>
    <t>Credit</t>
  </si>
  <si>
    <t>Debit</t>
  </si>
  <si>
    <t>Balance</t>
  </si>
  <si>
    <t>Rate</t>
  </si>
  <si>
    <t>BNK - SOLVEX 2026</t>
  </si>
  <si>
    <t>Recived recipt no 2 - Paid by Monib Omar 252500000</t>
  </si>
  <si>
    <t>Recived recipt no 3 - Paid by Monib Omar 197500000</t>
  </si>
  <si>
    <t>Transferred to addendum 6.93</t>
  </si>
  <si>
    <t>Recived 163 wagons January</t>
  </si>
  <si>
    <t>Recived to 10.93 CONTRACT</t>
  </si>
  <si>
    <t>10'000 mt - cargo (10.93-М DD 20.02.2026)</t>
  </si>
  <si>
    <t>Transferred from Khumor</t>
  </si>
  <si>
    <t>Transferred from addendum # 3.93H</t>
  </si>
  <si>
    <t>Transferred from addendum # 4.93H</t>
  </si>
  <si>
    <t>Transferred from addendum # 5.93H</t>
  </si>
  <si>
    <t>Transferred ftom addendum # 6.93H</t>
  </si>
  <si>
    <t>Transferred from addendum # 7.93H</t>
  </si>
  <si>
    <t>Transferred ftom addendum # 8.93</t>
  </si>
  <si>
    <t>Recived 166 Wagons - March</t>
  </si>
  <si>
    <t>Paid by Sarafi dubai</t>
  </si>
  <si>
    <t>Transferred to addendum # 10.93H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</si>
</sst>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4" formatCode="_(&quot;$&quot;* #,##0.00_);_(&quot;$&quot;* \(#,##0.00\);_(&quot;$&quot;* &quot;-&quot;??_);_(@_)"/>
    <numFmt numFmtId="164" formatCode="[$$-C09]#,##0.00"/>
    <numFmt numFmtId="165" formatCode="00000000"/>
    <numFmt numFmtId="166" formatCode="0.000"/>
    <numFmt numFmtId="167" formatCode="#,##0.00\ &quot;₽&quot;"/>
    <numFmt numFmtId="168" formatCode="#,##0.000"/>
    <numFmt numFmtId="169" formatCode="#,##0.00;[Red]#,##0.00"/>
    <numFmt numFmtId="170" formatCode="#,##0.000\ &quot;₽&quot;"/>
    <numFmt numFmtId="171" formatCode="#,##0.000;[Red]#,##0.000"/>
    <numFmt numFmtId="172" formatCode="0.0000"/>
    <numFmt numFmtId="173" formatCode="dd\.mm\.yy;@"/>
    <numFmt numFmtId="174" formatCode="_(&quot;$&quot;* #,##0_);_(&quot;$&quot;* \(#,##0\);_(&quot;$&quot;* &quot;-&quot;??_);_(@_)"/>
    <numFmt numFmtId="175" formatCode="_-* #,##0.000\ [$₽-419]_-;\-* #,##0.000\ [$₽-419]_-;_-* &quot;-&quot;??\ [$₽-419]_-;_-@_-"/>
    <numFmt numFmtId="176" formatCode="_-* #,##0\ [$₽-419]_-;\-* #,##0\ [$₽-419]_-;_-* &quot;-&quot;??\ [$₽-419]_-;_-@_-"/>
    <numFmt numFmtId="177" formatCode="_-* #,##0.00\ [$₽-419]_-;\-* #,##0.00\ [$₽-419]_-;_-* &quot;-&quot;??\ [$₽-419]_-;_-@_-"/>
    <numFmt numFmtId="178" formatCode="_-* #,##0.0\ [$₽-419]_-;\-* #,##0.0\ [$₽-419]_-;_-* &quot;-&quot;??\ [$₽-419]_-;_-@_-"/>
    <numFmt numFmtId="179" formatCode="&quot;$&quot;#,##0"/>
  </numFmts>
  <fonts count="31">
    <font>
      <sz val="11"/>
      <name val="Calibri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1"/>
      <color rgb="FF660066"/>
      <name val="Times New Roman"/>
      <family val="1"/>
      <charset val="204"/>
    </font>
    <font>
      <b/>
      <i/>
      <sz val="11"/>
      <color rgb="FF00B050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theme="4" tint="-0.249977111117893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FF00FF"/>
      <name val="Arial"/>
      <family val="2"/>
    </font>
    <font>
      <b/>
      <sz val="10"/>
      <color rgb="FF230AB6"/>
      <name val="Times New Roman"/>
      <family val="1"/>
      <charset val="204"/>
    </font>
    <font>
      <b/>
      <sz val="10"/>
      <color rgb="FFFF0000"/>
      <name val="Arial"/>
      <family val="2"/>
    </font>
    <font>
      <b/>
      <sz val="10"/>
      <color rgb="FF7030A0"/>
      <name val="Arial"/>
      <family val="2"/>
    </font>
    <font>
      <b/>
      <sz val="10"/>
      <color rgb="FF632523"/>
      <name val="Times New Roman"/>
      <family val="1"/>
      <charset val="204"/>
    </font>
    <font>
      <b/>
      <sz val="10"/>
      <color rgb="FF0000FF"/>
      <name val="Arial"/>
      <family val="2"/>
    </font>
    <font>
      <b/>
      <sz val="10"/>
      <color rgb="FF7030A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b/>
      <sz val="9"/>
      <color rgb="FFFF00FF"/>
      <name val="Arial"/>
      <family val="2"/>
    </font>
    <font>
      <b/>
      <sz val="9"/>
      <color rgb="FF230AB6"/>
      <name val="Times New Roman"/>
      <family val="1"/>
      <charset val="204"/>
    </font>
    <font>
      <b/>
      <sz val="11"/>
      <color rgb="FF230AB6"/>
      <name val="Times New Roman"/>
      <family val="1"/>
      <charset val="204"/>
    </font>
    <font>
      <b/>
      <i/>
      <sz val="16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0"/>
        <bgColor rgb="FF000000"/>
      </patternFill>
    </fill>
  </fills>
  <borders count="8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14" fillId="0" borderId="0" applyFont="0" applyFill="0" applyBorder="0" applyAlignment="0" applyProtection="0"/>
  </cellStyleXfs>
  <cellXfs count="376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 wrapText="1"/>
    </xf>
    <xf numFmtId="168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" fontId="10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0" fontId="4" fillId="0" borderId="11" xfId="0" applyFont="1" applyBorder="1" applyAlignment="1">
      <alignment horizontal="center" vertical="center" wrapText="1"/>
    </xf>
    <xf numFmtId="173" fontId="4" fillId="0" borderId="12" xfId="0" applyNumberFormat="1" applyFont="1" applyBorder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173" fontId="4" fillId="0" borderId="12" xfId="0" applyNumberFormat="1" applyFont="1" applyFill="1" applyBorder="1" applyAlignment="1">
      <alignment horizontal="center" vertical="center" wrapText="1"/>
    </xf>
    <xf numFmtId="2" fontId="11" fillId="0" borderId="13" xfId="0" applyNumberFormat="1" applyFont="1" applyBorder="1" applyAlignment="1">
      <alignment horizontal="center" vertical="center" wrapText="1"/>
    </xf>
    <xf numFmtId="164" fontId="5" fillId="0" borderId="13" xfId="0" applyNumberFormat="1" applyFont="1" applyBorder="1" applyAlignment="1">
      <alignment horizontal="center" vertical="center" wrapText="1"/>
    </xf>
    <xf numFmtId="173" fontId="5" fillId="0" borderId="13" xfId="0" applyNumberFormat="1" applyFont="1" applyBorder="1" applyAlignment="1">
      <alignment horizontal="center" vertical="center" wrapText="1"/>
    </xf>
    <xf numFmtId="173" fontId="6" fillId="0" borderId="13" xfId="0" applyNumberFormat="1" applyFont="1" applyBorder="1" applyAlignment="1">
      <alignment horizontal="center" vertical="center" wrapText="1"/>
    </xf>
    <xf numFmtId="167" fontId="6" fillId="0" borderId="13" xfId="0" applyNumberFormat="1" applyFont="1" applyBorder="1" applyAlignment="1">
      <alignment horizontal="center" vertical="center" wrapText="1"/>
    </xf>
    <xf numFmtId="173" fontId="4" fillId="0" borderId="14" xfId="0" applyNumberFormat="1" applyFont="1" applyBorder="1" applyAlignment="1">
      <alignment horizontal="center" vertical="center" wrapText="1"/>
    </xf>
    <xf numFmtId="173" fontId="4" fillId="0" borderId="15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165" fontId="2" fillId="0" borderId="18" xfId="0" applyNumberFormat="1" applyFont="1" applyBorder="1" applyAlignment="1">
      <alignment horizontal="center"/>
    </xf>
    <xf numFmtId="1" fontId="2" fillId="0" borderId="18" xfId="0" applyNumberFormat="1" applyFont="1" applyBorder="1" applyAlignment="1">
      <alignment horizontal="center"/>
    </xf>
    <xf numFmtId="164" fontId="5" fillId="0" borderId="18" xfId="0" applyNumberFormat="1" applyFont="1" applyBorder="1" applyAlignment="1">
      <alignment horizontal="center" vertical="center" wrapText="1"/>
    </xf>
    <xf numFmtId="167" fontId="6" fillId="0" borderId="18" xfId="0" applyNumberFormat="1" applyFont="1" applyBorder="1" applyAlignment="1">
      <alignment horizontal="center" vertical="center" wrapText="1"/>
    </xf>
    <xf numFmtId="164" fontId="7" fillId="2" borderId="18" xfId="0" applyNumberFormat="1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/>
    </xf>
    <xf numFmtId="165" fontId="2" fillId="0" borderId="21" xfId="0" applyNumberFormat="1" applyFont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166" fontId="2" fillId="0" borderId="21" xfId="0" applyNumberFormat="1" applyFont="1" applyBorder="1" applyAlignment="1">
      <alignment horizontal="center" wrapText="1"/>
    </xf>
    <xf numFmtId="164" fontId="5" fillId="0" borderId="21" xfId="0" applyNumberFormat="1" applyFont="1" applyBorder="1" applyAlignment="1">
      <alignment horizontal="center" vertical="center" wrapText="1"/>
    </xf>
    <xf numFmtId="167" fontId="6" fillId="0" borderId="21" xfId="0" applyNumberFormat="1" applyFont="1" applyBorder="1" applyAlignment="1">
      <alignment horizontal="center" vertical="center" wrapText="1"/>
    </xf>
    <xf numFmtId="164" fontId="7" fillId="2" borderId="21" xfId="0" applyNumberFormat="1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165" fontId="2" fillId="0" borderId="24" xfId="0" applyNumberFormat="1" applyFont="1" applyBorder="1" applyAlignment="1">
      <alignment horizontal="center"/>
    </xf>
    <xf numFmtId="1" fontId="2" fillId="0" borderId="24" xfId="0" applyNumberFormat="1" applyFont="1" applyBorder="1" applyAlignment="1">
      <alignment horizontal="center"/>
    </xf>
    <xf numFmtId="166" fontId="2" fillId="0" borderId="24" xfId="0" applyNumberFormat="1" applyFont="1" applyBorder="1" applyAlignment="1">
      <alignment horizontal="center" wrapText="1"/>
    </xf>
    <xf numFmtId="164" fontId="5" fillId="0" borderId="25" xfId="0" applyNumberFormat="1" applyFont="1" applyBorder="1" applyAlignment="1">
      <alignment horizontal="center" vertical="center" wrapText="1"/>
    </xf>
    <xf numFmtId="167" fontId="6" fillId="0" borderId="25" xfId="0" applyNumberFormat="1" applyFont="1" applyBorder="1" applyAlignment="1">
      <alignment horizontal="center" vertical="center" wrapText="1"/>
    </xf>
    <xf numFmtId="164" fontId="7" fillId="2" borderId="25" xfId="0" applyNumberFormat="1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169" fontId="1" fillId="0" borderId="32" xfId="0" applyNumberFormat="1" applyFont="1" applyBorder="1" applyAlignment="1">
      <alignment horizontal="center" vertical="center"/>
    </xf>
    <xf numFmtId="171" fontId="1" fillId="0" borderId="22" xfId="0" applyNumberFormat="1" applyFont="1" applyBorder="1" applyAlignment="1">
      <alignment horizontal="center" vertical="center"/>
    </xf>
    <xf numFmtId="169" fontId="8" fillId="0" borderId="27" xfId="0" applyNumberFormat="1" applyFont="1" applyBorder="1" applyAlignment="1">
      <alignment horizontal="center" vertical="center"/>
    </xf>
    <xf numFmtId="0" fontId="2" fillId="0" borderId="21" xfId="0" applyFont="1" applyFill="1" applyBorder="1" applyAlignment="1">
      <alignment horizontal="center"/>
    </xf>
    <xf numFmtId="0" fontId="2" fillId="0" borderId="48" xfId="0" applyFont="1" applyFill="1" applyBorder="1" applyAlignment="1">
      <alignment horizontal="center"/>
    </xf>
    <xf numFmtId="164" fontId="5" fillId="0" borderId="48" xfId="0" applyNumberFormat="1" applyFont="1" applyBorder="1" applyAlignment="1">
      <alignment horizontal="center" vertical="center" wrapText="1"/>
    </xf>
    <xf numFmtId="167" fontId="6" fillId="0" borderId="48" xfId="0" applyNumberFormat="1" applyFont="1" applyBorder="1" applyAlignment="1">
      <alignment horizontal="center" vertical="center" wrapText="1"/>
    </xf>
    <xf numFmtId="164" fontId="7" fillId="2" borderId="48" xfId="0" applyNumberFormat="1" applyFont="1" applyFill="1" applyBorder="1" applyAlignment="1">
      <alignment horizontal="center" vertical="center" wrapText="1"/>
    </xf>
    <xf numFmtId="0" fontId="13" fillId="0" borderId="43" xfId="0" applyFont="1" applyBorder="1" applyAlignment="1">
      <alignment horizontal="center"/>
    </xf>
    <xf numFmtId="0" fontId="2" fillId="0" borderId="49" xfId="0" applyFont="1" applyFill="1" applyBorder="1" applyAlignment="1">
      <alignment horizontal="center"/>
    </xf>
    <xf numFmtId="14" fontId="2" fillId="0" borderId="21" xfId="0" applyNumberFormat="1" applyFont="1" applyFill="1" applyBorder="1" applyAlignment="1">
      <alignment horizontal="center"/>
    </xf>
    <xf numFmtId="0" fontId="2" fillId="0" borderId="50" xfId="0" applyFont="1" applyFill="1" applyBorder="1" applyAlignment="1">
      <alignment horizontal="center"/>
    </xf>
    <xf numFmtId="0" fontId="2" fillId="0" borderId="51" xfId="0" applyFont="1" applyFill="1" applyBorder="1" applyAlignment="1">
      <alignment horizontal="center"/>
    </xf>
    <xf numFmtId="0" fontId="2" fillId="0" borderId="39" xfId="0" applyFont="1" applyFill="1" applyBorder="1" applyAlignment="1">
      <alignment horizontal="center"/>
    </xf>
    <xf numFmtId="0" fontId="2" fillId="0" borderId="52" xfId="0" applyFont="1" applyFill="1" applyBorder="1" applyAlignment="1">
      <alignment horizontal="center"/>
    </xf>
    <xf numFmtId="0" fontId="2" fillId="0" borderId="32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2" fillId="0" borderId="23" xfId="0" applyFont="1" applyFill="1" applyBorder="1" applyAlignment="1">
      <alignment horizontal="center"/>
    </xf>
    <xf numFmtId="0" fontId="2" fillId="0" borderId="24" xfId="0" applyFont="1" applyFill="1" applyBorder="1" applyAlignment="1">
      <alignment horizontal="center"/>
    </xf>
    <xf numFmtId="0" fontId="2" fillId="0" borderId="27" xfId="0" applyFont="1" applyFill="1" applyBorder="1" applyAlignment="1">
      <alignment horizontal="center"/>
    </xf>
    <xf numFmtId="14" fontId="2" fillId="0" borderId="49" xfId="0" applyNumberFormat="1" applyFont="1" applyFill="1" applyBorder="1" applyAlignment="1">
      <alignment horizontal="center"/>
    </xf>
    <xf numFmtId="164" fontId="5" fillId="0" borderId="49" xfId="0" applyNumberFormat="1" applyFont="1" applyBorder="1" applyAlignment="1">
      <alignment horizontal="center" vertical="center" wrapText="1"/>
    </xf>
    <xf numFmtId="167" fontId="6" fillId="0" borderId="49" xfId="0" applyNumberFormat="1" applyFont="1" applyBorder="1" applyAlignment="1">
      <alignment horizontal="center" vertical="center" wrapText="1"/>
    </xf>
    <xf numFmtId="164" fontId="7" fillId="2" borderId="49" xfId="0" applyNumberFormat="1" applyFont="1" applyFill="1" applyBorder="1" applyAlignment="1">
      <alignment horizontal="center" vertical="center" wrapText="1"/>
    </xf>
    <xf numFmtId="0" fontId="13" fillId="0" borderId="41" xfId="0" applyFont="1" applyBorder="1" applyAlignment="1">
      <alignment horizontal="center"/>
    </xf>
    <xf numFmtId="0" fontId="2" fillId="0" borderId="53" xfId="0" applyFont="1" applyFill="1" applyBorder="1" applyAlignment="1">
      <alignment horizontal="center"/>
    </xf>
    <xf numFmtId="0" fontId="2" fillId="0" borderId="40" xfId="0" applyFont="1" applyFill="1" applyBorder="1" applyAlignment="1">
      <alignment horizontal="center"/>
    </xf>
    <xf numFmtId="0" fontId="2" fillId="0" borderId="41" xfId="0" applyFont="1" applyFill="1" applyBorder="1" applyAlignment="1">
      <alignment horizontal="center"/>
    </xf>
    <xf numFmtId="14" fontId="2" fillId="0" borderId="47" xfId="0" applyNumberFormat="1" applyFont="1" applyFill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wrapText="1"/>
    </xf>
    <xf numFmtId="165" fontId="2" fillId="0" borderId="4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66" fontId="2" fillId="0" borderId="4" xfId="0" applyNumberFormat="1" applyFont="1" applyBorder="1" applyAlignment="1">
      <alignment horizontal="center" wrapText="1"/>
    </xf>
    <xf numFmtId="14" fontId="2" fillId="0" borderId="52" xfId="0" applyNumberFormat="1" applyFont="1" applyFill="1" applyBorder="1" applyAlignment="1">
      <alignment horizontal="center"/>
    </xf>
    <xf numFmtId="0" fontId="2" fillId="0" borderId="42" xfId="0" applyFont="1" applyFill="1" applyBorder="1" applyAlignment="1">
      <alignment horizontal="center"/>
    </xf>
    <xf numFmtId="14" fontId="2" fillId="0" borderId="18" xfId="0" applyNumberFormat="1" applyFont="1" applyFill="1" applyBorder="1" applyAlignment="1">
      <alignment horizontal="center"/>
    </xf>
    <xf numFmtId="14" fontId="2" fillId="0" borderId="48" xfId="0" applyNumberFormat="1" applyFont="1" applyFill="1" applyBorder="1" applyAlignment="1">
      <alignment horizontal="center"/>
    </xf>
    <xf numFmtId="0" fontId="2" fillId="0" borderId="54" xfId="0" applyFont="1" applyFill="1" applyBorder="1" applyAlignment="1">
      <alignment horizontal="center"/>
    </xf>
    <xf numFmtId="0" fontId="2" fillId="0" borderId="47" xfId="0" applyFont="1" applyFill="1" applyBorder="1" applyAlignment="1">
      <alignment horizontal="center"/>
    </xf>
    <xf numFmtId="164" fontId="5" fillId="0" borderId="52" xfId="0" applyNumberFormat="1" applyFont="1" applyBorder="1" applyAlignment="1">
      <alignment horizontal="center" vertical="center" wrapText="1"/>
    </xf>
    <xf numFmtId="167" fontId="6" fillId="0" borderId="52" xfId="0" applyNumberFormat="1" applyFont="1" applyBorder="1" applyAlignment="1">
      <alignment horizontal="center" vertical="center" wrapText="1"/>
    </xf>
    <xf numFmtId="164" fontId="7" fillId="2" borderId="52" xfId="0" applyNumberFormat="1" applyFont="1" applyFill="1" applyBorder="1" applyAlignment="1">
      <alignment horizontal="center" vertical="center" wrapText="1"/>
    </xf>
    <xf numFmtId="0" fontId="13" fillId="0" borderId="32" xfId="0" applyFont="1" applyBorder="1" applyAlignment="1">
      <alignment horizontal="center"/>
    </xf>
    <xf numFmtId="14" fontId="2" fillId="0" borderId="25" xfId="0" applyNumberFormat="1" applyFont="1" applyFill="1" applyBorder="1" applyAlignment="1">
      <alignment horizontal="center"/>
    </xf>
    <xf numFmtId="164" fontId="5" fillId="0" borderId="24" xfId="0" applyNumberFormat="1" applyFont="1" applyBorder="1" applyAlignment="1">
      <alignment horizontal="center" vertical="center" wrapText="1"/>
    </xf>
    <xf numFmtId="167" fontId="6" fillId="0" borderId="24" xfId="0" applyNumberFormat="1" applyFont="1" applyBorder="1" applyAlignment="1">
      <alignment horizontal="center" vertical="center" wrapText="1"/>
    </xf>
    <xf numFmtId="164" fontId="7" fillId="2" borderId="24" xfId="0" applyNumberFormat="1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center"/>
    </xf>
    <xf numFmtId="0" fontId="2" fillId="0" borderId="56" xfId="0" applyFont="1" applyFill="1" applyBorder="1" applyAlignment="1">
      <alignment horizontal="center"/>
    </xf>
    <xf numFmtId="0" fontId="2" fillId="0" borderId="57" xfId="0" applyFont="1" applyFill="1" applyBorder="1" applyAlignment="1">
      <alignment horizontal="center"/>
    </xf>
    <xf numFmtId="165" fontId="2" fillId="0" borderId="44" xfId="0" applyNumberFormat="1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166" fontId="2" fillId="0" borderId="44" xfId="0" applyNumberFormat="1" applyFont="1" applyBorder="1" applyAlignment="1">
      <alignment horizontal="center" wrapText="1"/>
    </xf>
    <xf numFmtId="165" fontId="2" fillId="0" borderId="45" xfId="0" applyNumberFormat="1" applyFont="1" applyBorder="1" applyAlignment="1">
      <alignment horizontal="center"/>
    </xf>
    <xf numFmtId="1" fontId="2" fillId="0" borderId="45" xfId="0" applyNumberFormat="1" applyFont="1" applyBorder="1" applyAlignment="1">
      <alignment horizontal="center"/>
    </xf>
    <xf numFmtId="166" fontId="2" fillId="0" borderId="45" xfId="0" applyNumberFormat="1" applyFont="1" applyBorder="1" applyAlignment="1">
      <alignment horizontal="center" wrapText="1"/>
    </xf>
    <xf numFmtId="14" fontId="2" fillId="0" borderId="21" xfId="0" applyNumberFormat="1" applyFont="1" applyBorder="1" applyAlignment="1">
      <alignment horizontal="center"/>
    </xf>
    <xf numFmtId="166" fontId="2" fillId="0" borderId="21" xfId="0" applyNumberFormat="1" applyFont="1" applyBorder="1" applyAlignment="1">
      <alignment horizontal="center"/>
    </xf>
    <xf numFmtId="14" fontId="2" fillId="0" borderId="24" xfId="0" applyNumberFormat="1" applyFont="1" applyFill="1" applyBorder="1" applyAlignment="1">
      <alignment horizontal="center"/>
    </xf>
    <xf numFmtId="166" fontId="2" fillId="0" borderId="49" xfId="0" applyNumberFormat="1" applyFont="1" applyFill="1" applyBorder="1" applyAlignment="1">
      <alignment horizontal="center"/>
    </xf>
    <xf numFmtId="166" fontId="2" fillId="0" borderId="21" xfId="0" applyNumberFormat="1" applyFont="1" applyFill="1" applyBorder="1" applyAlignment="1">
      <alignment horizontal="center"/>
    </xf>
    <xf numFmtId="166" fontId="2" fillId="0" borderId="24" xfId="0" applyNumberFormat="1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168" fontId="1" fillId="3" borderId="12" xfId="0" applyNumberFormat="1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0" borderId="47" xfId="0" applyFont="1" applyBorder="1" applyAlignment="1">
      <alignment horizontal="center"/>
    </xf>
    <xf numFmtId="14" fontId="2" fillId="0" borderId="47" xfId="0" applyNumberFormat="1" applyFont="1" applyBorder="1" applyAlignment="1">
      <alignment horizontal="center"/>
    </xf>
    <xf numFmtId="166" fontId="1" fillId="3" borderId="12" xfId="0" applyNumberFormat="1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64" xfId="0" applyFont="1" applyBorder="1" applyAlignment="1">
      <alignment horizontal="center"/>
    </xf>
    <xf numFmtId="14" fontId="2" fillId="0" borderId="52" xfId="0" applyNumberFormat="1" applyFont="1" applyBorder="1" applyAlignment="1">
      <alignment horizontal="center"/>
    </xf>
    <xf numFmtId="14" fontId="2" fillId="0" borderId="24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67" fontId="1" fillId="3" borderId="12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168" fontId="1" fillId="4" borderId="12" xfId="0" applyNumberFormat="1" applyFont="1" applyFill="1" applyBorder="1" applyAlignment="1">
      <alignment horizontal="center"/>
    </xf>
    <xf numFmtId="167" fontId="1" fillId="4" borderId="12" xfId="0" applyNumberFormat="1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168" fontId="2" fillId="0" borderId="21" xfId="0" applyNumberFormat="1" applyFont="1" applyFill="1" applyBorder="1" applyAlignment="1">
      <alignment horizontal="center"/>
    </xf>
    <xf numFmtId="49" fontId="2" fillId="0" borderId="21" xfId="0" applyNumberFormat="1" applyFont="1" applyFill="1" applyBorder="1" applyAlignment="1">
      <alignment horizontal="center"/>
    </xf>
    <xf numFmtId="168" fontId="2" fillId="0" borderId="52" xfId="0" applyNumberFormat="1" applyFont="1" applyFill="1" applyBorder="1" applyAlignment="1">
      <alignment horizontal="center"/>
    </xf>
    <xf numFmtId="168" fontId="2" fillId="0" borderId="24" xfId="0" applyNumberFormat="1" applyFont="1" applyFill="1" applyBorder="1" applyAlignment="1">
      <alignment horizontal="center"/>
    </xf>
    <xf numFmtId="168" fontId="2" fillId="0" borderId="48" xfId="0" applyNumberFormat="1" applyFont="1" applyFill="1" applyBorder="1" applyAlignment="1">
      <alignment horizontal="center"/>
    </xf>
    <xf numFmtId="165" fontId="2" fillId="0" borderId="49" xfId="0" applyNumberFormat="1" applyFont="1" applyBorder="1" applyAlignment="1">
      <alignment horizontal="center"/>
    </xf>
    <xf numFmtId="1" fontId="2" fillId="0" borderId="49" xfId="0" applyNumberFormat="1" applyFont="1" applyBorder="1" applyAlignment="1">
      <alignment horizontal="center"/>
    </xf>
    <xf numFmtId="166" fontId="2" fillId="0" borderId="49" xfId="0" applyNumberFormat="1" applyFont="1" applyBorder="1" applyAlignment="1">
      <alignment horizontal="center" wrapText="1"/>
    </xf>
    <xf numFmtId="0" fontId="2" fillId="3" borderId="25" xfId="0" applyFont="1" applyFill="1" applyBorder="1" applyAlignment="1">
      <alignment horizontal="center"/>
    </xf>
    <xf numFmtId="0" fontId="2" fillId="3" borderId="60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164" fontId="1" fillId="3" borderId="12" xfId="0" applyNumberFormat="1" applyFont="1" applyFill="1" applyBorder="1" applyAlignment="1">
      <alignment horizontal="center"/>
    </xf>
    <xf numFmtId="164" fontId="1" fillId="4" borderId="12" xfId="0" applyNumberFormat="1" applyFont="1" applyFill="1" applyBorder="1" applyAlignment="1">
      <alignment horizontal="center"/>
    </xf>
    <xf numFmtId="0" fontId="2" fillId="0" borderId="30" xfId="0" applyFont="1" applyFill="1" applyBorder="1" applyAlignment="1">
      <alignment horizontal="center"/>
    </xf>
    <xf numFmtId="0" fontId="2" fillId="0" borderId="34" xfId="0" applyFont="1" applyFill="1" applyBorder="1" applyAlignment="1">
      <alignment horizontal="center"/>
    </xf>
    <xf numFmtId="0" fontId="2" fillId="0" borderId="37" xfId="0" applyFont="1" applyFill="1" applyBorder="1" applyAlignment="1">
      <alignment horizontal="center"/>
    </xf>
    <xf numFmtId="0" fontId="7" fillId="0" borderId="70" xfId="0" applyFont="1" applyBorder="1" applyAlignment="1">
      <alignment horizontal="center" vertical="center" wrapText="1"/>
    </xf>
    <xf numFmtId="0" fontId="7" fillId="0" borderId="71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/>
    </xf>
    <xf numFmtId="0" fontId="2" fillId="3" borderId="73" xfId="0" applyFont="1" applyFill="1" applyBorder="1" applyAlignment="1">
      <alignment horizontal="center"/>
    </xf>
    <xf numFmtId="0" fontId="2" fillId="3" borderId="69" xfId="0" applyFont="1" applyFill="1" applyBorder="1" applyAlignment="1">
      <alignment horizontal="center"/>
    </xf>
    <xf numFmtId="0" fontId="2" fillId="3" borderId="55" xfId="0" applyFont="1" applyFill="1" applyBorder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7" fillId="0" borderId="74" xfId="0" applyFont="1" applyBorder="1" applyAlignment="1">
      <alignment horizontal="center" vertical="center" wrapText="1"/>
    </xf>
    <xf numFmtId="164" fontId="5" fillId="0" borderId="47" xfId="0" applyNumberFormat="1" applyFont="1" applyBorder="1" applyAlignment="1">
      <alignment horizontal="center" vertical="center" wrapText="1"/>
    </xf>
    <xf numFmtId="14" fontId="2" fillId="0" borderId="12" xfId="0" applyNumberFormat="1" applyFont="1" applyBorder="1" applyAlignment="1">
      <alignment horizontal="center"/>
    </xf>
    <xf numFmtId="166" fontId="2" fillId="0" borderId="12" xfId="0" applyNumberFormat="1" applyFont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3" borderId="47" xfId="0" applyFont="1" applyFill="1" applyBorder="1" applyAlignment="1">
      <alignment horizontal="center"/>
    </xf>
    <xf numFmtId="166" fontId="1" fillId="3" borderId="47" xfId="0" applyNumberFormat="1" applyFont="1" applyFill="1" applyBorder="1" applyAlignment="1">
      <alignment horizontal="center"/>
    </xf>
    <xf numFmtId="166" fontId="1" fillId="4" borderId="12" xfId="0" applyNumberFormat="1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168" fontId="1" fillId="3" borderId="18" xfId="0" applyNumberFormat="1" applyFont="1" applyFill="1" applyBorder="1" applyAlignment="1">
      <alignment horizontal="center"/>
    </xf>
    <xf numFmtId="164" fontId="1" fillId="3" borderId="18" xfId="0" applyNumberFormat="1" applyFont="1" applyFill="1" applyBorder="1" applyAlignment="1">
      <alignment horizontal="center"/>
    </xf>
    <xf numFmtId="167" fontId="1" fillId="3" borderId="18" xfId="0" applyNumberFormat="1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61" xfId="0" applyFont="1" applyFill="1" applyBorder="1" applyAlignment="1">
      <alignment horizontal="center"/>
    </xf>
    <xf numFmtId="0" fontId="2" fillId="3" borderId="62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14" fontId="2" fillId="0" borderId="12" xfId="0" applyNumberFormat="1" applyFont="1" applyFill="1" applyBorder="1" applyAlignment="1">
      <alignment horizontal="center"/>
    </xf>
    <xf numFmtId="0" fontId="2" fillId="3" borderId="58" xfId="0" applyFont="1" applyFill="1" applyBorder="1" applyAlignment="1">
      <alignment horizontal="center"/>
    </xf>
    <xf numFmtId="0" fontId="2" fillId="3" borderId="59" xfId="0" applyFont="1" applyFill="1" applyBorder="1" applyAlignment="1">
      <alignment horizontal="center"/>
    </xf>
    <xf numFmtId="0" fontId="2" fillId="0" borderId="67" xfId="0" applyFont="1" applyFill="1" applyBorder="1" applyAlignment="1">
      <alignment horizontal="center"/>
    </xf>
    <xf numFmtId="0" fontId="2" fillId="0" borderId="65" xfId="0" applyFont="1" applyFill="1" applyBorder="1" applyAlignment="1">
      <alignment horizontal="center"/>
    </xf>
    <xf numFmtId="0" fontId="2" fillId="0" borderId="68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168" fontId="2" fillId="0" borderId="18" xfId="0" applyNumberFormat="1" applyFont="1" applyFill="1" applyBorder="1" applyAlignment="1">
      <alignment horizontal="center"/>
    </xf>
    <xf numFmtId="164" fontId="7" fillId="0" borderId="48" xfId="0" applyNumberFormat="1" applyFont="1" applyBorder="1" applyAlignment="1">
      <alignment horizontal="center"/>
    </xf>
    <xf numFmtId="0" fontId="7" fillId="0" borderId="77" xfId="0" applyFont="1" applyBorder="1" applyAlignment="1">
      <alignment horizontal="center" vertical="center" wrapText="1"/>
    </xf>
    <xf numFmtId="0" fontId="2" fillId="0" borderId="28" xfId="0" applyFont="1" applyFill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 wrapText="1"/>
    </xf>
    <xf numFmtId="164" fontId="7" fillId="0" borderId="49" xfId="0" applyNumberFormat="1" applyFont="1" applyBorder="1" applyAlignment="1">
      <alignment horizontal="center"/>
    </xf>
    <xf numFmtId="0" fontId="2" fillId="3" borderId="66" xfId="0" applyFont="1" applyFill="1" applyBorder="1" applyAlignment="1">
      <alignment horizontal="center"/>
    </xf>
    <xf numFmtId="0" fontId="2" fillId="0" borderId="48" xfId="0" applyNumberFormat="1" applyFont="1" applyFill="1" applyBorder="1" applyAlignment="1">
      <alignment horizontal="center"/>
    </xf>
    <xf numFmtId="166" fontId="2" fillId="0" borderId="48" xfId="0" applyNumberFormat="1" applyFont="1" applyFill="1" applyBorder="1" applyAlignment="1">
      <alignment horizontal="center"/>
    </xf>
    <xf numFmtId="49" fontId="2" fillId="0" borderId="49" xfId="0" applyNumberFormat="1" applyFont="1" applyFill="1" applyBorder="1" applyAlignment="1">
      <alignment horizontal="center"/>
    </xf>
    <xf numFmtId="168" fontId="2" fillId="0" borderId="49" xfId="0" applyNumberFormat="1" applyFont="1" applyFill="1" applyBorder="1" applyAlignment="1">
      <alignment horizontal="center"/>
    </xf>
    <xf numFmtId="0" fontId="2" fillId="3" borderId="76" xfId="0" applyFont="1" applyFill="1" applyBorder="1" applyAlignment="1">
      <alignment horizontal="center"/>
    </xf>
    <xf numFmtId="49" fontId="2" fillId="0" borderId="47" xfId="0" applyNumberFormat="1" applyFont="1" applyFill="1" applyBorder="1" applyAlignment="1">
      <alignment horizontal="center"/>
    </xf>
    <xf numFmtId="166" fontId="2" fillId="0" borderId="24" xfId="0" applyNumberFormat="1" applyFont="1" applyBorder="1" applyAlignment="1">
      <alignment horizontal="center"/>
    </xf>
    <xf numFmtId="0" fontId="4" fillId="0" borderId="17" xfId="0" applyFont="1" applyBorder="1" applyAlignment="1">
      <alignment horizontal="center" vertical="center" wrapText="1"/>
    </xf>
    <xf numFmtId="173" fontId="4" fillId="0" borderId="18" xfId="0" applyNumberFormat="1" applyFont="1" applyBorder="1" applyAlignment="1">
      <alignment horizontal="center" vertical="center" wrapText="1"/>
    </xf>
    <xf numFmtId="49" fontId="4" fillId="0" borderId="18" xfId="0" applyNumberFormat="1" applyFont="1" applyBorder="1" applyAlignment="1">
      <alignment horizontal="center" vertical="center" wrapText="1"/>
    </xf>
    <xf numFmtId="173" fontId="4" fillId="0" borderId="18" xfId="0" applyNumberFormat="1" applyFont="1" applyFill="1" applyBorder="1" applyAlignment="1">
      <alignment horizontal="center" vertical="center" wrapText="1"/>
    </xf>
    <xf numFmtId="2" fontId="11" fillId="0" borderId="58" xfId="0" applyNumberFormat="1" applyFont="1" applyBorder="1" applyAlignment="1">
      <alignment horizontal="center" vertical="center" wrapText="1"/>
    </xf>
    <xf numFmtId="164" fontId="5" fillId="0" borderId="58" xfId="0" applyNumberFormat="1" applyFont="1" applyBorder="1" applyAlignment="1">
      <alignment horizontal="center" vertical="center" wrapText="1"/>
    </xf>
    <xf numFmtId="173" fontId="5" fillId="0" borderId="58" xfId="0" applyNumberFormat="1" applyFont="1" applyBorder="1" applyAlignment="1">
      <alignment horizontal="center" vertical="center" wrapText="1"/>
    </xf>
    <xf numFmtId="173" fontId="6" fillId="0" borderId="58" xfId="0" applyNumberFormat="1" applyFont="1" applyBorder="1" applyAlignment="1">
      <alignment horizontal="center" vertical="center" wrapText="1"/>
    </xf>
    <xf numFmtId="167" fontId="6" fillId="0" borderId="58" xfId="0" applyNumberFormat="1" applyFont="1" applyBorder="1" applyAlignment="1">
      <alignment horizontal="center" vertical="center" wrapText="1"/>
    </xf>
    <xf numFmtId="173" fontId="4" fillId="0" borderId="19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166" fontId="2" fillId="0" borderId="9" xfId="0" applyNumberFormat="1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2" fillId="0" borderId="65" xfId="0" applyFont="1" applyBorder="1" applyAlignment="1">
      <alignment horizontal="center"/>
    </xf>
    <xf numFmtId="0" fontId="2" fillId="0" borderId="78" xfId="0" applyFont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164" fontId="2" fillId="0" borderId="49" xfId="0" applyNumberFormat="1" applyFont="1" applyBorder="1" applyAlignment="1">
      <alignment horizontal="center"/>
    </xf>
    <xf numFmtId="164" fontId="2" fillId="0" borderId="21" xfId="0" applyNumberFormat="1" applyFont="1" applyBorder="1" applyAlignment="1">
      <alignment horizontal="center"/>
    </xf>
    <xf numFmtId="167" fontId="2" fillId="0" borderId="49" xfId="0" applyNumberFormat="1" applyFont="1" applyBorder="1" applyAlignment="1">
      <alignment horizontal="center"/>
    </xf>
    <xf numFmtId="166" fontId="2" fillId="0" borderId="52" xfId="0" applyNumberFormat="1" applyFont="1" applyBorder="1" applyAlignment="1">
      <alignment horizontal="center"/>
    </xf>
    <xf numFmtId="164" fontId="2" fillId="0" borderId="52" xfId="0" applyNumberFormat="1" applyFont="1" applyBorder="1" applyAlignment="1">
      <alignment horizontal="center"/>
    </xf>
    <xf numFmtId="164" fontId="2" fillId="0" borderId="52" xfId="0" applyNumberFormat="1" applyFont="1" applyBorder="1" applyAlignment="1">
      <alignment horizontal="center" vertical="center"/>
    </xf>
    <xf numFmtId="167" fontId="2" fillId="0" borderId="52" xfId="0" applyNumberFormat="1" applyFont="1" applyBorder="1" applyAlignment="1">
      <alignment horizontal="center"/>
    </xf>
    <xf numFmtId="166" fontId="2" fillId="0" borderId="46" xfId="0" applyNumberFormat="1" applyFont="1" applyBorder="1" applyAlignment="1">
      <alignment horizontal="center"/>
    </xf>
    <xf numFmtId="164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70" fontId="1" fillId="3" borderId="12" xfId="0" applyNumberFormat="1" applyFont="1" applyFill="1" applyBorder="1" applyAlignment="1">
      <alignment horizontal="center"/>
    </xf>
    <xf numFmtId="170" fontId="1" fillId="4" borderId="12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170" fontId="2" fillId="0" borderId="52" xfId="0" applyNumberFormat="1" applyFont="1" applyBorder="1" applyAlignment="1">
      <alignment horizontal="center" vertical="center"/>
    </xf>
    <xf numFmtId="170" fontId="2" fillId="0" borderId="21" xfId="0" applyNumberFormat="1" applyFont="1" applyBorder="1" applyAlignment="1">
      <alignment horizontal="center" vertical="center"/>
    </xf>
    <xf numFmtId="170" fontId="2" fillId="0" borderId="24" xfId="0" applyNumberFormat="1" applyFont="1" applyBorder="1" applyAlignment="1">
      <alignment horizontal="center" vertical="center"/>
    </xf>
    <xf numFmtId="164" fontId="2" fillId="0" borderId="47" xfId="0" applyNumberFormat="1" applyFont="1" applyBorder="1" applyAlignment="1">
      <alignment horizontal="center"/>
    </xf>
    <xf numFmtId="167" fontId="2" fillId="0" borderId="47" xfId="0" applyNumberFormat="1" applyFont="1" applyBorder="1" applyAlignment="1">
      <alignment horizontal="center"/>
    </xf>
    <xf numFmtId="170" fontId="2" fillId="0" borderId="48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horizontal="center"/>
    </xf>
    <xf numFmtId="166" fontId="2" fillId="0" borderId="6" xfId="0" applyNumberFormat="1" applyFont="1" applyBorder="1" applyAlignment="1">
      <alignment horizontal="center"/>
    </xf>
    <xf numFmtId="170" fontId="2" fillId="0" borderId="49" xfId="0" applyNumberFormat="1" applyFont="1" applyBorder="1" applyAlignment="1">
      <alignment horizontal="center" vertical="center"/>
    </xf>
    <xf numFmtId="0" fontId="2" fillId="0" borderId="80" xfId="0" applyFont="1" applyFill="1" applyBorder="1" applyAlignment="1">
      <alignment horizontal="center"/>
    </xf>
    <xf numFmtId="0" fontId="2" fillId="0" borderId="49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6" fontId="2" fillId="0" borderId="21" xfId="0" applyNumberFormat="1" applyFont="1" applyBorder="1" applyAlignment="1">
      <alignment horizontal="center" vertical="center"/>
    </xf>
    <xf numFmtId="166" fontId="2" fillId="0" borderId="48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6" fontId="2" fillId="0" borderId="49" xfId="0" applyNumberFormat="1" applyFont="1" applyBorder="1" applyAlignment="1">
      <alignment horizontal="center" vertical="center"/>
    </xf>
    <xf numFmtId="166" fontId="2" fillId="0" borderId="52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61" xfId="0" applyFont="1" applyFill="1" applyBorder="1" applyAlignment="1">
      <alignment horizontal="center"/>
    </xf>
    <xf numFmtId="0" fontId="2" fillId="0" borderId="59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164" fontId="2" fillId="0" borderId="47" xfId="0" applyNumberFormat="1" applyFont="1" applyBorder="1" applyAlignment="1">
      <alignment horizontal="center" vertical="center"/>
    </xf>
    <xf numFmtId="170" fontId="2" fillId="0" borderId="47" xfId="0" applyNumberFormat="1" applyFont="1" applyBorder="1" applyAlignment="1">
      <alignment horizontal="center" vertical="center"/>
    </xf>
    <xf numFmtId="164" fontId="7" fillId="2" borderId="47" xfId="0" applyNumberFormat="1" applyFont="1" applyFill="1" applyBorder="1" applyAlignment="1">
      <alignment horizontal="center" vertical="center" wrapText="1"/>
    </xf>
    <xf numFmtId="0" fontId="13" fillId="0" borderId="55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66" fontId="2" fillId="0" borderId="47" xfId="0" applyNumberFormat="1" applyFont="1" applyBorder="1" applyAlignment="1">
      <alignment horizontal="center" vertical="center"/>
    </xf>
    <xf numFmtId="0" fontId="2" fillId="3" borderId="79" xfId="0" applyFont="1" applyFill="1" applyBorder="1" applyAlignment="1">
      <alignment horizontal="center"/>
    </xf>
    <xf numFmtId="164" fontId="2" fillId="0" borderId="49" xfId="0" applyNumberFormat="1" applyFont="1" applyBorder="1" applyAlignment="1">
      <alignment horizontal="center" vertical="center"/>
    </xf>
    <xf numFmtId="164" fontId="2" fillId="0" borderId="48" xfId="0" applyNumberFormat="1" applyFont="1" applyBorder="1" applyAlignment="1">
      <alignment horizontal="center"/>
    </xf>
    <xf numFmtId="166" fontId="2" fillId="0" borderId="49" xfId="0" applyNumberFormat="1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4" fontId="1" fillId="3" borderId="12" xfId="0" applyNumberFormat="1" applyFont="1" applyFill="1" applyBorder="1" applyAlignment="1">
      <alignment horizontal="center"/>
    </xf>
    <xf numFmtId="166" fontId="2" fillId="0" borderId="5" xfId="0" applyNumberFormat="1" applyFont="1" applyBorder="1" applyAlignment="1">
      <alignment horizontal="center" wrapText="1"/>
    </xf>
    <xf numFmtId="0" fontId="15" fillId="5" borderId="6" xfId="0" applyFont="1" applyFill="1" applyBorder="1"/>
    <xf numFmtId="1" fontId="16" fillId="5" borderId="6" xfId="0" applyNumberFormat="1" applyFont="1" applyFill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/>
    </xf>
    <xf numFmtId="14" fontId="18" fillId="5" borderId="21" xfId="0" applyNumberFormat="1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left" vertical="center"/>
    </xf>
    <xf numFmtId="175" fontId="23" fillId="5" borderId="21" xfId="0" applyNumberFormat="1" applyFont="1" applyFill="1" applyBorder="1" applyAlignment="1">
      <alignment horizontal="left" vertical="center"/>
    </xf>
    <xf numFmtId="176" fontId="20" fillId="5" borderId="21" xfId="0" applyNumberFormat="1" applyFont="1" applyFill="1" applyBorder="1" applyAlignment="1">
      <alignment horizontal="left" vertical="center"/>
    </xf>
    <xf numFmtId="176" fontId="26" fillId="5" borderId="21" xfId="0" applyNumberFormat="1" applyFont="1" applyFill="1" applyBorder="1" applyAlignment="1">
      <alignment horizontal="left" vertical="center"/>
    </xf>
    <xf numFmtId="174" fontId="24" fillId="5" borderId="21" xfId="1" applyNumberFormat="1" applyFont="1" applyFill="1" applyBorder="1" applyAlignment="1">
      <alignment horizontal="center" vertical="center"/>
    </xf>
    <xf numFmtId="174" fontId="21" fillId="5" borderId="21" xfId="1" applyNumberFormat="1" applyFont="1" applyFill="1" applyBorder="1" applyAlignment="1">
      <alignment horizontal="center" vertical="center"/>
    </xf>
    <xf numFmtId="166" fontId="27" fillId="5" borderId="21" xfId="0" applyNumberFormat="1" applyFont="1" applyFill="1" applyBorder="1" applyAlignment="1">
      <alignment horizontal="center" vertical="center"/>
    </xf>
    <xf numFmtId="174" fontId="22" fillId="5" borderId="21" xfId="1" applyNumberFormat="1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left"/>
    </xf>
    <xf numFmtId="166" fontId="15" fillId="5" borderId="6" xfId="0" applyNumberFormat="1" applyFont="1" applyFill="1" applyBorder="1" applyAlignment="1">
      <alignment horizontal="center"/>
    </xf>
    <xf numFmtId="176" fontId="28" fillId="5" borderId="6" xfId="0" applyNumberFormat="1" applyFont="1" applyFill="1" applyBorder="1" applyAlignment="1">
      <alignment horizontal="left" vertical="center"/>
    </xf>
    <xf numFmtId="176" fontId="9" fillId="5" borderId="6" xfId="0" applyNumberFormat="1" applyFont="1" applyFill="1" applyBorder="1" applyAlignment="1">
      <alignment horizontal="left" vertical="center"/>
    </xf>
    <xf numFmtId="178" fontId="3" fillId="5" borderId="6" xfId="0" applyNumberFormat="1" applyFont="1" applyFill="1" applyBorder="1" applyAlignment="1">
      <alignment horizontal="left" vertical="center"/>
    </xf>
    <xf numFmtId="174" fontId="24" fillId="5" borderId="6" xfId="1" applyNumberFormat="1" applyFont="1" applyFill="1" applyBorder="1" applyAlignment="1">
      <alignment horizontal="center" vertical="center"/>
    </xf>
    <xf numFmtId="176" fontId="3" fillId="5" borderId="6" xfId="0" applyNumberFormat="1" applyFont="1" applyFill="1" applyBorder="1" applyAlignment="1">
      <alignment horizontal="left" vertical="center"/>
    </xf>
    <xf numFmtId="3" fontId="15" fillId="5" borderId="6" xfId="0" applyNumberFormat="1" applyFont="1" applyFill="1" applyBorder="1" applyAlignment="1">
      <alignment horizontal="center"/>
    </xf>
    <xf numFmtId="179" fontId="15" fillId="5" borderId="6" xfId="0" applyNumberFormat="1" applyFont="1" applyFill="1" applyBorder="1" applyAlignment="1">
      <alignment horizontal="center" vertical="center"/>
    </xf>
    <xf numFmtId="175" fontId="29" fillId="5" borderId="6" xfId="0" applyNumberFormat="1" applyFont="1" applyFill="1" applyBorder="1" applyAlignment="1">
      <alignment horizontal="left" vertical="center"/>
    </xf>
    <xf numFmtId="1" fontId="15" fillId="5" borderId="6" xfId="0" applyNumberFormat="1" applyFont="1" applyFill="1" applyBorder="1" applyAlignment="1">
      <alignment horizontal="center" vertical="top"/>
    </xf>
    <xf numFmtId="0" fontId="16" fillId="6" borderId="11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0" fontId="17" fillId="6" borderId="12" xfId="0" applyFont="1" applyFill="1" applyBorder="1" applyAlignment="1">
      <alignment horizontal="center" vertical="center"/>
    </xf>
    <xf numFmtId="3" fontId="16" fillId="6" borderId="12" xfId="0" applyNumberFormat="1" applyFont="1" applyFill="1" applyBorder="1" applyAlignment="1">
      <alignment horizontal="center" vertical="center"/>
    </xf>
    <xf numFmtId="174" fontId="16" fillId="6" borderId="12" xfId="1" applyNumberFormat="1" applyFont="1" applyFill="1" applyBorder="1" applyAlignment="1">
      <alignment horizontal="center" vertical="center"/>
    </xf>
    <xf numFmtId="1" fontId="16" fillId="6" borderId="14" xfId="0" applyNumberFormat="1" applyFont="1" applyFill="1" applyBorder="1" applyAlignment="1">
      <alignment horizontal="center" vertical="center"/>
    </xf>
    <xf numFmtId="1" fontId="16" fillId="5" borderId="76" xfId="0" applyNumberFormat="1" applyFont="1" applyFill="1" applyBorder="1" applyAlignment="1">
      <alignment horizontal="center" vertical="center"/>
    </xf>
    <xf numFmtId="3" fontId="16" fillId="6" borderId="11" xfId="0" applyNumberFormat="1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7" fillId="5" borderId="6" xfId="0" applyFont="1" applyFill="1" applyBorder="1" applyAlignment="1">
      <alignment horizontal="center" vertical="center"/>
    </xf>
    <xf numFmtId="3" fontId="16" fillId="5" borderId="6" xfId="0" applyNumberFormat="1" applyFont="1" applyFill="1" applyBorder="1" applyAlignment="1">
      <alignment horizontal="center" vertical="center"/>
    </xf>
    <xf numFmtId="174" fontId="16" fillId="5" borderId="6" xfId="1" applyNumberFormat="1" applyFont="1" applyFill="1" applyBorder="1" applyAlignment="1">
      <alignment horizontal="center" vertical="center"/>
    </xf>
    <xf numFmtId="0" fontId="23" fillId="5" borderId="21" xfId="0" applyNumberFormat="1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left" vertical="center"/>
    </xf>
    <xf numFmtId="166" fontId="19" fillId="5" borderId="24" xfId="0" applyNumberFormat="1" applyFont="1" applyFill="1" applyBorder="1" applyAlignment="1">
      <alignment horizontal="center" vertical="center"/>
    </xf>
    <xf numFmtId="174" fontId="17" fillId="5" borderId="24" xfId="1" applyNumberFormat="1" applyFont="1" applyFill="1" applyBorder="1" applyAlignment="1">
      <alignment horizontal="center" vertical="center"/>
    </xf>
    <xf numFmtId="174" fontId="24" fillId="5" borderId="24" xfId="1" applyNumberFormat="1" applyFont="1" applyFill="1" applyBorder="1" applyAlignment="1">
      <alignment horizontal="center" vertical="center"/>
    </xf>
    <xf numFmtId="174" fontId="21" fillId="5" borderId="24" xfId="1" applyNumberFormat="1" applyFont="1" applyFill="1" applyBorder="1" applyAlignment="1">
      <alignment horizontal="center" vertical="center"/>
    </xf>
    <xf numFmtId="179" fontId="17" fillId="5" borderId="24" xfId="0" applyNumberFormat="1" applyFont="1" applyFill="1" applyBorder="1" applyAlignment="1">
      <alignment horizontal="center" vertical="center"/>
    </xf>
    <xf numFmtId="0" fontId="15" fillId="5" borderId="24" xfId="0" applyFont="1" applyFill="1" applyBorder="1"/>
    <xf numFmtId="174" fontId="25" fillId="5" borderId="27" xfId="1" applyNumberFormat="1" applyFont="1" applyFill="1" applyBorder="1" applyAlignment="1">
      <alignment horizontal="left" vertical="center"/>
    </xf>
    <xf numFmtId="0" fontId="18" fillId="5" borderId="21" xfId="0" applyFont="1" applyFill="1" applyBorder="1" applyAlignment="1">
      <alignment horizontal="center" vertical="center" wrapText="1"/>
    </xf>
    <xf numFmtId="14" fontId="18" fillId="8" borderId="21" xfId="0" applyNumberFormat="1" applyFont="1" applyFill="1" applyBorder="1" applyAlignment="1">
      <alignment horizontal="center" vertical="center"/>
    </xf>
    <xf numFmtId="0" fontId="18" fillId="8" borderId="21" xfId="0" applyFont="1" applyFill="1" applyBorder="1" applyAlignment="1">
      <alignment horizontal="left" vertical="center"/>
    </xf>
    <xf numFmtId="166" fontId="27" fillId="8" borderId="21" xfId="0" applyNumberFormat="1" applyFont="1" applyFill="1" applyBorder="1" applyAlignment="1">
      <alignment horizontal="center" vertical="center"/>
    </xf>
    <xf numFmtId="175" fontId="23" fillId="8" borderId="21" xfId="0" applyNumberFormat="1" applyFont="1" applyFill="1" applyBorder="1" applyAlignment="1">
      <alignment horizontal="left" vertical="center"/>
    </xf>
    <xf numFmtId="176" fontId="20" fillId="8" borderId="21" xfId="0" applyNumberFormat="1" applyFont="1" applyFill="1" applyBorder="1" applyAlignment="1">
      <alignment horizontal="left" vertical="center"/>
    </xf>
    <xf numFmtId="176" fontId="26" fillId="8" borderId="21" xfId="0" applyNumberFormat="1" applyFont="1" applyFill="1" applyBorder="1" applyAlignment="1">
      <alignment horizontal="left" vertical="center"/>
    </xf>
    <xf numFmtId="174" fontId="22" fillId="8" borderId="21" xfId="1" applyNumberFormat="1" applyFont="1" applyFill="1" applyBorder="1" applyAlignment="1">
      <alignment horizontal="center" vertical="center"/>
    </xf>
    <xf numFmtId="172" fontId="23" fillId="8" borderId="21" xfId="0" applyNumberFormat="1" applyFont="1" applyFill="1" applyBorder="1" applyAlignment="1">
      <alignment horizontal="center" vertical="center"/>
    </xf>
    <xf numFmtId="174" fontId="24" fillId="8" borderId="21" xfId="1" applyNumberFormat="1" applyFont="1" applyFill="1" applyBorder="1" applyAlignment="1">
      <alignment horizontal="center" vertical="center"/>
    </xf>
    <xf numFmtId="174" fontId="21" fillId="8" borderId="21" xfId="1" applyNumberFormat="1" applyFont="1" applyFill="1" applyBorder="1" applyAlignment="1">
      <alignment horizontal="center" vertical="center"/>
    </xf>
    <xf numFmtId="174" fontId="25" fillId="8" borderId="22" xfId="1" applyNumberFormat="1" applyFont="1" applyFill="1" applyBorder="1" applyAlignment="1">
      <alignment horizontal="left" vertical="center"/>
    </xf>
    <xf numFmtId="0" fontId="18" fillId="8" borderId="21" xfId="0" applyFont="1" applyFill="1" applyBorder="1" applyAlignment="1">
      <alignment horizontal="left" vertical="center" wrapText="1"/>
    </xf>
    <xf numFmtId="177" fontId="23" fillId="8" borderId="21" xfId="0" applyNumberFormat="1" applyFont="1" applyFill="1" applyBorder="1" applyAlignment="1">
      <alignment horizontal="left" vertical="center"/>
    </xf>
    <xf numFmtId="175" fontId="20" fillId="8" borderId="21" xfId="0" applyNumberFormat="1" applyFont="1" applyFill="1" applyBorder="1" applyAlignment="1">
      <alignment horizontal="left" vertical="center"/>
    </xf>
    <xf numFmtId="44" fontId="23" fillId="8" borderId="21" xfId="1" applyFont="1" applyFill="1" applyBorder="1" applyAlignment="1">
      <alignment horizontal="center" vertical="center"/>
    </xf>
    <xf numFmtId="0" fontId="23" fillId="8" borderId="21" xfId="0" applyNumberFormat="1" applyFont="1" applyFill="1" applyBorder="1" applyAlignment="1">
      <alignment horizontal="center" vertical="center"/>
    </xf>
    <xf numFmtId="1" fontId="23" fillId="8" borderId="21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30" fillId="5" borderId="6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77" fontId="15" fillId="5" borderId="6" xfId="0" applyNumberFormat="1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 vertical="center"/>
    </xf>
    <xf numFmtId="0" fontId="18" fillId="7" borderId="48" xfId="0" applyFont="1" applyFill="1" applyBorder="1" applyAlignment="1">
      <alignment horizontal="center" vertical="center" wrapText="1"/>
    </xf>
    <xf numFmtId="0" fontId="18" fillId="7" borderId="47" xfId="0" applyFont="1" applyFill="1" applyBorder="1" applyAlignment="1">
      <alignment horizontal="center" vertical="center" wrapText="1"/>
    </xf>
    <xf numFmtId="0" fontId="18" fillId="7" borderId="49" xfId="0" applyFont="1" applyFill="1" applyBorder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191"/>
  <sheetViews>
    <sheetView topLeftCell="A163" workbookViewId="0">
      <selection activeCell="E186" sqref="E186"/>
    </sheetView>
  </sheetViews>
  <sheetFormatPr defaultColWidth="9.109375" defaultRowHeight="13.8"/>
  <cols>
    <col min="1" max="3" width="9.33203125" style="1" bestFit="1" customWidth="1"/>
    <col min="4" max="4" width="14.33203125" style="1" bestFit="1" customWidth="1"/>
    <col min="5" max="5" width="15.44140625" style="1" bestFit="1" customWidth="1"/>
    <col min="6" max="6" width="9.109375" style="1"/>
    <col min="7" max="7" width="9.88671875" style="1" bestFit="1" customWidth="1"/>
    <col min="8" max="8" width="15.44140625" style="1" customWidth="1"/>
    <col min="9" max="9" width="12.33203125" style="1" customWidth="1"/>
    <col min="10" max="10" width="17.6640625" style="1" customWidth="1"/>
    <col min="11" max="11" width="16.88671875" style="1" customWidth="1"/>
    <col min="12" max="12" width="13.44140625" style="1" customWidth="1"/>
    <col min="13" max="13" width="0.6640625" style="1" customWidth="1"/>
    <col min="14" max="16" width="9.109375" style="1"/>
    <col min="17" max="17" width="9.33203125" style="1" bestFit="1" customWidth="1"/>
    <col min="18" max="16384" width="9.109375" style="1"/>
  </cols>
  <sheetData>
    <row r="1" spans="1:18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8"/>
      <c r="O1" s="8"/>
      <c r="P1" s="8"/>
      <c r="Q1" s="9">
        <v>47385.27</v>
      </c>
      <c r="R1" s="8"/>
    </row>
    <row r="2" spans="1:18">
      <c r="A2" s="356" t="s">
        <v>24</v>
      </c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8"/>
      <c r="O2" s="8"/>
      <c r="P2" s="8"/>
      <c r="Q2" s="8"/>
      <c r="R2" s="8"/>
    </row>
    <row r="3" spans="1:18" ht="14.4" thickBot="1">
      <c r="A3" s="8"/>
      <c r="B3" s="8"/>
      <c r="C3" s="8"/>
      <c r="D3" s="8"/>
      <c r="E3" s="8"/>
      <c r="F3" s="10"/>
      <c r="G3" s="8"/>
      <c r="H3" s="8"/>
      <c r="I3" s="8"/>
      <c r="J3" s="11"/>
      <c r="K3" s="8"/>
      <c r="L3" s="8"/>
      <c r="M3" s="8"/>
      <c r="N3" s="8"/>
      <c r="O3" s="8"/>
      <c r="P3" s="8"/>
      <c r="Q3" s="8"/>
      <c r="R3" s="8"/>
    </row>
    <row r="4" spans="1:18" ht="72.599999999999994" thickBot="1">
      <c r="A4" s="12" t="s">
        <v>1</v>
      </c>
      <c r="B4" s="13" t="s">
        <v>2</v>
      </c>
      <c r="C4" s="14" t="s">
        <v>3</v>
      </c>
      <c r="D4" s="15" t="s">
        <v>4</v>
      </c>
      <c r="E4" s="13" t="s">
        <v>5</v>
      </c>
      <c r="F4" s="16" t="s">
        <v>22</v>
      </c>
      <c r="G4" s="17" t="s">
        <v>29</v>
      </c>
      <c r="H4" s="18" t="s">
        <v>6</v>
      </c>
      <c r="I4" s="19" t="s">
        <v>7</v>
      </c>
      <c r="J4" s="20" t="s">
        <v>8</v>
      </c>
      <c r="K4" s="13" t="s">
        <v>9</v>
      </c>
      <c r="L4" s="21" t="s">
        <v>10</v>
      </c>
      <c r="M4" s="22"/>
      <c r="N4" s="23" t="s">
        <v>11</v>
      </c>
      <c r="O4" s="24" t="s">
        <v>12</v>
      </c>
      <c r="P4" s="25" t="s">
        <v>13</v>
      </c>
      <c r="Q4" s="25" t="s">
        <v>14</v>
      </c>
      <c r="R4" s="26" t="s">
        <v>15</v>
      </c>
    </row>
    <row r="5" spans="1:18" ht="16.5" customHeight="1">
      <c r="A5" s="130">
        <v>1</v>
      </c>
      <c r="B5" s="136">
        <v>46028</v>
      </c>
      <c r="C5" s="104">
        <v>9983054</v>
      </c>
      <c r="D5" s="105">
        <v>50390244</v>
      </c>
      <c r="E5" s="106">
        <v>57.594999999999999</v>
      </c>
      <c r="F5" s="202">
        <v>642.73</v>
      </c>
      <c r="G5" s="29">
        <f>F5-42</f>
        <v>600.73</v>
      </c>
      <c r="H5" s="29">
        <f>E5*F5-G5</f>
        <v>36417.304349999999</v>
      </c>
      <c r="I5" s="30">
        <v>39944.86</v>
      </c>
      <c r="J5" s="30">
        <f t="shared" ref="J5" si="0">E5*I5</f>
        <v>2300624.2116999999</v>
      </c>
      <c r="K5" s="31" t="s">
        <v>16</v>
      </c>
      <c r="L5" s="2" t="s">
        <v>17</v>
      </c>
      <c r="M5" s="133"/>
      <c r="N5" s="130"/>
      <c r="O5" s="136">
        <v>46034</v>
      </c>
      <c r="P5" s="131">
        <v>58.274999999999999</v>
      </c>
      <c r="Q5" s="111">
        <f>P5-E5</f>
        <v>0.67999999999999972</v>
      </c>
      <c r="R5" s="132"/>
    </row>
    <row r="6" spans="1:18" ht="17.25" customHeight="1">
      <c r="A6" s="32">
        <f>A5+1</f>
        <v>2</v>
      </c>
      <c r="B6" s="110">
        <v>46028</v>
      </c>
      <c r="C6" s="3">
        <v>9983053</v>
      </c>
      <c r="D6" s="4">
        <v>51337087</v>
      </c>
      <c r="E6" s="288">
        <v>59.148000000000003</v>
      </c>
      <c r="F6" s="138">
        <v>642.73</v>
      </c>
      <c r="G6" s="36">
        <f t="shared" ref="G6:G33" si="1">F6-42</f>
        <v>600.73</v>
      </c>
      <c r="H6" s="36">
        <f t="shared" ref="H6:H33" si="2">E6*F6-G6</f>
        <v>37415.464039999999</v>
      </c>
      <c r="I6" s="37">
        <v>39944.86</v>
      </c>
      <c r="J6" s="37">
        <f t="shared" ref="J6:J33" si="3">E6*I6</f>
        <v>2362658.5792800002</v>
      </c>
      <c r="K6" s="38" t="s">
        <v>16</v>
      </c>
      <c r="L6" s="2" t="s">
        <v>17</v>
      </c>
      <c r="M6" s="134"/>
      <c r="N6" s="32"/>
      <c r="O6" s="110">
        <v>46035</v>
      </c>
      <c r="P6" s="40">
        <v>59.271000000000001</v>
      </c>
      <c r="Q6" s="111">
        <f>P6-E6</f>
        <v>0.12299999999999756</v>
      </c>
      <c r="R6" s="41"/>
    </row>
    <row r="7" spans="1:18" ht="17.25" customHeight="1">
      <c r="A7" s="32">
        <f t="shared" ref="A7:A33" si="4">A6+1</f>
        <v>3</v>
      </c>
      <c r="B7" s="110">
        <v>46028</v>
      </c>
      <c r="C7" s="3">
        <v>9983053</v>
      </c>
      <c r="D7" s="4">
        <v>51404424</v>
      </c>
      <c r="E7" s="288">
        <v>59.798999999999999</v>
      </c>
      <c r="F7" s="138">
        <v>642.73</v>
      </c>
      <c r="G7" s="36">
        <f t="shared" si="1"/>
        <v>600.73</v>
      </c>
      <c r="H7" s="36">
        <f t="shared" si="2"/>
        <v>37833.881269999998</v>
      </c>
      <c r="I7" s="37">
        <v>39944.86</v>
      </c>
      <c r="J7" s="37">
        <f>E7*I7</f>
        <v>2388662.6831399999</v>
      </c>
      <c r="K7" s="38" t="s">
        <v>16</v>
      </c>
      <c r="L7" s="2" t="s">
        <v>17</v>
      </c>
      <c r="M7" s="134"/>
      <c r="N7" s="32"/>
      <c r="O7" s="40"/>
      <c r="P7" s="40"/>
      <c r="Q7" s="40"/>
      <c r="R7" s="41"/>
    </row>
    <row r="8" spans="1:18" ht="17.25" customHeight="1">
      <c r="A8" s="32">
        <f t="shared" si="4"/>
        <v>4</v>
      </c>
      <c r="B8" s="110">
        <v>46028</v>
      </c>
      <c r="C8" s="3">
        <v>9983053</v>
      </c>
      <c r="D8" s="4">
        <v>51775153</v>
      </c>
      <c r="E8" s="288">
        <v>58.796999999999997</v>
      </c>
      <c r="F8" s="138">
        <v>642.73</v>
      </c>
      <c r="G8" s="36">
        <f t="shared" si="1"/>
        <v>600.73</v>
      </c>
      <c r="H8" s="36">
        <f t="shared" si="2"/>
        <v>37189.865809999996</v>
      </c>
      <c r="I8" s="37">
        <v>39944.86</v>
      </c>
      <c r="J8" s="37">
        <f t="shared" si="3"/>
        <v>2348637.9334200001</v>
      </c>
      <c r="K8" s="38" t="s">
        <v>16</v>
      </c>
      <c r="L8" s="2" t="s">
        <v>17</v>
      </c>
      <c r="M8" s="134"/>
      <c r="N8" s="32"/>
      <c r="O8" s="40"/>
      <c r="P8" s="40"/>
      <c r="Q8" s="40"/>
      <c r="R8" s="41"/>
    </row>
    <row r="9" spans="1:18" ht="17.25" customHeight="1">
      <c r="A9" s="32">
        <f t="shared" si="4"/>
        <v>5</v>
      </c>
      <c r="B9" s="110">
        <v>46028</v>
      </c>
      <c r="C9" s="3">
        <v>9983053</v>
      </c>
      <c r="D9" s="4">
        <v>51847275</v>
      </c>
      <c r="E9" s="288">
        <v>58.948</v>
      </c>
      <c r="F9" s="138">
        <v>642.73</v>
      </c>
      <c r="G9" s="36">
        <f t="shared" si="1"/>
        <v>600.73</v>
      </c>
      <c r="H9" s="36">
        <f t="shared" si="2"/>
        <v>37286.918039999997</v>
      </c>
      <c r="I9" s="37">
        <v>39944.86</v>
      </c>
      <c r="J9" s="37">
        <f t="shared" si="3"/>
        <v>2354669.6072800001</v>
      </c>
      <c r="K9" s="38" t="s">
        <v>16</v>
      </c>
      <c r="L9" s="2" t="s">
        <v>17</v>
      </c>
      <c r="M9" s="134"/>
      <c r="N9" s="32"/>
      <c r="O9" s="40"/>
      <c r="P9" s="40"/>
      <c r="Q9" s="40"/>
      <c r="R9" s="41"/>
    </row>
    <row r="10" spans="1:18" ht="17.25" customHeight="1">
      <c r="A10" s="32">
        <f t="shared" si="4"/>
        <v>6</v>
      </c>
      <c r="B10" s="110">
        <v>46028</v>
      </c>
      <c r="C10" s="3">
        <v>9983054</v>
      </c>
      <c r="D10" s="4">
        <v>53872610</v>
      </c>
      <c r="E10" s="288">
        <v>61.151000000000003</v>
      </c>
      <c r="F10" s="138">
        <v>642.73</v>
      </c>
      <c r="G10" s="36">
        <f t="shared" si="1"/>
        <v>600.73</v>
      </c>
      <c r="H10" s="36">
        <f t="shared" si="2"/>
        <v>38702.852229999997</v>
      </c>
      <c r="I10" s="37">
        <v>39944.86</v>
      </c>
      <c r="J10" s="37">
        <f t="shared" si="3"/>
        <v>2442668.1338599999</v>
      </c>
      <c r="K10" s="38" t="s">
        <v>16</v>
      </c>
      <c r="L10" s="2" t="s">
        <v>17</v>
      </c>
      <c r="M10" s="134"/>
      <c r="N10" s="32"/>
      <c r="O10" s="110">
        <v>46034</v>
      </c>
      <c r="P10" s="40">
        <v>61.048000000000002</v>
      </c>
      <c r="Q10" s="111">
        <f>P10-E10</f>
        <v>-0.10300000000000153</v>
      </c>
      <c r="R10" s="41"/>
    </row>
    <row r="11" spans="1:18" ht="17.25" customHeight="1">
      <c r="A11" s="32">
        <f t="shared" si="4"/>
        <v>7</v>
      </c>
      <c r="B11" s="110">
        <v>46028</v>
      </c>
      <c r="C11" s="3">
        <v>9983054</v>
      </c>
      <c r="D11" s="4">
        <v>53901963</v>
      </c>
      <c r="E11" s="288">
        <v>50.183</v>
      </c>
      <c r="F11" s="138">
        <v>642.73</v>
      </c>
      <c r="G11" s="36">
        <f t="shared" si="1"/>
        <v>600.73</v>
      </c>
      <c r="H11" s="36">
        <f t="shared" si="2"/>
        <v>31653.389590000002</v>
      </c>
      <c r="I11" s="37">
        <v>39944.86</v>
      </c>
      <c r="J11" s="37">
        <f t="shared" si="3"/>
        <v>2004552.9093800001</v>
      </c>
      <c r="K11" s="38" t="s">
        <v>16</v>
      </c>
      <c r="L11" s="2" t="s">
        <v>17</v>
      </c>
      <c r="M11" s="134"/>
      <c r="N11" s="32"/>
      <c r="O11" s="110">
        <v>46034</v>
      </c>
      <c r="P11" s="40">
        <v>50.064</v>
      </c>
      <c r="Q11" s="111">
        <f>P11-E11</f>
        <v>-0.11899999999999977</v>
      </c>
      <c r="R11" s="41"/>
    </row>
    <row r="12" spans="1:18" ht="17.25" customHeight="1">
      <c r="A12" s="32">
        <f t="shared" si="4"/>
        <v>8</v>
      </c>
      <c r="B12" s="110">
        <v>46028</v>
      </c>
      <c r="C12" s="3">
        <v>9983053</v>
      </c>
      <c r="D12" s="4">
        <v>54027800</v>
      </c>
      <c r="E12" s="5">
        <v>60.048999999999999</v>
      </c>
      <c r="F12" s="138">
        <v>642.73</v>
      </c>
      <c r="G12" s="36">
        <f t="shared" si="1"/>
        <v>600.73</v>
      </c>
      <c r="H12" s="36">
        <f t="shared" si="2"/>
        <v>37994.563770000001</v>
      </c>
      <c r="I12" s="37">
        <v>39944.86</v>
      </c>
      <c r="J12" s="37">
        <f t="shared" si="3"/>
        <v>2398648.8981400002</v>
      </c>
      <c r="K12" s="38" t="s">
        <v>16</v>
      </c>
      <c r="L12" s="2" t="s">
        <v>17</v>
      </c>
      <c r="M12" s="134"/>
      <c r="N12" s="32"/>
      <c r="O12" s="40"/>
      <c r="P12" s="40"/>
      <c r="Q12" s="40"/>
      <c r="R12" s="41"/>
    </row>
    <row r="13" spans="1:18" ht="17.25" customHeight="1">
      <c r="A13" s="32">
        <f t="shared" si="4"/>
        <v>9</v>
      </c>
      <c r="B13" s="110">
        <v>46028</v>
      </c>
      <c r="C13" s="3">
        <v>9983054</v>
      </c>
      <c r="D13" s="4">
        <v>54717855</v>
      </c>
      <c r="E13" s="5">
        <v>61.051000000000002</v>
      </c>
      <c r="F13" s="138">
        <v>642.73</v>
      </c>
      <c r="G13" s="36">
        <f t="shared" si="1"/>
        <v>600.73</v>
      </c>
      <c r="H13" s="36">
        <f t="shared" si="2"/>
        <v>38638.579229999996</v>
      </c>
      <c r="I13" s="37">
        <v>39944.86</v>
      </c>
      <c r="J13" s="37">
        <f t="shared" si="3"/>
        <v>2438673.6478599999</v>
      </c>
      <c r="K13" s="38" t="s">
        <v>16</v>
      </c>
      <c r="L13" s="2" t="s">
        <v>17</v>
      </c>
      <c r="M13" s="134"/>
      <c r="N13" s="32"/>
      <c r="O13" s="40"/>
      <c r="P13" s="40"/>
      <c r="Q13" s="40"/>
      <c r="R13" s="41"/>
    </row>
    <row r="14" spans="1:18" ht="17.25" customHeight="1">
      <c r="A14" s="32">
        <f t="shared" si="4"/>
        <v>10</v>
      </c>
      <c r="B14" s="110">
        <v>46028</v>
      </c>
      <c r="C14" s="3">
        <v>9983053</v>
      </c>
      <c r="D14" s="4">
        <v>55306492</v>
      </c>
      <c r="E14" s="5">
        <v>61.502000000000002</v>
      </c>
      <c r="F14" s="138">
        <v>642.73</v>
      </c>
      <c r="G14" s="36">
        <f t="shared" si="1"/>
        <v>600.73</v>
      </c>
      <c r="H14" s="36">
        <f t="shared" si="2"/>
        <v>38928.45046</v>
      </c>
      <c r="I14" s="37">
        <v>39944.86</v>
      </c>
      <c r="J14" s="37">
        <f t="shared" si="3"/>
        <v>2456688.77972</v>
      </c>
      <c r="K14" s="38" t="s">
        <v>16</v>
      </c>
      <c r="L14" s="2" t="s">
        <v>17</v>
      </c>
      <c r="M14" s="134"/>
      <c r="N14" s="32"/>
      <c r="O14" s="40"/>
      <c r="P14" s="40"/>
      <c r="Q14" s="40"/>
      <c r="R14" s="41"/>
    </row>
    <row r="15" spans="1:18" ht="17.25" customHeight="1">
      <c r="A15" s="32">
        <f t="shared" si="4"/>
        <v>11</v>
      </c>
      <c r="B15" s="110">
        <v>46028</v>
      </c>
      <c r="C15" s="3">
        <v>9983053</v>
      </c>
      <c r="D15" s="4">
        <v>55307342</v>
      </c>
      <c r="E15" s="5">
        <v>59.247999999999998</v>
      </c>
      <c r="F15" s="138">
        <v>642.73</v>
      </c>
      <c r="G15" s="36">
        <f t="shared" si="1"/>
        <v>600.73</v>
      </c>
      <c r="H15" s="36">
        <f t="shared" si="2"/>
        <v>37479.737039999993</v>
      </c>
      <c r="I15" s="37">
        <v>39944.86</v>
      </c>
      <c r="J15" s="37">
        <f t="shared" si="3"/>
        <v>2366653.0652799997</v>
      </c>
      <c r="K15" s="38" t="s">
        <v>16</v>
      </c>
      <c r="L15" s="2" t="s">
        <v>17</v>
      </c>
      <c r="M15" s="134"/>
      <c r="N15" s="32"/>
      <c r="O15" s="40"/>
      <c r="P15" s="40"/>
      <c r="Q15" s="40"/>
      <c r="R15" s="41"/>
    </row>
    <row r="16" spans="1:18" ht="17.25" customHeight="1">
      <c r="A16" s="32">
        <f t="shared" si="4"/>
        <v>12</v>
      </c>
      <c r="B16" s="110">
        <v>46028</v>
      </c>
      <c r="C16" s="3">
        <v>9983054</v>
      </c>
      <c r="D16" s="4">
        <v>55307391</v>
      </c>
      <c r="E16" s="5">
        <v>58.396999999999998</v>
      </c>
      <c r="F16" s="138">
        <v>642.73</v>
      </c>
      <c r="G16" s="36">
        <f t="shared" si="1"/>
        <v>600.73</v>
      </c>
      <c r="H16" s="36">
        <f t="shared" si="2"/>
        <v>36932.773809999999</v>
      </c>
      <c r="I16" s="37">
        <v>39944.86</v>
      </c>
      <c r="J16" s="37">
        <f t="shared" si="3"/>
        <v>2332659.98942</v>
      </c>
      <c r="K16" s="38" t="s">
        <v>16</v>
      </c>
      <c r="L16" s="2" t="s">
        <v>17</v>
      </c>
      <c r="M16" s="134"/>
      <c r="N16" s="32"/>
      <c r="O16" s="110">
        <v>46034</v>
      </c>
      <c r="P16" s="40">
        <v>58.582000000000001</v>
      </c>
      <c r="Q16" s="111">
        <f>P16-E16</f>
        <v>0.18500000000000227</v>
      </c>
      <c r="R16" s="41"/>
    </row>
    <row r="17" spans="1:18" ht="17.25" customHeight="1">
      <c r="A17" s="32">
        <f t="shared" si="4"/>
        <v>13</v>
      </c>
      <c r="B17" s="110">
        <v>46028</v>
      </c>
      <c r="C17" s="3">
        <v>9983053</v>
      </c>
      <c r="D17" s="4">
        <v>55714612</v>
      </c>
      <c r="E17" s="5">
        <v>59.548999999999999</v>
      </c>
      <c r="F17" s="138">
        <v>642.73</v>
      </c>
      <c r="G17" s="36">
        <f t="shared" si="1"/>
        <v>600.73</v>
      </c>
      <c r="H17" s="36">
        <f t="shared" si="2"/>
        <v>37673.198769999995</v>
      </c>
      <c r="I17" s="37">
        <v>39944.86</v>
      </c>
      <c r="J17" s="37">
        <f t="shared" si="3"/>
        <v>2378676.46814</v>
      </c>
      <c r="K17" s="38" t="s">
        <v>16</v>
      </c>
      <c r="L17" s="2" t="s">
        <v>17</v>
      </c>
      <c r="M17" s="134"/>
      <c r="N17" s="32"/>
      <c r="O17" s="40"/>
      <c r="P17" s="40"/>
      <c r="Q17" s="40"/>
      <c r="R17" s="41"/>
    </row>
    <row r="18" spans="1:18" ht="17.25" customHeight="1">
      <c r="A18" s="32">
        <f t="shared" si="4"/>
        <v>14</v>
      </c>
      <c r="B18" s="110">
        <v>46028</v>
      </c>
      <c r="C18" s="3">
        <v>9983054</v>
      </c>
      <c r="D18" s="4">
        <v>57175879</v>
      </c>
      <c r="E18" s="5">
        <v>58.697000000000003</v>
      </c>
      <c r="F18" s="138">
        <v>642.73</v>
      </c>
      <c r="G18" s="36">
        <f t="shared" si="1"/>
        <v>600.73</v>
      </c>
      <c r="H18" s="36">
        <f t="shared" si="2"/>
        <v>37125.592810000002</v>
      </c>
      <c r="I18" s="37">
        <v>39944.86</v>
      </c>
      <c r="J18" s="37">
        <f t="shared" si="3"/>
        <v>2344643.4474200001</v>
      </c>
      <c r="K18" s="38" t="s">
        <v>16</v>
      </c>
      <c r="L18" s="2" t="s">
        <v>17</v>
      </c>
      <c r="M18" s="134"/>
      <c r="N18" s="32"/>
      <c r="O18" s="110">
        <v>46034</v>
      </c>
      <c r="P18" s="40">
        <v>58.518999999999998</v>
      </c>
      <c r="Q18" s="111">
        <f>P18-E18</f>
        <v>-0.17800000000000438</v>
      </c>
      <c r="R18" s="41"/>
    </row>
    <row r="19" spans="1:18" ht="17.25" customHeight="1">
      <c r="A19" s="32">
        <f t="shared" si="4"/>
        <v>15</v>
      </c>
      <c r="B19" s="110">
        <v>46028</v>
      </c>
      <c r="C19" s="3">
        <v>9983053</v>
      </c>
      <c r="D19" s="4">
        <v>57175903</v>
      </c>
      <c r="E19" s="5">
        <v>59.749000000000002</v>
      </c>
      <c r="F19" s="138">
        <v>642.73</v>
      </c>
      <c r="G19" s="36">
        <f t="shared" si="1"/>
        <v>600.73</v>
      </c>
      <c r="H19" s="36">
        <f t="shared" si="2"/>
        <v>37801.744769999998</v>
      </c>
      <c r="I19" s="37">
        <v>39944.86</v>
      </c>
      <c r="J19" s="37">
        <f t="shared" si="3"/>
        <v>2386665.4401400001</v>
      </c>
      <c r="K19" s="38" t="s">
        <v>16</v>
      </c>
      <c r="L19" s="2" t="s">
        <v>17</v>
      </c>
      <c r="M19" s="134"/>
      <c r="N19" s="32"/>
      <c r="O19" s="40"/>
      <c r="P19" s="40"/>
      <c r="Q19" s="40"/>
      <c r="R19" s="41"/>
    </row>
    <row r="20" spans="1:18" ht="17.25" customHeight="1">
      <c r="A20" s="32">
        <f t="shared" si="4"/>
        <v>16</v>
      </c>
      <c r="B20" s="110">
        <v>46028</v>
      </c>
      <c r="C20" s="3">
        <v>9983054</v>
      </c>
      <c r="D20" s="4">
        <v>57214488</v>
      </c>
      <c r="E20" s="5">
        <v>59.899000000000001</v>
      </c>
      <c r="F20" s="138">
        <v>642.73</v>
      </c>
      <c r="G20" s="36">
        <f t="shared" si="1"/>
        <v>600.73</v>
      </c>
      <c r="H20" s="36">
        <f t="shared" si="2"/>
        <v>37898.154269999999</v>
      </c>
      <c r="I20" s="37">
        <v>39944.86</v>
      </c>
      <c r="J20" s="37">
        <f t="shared" si="3"/>
        <v>2392657.1691399999</v>
      </c>
      <c r="K20" s="38" t="s">
        <v>16</v>
      </c>
      <c r="L20" s="2" t="s">
        <v>17</v>
      </c>
      <c r="M20" s="134"/>
      <c r="N20" s="32"/>
      <c r="O20" s="110">
        <v>46034</v>
      </c>
      <c r="P20" s="111">
        <v>59.58</v>
      </c>
      <c r="Q20" s="111">
        <f>P20-E20</f>
        <v>-0.31900000000000261</v>
      </c>
      <c r="R20" s="41"/>
    </row>
    <row r="21" spans="1:18" ht="17.25" customHeight="1">
      <c r="A21" s="32">
        <f t="shared" si="4"/>
        <v>17</v>
      </c>
      <c r="B21" s="110">
        <v>46028</v>
      </c>
      <c r="C21" s="3">
        <v>9983054</v>
      </c>
      <c r="D21" s="4">
        <v>57368920</v>
      </c>
      <c r="E21" s="5">
        <v>59.548999999999999</v>
      </c>
      <c r="F21" s="138">
        <v>642.73</v>
      </c>
      <c r="G21" s="36">
        <f t="shared" si="1"/>
        <v>600.73</v>
      </c>
      <c r="H21" s="36">
        <f t="shared" si="2"/>
        <v>37673.198769999995</v>
      </c>
      <c r="I21" s="37">
        <v>39944.86</v>
      </c>
      <c r="J21" s="37">
        <f t="shared" si="3"/>
        <v>2378676.46814</v>
      </c>
      <c r="K21" s="38" t="s">
        <v>16</v>
      </c>
      <c r="L21" s="2" t="s">
        <v>17</v>
      </c>
      <c r="M21" s="134"/>
      <c r="N21" s="32"/>
      <c r="O21" s="40"/>
      <c r="P21" s="40"/>
      <c r="Q21" s="40"/>
      <c r="R21" s="41"/>
    </row>
    <row r="22" spans="1:18" ht="17.25" customHeight="1">
      <c r="A22" s="32">
        <f t="shared" si="4"/>
        <v>18</v>
      </c>
      <c r="B22" s="110">
        <v>46028</v>
      </c>
      <c r="C22" s="3">
        <v>9983053</v>
      </c>
      <c r="D22" s="4">
        <v>57376790</v>
      </c>
      <c r="E22" s="5">
        <v>51.234999999999999</v>
      </c>
      <c r="F22" s="138">
        <v>642.73</v>
      </c>
      <c r="G22" s="36">
        <f t="shared" si="1"/>
        <v>600.73</v>
      </c>
      <c r="H22" s="36">
        <f t="shared" si="2"/>
        <v>32329.541549999998</v>
      </c>
      <c r="I22" s="37">
        <v>39944.86</v>
      </c>
      <c r="J22" s="37">
        <f t="shared" si="3"/>
        <v>2046574.9021000001</v>
      </c>
      <c r="K22" s="38" t="s">
        <v>16</v>
      </c>
      <c r="L22" s="2" t="s">
        <v>17</v>
      </c>
      <c r="M22" s="134"/>
      <c r="N22" s="32"/>
      <c r="O22" s="110">
        <v>46035</v>
      </c>
      <c r="P22" s="40">
        <v>50.366999999999997</v>
      </c>
      <c r="Q22" s="111">
        <f>P22-E22</f>
        <v>-0.8680000000000021</v>
      </c>
      <c r="R22" s="41"/>
    </row>
    <row r="23" spans="1:18" ht="17.25" customHeight="1">
      <c r="A23" s="32">
        <f t="shared" si="4"/>
        <v>19</v>
      </c>
      <c r="B23" s="110">
        <v>46028</v>
      </c>
      <c r="C23" s="3">
        <v>9983054</v>
      </c>
      <c r="D23" s="4">
        <v>57444291</v>
      </c>
      <c r="E23" s="5">
        <v>58.847000000000001</v>
      </c>
      <c r="F23" s="138">
        <v>642.73</v>
      </c>
      <c r="G23" s="36">
        <f t="shared" si="1"/>
        <v>600.73</v>
      </c>
      <c r="H23" s="36">
        <f t="shared" si="2"/>
        <v>37222.002309999996</v>
      </c>
      <c r="I23" s="37">
        <v>39944.86</v>
      </c>
      <c r="J23" s="37">
        <f t="shared" si="3"/>
        <v>2350635.1764199999</v>
      </c>
      <c r="K23" s="38" t="s">
        <v>16</v>
      </c>
      <c r="L23" s="2" t="s">
        <v>17</v>
      </c>
      <c r="M23" s="134"/>
      <c r="N23" s="32"/>
      <c r="O23" s="110">
        <v>46034</v>
      </c>
      <c r="P23" s="40">
        <v>59.273000000000003</v>
      </c>
      <c r="Q23" s="111">
        <f>P23-E23</f>
        <v>0.42600000000000193</v>
      </c>
      <c r="R23" s="41"/>
    </row>
    <row r="24" spans="1:18" ht="17.25" customHeight="1">
      <c r="A24" s="32">
        <f t="shared" si="4"/>
        <v>20</v>
      </c>
      <c r="B24" s="110">
        <v>46028</v>
      </c>
      <c r="C24" s="3">
        <v>9983053</v>
      </c>
      <c r="D24" s="4">
        <v>57661449</v>
      </c>
      <c r="E24" s="5">
        <v>59.198</v>
      </c>
      <c r="F24" s="138">
        <v>642.73</v>
      </c>
      <c r="G24" s="36">
        <f t="shared" si="1"/>
        <v>600.73</v>
      </c>
      <c r="H24" s="36">
        <f t="shared" si="2"/>
        <v>37447.600539999999</v>
      </c>
      <c r="I24" s="37">
        <v>39944.86</v>
      </c>
      <c r="J24" s="37">
        <f t="shared" si="3"/>
        <v>2364655.82228</v>
      </c>
      <c r="K24" s="38" t="s">
        <v>16</v>
      </c>
      <c r="L24" s="2" t="s">
        <v>17</v>
      </c>
      <c r="M24" s="134"/>
      <c r="N24" s="32"/>
      <c r="O24" s="40"/>
      <c r="P24" s="40"/>
      <c r="Q24" s="40"/>
      <c r="R24" s="41"/>
    </row>
    <row r="25" spans="1:18" ht="17.25" customHeight="1">
      <c r="A25" s="32">
        <f t="shared" si="4"/>
        <v>21</v>
      </c>
      <c r="B25" s="110">
        <v>46028</v>
      </c>
      <c r="C25" s="3">
        <v>9983053</v>
      </c>
      <c r="D25" s="4">
        <v>58348855</v>
      </c>
      <c r="E25" s="5">
        <v>61.802</v>
      </c>
      <c r="F25" s="138">
        <v>642.73</v>
      </c>
      <c r="G25" s="36">
        <f t="shared" si="1"/>
        <v>600.73</v>
      </c>
      <c r="H25" s="36">
        <f t="shared" si="2"/>
        <v>39121.269459999996</v>
      </c>
      <c r="I25" s="37">
        <v>39944.86</v>
      </c>
      <c r="J25" s="37">
        <f t="shared" si="3"/>
        <v>2468672.2377200001</v>
      </c>
      <c r="K25" s="38" t="s">
        <v>16</v>
      </c>
      <c r="L25" s="2" t="s">
        <v>17</v>
      </c>
      <c r="M25" s="134"/>
      <c r="N25" s="32"/>
      <c r="O25" s="40"/>
      <c r="P25" s="40"/>
      <c r="Q25" s="40"/>
      <c r="R25" s="41"/>
    </row>
    <row r="26" spans="1:18" ht="17.25" customHeight="1">
      <c r="A26" s="32">
        <f t="shared" si="4"/>
        <v>22</v>
      </c>
      <c r="B26" s="110">
        <v>46028</v>
      </c>
      <c r="C26" s="3">
        <v>9983054</v>
      </c>
      <c r="D26" s="4">
        <v>58645748</v>
      </c>
      <c r="E26" s="5">
        <v>58.546999999999997</v>
      </c>
      <c r="F26" s="138">
        <v>642.73</v>
      </c>
      <c r="G26" s="36">
        <f t="shared" si="1"/>
        <v>600.73</v>
      </c>
      <c r="H26" s="36">
        <f t="shared" si="2"/>
        <v>37029.183309999993</v>
      </c>
      <c r="I26" s="37">
        <v>39944.86</v>
      </c>
      <c r="J26" s="37">
        <f t="shared" si="3"/>
        <v>2338651.7184199998</v>
      </c>
      <c r="K26" s="38" t="s">
        <v>16</v>
      </c>
      <c r="L26" s="2" t="s">
        <v>17</v>
      </c>
      <c r="M26" s="134"/>
      <c r="N26" s="32"/>
      <c r="O26" s="110">
        <v>46034</v>
      </c>
      <c r="P26" s="40">
        <v>58.832000000000001</v>
      </c>
      <c r="Q26" s="111">
        <f t="shared" ref="Q26:Q32" si="5">P26-E26</f>
        <v>0.28500000000000369</v>
      </c>
      <c r="R26" s="41"/>
    </row>
    <row r="27" spans="1:18" ht="17.25" customHeight="1">
      <c r="A27" s="32">
        <f t="shared" si="4"/>
        <v>23</v>
      </c>
      <c r="B27" s="110">
        <v>46028</v>
      </c>
      <c r="C27" s="3">
        <v>9983054</v>
      </c>
      <c r="D27" s="4">
        <v>74939349</v>
      </c>
      <c r="E27" s="5">
        <v>59.497999999999998</v>
      </c>
      <c r="F27" s="138">
        <v>642.73</v>
      </c>
      <c r="G27" s="36">
        <f t="shared" si="1"/>
        <v>600.73</v>
      </c>
      <c r="H27" s="36">
        <f t="shared" si="2"/>
        <v>37640.419539999995</v>
      </c>
      <c r="I27" s="37">
        <v>39944.86</v>
      </c>
      <c r="J27" s="37">
        <f t="shared" si="3"/>
        <v>2376639.2802800001</v>
      </c>
      <c r="K27" s="38" t="s">
        <v>16</v>
      </c>
      <c r="L27" s="2" t="s">
        <v>17</v>
      </c>
      <c r="M27" s="134"/>
      <c r="N27" s="32"/>
      <c r="O27" s="110">
        <v>46034</v>
      </c>
      <c r="P27" s="40">
        <v>59.905000000000001</v>
      </c>
      <c r="Q27" s="111">
        <f t="shared" si="5"/>
        <v>0.40700000000000358</v>
      </c>
      <c r="R27" s="41"/>
    </row>
    <row r="28" spans="1:18" ht="17.25" customHeight="1">
      <c r="A28" s="32">
        <f t="shared" si="4"/>
        <v>24</v>
      </c>
      <c r="B28" s="110">
        <v>46028</v>
      </c>
      <c r="C28" s="3">
        <v>9983054</v>
      </c>
      <c r="D28" s="4">
        <v>74951047</v>
      </c>
      <c r="E28" s="5">
        <v>59.848999999999997</v>
      </c>
      <c r="F28" s="138">
        <v>642.73</v>
      </c>
      <c r="G28" s="36">
        <f t="shared" si="1"/>
        <v>600.73</v>
      </c>
      <c r="H28" s="36">
        <f t="shared" si="2"/>
        <v>37866.017769999999</v>
      </c>
      <c r="I28" s="37">
        <v>39944.86</v>
      </c>
      <c r="J28" s="37">
        <f t="shared" si="3"/>
        <v>2390659.9261400001</v>
      </c>
      <c r="K28" s="38" t="s">
        <v>16</v>
      </c>
      <c r="L28" s="2" t="s">
        <v>17</v>
      </c>
      <c r="M28" s="134"/>
      <c r="N28" s="32"/>
      <c r="O28" s="110">
        <v>46034</v>
      </c>
      <c r="P28" s="111">
        <v>59.35</v>
      </c>
      <c r="Q28" s="111">
        <f t="shared" si="5"/>
        <v>-0.49899999999999523</v>
      </c>
      <c r="R28" s="41"/>
    </row>
    <row r="29" spans="1:18" ht="17.25" customHeight="1">
      <c r="A29" s="32">
        <f t="shared" si="4"/>
        <v>25</v>
      </c>
      <c r="B29" s="110">
        <v>46028</v>
      </c>
      <c r="C29" s="3">
        <v>9983054</v>
      </c>
      <c r="D29" s="4">
        <v>74999558</v>
      </c>
      <c r="E29" s="5">
        <v>59.497999999999998</v>
      </c>
      <c r="F29" s="138">
        <v>642.73</v>
      </c>
      <c r="G29" s="36">
        <f t="shared" si="1"/>
        <v>600.73</v>
      </c>
      <c r="H29" s="36">
        <f t="shared" si="2"/>
        <v>37640.419539999995</v>
      </c>
      <c r="I29" s="37">
        <v>39944.86</v>
      </c>
      <c r="J29" s="37">
        <f t="shared" si="3"/>
        <v>2376639.2802800001</v>
      </c>
      <c r="K29" s="38" t="s">
        <v>16</v>
      </c>
      <c r="L29" s="2" t="s">
        <v>17</v>
      </c>
      <c r="M29" s="134"/>
      <c r="N29" s="32"/>
      <c r="O29" s="110">
        <v>46034</v>
      </c>
      <c r="P29" s="40">
        <v>59.337000000000003</v>
      </c>
      <c r="Q29" s="111">
        <f t="shared" si="5"/>
        <v>-0.16099999999999426</v>
      </c>
      <c r="R29" s="41"/>
    </row>
    <row r="30" spans="1:18" ht="17.25" customHeight="1">
      <c r="A30" s="32">
        <f t="shared" si="4"/>
        <v>26</v>
      </c>
      <c r="B30" s="110">
        <v>46028</v>
      </c>
      <c r="C30" s="3">
        <v>9983054</v>
      </c>
      <c r="D30" s="4">
        <v>75004143</v>
      </c>
      <c r="E30" s="5">
        <v>59.999000000000002</v>
      </c>
      <c r="F30" s="138">
        <v>642.73</v>
      </c>
      <c r="G30" s="36">
        <f t="shared" si="1"/>
        <v>600.73</v>
      </c>
      <c r="H30" s="36">
        <f t="shared" si="2"/>
        <v>37962.42727</v>
      </c>
      <c r="I30" s="37">
        <v>39944.86</v>
      </c>
      <c r="J30" s="37">
        <f t="shared" si="3"/>
        <v>2396651.6551399999</v>
      </c>
      <c r="K30" s="38" t="s">
        <v>16</v>
      </c>
      <c r="L30" s="2" t="s">
        <v>17</v>
      </c>
      <c r="M30" s="134"/>
      <c r="N30" s="32"/>
      <c r="O30" s="110">
        <v>46034</v>
      </c>
      <c r="P30" s="40">
        <v>59.234999999999999</v>
      </c>
      <c r="Q30" s="111">
        <f t="shared" si="5"/>
        <v>-0.7640000000000029</v>
      </c>
      <c r="R30" s="41"/>
    </row>
    <row r="31" spans="1:18" ht="17.25" customHeight="1">
      <c r="A31" s="32">
        <f t="shared" si="4"/>
        <v>27</v>
      </c>
      <c r="B31" s="110">
        <v>46028</v>
      </c>
      <c r="C31" s="3">
        <v>9983054</v>
      </c>
      <c r="D31" s="4">
        <v>75021006</v>
      </c>
      <c r="E31" s="5">
        <v>58.497</v>
      </c>
      <c r="F31" s="138">
        <v>642.73</v>
      </c>
      <c r="G31" s="36">
        <f t="shared" si="1"/>
        <v>600.73</v>
      </c>
      <c r="H31" s="36">
        <f t="shared" si="2"/>
        <v>36997.04681</v>
      </c>
      <c r="I31" s="37">
        <v>39944.86</v>
      </c>
      <c r="J31" s="37">
        <f t="shared" si="3"/>
        <v>2336654.47542</v>
      </c>
      <c r="K31" s="38" t="s">
        <v>16</v>
      </c>
      <c r="L31" s="2" t="s">
        <v>17</v>
      </c>
      <c r="M31" s="134"/>
      <c r="N31" s="32"/>
      <c r="O31" s="110">
        <v>46034</v>
      </c>
      <c r="P31" s="40">
        <v>58.023000000000003</v>
      </c>
      <c r="Q31" s="111">
        <f t="shared" si="5"/>
        <v>-0.47399999999999665</v>
      </c>
      <c r="R31" s="41"/>
    </row>
    <row r="32" spans="1:18" ht="17.25" customHeight="1">
      <c r="A32" s="32">
        <f t="shared" si="4"/>
        <v>28</v>
      </c>
      <c r="B32" s="110">
        <v>46028</v>
      </c>
      <c r="C32" s="3">
        <v>9983052</v>
      </c>
      <c r="D32" s="4">
        <v>75674895</v>
      </c>
      <c r="E32" s="5">
        <v>58.497</v>
      </c>
      <c r="F32" s="138">
        <v>642.73</v>
      </c>
      <c r="G32" s="36">
        <f t="shared" si="1"/>
        <v>600.73</v>
      </c>
      <c r="H32" s="36">
        <f t="shared" si="2"/>
        <v>36997.04681</v>
      </c>
      <c r="I32" s="37">
        <v>39944.86</v>
      </c>
      <c r="J32" s="37">
        <f t="shared" si="3"/>
        <v>2336654.47542</v>
      </c>
      <c r="K32" s="38" t="s">
        <v>16</v>
      </c>
      <c r="L32" s="2" t="s">
        <v>17</v>
      </c>
      <c r="M32" s="134"/>
      <c r="N32" s="32"/>
      <c r="O32" s="110">
        <v>46035</v>
      </c>
      <c r="P32" s="40">
        <v>58.722999999999999</v>
      </c>
      <c r="Q32" s="40">
        <f t="shared" si="5"/>
        <v>0.22599999999999909</v>
      </c>
      <c r="R32" s="41"/>
    </row>
    <row r="33" spans="1:18" ht="17.25" customHeight="1" thickBot="1">
      <c r="A33" s="42">
        <f t="shared" si="4"/>
        <v>29</v>
      </c>
      <c r="B33" s="137">
        <v>46028</v>
      </c>
      <c r="C33" s="107">
        <v>9983052</v>
      </c>
      <c r="D33" s="108">
        <v>75675199</v>
      </c>
      <c r="E33" s="109">
        <v>59.398000000000003</v>
      </c>
      <c r="F33" s="138">
        <v>642.73</v>
      </c>
      <c r="G33" s="36">
        <f t="shared" si="1"/>
        <v>600.73</v>
      </c>
      <c r="H33" s="46">
        <f t="shared" si="2"/>
        <v>37576.146540000002</v>
      </c>
      <c r="I33" s="37">
        <v>39944.86</v>
      </c>
      <c r="J33" s="47">
        <f t="shared" si="3"/>
        <v>2372644.79428</v>
      </c>
      <c r="K33" s="48" t="s">
        <v>16</v>
      </c>
      <c r="L33" s="2" t="s">
        <v>17</v>
      </c>
      <c r="M33" s="135"/>
      <c r="N33" s="42"/>
      <c r="O33" s="137">
        <v>46035</v>
      </c>
      <c r="P33" s="49">
        <v>59.802</v>
      </c>
      <c r="Q33" s="216">
        <f>P33-E33</f>
        <v>0.40399999999999636</v>
      </c>
      <c r="R33" s="50"/>
    </row>
    <row r="34" spans="1:18" ht="14.4" thickBot="1">
      <c r="A34" s="116"/>
      <c r="B34" s="117"/>
      <c r="C34" s="117"/>
      <c r="D34" s="117"/>
      <c r="E34" s="118">
        <f>SUM(E5:E33)</f>
        <v>1708.1760000000002</v>
      </c>
      <c r="F34" s="117"/>
      <c r="G34" s="117"/>
      <c r="H34" s="159">
        <f>SUM(H5:H33)</f>
        <v>1080474.79048</v>
      </c>
      <c r="I34" s="117"/>
      <c r="J34" s="139">
        <f>SUM(J5:J33)</f>
        <v>68232851.175359994</v>
      </c>
      <c r="K34" s="117"/>
      <c r="L34" s="123"/>
      <c r="M34" s="125"/>
      <c r="N34" s="124"/>
      <c r="O34" s="117"/>
      <c r="P34" s="117"/>
      <c r="Q34" s="117"/>
      <c r="R34" s="119"/>
    </row>
    <row r="35" spans="1:18" ht="15" thickBot="1">
      <c r="A35" s="120">
        <v>30</v>
      </c>
      <c r="B35" s="121">
        <v>46030</v>
      </c>
      <c r="C35" s="84">
        <v>9983065</v>
      </c>
      <c r="D35" s="85">
        <v>76814854</v>
      </c>
      <c r="E35" s="86">
        <v>58.847000000000001</v>
      </c>
      <c r="F35" s="138">
        <v>642.73</v>
      </c>
      <c r="G35" s="93">
        <f>F35-42</f>
        <v>600.73</v>
      </c>
      <c r="H35" s="93">
        <f>E35*F35-G35</f>
        <v>37222.002309999996</v>
      </c>
      <c r="I35" s="37">
        <v>39944.86</v>
      </c>
      <c r="J35" s="94">
        <f t="shared" ref="J35" si="6">E35*I35</f>
        <v>2350635.1764199999</v>
      </c>
      <c r="K35" s="95" t="s">
        <v>16</v>
      </c>
      <c r="L35" s="2" t="s">
        <v>17</v>
      </c>
      <c r="M35" s="126"/>
      <c r="N35" s="127"/>
      <c r="O35" s="174">
        <v>46041</v>
      </c>
      <c r="P35" s="128">
        <v>58.756</v>
      </c>
      <c r="Q35" s="175">
        <f>P35-E35</f>
        <v>-9.100000000000108E-2</v>
      </c>
      <c r="R35" s="129"/>
    </row>
    <row r="36" spans="1:18" ht="14.4" thickBot="1">
      <c r="A36" s="116"/>
      <c r="B36" s="117"/>
      <c r="C36" s="117"/>
      <c r="D36" s="117"/>
      <c r="E36" s="122">
        <f>E35</f>
        <v>58.847000000000001</v>
      </c>
      <c r="F36" s="117"/>
      <c r="G36" s="117"/>
      <c r="H36" s="159">
        <f>H35</f>
        <v>37222.002309999996</v>
      </c>
      <c r="I36" s="117"/>
      <c r="J36" s="139">
        <f>J35</f>
        <v>2350635.1764199999</v>
      </c>
      <c r="K36" s="117"/>
      <c r="L36" s="123"/>
      <c r="M36" s="125"/>
      <c r="N36" s="124"/>
      <c r="O36" s="117"/>
      <c r="P36" s="176">
        <f>P35</f>
        <v>58.756</v>
      </c>
      <c r="Q36" s="122">
        <f>Q35</f>
        <v>-9.100000000000108E-2</v>
      </c>
      <c r="R36" s="119"/>
    </row>
    <row r="37" spans="1:18" ht="14.4">
      <c r="A37" s="64">
        <v>31</v>
      </c>
      <c r="B37" s="87">
        <v>46037</v>
      </c>
      <c r="C37" s="104">
        <v>9983127</v>
      </c>
      <c r="D37" s="105">
        <v>50774306</v>
      </c>
      <c r="E37" s="106">
        <v>51.238999999999997</v>
      </c>
      <c r="F37" s="138">
        <v>642.73</v>
      </c>
      <c r="G37" s="93">
        <f>F37-42</f>
        <v>600.73</v>
      </c>
      <c r="H37" s="93">
        <f t="shared" ref="H37:H62" si="7">E37*F37-G37</f>
        <v>32332.112469999996</v>
      </c>
      <c r="I37" s="37">
        <v>39944.86</v>
      </c>
      <c r="J37" s="94">
        <f t="shared" ref="J37:J62" si="8">E37*I37</f>
        <v>2046734.68154</v>
      </c>
      <c r="K37" s="95" t="s">
        <v>16</v>
      </c>
      <c r="L37" s="164" t="s">
        <v>17</v>
      </c>
      <c r="M37" s="161"/>
      <c r="N37" s="64"/>
      <c r="O37" s="65"/>
      <c r="P37" s="65"/>
      <c r="Q37" s="65"/>
      <c r="R37" s="66"/>
    </row>
    <row r="38" spans="1:18" ht="14.4">
      <c r="A38" s="67">
        <f>A37+1</f>
        <v>32</v>
      </c>
      <c r="B38" s="61">
        <v>46037</v>
      </c>
      <c r="C38" s="3">
        <v>9983127</v>
      </c>
      <c r="D38" s="4">
        <v>50786912</v>
      </c>
      <c r="E38" s="5">
        <v>53.042999999999999</v>
      </c>
      <c r="F38" s="138">
        <v>642.73</v>
      </c>
      <c r="G38" s="36">
        <f>F38-42</f>
        <v>600.73</v>
      </c>
      <c r="H38" s="36">
        <f t="shared" si="7"/>
        <v>33491.597389999995</v>
      </c>
      <c r="I38" s="37">
        <v>39944.86</v>
      </c>
      <c r="J38" s="37">
        <f t="shared" si="8"/>
        <v>2118795.2089800001</v>
      </c>
      <c r="K38" s="38" t="s">
        <v>16</v>
      </c>
      <c r="L38" s="165" t="s">
        <v>17</v>
      </c>
      <c r="M38" s="162"/>
      <c r="N38" s="67"/>
      <c r="O38" s="54"/>
      <c r="P38" s="54"/>
      <c r="Q38" s="54"/>
      <c r="R38" s="68"/>
    </row>
    <row r="39" spans="1:18" ht="14.4">
      <c r="A39" s="67">
        <f>A38+1</f>
        <v>33</v>
      </c>
      <c r="B39" s="61">
        <v>46037</v>
      </c>
      <c r="C39" s="3">
        <v>9983127</v>
      </c>
      <c r="D39" s="4">
        <v>50960202</v>
      </c>
      <c r="E39" s="5">
        <v>60.606000000000002</v>
      </c>
      <c r="F39" s="138">
        <v>642.73</v>
      </c>
      <c r="G39" s="36">
        <f t="shared" ref="G39:G62" si="9">F39-42</f>
        <v>600.73</v>
      </c>
      <c r="H39" s="36">
        <f t="shared" si="7"/>
        <v>38352.564379999996</v>
      </c>
      <c r="I39" s="37">
        <v>39944.86</v>
      </c>
      <c r="J39" s="37">
        <f t="shared" si="8"/>
        <v>2420898.1851599999</v>
      </c>
      <c r="K39" s="38" t="s">
        <v>16</v>
      </c>
      <c r="L39" s="165" t="s">
        <v>17</v>
      </c>
      <c r="M39" s="162"/>
      <c r="N39" s="67"/>
      <c r="O39" s="54"/>
      <c r="P39" s="54"/>
      <c r="Q39" s="54"/>
      <c r="R39" s="68"/>
    </row>
    <row r="40" spans="1:18" ht="14.4">
      <c r="A40" s="67">
        <f>A52+1</f>
        <v>36</v>
      </c>
      <c r="B40" s="61">
        <v>46037</v>
      </c>
      <c r="C40" s="3">
        <v>9983127</v>
      </c>
      <c r="D40" s="4">
        <v>51231827</v>
      </c>
      <c r="E40" s="5">
        <v>60.956000000000003</v>
      </c>
      <c r="F40" s="138">
        <v>642.73</v>
      </c>
      <c r="G40" s="36">
        <f t="shared" si="9"/>
        <v>600.73</v>
      </c>
      <c r="H40" s="36">
        <f t="shared" si="7"/>
        <v>38577.51988</v>
      </c>
      <c r="I40" s="37">
        <v>39944.86</v>
      </c>
      <c r="J40" s="37">
        <f t="shared" si="8"/>
        <v>2434878.8861600002</v>
      </c>
      <c r="K40" s="38" t="s">
        <v>16</v>
      </c>
      <c r="L40" s="165" t="s">
        <v>17</v>
      </c>
      <c r="M40" s="162"/>
      <c r="N40" s="67"/>
      <c r="O40" s="54"/>
      <c r="P40" s="54"/>
      <c r="Q40" s="54"/>
      <c r="R40" s="68"/>
    </row>
    <row r="41" spans="1:18" ht="14.4">
      <c r="A41" s="67">
        <f>A40+1</f>
        <v>37</v>
      </c>
      <c r="B41" s="61">
        <v>46037</v>
      </c>
      <c r="C41" s="3">
        <v>9983127</v>
      </c>
      <c r="D41" s="4">
        <v>51303246</v>
      </c>
      <c r="E41" s="5">
        <v>52.841999999999999</v>
      </c>
      <c r="F41" s="138">
        <v>642.73</v>
      </c>
      <c r="G41" s="36">
        <f t="shared" si="9"/>
        <v>600.73</v>
      </c>
      <c r="H41" s="36">
        <f t="shared" si="7"/>
        <v>33362.408659999994</v>
      </c>
      <c r="I41" s="37">
        <v>39944.86</v>
      </c>
      <c r="J41" s="37">
        <f t="shared" si="8"/>
        <v>2110766.2921199999</v>
      </c>
      <c r="K41" s="38" t="s">
        <v>16</v>
      </c>
      <c r="L41" s="165" t="s">
        <v>17</v>
      </c>
      <c r="M41" s="162"/>
      <c r="N41" s="67"/>
      <c r="O41" s="54"/>
      <c r="P41" s="54"/>
      <c r="Q41" s="54"/>
      <c r="R41" s="68"/>
    </row>
    <row r="42" spans="1:18" ht="14.4">
      <c r="A42" s="67">
        <f>A53+1</f>
        <v>39</v>
      </c>
      <c r="B42" s="61">
        <v>46037</v>
      </c>
      <c r="C42" s="3">
        <v>9983127</v>
      </c>
      <c r="D42" s="4">
        <v>51895191</v>
      </c>
      <c r="E42" s="5">
        <v>60.506</v>
      </c>
      <c r="F42" s="138">
        <v>642.73</v>
      </c>
      <c r="G42" s="36">
        <f t="shared" si="9"/>
        <v>600.73</v>
      </c>
      <c r="H42" s="36">
        <f t="shared" si="7"/>
        <v>38288.291379999995</v>
      </c>
      <c r="I42" s="37">
        <v>39944.86</v>
      </c>
      <c r="J42" s="37">
        <f t="shared" si="8"/>
        <v>2416903.6991599998</v>
      </c>
      <c r="K42" s="38" t="s">
        <v>16</v>
      </c>
      <c r="L42" s="165" t="s">
        <v>17</v>
      </c>
      <c r="M42" s="162"/>
      <c r="N42" s="67"/>
      <c r="O42" s="54"/>
      <c r="P42" s="54"/>
      <c r="Q42" s="54"/>
      <c r="R42" s="68"/>
    </row>
    <row r="43" spans="1:18" ht="14.4">
      <c r="A43" s="67">
        <f>A42+1</f>
        <v>40</v>
      </c>
      <c r="B43" s="61">
        <v>46037</v>
      </c>
      <c r="C43" s="3">
        <v>9983127</v>
      </c>
      <c r="D43" s="4">
        <v>53945887</v>
      </c>
      <c r="E43" s="5">
        <v>50.137999999999998</v>
      </c>
      <c r="F43" s="138">
        <v>642.73</v>
      </c>
      <c r="G43" s="36">
        <f t="shared" si="9"/>
        <v>600.73</v>
      </c>
      <c r="H43" s="36">
        <f t="shared" si="7"/>
        <v>31624.46674</v>
      </c>
      <c r="I43" s="37">
        <v>39944.86</v>
      </c>
      <c r="J43" s="37">
        <f t="shared" si="8"/>
        <v>2002755.39068</v>
      </c>
      <c r="K43" s="38" t="s">
        <v>16</v>
      </c>
      <c r="L43" s="165" t="s">
        <v>17</v>
      </c>
      <c r="M43" s="162"/>
      <c r="N43" s="67"/>
      <c r="O43" s="54"/>
      <c r="P43" s="54"/>
      <c r="Q43" s="54"/>
      <c r="R43" s="68"/>
    </row>
    <row r="44" spans="1:18" ht="14.4">
      <c r="A44" s="67">
        <f>A43+1</f>
        <v>41</v>
      </c>
      <c r="B44" s="61">
        <v>46037</v>
      </c>
      <c r="C44" s="3">
        <v>9983127</v>
      </c>
      <c r="D44" s="4">
        <v>54027289</v>
      </c>
      <c r="E44" s="5">
        <v>59.404000000000003</v>
      </c>
      <c r="F44" s="138">
        <v>642.73</v>
      </c>
      <c r="G44" s="36">
        <f t="shared" si="9"/>
        <v>600.73</v>
      </c>
      <c r="H44" s="36">
        <f t="shared" si="7"/>
        <v>37580.002919999999</v>
      </c>
      <c r="I44" s="37">
        <v>39944.86</v>
      </c>
      <c r="J44" s="37">
        <f t="shared" si="8"/>
        <v>2372884.4634400001</v>
      </c>
      <c r="K44" s="38" t="s">
        <v>16</v>
      </c>
      <c r="L44" s="165" t="s">
        <v>17</v>
      </c>
      <c r="M44" s="162"/>
      <c r="N44" s="67"/>
      <c r="O44" s="54"/>
      <c r="P44" s="54"/>
      <c r="Q44" s="54"/>
      <c r="R44" s="68"/>
    </row>
    <row r="45" spans="1:18" ht="14.4">
      <c r="A45" s="67">
        <f>A44+1</f>
        <v>42</v>
      </c>
      <c r="B45" s="61">
        <v>46037</v>
      </c>
      <c r="C45" s="3">
        <v>9983127</v>
      </c>
      <c r="D45" s="4">
        <v>54246947</v>
      </c>
      <c r="E45" s="5">
        <v>60.155000000000001</v>
      </c>
      <c r="F45" s="138">
        <v>642.73</v>
      </c>
      <c r="G45" s="36">
        <f t="shared" si="9"/>
        <v>600.73</v>
      </c>
      <c r="H45" s="36">
        <f t="shared" si="7"/>
        <v>38062.693149999999</v>
      </c>
      <c r="I45" s="37">
        <v>39944.86</v>
      </c>
      <c r="J45" s="37">
        <f t="shared" si="8"/>
        <v>2402883.0533000003</v>
      </c>
      <c r="K45" s="38" t="s">
        <v>16</v>
      </c>
      <c r="L45" s="165" t="s">
        <v>17</v>
      </c>
      <c r="M45" s="162"/>
      <c r="N45" s="67"/>
      <c r="O45" s="54"/>
      <c r="P45" s="54"/>
      <c r="Q45" s="54"/>
      <c r="R45" s="68"/>
    </row>
    <row r="46" spans="1:18" ht="14.4">
      <c r="A46" s="67">
        <f>A55+1</f>
        <v>45</v>
      </c>
      <c r="B46" s="61">
        <v>46037</v>
      </c>
      <c r="C46" s="3">
        <v>9983127</v>
      </c>
      <c r="D46" s="4">
        <v>54663364</v>
      </c>
      <c r="E46" s="5">
        <v>59.704000000000001</v>
      </c>
      <c r="F46" s="138">
        <v>642.73</v>
      </c>
      <c r="G46" s="36">
        <f t="shared" si="9"/>
        <v>600.73</v>
      </c>
      <c r="H46" s="36">
        <f t="shared" si="7"/>
        <v>37772.821919999995</v>
      </c>
      <c r="I46" s="37">
        <v>39944.86</v>
      </c>
      <c r="J46" s="37">
        <f t="shared" si="8"/>
        <v>2384867.9214400002</v>
      </c>
      <c r="K46" s="38" t="s">
        <v>16</v>
      </c>
      <c r="L46" s="165" t="s">
        <v>17</v>
      </c>
      <c r="M46" s="162"/>
      <c r="N46" s="67"/>
      <c r="O46" s="54"/>
      <c r="P46" s="54"/>
      <c r="Q46" s="54"/>
      <c r="R46" s="68"/>
    </row>
    <row r="47" spans="1:18" ht="14.4">
      <c r="A47" s="67">
        <f>A46+1</f>
        <v>46</v>
      </c>
      <c r="B47" s="61">
        <v>46037</v>
      </c>
      <c r="C47" s="3">
        <v>9983127</v>
      </c>
      <c r="D47" s="4">
        <v>54663596</v>
      </c>
      <c r="E47" s="5">
        <v>60.956000000000003</v>
      </c>
      <c r="F47" s="138">
        <v>642.73</v>
      </c>
      <c r="G47" s="36">
        <f t="shared" si="9"/>
        <v>600.73</v>
      </c>
      <c r="H47" s="36">
        <f t="shared" si="7"/>
        <v>38577.51988</v>
      </c>
      <c r="I47" s="37">
        <v>39944.86</v>
      </c>
      <c r="J47" s="37">
        <f>E47*I47</f>
        <v>2434878.8861600002</v>
      </c>
      <c r="K47" s="38" t="s">
        <v>16</v>
      </c>
      <c r="L47" s="165" t="s">
        <v>17</v>
      </c>
      <c r="M47" s="162"/>
      <c r="N47" s="67"/>
      <c r="O47" s="54"/>
      <c r="P47" s="54"/>
      <c r="Q47" s="54"/>
      <c r="R47" s="68"/>
    </row>
    <row r="48" spans="1:18" ht="14.4">
      <c r="A48" s="67">
        <f>A57+1</f>
        <v>49</v>
      </c>
      <c r="B48" s="61">
        <v>46037</v>
      </c>
      <c r="C48" s="3">
        <v>9983127</v>
      </c>
      <c r="D48" s="4">
        <v>57129678</v>
      </c>
      <c r="E48" s="5">
        <v>58.953000000000003</v>
      </c>
      <c r="F48" s="138">
        <v>642.73</v>
      </c>
      <c r="G48" s="36">
        <f t="shared" si="9"/>
        <v>600.73</v>
      </c>
      <c r="H48" s="36">
        <f t="shared" si="7"/>
        <v>37290.131690000002</v>
      </c>
      <c r="I48" s="37">
        <v>39944.86</v>
      </c>
      <c r="J48" s="37">
        <f t="shared" si="8"/>
        <v>2354869.33158</v>
      </c>
      <c r="K48" s="38" t="s">
        <v>16</v>
      </c>
      <c r="L48" s="165" t="s">
        <v>17</v>
      </c>
      <c r="M48" s="162"/>
      <c r="N48" s="67"/>
      <c r="O48" s="54"/>
      <c r="P48" s="54"/>
      <c r="Q48" s="54"/>
      <c r="R48" s="68"/>
    </row>
    <row r="49" spans="1:18" ht="14.4">
      <c r="A49" s="67">
        <f>A48+1</f>
        <v>50</v>
      </c>
      <c r="B49" s="61">
        <v>46037</v>
      </c>
      <c r="C49" s="3">
        <v>9983127</v>
      </c>
      <c r="D49" s="4">
        <v>57135246</v>
      </c>
      <c r="E49" s="5">
        <v>60.104999999999997</v>
      </c>
      <c r="F49" s="138">
        <v>642.73</v>
      </c>
      <c r="G49" s="36">
        <f t="shared" si="9"/>
        <v>600.73</v>
      </c>
      <c r="H49" s="36">
        <f t="shared" si="7"/>
        <v>38030.556649999999</v>
      </c>
      <c r="I49" s="37">
        <v>39944.86</v>
      </c>
      <c r="J49" s="37">
        <f t="shared" si="8"/>
        <v>2400885.8103</v>
      </c>
      <c r="K49" s="38" t="s">
        <v>16</v>
      </c>
      <c r="L49" s="165" t="s">
        <v>17</v>
      </c>
      <c r="M49" s="162"/>
      <c r="N49" s="67"/>
      <c r="O49" s="54"/>
      <c r="P49" s="54"/>
      <c r="Q49" s="54"/>
      <c r="R49" s="68"/>
    </row>
    <row r="50" spans="1:18" ht="14.4">
      <c r="A50" s="67">
        <v>31</v>
      </c>
      <c r="B50" s="61">
        <v>46037</v>
      </c>
      <c r="C50" s="3">
        <v>9983128</v>
      </c>
      <c r="D50" s="4">
        <v>50215649</v>
      </c>
      <c r="E50" s="5">
        <v>60.905999999999999</v>
      </c>
      <c r="F50" s="138">
        <v>642.73</v>
      </c>
      <c r="G50" s="36">
        <f t="shared" si="9"/>
        <v>600.73</v>
      </c>
      <c r="H50" s="36">
        <f t="shared" si="7"/>
        <v>38545.383379999999</v>
      </c>
      <c r="I50" s="37">
        <v>39944.86</v>
      </c>
      <c r="J50" s="37">
        <f t="shared" si="8"/>
        <v>2432881.64316</v>
      </c>
      <c r="K50" s="38" t="s">
        <v>16</v>
      </c>
      <c r="L50" s="165" t="s">
        <v>17</v>
      </c>
      <c r="M50" s="162"/>
      <c r="N50" s="67"/>
      <c r="O50" s="54"/>
      <c r="P50" s="54"/>
      <c r="Q50" s="54"/>
      <c r="R50" s="68"/>
    </row>
    <row r="51" spans="1:18" ht="14.4">
      <c r="A51" s="67">
        <f>A39+1</f>
        <v>34</v>
      </c>
      <c r="B51" s="61">
        <v>46037</v>
      </c>
      <c r="C51" s="3">
        <v>9983128</v>
      </c>
      <c r="D51" s="4">
        <v>50960491</v>
      </c>
      <c r="E51" s="5">
        <v>59.753999999999998</v>
      </c>
      <c r="F51" s="138">
        <v>642.73</v>
      </c>
      <c r="G51" s="36">
        <f t="shared" si="9"/>
        <v>600.73</v>
      </c>
      <c r="H51" s="36">
        <f t="shared" si="7"/>
        <v>37804.958419999995</v>
      </c>
      <c r="I51" s="37">
        <v>39944.86</v>
      </c>
      <c r="J51" s="37">
        <f t="shared" si="8"/>
        <v>2386865.16444</v>
      </c>
      <c r="K51" s="38" t="s">
        <v>16</v>
      </c>
      <c r="L51" s="165" t="s">
        <v>17</v>
      </c>
      <c r="M51" s="162"/>
      <c r="N51" s="67"/>
      <c r="O51" s="54"/>
      <c r="P51" s="54"/>
      <c r="Q51" s="54"/>
      <c r="R51" s="68"/>
    </row>
    <row r="52" spans="1:18" ht="14.4">
      <c r="A52" s="67">
        <f t="shared" ref="A52:A62" si="10">A51+1</f>
        <v>35</v>
      </c>
      <c r="B52" s="61">
        <v>46037</v>
      </c>
      <c r="C52" s="3">
        <v>9983128</v>
      </c>
      <c r="D52" s="4">
        <v>51227387</v>
      </c>
      <c r="E52" s="5">
        <v>60.706000000000003</v>
      </c>
      <c r="F52" s="138">
        <v>642.73</v>
      </c>
      <c r="G52" s="36">
        <f t="shared" si="9"/>
        <v>600.73</v>
      </c>
      <c r="H52" s="36">
        <f t="shared" si="7"/>
        <v>38416.837379999997</v>
      </c>
      <c r="I52" s="37">
        <v>39944.86</v>
      </c>
      <c r="J52" s="37">
        <f t="shared" si="8"/>
        <v>2424892.6711600004</v>
      </c>
      <c r="K52" s="38" t="s">
        <v>16</v>
      </c>
      <c r="L52" s="165" t="s">
        <v>17</v>
      </c>
      <c r="M52" s="162"/>
      <c r="N52" s="67"/>
      <c r="O52" s="54"/>
      <c r="P52" s="54"/>
      <c r="Q52" s="54"/>
      <c r="R52" s="68"/>
    </row>
    <row r="53" spans="1:18" ht="14.4">
      <c r="A53" s="67">
        <f>A41+1</f>
        <v>38</v>
      </c>
      <c r="B53" s="61">
        <v>46037</v>
      </c>
      <c r="C53" s="3">
        <v>9983128</v>
      </c>
      <c r="D53" s="4">
        <v>51689529</v>
      </c>
      <c r="E53" s="5">
        <v>59.503999999999998</v>
      </c>
      <c r="F53" s="138">
        <v>642.73</v>
      </c>
      <c r="G53" s="36">
        <f t="shared" si="9"/>
        <v>600.73</v>
      </c>
      <c r="H53" s="36">
        <f t="shared" si="7"/>
        <v>37644.27592</v>
      </c>
      <c r="I53" s="37">
        <v>39944.86</v>
      </c>
      <c r="J53" s="37">
        <f t="shared" si="8"/>
        <v>2376878.9494400001</v>
      </c>
      <c r="K53" s="38" t="s">
        <v>16</v>
      </c>
      <c r="L53" s="165" t="s">
        <v>17</v>
      </c>
      <c r="M53" s="162"/>
      <c r="N53" s="67"/>
      <c r="O53" s="54"/>
      <c r="P53" s="54"/>
      <c r="Q53" s="54"/>
      <c r="R53" s="68"/>
    </row>
    <row r="54" spans="1:18" ht="14.4">
      <c r="A54" s="67">
        <f>A45+1</f>
        <v>43</v>
      </c>
      <c r="B54" s="61">
        <v>46037</v>
      </c>
      <c r="C54" s="3">
        <v>9983128</v>
      </c>
      <c r="D54" s="4">
        <v>54247127</v>
      </c>
      <c r="E54" s="5">
        <v>59.905000000000001</v>
      </c>
      <c r="F54" s="138">
        <v>642.73</v>
      </c>
      <c r="G54" s="36">
        <f t="shared" si="9"/>
        <v>600.73</v>
      </c>
      <c r="H54" s="36">
        <f t="shared" si="7"/>
        <v>37902.010649999997</v>
      </c>
      <c r="I54" s="37">
        <v>39944.86</v>
      </c>
      <c r="J54" s="37">
        <f t="shared" si="8"/>
        <v>2392896.8382999999</v>
      </c>
      <c r="K54" s="38" t="s">
        <v>16</v>
      </c>
      <c r="L54" s="165" t="s">
        <v>17</v>
      </c>
      <c r="M54" s="162"/>
      <c r="N54" s="67"/>
      <c r="O54" s="54"/>
      <c r="P54" s="54"/>
      <c r="Q54" s="54"/>
      <c r="R54" s="68"/>
    </row>
    <row r="55" spans="1:18" ht="14.4">
      <c r="A55" s="67">
        <f t="shared" si="10"/>
        <v>44</v>
      </c>
      <c r="B55" s="61">
        <v>46037</v>
      </c>
      <c r="C55" s="3">
        <v>9983128</v>
      </c>
      <c r="D55" s="4">
        <v>54247242</v>
      </c>
      <c r="E55" s="5">
        <v>60.155000000000001</v>
      </c>
      <c r="F55" s="138">
        <v>642.73</v>
      </c>
      <c r="G55" s="36">
        <f t="shared" si="9"/>
        <v>600.73</v>
      </c>
      <c r="H55" s="36">
        <f t="shared" si="7"/>
        <v>38062.693149999999</v>
      </c>
      <c r="I55" s="37">
        <v>39944.86</v>
      </c>
      <c r="J55" s="37">
        <f t="shared" si="8"/>
        <v>2402883.0533000003</v>
      </c>
      <c r="K55" s="38" t="s">
        <v>16</v>
      </c>
      <c r="L55" s="165" t="s">
        <v>17</v>
      </c>
      <c r="M55" s="162"/>
      <c r="N55" s="67"/>
      <c r="O55" s="54"/>
      <c r="P55" s="54"/>
      <c r="Q55" s="54"/>
      <c r="R55" s="68"/>
    </row>
    <row r="56" spans="1:18" ht="14.4">
      <c r="A56" s="67">
        <f>A47+1</f>
        <v>47</v>
      </c>
      <c r="B56" s="61">
        <v>46037</v>
      </c>
      <c r="C56" s="3">
        <v>9983128</v>
      </c>
      <c r="D56" s="4">
        <v>54718671</v>
      </c>
      <c r="E56" s="5">
        <v>60.555999999999997</v>
      </c>
      <c r="F56" s="138">
        <v>642.73</v>
      </c>
      <c r="G56" s="36">
        <f t="shared" si="9"/>
        <v>600.73</v>
      </c>
      <c r="H56" s="36">
        <f t="shared" si="7"/>
        <v>38320.427879999996</v>
      </c>
      <c r="I56" s="37">
        <v>39944.86</v>
      </c>
      <c r="J56" s="37">
        <f t="shared" si="8"/>
        <v>2418900.9421600001</v>
      </c>
      <c r="K56" s="38" t="s">
        <v>16</v>
      </c>
      <c r="L56" s="165" t="s">
        <v>17</v>
      </c>
      <c r="M56" s="162"/>
      <c r="N56" s="67"/>
      <c r="O56" s="54"/>
      <c r="P56" s="54"/>
      <c r="Q56" s="54"/>
      <c r="R56" s="68"/>
    </row>
    <row r="57" spans="1:18" ht="14.4">
      <c r="A57" s="67">
        <f t="shared" si="10"/>
        <v>48</v>
      </c>
      <c r="B57" s="61">
        <v>46037</v>
      </c>
      <c r="C57" s="3">
        <v>9983128</v>
      </c>
      <c r="D57" s="4">
        <v>57097479</v>
      </c>
      <c r="E57" s="5">
        <v>59.954999999999998</v>
      </c>
      <c r="F57" s="138">
        <v>642.73</v>
      </c>
      <c r="G57" s="36">
        <f t="shared" si="9"/>
        <v>600.73</v>
      </c>
      <c r="H57" s="36">
        <f t="shared" si="7"/>
        <v>37934.147149999997</v>
      </c>
      <c r="I57" s="37">
        <v>39944.86</v>
      </c>
      <c r="J57" s="37">
        <f t="shared" si="8"/>
        <v>2394894.0813000002</v>
      </c>
      <c r="K57" s="38" t="s">
        <v>16</v>
      </c>
      <c r="L57" s="165" t="s">
        <v>17</v>
      </c>
      <c r="M57" s="162"/>
      <c r="N57" s="67"/>
      <c r="O57" s="54"/>
      <c r="P57" s="54"/>
      <c r="Q57" s="54"/>
      <c r="R57" s="68"/>
    </row>
    <row r="58" spans="1:18" ht="14.4">
      <c r="A58" s="67">
        <f>A49+1</f>
        <v>51</v>
      </c>
      <c r="B58" s="61">
        <v>46037</v>
      </c>
      <c r="C58" s="3">
        <v>9983128</v>
      </c>
      <c r="D58" s="4">
        <v>57217176</v>
      </c>
      <c r="E58" s="5">
        <v>60.305</v>
      </c>
      <c r="F58" s="138">
        <v>642.73</v>
      </c>
      <c r="G58" s="36">
        <f t="shared" si="9"/>
        <v>600.73</v>
      </c>
      <c r="H58" s="36">
        <f t="shared" si="7"/>
        <v>38159.102650000001</v>
      </c>
      <c r="I58" s="37">
        <v>39944.86</v>
      </c>
      <c r="J58" s="37">
        <f t="shared" si="8"/>
        <v>2408874.7823000001</v>
      </c>
      <c r="K58" s="38" t="s">
        <v>16</v>
      </c>
      <c r="L58" s="165" t="s">
        <v>17</v>
      </c>
      <c r="M58" s="162"/>
      <c r="N58" s="67"/>
      <c r="O58" s="54"/>
      <c r="P58" s="54"/>
      <c r="Q58" s="54"/>
      <c r="R58" s="68"/>
    </row>
    <row r="59" spans="1:18" ht="14.4">
      <c r="A59" s="67">
        <f t="shared" si="10"/>
        <v>52</v>
      </c>
      <c r="B59" s="61">
        <v>46037</v>
      </c>
      <c r="C59" s="3">
        <v>9983128</v>
      </c>
      <c r="D59" s="4">
        <v>57375396</v>
      </c>
      <c r="E59" s="5">
        <v>52.993000000000002</v>
      </c>
      <c r="F59" s="138">
        <v>642.73</v>
      </c>
      <c r="G59" s="36">
        <f t="shared" si="9"/>
        <v>600.73</v>
      </c>
      <c r="H59" s="36">
        <f t="shared" si="7"/>
        <v>33459.460890000002</v>
      </c>
      <c r="I59" s="37">
        <v>39944.86</v>
      </c>
      <c r="J59" s="37">
        <f t="shared" si="8"/>
        <v>2116797.9659800003</v>
      </c>
      <c r="K59" s="38" t="s">
        <v>16</v>
      </c>
      <c r="L59" s="165" t="s">
        <v>17</v>
      </c>
      <c r="M59" s="162"/>
      <c r="N59" s="67"/>
      <c r="O59" s="54"/>
      <c r="P59" s="54"/>
      <c r="Q59" s="54"/>
      <c r="R59" s="68"/>
    </row>
    <row r="60" spans="1:18" ht="14.4">
      <c r="A60" s="67">
        <f t="shared" si="10"/>
        <v>53</v>
      </c>
      <c r="B60" s="61">
        <v>46037</v>
      </c>
      <c r="C60" s="3">
        <v>9983128</v>
      </c>
      <c r="D60" s="4">
        <v>74908682</v>
      </c>
      <c r="E60" s="5">
        <v>60.956000000000003</v>
      </c>
      <c r="F60" s="138">
        <v>642.73</v>
      </c>
      <c r="G60" s="36">
        <f t="shared" si="9"/>
        <v>600.73</v>
      </c>
      <c r="H60" s="36">
        <f t="shared" si="7"/>
        <v>38577.51988</v>
      </c>
      <c r="I60" s="37">
        <v>39944.86</v>
      </c>
      <c r="J60" s="37">
        <f t="shared" si="8"/>
        <v>2434878.8861600002</v>
      </c>
      <c r="K60" s="38" t="s">
        <v>16</v>
      </c>
      <c r="L60" s="165" t="s">
        <v>17</v>
      </c>
      <c r="M60" s="162"/>
      <c r="N60" s="67"/>
      <c r="O60" s="54"/>
      <c r="P60" s="54"/>
      <c r="Q60" s="54"/>
      <c r="R60" s="68"/>
    </row>
    <row r="61" spans="1:18" ht="14.4">
      <c r="A61" s="67">
        <f t="shared" si="10"/>
        <v>54</v>
      </c>
      <c r="B61" s="61">
        <v>46037</v>
      </c>
      <c r="C61" s="3">
        <v>9983128</v>
      </c>
      <c r="D61" s="4">
        <v>75047423</v>
      </c>
      <c r="E61" s="5">
        <v>58.502000000000002</v>
      </c>
      <c r="F61" s="138">
        <v>642.73</v>
      </c>
      <c r="G61" s="36">
        <f t="shared" si="9"/>
        <v>600.73</v>
      </c>
      <c r="H61" s="36">
        <f t="shared" si="7"/>
        <v>37000.260459999998</v>
      </c>
      <c r="I61" s="37">
        <v>39944.86</v>
      </c>
      <c r="J61" s="37">
        <f t="shared" si="8"/>
        <v>2336854.1997199999</v>
      </c>
      <c r="K61" s="38" t="s">
        <v>16</v>
      </c>
      <c r="L61" s="165" t="s">
        <v>17</v>
      </c>
      <c r="M61" s="162"/>
      <c r="N61" s="67"/>
      <c r="O61" s="54"/>
      <c r="P61" s="54"/>
      <c r="Q61" s="54"/>
      <c r="R61" s="68"/>
    </row>
    <row r="62" spans="1:18" ht="15" thickBot="1">
      <c r="A62" s="88">
        <f t="shared" si="10"/>
        <v>55</v>
      </c>
      <c r="B62" s="90">
        <v>46037</v>
      </c>
      <c r="C62" s="84">
        <v>9983128</v>
      </c>
      <c r="D62" s="85">
        <v>75055889</v>
      </c>
      <c r="E62" s="86">
        <v>60.405999999999999</v>
      </c>
      <c r="F62" s="138">
        <v>642.73</v>
      </c>
      <c r="G62" s="36">
        <f t="shared" si="9"/>
        <v>600.73</v>
      </c>
      <c r="H62" s="56">
        <f t="shared" si="7"/>
        <v>38224.018379999994</v>
      </c>
      <c r="I62" s="37">
        <v>39944.86</v>
      </c>
      <c r="J62" s="57">
        <f t="shared" si="8"/>
        <v>2412909.2131599998</v>
      </c>
      <c r="K62" s="58" t="s">
        <v>16</v>
      </c>
      <c r="L62" s="172" t="s">
        <v>17</v>
      </c>
      <c r="M62" s="163"/>
      <c r="N62" s="69"/>
      <c r="O62" s="70"/>
      <c r="P62" s="70"/>
      <c r="Q62" s="70"/>
      <c r="R62" s="71"/>
    </row>
    <row r="63" spans="1:18" ht="14.4" thickBot="1">
      <c r="A63" s="116"/>
      <c r="B63" s="117"/>
      <c r="C63" s="117"/>
      <c r="D63" s="117"/>
      <c r="E63" s="118">
        <f>SUM(E37:E62)</f>
        <v>1523.2099999999998</v>
      </c>
      <c r="F63" s="117"/>
      <c r="G63" s="117"/>
      <c r="H63" s="159">
        <f>SUM(H37:H62)</f>
        <v>963393.78330000001</v>
      </c>
      <c r="I63" s="117"/>
      <c r="J63" s="139">
        <f>SUM(J37:J62)</f>
        <v>60844410.200600013</v>
      </c>
      <c r="K63" s="117"/>
      <c r="L63" s="119"/>
      <c r="M63" s="168"/>
      <c r="N63" s="116"/>
      <c r="O63" s="117"/>
      <c r="P63" s="117"/>
      <c r="Q63" s="117"/>
      <c r="R63" s="119"/>
    </row>
    <row r="64" spans="1:18" ht="14.4">
      <c r="A64" s="78">
        <v>56</v>
      </c>
      <c r="B64" s="72">
        <v>46038</v>
      </c>
      <c r="C64" s="81">
        <v>9983148</v>
      </c>
      <c r="D64" s="82">
        <v>50214501</v>
      </c>
      <c r="E64" s="83">
        <v>57.05</v>
      </c>
      <c r="F64" s="138">
        <v>642.73</v>
      </c>
      <c r="G64" s="73">
        <f>F64-42</f>
        <v>600.73</v>
      </c>
      <c r="H64" s="73">
        <f t="shared" ref="H64:H72" si="11">E64*F64-G64</f>
        <v>36067.016499999998</v>
      </c>
      <c r="I64" s="37">
        <v>39944.86</v>
      </c>
      <c r="J64" s="74">
        <f t="shared" ref="J64:J72" si="12">E64*I64</f>
        <v>2278854.2629999998</v>
      </c>
      <c r="K64" s="75" t="s">
        <v>16</v>
      </c>
      <c r="L64" s="165" t="s">
        <v>17</v>
      </c>
      <c r="M64" s="102"/>
      <c r="N64" s="78"/>
      <c r="O64" s="72">
        <v>46046</v>
      </c>
      <c r="P64" s="60">
        <v>56.491</v>
      </c>
      <c r="Q64" s="113">
        <f t="shared" ref="Q64:Q76" si="13">P64-E64</f>
        <v>-0.5589999999999975</v>
      </c>
      <c r="R64" s="79"/>
    </row>
    <row r="65" spans="1:18" ht="14.4">
      <c r="A65" s="67">
        <f>A64+1</f>
        <v>57</v>
      </c>
      <c r="B65" s="61">
        <v>46038</v>
      </c>
      <c r="C65" s="3">
        <v>9983148</v>
      </c>
      <c r="D65" s="4">
        <v>51102960</v>
      </c>
      <c r="E65" s="5">
        <v>58.252000000000002</v>
      </c>
      <c r="F65" s="138">
        <v>642.73</v>
      </c>
      <c r="G65" s="36">
        <f>F65-42</f>
        <v>600.73</v>
      </c>
      <c r="H65" s="36">
        <f t="shared" si="11"/>
        <v>36839.577960000002</v>
      </c>
      <c r="I65" s="37">
        <v>39944.86</v>
      </c>
      <c r="J65" s="37">
        <f t="shared" si="12"/>
        <v>2326867.9847200001</v>
      </c>
      <c r="K65" s="38" t="s">
        <v>16</v>
      </c>
      <c r="L65" s="165" t="s">
        <v>17</v>
      </c>
      <c r="M65" s="62"/>
      <c r="N65" s="67"/>
      <c r="O65" s="61">
        <v>46046</v>
      </c>
      <c r="P65" s="54">
        <v>58.04</v>
      </c>
      <c r="Q65" s="114">
        <f t="shared" si="13"/>
        <v>-0.2120000000000033</v>
      </c>
      <c r="R65" s="68"/>
    </row>
    <row r="66" spans="1:18" ht="14.4">
      <c r="A66" s="67">
        <f t="shared" ref="A66:A72" si="14">A65+1</f>
        <v>58</v>
      </c>
      <c r="B66" s="61">
        <v>46038</v>
      </c>
      <c r="C66" s="3">
        <v>9983148</v>
      </c>
      <c r="D66" s="4">
        <v>51487684</v>
      </c>
      <c r="E66" s="5">
        <v>57.1</v>
      </c>
      <c r="F66" s="138">
        <v>642.73</v>
      </c>
      <c r="G66" s="36">
        <f t="shared" ref="G66:G72" si="15">F66-42</f>
        <v>600.73</v>
      </c>
      <c r="H66" s="36">
        <f t="shared" si="11"/>
        <v>36099.152999999998</v>
      </c>
      <c r="I66" s="37">
        <v>39944.86</v>
      </c>
      <c r="J66" s="37">
        <f t="shared" si="12"/>
        <v>2280851.5060000001</v>
      </c>
      <c r="K66" s="38" t="s">
        <v>16</v>
      </c>
      <c r="L66" s="165" t="s">
        <v>17</v>
      </c>
      <c r="M66" s="62"/>
      <c r="N66" s="67"/>
      <c r="O66" s="61">
        <v>46046</v>
      </c>
      <c r="P66" s="54">
        <v>57.076999999999998</v>
      </c>
      <c r="Q66" s="114">
        <f t="shared" si="13"/>
        <v>-2.300000000000324E-2</v>
      </c>
      <c r="R66" s="68"/>
    </row>
    <row r="67" spans="1:18" ht="14.4">
      <c r="A67" s="67">
        <f t="shared" si="14"/>
        <v>59</v>
      </c>
      <c r="B67" s="61">
        <v>46038</v>
      </c>
      <c r="C67" s="3">
        <v>9983148</v>
      </c>
      <c r="D67" s="4">
        <v>54243886</v>
      </c>
      <c r="E67" s="5">
        <v>58.002000000000002</v>
      </c>
      <c r="F67" s="138">
        <v>642.73</v>
      </c>
      <c r="G67" s="36">
        <f t="shared" si="15"/>
        <v>600.73</v>
      </c>
      <c r="H67" s="36">
        <f t="shared" si="11"/>
        <v>36678.89546</v>
      </c>
      <c r="I67" s="37">
        <v>39944.86</v>
      </c>
      <c r="J67" s="37">
        <f t="shared" si="12"/>
        <v>2316881.7697200002</v>
      </c>
      <c r="K67" s="38" t="s">
        <v>16</v>
      </c>
      <c r="L67" s="165" t="s">
        <v>17</v>
      </c>
      <c r="M67" s="62"/>
      <c r="N67" s="67"/>
      <c r="O67" s="61">
        <v>46046</v>
      </c>
      <c r="P67" s="54">
        <v>57.451000000000001</v>
      </c>
      <c r="Q67" s="114">
        <f t="shared" si="13"/>
        <v>-0.55100000000000193</v>
      </c>
      <c r="R67" s="68"/>
    </row>
    <row r="68" spans="1:18" ht="14.4">
      <c r="A68" s="67">
        <f t="shared" si="14"/>
        <v>60</v>
      </c>
      <c r="B68" s="61">
        <v>46038</v>
      </c>
      <c r="C68" s="3">
        <v>9983148</v>
      </c>
      <c r="D68" s="4">
        <v>54245410</v>
      </c>
      <c r="E68" s="5">
        <v>59.755000000000003</v>
      </c>
      <c r="F68" s="138">
        <v>642.73</v>
      </c>
      <c r="G68" s="36">
        <f t="shared" si="15"/>
        <v>600.73</v>
      </c>
      <c r="H68" s="36">
        <f t="shared" si="11"/>
        <v>37805.601150000002</v>
      </c>
      <c r="I68" s="37">
        <v>39944.86</v>
      </c>
      <c r="J68" s="37">
        <f t="shared" si="12"/>
        <v>2386905.1093000001</v>
      </c>
      <c r="K68" s="38" t="s">
        <v>16</v>
      </c>
      <c r="L68" s="165" t="s">
        <v>17</v>
      </c>
      <c r="M68" s="62"/>
      <c r="N68" s="67"/>
      <c r="O68" s="61">
        <v>46046</v>
      </c>
      <c r="P68" s="54">
        <v>59.38</v>
      </c>
      <c r="Q68" s="114">
        <f t="shared" si="13"/>
        <v>-0.375</v>
      </c>
      <c r="R68" s="68"/>
    </row>
    <row r="69" spans="1:18" ht="14.4">
      <c r="A69" s="67">
        <f t="shared" si="14"/>
        <v>61</v>
      </c>
      <c r="B69" s="61">
        <v>46038</v>
      </c>
      <c r="C69" s="3">
        <v>9983148</v>
      </c>
      <c r="D69" s="4">
        <v>54246749</v>
      </c>
      <c r="E69" s="5">
        <v>57.850999999999999</v>
      </c>
      <c r="F69" s="138">
        <v>642.73</v>
      </c>
      <c r="G69" s="36">
        <f t="shared" si="15"/>
        <v>600.73</v>
      </c>
      <c r="H69" s="36">
        <f t="shared" si="11"/>
        <v>36581.843229999999</v>
      </c>
      <c r="I69" s="37">
        <v>39944.86</v>
      </c>
      <c r="J69" s="37">
        <f t="shared" si="12"/>
        <v>2310850.0958599998</v>
      </c>
      <c r="K69" s="38" t="s">
        <v>16</v>
      </c>
      <c r="L69" s="165" t="s">
        <v>17</v>
      </c>
      <c r="M69" s="62"/>
      <c r="N69" s="67"/>
      <c r="O69" s="61">
        <v>46046</v>
      </c>
      <c r="P69" s="54">
        <v>57.029000000000003</v>
      </c>
      <c r="Q69" s="114">
        <f t="shared" si="13"/>
        <v>-0.82199999999999562</v>
      </c>
      <c r="R69" s="68"/>
    </row>
    <row r="70" spans="1:18" ht="14.4">
      <c r="A70" s="67">
        <f t="shared" si="14"/>
        <v>62</v>
      </c>
      <c r="B70" s="61">
        <v>46038</v>
      </c>
      <c r="C70" s="3">
        <v>9983148</v>
      </c>
      <c r="D70" s="4">
        <v>57399602</v>
      </c>
      <c r="E70" s="5">
        <v>57.25</v>
      </c>
      <c r="F70" s="138">
        <v>642.73</v>
      </c>
      <c r="G70" s="36">
        <f t="shared" si="15"/>
        <v>600.73</v>
      </c>
      <c r="H70" s="36">
        <f t="shared" si="11"/>
        <v>36195.5625</v>
      </c>
      <c r="I70" s="37">
        <v>39944.86</v>
      </c>
      <c r="J70" s="37">
        <f t="shared" si="12"/>
        <v>2286843.2349999999</v>
      </c>
      <c r="K70" s="38" t="s">
        <v>16</v>
      </c>
      <c r="L70" s="165" t="s">
        <v>17</v>
      </c>
      <c r="M70" s="62"/>
      <c r="N70" s="67"/>
      <c r="O70" s="61">
        <v>46046</v>
      </c>
      <c r="P70" s="54">
        <v>57.046999999999997</v>
      </c>
      <c r="Q70" s="114">
        <f t="shared" si="13"/>
        <v>-0.20300000000000296</v>
      </c>
      <c r="R70" s="68"/>
    </row>
    <row r="71" spans="1:18" ht="14.4">
      <c r="A71" s="67">
        <f t="shared" si="14"/>
        <v>63</v>
      </c>
      <c r="B71" s="61">
        <v>46038</v>
      </c>
      <c r="C71" s="3">
        <v>9983148</v>
      </c>
      <c r="D71" s="4">
        <v>57933889</v>
      </c>
      <c r="E71" s="5">
        <v>56.698999999999998</v>
      </c>
      <c r="F71" s="138">
        <v>642.73</v>
      </c>
      <c r="G71" s="36">
        <f t="shared" si="15"/>
        <v>600.73</v>
      </c>
      <c r="H71" s="36">
        <f t="shared" si="11"/>
        <v>35841.418269999995</v>
      </c>
      <c r="I71" s="37">
        <v>39944.86</v>
      </c>
      <c r="J71" s="37">
        <f t="shared" si="12"/>
        <v>2264833.6171399998</v>
      </c>
      <c r="K71" s="38" t="s">
        <v>16</v>
      </c>
      <c r="L71" s="165" t="s">
        <v>17</v>
      </c>
      <c r="M71" s="62"/>
      <c r="N71" s="67"/>
      <c r="O71" s="61">
        <v>46046</v>
      </c>
      <c r="P71" s="54">
        <v>56.213999999999999</v>
      </c>
      <c r="Q71" s="54">
        <f t="shared" si="13"/>
        <v>-0.48499999999999943</v>
      </c>
      <c r="R71" s="68"/>
    </row>
    <row r="72" spans="1:18" ht="15" thickBot="1">
      <c r="A72" s="88">
        <f t="shared" si="14"/>
        <v>64</v>
      </c>
      <c r="B72" s="90">
        <v>46038</v>
      </c>
      <c r="C72" s="84">
        <v>9983148</v>
      </c>
      <c r="D72" s="85">
        <v>58348848</v>
      </c>
      <c r="E72" s="86">
        <v>58.351999999999997</v>
      </c>
      <c r="F72" s="138">
        <v>642.73</v>
      </c>
      <c r="G72" s="36">
        <f t="shared" si="15"/>
        <v>600.73</v>
      </c>
      <c r="H72" s="56">
        <f t="shared" si="11"/>
        <v>36903.850959999996</v>
      </c>
      <c r="I72" s="37">
        <v>39944.86</v>
      </c>
      <c r="J72" s="57">
        <f t="shared" si="12"/>
        <v>2330862.4707200001</v>
      </c>
      <c r="K72" s="58" t="s">
        <v>16</v>
      </c>
      <c r="L72" s="172" t="s">
        <v>17</v>
      </c>
      <c r="M72" s="103"/>
      <c r="N72" s="69"/>
      <c r="O72" s="112">
        <v>46046</v>
      </c>
      <c r="P72" s="70">
        <v>57.866</v>
      </c>
      <c r="Q72" s="115">
        <f t="shared" si="13"/>
        <v>-0.4859999999999971</v>
      </c>
      <c r="R72" s="71"/>
    </row>
    <row r="73" spans="1:18" ht="14.4" thickBot="1">
      <c r="A73" s="116"/>
      <c r="B73" s="117"/>
      <c r="C73" s="117"/>
      <c r="D73" s="117"/>
      <c r="E73" s="118">
        <f>SUM(E64:E72)</f>
        <v>520.31100000000004</v>
      </c>
      <c r="F73" s="117"/>
      <c r="G73" s="117"/>
      <c r="H73" s="159">
        <f>SUM(H64:H72)</f>
        <v>329012.91902999999</v>
      </c>
      <c r="I73" s="117"/>
      <c r="J73" s="139">
        <f>SUM(J64:J72)</f>
        <v>20783750.051459998</v>
      </c>
      <c r="K73" s="117"/>
      <c r="L73" s="119"/>
      <c r="M73" s="168"/>
      <c r="N73" s="169"/>
      <c r="O73" s="167"/>
      <c r="P73" s="178">
        <f>SUM(P64:P72)</f>
        <v>516.59500000000003</v>
      </c>
      <c r="Q73" s="179">
        <f>SUM(Q64:Q72)</f>
        <v>-3.7160000000000011</v>
      </c>
      <c r="R73" s="170"/>
    </row>
    <row r="74" spans="1:18" ht="14.4">
      <c r="A74" s="78">
        <v>65</v>
      </c>
      <c r="B74" s="72">
        <v>46039</v>
      </c>
      <c r="C74" s="81">
        <v>9983157</v>
      </c>
      <c r="D74" s="82">
        <v>54046461</v>
      </c>
      <c r="E74" s="83">
        <v>60.908000000000001</v>
      </c>
      <c r="F74" s="138">
        <v>642.73</v>
      </c>
      <c r="G74" s="73">
        <f>F74-42</f>
        <v>600.73</v>
      </c>
      <c r="H74" s="73">
        <f t="shared" ref="H74:H76" si="16">E74*F74-G74</f>
        <v>38546.668839999998</v>
      </c>
      <c r="I74" s="37">
        <v>39944.86</v>
      </c>
      <c r="J74" s="74">
        <f t="shared" ref="J74:J76" si="17">E74*I74</f>
        <v>2432961.5328800003</v>
      </c>
      <c r="K74" s="75" t="s">
        <v>16</v>
      </c>
      <c r="L74" s="165" t="s">
        <v>17</v>
      </c>
      <c r="M74" s="102"/>
      <c r="N74" s="64"/>
      <c r="O74" s="87">
        <v>46050</v>
      </c>
      <c r="P74" s="65">
        <v>60.707000000000001</v>
      </c>
      <c r="Q74" s="54">
        <f t="shared" si="13"/>
        <v>-0.20100000000000051</v>
      </c>
      <c r="R74" s="66"/>
    </row>
    <row r="75" spans="1:18" ht="14.4">
      <c r="A75" s="67">
        <f>A74+1</f>
        <v>66</v>
      </c>
      <c r="B75" s="61">
        <v>46039</v>
      </c>
      <c r="C75" s="3">
        <v>9983157</v>
      </c>
      <c r="D75" s="4">
        <v>54720743</v>
      </c>
      <c r="E75" s="5">
        <v>60.106000000000002</v>
      </c>
      <c r="F75" s="138">
        <v>642.73</v>
      </c>
      <c r="G75" s="73">
        <f t="shared" ref="G75:G76" si="18">F75-42</f>
        <v>600.73</v>
      </c>
      <c r="H75" s="36">
        <f t="shared" si="16"/>
        <v>38031.199379999998</v>
      </c>
      <c r="I75" s="37">
        <v>39944.86</v>
      </c>
      <c r="J75" s="37">
        <f t="shared" si="17"/>
        <v>2400925.7551600002</v>
      </c>
      <c r="K75" s="38" t="s">
        <v>16</v>
      </c>
      <c r="L75" s="165" t="s">
        <v>17</v>
      </c>
      <c r="M75" s="62"/>
      <c r="N75" s="67"/>
      <c r="O75" s="72">
        <v>46050</v>
      </c>
      <c r="P75" s="54">
        <v>60.39</v>
      </c>
      <c r="Q75" s="54">
        <f t="shared" si="13"/>
        <v>0.28399999999999892</v>
      </c>
      <c r="R75" s="68"/>
    </row>
    <row r="76" spans="1:18" ht="15" thickBot="1">
      <c r="A76" s="69">
        <f>A75+1</f>
        <v>67</v>
      </c>
      <c r="B76" s="112">
        <v>46039</v>
      </c>
      <c r="C76" s="107">
        <v>9983157</v>
      </c>
      <c r="D76" s="108">
        <v>57096679</v>
      </c>
      <c r="E76" s="109">
        <v>58.302999999999997</v>
      </c>
      <c r="F76" s="138">
        <v>642.73</v>
      </c>
      <c r="G76" s="73">
        <f t="shared" si="18"/>
        <v>600.73</v>
      </c>
      <c r="H76" s="98">
        <f t="shared" si="16"/>
        <v>36872.357189999995</v>
      </c>
      <c r="I76" s="37">
        <v>39944.86</v>
      </c>
      <c r="J76" s="99">
        <f t="shared" si="17"/>
        <v>2328905.17258</v>
      </c>
      <c r="K76" s="100" t="s">
        <v>16</v>
      </c>
      <c r="L76" s="166" t="s">
        <v>17</v>
      </c>
      <c r="M76" s="103"/>
      <c r="N76" s="69"/>
      <c r="O76" s="72">
        <v>46050</v>
      </c>
      <c r="P76" s="70">
        <v>58.688000000000002</v>
      </c>
      <c r="Q76" s="70">
        <f t="shared" si="13"/>
        <v>0.38500000000000512</v>
      </c>
      <c r="R76" s="71"/>
    </row>
    <row r="77" spans="1:18" ht="14.4" thickBot="1">
      <c r="A77" s="116"/>
      <c r="B77" s="117"/>
      <c r="C77" s="117"/>
      <c r="D77" s="117"/>
      <c r="E77" s="118">
        <f>SUM(E74:E76)</f>
        <v>179.31700000000001</v>
      </c>
      <c r="F77" s="117"/>
      <c r="G77" s="117"/>
      <c r="H77" s="159">
        <f>SUM(H74:H76)</f>
        <v>113450.22541</v>
      </c>
      <c r="I77" s="117"/>
      <c r="J77" s="139">
        <f>SUM(J74:J76)</f>
        <v>7162792.460620001</v>
      </c>
      <c r="K77" s="117"/>
      <c r="L77" s="123"/>
      <c r="M77" s="125"/>
      <c r="N77" s="124"/>
      <c r="O77" s="117"/>
      <c r="P77" s="176">
        <f>SUM(P74:P76)</f>
        <v>179.78500000000003</v>
      </c>
      <c r="Q77" s="176">
        <f>SUM(Q74:Q76)</f>
        <v>0.46800000000000352</v>
      </c>
      <c r="R77" s="119"/>
    </row>
    <row r="78" spans="1:18" ht="14.4">
      <c r="A78" s="64">
        <v>68</v>
      </c>
      <c r="B78" s="87">
        <v>46040</v>
      </c>
      <c r="C78" s="104">
        <v>9983174</v>
      </c>
      <c r="D78" s="105">
        <v>50197193</v>
      </c>
      <c r="E78" s="106">
        <v>58.902999999999999</v>
      </c>
      <c r="F78" s="202">
        <v>642.73</v>
      </c>
      <c r="G78" s="29">
        <f>F78-42</f>
        <v>600.73</v>
      </c>
      <c r="H78" s="29">
        <f t="shared" ref="H78:H87" si="19">E78*F78-G78</f>
        <v>37257.995189999994</v>
      </c>
      <c r="I78" s="37">
        <v>39944.86</v>
      </c>
      <c r="J78" s="94">
        <f t="shared" ref="J78:J87" si="20">E78*I78</f>
        <v>2352872.0885800002</v>
      </c>
      <c r="K78" s="95" t="s">
        <v>16</v>
      </c>
      <c r="L78" s="164" t="s">
        <v>17</v>
      </c>
      <c r="M78" s="102"/>
      <c r="N78" s="64"/>
      <c r="O78" s="65"/>
      <c r="P78" s="65"/>
      <c r="Q78" s="65"/>
      <c r="R78" s="66"/>
    </row>
    <row r="79" spans="1:18" ht="14.4">
      <c r="A79" s="67">
        <f>A78+1</f>
        <v>69</v>
      </c>
      <c r="B79" s="72">
        <v>46040</v>
      </c>
      <c r="C79" s="3">
        <v>9983174</v>
      </c>
      <c r="D79" s="4">
        <v>50309152</v>
      </c>
      <c r="E79" s="288">
        <v>60.957000000000001</v>
      </c>
      <c r="F79" s="138">
        <v>642.73</v>
      </c>
      <c r="G79" s="36">
        <f t="shared" ref="G79:G87" si="21">F79-42</f>
        <v>600.73</v>
      </c>
      <c r="H79" s="36">
        <f t="shared" si="19"/>
        <v>38578.162609999999</v>
      </c>
      <c r="I79" s="37">
        <v>39944.86</v>
      </c>
      <c r="J79" s="37">
        <f t="shared" si="20"/>
        <v>2434918.8310199999</v>
      </c>
      <c r="K79" s="38" t="s">
        <v>16</v>
      </c>
      <c r="L79" s="165" t="s">
        <v>17</v>
      </c>
      <c r="M79" s="62"/>
      <c r="N79" s="67"/>
      <c r="O79" s="54"/>
      <c r="P79" s="54"/>
      <c r="Q79" s="54"/>
      <c r="R79" s="68"/>
    </row>
    <row r="80" spans="1:18" ht="14.4">
      <c r="A80" s="67">
        <f t="shared" ref="A80:A87" si="22">A79+1</f>
        <v>70</v>
      </c>
      <c r="B80" s="72">
        <v>46040</v>
      </c>
      <c r="C80" s="3">
        <v>9983174</v>
      </c>
      <c r="D80" s="4">
        <v>51104065</v>
      </c>
      <c r="E80" s="288">
        <v>59.404000000000003</v>
      </c>
      <c r="F80" s="138">
        <v>642.73</v>
      </c>
      <c r="G80" s="36">
        <f t="shared" si="21"/>
        <v>600.73</v>
      </c>
      <c r="H80" s="36">
        <f t="shared" si="19"/>
        <v>37580.002919999999</v>
      </c>
      <c r="I80" s="37">
        <v>39944.86</v>
      </c>
      <c r="J80" s="37">
        <f t="shared" si="20"/>
        <v>2372884.4634400001</v>
      </c>
      <c r="K80" s="38" t="s">
        <v>16</v>
      </c>
      <c r="L80" s="165" t="s">
        <v>17</v>
      </c>
      <c r="M80" s="62"/>
      <c r="N80" s="67"/>
      <c r="O80" s="54"/>
      <c r="P80" s="54"/>
      <c r="Q80" s="54"/>
      <c r="R80" s="68"/>
    </row>
    <row r="81" spans="1:18" ht="14.4">
      <c r="A81" s="67">
        <f t="shared" si="22"/>
        <v>71</v>
      </c>
      <c r="B81" s="72">
        <v>46040</v>
      </c>
      <c r="C81" s="3">
        <v>9983174</v>
      </c>
      <c r="D81" s="4">
        <v>54246400</v>
      </c>
      <c r="E81" s="288">
        <v>59.003</v>
      </c>
      <c r="F81" s="138">
        <v>642.73</v>
      </c>
      <c r="G81" s="36">
        <f t="shared" si="21"/>
        <v>600.73</v>
      </c>
      <c r="H81" s="36">
        <f t="shared" si="19"/>
        <v>37322.268189999995</v>
      </c>
      <c r="I81" s="37">
        <v>39944.86</v>
      </c>
      <c r="J81" s="37">
        <f t="shared" si="20"/>
        <v>2356866.5745800002</v>
      </c>
      <c r="K81" s="38" t="s">
        <v>16</v>
      </c>
      <c r="L81" s="165" t="s">
        <v>17</v>
      </c>
      <c r="M81" s="62"/>
      <c r="N81" s="67"/>
      <c r="O81" s="54"/>
      <c r="P81" s="54"/>
      <c r="Q81" s="54"/>
      <c r="R81" s="68"/>
    </row>
    <row r="82" spans="1:18" ht="14.4">
      <c r="A82" s="67">
        <f t="shared" si="22"/>
        <v>72</v>
      </c>
      <c r="B82" s="72">
        <v>46040</v>
      </c>
      <c r="C82" s="3">
        <v>9983174</v>
      </c>
      <c r="D82" s="4">
        <v>54757802</v>
      </c>
      <c r="E82" s="288">
        <v>58.652999999999999</v>
      </c>
      <c r="F82" s="138">
        <v>642.73</v>
      </c>
      <c r="G82" s="36">
        <f t="shared" si="21"/>
        <v>600.73</v>
      </c>
      <c r="H82" s="36">
        <f t="shared" si="19"/>
        <v>37097.312689999999</v>
      </c>
      <c r="I82" s="37">
        <v>39944.86</v>
      </c>
      <c r="J82" s="37">
        <f t="shared" si="20"/>
        <v>2342885.8735799999</v>
      </c>
      <c r="K82" s="38" t="s">
        <v>16</v>
      </c>
      <c r="L82" s="165" t="s">
        <v>17</v>
      </c>
      <c r="M82" s="62"/>
      <c r="N82" s="67"/>
      <c r="O82" s="54"/>
      <c r="P82" s="54"/>
      <c r="Q82" s="54"/>
      <c r="R82" s="68"/>
    </row>
    <row r="83" spans="1:18" ht="14.4">
      <c r="A83" s="67">
        <f t="shared" si="22"/>
        <v>73</v>
      </c>
      <c r="B83" s="72">
        <v>46040</v>
      </c>
      <c r="C83" s="3">
        <v>9983174</v>
      </c>
      <c r="D83" s="4">
        <v>57044877</v>
      </c>
      <c r="E83" s="288">
        <v>60.104999999999997</v>
      </c>
      <c r="F83" s="138">
        <v>642.73</v>
      </c>
      <c r="G83" s="36">
        <f t="shared" si="21"/>
        <v>600.73</v>
      </c>
      <c r="H83" s="36">
        <f t="shared" si="19"/>
        <v>38030.556649999999</v>
      </c>
      <c r="I83" s="37">
        <v>39944.86</v>
      </c>
      <c r="J83" s="37">
        <f t="shared" si="20"/>
        <v>2400885.8103</v>
      </c>
      <c r="K83" s="38" t="s">
        <v>16</v>
      </c>
      <c r="L83" s="165" t="s">
        <v>17</v>
      </c>
      <c r="M83" s="62"/>
      <c r="N83" s="67"/>
      <c r="O83" s="54"/>
      <c r="P83" s="54"/>
      <c r="Q83" s="54"/>
      <c r="R83" s="68"/>
    </row>
    <row r="84" spans="1:18" ht="14.4">
      <c r="A84" s="67">
        <f t="shared" si="22"/>
        <v>74</v>
      </c>
      <c r="B84" s="72">
        <v>46040</v>
      </c>
      <c r="C84" s="3">
        <v>9983174</v>
      </c>
      <c r="D84" s="4">
        <v>57044901</v>
      </c>
      <c r="E84" s="288">
        <v>59.603999999999999</v>
      </c>
      <c r="F84" s="138">
        <v>642.73</v>
      </c>
      <c r="G84" s="36">
        <f t="shared" si="21"/>
        <v>600.73</v>
      </c>
      <c r="H84" s="36">
        <f t="shared" si="19"/>
        <v>37708.548919999994</v>
      </c>
      <c r="I84" s="37">
        <v>39944.86</v>
      </c>
      <c r="J84" s="37">
        <f t="shared" si="20"/>
        <v>2380873.4354400001</v>
      </c>
      <c r="K84" s="38" t="s">
        <v>16</v>
      </c>
      <c r="L84" s="165" t="s">
        <v>17</v>
      </c>
      <c r="M84" s="62"/>
      <c r="N84" s="67"/>
      <c r="O84" s="54"/>
      <c r="P84" s="54"/>
      <c r="Q84" s="54"/>
      <c r="R84" s="68"/>
    </row>
    <row r="85" spans="1:18" ht="14.4">
      <c r="A85" s="67">
        <f t="shared" si="22"/>
        <v>75</v>
      </c>
      <c r="B85" s="72">
        <v>46040</v>
      </c>
      <c r="C85" s="3">
        <v>9983174</v>
      </c>
      <c r="D85" s="4">
        <v>57131252</v>
      </c>
      <c r="E85" s="288">
        <v>60.506</v>
      </c>
      <c r="F85" s="138">
        <v>642.73</v>
      </c>
      <c r="G85" s="36">
        <f t="shared" si="21"/>
        <v>600.73</v>
      </c>
      <c r="H85" s="36">
        <f t="shared" si="19"/>
        <v>38288.291379999995</v>
      </c>
      <c r="I85" s="37">
        <v>39944.86</v>
      </c>
      <c r="J85" s="37">
        <f t="shared" si="20"/>
        <v>2416903.6991599998</v>
      </c>
      <c r="K85" s="38" t="s">
        <v>16</v>
      </c>
      <c r="L85" s="165" t="s">
        <v>17</v>
      </c>
      <c r="M85" s="62"/>
      <c r="N85" s="67"/>
      <c r="O85" s="54"/>
      <c r="P85" s="54"/>
      <c r="Q85" s="54"/>
      <c r="R85" s="68"/>
    </row>
    <row r="86" spans="1:18" ht="14.4">
      <c r="A86" s="67">
        <f t="shared" si="22"/>
        <v>76</v>
      </c>
      <c r="B86" s="72">
        <v>46040</v>
      </c>
      <c r="C86" s="3">
        <v>9983174</v>
      </c>
      <c r="D86" s="4">
        <v>74943515</v>
      </c>
      <c r="E86" s="288">
        <v>58.603000000000002</v>
      </c>
      <c r="F86" s="138">
        <v>642.73</v>
      </c>
      <c r="G86" s="36">
        <f t="shared" si="21"/>
        <v>600.73</v>
      </c>
      <c r="H86" s="36">
        <f t="shared" si="19"/>
        <v>37065.176189999998</v>
      </c>
      <c r="I86" s="37">
        <v>39944.86</v>
      </c>
      <c r="J86" s="37">
        <f t="shared" si="20"/>
        <v>2340888.6305800001</v>
      </c>
      <c r="K86" s="38" t="s">
        <v>16</v>
      </c>
      <c r="L86" s="165" t="s">
        <v>17</v>
      </c>
      <c r="M86" s="62"/>
      <c r="N86" s="67"/>
      <c r="O86" s="61">
        <v>46050</v>
      </c>
      <c r="P86" s="54">
        <v>58.542000000000002</v>
      </c>
      <c r="Q86" s="54">
        <f t="shared" ref="Q86:Q87" si="23">P86-E86</f>
        <v>-6.0999999999999943E-2</v>
      </c>
      <c r="R86" s="68"/>
    </row>
    <row r="87" spans="1:18" ht="15" thickBot="1">
      <c r="A87" s="88">
        <f t="shared" si="22"/>
        <v>77</v>
      </c>
      <c r="B87" s="80">
        <v>46040</v>
      </c>
      <c r="C87" s="84">
        <v>9983174</v>
      </c>
      <c r="D87" s="85">
        <v>75000174</v>
      </c>
      <c r="E87" s="86">
        <v>58.953000000000003</v>
      </c>
      <c r="F87" s="208">
        <v>642.73</v>
      </c>
      <c r="G87" s="73">
        <f t="shared" si="21"/>
        <v>600.73</v>
      </c>
      <c r="H87" s="173">
        <f t="shared" si="19"/>
        <v>37290.131690000002</v>
      </c>
      <c r="I87" s="37">
        <v>39944.86</v>
      </c>
      <c r="J87" s="57">
        <f t="shared" si="20"/>
        <v>2354869.33158</v>
      </c>
      <c r="K87" s="58" t="s">
        <v>16</v>
      </c>
      <c r="L87" s="172" t="s">
        <v>17</v>
      </c>
      <c r="M87" s="103"/>
      <c r="N87" s="69"/>
      <c r="O87" s="112">
        <v>46050</v>
      </c>
      <c r="P87" s="70">
        <v>58.136000000000003</v>
      </c>
      <c r="Q87" s="54">
        <f t="shared" si="23"/>
        <v>-0.81700000000000017</v>
      </c>
      <c r="R87" s="71"/>
    </row>
    <row r="88" spans="1:18" ht="14.4" thickBot="1">
      <c r="A88" s="116"/>
      <c r="B88" s="117"/>
      <c r="C88" s="117"/>
      <c r="D88" s="117"/>
      <c r="E88" s="118">
        <f>SUM(E78:E87)</f>
        <v>594.69099999999992</v>
      </c>
      <c r="F88" s="117"/>
      <c r="G88" s="117"/>
      <c r="H88" s="159">
        <f>SUM(H78:H87)</f>
        <v>376218.44642999995</v>
      </c>
      <c r="I88" s="117"/>
      <c r="J88" s="139">
        <f>SUM(J78:J87)</f>
        <v>23754848.738260001</v>
      </c>
      <c r="K88" s="117"/>
      <c r="L88" s="119"/>
      <c r="M88" s="168"/>
      <c r="N88" s="169"/>
      <c r="O88" s="167"/>
      <c r="P88" s="167"/>
      <c r="Q88" s="167"/>
      <c r="R88" s="170"/>
    </row>
    <row r="89" spans="1:18" ht="14.4">
      <c r="A89" s="78">
        <v>78</v>
      </c>
      <c r="B89" s="80">
        <v>46042</v>
      </c>
      <c r="C89" s="81">
        <v>9983191</v>
      </c>
      <c r="D89" s="82">
        <v>50273945</v>
      </c>
      <c r="E89" s="83">
        <v>57.649000000000001</v>
      </c>
      <c r="F89" s="138">
        <v>642.73</v>
      </c>
      <c r="G89" s="73">
        <f>F89-42</f>
        <v>600.73</v>
      </c>
      <c r="H89" s="73">
        <f t="shared" ref="H89:H104" si="24">E89*F89-G89</f>
        <v>36452.011769999997</v>
      </c>
      <c r="I89" s="37">
        <v>39944.86</v>
      </c>
      <c r="J89" s="74">
        <f t="shared" ref="J89:J104" si="25">E89*I89</f>
        <v>2302781.2341399998</v>
      </c>
      <c r="K89" s="75" t="s">
        <v>16</v>
      </c>
      <c r="L89" s="165" t="s">
        <v>17</v>
      </c>
      <c r="M89" s="102"/>
      <c r="N89" s="64"/>
      <c r="O89" s="65"/>
      <c r="P89" s="65"/>
      <c r="Q89" s="65"/>
      <c r="R89" s="66"/>
    </row>
    <row r="90" spans="1:18" ht="14.4">
      <c r="A90" s="67">
        <f>A89+1</f>
        <v>79</v>
      </c>
      <c r="B90" s="61">
        <v>46042</v>
      </c>
      <c r="C90" s="171">
        <v>9983191</v>
      </c>
      <c r="D90" s="4">
        <v>51182186</v>
      </c>
      <c r="E90" s="5">
        <v>58.750999999999998</v>
      </c>
      <c r="F90" s="138">
        <v>642.73</v>
      </c>
      <c r="G90" s="73">
        <f t="shared" ref="G90:G111" si="26">F90-42</f>
        <v>600.73</v>
      </c>
      <c r="H90" s="36">
        <f t="shared" si="24"/>
        <v>37160.300229999993</v>
      </c>
      <c r="I90" s="37">
        <v>39944.86</v>
      </c>
      <c r="J90" s="37">
        <f t="shared" si="25"/>
        <v>2346800.4698600001</v>
      </c>
      <c r="K90" s="38" t="s">
        <v>16</v>
      </c>
      <c r="L90" s="165" t="s">
        <v>17</v>
      </c>
      <c r="M90" s="62"/>
      <c r="N90" s="67"/>
      <c r="O90" s="54"/>
      <c r="P90" s="54"/>
      <c r="Q90" s="54"/>
      <c r="R90" s="68"/>
    </row>
    <row r="91" spans="1:18" ht="14.4">
      <c r="A91" s="67">
        <f t="shared" ref="A91:A104" si="27">A90+1</f>
        <v>80</v>
      </c>
      <c r="B91" s="61">
        <v>46042</v>
      </c>
      <c r="C91" s="171">
        <v>9983191</v>
      </c>
      <c r="D91" s="4">
        <v>51227460</v>
      </c>
      <c r="E91" s="5">
        <v>58.350999999999999</v>
      </c>
      <c r="F91" s="138">
        <v>642.73</v>
      </c>
      <c r="G91" s="73">
        <f t="shared" si="26"/>
        <v>600.73</v>
      </c>
      <c r="H91" s="36">
        <f t="shared" si="24"/>
        <v>36903.208229999997</v>
      </c>
      <c r="I91" s="37">
        <v>39944.86</v>
      </c>
      <c r="J91" s="37">
        <f t="shared" si="25"/>
        <v>2330822.5258599999</v>
      </c>
      <c r="K91" s="38" t="s">
        <v>16</v>
      </c>
      <c r="L91" s="165" t="s">
        <v>17</v>
      </c>
      <c r="M91" s="62"/>
      <c r="N91" s="67"/>
      <c r="O91" s="54"/>
      <c r="P91" s="54"/>
      <c r="Q91" s="54"/>
      <c r="R91" s="68"/>
    </row>
    <row r="92" spans="1:18" ht="14.4">
      <c r="A92" s="67">
        <f t="shared" si="27"/>
        <v>81</v>
      </c>
      <c r="B92" s="61">
        <v>46042</v>
      </c>
      <c r="C92" s="171">
        <v>9983191</v>
      </c>
      <c r="D92" s="4">
        <v>51689214</v>
      </c>
      <c r="E92" s="5">
        <v>60.054000000000002</v>
      </c>
      <c r="F92" s="138">
        <v>642.73</v>
      </c>
      <c r="G92" s="73">
        <f t="shared" si="26"/>
        <v>600.73</v>
      </c>
      <c r="H92" s="36">
        <f t="shared" si="24"/>
        <v>37997.777419999999</v>
      </c>
      <c r="I92" s="37">
        <v>39944.86</v>
      </c>
      <c r="J92" s="37">
        <f t="shared" si="25"/>
        <v>2398848.6224400001</v>
      </c>
      <c r="K92" s="38" t="s">
        <v>16</v>
      </c>
      <c r="L92" s="165" t="s">
        <v>17</v>
      </c>
      <c r="M92" s="62"/>
      <c r="N92" s="67"/>
      <c r="O92" s="54"/>
      <c r="P92" s="54"/>
      <c r="Q92" s="54"/>
      <c r="R92" s="68"/>
    </row>
    <row r="93" spans="1:18" ht="14.4">
      <c r="A93" s="67">
        <f t="shared" si="27"/>
        <v>82</v>
      </c>
      <c r="B93" s="61">
        <v>46042</v>
      </c>
      <c r="C93" s="171">
        <v>9983191</v>
      </c>
      <c r="D93" s="4">
        <v>51847218</v>
      </c>
      <c r="E93" s="5">
        <v>59.351999999999997</v>
      </c>
      <c r="F93" s="138">
        <v>642.73</v>
      </c>
      <c r="G93" s="73">
        <f t="shared" si="26"/>
        <v>600.73</v>
      </c>
      <c r="H93" s="36">
        <f t="shared" si="24"/>
        <v>37546.580959999999</v>
      </c>
      <c r="I93" s="37">
        <v>39944.86</v>
      </c>
      <c r="J93" s="37">
        <f t="shared" si="25"/>
        <v>2370807.33072</v>
      </c>
      <c r="K93" s="38" t="s">
        <v>16</v>
      </c>
      <c r="L93" s="165" t="s">
        <v>17</v>
      </c>
      <c r="M93" s="62"/>
      <c r="N93" s="67"/>
      <c r="O93" s="54"/>
      <c r="P93" s="54"/>
      <c r="Q93" s="54"/>
      <c r="R93" s="68"/>
    </row>
    <row r="94" spans="1:18" ht="14.4">
      <c r="A94" s="67">
        <f t="shared" si="27"/>
        <v>83</v>
      </c>
      <c r="B94" s="61">
        <v>46042</v>
      </c>
      <c r="C94" s="171">
        <v>9983191</v>
      </c>
      <c r="D94" s="4">
        <v>54068341</v>
      </c>
      <c r="E94" s="5">
        <v>59.302</v>
      </c>
      <c r="F94" s="138">
        <v>642.73</v>
      </c>
      <c r="G94" s="73">
        <f t="shared" si="26"/>
        <v>600.73</v>
      </c>
      <c r="H94" s="36">
        <f t="shared" si="24"/>
        <v>37514.444459999999</v>
      </c>
      <c r="I94" s="37">
        <v>39944.86</v>
      </c>
      <c r="J94" s="37">
        <f t="shared" si="25"/>
        <v>2368810.0877200002</v>
      </c>
      <c r="K94" s="38" t="s">
        <v>16</v>
      </c>
      <c r="L94" s="165" t="s">
        <v>17</v>
      </c>
      <c r="M94" s="62"/>
      <c r="N94" s="67"/>
      <c r="O94" s="54"/>
      <c r="P94" s="54"/>
      <c r="Q94" s="54"/>
      <c r="R94" s="68"/>
    </row>
    <row r="95" spans="1:18" ht="14.4">
      <c r="A95" s="67">
        <f t="shared" si="27"/>
        <v>84</v>
      </c>
      <c r="B95" s="61">
        <v>46042</v>
      </c>
      <c r="C95" s="171">
        <v>9983191</v>
      </c>
      <c r="D95" s="4">
        <v>54246426</v>
      </c>
      <c r="E95" s="5">
        <v>59.753</v>
      </c>
      <c r="F95" s="138">
        <v>642.73</v>
      </c>
      <c r="G95" s="73">
        <f t="shared" si="26"/>
        <v>600.73</v>
      </c>
      <c r="H95" s="36">
        <f t="shared" si="24"/>
        <v>37804.315689999996</v>
      </c>
      <c r="I95" s="37">
        <v>39944.86</v>
      </c>
      <c r="J95" s="37">
        <f t="shared" si="25"/>
        <v>2386825.2195800003</v>
      </c>
      <c r="K95" s="38" t="s">
        <v>16</v>
      </c>
      <c r="L95" s="165" t="s">
        <v>17</v>
      </c>
      <c r="M95" s="62"/>
      <c r="N95" s="67"/>
      <c r="O95" s="54"/>
      <c r="P95" s="54"/>
      <c r="Q95" s="54"/>
      <c r="R95" s="68"/>
    </row>
    <row r="96" spans="1:18" ht="14.4">
      <c r="A96" s="67">
        <f t="shared" si="27"/>
        <v>85</v>
      </c>
      <c r="B96" s="61">
        <v>46042</v>
      </c>
      <c r="C96" s="171">
        <v>9983191</v>
      </c>
      <c r="D96" s="4">
        <v>54246905</v>
      </c>
      <c r="E96" s="5">
        <v>59.802999999999997</v>
      </c>
      <c r="F96" s="138">
        <v>642.73</v>
      </c>
      <c r="G96" s="73">
        <f t="shared" si="26"/>
        <v>600.73</v>
      </c>
      <c r="H96" s="36">
        <f t="shared" si="24"/>
        <v>37836.452189999996</v>
      </c>
      <c r="I96" s="37">
        <v>39944.86</v>
      </c>
      <c r="J96" s="37">
        <f t="shared" si="25"/>
        <v>2388822.4625800001</v>
      </c>
      <c r="K96" s="38" t="s">
        <v>16</v>
      </c>
      <c r="L96" s="165" t="s">
        <v>17</v>
      </c>
      <c r="M96" s="62"/>
      <c r="N96" s="67"/>
      <c r="O96" s="54"/>
      <c r="P96" s="54"/>
      <c r="Q96" s="54"/>
      <c r="R96" s="68"/>
    </row>
    <row r="97" spans="1:18" ht="14.4">
      <c r="A97" s="67">
        <f t="shared" si="27"/>
        <v>86</v>
      </c>
      <c r="B97" s="61">
        <v>46042</v>
      </c>
      <c r="C97" s="171">
        <v>9983191</v>
      </c>
      <c r="D97" s="4">
        <v>54641725</v>
      </c>
      <c r="E97" s="5">
        <v>58</v>
      </c>
      <c r="F97" s="138">
        <v>642.73</v>
      </c>
      <c r="G97" s="73">
        <f t="shared" si="26"/>
        <v>600.73</v>
      </c>
      <c r="H97" s="36">
        <f t="shared" si="24"/>
        <v>36677.61</v>
      </c>
      <c r="I97" s="37">
        <v>39944.86</v>
      </c>
      <c r="J97" s="37">
        <f t="shared" si="25"/>
        <v>2316801.88</v>
      </c>
      <c r="K97" s="38" t="s">
        <v>16</v>
      </c>
      <c r="L97" s="165" t="s">
        <v>17</v>
      </c>
      <c r="M97" s="62"/>
      <c r="N97" s="67"/>
      <c r="O97" s="54"/>
      <c r="P97" s="54"/>
      <c r="Q97" s="54"/>
      <c r="R97" s="68"/>
    </row>
    <row r="98" spans="1:18" ht="14.4">
      <c r="A98" s="67">
        <f t="shared" si="27"/>
        <v>87</v>
      </c>
      <c r="B98" s="61">
        <v>46042</v>
      </c>
      <c r="C98" s="171">
        <v>9983191</v>
      </c>
      <c r="D98" s="4">
        <v>54643523</v>
      </c>
      <c r="E98" s="5">
        <v>59.101999999999997</v>
      </c>
      <c r="F98" s="138">
        <v>642.73</v>
      </c>
      <c r="G98" s="73">
        <f t="shared" si="26"/>
        <v>600.73</v>
      </c>
      <c r="H98" s="36">
        <f t="shared" si="24"/>
        <v>37385.898459999997</v>
      </c>
      <c r="I98" s="37">
        <v>39944.86</v>
      </c>
      <c r="J98" s="37">
        <f t="shared" si="25"/>
        <v>2360821.1157200001</v>
      </c>
      <c r="K98" s="38" t="s">
        <v>16</v>
      </c>
      <c r="L98" s="165" t="s">
        <v>17</v>
      </c>
      <c r="M98" s="62"/>
      <c r="N98" s="67"/>
      <c r="O98" s="54"/>
      <c r="P98" s="54"/>
      <c r="Q98" s="54"/>
      <c r="R98" s="68"/>
    </row>
    <row r="99" spans="1:18" ht="14.4">
      <c r="A99" s="67">
        <f t="shared" si="27"/>
        <v>88</v>
      </c>
      <c r="B99" s="61">
        <v>46042</v>
      </c>
      <c r="C99" s="171">
        <v>9983191</v>
      </c>
      <c r="D99" s="4">
        <v>55694657</v>
      </c>
      <c r="E99" s="5">
        <v>59.201999999999998</v>
      </c>
      <c r="F99" s="138">
        <v>642.73</v>
      </c>
      <c r="G99" s="73">
        <f t="shared" si="26"/>
        <v>600.73</v>
      </c>
      <c r="H99" s="36">
        <f t="shared" si="24"/>
        <v>37450.171459999998</v>
      </c>
      <c r="I99" s="37">
        <v>39944.86</v>
      </c>
      <c r="J99" s="37">
        <f t="shared" si="25"/>
        <v>2364815.6017200002</v>
      </c>
      <c r="K99" s="38" t="s">
        <v>16</v>
      </c>
      <c r="L99" s="165" t="s">
        <v>17</v>
      </c>
      <c r="M99" s="62"/>
      <c r="N99" s="67"/>
      <c r="O99" s="54"/>
      <c r="P99" s="54"/>
      <c r="Q99" s="54"/>
      <c r="R99" s="68"/>
    </row>
    <row r="100" spans="1:18" ht="14.4">
      <c r="A100" s="67">
        <f t="shared" si="27"/>
        <v>89</v>
      </c>
      <c r="B100" s="61">
        <v>46042</v>
      </c>
      <c r="C100" s="171">
        <v>9983191</v>
      </c>
      <c r="D100" s="4">
        <v>57045361</v>
      </c>
      <c r="E100" s="5">
        <v>58.651000000000003</v>
      </c>
      <c r="F100" s="138">
        <v>642.73</v>
      </c>
      <c r="G100" s="73">
        <f t="shared" si="26"/>
        <v>600.73</v>
      </c>
      <c r="H100" s="36">
        <f t="shared" si="24"/>
        <v>37096.02723</v>
      </c>
      <c r="I100" s="37">
        <v>39944.86</v>
      </c>
      <c r="J100" s="37">
        <f t="shared" si="25"/>
        <v>2342805.98386</v>
      </c>
      <c r="K100" s="38" t="s">
        <v>16</v>
      </c>
      <c r="L100" s="165" t="s">
        <v>17</v>
      </c>
      <c r="M100" s="62"/>
      <c r="N100" s="67"/>
      <c r="O100" s="54"/>
      <c r="P100" s="54"/>
      <c r="Q100" s="54"/>
      <c r="R100" s="68"/>
    </row>
    <row r="101" spans="1:18" ht="14.4">
      <c r="A101" s="67">
        <f t="shared" si="27"/>
        <v>90</v>
      </c>
      <c r="B101" s="61">
        <v>46042</v>
      </c>
      <c r="C101" s="171">
        <v>9983191</v>
      </c>
      <c r="D101" s="4">
        <v>73142523</v>
      </c>
      <c r="E101" s="5">
        <v>59.703000000000003</v>
      </c>
      <c r="F101" s="138">
        <v>642.73</v>
      </c>
      <c r="G101" s="73">
        <f t="shared" si="26"/>
        <v>600.73</v>
      </c>
      <c r="H101" s="36">
        <f t="shared" si="24"/>
        <v>37772.179190000003</v>
      </c>
      <c r="I101" s="37">
        <v>39944.86</v>
      </c>
      <c r="J101" s="37">
        <f t="shared" si="25"/>
        <v>2384827.97658</v>
      </c>
      <c r="K101" s="38" t="s">
        <v>16</v>
      </c>
      <c r="L101" s="165" t="s">
        <v>17</v>
      </c>
      <c r="M101" s="62"/>
      <c r="N101" s="67"/>
      <c r="O101" s="54"/>
      <c r="P101" s="54"/>
      <c r="Q101" s="54"/>
      <c r="R101" s="68"/>
    </row>
    <row r="102" spans="1:18" ht="14.4">
      <c r="A102" s="67">
        <f t="shared" si="27"/>
        <v>91</v>
      </c>
      <c r="B102" s="61">
        <v>46042</v>
      </c>
      <c r="C102" s="171">
        <v>9983191</v>
      </c>
      <c r="D102" s="4">
        <v>73901381</v>
      </c>
      <c r="E102" s="5">
        <v>59.152000000000001</v>
      </c>
      <c r="F102" s="138">
        <v>642.73</v>
      </c>
      <c r="G102" s="73">
        <f t="shared" si="26"/>
        <v>600.73</v>
      </c>
      <c r="H102" s="36">
        <f t="shared" si="24"/>
        <v>37418.034959999997</v>
      </c>
      <c r="I102" s="37">
        <v>39944.86</v>
      </c>
      <c r="J102" s="37">
        <f t="shared" si="25"/>
        <v>2362818.3587199999</v>
      </c>
      <c r="K102" s="38" t="s">
        <v>16</v>
      </c>
      <c r="L102" s="165" t="s">
        <v>17</v>
      </c>
      <c r="M102" s="62"/>
      <c r="N102" s="67"/>
      <c r="O102" s="54"/>
      <c r="P102" s="54"/>
      <c r="Q102" s="54"/>
      <c r="R102" s="68"/>
    </row>
    <row r="103" spans="1:18" ht="14.4">
      <c r="A103" s="67">
        <f t="shared" si="27"/>
        <v>92</v>
      </c>
      <c r="B103" s="61">
        <v>46042</v>
      </c>
      <c r="C103" s="171">
        <v>9983191</v>
      </c>
      <c r="D103" s="4">
        <v>74950221</v>
      </c>
      <c r="E103" s="5">
        <v>59.252000000000002</v>
      </c>
      <c r="F103" s="138">
        <v>642.73</v>
      </c>
      <c r="G103" s="73">
        <f t="shared" si="26"/>
        <v>600.73</v>
      </c>
      <c r="H103" s="36">
        <f t="shared" si="24"/>
        <v>37482.307959999998</v>
      </c>
      <c r="I103" s="37">
        <v>39944.86</v>
      </c>
      <c r="J103" s="37">
        <f t="shared" si="25"/>
        <v>2366812.8447199999</v>
      </c>
      <c r="K103" s="38" t="s">
        <v>16</v>
      </c>
      <c r="L103" s="165" t="s">
        <v>17</v>
      </c>
      <c r="M103" s="62"/>
      <c r="N103" s="67"/>
      <c r="O103" s="54"/>
      <c r="P103" s="54"/>
      <c r="Q103" s="54"/>
      <c r="R103" s="68"/>
    </row>
    <row r="104" spans="1:18" ht="15" thickBot="1">
      <c r="A104" s="88">
        <f t="shared" si="27"/>
        <v>93</v>
      </c>
      <c r="B104" s="80">
        <v>46042</v>
      </c>
      <c r="C104" s="84">
        <v>9983191</v>
      </c>
      <c r="D104" s="85">
        <v>75007351</v>
      </c>
      <c r="E104" s="86">
        <v>59.252000000000002</v>
      </c>
      <c r="F104" s="138">
        <v>642.73</v>
      </c>
      <c r="G104" s="73">
        <f t="shared" si="26"/>
        <v>600.73</v>
      </c>
      <c r="H104" s="56">
        <f t="shared" si="24"/>
        <v>37482.307959999998</v>
      </c>
      <c r="I104" s="37">
        <v>39944.86</v>
      </c>
      <c r="J104" s="57">
        <f t="shared" si="25"/>
        <v>2366812.8447199999</v>
      </c>
      <c r="K104" s="58" t="s">
        <v>16</v>
      </c>
      <c r="L104" s="172" t="s">
        <v>17</v>
      </c>
      <c r="M104" s="103"/>
      <c r="N104" s="69"/>
      <c r="O104" s="70"/>
      <c r="P104" s="70"/>
      <c r="Q104" s="70"/>
      <c r="R104" s="71"/>
    </row>
    <row r="105" spans="1:18" ht="15" thickBot="1">
      <c r="A105" s="116"/>
      <c r="B105" s="117"/>
      <c r="C105" s="117"/>
      <c r="D105" s="117"/>
      <c r="E105" s="118">
        <f>SUM(E89:E104)</f>
        <v>945.32899999999984</v>
      </c>
      <c r="F105" s="117"/>
      <c r="G105" s="73"/>
      <c r="H105" s="159">
        <f>SUM(H89:H104)</f>
        <v>597979.62816999992</v>
      </c>
      <c r="I105" s="117"/>
      <c r="J105" s="139">
        <f>SUM(J89:J104)</f>
        <v>37761034.558940001</v>
      </c>
      <c r="K105" s="117"/>
      <c r="L105" s="119"/>
      <c r="M105" s="125"/>
      <c r="N105" s="169"/>
      <c r="O105" s="167"/>
      <c r="P105" s="167"/>
      <c r="Q105" s="167"/>
      <c r="R105" s="170"/>
    </row>
    <row r="106" spans="1:18" ht="14.4">
      <c r="A106" s="78">
        <v>94</v>
      </c>
      <c r="B106" s="72">
        <v>46044</v>
      </c>
      <c r="C106" s="81">
        <v>9983214</v>
      </c>
      <c r="D106" s="82">
        <v>54074265</v>
      </c>
      <c r="E106" s="83">
        <v>57.445999999999998</v>
      </c>
      <c r="F106" s="138">
        <v>642.73</v>
      </c>
      <c r="G106" s="73">
        <f t="shared" si="26"/>
        <v>600.73</v>
      </c>
      <c r="H106" s="73">
        <f t="shared" ref="H106:H111" si="28">E106*F106-G106</f>
        <v>36321.537579999997</v>
      </c>
      <c r="I106" s="37">
        <v>39944.86</v>
      </c>
      <c r="J106" s="74">
        <f t="shared" ref="J106:J111" si="29">E106*I106</f>
        <v>2294672.4275599997</v>
      </c>
      <c r="K106" s="75" t="s">
        <v>16</v>
      </c>
      <c r="L106" s="165" t="s">
        <v>17</v>
      </c>
      <c r="M106" s="77"/>
      <c r="N106" s="64"/>
      <c r="O106" s="65"/>
      <c r="P106" s="65"/>
      <c r="Q106" s="65"/>
      <c r="R106" s="66"/>
    </row>
    <row r="107" spans="1:18" ht="14.4">
      <c r="A107" s="67">
        <f>A106+1</f>
        <v>95</v>
      </c>
      <c r="B107" s="61">
        <v>46044</v>
      </c>
      <c r="C107" s="3">
        <v>9983214</v>
      </c>
      <c r="D107" s="4">
        <v>74979543</v>
      </c>
      <c r="E107" s="5">
        <v>56.744999999999997</v>
      </c>
      <c r="F107" s="138">
        <v>642.73</v>
      </c>
      <c r="G107" s="73">
        <f t="shared" si="26"/>
        <v>600.73</v>
      </c>
      <c r="H107" s="36">
        <f t="shared" si="28"/>
        <v>35870.983849999997</v>
      </c>
      <c r="I107" s="37">
        <v>39944.86</v>
      </c>
      <c r="J107" s="37">
        <f t="shared" si="29"/>
        <v>2266671.0806999998</v>
      </c>
      <c r="K107" s="38" t="s">
        <v>16</v>
      </c>
      <c r="L107" s="165" t="s">
        <v>17</v>
      </c>
      <c r="M107" s="62"/>
      <c r="N107" s="67"/>
      <c r="O107" s="54"/>
      <c r="P107" s="54"/>
      <c r="Q107" s="54"/>
      <c r="R107" s="68"/>
    </row>
    <row r="108" spans="1:18" ht="14.4">
      <c r="A108" s="67">
        <f t="shared" ref="A108:A111" si="30">A107+1</f>
        <v>96</v>
      </c>
      <c r="B108" s="61">
        <v>46044</v>
      </c>
      <c r="C108" s="3">
        <v>9983214</v>
      </c>
      <c r="D108" s="4">
        <v>76875368</v>
      </c>
      <c r="E108" s="5">
        <v>56.194000000000003</v>
      </c>
      <c r="F108" s="138">
        <v>642.73</v>
      </c>
      <c r="G108" s="73">
        <f t="shared" si="26"/>
        <v>600.73</v>
      </c>
      <c r="H108" s="36">
        <f t="shared" si="28"/>
        <v>35516.839619999999</v>
      </c>
      <c r="I108" s="37">
        <v>39944.86</v>
      </c>
      <c r="J108" s="37">
        <f t="shared" si="29"/>
        <v>2244661.4628400002</v>
      </c>
      <c r="K108" s="38" t="s">
        <v>16</v>
      </c>
      <c r="L108" s="165" t="s">
        <v>17</v>
      </c>
      <c r="M108" s="62"/>
      <c r="N108" s="67"/>
      <c r="O108" s="54"/>
      <c r="P108" s="54"/>
      <c r="Q108" s="54"/>
      <c r="R108" s="68"/>
    </row>
    <row r="109" spans="1:18" ht="14.4">
      <c r="A109" s="67">
        <f t="shared" si="30"/>
        <v>97</v>
      </c>
      <c r="B109" s="61">
        <v>46044</v>
      </c>
      <c r="C109" s="3">
        <v>9983214</v>
      </c>
      <c r="D109" s="4">
        <v>50754423</v>
      </c>
      <c r="E109" s="5">
        <v>58.447000000000003</v>
      </c>
      <c r="F109" s="138">
        <v>642.73</v>
      </c>
      <c r="G109" s="73">
        <f t="shared" si="26"/>
        <v>600.73</v>
      </c>
      <c r="H109" s="36">
        <f t="shared" si="28"/>
        <v>36964.910309999999</v>
      </c>
      <c r="I109" s="37">
        <v>39944.86</v>
      </c>
      <c r="J109" s="37">
        <f t="shared" si="29"/>
        <v>2334657.2324200002</v>
      </c>
      <c r="K109" s="38" t="s">
        <v>16</v>
      </c>
      <c r="L109" s="165" t="s">
        <v>17</v>
      </c>
      <c r="M109" s="62"/>
      <c r="N109" s="67"/>
      <c r="O109" s="54"/>
      <c r="P109" s="54"/>
      <c r="Q109" s="54"/>
      <c r="R109" s="68"/>
    </row>
    <row r="110" spans="1:18" ht="14.4">
      <c r="A110" s="67">
        <f t="shared" si="30"/>
        <v>98</v>
      </c>
      <c r="B110" s="61">
        <v>46044</v>
      </c>
      <c r="C110" s="3">
        <v>9983214</v>
      </c>
      <c r="D110" s="4">
        <v>54046446</v>
      </c>
      <c r="E110" s="5">
        <v>58.097000000000001</v>
      </c>
      <c r="F110" s="138">
        <v>642.73</v>
      </c>
      <c r="G110" s="73">
        <f t="shared" si="26"/>
        <v>600.73</v>
      </c>
      <c r="H110" s="36">
        <f t="shared" si="28"/>
        <v>36739.954809999996</v>
      </c>
      <c r="I110" s="37">
        <v>39944.86</v>
      </c>
      <c r="J110" s="37">
        <f t="shared" si="29"/>
        <v>2320676.5314199999</v>
      </c>
      <c r="K110" s="38" t="s">
        <v>16</v>
      </c>
      <c r="L110" s="165" t="s">
        <v>17</v>
      </c>
      <c r="M110" s="62"/>
      <c r="N110" s="67"/>
      <c r="O110" s="54"/>
      <c r="P110" s="54"/>
      <c r="Q110" s="54"/>
      <c r="R110" s="68"/>
    </row>
    <row r="111" spans="1:18" ht="15" thickBot="1">
      <c r="A111" s="88">
        <f t="shared" si="30"/>
        <v>99</v>
      </c>
      <c r="B111" s="90">
        <v>46044</v>
      </c>
      <c r="C111" s="84">
        <v>9983214</v>
      </c>
      <c r="D111" s="85">
        <v>56905128</v>
      </c>
      <c r="E111" s="86">
        <v>57.445999999999998</v>
      </c>
      <c r="F111" s="138">
        <v>642.73</v>
      </c>
      <c r="G111" s="73">
        <f t="shared" si="26"/>
        <v>600.73</v>
      </c>
      <c r="H111" s="56">
        <f t="shared" si="28"/>
        <v>36321.537579999997</v>
      </c>
      <c r="I111" s="37">
        <v>39944.86</v>
      </c>
      <c r="J111" s="57">
        <f t="shared" si="29"/>
        <v>2294672.4275599997</v>
      </c>
      <c r="K111" s="58" t="s">
        <v>16</v>
      </c>
      <c r="L111" s="172" t="s">
        <v>17</v>
      </c>
      <c r="M111" s="63"/>
      <c r="N111" s="69"/>
      <c r="O111" s="70"/>
      <c r="P111" s="70"/>
      <c r="Q111" s="70"/>
      <c r="R111" s="71"/>
    </row>
    <row r="112" spans="1:18" ht="14.4" thickBot="1">
      <c r="A112" s="116"/>
      <c r="B112" s="117"/>
      <c r="C112" s="117"/>
      <c r="D112" s="117"/>
      <c r="E112" s="118">
        <f>SUM(E106:E111)</f>
        <v>344.375</v>
      </c>
      <c r="F112" s="117"/>
      <c r="G112" s="117"/>
      <c r="H112" s="159">
        <f>SUM(H106:H111)</f>
        <v>217735.76374999998</v>
      </c>
      <c r="I112" s="117"/>
      <c r="J112" s="139">
        <f>SUM(J106:J111)</f>
        <v>13756011.1625</v>
      </c>
      <c r="K112" s="117"/>
      <c r="L112" s="119"/>
      <c r="M112" s="190"/>
      <c r="N112" s="169"/>
      <c r="O112" s="167"/>
      <c r="P112" s="167"/>
      <c r="Q112" s="167"/>
      <c r="R112" s="170"/>
    </row>
    <row r="113" spans="1:18" ht="14.4">
      <c r="A113" s="78">
        <v>100</v>
      </c>
      <c r="B113" s="72">
        <v>46046</v>
      </c>
      <c r="C113" s="153">
        <v>9983257</v>
      </c>
      <c r="D113" s="154">
        <v>50213255</v>
      </c>
      <c r="E113" s="155">
        <v>59.801000000000002</v>
      </c>
      <c r="F113" s="138">
        <v>642.73</v>
      </c>
      <c r="G113" s="73">
        <f>F113-42</f>
        <v>600.73</v>
      </c>
      <c r="H113" s="73">
        <f t="shared" ref="H113:H130" si="31">E113*F113-G113</f>
        <v>37835.166729999997</v>
      </c>
      <c r="I113" s="37">
        <v>39944.86</v>
      </c>
      <c r="J113" s="74">
        <f t="shared" ref="J113:J130" si="32">E113*I113</f>
        <v>2388742.5728600002</v>
      </c>
      <c r="K113" s="75" t="s">
        <v>16</v>
      </c>
      <c r="L113" s="165" t="s">
        <v>17</v>
      </c>
      <c r="M113" s="102"/>
      <c r="N113" s="64"/>
      <c r="O113" s="65"/>
      <c r="P113" s="65"/>
      <c r="Q113" s="65"/>
      <c r="R113" s="66"/>
    </row>
    <row r="114" spans="1:18" ht="14.4">
      <c r="A114" s="67">
        <f>A113+1</f>
        <v>101</v>
      </c>
      <c r="B114" s="61">
        <v>46046</v>
      </c>
      <c r="C114" s="33">
        <v>9983257</v>
      </c>
      <c r="D114" s="34">
        <v>50406917</v>
      </c>
      <c r="E114" s="35">
        <v>60.402000000000001</v>
      </c>
      <c r="F114" s="138">
        <v>642.73</v>
      </c>
      <c r="G114" s="36">
        <f>F114-42</f>
        <v>600.73</v>
      </c>
      <c r="H114" s="36">
        <f t="shared" si="31"/>
        <v>38221.447459999996</v>
      </c>
      <c r="I114" s="37">
        <v>39944.86</v>
      </c>
      <c r="J114" s="37">
        <f t="shared" si="32"/>
        <v>2412749.4337200001</v>
      </c>
      <c r="K114" s="38" t="s">
        <v>16</v>
      </c>
      <c r="L114" s="165" t="s">
        <v>17</v>
      </c>
      <c r="M114" s="62"/>
      <c r="N114" s="67"/>
      <c r="O114" s="54"/>
      <c r="P114" s="54"/>
      <c r="Q114" s="54"/>
      <c r="R114" s="68"/>
    </row>
    <row r="115" spans="1:18" ht="14.4">
      <c r="A115" s="67">
        <f t="shared" ref="A115:A130" si="33">A114+1</f>
        <v>102</v>
      </c>
      <c r="B115" s="61">
        <v>46046</v>
      </c>
      <c r="C115" s="33">
        <v>9983257</v>
      </c>
      <c r="D115" s="34">
        <v>50975580</v>
      </c>
      <c r="E115" s="35">
        <v>59.5</v>
      </c>
      <c r="F115" s="138">
        <v>642.73</v>
      </c>
      <c r="G115" s="36">
        <f t="shared" ref="G115:G130" si="34">F115-42</f>
        <v>600.73</v>
      </c>
      <c r="H115" s="36">
        <f t="shared" si="31"/>
        <v>37641.704999999994</v>
      </c>
      <c r="I115" s="37">
        <v>39944.86</v>
      </c>
      <c r="J115" s="37">
        <f t="shared" si="32"/>
        <v>2376719.17</v>
      </c>
      <c r="K115" s="38" t="s">
        <v>16</v>
      </c>
      <c r="L115" s="165" t="s">
        <v>17</v>
      </c>
      <c r="M115" s="62"/>
      <c r="N115" s="67"/>
      <c r="O115" s="54"/>
      <c r="P115" s="54"/>
      <c r="Q115" s="54"/>
      <c r="R115" s="68"/>
    </row>
    <row r="116" spans="1:18" ht="14.4">
      <c r="A116" s="67">
        <f t="shared" si="33"/>
        <v>103</v>
      </c>
      <c r="B116" s="61">
        <v>46046</v>
      </c>
      <c r="C116" s="33">
        <v>9983257</v>
      </c>
      <c r="D116" s="34">
        <v>51181758</v>
      </c>
      <c r="E116" s="35">
        <v>60.451999999999998</v>
      </c>
      <c r="F116" s="138">
        <v>642.73</v>
      </c>
      <c r="G116" s="36">
        <f t="shared" si="34"/>
        <v>600.73</v>
      </c>
      <c r="H116" s="36">
        <f t="shared" si="31"/>
        <v>38253.583959999996</v>
      </c>
      <c r="I116" s="37">
        <v>39944.86</v>
      </c>
      <c r="J116" s="37">
        <f t="shared" si="32"/>
        <v>2414746.6767199999</v>
      </c>
      <c r="K116" s="38" t="s">
        <v>16</v>
      </c>
      <c r="L116" s="165" t="s">
        <v>17</v>
      </c>
      <c r="M116" s="62"/>
      <c r="N116" s="67"/>
      <c r="O116" s="54"/>
      <c r="P116" s="54"/>
      <c r="Q116" s="54"/>
      <c r="R116" s="68"/>
    </row>
    <row r="117" spans="1:18" ht="14.4">
      <c r="A117" s="67">
        <f t="shared" si="33"/>
        <v>104</v>
      </c>
      <c r="B117" s="61">
        <v>46046</v>
      </c>
      <c r="C117" s="33">
        <v>9983257</v>
      </c>
      <c r="D117" s="34">
        <v>51689636</v>
      </c>
      <c r="E117" s="35">
        <v>59.951000000000001</v>
      </c>
      <c r="F117" s="138">
        <v>642.73</v>
      </c>
      <c r="G117" s="36">
        <f t="shared" si="34"/>
        <v>600.73</v>
      </c>
      <c r="H117" s="36">
        <f t="shared" si="31"/>
        <v>37931.576229999999</v>
      </c>
      <c r="I117" s="37">
        <v>39944.86</v>
      </c>
      <c r="J117" s="37">
        <f t="shared" si="32"/>
        <v>2394734.30186</v>
      </c>
      <c r="K117" s="38" t="s">
        <v>16</v>
      </c>
      <c r="L117" s="165" t="s">
        <v>17</v>
      </c>
      <c r="M117" s="62"/>
      <c r="N117" s="67"/>
      <c r="O117" s="54"/>
      <c r="P117" s="54"/>
      <c r="Q117" s="54"/>
      <c r="R117" s="68"/>
    </row>
    <row r="118" spans="1:18" ht="14.4">
      <c r="A118" s="67">
        <f t="shared" si="33"/>
        <v>105</v>
      </c>
      <c r="B118" s="61">
        <v>46046</v>
      </c>
      <c r="C118" s="33">
        <v>9983257</v>
      </c>
      <c r="D118" s="34">
        <v>54026927</v>
      </c>
      <c r="E118" s="35">
        <v>33.048999999999999</v>
      </c>
      <c r="F118" s="138">
        <v>642.73</v>
      </c>
      <c r="G118" s="36">
        <f t="shared" si="34"/>
        <v>600.73</v>
      </c>
      <c r="H118" s="36">
        <f t="shared" si="31"/>
        <v>20640.853770000002</v>
      </c>
      <c r="I118" s="37">
        <v>39944.86</v>
      </c>
      <c r="J118" s="37">
        <f t="shared" si="32"/>
        <v>1320137.67814</v>
      </c>
      <c r="K118" s="38" t="s">
        <v>16</v>
      </c>
      <c r="L118" s="165" t="s">
        <v>17</v>
      </c>
      <c r="M118" s="62"/>
      <c r="N118" s="67"/>
      <c r="O118" s="54"/>
      <c r="P118" s="54"/>
      <c r="Q118" s="54"/>
      <c r="R118" s="68"/>
    </row>
    <row r="119" spans="1:18" ht="14.4">
      <c r="A119" s="67">
        <f t="shared" si="33"/>
        <v>106</v>
      </c>
      <c r="B119" s="61">
        <v>46046</v>
      </c>
      <c r="C119" s="33">
        <v>9983257</v>
      </c>
      <c r="D119" s="34">
        <v>54067954</v>
      </c>
      <c r="E119" s="35">
        <v>59.5</v>
      </c>
      <c r="F119" s="138">
        <v>642.73</v>
      </c>
      <c r="G119" s="36">
        <f t="shared" si="34"/>
        <v>600.73</v>
      </c>
      <c r="H119" s="36">
        <f t="shared" si="31"/>
        <v>37641.704999999994</v>
      </c>
      <c r="I119" s="37">
        <v>39944.86</v>
      </c>
      <c r="J119" s="37">
        <f t="shared" si="32"/>
        <v>2376719.17</v>
      </c>
      <c r="K119" s="38" t="s">
        <v>16</v>
      </c>
      <c r="L119" s="165" t="s">
        <v>17</v>
      </c>
      <c r="M119" s="62"/>
      <c r="N119" s="67"/>
      <c r="O119" s="54"/>
      <c r="P119" s="54"/>
      <c r="Q119" s="54"/>
      <c r="R119" s="68"/>
    </row>
    <row r="120" spans="1:18" ht="14.4">
      <c r="A120" s="67">
        <f t="shared" si="33"/>
        <v>107</v>
      </c>
      <c r="B120" s="61">
        <v>46046</v>
      </c>
      <c r="C120" s="33">
        <v>9983257</v>
      </c>
      <c r="D120" s="34">
        <v>54244959</v>
      </c>
      <c r="E120" s="35">
        <v>58.848999999999997</v>
      </c>
      <c r="F120" s="138">
        <v>642.73</v>
      </c>
      <c r="G120" s="36">
        <f t="shared" si="34"/>
        <v>600.73</v>
      </c>
      <c r="H120" s="36">
        <f t="shared" si="31"/>
        <v>37223.287769999995</v>
      </c>
      <c r="I120" s="37">
        <v>39944.86</v>
      </c>
      <c r="J120" s="37">
        <f t="shared" si="32"/>
        <v>2350715.0661399998</v>
      </c>
      <c r="K120" s="38" t="s">
        <v>16</v>
      </c>
      <c r="L120" s="165" t="s">
        <v>17</v>
      </c>
      <c r="M120" s="62"/>
      <c r="N120" s="67"/>
      <c r="O120" s="54"/>
      <c r="P120" s="54"/>
      <c r="Q120" s="54"/>
      <c r="R120" s="68"/>
    </row>
    <row r="121" spans="1:18" ht="14.4">
      <c r="A121" s="67">
        <f t="shared" si="33"/>
        <v>108</v>
      </c>
      <c r="B121" s="61">
        <v>46046</v>
      </c>
      <c r="C121" s="33">
        <v>9983257</v>
      </c>
      <c r="D121" s="34">
        <v>57039562</v>
      </c>
      <c r="E121" s="35">
        <v>59.35</v>
      </c>
      <c r="F121" s="138">
        <v>642.73</v>
      </c>
      <c r="G121" s="36">
        <f t="shared" si="34"/>
        <v>600.73</v>
      </c>
      <c r="H121" s="36">
        <f t="shared" si="31"/>
        <v>37545.2955</v>
      </c>
      <c r="I121" s="37">
        <v>39944.86</v>
      </c>
      <c r="J121" s="37">
        <f t="shared" si="32"/>
        <v>2370727.4410000001</v>
      </c>
      <c r="K121" s="38" t="s">
        <v>16</v>
      </c>
      <c r="L121" s="165" t="s">
        <v>17</v>
      </c>
      <c r="M121" s="62"/>
      <c r="N121" s="67"/>
      <c r="O121" s="54"/>
      <c r="P121" s="54"/>
      <c r="Q121" s="54"/>
      <c r="R121" s="68"/>
    </row>
    <row r="122" spans="1:18" ht="14.4">
      <c r="A122" s="67">
        <f t="shared" si="33"/>
        <v>109</v>
      </c>
      <c r="B122" s="61">
        <v>46046</v>
      </c>
      <c r="C122" s="33">
        <v>9983257</v>
      </c>
      <c r="D122" s="34">
        <v>57212094</v>
      </c>
      <c r="E122" s="35">
        <v>59.600999999999999</v>
      </c>
      <c r="F122" s="138">
        <v>642.73</v>
      </c>
      <c r="G122" s="36">
        <f t="shared" si="34"/>
        <v>600.73</v>
      </c>
      <c r="H122" s="36">
        <f t="shared" si="31"/>
        <v>37706.620729999995</v>
      </c>
      <c r="I122" s="37">
        <v>39944.86</v>
      </c>
      <c r="J122" s="37">
        <f t="shared" si="32"/>
        <v>2380753.6008600001</v>
      </c>
      <c r="K122" s="38" t="s">
        <v>16</v>
      </c>
      <c r="L122" s="165" t="s">
        <v>17</v>
      </c>
      <c r="M122" s="62"/>
      <c r="N122" s="67"/>
      <c r="O122" s="54"/>
      <c r="P122" s="54"/>
      <c r="Q122" s="54"/>
      <c r="R122" s="68"/>
    </row>
    <row r="123" spans="1:18" ht="14.4">
      <c r="A123" s="67">
        <f t="shared" si="33"/>
        <v>110</v>
      </c>
      <c r="B123" s="61">
        <v>46046</v>
      </c>
      <c r="C123" s="33">
        <v>9983257</v>
      </c>
      <c r="D123" s="34">
        <v>57216699</v>
      </c>
      <c r="E123" s="35">
        <v>59.801000000000002</v>
      </c>
      <c r="F123" s="138">
        <v>642.73</v>
      </c>
      <c r="G123" s="36">
        <f t="shared" si="34"/>
        <v>600.73</v>
      </c>
      <c r="H123" s="36">
        <f t="shared" si="31"/>
        <v>37835.166729999997</v>
      </c>
      <c r="I123" s="37">
        <v>39944.86</v>
      </c>
      <c r="J123" s="37">
        <f t="shared" si="32"/>
        <v>2388742.5728600002</v>
      </c>
      <c r="K123" s="38" t="s">
        <v>16</v>
      </c>
      <c r="L123" s="165" t="s">
        <v>17</v>
      </c>
      <c r="M123" s="62"/>
      <c r="N123" s="67"/>
      <c r="O123" s="54"/>
      <c r="P123" s="54"/>
      <c r="Q123" s="54"/>
      <c r="R123" s="68"/>
    </row>
    <row r="124" spans="1:18" ht="14.4">
      <c r="A124" s="67">
        <f t="shared" si="33"/>
        <v>111</v>
      </c>
      <c r="B124" s="61">
        <v>46046</v>
      </c>
      <c r="C124" s="33">
        <v>9983257</v>
      </c>
      <c r="D124" s="34">
        <v>57221079</v>
      </c>
      <c r="E124" s="35">
        <v>59.951000000000001</v>
      </c>
      <c r="F124" s="138">
        <v>642.73</v>
      </c>
      <c r="G124" s="36">
        <f t="shared" si="34"/>
        <v>600.73</v>
      </c>
      <c r="H124" s="36">
        <f t="shared" si="31"/>
        <v>37931.576229999999</v>
      </c>
      <c r="I124" s="37">
        <v>39944.86</v>
      </c>
      <c r="J124" s="37">
        <f t="shared" si="32"/>
        <v>2394734.30186</v>
      </c>
      <c r="K124" s="38" t="s">
        <v>16</v>
      </c>
      <c r="L124" s="165" t="s">
        <v>17</v>
      </c>
      <c r="M124" s="62"/>
      <c r="N124" s="67"/>
      <c r="O124" s="54"/>
      <c r="P124" s="54"/>
      <c r="Q124" s="54"/>
      <c r="R124" s="68"/>
    </row>
    <row r="125" spans="1:18" ht="14.4">
      <c r="A125" s="67">
        <f t="shared" si="33"/>
        <v>112</v>
      </c>
      <c r="B125" s="61">
        <v>46046</v>
      </c>
      <c r="C125" s="33">
        <v>9983257</v>
      </c>
      <c r="D125" s="34">
        <v>57503393</v>
      </c>
      <c r="E125" s="35">
        <v>58.848999999999997</v>
      </c>
      <c r="F125" s="138">
        <v>642.73</v>
      </c>
      <c r="G125" s="36">
        <f t="shared" si="34"/>
        <v>600.73</v>
      </c>
      <c r="H125" s="36">
        <f t="shared" si="31"/>
        <v>37223.287769999995</v>
      </c>
      <c r="I125" s="37">
        <v>39944.86</v>
      </c>
      <c r="J125" s="37">
        <f t="shared" si="32"/>
        <v>2350715.0661399998</v>
      </c>
      <c r="K125" s="38" t="s">
        <v>16</v>
      </c>
      <c r="L125" s="165" t="s">
        <v>17</v>
      </c>
      <c r="M125" s="62"/>
      <c r="N125" s="67"/>
      <c r="O125" s="54"/>
      <c r="P125" s="54"/>
      <c r="Q125" s="54"/>
      <c r="R125" s="68"/>
    </row>
    <row r="126" spans="1:18" ht="14.4">
      <c r="A126" s="67">
        <f t="shared" si="33"/>
        <v>113</v>
      </c>
      <c r="B126" s="61">
        <v>46046</v>
      </c>
      <c r="C126" s="33">
        <v>9983257</v>
      </c>
      <c r="D126" s="34">
        <v>57520694</v>
      </c>
      <c r="E126" s="35">
        <v>58.347999999999999</v>
      </c>
      <c r="F126" s="138">
        <v>642.73</v>
      </c>
      <c r="G126" s="36">
        <f t="shared" si="34"/>
        <v>600.73</v>
      </c>
      <c r="H126" s="36">
        <f t="shared" si="31"/>
        <v>36901.280039999998</v>
      </c>
      <c r="I126" s="37">
        <v>39944.86</v>
      </c>
      <c r="J126" s="37">
        <f t="shared" si="32"/>
        <v>2330702.6912799999</v>
      </c>
      <c r="K126" s="38" t="s">
        <v>16</v>
      </c>
      <c r="L126" s="165" t="s">
        <v>17</v>
      </c>
      <c r="M126" s="62"/>
      <c r="N126" s="67"/>
      <c r="O126" s="54"/>
      <c r="P126" s="54"/>
      <c r="Q126" s="54"/>
      <c r="R126" s="68"/>
    </row>
    <row r="127" spans="1:18" ht="14.4">
      <c r="A127" s="67">
        <f t="shared" si="33"/>
        <v>114</v>
      </c>
      <c r="B127" s="61">
        <v>46046</v>
      </c>
      <c r="C127" s="33">
        <v>9983257</v>
      </c>
      <c r="D127" s="34">
        <v>57933772</v>
      </c>
      <c r="E127" s="35">
        <v>60.652000000000001</v>
      </c>
      <c r="F127" s="138">
        <v>642.73</v>
      </c>
      <c r="G127" s="36">
        <f t="shared" si="34"/>
        <v>600.73</v>
      </c>
      <c r="H127" s="36">
        <f t="shared" si="31"/>
        <v>38382.129959999998</v>
      </c>
      <c r="I127" s="37">
        <v>39944.86</v>
      </c>
      <c r="J127" s="37">
        <f t="shared" si="32"/>
        <v>2422735.6487199999</v>
      </c>
      <c r="K127" s="38" t="s">
        <v>16</v>
      </c>
      <c r="L127" s="165" t="s">
        <v>17</v>
      </c>
      <c r="M127" s="62"/>
      <c r="N127" s="67"/>
      <c r="O127" s="54"/>
      <c r="P127" s="54"/>
      <c r="Q127" s="54"/>
      <c r="R127" s="68"/>
    </row>
    <row r="128" spans="1:18" ht="14.4">
      <c r="A128" s="67">
        <f t="shared" si="33"/>
        <v>115</v>
      </c>
      <c r="B128" s="61">
        <v>46046</v>
      </c>
      <c r="C128" s="33">
        <v>9983257</v>
      </c>
      <c r="D128" s="34">
        <v>57934861</v>
      </c>
      <c r="E128" s="35">
        <v>60.652000000000001</v>
      </c>
      <c r="F128" s="138">
        <v>642.73</v>
      </c>
      <c r="G128" s="36">
        <f t="shared" si="34"/>
        <v>600.73</v>
      </c>
      <c r="H128" s="36">
        <f t="shared" si="31"/>
        <v>38382.129959999998</v>
      </c>
      <c r="I128" s="37">
        <v>39944.86</v>
      </c>
      <c r="J128" s="37">
        <f t="shared" si="32"/>
        <v>2422735.6487199999</v>
      </c>
      <c r="K128" s="38" t="s">
        <v>16</v>
      </c>
      <c r="L128" s="165" t="s">
        <v>17</v>
      </c>
      <c r="M128" s="62"/>
      <c r="N128" s="67"/>
      <c r="O128" s="54"/>
      <c r="P128" s="54"/>
      <c r="Q128" s="54"/>
      <c r="R128" s="68"/>
    </row>
    <row r="129" spans="1:18" ht="14.4">
      <c r="A129" s="67">
        <f t="shared" si="33"/>
        <v>116</v>
      </c>
      <c r="B129" s="61">
        <v>46046</v>
      </c>
      <c r="C129" s="33">
        <v>9983257</v>
      </c>
      <c r="D129" s="34">
        <v>58645367</v>
      </c>
      <c r="E129" s="35">
        <v>59.901000000000003</v>
      </c>
      <c r="F129" s="138">
        <v>642.73</v>
      </c>
      <c r="G129" s="36">
        <f t="shared" si="34"/>
        <v>600.73</v>
      </c>
      <c r="H129" s="36">
        <f t="shared" si="31"/>
        <v>37899.439729999998</v>
      </c>
      <c r="I129" s="37">
        <v>39944.86</v>
      </c>
      <c r="J129" s="37">
        <f t="shared" si="32"/>
        <v>2392737.0588600002</v>
      </c>
      <c r="K129" s="38" t="s">
        <v>16</v>
      </c>
      <c r="L129" s="165" t="s">
        <v>17</v>
      </c>
      <c r="M129" s="62"/>
      <c r="N129" s="67"/>
      <c r="O129" s="54"/>
      <c r="P129" s="54"/>
      <c r="Q129" s="54"/>
      <c r="R129" s="68"/>
    </row>
    <row r="130" spans="1:18" ht="15" thickBot="1">
      <c r="A130" s="69">
        <f t="shared" si="33"/>
        <v>117</v>
      </c>
      <c r="B130" s="112">
        <v>46046</v>
      </c>
      <c r="C130" s="43">
        <v>9983257</v>
      </c>
      <c r="D130" s="44">
        <v>75191585</v>
      </c>
      <c r="E130" s="45">
        <v>60.000999999999998</v>
      </c>
      <c r="F130" s="138">
        <v>642.73</v>
      </c>
      <c r="G130" s="36">
        <f t="shared" si="34"/>
        <v>600.73</v>
      </c>
      <c r="H130" s="98">
        <f t="shared" si="31"/>
        <v>37963.712729999999</v>
      </c>
      <c r="I130" s="37">
        <v>39944.86</v>
      </c>
      <c r="J130" s="99">
        <f t="shared" si="32"/>
        <v>2396731.5448599998</v>
      </c>
      <c r="K130" s="100" t="s">
        <v>16</v>
      </c>
      <c r="L130" s="166" t="s">
        <v>17</v>
      </c>
      <c r="M130" s="103"/>
      <c r="N130" s="69"/>
      <c r="O130" s="70"/>
      <c r="P130" s="70"/>
      <c r="Q130" s="70"/>
      <c r="R130" s="71"/>
    </row>
    <row r="131" spans="1:18" ht="14.4" thickBot="1">
      <c r="A131" s="116"/>
      <c r="B131" s="117"/>
      <c r="C131" s="117"/>
      <c r="D131" s="117"/>
      <c r="E131" s="118">
        <f>SUM(E113:E130)</f>
        <v>1048.6100000000001</v>
      </c>
      <c r="F131" s="117"/>
      <c r="G131" s="117"/>
      <c r="H131" s="159">
        <f>SUM(H113:H130)</f>
        <v>663159.96530000004</v>
      </c>
      <c r="I131" s="117"/>
      <c r="J131" s="139">
        <f>SUM(J113:J130)</f>
        <v>41886579.644599997</v>
      </c>
      <c r="K131" s="117"/>
      <c r="L131" s="123"/>
      <c r="M131" s="125"/>
      <c r="N131" s="124"/>
      <c r="O131" s="117"/>
      <c r="P131" s="117"/>
      <c r="Q131" s="117"/>
      <c r="R131" s="119"/>
    </row>
    <row r="132" spans="1:18" ht="15" thickBot="1">
      <c r="A132" s="200">
        <v>118</v>
      </c>
      <c r="B132" s="89">
        <v>46046</v>
      </c>
      <c r="C132" s="27">
        <v>9983257</v>
      </c>
      <c r="D132" s="28">
        <v>54026927</v>
      </c>
      <c r="E132" s="201">
        <v>3.9</v>
      </c>
      <c r="F132" s="138">
        <v>642.73</v>
      </c>
      <c r="G132" s="29">
        <f>F132-42</f>
        <v>600.73</v>
      </c>
      <c r="H132" s="29">
        <f t="shared" ref="H132" si="35">E132*F132-G132</f>
        <v>1905.9169999999999</v>
      </c>
      <c r="I132" s="37">
        <v>39944.86</v>
      </c>
      <c r="J132" s="30">
        <f t="shared" ref="J132" si="36">E132*I132</f>
        <v>155784.954</v>
      </c>
      <c r="K132" s="31" t="s">
        <v>16</v>
      </c>
      <c r="L132" s="203" t="s">
        <v>17</v>
      </c>
      <c r="M132" s="183"/>
      <c r="N132" s="192"/>
      <c r="O132" s="182"/>
      <c r="P132" s="182"/>
      <c r="Q132" s="182"/>
      <c r="R132" s="193"/>
    </row>
    <row r="133" spans="1:18" ht="14.4" thickBot="1">
      <c r="A133" s="116"/>
      <c r="B133" s="117"/>
      <c r="C133" s="117"/>
      <c r="D133" s="117"/>
      <c r="E133" s="118">
        <f>E132</f>
        <v>3.9</v>
      </c>
      <c r="F133" s="117"/>
      <c r="G133" s="117"/>
      <c r="H133" s="159">
        <f>H132</f>
        <v>1905.9169999999999</v>
      </c>
      <c r="I133" s="117"/>
      <c r="J133" s="139">
        <f>J132</f>
        <v>155784.954</v>
      </c>
      <c r="K133" s="117"/>
      <c r="L133" s="209"/>
      <c r="M133" s="191"/>
      <c r="N133" s="157"/>
      <c r="O133" s="156"/>
      <c r="P133" s="156"/>
      <c r="Q133" s="156"/>
      <c r="R133" s="158"/>
    </row>
    <row r="134" spans="1:18" ht="15" thickBot="1">
      <c r="A134" s="204">
        <v>119</v>
      </c>
      <c r="B134" s="97">
        <v>46046</v>
      </c>
      <c r="C134" s="205">
        <v>9983257</v>
      </c>
      <c r="D134" s="206">
        <v>54026927</v>
      </c>
      <c r="E134" s="207">
        <v>21.6</v>
      </c>
      <c r="F134" s="138">
        <v>642.73</v>
      </c>
      <c r="G134" s="46">
        <f>F134-42</f>
        <v>600.73</v>
      </c>
      <c r="H134" s="46">
        <f t="shared" ref="H134" si="37">E134*F134-G134</f>
        <v>13282.238000000001</v>
      </c>
      <c r="I134" s="37">
        <v>39944.86</v>
      </c>
      <c r="J134" s="47">
        <f t="shared" ref="J134" si="38">E134*I134</f>
        <v>862808.97600000002</v>
      </c>
      <c r="K134" s="48" t="s">
        <v>16</v>
      </c>
      <c r="L134" s="166" t="s">
        <v>17</v>
      </c>
      <c r="M134" s="183"/>
      <c r="N134" s="192"/>
      <c r="O134" s="182"/>
      <c r="P134" s="182"/>
      <c r="Q134" s="182"/>
      <c r="R134" s="193"/>
    </row>
    <row r="135" spans="1:18" ht="14.4" thickBot="1">
      <c r="A135" s="116"/>
      <c r="B135" s="117"/>
      <c r="C135" s="117"/>
      <c r="D135" s="117"/>
      <c r="E135" s="118">
        <f>E134</f>
        <v>21.6</v>
      </c>
      <c r="F135" s="117"/>
      <c r="G135" s="117"/>
      <c r="H135" s="159">
        <f>H134</f>
        <v>13282.238000000001</v>
      </c>
      <c r="I135" s="117"/>
      <c r="J135" s="139">
        <f>J134</f>
        <v>862808.97600000002</v>
      </c>
      <c r="K135" s="117"/>
      <c r="L135" s="123"/>
      <c r="M135" s="125"/>
      <c r="N135" s="124"/>
      <c r="O135" s="117"/>
      <c r="P135" s="117"/>
      <c r="Q135" s="117"/>
      <c r="R135" s="119"/>
    </row>
    <row r="136" spans="1:18" ht="15" thickBot="1">
      <c r="A136" s="181">
        <v>120</v>
      </c>
      <c r="B136" s="194">
        <v>46047</v>
      </c>
      <c r="C136" s="3">
        <v>9983264</v>
      </c>
      <c r="D136" s="4">
        <v>54244876</v>
      </c>
      <c r="E136" s="5">
        <v>58.3</v>
      </c>
      <c r="F136" s="138">
        <v>642.73</v>
      </c>
      <c r="G136" s="36">
        <f>F136-42</f>
        <v>600.73</v>
      </c>
      <c r="H136" s="36">
        <f t="shared" ref="H136" si="39">E136*F136-G136</f>
        <v>36870.428999999996</v>
      </c>
      <c r="I136" s="37">
        <v>39944.86</v>
      </c>
      <c r="J136" s="37">
        <f t="shared" ref="J136" si="40">E136*I136</f>
        <v>2328785.338</v>
      </c>
      <c r="K136" s="38" t="s">
        <v>16</v>
      </c>
      <c r="L136" s="165" t="s">
        <v>17</v>
      </c>
      <c r="M136" s="183"/>
      <c r="N136" s="192"/>
      <c r="O136" s="182"/>
      <c r="P136" s="182"/>
      <c r="Q136" s="182"/>
      <c r="R136" s="193"/>
    </row>
    <row r="137" spans="1:18" ht="14.4" thickBot="1">
      <c r="A137" s="184"/>
      <c r="B137" s="185"/>
      <c r="C137" s="185"/>
      <c r="D137" s="185"/>
      <c r="E137" s="186">
        <f>E136</f>
        <v>58.3</v>
      </c>
      <c r="F137" s="185"/>
      <c r="G137" s="185"/>
      <c r="H137" s="187">
        <f>H136</f>
        <v>36870.428999999996</v>
      </c>
      <c r="I137" s="185"/>
      <c r="J137" s="188">
        <f>J136</f>
        <v>2328785.338</v>
      </c>
      <c r="K137" s="185"/>
      <c r="L137" s="195"/>
      <c r="M137" s="190"/>
      <c r="N137" s="196"/>
      <c r="O137" s="185"/>
      <c r="P137" s="185"/>
      <c r="Q137" s="185"/>
      <c r="R137" s="189"/>
    </row>
    <row r="138" spans="1:18" ht="14.4">
      <c r="A138" s="64">
        <v>121</v>
      </c>
      <c r="B138" s="87">
        <v>46049</v>
      </c>
      <c r="C138" s="104">
        <v>9983293</v>
      </c>
      <c r="D138" s="105">
        <v>50133412</v>
      </c>
      <c r="E138" s="106">
        <v>61.35</v>
      </c>
      <c r="F138" s="138">
        <v>642.73</v>
      </c>
      <c r="G138" s="29">
        <f>F138-42</f>
        <v>600.73</v>
      </c>
      <c r="H138" s="93">
        <f t="shared" ref="H138:H141" si="41">E138*F138-G138</f>
        <v>38830.755499999999</v>
      </c>
      <c r="I138" s="37">
        <v>39944.86</v>
      </c>
      <c r="J138" s="94">
        <f t="shared" ref="J138:J141" si="42">E138*I138</f>
        <v>2450617.1610000003</v>
      </c>
      <c r="K138" s="95" t="s">
        <v>16</v>
      </c>
      <c r="L138" s="164" t="s">
        <v>17</v>
      </c>
      <c r="M138" s="197"/>
      <c r="N138" s="64"/>
      <c r="O138" s="65"/>
      <c r="P138" s="65"/>
      <c r="Q138" s="65"/>
      <c r="R138" s="66"/>
    </row>
    <row r="139" spans="1:18" ht="14.4">
      <c r="A139" s="67">
        <f>A138+1</f>
        <v>122</v>
      </c>
      <c r="B139" s="61">
        <v>46049</v>
      </c>
      <c r="C139" s="3">
        <v>9983293</v>
      </c>
      <c r="D139" s="4">
        <v>51689123</v>
      </c>
      <c r="E139" s="5">
        <v>59.296999999999997</v>
      </c>
      <c r="F139" s="138">
        <v>642.73</v>
      </c>
      <c r="G139" s="36">
        <f t="shared" ref="G139:G141" si="43">F139-42</f>
        <v>600.73</v>
      </c>
      <c r="H139" s="36">
        <f t="shared" si="41"/>
        <v>37511.230809999994</v>
      </c>
      <c r="I139" s="37">
        <v>39944.86</v>
      </c>
      <c r="J139" s="37">
        <f t="shared" si="42"/>
        <v>2368610.3634199998</v>
      </c>
      <c r="K139" s="38" t="s">
        <v>16</v>
      </c>
      <c r="L139" s="165" t="s">
        <v>17</v>
      </c>
      <c r="M139" s="198"/>
      <c r="N139" s="67"/>
      <c r="O139" s="54"/>
      <c r="P139" s="54"/>
      <c r="Q139" s="54"/>
      <c r="R139" s="68"/>
    </row>
    <row r="140" spans="1:18" ht="14.4">
      <c r="A140" s="67">
        <f t="shared" ref="A140:A141" si="44">A139+1</f>
        <v>123</v>
      </c>
      <c r="B140" s="61">
        <v>46049</v>
      </c>
      <c r="C140" s="3">
        <v>9983293</v>
      </c>
      <c r="D140" s="4">
        <v>54097472</v>
      </c>
      <c r="E140" s="5">
        <v>59.948</v>
      </c>
      <c r="F140" s="138">
        <v>642.73</v>
      </c>
      <c r="G140" s="36">
        <f t="shared" si="43"/>
        <v>600.73</v>
      </c>
      <c r="H140" s="36">
        <f t="shared" si="41"/>
        <v>37929.64804</v>
      </c>
      <c r="I140" s="37">
        <v>39944.86</v>
      </c>
      <c r="J140" s="37">
        <f t="shared" si="42"/>
        <v>2394614.46728</v>
      </c>
      <c r="K140" s="38" t="s">
        <v>16</v>
      </c>
      <c r="L140" s="165" t="s">
        <v>17</v>
      </c>
      <c r="M140" s="198"/>
      <c r="N140" s="67"/>
      <c r="O140" s="54"/>
      <c r="P140" s="54"/>
      <c r="Q140" s="54"/>
      <c r="R140" s="68"/>
    </row>
    <row r="141" spans="1:18" ht="15" thickBot="1">
      <c r="A141" s="69">
        <f t="shared" si="44"/>
        <v>124</v>
      </c>
      <c r="B141" s="112">
        <v>46049</v>
      </c>
      <c r="C141" s="107">
        <v>9983293</v>
      </c>
      <c r="D141" s="108">
        <v>57139768</v>
      </c>
      <c r="E141" s="109">
        <v>57.994999999999997</v>
      </c>
      <c r="F141" s="138">
        <v>642.73</v>
      </c>
      <c r="G141" s="73">
        <f t="shared" si="43"/>
        <v>600.73</v>
      </c>
      <c r="H141" s="98">
        <f t="shared" si="41"/>
        <v>36674.396349999995</v>
      </c>
      <c r="I141" s="37">
        <v>39944.86</v>
      </c>
      <c r="J141" s="99">
        <f t="shared" si="42"/>
        <v>2316602.1557</v>
      </c>
      <c r="K141" s="100" t="s">
        <v>16</v>
      </c>
      <c r="L141" s="166" t="s">
        <v>17</v>
      </c>
      <c r="M141" s="199"/>
      <c r="N141" s="69"/>
      <c r="O141" s="70"/>
      <c r="P141" s="70"/>
      <c r="Q141" s="70"/>
      <c r="R141" s="71"/>
    </row>
    <row r="142" spans="1:18" ht="14.4" thickBot="1">
      <c r="A142" s="116"/>
      <c r="B142" s="117"/>
      <c r="C142" s="117"/>
      <c r="D142" s="117"/>
      <c r="E142" s="118">
        <f>SUM(E138:E141)</f>
        <v>238.59</v>
      </c>
      <c r="F142" s="117"/>
      <c r="G142" s="117"/>
      <c r="H142" s="159">
        <f>SUM(H138:H141)</f>
        <v>150946.0307</v>
      </c>
      <c r="I142" s="117"/>
      <c r="J142" s="139">
        <f>SUM(J138:J141)</f>
        <v>9530444.1474000011</v>
      </c>
      <c r="K142" s="117"/>
      <c r="L142" s="123"/>
      <c r="M142" s="125"/>
      <c r="N142" s="124"/>
      <c r="O142" s="117"/>
      <c r="P142" s="117"/>
      <c r="Q142" s="117"/>
      <c r="R142" s="119"/>
    </row>
    <row r="143" spans="1:18" ht="14.4">
      <c r="A143" s="60">
        <v>125</v>
      </c>
      <c r="B143" s="72">
        <v>46049</v>
      </c>
      <c r="C143" s="212" t="s">
        <v>26</v>
      </c>
      <c r="D143" s="60">
        <v>73189169</v>
      </c>
      <c r="E143" s="213">
        <v>60.698</v>
      </c>
      <c r="F143" s="138">
        <v>642.73</v>
      </c>
      <c r="G143" s="73">
        <f>F143-42</f>
        <v>600.73</v>
      </c>
      <c r="H143" s="73">
        <f t="shared" ref="H143:H157" si="45">E143*F143-G143</f>
        <v>38411.695540000001</v>
      </c>
      <c r="I143" s="37">
        <v>39944.86</v>
      </c>
      <c r="J143" s="74">
        <f t="shared" ref="J143:J157" si="46">E143*I143</f>
        <v>2424573.11228</v>
      </c>
      <c r="K143" s="75" t="s">
        <v>16</v>
      </c>
      <c r="L143" s="165" t="s">
        <v>17</v>
      </c>
      <c r="M143" s="77"/>
      <c r="N143" s="78"/>
      <c r="O143" s="60"/>
      <c r="P143" s="60"/>
      <c r="Q143" s="60"/>
      <c r="R143" s="79"/>
    </row>
    <row r="144" spans="1:18" ht="14.4">
      <c r="A144" s="54">
        <f>A143+1</f>
        <v>126</v>
      </c>
      <c r="B144" s="61">
        <v>46049</v>
      </c>
      <c r="C144" s="149" t="s">
        <v>26</v>
      </c>
      <c r="D144" s="54">
        <v>73540486</v>
      </c>
      <c r="E144" s="148">
        <v>61.249000000000002</v>
      </c>
      <c r="F144" s="138">
        <v>642.73</v>
      </c>
      <c r="G144" s="36">
        <f>F144-42</f>
        <v>600.73</v>
      </c>
      <c r="H144" s="36">
        <f t="shared" si="45"/>
        <v>38765.839769999999</v>
      </c>
      <c r="I144" s="37">
        <v>39944.86</v>
      </c>
      <c r="J144" s="37">
        <f t="shared" si="46"/>
        <v>2446582.7301400001</v>
      </c>
      <c r="K144" s="38" t="s">
        <v>16</v>
      </c>
      <c r="L144" s="165" t="s">
        <v>17</v>
      </c>
      <c r="M144" s="62"/>
      <c r="N144" s="67"/>
      <c r="O144" s="54"/>
      <c r="P144" s="54"/>
      <c r="Q144" s="54"/>
      <c r="R144" s="68"/>
    </row>
    <row r="145" spans="1:18" ht="14.4">
      <c r="A145" s="54">
        <f t="shared" ref="A145:A157" si="47">A144+1</f>
        <v>127</v>
      </c>
      <c r="B145" s="61">
        <v>46049</v>
      </c>
      <c r="C145" s="149" t="s">
        <v>26</v>
      </c>
      <c r="D145" s="54">
        <v>75089730</v>
      </c>
      <c r="E145" s="148">
        <v>61.249000000000002</v>
      </c>
      <c r="F145" s="138">
        <v>642.73</v>
      </c>
      <c r="G145" s="36">
        <f t="shared" ref="G145:G184" si="48">F145-42</f>
        <v>600.73</v>
      </c>
      <c r="H145" s="36">
        <f t="shared" si="45"/>
        <v>38765.839769999999</v>
      </c>
      <c r="I145" s="37">
        <v>39944.86</v>
      </c>
      <c r="J145" s="37">
        <f t="shared" si="46"/>
        <v>2446582.7301400001</v>
      </c>
      <c r="K145" s="38" t="s">
        <v>16</v>
      </c>
      <c r="L145" s="165" t="s">
        <v>17</v>
      </c>
      <c r="M145" s="62"/>
      <c r="N145" s="67"/>
      <c r="O145" s="54"/>
      <c r="P145" s="54"/>
      <c r="Q145" s="54"/>
      <c r="R145" s="68"/>
    </row>
    <row r="146" spans="1:18" ht="14.4">
      <c r="A146" s="54">
        <f t="shared" si="47"/>
        <v>128</v>
      </c>
      <c r="B146" s="61">
        <v>46049</v>
      </c>
      <c r="C146" s="149" t="s">
        <v>26</v>
      </c>
      <c r="D146" s="54">
        <v>57178659</v>
      </c>
      <c r="E146" s="148">
        <v>61.649000000000001</v>
      </c>
      <c r="F146" s="138">
        <v>642.73</v>
      </c>
      <c r="G146" s="36">
        <f t="shared" si="48"/>
        <v>600.73</v>
      </c>
      <c r="H146" s="36">
        <f t="shared" si="45"/>
        <v>39022.931769999996</v>
      </c>
      <c r="I146" s="37">
        <v>39944.86</v>
      </c>
      <c r="J146" s="37">
        <f t="shared" si="46"/>
        <v>2462560.6741400003</v>
      </c>
      <c r="K146" s="38" t="s">
        <v>16</v>
      </c>
      <c r="L146" s="165" t="s">
        <v>17</v>
      </c>
      <c r="M146" s="62"/>
      <c r="N146" s="67"/>
      <c r="O146" s="54"/>
      <c r="P146" s="54"/>
      <c r="Q146" s="54"/>
      <c r="R146" s="68"/>
    </row>
    <row r="147" spans="1:18" ht="14.4">
      <c r="A147" s="54">
        <f t="shared" si="47"/>
        <v>129</v>
      </c>
      <c r="B147" s="61">
        <v>46049</v>
      </c>
      <c r="C147" s="149" t="s">
        <v>26</v>
      </c>
      <c r="D147" s="54">
        <v>57177248</v>
      </c>
      <c r="E147" s="148">
        <v>59.896999999999998</v>
      </c>
      <c r="F147" s="138">
        <v>642.73</v>
      </c>
      <c r="G147" s="36">
        <f t="shared" si="48"/>
        <v>600.73</v>
      </c>
      <c r="H147" s="36">
        <f t="shared" si="45"/>
        <v>37896.86881</v>
      </c>
      <c r="I147" s="37">
        <v>39944.86</v>
      </c>
      <c r="J147" s="37">
        <f t="shared" si="46"/>
        <v>2392577.27942</v>
      </c>
      <c r="K147" s="38" t="s">
        <v>16</v>
      </c>
      <c r="L147" s="165" t="s">
        <v>17</v>
      </c>
      <c r="M147" s="62"/>
      <c r="N147" s="67"/>
      <c r="O147" s="54"/>
      <c r="P147" s="54"/>
      <c r="Q147" s="54"/>
      <c r="R147" s="68"/>
    </row>
    <row r="148" spans="1:18" ht="14.4">
      <c r="A148" s="54">
        <f t="shared" si="47"/>
        <v>130</v>
      </c>
      <c r="B148" s="61">
        <v>46049</v>
      </c>
      <c r="C148" s="149" t="s">
        <v>26</v>
      </c>
      <c r="D148" s="54">
        <v>50426790</v>
      </c>
      <c r="E148" s="148">
        <v>62</v>
      </c>
      <c r="F148" s="138">
        <v>642.73</v>
      </c>
      <c r="G148" s="36">
        <f t="shared" si="48"/>
        <v>600.73</v>
      </c>
      <c r="H148" s="36">
        <f t="shared" si="45"/>
        <v>39248.53</v>
      </c>
      <c r="I148" s="37">
        <v>39944.86</v>
      </c>
      <c r="J148" s="37">
        <f t="shared" si="46"/>
        <v>2476581.3199999998</v>
      </c>
      <c r="K148" s="38" t="s">
        <v>16</v>
      </c>
      <c r="L148" s="165" t="s">
        <v>17</v>
      </c>
      <c r="M148" s="62"/>
      <c r="N148" s="67"/>
      <c r="O148" s="54"/>
      <c r="P148" s="54"/>
      <c r="Q148" s="54"/>
      <c r="R148" s="68"/>
    </row>
    <row r="149" spans="1:18" ht="14.4">
      <c r="A149" s="54">
        <f t="shared" si="47"/>
        <v>131</v>
      </c>
      <c r="B149" s="61">
        <v>46049</v>
      </c>
      <c r="C149" s="149" t="s">
        <v>26</v>
      </c>
      <c r="D149" s="54">
        <v>75101477</v>
      </c>
      <c r="E149" s="148">
        <v>62</v>
      </c>
      <c r="F149" s="138">
        <v>642.73</v>
      </c>
      <c r="G149" s="36">
        <f t="shared" si="48"/>
        <v>600.73</v>
      </c>
      <c r="H149" s="36">
        <f t="shared" si="45"/>
        <v>39248.53</v>
      </c>
      <c r="I149" s="37">
        <v>39944.86</v>
      </c>
      <c r="J149" s="37">
        <f t="shared" si="46"/>
        <v>2476581.3199999998</v>
      </c>
      <c r="K149" s="38" t="s">
        <v>16</v>
      </c>
      <c r="L149" s="165" t="s">
        <v>17</v>
      </c>
      <c r="M149" s="62"/>
      <c r="N149" s="67"/>
      <c r="O149" s="54"/>
      <c r="P149" s="54"/>
      <c r="Q149" s="54"/>
      <c r="R149" s="68"/>
    </row>
    <row r="150" spans="1:18" ht="14.4">
      <c r="A150" s="54">
        <f t="shared" si="47"/>
        <v>132</v>
      </c>
      <c r="B150" s="61">
        <v>46049</v>
      </c>
      <c r="C150" s="149" t="s">
        <v>26</v>
      </c>
      <c r="D150" s="54">
        <v>58289257</v>
      </c>
      <c r="E150" s="148">
        <v>61.048000000000002</v>
      </c>
      <c r="F150" s="138">
        <v>642.73</v>
      </c>
      <c r="G150" s="36">
        <f t="shared" si="48"/>
        <v>600.73</v>
      </c>
      <c r="H150" s="36">
        <f t="shared" si="45"/>
        <v>38636.651039999997</v>
      </c>
      <c r="I150" s="37">
        <v>39944.86</v>
      </c>
      <c r="J150" s="37">
        <f t="shared" si="46"/>
        <v>2438553.8132799999</v>
      </c>
      <c r="K150" s="38" t="s">
        <v>16</v>
      </c>
      <c r="L150" s="165" t="s">
        <v>17</v>
      </c>
      <c r="M150" s="62"/>
      <c r="N150" s="67"/>
      <c r="O150" s="54"/>
      <c r="P150" s="54"/>
      <c r="Q150" s="54"/>
      <c r="R150" s="68"/>
    </row>
    <row r="151" spans="1:18" ht="14.4">
      <c r="A151" s="54">
        <f t="shared" si="47"/>
        <v>133</v>
      </c>
      <c r="B151" s="61">
        <v>46049</v>
      </c>
      <c r="C151" s="149" t="s">
        <v>26</v>
      </c>
      <c r="D151" s="54">
        <v>75565598</v>
      </c>
      <c r="E151" s="148">
        <v>62.451000000000001</v>
      </c>
      <c r="F151" s="138">
        <v>642.73</v>
      </c>
      <c r="G151" s="36">
        <f t="shared" si="48"/>
        <v>600.73</v>
      </c>
      <c r="H151" s="36">
        <f t="shared" si="45"/>
        <v>39538.401229999996</v>
      </c>
      <c r="I151" s="37">
        <v>39944.86</v>
      </c>
      <c r="J151" s="37">
        <f t="shared" si="46"/>
        <v>2494596.4518599999</v>
      </c>
      <c r="K151" s="38" t="s">
        <v>16</v>
      </c>
      <c r="L151" s="165" t="s">
        <v>17</v>
      </c>
      <c r="M151" s="62"/>
      <c r="N151" s="67"/>
      <c r="O151" s="54"/>
      <c r="P151" s="54"/>
      <c r="Q151" s="54"/>
      <c r="R151" s="68"/>
    </row>
    <row r="152" spans="1:18" ht="14.4">
      <c r="A152" s="54">
        <f t="shared" si="47"/>
        <v>134</v>
      </c>
      <c r="B152" s="61">
        <v>46049</v>
      </c>
      <c r="C152" s="149" t="s">
        <v>26</v>
      </c>
      <c r="D152" s="54">
        <v>73088502</v>
      </c>
      <c r="E152" s="148">
        <v>60.698</v>
      </c>
      <c r="F152" s="138">
        <v>642.73</v>
      </c>
      <c r="G152" s="36">
        <f t="shared" si="48"/>
        <v>600.73</v>
      </c>
      <c r="H152" s="36">
        <f t="shared" si="45"/>
        <v>38411.695540000001</v>
      </c>
      <c r="I152" s="37">
        <v>39944.86</v>
      </c>
      <c r="J152" s="37">
        <f t="shared" si="46"/>
        <v>2424573.11228</v>
      </c>
      <c r="K152" s="38" t="s">
        <v>16</v>
      </c>
      <c r="L152" s="165" t="s">
        <v>17</v>
      </c>
      <c r="M152" s="62"/>
      <c r="N152" s="67"/>
      <c r="O152" s="54"/>
      <c r="P152" s="54"/>
      <c r="Q152" s="54"/>
      <c r="R152" s="68"/>
    </row>
    <row r="153" spans="1:18" ht="14.4">
      <c r="A153" s="54">
        <f t="shared" si="47"/>
        <v>135</v>
      </c>
      <c r="B153" s="61">
        <v>46049</v>
      </c>
      <c r="C153" s="149" t="s">
        <v>26</v>
      </c>
      <c r="D153" s="54">
        <v>55303028</v>
      </c>
      <c r="E153" s="148">
        <v>62.05</v>
      </c>
      <c r="F153" s="138">
        <v>642.73</v>
      </c>
      <c r="G153" s="36">
        <f t="shared" si="48"/>
        <v>600.73</v>
      </c>
      <c r="H153" s="36">
        <f t="shared" si="45"/>
        <v>39280.666499999999</v>
      </c>
      <c r="I153" s="37">
        <v>39944.86</v>
      </c>
      <c r="J153" s="37">
        <f t="shared" si="46"/>
        <v>2478578.5630000001</v>
      </c>
      <c r="K153" s="38" t="s">
        <v>16</v>
      </c>
      <c r="L153" s="165" t="s">
        <v>17</v>
      </c>
      <c r="M153" s="62"/>
      <c r="N153" s="67"/>
      <c r="O153" s="54"/>
      <c r="P153" s="54"/>
      <c r="Q153" s="54"/>
      <c r="R153" s="68"/>
    </row>
    <row r="154" spans="1:18" ht="14.4">
      <c r="A154" s="54">
        <f t="shared" si="47"/>
        <v>136</v>
      </c>
      <c r="B154" s="61">
        <v>46049</v>
      </c>
      <c r="C154" s="149" t="s">
        <v>26</v>
      </c>
      <c r="D154" s="54">
        <v>73206229</v>
      </c>
      <c r="E154" s="148">
        <v>61.698999999999998</v>
      </c>
      <c r="F154" s="138">
        <v>642.73</v>
      </c>
      <c r="G154" s="36">
        <f t="shared" si="48"/>
        <v>600.73</v>
      </c>
      <c r="H154" s="36">
        <f t="shared" si="45"/>
        <v>39055.068269999996</v>
      </c>
      <c r="I154" s="37">
        <v>39944.86</v>
      </c>
      <c r="J154" s="37">
        <f t="shared" si="46"/>
        <v>2464557.91714</v>
      </c>
      <c r="K154" s="38" t="s">
        <v>16</v>
      </c>
      <c r="L154" s="165" t="s">
        <v>17</v>
      </c>
      <c r="M154" s="62"/>
      <c r="N154" s="67"/>
      <c r="O154" s="54"/>
      <c r="P154" s="54"/>
      <c r="Q154" s="54"/>
      <c r="R154" s="68"/>
    </row>
    <row r="155" spans="1:18" ht="14.4">
      <c r="A155" s="54">
        <f t="shared" si="47"/>
        <v>137</v>
      </c>
      <c r="B155" s="61">
        <v>46049</v>
      </c>
      <c r="C155" s="149" t="s">
        <v>26</v>
      </c>
      <c r="D155" s="54">
        <v>51392843</v>
      </c>
      <c r="E155" s="148">
        <v>51.732999999999997</v>
      </c>
      <c r="F155" s="138">
        <v>642.73</v>
      </c>
      <c r="G155" s="36">
        <f t="shared" si="48"/>
        <v>600.73</v>
      </c>
      <c r="H155" s="36">
        <f t="shared" si="45"/>
        <v>32649.621089999997</v>
      </c>
      <c r="I155" s="37">
        <v>39944.86</v>
      </c>
      <c r="J155" s="37">
        <f t="shared" si="46"/>
        <v>2066467.4423799999</v>
      </c>
      <c r="K155" s="38" t="s">
        <v>16</v>
      </c>
      <c r="L155" s="165" t="s">
        <v>17</v>
      </c>
      <c r="M155" s="62"/>
      <c r="N155" s="67"/>
      <c r="O155" s="54"/>
      <c r="P155" s="54"/>
      <c r="Q155" s="54"/>
      <c r="R155" s="68"/>
    </row>
    <row r="156" spans="1:18" ht="14.4">
      <c r="A156" s="54">
        <f t="shared" si="47"/>
        <v>138</v>
      </c>
      <c r="B156" s="61">
        <v>46049</v>
      </c>
      <c r="C156" s="149" t="s">
        <v>26</v>
      </c>
      <c r="D156" s="54">
        <v>51547867</v>
      </c>
      <c r="E156" s="148">
        <v>51.683</v>
      </c>
      <c r="F156" s="138">
        <v>642.73</v>
      </c>
      <c r="G156" s="36">
        <f t="shared" si="48"/>
        <v>600.73</v>
      </c>
      <c r="H156" s="36">
        <f t="shared" si="45"/>
        <v>32617.484590000004</v>
      </c>
      <c r="I156" s="37">
        <v>39944.86</v>
      </c>
      <c r="J156" s="37">
        <f t="shared" si="46"/>
        <v>2064470.1993800001</v>
      </c>
      <c r="K156" s="38" t="s">
        <v>16</v>
      </c>
      <c r="L156" s="165" t="s">
        <v>17</v>
      </c>
      <c r="M156" s="62"/>
      <c r="N156" s="67"/>
      <c r="O156" s="54"/>
      <c r="P156" s="54"/>
      <c r="Q156" s="54"/>
      <c r="R156" s="68"/>
    </row>
    <row r="157" spans="1:18" ht="15" thickBot="1">
      <c r="A157" s="54">
        <f t="shared" si="47"/>
        <v>139</v>
      </c>
      <c r="B157" s="61">
        <v>46049</v>
      </c>
      <c r="C157" s="149" t="s">
        <v>26</v>
      </c>
      <c r="D157" s="210">
        <v>74905365</v>
      </c>
      <c r="E157" s="211">
        <v>62.3</v>
      </c>
      <c r="F157" s="138">
        <v>642.73</v>
      </c>
      <c r="G157" s="36">
        <f t="shared" si="48"/>
        <v>600.73</v>
      </c>
      <c r="H157" s="36">
        <f t="shared" si="45"/>
        <v>39441.348999999995</v>
      </c>
      <c r="I157" s="37">
        <v>39944.86</v>
      </c>
      <c r="J157" s="37">
        <f t="shared" si="46"/>
        <v>2488564.7779999999</v>
      </c>
      <c r="K157" s="38" t="s">
        <v>16</v>
      </c>
      <c r="L157" s="165" t="s">
        <v>17</v>
      </c>
      <c r="M157" s="63"/>
      <c r="N157" s="69"/>
      <c r="O157" s="70"/>
      <c r="P157" s="70"/>
      <c r="Q157" s="70"/>
      <c r="R157" s="71"/>
    </row>
    <row r="158" spans="1:18" ht="15" thickBot="1">
      <c r="A158" s="116"/>
      <c r="B158" s="117"/>
      <c r="C158" s="117"/>
      <c r="D158" s="117"/>
      <c r="E158" s="118">
        <f>SUM(E143:E157)</f>
        <v>902.40399999999977</v>
      </c>
      <c r="F158" s="117"/>
      <c r="G158" s="36"/>
      <c r="H158" s="159">
        <f>SUM(H143:H157)</f>
        <v>570991.17292000004</v>
      </c>
      <c r="I158" s="117"/>
      <c r="J158" s="139">
        <f>SUM(J143:J157)</f>
        <v>36046401.443439998</v>
      </c>
      <c r="K158" s="117"/>
      <c r="L158" s="119"/>
      <c r="M158" s="214"/>
      <c r="N158" s="116"/>
      <c r="O158" s="117"/>
      <c r="P158" s="117"/>
      <c r="Q158" s="117"/>
      <c r="R158" s="119"/>
    </row>
    <row r="159" spans="1:18" ht="14.4">
      <c r="A159" s="60">
        <v>140</v>
      </c>
      <c r="B159" s="72">
        <v>46049</v>
      </c>
      <c r="C159" s="212" t="s">
        <v>27</v>
      </c>
      <c r="D159" s="60">
        <v>71060644</v>
      </c>
      <c r="E159" s="213">
        <v>61.298999999999999</v>
      </c>
      <c r="F159" s="138">
        <v>642.73</v>
      </c>
      <c r="G159" s="36">
        <f t="shared" si="48"/>
        <v>600.73</v>
      </c>
      <c r="H159" s="36">
        <f t="shared" ref="H159:H172" si="49">E159*F159-G159</f>
        <v>38797.976269999999</v>
      </c>
      <c r="I159" s="37">
        <v>39944.86</v>
      </c>
      <c r="J159" s="37">
        <f t="shared" ref="J159:J172" si="50">E159*I159</f>
        <v>2448579.9731399999</v>
      </c>
      <c r="K159" s="38" t="s">
        <v>16</v>
      </c>
      <c r="L159" s="165" t="s">
        <v>17</v>
      </c>
      <c r="M159" s="77"/>
      <c r="N159" s="64"/>
      <c r="O159" s="65"/>
      <c r="P159" s="65"/>
      <c r="Q159" s="65"/>
      <c r="R159" s="66"/>
    </row>
    <row r="160" spans="1:18" ht="14.4">
      <c r="A160" s="54">
        <f>A159+1</f>
        <v>141</v>
      </c>
      <c r="B160" s="72">
        <v>46049</v>
      </c>
      <c r="C160" s="212" t="s">
        <v>27</v>
      </c>
      <c r="D160" s="54">
        <v>75241158</v>
      </c>
      <c r="E160" s="148">
        <v>61.098999999999997</v>
      </c>
      <c r="F160" s="138">
        <v>642.73</v>
      </c>
      <c r="G160" s="36">
        <f t="shared" si="48"/>
        <v>600.73</v>
      </c>
      <c r="H160" s="36">
        <f t="shared" si="49"/>
        <v>38669.430269999997</v>
      </c>
      <c r="I160" s="37">
        <v>39944.86</v>
      </c>
      <c r="J160" s="37">
        <f t="shared" si="50"/>
        <v>2440591.0011399998</v>
      </c>
      <c r="K160" s="38" t="s">
        <v>16</v>
      </c>
      <c r="L160" s="165" t="s">
        <v>17</v>
      </c>
      <c r="M160" s="62"/>
      <c r="N160" s="67"/>
      <c r="O160" s="54"/>
      <c r="P160" s="54"/>
      <c r="Q160" s="54"/>
      <c r="R160" s="68"/>
    </row>
    <row r="161" spans="1:20" ht="14.4">
      <c r="A161" s="54">
        <f t="shared" ref="A161:A172" si="51">A160+1</f>
        <v>142</v>
      </c>
      <c r="B161" s="72">
        <v>46049</v>
      </c>
      <c r="C161" s="212" t="s">
        <v>27</v>
      </c>
      <c r="D161" s="54">
        <v>75218123</v>
      </c>
      <c r="E161" s="148">
        <v>62.401000000000003</v>
      </c>
      <c r="F161" s="138">
        <v>642.73</v>
      </c>
      <c r="G161" s="36">
        <f t="shared" si="48"/>
        <v>600.73</v>
      </c>
      <c r="H161" s="36">
        <f t="shared" si="49"/>
        <v>39506.264730000003</v>
      </c>
      <c r="I161" s="37">
        <v>39944.86</v>
      </c>
      <c r="J161" s="37">
        <f t="shared" si="50"/>
        <v>2492599.2088600001</v>
      </c>
      <c r="K161" s="38" t="s">
        <v>16</v>
      </c>
      <c r="L161" s="165" t="s">
        <v>17</v>
      </c>
      <c r="M161" s="62"/>
      <c r="N161" s="67"/>
      <c r="O161" s="54"/>
      <c r="P161" s="54"/>
      <c r="Q161" s="54"/>
      <c r="R161" s="68"/>
    </row>
    <row r="162" spans="1:20" ht="14.4">
      <c r="A162" s="54">
        <f t="shared" si="51"/>
        <v>143</v>
      </c>
      <c r="B162" s="72">
        <v>46049</v>
      </c>
      <c r="C162" s="212" t="s">
        <v>27</v>
      </c>
      <c r="D162" s="54">
        <v>73134132</v>
      </c>
      <c r="E162" s="148">
        <v>61.75</v>
      </c>
      <c r="F162" s="138">
        <v>642.73</v>
      </c>
      <c r="G162" s="36">
        <f t="shared" si="48"/>
        <v>600.73</v>
      </c>
      <c r="H162" s="36">
        <f t="shared" si="49"/>
        <v>39087.847499999996</v>
      </c>
      <c r="I162" s="37">
        <v>39944.86</v>
      </c>
      <c r="J162" s="37">
        <f t="shared" si="50"/>
        <v>2466595.105</v>
      </c>
      <c r="K162" s="38" t="s">
        <v>16</v>
      </c>
      <c r="L162" s="165" t="s">
        <v>17</v>
      </c>
      <c r="M162" s="62"/>
      <c r="N162" s="67"/>
      <c r="O162" s="54"/>
      <c r="P162" s="54"/>
      <c r="Q162" s="54"/>
      <c r="R162" s="68"/>
    </row>
    <row r="163" spans="1:20" ht="14.4">
      <c r="A163" s="54">
        <f t="shared" si="51"/>
        <v>144</v>
      </c>
      <c r="B163" s="72">
        <v>46049</v>
      </c>
      <c r="C163" s="212" t="s">
        <v>27</v>
      </c>
      <c r="D163" s="54">
        <v>53924320</v>
      </c>
      <c r="E163" s="148">
        <v>62.2</v>
      </c>
      <c r="F163" s="138">
        <v>642.73</v>
      </c>
      <c r="G163" s="36">
        <f t="shared" si="48"/>
        <v>600.73</v>
      </c>
      <c r="H163" s="36">
        <f t="shared" si="49"/>
        <v>39377.076000000001</v>
      </c>
      <c r="I163" s="37">
        <v>39944.86</v>
      </c>
      <c r="J163" s="37">
        <f t="shared" si="50"/>
        <v>2484570.2920000004</v>
      </c>
      <c r="K163" s="38" t="s">
        <v>16</v>
      </c>
      <c r="L163" s="165" t="s">
        <v>17</v>
      </c>
      <c r="M163" s="62"/>
      <c r="N163" s="67"/>
      <c r="O163" s="54"/>
      <c r="P163" s="54"/>
      <c r="Q163" s="54"/>
      <c r="R163" s="68"/>
    </row>
    <row r="164" spans="1:20" ht="14.4">
      <c r="A164" s="54">
        <f t="shared" si="51"/>
        <v>145</v>
      </c>
      <c r="B164" s="72">
        <v>46049</v>
      </c>
      <c r="C164" s="212" t="s">
        <v>27</v>
      </c>
      <c r="D164" s="54">
        <v>51177392</v>
      </c>
      <c r="E164" s="148">
        <v>51.433</v>
      </c>
      <c r="F164" s="138">
        <v>642.73</v>
      </c>
      <c r="G164" s="36">
        <f t="shared" si="48"/>
        <v>600.73</v>
      </c>
      <c r="H164" s="36">
        <f t="shared" si="49"/>
        <v>32456.802090000001</v>
      </c>
      <c r="I164" s="37">
        <v>39944.86</v>
      </c>
      <c r="J164" s="37">
        <f t="shared" si="50"/>
        <v>2054483.98438</v>
      </c>
      <c r="K164" s="38" t="s">
        <v>16</v>
      </c>
      <c r="L164" s="165" t="s">
        <v>17</v>
      </c>
      <c r="M164" s="62"/>
      <c r="N164" s="67"/>
      <c r="O164" s="54"/>
      <c r="P164" s="54"/>
      <c r="Q164" s="54"/>
      <c r="R164" s="68"/>
    </row>
    <row r="165" spans="1:20" ht="14.4">
      <c r="A165" s="54">
        <f t="shared" si="51"/>
        <v>146</v>
      </c>
      <c r="B165" s="72">
        <v>46049</v>
      </c>
      <c r="C165" s="212" t="s">
        <v>27</v>
      </c>
      <c r="D165" s="54">
        <v>75487298</v>
      </c>
      <c r="E165" s="148">
        <v>61.499000000000002</v>
      </c>
      <c r="F165" s="138">
        <v>642.73</v>
      </c>
      <c r="G165" s="36">
        <f t="shared" si="48"/>
        <v>600.73</v>
      </c>
      <c r="H165" s="36">
        <f t="shared" si="49"/>
        <v>38926.522270000001</v>
      </c>
      <c r="I165" s="37">
        <v>39944.86</v>
      </c>
      <c r="J165" s="37">
        <f t="shared" si="50"/>
        <v>2456568.94514</v>
      </c>
      <c r="K165" s="38" t="s">
        <v>16</v>
      </c>
      <c r="L165" s="165" t="s">
        <v>17</v>
      </c>
      <c r="M165" s="62"/>
      <c r="N165" s="67"/>
      <c r="O165" s="54"/>
      <c r="P165" s="54"/>
      <c r="Q165" s="54"/>
      <c r="R165" s="68"/>
    </row>
    <row r="166" spans="1:20" ht="14.4">
      <c r="A166" s="54">
        <f t="shared" si="51"/>
        <v>147</v>
      </c>
      <c r="B166" s="72">
        <v>46049</v>
      </c>
      <c r="C166" s="212" t="s">
        <v>27</v>
      </c>
      <c r="D166" s="54">
        <v>75038661</v>
      </c>
      <c r="E166" s="148">
        <v>60.447000000000003</v>
      </c>
      <c r="F166" s="138">
        <v>642.73</v>
      </c>
      <c r="G166" s="36">
        <f t="shared" si="48"/>
        <v>600.73</v>
      </c>
      <c r="H166" s="36">
        <f t="shared" si="49"/>
        <v>38250.370309999998</v>
      </c>
      <c r="I166" s="37">
        <v>39944.86</v>
      </c>
      <c r="J166" s="37">
        <f t="shared" si="50"/>
        <v>2414546.95242</v>
      </c>
      <c r="K166" s="38" t="s">
        <v>16</v>
      </c>
      <c r="L166" s="165" t="s">
        <v>17</v>
      </c>
      <c r="M166" s="62"/>
      <c r="N166" s="67"/>
      <c r="O166" s="54"/>
      <c r="P166" s="54"/>
      <c r="Q166" s="54"/>
      <c r="R166" s="68"/>
    </row>
    <row r="167" spans="1:20" ht="14.4">
      <c r="A167" s="54">
        <f t="shared" si="51"/>
        <v>148</v>
      </c>
      <c r="B167" s="72">
        <v>46049</v>
      </c>
      <c r="C167" s="212" t="s">
        <v>27</v>
      </c>
      <c r="D167" s="54">
        <v>75102426</v>
      </c>
      <c r="E167" s="148">
        <v>60.497999999999998</v>
      </c>
      <c r="F167" s="138">
        <v>642.73</v>
      </c>
      <c r="G167" s="36">
        <f t="shared" si="48"/>
        <v>600.73</v>
      </c>
      <c r="H167" s="36">
        <f t="shared" si="49"/>
        <v>38283.149539999999</v>
      </c>
      <c r="I167" s="37">
        <v>39944.86</v>
      </c>
      <c r="J167" s="37">
        <f t="shared" si="50"/>
        <v>2416584.1402799999</v>
      </c>
      <c r="K167" s="38" t="s">
        <v>16</v>
      </c>
      <c r="L167" s="165" t="s">
        <v>17</v>
      </c>
      <c r="M167" s="62"/>
      <c r="N167" s="67"/>
      <c r="O167" s="54"/>
      <c r="P167" s="54"/>
      <c r="Q167" s="54"/>
      <c r="R167" s="68"/>
    </row>
    <row r="168" spans="1:20" ht="14.4">
      <c r="A168" s="54">
        <f t="shared" si="51"/>
        <v>149</v>
      </c>
      <c r="B168" s="72">
        <v>46049</v>
      </c>
      <c r="C168" s="212" t="s">
        <v>27</v>
      </c>
      <c r="D168" s="54">
        <v>50748151</v>
      </c>
      <c r="E168" s="148">
        <v>61.348999999999997</v>
      </c>
      <c r="F168" s="138">
        <v>642.73</v>
      </c>
      <c r="G168" s="36">
        <f t="shared" si="48"/>
        <v>600.73</v>
      </c>
      <c r="H168" s="36">
        <f t="shared" si="49"/>
        <v>38830.112769999992</v>
      </c>
      <c r="I168" s="37">
        <v>39944.86</v>
      </c>
      <c r="J168" s="37">
        <f t="shared" si="50"/>
        <v>2450577.2161399997</v>
      </c>
      <c r="K168" s="38" t="s">
        <v>16</v>
      </c>
      <c r="L168" s="165" t="s">
        <v>17</v>
      </c>
      <c r="M168" s="62"/>
      <c r="N168" s="67"/>
      <c r="O168" s="54"/>
      <c r="P168" s="54"/>
      <c r="Q168" s="54"/>
      <c r="R168" s="68"/>
    </row>
    <row r="169" spans="1:20" ht="14.4">
      <c r="A169" s="54">
        <f t="shared" si="51"/>
        <v>150</v>
      </c>
      <c r="B169" s="72">
        <v>46049</v>
      </c>
      <c r="C169" s="212" t="s">
        <v>27</v>
      </c>
      <c r="D169" s="54">
        <v>54067772</v>
      </c>
      <c r="E169" s="148">
        <v>61.048000000000002</v>
      </c>
      <c r="F169" s="138">
        <v>642.73</v>
      </c>
      <c r="G169" s="36">
        <f t="shared" si="48"/>
        <v>600.73</v>
      </c>
      <c r="H169" s="36">
        <f t="shared" si="49"/>
        <v>38636.651039999997</v>
      </c>
      <c r="I169" s="37">
        <v>39944.86</v>
      </c>
      <c r="J169" s="37">
        <f t="shared" si="50"/>
        <v>2438553.8132799999</v>
      </c>
      <c r="K169" s="38" t="s">
        <v>16</v>
      </c>
      <c r="L169" s="165" t="s">
        <v>17</v>
      </c>
      <c r="M169" s="62"/>
      <c r="N169" s="67"/>
      <c r="O169" s="54"/>
      <c r="P169" s="54"/>
      <c r="Q169" s="54"/>
      <c r="R169" s="68"/>
    </row>
    <row r="170" spans="1:20" ht="14.4">
      <c r="A170" s="54">
        <f t="shared" si="51"/>
        <v>151</v>
      </c>
      <c r="B170" s="72">
        <v>46049</v>
      </c>
      <c r="C170" s="212" t="s">
        <v>27</v>
      </c>
      <c r="D170" s="54">
        <v>50750041</v>
      </c>
      <c r="E170" s="148">
        <v>60.548000000000002</v>
      </c>
      <c r="F170" s="138">
        <v>642.73</v>
      </c>
      <c r="G170" s="36">
        <f t="shared" si="48"/>
        <v>600.73</v>
      </c>
      <c r="H170" s="36">
        <f t="shared" si="49"/>
        <v>38315.286039999999</v>
      </c>
      <c r="I170" s="37">
        <v>39944.86</v>
      </c>
      <c r="J170" s="37">
        <f t="shared" si="50"/>
        <v>2418581.3832800002</v>
      </c>
      <c r="K170" s="38" t="s">
        <v>16</v>
      </c>
      <c r="L170" s="165" t="s">
        <v>17</v>
      </c>
      <c r="M170" s="62"/>
      <c r="N170" s="67"/>
      <c r="O170" s="54"/>
      <c r="P170" s="54"/>
      <c r="Q170" s="54"/>
      <c r="R170" s="68"/>
    </row>
    <row r="171" spans="1:20" ht="14.4">
      <c r="A171" s="54">
        <f t="shared" si="51"/>
        <v>152</v>
      </c>
      <c r="B171" s="72">
        <v>46049</v>
      </c>
      <c r="C171" s="212" t="s">
        <v>27</v>
      </c>
      <c r="D171" s="54">
        <v>57214298</v>
      </c>
      <c r="E171" s="148">
        <v>60.898000000000003</v>
      </c>
      <c r="F171" s="138">
        <v>642.73</v>
      </c>
      <c r="G171" s="36">
        <f t="shared" si="48"/>
        <v>600.73</v>
      </c>
      <c r="H171" s="36">
        <f t="shared" si="49"/>
        <v>38540.241540000003</v>
      </c>
      <c r="I171" s="37">
        <v>39944.86</v>
      </c>
      <c r="J171" s="37">
        <f t="shared" si="50"/>
        <v>2432562.0842800001</v>
      </c>
      <c r="K171" s="38" t="s">
        <v>16</v>
      </c>
      <c r="L171" s="165" t="s">
        <v>17</v>
      </c>
      <c r="M171" s="62"/>
      <c r="N171" s="67"/>
      <c r="O171" s="54"/>
      <c r="P171" s="54"/>
      <c r="Q171" s="54"/>
      <c r="R171" s="68"/>
    </row>
    <row r="172" spans="1:20" ht="15" thickBot="1">
      <c r="A172" s="55">
        <f t="shared" si="51"/>
        <v>153</v>
      </c>
      <c r="B172" s="80">
        <v>46049</v>
      </c>
      <c r="C172" s="215" t="s">
        <v>27</v>
      </c>
      <c r="D172" s="55">
        <v>51239390</v>
      </c>
      <c r="E172" s="152">
        <v>51.683</v>
      </c>
      <c r="F172" s="138">
        <v>642.73</v>
      </c>
      <c r="G172" s="36">
        <f t="shared" si="48"/>
        <v>600.73</v>
      </c>
      <c r="H172" s="56">
        <f t="shared" si="49"/>
        <v>32617.484590000004</v>
      </c>
      <c r="I172" s="37">
        <v>39944.86</v>
      </c>
      <c r="J172" s="57">
        <f t="shared" si="50"/>
        <v>2064470.1993800001</v>
      </c>
      <c r="K172" s="58" t="s">
        <v>16</v>
      </c>
      <c r="L172" s="172" t="s">
        <v>17</v>
      </c>
      <c r="M172" s="63"/>
      <c r="N172" s="69"/>
      <c r="O172" s="70"/>
      <c r="P172" s="70"/>
      <c r="Q172" s="70"/>
      <c r="R172" s="71"/>
    </row>
    <row r="173" spans="1:20" ht="15" thickBot="1">
      <c r="A173" s="116"/>
      <c r="B173" s="117"/>
      <c r="C173" s="117"/>
      <c r="D173" s="117"/>
      <c r="E173" s="118">
        <f>SUM(E159:E172)</f>
        <v>838.15200000000016</v>
      </c>
      <c r="F173" s="117"/>
      <c r="G173" s="36"/>
      <c r="H173" s="159">
        <f>SUM(H159:H172)</f>
        <v>530295.21496000001</v>
      </c>
      <c r="I173" s="117"/>
      <c r="J173" s="139">
        <f>SUM(J159:J172)</f>
        <v>33479864.298720002</v>
      </c>
      <c r="K173" s="117"/>
      <c r="L173" s="119"/>
      <c r="M173" s="125"/>
      <c r="N173" s="169"/>
      <c r="O173" s="167"/>
      <c r="P173" s="167"/>
      <c r="Q173" s="167"/>
      <c r="R173" s="170"/>
      <c r="T173" s="6"/>
    </row>
    <row r="174" spans="1:20" ht="14.4">
      <c r="A174" s="78">
        <v>154</v>
      </c>
      <c r="B174" s="72">
        <v>46051</v>
      </c>
      <c r="C174" s="81">
        <v>9983311</v>
      </c>
      <c r="D174" s="82">
        <v>50214485</v>
      </c>
      <c r="E174" s="83">
        <v>59.347000000000001</v>
      </c>
      <c r="F174" s="208">
        <v>642.73</v>
      </c>
      <c r="G174" s="36">
        <f t="shared" si="48"/>
        <v>600.73</v>
      </c>
      <c r="H174" s="73">
        <f t="shared" ref="H174:H178" si="52">E174*F174-G174</f>
        <v>37543.367310000001</v>
      </c>
      <c r="I174" s="37">
        <v>39944.86</v>
      </c>
      <c r="J174" s="74">
        <f t="shared" ref="J174:J178" si="53">E174*I174</f>
        <v>2370607.6064200001</v>
      </c>
      <c r="K174" s="75" t="s">
        <v>16</v>
      </c>
      <c r="L174" s="165" t="s">
        <v>17</v>
      </c>
      <c r="M174" s="77"/>
      <c r="N174" s="64"/>
      <c r="O174" s="65"/>
      <c r="P174" s="65"/>
      <c r="Q174" s="65"/>
      <c r="R174" s="66"/>
      <c r="T174" s="6"/>
    </row>
    <row r="175" spans="1:20" ht="14.4">
      <c r="A175" s="67">
        <f>A174+1</f>
        <v>155</v>
      </c>
      <c r="B175" s="61">
        <v>46051</v>
      </c>
      <c r="C175" s="3">
        <v>9983311</v>
      </c>
      <c r="D175" s="4">
        <v>50305192</v>
      </c>
      <c r="E175" s="5">
        <v>57.293999999999997</v>
      </c>
      <c r="F175" s="138">
        <v>642.73</v>
      </c>
      <c r="G175" s="36">
        <f>F175-42</f>
        <v>600.73</v>
      </c>
      <c r="H175" s="36">
        <f t="shared" si="52"/>
        <v>36223.842619999996</v>
      </c>
      <c r="I175" s="37">
        <v>39944.86</v>
      </c>
      <c r="J175" s="37">
        <f t="shared" si="53"/>
        <v>2288600.8088400001</v>
      </c>
      <c r="K175" s="38" t="s">
        <v>16</v>
      </c>
      <c r="L175" s="165" t="s">
        <v>17</v>
      </c>
      <c r="M175" s="62"/>
      <c r="N175" s="67"/>
      <c r="O175" s="54"/>
      <c r="P175" s="54"/>
      <c r="Q175" s="54"/>
      <c r="R175" s="68"/>
      <c r="T175" s="6"/>
    </row>
    <row r="176" spans="1:20" ht="14.4">
      <c r="A176" s="67">
        <f t="shared" ref="A176:A178" si="54">A175+1</f>
        <v>156</v>
      </c>
      <c r="B176" s="61">
        <v>46051</v>
      </c>
      <c r="C176" s="3">
        <v>9983311</v>
      </c>
      <c r="D176" s="4">
        <v>57122921</v>
      </c>
      <c r="E176" s="5">
        <v>58.195999999999998</v>
      </c>
      <c r="F176" s="138">
        <v>642.73</v>
      </c>
      <c r="G176" s="36">
        <f t="shared" si="48"/>
        <v>600.73</v>
      </c>
      <c r="H176" s="36">
        <f t="shared" si="52"/>
        <v>36803.585079999997</v>
      </c>
      <c r="I176" s="37">
        <v>39944.86</v>
      </c>
      <c r="J176" s="37">
        <f t="shared" si="53"/>
        <v>2324631.0725599998</v>
      </c>
      <c r="K176" s="38" t="s">
        <v>16</v>
      </c>
      <c r="L176" s="165" t="s">
        <v>17</v>
      </c>
      <c r="M176" s="62"/>
      <c r="N176" s="67"/>
      <c r="O176" s="54"/>
      <c r="P176" s="54"/>
      <c r="Q176" s="54"/>
      <c r="R176" s="68"/>
      <c r="T176" s="6"/>
    </row>
    <row r="177" spans="1:20" ht="14.4">
      <c r="A177" s="67">
        <f t="shared" si="54"/>
        <v>157</v>
      </c>
      <c r="B177" s="61">
        <v>46051</v>
      </c>
      <c r="C177" s="3">
        <v>9983312</v>
      </c>
      <c r="D177" s="4">
        <v>73996167</v>
      </c>
      <c r="E177" s="5">
        <v>57.344000000000001</v>
      </c>
      <c r="F177" s="138">
        <v>642.73</v>
      </c>
      <c r="G177" s="36">
        <f t="shared" si="48"/>
        <v>600.73</v>
      </c>
      <c r="H177" s="36">
        <f t="shared" si="52"/>
        <v>36255.979119999996</v>
      </c>
      <c r="I177" s="37">
        <v>39944.86</v>
      </c>
      <c r="J177" s="37">
        <f t="shared" si="53"/>
        <v>2290598.0518399999</v>
      </c>
      <c r="K177" s="38" t="s">
        <v>16</v>
      </c>
      <c r="L177" s="165" t="s">
        <v>17</v>
      </c>
      <c r="M177" s="62"/>
      <c r="N177" s="67"/>
      <c r="O177" s="54"/>
      <c r="P177" s="54"/>
      <c r="Q177" s="54"/>
      <c r="R177" s="68"/>
      <c r="T177" s="6"/>
    </row>
    <row r="178" spans="1:20" ht="15" thickBot="1">
      <c r="A178" s="88">
        <f t="shared" si="54"/>
        <v>158</v>
      </c>
      <c r="B178" s="90">
        <v>46051</v>
      </c>
      <c r="C178" s="84">
        <v>9983312</v>
      </c>
      <c r="D178" s="85">
        <v>76814953</v>
      </c>
      <c r="E178" s="86">
        <v>59.999000000000002</v>
      </c>
      <c r="F178" s="202">
        <v>642.73</v>
      </c>
      <c r="G178" s="36">
        <f t="shared" si="48"/>
        <v>600.73</v>
      </c>
      <c r="H178" s="56">
        <f t="shared" si="52"/>
        <v>37962.42727</v>
      </c>
      <c r="I178" s="37">
        <v>39944.86</v>
      </c>
      <c r="J178" s="57">
        <f t="shared" si="53"/>
        <v>2396651.6551399999</v>
      </c>
      <c r="K178" s="58" t="s">
        <v>16</v>
      </c>
      <c r="L178" s="172" t="s">
        <v>17</v>
      </c>
      <c r="M178" s="63"/>
      <c r="N178" s="69"/>
      <c r="O178" s="70"/>
      <c r="P178" s="70"/>
      <c r="Q178" s="70"/>
      <c r="R178" s="71"/>
      <c r="T178" s="6"/>
    </row>
    <row r="179" spans="1:20" ht="15" thickBot="1">
      <c r="A179" s="116"/>
      <c r="B179" s="117"/>
      <c r="C179" s="117"/>
      <c r="D179" s="117"/>
      <c r="E179" s="118">
        <f>SUM(E174:E178)</f>
        <v>292.18</v>
      </c>
      <c r="F179" s="117"/>
      <c r="G179" s="36"/>
      <c r="H179" s="159">
        <f>SUM(H174:H178)</f>
        <v>184789.20140000002</v>
      </c>
      <c r="I179" s="117"/>
      <c r="J179" s="139">
        <f>SUM(J174:J178)</f>
        <v>11671089.194799999</v>
      </c>
      <c r="K179" s="117"/>
      <c r="L179" s="119"/>
      <c r="M179" s="125"/>
      <c r="N179" s="169"/>
      <c r="O179" s="167"/>
      <c r="P179" s="167"/>
      <c r="Q179" s="167"/>
      <c r="R179" s="170"/>
      <c r="T179" s="6"/>
    </row>
    <row r="180" spans="1:20" ht="14.4">
      <c r="A180" s="78">
        <v>159</v>
      </c>
      <c r="B180" s="72">
        <v>46063</v>
      </c>
      <c r="C180" s="81">
        <v>9983386</v>
      </c>
      <c r="D180" s="82">
        <v>50071802</v>
      </c>
      <c r="E180" s="83">
        <v>51.036999999999999</v>
      </c>
      <c r="F180" s="208">
        <v>642.73</v>
      </c>
      <c r="G180" s="36">
        <f t="shared" si="48"/>
        <v>600.73</v>
      </c>
      <c r="H180" s="73">
        <f t="shared" ref="H180:H184" si="55">E180*F180-G180</f>
        <v>32202.281010000002</v>
      </c>
      <c r="I180" s="37">
        <v>39944.86</v>
      </c>
      <c r="J180" s="74">
        <f t="shared" ref="J180:J184" si="56">E180*I180</f>
        <v>2038665.8198200001</v>
      </c>
      <c r="K180" s="75" t="s">
        <v>16</v>
      </c>
      <c r="L180" s="165" t="s">
        <v>17</v>
      </c>
      <c r="M180" s="66"/>
      <c r="N180" s="64"/>
      <c r="O180" s="65"/>
      <c r="P180" s="65"/>
      <c r="Q180" s="65"/>
      <c r="R180" s="66"/>
      <c r="T180" s="6"/>
    </row>
    <row r="181" spans="1:20" ht="14.4">
      <c r="A181" s="67">
        <f>A180+1</f>
        <v>160</v>
      </c>
      <c r="B181" s="61">
        <v>46063</v>
      </c>
      <c r="C181" s="3">
        <v>9983386</v>
      </c>
      <c r="D181" s="4">
        <v>50086628</v>
      </c>
      <c r="E181" s="5">
        <v>58.399000000000001</v>
      </c>
      <c r="F181" s="138">
        <v>642.73</v>
      </c>
      <c r="G181" s="36">
        <f t="shared" si="48"/>
        <v>600.73</v>
      </c>
      <c r="H181" s="36">
        <f t="shared" si="55"/>
        <v>36934.059269999998</v>
      </c>
      <c r="I181" s="37">
        <v>39944.86</v>
      </c>
      <c r="J181" s="37">
        <f t="shared" si="56"/>
        <v>2332739.8791399999</v>
      </c>
      <c r="K181" s="38" t="s">
        <v>16</v>
      </c>
      <c r="L181" s="165" t="s">
        <v>17</v>
      </c>
      <c r="M181" s="68"/>
      <c r="N181" s="67"/>
      <c r="O181" s="54"/>
      <c r="P181" s="54"/>
      <c r="Q181" s="54"/>
      <c r="R181" s="68"/>
      <c r="T181" s="6"/>
    </row>
    <row r="182" spans="1:20" ht="14.4">
      <c r="A182" s="67">
        <f t="shared" ref="A182:A184" si="57">A181+1</f>
        <v>161</v>
      </c>
      <c r="B182" s="61">
        <v>46063</v>
      </c>
      <c r="C182" s="3">
        <v>9983386</v>
      </c>
      <c r="D182" s="4">
        <v>50489996</v>
      </c>
      <c r="E182" s="5">
        <v>59.05</v>
      </c>
      <c r="F182" s="138">
        <v>642.73</v>
      </c>
      <c r="G182" s="36">
        <f t="shared" si="48"/>
        <v>600.73</v>
      </c>
      <c r="H182" s="36">
        <f t="shared" si="55"/>
        <v>37352.476499999997</v>
      </c>
      <c r="I182" s="37">
        <v>39944.86</v>
      </c>
      <c r="J182" s="37">
        <f t="shared" si="56"/>
        <v>2358743.983</v>
      </c>
      <c r="K182" s="38" t="s">
        <v>16</v>
      </c>
      <c r="L182" s="165" t="s">
        <v>17</v>
      </c>
      <c r="M182" s="68"/>
      <c r="N182" s="67"/>
      <c r="O182" s="54"/>
      <c r="P182" s="54"/>
      <c r="Q182" s="54"/>
      <c r="R182" s="68"/>
      <c r="T182" s="6"/>
    </row>
    <row r="183" spans="1:20" ht="14.4">
      <c r="A183" s="67">
        <f t="shared" si="57"/>
        <v>162</v>
      </c>
      <c r="B183" s="61">
        <v>46063</v>
      </c>
      <c r="C183" s="3">
        <v>9983386</v>
      </c>
      <c r="D183" s="4">
        <v>74945304</v>
      </c>
      <c r="E183" s="5">
        <v>59.701000000000001</v>
      </c>
      <c r="F183" s="138">
        <v>642.73</v>
      </c>
      <c r="G183" s="36">
        <f t="shared" si="48"/>
        <v>600.73</v>
      </c>
      <c r="H183" s="36">
        <f t="shared" si="55"/>
        <v>37770.893729999996</v>
      </c>
      <c r="I183" s="37">
        <v>39944.86</v>
      </c>
      <c r="J183" s="37">
        <f t="shared" si="56"/>
        <v>2384748.0868600002</v>
      </c>
      <c r="K183" s="38" t="s">
        <v>16</v>
      </c>
      <c r="L183" s="165" t="s">
        <v>17</v>
      </c>
      <c r="M183" s="68"/>
      <c r="N183" s="67"/>
      <c r="O183" s="54"/>
      <c r="P183" s="54"/>
      <c r="Q183" s="54"/>
      <c r="R183" s="68"/>
      <c r="T183" s="6"/>
    </row>
    <row r="184" spans="1:20" ht="15" thickBot="1">
      <c r="A184" s="69">
        <f t="shared" si="57"/>
        <v>163</v>
      </c>
      <c r="B184" s="112">
        <v>46063</v>
      </c>
      <c r="C184" s="107">
        <v>9983386</v>
      </c>
      <c r="D184" s="108">
        <v>76807874</v>
      </c>
      <c r="E184" s="109">
        <v>58.098999999999997</v>
      </c>
      <c r="F184" s="138">
        <v>642.73</v>
      </c>
      <c r="G184" s="36">
        <f t="shared" si="48"/>
        <v>600.73</v>
      </c>
      <c r="H184" s="98">
        <f t="shared" si="55"/>
        <v>36741.240269999995</v>
      </c>
      <c r="I184" s="37">
        <v>39944.86</v>
      </c>
      <c r="J184" s="99">
        <f t="shared" si="56"/>
        <v>2320756.4211399998</v>
      </c>
      <c r="K184" s="100" t="s">
        <v>16</v>
      </c>
      <c r="L184" s="166" t="s">
        <v>17</v>
      </c>
      <c r="M184" s="71"/>
      <c r="N184" s="69"/>
      <c r="O184" s="70"/>
      <c r="P184" s="70"/>
      <c r="Q184" s="70"/>
      <c r="R184" s="71"/>
      <c r="T184" s="6"/>
    </row>
    <row r="185" spans="1:20" ht="14.4" thickBot="1">
      <c r="A185" s="116"/>
      <c r="B185" s="117"/>
      <c r="C185" s="117"/>
      <c r="D185" s="117"/>
      <c r="E185" s="118">
        <f>SUM(E180:E184)</f>
        <v>286.286</v>
      </c>
      <c r="F185" s="117"/>
      <c r="G185" s="117"/>
      <c r="H185" s="159">
        <f>SUM(H180:H184)</f>
        <v>181000.95078000001</v>
      </c>
      <c r="I185" s="117"/>
      <c r="J185" s="139">
        <f>SUM(J180:J184)</f>
        <v>11435654.189959999</v>
      </c>
      <c r="K185" s="117"/>
      <c r="L185" s="123"/>
      <c r="M185" s="125"/>
      <c r="N185" s="124"/>
      <c r="O185" s="117"/>
      <c r="P185" s="117"/>
      <c r="Q185" s="117"/>
      <c r="R185" s="119"/>
      <c r="T185" s="6"/>
    </row>
    <row r="186" spans="1:20" ht="14.4" thickBot="1">
      <c r="A186" s="140"/>
      <c r="B186" s="141"/>
      <c r="C186" s="141"/>
      <c r="D186" s="141"/>
      <c r="E186" s="142">
        <f>E34+E36+E63+E73+E77+E88+E105+E112+E131+E133+E135+E137+E142+E158+E173+E179+E185</f>
        <v>9564.2780000000002</v>
      </c>
      <c r="F186" s="141"/>
      <c r="G186" s="141"/>
      <c r="H186" s="160">
        <f>H34+H36+H63+H73+H77+H88+H105+H112+H131+H133+H135+H137+H142+H158+H173+H179+H185</f>
        <v>6048728.6789399981</v>
      </c>
      <c r="I186" s="141"/>
      <c r="J186" s="143">
        <f>J34+J36+J63+J73+J77+J88+J105+J112+J131+J133+J135+J137+J142+J158+J173+J179+J185</f>
        <v>382043745.71108001</v>
      </c>
      <c r="K186" s="141"/>
      <c r="L186" s="144"/>
      <c r="M186" s="145"/>
      <c r="N186" s="146"/>
      <c r="O186" s="141"/>
      <c r="P186" s="177">
        <f>P34+P36+P63+P73+P77+P88+P105+P112</f>
        <v>755.13599999999997</v>
      </c>
      <c r="Q186" s="180">
        <f>Q34+Q36+Q63+Q73+Q77+Q88+Q105+Q112</f>
        <v>-3.3389999999999986</v>
      </c>
      <c r="R186" s="147"/>
    </row>
    <row r="188" spans="1:20" ht="14.4" thickBot="1"/>
    <row r="189" spans="1:20">
      <c r="B189" s="358" t="s">
        <v>18</v>
      </c>
      <c r="C189" s="359"/>
      <c r="D189" s="360"/>
      <c r="E189" s="51">
        <v>9600</v>
      </c>
    </row>
    <row r="190" spans="1:20">
      <c r="B190" s="361" t="s">
        <v>19</v>
      </c>
      <c r="C190" s="362"/>
      <c r="D190" s="363"/>
      <c r="E190" s="52">
        <f>E186</f>
        <v>9564.2780000000002</v>
      </c>
    </row>
    <row r="191" spans="1:20" ht="15" thickBot="1">
      <c r="B191" s="364" t="s">
        <v>20</v>
      </c>
      <c r="C191" s="365"/>
      <c r="D191" s="366"/>
      <c r="E191" s="53">
        <f>E189-E190</f>
        <v>35.721999999999753</v>
      </c>
    </row>
  </sheetData>
  <mergeCells count="5">
    <mergeCell ref="A1:M1"/>
    <mergeCell ref="A2:M2"/>
    <mergeCell ref="B189:D189"/>
    <mergeCell ref="B190:D190"/>
    <mergeCell ref="B191:D191"/>
  </mergeCells>
  <conditionalFormatting sqref="D4">
    <cfRule type="duplicateValues" dxfId="3" priority="2"/>
  </conditionalFormatting>
  <conditionalFormatting sqref="D189:D191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0"/>
  <sheetViews>
    <sheetView topLeftCell="A172" workbookViewId="0">
      <selection activeCell="E188" sqref="E188"/>
    </sheetView>
  </sheetViews>
  <sheetFormatPr defaultColWidth="9.109375" defaultRowHeight="13.8"/>
  <cols>
    <col min="1" max="1" width="9.109375" style="1"/>
    <col min="2" max="2" width="10.5546875" style="1" customWidth="1"/>
    <col min="3" max="3" width="11" style="1" customWidth="1"/>
    <col min="4" max="4" width="11.44140625" style="1" customWidth="1"/>
    <col min="5" max="5" width="10.109375" style="7" bestFit="1" customWidth="1"/>
    <col min="6" max="7" width="9.109375" style="1"/>
    <col min="8" max="8" width="14.109375" style="1" customWidth="1"/>
    <col min="9" max="9" width="10.6640625" style="1" bestFit="1" customWidth="1"/>
    <col min="10" max="10" width="19.44140625" style="1" customWidth="1"/>
    <col min="11" max="11" width="15.109375" style="1" customWidth="1"/>
    <col min="12" max="12" width="9.109375" style="1"/>
    <col min="13" max="13" width="1" style="1" customWidth="1"/>
    <col min="14" max="16384" width="9.109375" style="1"/>
  </cols>
  <sheetData>
    <row r="1" spans="1:18">
      <c r="A1" s="354" t="s">
        <v>0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8"/>
      <c r="O1" s="8"/>
      <c r="P1" s="8"/>
      <c r="Q1" s="250" t="s">
        <v>67</v>
      </c>
      <c r="R1" s="8"/>
    </row>
    <row r="2" spans="1:18">
      <c r="A2" s="356" t="s">
        <v>28</v>
      </c>
      <c r="B2" s="357"/>
      <c r="C2" s="357"/>
      <c r="D2" s="357"/>
      <c r="E2" s="357"/>
      <c r="F2" s="357"/>
      <c r="G2" s="357"/>
      <c r="H2" s="357"/>
      <c r="I2" s="357"/>
      <c r="J2" s="357"/>
      <c r="K2" s="357"/>
      <c r="L2" s="357"/>
      <c r="M2" s="357"/>
      <c r="N2" s="8"/>
      <c r="O2" s="8"/>
      <c r="P2" s="8"/>
      <c r="Q2" s="8"/>
      <c r="R2" s="8"/>
    </row>
    <row r="3" spans="1:18" ht="14.4" thickBot="1">
      <c r="A3" s="8"/>
      <c r="B3" s="8"/>
      <c r="C3" s="8"/>
      <c r="D3" s="8"/>
      <c r="E3" s="10"/>
      <c r="F3" s="10"/>
      <c r="G3" s="8"/>
      <c r="H3" s="8"/>
      <c r="I3" s="8"/>
      <c r="J3" s="11"/>
      <c r="K3" s="8"/>
      <c r="L3" s="8"/>
      <c r="M3" s="8"/>
      <c r="N3" s="8"/>
      <c r="O3" s="8"/>
      <c r="P3" s="8"/>
      <c r="Q3" s="8"/>
      <c r="R3" s="8"/>
    </row>
    <row r="4" spans="1:18" ht="72.599999999999994" thickBot="1">
      <c r="A4" s="217" t="s">
        <v>1</v>
      </c>
      <c r="B4" s="218" t="s">
        <v>2</v>
      </c>
      <c r="C4" s="219" t="s">
        <v>3</v>
      </c>
      <c r="D4" s="220" t="s">
        <v>4</v>
      </c>
      <c r="E4" s="227" t="s">
        <v>5</v>
      </c>
      <c r="F4" s="221" t="s">
        <v>52</v>
      </c>
      <c r="G4" s="222" t="s">
        <v>29</v>
      </c>
      <c r="H4" s="223" t="s">
        <v>6</v>
      </c>
      <c r="I4" s="224" t="s">
        <v>7</v>
      </c>
      <c r="J4" s="225" t="s">
        <v>8</v>
      </c>
      <c r="K4" s="218" t="s">
        <v>9</v>
      </c>
      <c r="L4" s="226" t="s">
        <v>10</v>
      </c>
      <c r="M4" s="22"/>
      <c r="N4" s="23" t="s">
        <v>11</v>
      </c>
      <c r="O4" s="24" t="s">
        <v>12</v>
      </c>
      <c r="P4" s="25" t="s">
        <v>13</v>
      </c>
      <c r="Q4" s="25" t="s">
        <v>14</v>
      </c>
      <c r="R4" s="26" t="s">
        <v>15</v>
      </c>
    </row>
    <row r="5" spans="1:18" ht="17.25" customHeight="1">
      <c r="A5" s="130">
        <v>1</v>
      </c>
      <c r="B5" s="233" t="s">
        <v>31</v>
      </c>
      <c r="C5" s="233" t="s">
        <v>30</v>
      </c>
      <c r="D5" s="233" t="s">
        <v>32</v>
      </c>
      <c r="E5" s="241">
        <v>53.35</v>
      </c>
      <c r="F5" s="242" t="e">
        <f>#REF!</f>
        <v>#REF!</v>
      </c>
      <c r="G5" s="243" t="e">
        <f>F5-42</f>
        <v>#REF!</v>
      </c>
      <c r="H5" s="242" t="e">
        <f>E5*G5</f>
        <v>#REF!</v>
      </c>
      <c r="I5" s="244">
        <v>41464.11</v>
      </c>
      <c r="J5" s="251">
        <f>E5*I5</f>
        <v>2212110.2685000002</v>
      </c>
      <c r="K5" s="31" t="s">
        <v>16</v>
      </c>
      <c r="L5" s="96" t="s">
        <v>21</v>
      </c>
      <c r="M5" s="229"/>
      <c r="N5" s="130"/>
      <c r="O5" s="131"/>
      <c r="P5" s="131"/>
      <c r="Q5" s="131"/>
      <c r="R5" s="132"/>
    </row>
    <row r="6" spans="1:18">
      <c r="A6" s="32">
        <f>A5+1</f>
        <v>2</v>
      </c>
      <c r="B6" s="232" t="s">
        <v>31</v>
      </c>
      <c r="C6" s="232" t="s">
        <v>30</v>
      </c>
      <c r="D6" s="232" t="s">
        <v>33</v>
      </c>
      <c r="E6" s="111">
        <v>60.4</v>
      </c>
      <c r="F6" s="239">
        <v>973.39</v>
      </c>
      <c r="G6" s="283">
        <f>F6-42</f>
        <v>931.39</v>
      </c>
      <c r="H6" s="238">
        <f t="shared" ref="H6:H24" si="0">E6*G6</f>
        <v>56255.955999999998</v>
      </c>
      <c r="I6" s="240">
        <v>41464.11</v>
      </c>
      <c r="J6" s="252">
        <f t="shared" ref="J6:J24" si="1">E6*I6</f>
        <v>2504432.2439999999</v>
      </c>
      <c r="K6" s="38" t="s">
        <v>16</v>
      </c>
      <c r="L6" s="39" t="s">
        <v>21</v>
      </c>
      <c r="M6" s="230"/>
      <c r="N6" s="32"/>
      <c r="O6" s="40"/>
      <c r="P6" s="40"/>
      <c r="Q6" s="40"/>
      <c r="R6" s="41"/>
    </row>
    <row r="7" spans="1:18">
      <c r="A7" s="32">
        <f t="shared" ref="A7:A24" si="2">A6+1</f>
        <v>3</v>
      </c>
      <c r="B7" s="232" t="s">
        <v>31</v>
      </c>
      <c r="C7" s="232" t="s">
        <v>30</v>
      </c>
      <c r="D7" s="232" t="s">
        <v>34</v>
      </c>
      <c r="E7" s="111">
        <v>60.9</v>
      </c>
      <c r="F7" s="239">
        <v>973.39</v>
      </c>
      <c r="G7" s="283">
        <f t="shared" ref="G7:G24" si="3">F7-42</f>
        <v>931.39</v>
      </c>
      <c r="H7" s="238">
        <f t="shared" si="0"/>
        <v>56721.650999999998</v>
      </c>
      <c r="I7" s="240">
        <v>41464.11</v>
      </c>
      <c r="J7" s="252">
        <f t="shared" si="1"/>
        <v>2525164.2990000001</v>
      </c>
      <c r="K7" s="38" t="s">
        <v>16</v>
      </c>
      <c r="L7" s="39" t="s">
        <v>21</v>
      </c>
      <c r="M7" s="230"/>
      <c r="N7" s="32"/>
      <c r="O7" s="40"/>
      <c r="P7" s="40"/>
      <c r="Q7" s="40"/>
      <c r="R7" s="41"/>
    </row>
    <row r="8" spans="1:18">
      <c r="A8" s="32">
        <f t="shared" si="2"/>
        <v>4</v>
      </c>
      <c r="B8" s="232" t="s">
        <v>31</v>
      </c>
      <c r="C8" s="232" t="s">
        <v>30</v>
      </c>
      <c r="D8" s="232" t="s">
        <v>35</v>
      </c>
      <c r="E8" s="111">
        <v>61</v>
      </c>
      <c r="F8" s="239">
        <v>973.39</v>
      </c>
      <c r="G8" s="283">
        <f t="shared" si="3"/>
        <v>931.39</v>
      </c>
      <c r="H8" s="238">
        <f t="shared" si="0"/>
        <v>56814.79</v>
      </c>
      <c r="I8" s="240">
        <v>41464.11</v>
      </c>
      <c r="J8" s="252">
        <f t="shared" si="1"/>
        <v>2529310.71</v>
      </c>
      <c r="K8" s="38" t="s">
        <v>16</v>
      </c>
      <c r="L8" s="39" t="s">
        <v>21</v>
      </c>
      <c r="M8" s="230"/>
      <c r="N8" s="32"/>
      <c r="O8" s="40"/>
      <c r="P8" s="40"/>
      <c r="Q8" s="40"/>
      <c r="R8" s="41"/>
    </row>
    <row r="9" spans="1:18">
      <c r="A9" s="32">
        <f t="shared" si="2"/>
        <v>5</v>
      </c>
      <c r="B9" s="232" t="s">
        <v>31</v>
      </c>
      <c r="C9" s="232" t="s">
        <v>30</v>
      </c>
      <c r="D9" s="232" t="s">
        <v>36</v>
      </c>
      <c r="E9" s="111">
        <v>60.9</v>
      </c>
      <c r="F9" s="239">
        <v>973.39</v>
      </c>
      <c r="G9" s="283">
        <f t="shared" si="3"/>
        <v>931.39</v>
      </c>
      <c r="H9" s="238">
        <f t="shared" si="0"/>
        <v>56721.650999999998</v>
      </c>
      <c r="I9" s="240">
        <v>41464.11</v>
      </c>
      <c r="J9" s="252">
        <f t="shared" si="1"/>
        <v>2525164.2990000001</v>
      </c>
      <c r="K9" s="38" t="s">
        <v>16</v>
      </c>
      <c r="L9" s="39" t="s">
        <v>21</v>
      </c>
      <c r="M9" s="230"/>
      <c r="N9" s="32"/>
      <c r="O9" s="40"/>
      <c r="P9" s="40"/>
      <c r="Q9" s="40"/>
      <c r="R9" s="41"/>
    </row>
    <row r="10" spans="1:18">
      <c r="A10" s="32">
        <f t="shared" si="2"/>
        <v>6</v>
      </c>
      <c r="B10" s="232" t="s">
        <v>31</v>
      </c>
      <c r="C10" s="232" t="s">
        <v>30</v>
      </c>
      <c r="D10" s="232" t="s">
        <v>37</v>
      </c>
      <c r="E10" s="111">
        <v>60.95</v>
      </c>
      <c r="F10" s="239">
        <v>973.39</v>
      </c>
      <c r="G10" s="283">
        <f t="shared" si="3"/>
        <v>931.39</v>
      </c>
      <c r="H10" s="238">
        <f t="shared" si="0"/>
        <v>56768.220500000003</v>
      </c>
      <c r="I10" s="240">
        <v>41464.11</v>
      </c>
      <c r="J10" s="252">
        <f t="shared" si="1"/>
        <v>2527237.5045000003</v>
      </c>
      <c r="K10" s="38" t="s">
        <v>16</v>
      </c>
      <c r="L10" s="39" t="s">
        <v>21</v>
      </c>
      <c r="M10" s="230"/>
      <c r="N10" s="32"/>
      <c r="O10" s="40"/>
      <c r="P10" s="40"/>
      <c r="Q10" s="40"/>
      <c r="R10" s="41"/>
    </row>
    <row r="11" spans="1:18">
      <c r="A11" s="32">
        <f t="shared" si="2"/>
        <v>7</v>
      </c>
      <c r="B11" s="232" t="s">
        <v>31</v>
      </c>
      <c r="C11" s="232" t="s">
        <v>30</v>
      </c>
      <c r="D11" s="232" t="s">
        <v>38</v>
      </c>
      <c r="E11" s="111">
        <v>52.7</v>
      </c>
      <c r="F11" s="239">
        <v>973.39</v>
      </c>
      <c r="G11" s="283">
        <f t="shared" si="3"/>
        <v>931.39</v>
      </c>
      <c r="H11" s="238">
        <f t="shared" si="0"/>
        <v>49084.253000000004</v>
      </c>
      <c r="I11" s="240">
        <v>41464.11</v>
      </c>
      <c r="J11" s="252">
        <f t="shared" si="1"/>
        <v>2185158.5970000001</v>
      </c>
      <c r="K11" s="38" t="s">
        <v>16</v>
      </c>
      <c r="L11" s="39" t="s">
        <v>21</v>
      </c>
      <c r="M11" s="230"/>
      <c r="N11" s="32"/>
      <c r="O11" s="40"/>
      <c r="P11" s="40"/>
      <c r="Q11" s="40"/>
      <c r="R11" s="41"/>
    </row>
    <row r="12" spans="1:18">
      <c r="A12" s="32">
        <f t="shared" si="2"/>
        <v>8</v>
      </c>
      <c r="B12" s="232" t="s">
        <v>31</v>
      </c>
      <c r="C12" s="232" t="s">
        <v>30</v>
      </c>
      <c r="D12" s="232" t="s">
        <v>39</v>
      </c>
      <c r="E12" s="111">
        <v>52.65</v>
      </c>
      <c r="F12" s="239">
        <v>973.39</v>
      </c>
      <c r="G12" s="283">
        <f t="shared" si="3"/>
        <v>931.39</v>
      </c>
      <c r="H12" s="238">
        <f t="shared" si="0"/>
        <v>49037.683499999999</v>
      </c>
      <c r="I12" s="240">
        <v>41464.11</v>
      </c>
      <c r="J12" s="252">
        <f t="shared" si="1"/>
        <v>2183085.3914999999</v>
      </c>
      <c r="K12" s="38" t="s">
        <v>16</v>
      </c>
      <c r="L12" s="39" t="s">
        <v>21</v>
      </c>
      <c r="M12" s="230"/>
      <c r="N12" s="32"/>
      <c r="O12" s="40"/>
      <c r="P12" s="40"/>
      <c r="Q12" s="40"/>
      <c r="R12" s="41"/>
    </row>
    <row r="13" spans="1:18">
      <c r="A13" s="32">
        <f t="shared" si="2"/>
        <v>9</v>
      </c>
      <c r="B13" s="232" t="s">
        <v>31</v>
      </c>
      <c r="C13" s="232" t="s">
        <v>30</v>
      </c>
      <c r="D13" s="232" t="s">
        <v>40</v>
      </c>
      <c r="E13" s="111">
        <v>52.65</v>
      </c>
      <c r="F13" s="239">
        <v>973.39</v>
      </c>
      <c r="G13" s="283">
        <f t="shared" si="3"/>
        <v>931.39</v>
      </c>
      <c r="H13" s="238">
        <f t="shared" si="0"/>
        <v>49037.683499999999</v>
      </c>
      <c r="I13" s="240">
        <v>41464.11</v>
      </c>
      <c r="J13" s="252">
        <f t="shared" si="1"/>
        <v>2183085.3914999999</v>
      </c>
      <c r="K13" s="38" t="s">
        <v>16</v>
      </c>
      <c r="L13" s="39" t="s">
        <v>21</v>
      </c>
      <c r="M13" s="230"/>
      <c r="N13" s="32"/>
      <c r="O13" s="40"/>
      <c r="P13" s="40"/>
      <c r="Q13" s="40"/>
      <c r="R13" s="41"/>
    </row>
    <row r="14" spans="1:18">
      <c r="A14" s="32">
        <f t="shared" si="2"/>
        <v>10</v>
      </c>
      <c r="B14" s="232" t="s">
        <v>31</v>
      </c>
      <c r="C14" s="232" t="s">
        <v>30</v>
      </c>
      <c r="D14" s="232" t="s">
        <v>41</v>
      </c>
      <c r="E14" s="111">
        <v>52.65</v>
      </c>
      <c r="F14" s="239">
        <v>973.39</v>
      </c>
      <c r="G14" s="283">
        <f t="shared" si="3"/>
        <v>931.39</v>
      </c>
      <c r="H14" s="238">
        <f t="shared" si="0"/>
        <v>49037.683499999999</v>
      </c>
      <c r="I14" s="240">
        <v>41464.11</v>
      </c>
      <c r="J14" s="252">
        <f t="shared" si="1"/>
        <v>2183085.3914999999</v>
      </c>
      <c r="K14" s="38" t="s">
        <v>16</v>
      </c>
      <c r="L14" s="39" t="s">
        <v>21</v>
      </c>
      <c r="M14" s="230"/>
      <c r="N14" s="32"/>
      <c r="O14" s="40"/>
      <c r="P14" s="40"/>
      <c r="Q14" s="40"/>
      <c r="R14" s="41"/>
    </row>
    <row r="15" spans="1:18">
      <c r="A15" s="32">
        <f t="shared" si="2"/>
        <v>11</v>
      </c>
      <c r="B15" s="232" t="s">
        <v>31</v>
      </c>
      <c r="C15" s="232" t="s">
        <v>30</v>
      </c>
      <c r="D15" s="232" t="s">
        <v>42</v>
      </c>
      <c r="E15" s="111">
        <v>52.65</v>
      </c>
      <c r="F15" s="239">
        <v>973.39</v>
      </c>
      <c r="G15" s="283">
        <f t="shared" si="3"/>
        <v>931.39</v>
      </c>
      <c r="H15" s="238">
        <f t="shared" si="0"/>
        <v>49037.683499999999</v>
      </c>
      <c r="I15" s="240">
        <v>41464.11</v>
      </c>
      <c r="J15" s="252">
        <f t="shared" si="1"/>
        <v>2183085.3914999999</v>
      </c>
      <c r="K15" s="38" t="s">
        <v>16</v>
      </c>
      <c r="L15" s="39" t="s">
        <v>21</v>
      </c>
      <c r="M15" s="230"/>
      <c r="N15" s="32"/>
      <c r="O15" s="40"/>
      <c r="P15" s="40"/>
      <c r="Q15" s="40"/>
      <c r="R15" s="41"/>
    </row>
    <row r="16" spans="1:18">
      <c r="A16" s="32">
        <f t="shared" si="2"/>
        <v>12</v>
      </c>
      <c r="B16" s="232" t="s">
        <v>31</v>
      </c>
      <c r="C16" s="232" t="s">
        <v>30</v>
      </c>
      <c r="D16" s="232" t="s">
        <v>43</v>
      </c>
      <c r="E16" s="111">
        <v>52.7</v>
      </c>
      <c r="F16" s="239">
        <v>973.39</v>
      </c>
      <c r="G16" s="283">
        <f t="shared" si="3"/>
        <v>931.39</v>
      </c>
      <c r="H16" s="238">
        <f t="shared" si="0"/>
        <v>49084.253000000004</v>
      </c>
      <c r="I16" s="240">
        <v>41464.11</v>
      </c>
      <c r="J16" s="252">
        <f t="shared" si="1"/>
        <v>2185158.5970000001</v>
      </c>
      <c r="K16" s="38" t="s">
        <v>16</v>
      </c>
      <c r="L16" s="39" t="s">
        <v>21</v>
      </c>
      <c r="M16" s="230"/>
      <c r="N16" s="32"/>
      <c r="O16" s="40"/>
      <c r="P16" s="40"/>
      <c r="Q16" s="40"/>
      <c r="R16" s="41"/>
    </row>
    <row r="17" spans="1:18">
      <c r="A17" s="32">
        <f t="shared" si="2"/>
        <v>13</v>
      </c>
      <c r="B17" s="232" t="s">
        <v>31</v>
      </c>
      <c r="C17" s="232" t="s">
        <v>30</v>
      </c>
      <c r="D17" s="232" t="s">
        <v>44</v>
      </c>
      <c r="E17" s="111">
        <v>60.45</v>
      </c>
      <c r="F17" s="239">
        <v>973.39</v>
      </c>
      <c r="G17" s="283">
        <f t="shared" si="3"/>
        <v>931.39</v>
      </c>
      <c r="H17" s="238">
        <f t="shared" si="0"/>
        <v>56302.525500000003</v>
      </c>
      <c r="I17" s="240">
        <v>41464.11</v>
      </c>
      <c r="J17" s="252">
        <f t="shared" si="1"/>
        <v>2506505.4495000001</v>
      </c>
      <c r="K17" s="38" t="s">
        <v>16</v>
      </c>
      <c r="L17" s="39" t="s">
        <v>21</v>
      </c>
      <c r="M17" s="230"/>
      <c r="N17" s="32"/>
      <c r="O17" s="40"/>
      <c r="P17" s="40"/>
      <c r="Q17" s="40"/>
      <c r="R17" s="41"/>
    </row>
    <row r="18" spans="1:18">
      <c r="A18" s="32">
        <f t="shared" si="2"/>
        <v>14</v>
      </c>
      <c r="B18" s="232" t="s">
        <v>31</v>
      </c>
      <c r="C18" s="232" t="s">
        <v>30</v>
      </c>
      <c r="D18" s="232" t="s">
        <v>45</v>
      </c>
      <c r="E18" s="111">
        <v>60.95</v>
      </c>
      <c r="F18" s="239">
        <v>973.39</v>
      </c>
      <c r="G18" s="283">
        <f t="shared" si="3"/>
        <v>931.39</v>
      </c>
      <c r="H18" s="238">
        <f t="shared" si="0"/>
        <v>56768.220500000003</v>
      </c>
      <c r="I18" s="240">
        <v>41464.11</v>
      </c>
      <c r="J18" s="252">
        <f t="shared" si="1"/>
        <v>2527237.5045000003</v>
      </c>
      <c r="K18" s="38" t="s">
        <v>16</v>
      </c>
      <c r="L18" s="39" t="s">
        <v>21</v>
      </c>
      <c r="M18" s="230"/>
      <c r="N18" s="32"/>
      <c r="O18" s="40"/>
      <c r="P18" s="40"/>
      <c r="Q18" s="40"/>
      <c r="R18" s="41"/>
    </row>
    <row r="19" spans="1:18">
      <c r="A19" s="32">
        <f t="shared" si="2"/>
        <v>15</v>
      </c>
      <c r="B19" s="232" t="s">
        <v>31</v>
      </c>
      <c r="C19" s="232" t="s">
        <v>30</v>
      </c>
      <c r="D19" s="232" t="s">
        <v>46</v>
      </c>
      <c r="E19" s="111">
        <v>60.8</v>
      </c>
      <c r="F19" s="239">
        <v>973.39</v>
      </c>
      <c r="G19" s="283">
        <f t="shared" si="3"/>
        <v>931.39</v>
      </c>
      <c r="H19" s="238">
        <f t="shared" si="0"/>
        <v>56628.511999999995</v>
      </c>
      <c r="I19" s="240">
        <v>41464.11</v>
      </c>
      <c r="J19" s="252">
        <f t="shared" si="1"/>
        <v>2521017.8879999998</v>
      </c>
      <c r="K19" s="38" t="s">
        <v>16</v>
      </c>
      <c r="L19" s="39" t="s">
        <v>21</v>
      </c>
      <c r="M19" s="230"/>
      <c r="N19" s="32"/>
      <c r="O19" s="40"/>
      <c r="P19" s="40"/>
      <c r="Q19" s="40"/>
      <c r="R19" s="41"/>
    </row>
    <row r="20" spans="1:18">
      <c r="A20" s="32">
        <f t="shared" si="2"/>
        <v>16</v>
      </c>
      <c r="B20" s="232" t="s">
        <v>31</v>
      </c>
      <c r="C20" s="232" t="s">
        <v>30</v>
      </c>
      <c r="D20" s="232" t="s">
        <v>47</v>
      </c>
      <c r="E20" s="111">
        <v>61.1</v>
      </c>
      <c r="F20" s="239">
        <v>973.39</v>
      </c>
      <c r="G20" s="283">
        <f t="shared" si="3"/>
        <v>931.39</v>
      </c>
      <c r="H20" s="238">
        <f t="shared" si="0"/>
        <v>56907.929000000004</v>
      </c>
      <c r="I20" s="240">
        <v>41464.11</v>
      </c>
      <c r="J20" s="252">
        <f t="shared" si="1"/>
        <v>2533457.1210000003</v>
      </c>
      <c r="K20" s="38" t="s">
        <v>16</v>
      </c>
      <c r="L20" s="39" t="s">
        <v>21</v>
      </c>
      <c r="M20" s="230"/>
      <c r="N20" s="32"/>
      <c r="O20" s="40"/>
      <c r="P20" s="40"/>
      <c r="Q20" s="40"/>
      <c r="R20" s="41"/>
    </row>
    <row r="21" spans="1:18">
      <c r="A21" s="32">
        <f t="shared" si="2"/>
        <v>17</v>
      </c>
      <c r="B21" s="232" t="s">
        <v>31</v>
      </c>
      <c r="C21" s="232" t="s">
        <v>30</v>
      </c>
      <c r="D21" s="232" t="s">
        <v>48</v>
      </c>
      <c r="E21" s="111">
        <v>60.6</v>
      </c>
      <c r="F21" s="239">
        <v>973.39</v>
      </c>
      <c r="G21" s="283">
        <f t="shared" si="3"/>
        <v>931.39</v>
      </c>
      <c r="H21" s="238">
        <f t="shared" si="0"/>
        <v>56442.234000000004</v>
      </c>
      <c r="I21" s="240">
        <v>41464.11</v>
      </c>
      <c r="J21" s="252">
        <f t="shared" si="1"/>
        <v>2512725.0660000001</v>
      </c>
      <c r="K21" s="38" t="s">
        <v>16</v>
      </c>
      <c r="L21" s="39" t="s">
        <v>21</v>
      </c>
      <c r="M21" s="230"/>
      <c r="N21" s="32"/>
      <c r="O21" s="40"/>
      <c r="P21" s="40"/>
      <c r="Q21" s="40"/>
      <c r="R21" s="41"/>
    </row>
    <row r="22" spans="1:18">
      <c r="A22" s="32">
        <f t="shared" si="2"/>
        <v>18</v>
      </c>
      <c r="B22" s="232" t="s">
        <v>31</v>
      </c>
      <c r="C22" s="232" t="s">
        <v>30</v>
      </c>
      <c r="D22" s="232" t="s">
        <v>49</v>
      </c>
      <c r="E22" s="111">
        <v>60.45</v>
      </c>
      <c r="F22" s="239">
        <v>973.39</v>
      </c>
      <c r="G22" s="283">
        <f t="shared" si="3"/>
        <v>931.39</v>
      </c>
      <c r="H22" s="238">
        <f t="shared" si="0"/>
        <v>56302.525500000003</v>
      </c>
      <c r="I22" s="240">
        <v>41464.11</v>
      </c>
      <c r="J22" s="252">
        <f t="shared" si="1"/>
        <v>2506505.4495000001</v>
      </c>
      <c r="K22" s="38" t="s">
        <v>16</v>
      </c>
      <c r="L22" s="39" t="s">
        <v>21</v>
      </c>
      <c r="M22" s="230"/>
      <c r="N22" s="32"/>
      <c r="O22" s="40"/>
      <c r="P22" s="40"/>
      <c r="Q22" s="40"/>
      <c r="R22" s="41"/>
    </row>
    <row r="23" spans="1:18">
      <c r="A23" s="32">
        <f t="shared" si="2"/>
        <v>19</v>
      </c>
      <c r="B23" s="232" t="s">
        <v>31</v>
      </c>
      <c r="C23" s="232" t="s">
        <v>30</v>
      </c>
      <c r="D23" s="232" t="s">
        <v>50</v>
      </c>
      <c r="E23" s="111">
        <v>60.45</v>
      </c>
      <c r="F23" s="239">
        <v>973.39</v>
      </c>
      <c r="G23" s="283">
        <f t="shared" si="3"/>
        <v>931.39</v>
      </c>
      <c r="H23" s="238">
        <f t="shared" si="0"/>
        <v>56302.525500000003</v>
      </c>
      <c r="I23" s="240">
        <v>41464.11</v>
      </c>
      <c r="J23" s="252">
        <f t="shared" si="1"/>
        <v>2506505.4495000001</v>
      </c>
      <c r="K23" s="38" t="s">
        <v>16</v>
      </c>
      <c r="L23" s="39" t="s">
        <v>21</v>
      </c>
      <c r="M23" s="230"/>
      <c r="N23" s="32"/>
      <c r="O23" s="40"/>
      <c r="P23" s="40"/>
      <c r="Q23" s="40"/>
      <c r="R23" s="41"/>
    </row>
    <row r="24" spans="1:18" ht="14.4" thickBot="1">
      <c r="A24" s="286">
        <f t="shared" si="2"/>
        <v>20</v>
      </c>
      <c r="B24" s="262" t="s">
        <v>31</v>
      </c>
      <c r="C24" s="262" t="s">
        <v>30</v>
      </c>
      <c r="D24" s="262" t="s">
        <v>51</v>
      </c>
      <c r="E24" s="258">
        <v>60.5</v>
      </c>
      <c r="F24" s="239">
        <v>973.39</v>
      </c>
      <c r="G24" s="275">
        <f t="shared" si="3"/>
        <v>931.39</v>
      </c>
      <c r="H24" s="254">
        <f t="shared" si="0"/>
        <v>56349.095000000001</v>
      </c>
      <c r="I24" s="255">
        <v>41464.11</v>
      </c>
      <c r="J24" s="256">
        <f t="shared" si="1"/>
        <v>2508578.6550000003</v>
      </c>
      <c r="K24" s="277" t="s">
        <v>16</v>
      </c>
      <c r="L24" s="59" t="s">
        <v>21</v>
      </c>
      <c r="M24" s="231"/>
      <c r="N24" s="42"/>
      <c r="O24" s="49"/>
      <c r="P24" s="49"/>
      <c r="Q24" s="49"/>
      <c r="R24" s="50"/>
    </row>
    <row r="25" spans="1:18" ht="14.4" thickBot="1">
      <c r="A25" s="116"/>
      <c r="B25" s="117"/>
      <c r="C25" s="117"/>
      <c r="D25" s="117"/>
      <c r="E25" s="287">
        <f>SUM(E5:E24)</f>
        <v>1158.8000000000002</v>
      </c>
      <c r="F25" s="117"/>
      <c r="G25" s="117"/>
      <c r="H25" s="159" t="e">
        <f>SUM(H5:H24)</f>
        <v>#REF!</v>
      </c>
      <c r="I25" s="176"/>
      <c r="J25" s="248">
        <f>SUM(J5:J24)</f>
        <v>48048610.667999998</v>
      </c>
      <c r="K25" s="117"/>
      <c r="L25" s="119"/>
      <c r="M25" s="125"/>
      <c r="N25" s="124"/>
      <c r="O25" s="117"/>
      <c r="P25" s="117"/>
      <c r="Q25" s="117"/>
      <c r="R25" s="119"/>
    </row>
    <row r="26" spans="1:18">
      <c r="A26" s="130">
        <v>21</v>
      </c>
      <c r="B26" s="233" t="s">
        <v>31</v>
      </c>
      <c r="C26" s="233" t="s">
        <v>53</v>
      </c>
      <c r="D26" s="233" t="s">
        <v>54</v>
      </c>
      <c r="E26" s="228">
        <v>52.7</v>
      </c>
      <c r="F26" s="239">
        <v>973.39</v>
      </c>
      <c r="G26" s="283">
        <f t="shared" ref="G26:G38" si="4">F26-42</f>
        <v>931.39</v>
      </c>
      <c r="H26" s="238">
        <f t="shared" ref="H26:H38" si="5">E26*G26</f>
        <v>49084.253000000004</v>
      </c>
      <c r="I26" s="240">
        <v>41464.11</v>
      </c>
      <c r="J26" s="252">
        <f t="shared" ref="J26:J46" si="6">E26*I26</f>
        <v>2185158.5970000001</v>
      </c>
      <c r="K26" s="38" t="s">
        <v>16</v>
      </c>
      <c r="L26" s="39" t="s">
        <v>21</v>
      </c>
      <c r="M26" s="133"/>
      <c r="N26" s="130"/>
      <c r="O26" s="131"/>
      <c r="P26" s="131"/>
      <c r="Q26" s="131"/>
      <c r="R26" s="132"/>
    </row>
    <row r="27" spans="1:18">
      <c r="A27" s="32">
        <f>A26+1</f>
        <v>22</v>
      </c>
      <c r="B27" s="232" t="s">
        <v>31</v>
      </c>
      <c r="C27" s="232" t="s">
        <v>53</v>
      </c>
      <c r="D27" s="234" t="s">
        <v>55</v>
      </c>
      <c r="E27" s="111">
        <v>60.45</v>
      </c>
      <c r="F27" s="239">
        <v>973.39</v>
      </c>
      <c r="G27" s="283">
        <f t="shared" si="4"/>
        <v>931.39</v>
      </c>
      <c r="H27" s="238">
        <f t="shared" si="5"/>
        <v>56302.525500000003</v>
      </c>
      <c r="I27" s="240">
        <v>41464.11</v>
      </c>
      <c r="J27" s="252">
        <f t="shared" si="6"/>
        <v>2506505.4495000001</v>
      </c>
      <c r="K27" s="38" t="s">
        <v>16</v>
      </c>
      <c r="L27" s="39" t="s">
        <v>21</v>
      </c>
      <c r="M27" s="134"/>
      <c r="N27" s="32"/>
      <c r="O27" s="40"/>
      <c r="P27" s="40"/>
      <c r="Q27" s="40"/>
      <c r="R27" s="41"/>
    </row>
    <row r="28" spans="1:18">
      <c r="A28" s="32">
        <f t="shared" ref="A28:A38" si="7">A27+1</f>
        <v>23</v>
      </c>
      <c r="B28" s="232" t="s">
        <v>31</v>
      </c>
      <c r="C28" s="232" t="s">
        <v>53</v>
      </c>
      <c r="D28" s="234" t="s">
        <v>56</v>
      </c>
      <c r="E28" s="111">
        <v>60.45</v>
      </c>
      <c r="F28" s="239">
        <v>973.39</v>
      </c>
      <c r="G28" s="283">
        <f t="shared" si="4"/>
        <v>931.39</v>
      </c>
      <c r="H28" s="238">
        <f t="shared" si="5"/>
        <v>56302.525500000003</v>
      </c>
      <c r="I28" s="240">
        <v>41464.11</v>
      </c>
      <c r="J28" s="252">
        <f t="shared" si="6"/>
        <v>2506505.4495000001</v>
      </c>
      <c r="K28" s="38" t="s">
        <v>16</v>
      </c>
      <c r="L28" s="39" t="s">
        <v>21</v>
      </c>
      <c r="M28" s="134"/>
      <c r="N28" s="32"/>
      <c r="O28" s="40"/>
      <c r="P28" s="40"/>
      <c r="Q28" s="40"/>
      <c r="R28" s="41"/>
    </row>
    <row r="29" spans="1:18">
      <c r="A29" s="32">
        <f t="shared" si="7"/>
        <v>24</v>
      </c>
      <c r="B29" s="232" t="s">
        <v>31</v>
      </c>
      <c r="C29" s="232" t="s">
        <v>53</v>
      </c>
      <c r="D29" s="234" t="s">
        <v>57</v>
      </c>
      <c r="E29" s="111">
        <v>52.65</v>
      </c>
      <c r="F29" s="239">
        <v>973.39</v>
      </c>
      <c r="G29" s="283">
        <f t="shared" si="4"/>
        <v>931.39</v>
      </c>
      <c r="H29" s="238">
        <f t="shared" si="5"/>
        <v>49037.683499999999</v>
      </c>
      <c r="I29" s="240">
        <v>41464.11</v>
      </c>
      <c r="J29" s="252">
        <f t="shared" si="6"/>
        <v>2183085.3914999999</v>
      </c>
      <c r="K29" s="38" t="s">
        <v>16</v>
      </c>
      <c r="L29" s="39" t="s">
        <v>21</v>
      </c>
      <c r="M29" s="134"/>
      <c r="N29" s="32"/>
      <c r="O29" s="40"/>
      <c r="P29" s="40"/>
      <c r="Q29" s="40"/>
      <c r="R29" s="41"/>
    </row>
    <row r="30" spans="1:18">
      <c r="A30" s="32">
        <f t="shared" si="7"/>
        <v>25</v>
      </c>
      <c r="B30" s="232" t="s">
        <v>31</v>
      </c>
      <c r="C30" s="232" t="s">
        <v>53</v>
      </c>
      <c r="D30" s="234" t="s">
        <v>58</v>
      </c>
      <c r="E30" s="111">
        <v>52.7</v>
      </c>
      <c r="F30" s="239">
        <v>973.39</v>
      </c>
      <c r="G30" s="283">
        <f t="shared" si="4"/>
        <v>931.39</v>
      </c>
      <c r="H30" s="238">
        <f t="shared" si="5"/>
        <v>49084.253000000004</v>
      </c>
      <c r="I30" s="240">
        <v>41464.11</v>
      </c>
      <c r="J30" s="252">
        <f t="shared" si="6"/>
        <v>2185158.5970000001</v>
      </c>
      <c r="K30" s="38" t="s">
        <v>16</v>
      </c>
      <c r="L30" s="39" t="s">
        <v>21</v>
      </c>
      <c r="M30" s="134"/>
      <c r="N30" s="32"/>
      <c r="O30" s="40"/>
      <c r="P30" s="40"/>
      <c r="Q30" s="40"/>
      <c r="R30" s="41"/>
    </row>
    <row r="31" spans="1:18">
      <c r="A31" s="32">
        <f t="shared" si="7"/>
        <v>26</v>
      </c>
      <c r="B31" s="232" t="s">
        <v>31</v>
      </c>
      <c r="C31" s="232" t="s">
        <v>53</v>
      </c>
      <c r="D31" s="234" t="s">
        <v>59</v>
      </c>
      <c r="E31" s="111">
        <v>60.55</v>
      </c>
      <c r="F31" s="239">
        <v>973.39</v>
      </c>
      <c r="G31" s="283">
        <f t="shared" si="4"/>
        <v>931.39</v>
      </c>
      <c r="H31" s="238">
        <f t="shared" si="5"/>
        <v>56395.664499999999</v>
      </c>
      <c r="I31" s="240">
        <v>41464.11</v>
      </c>
      <c r="J31" s="252">
        <f t="shared" si="6"/>
        <v>2510651.8605</v>
      </c>
      <c r="K31" s="38" t="s">
        <v>16</v>
      </c>
      <c r="L31" s="39" t="s">
        <v>21</v>
      </c>
      <c r="M31" s="134"/>
      <c r="N31" s="32"/>
      <c r="O31" s="40"/>
      <c r="P31" s="40"/>
      <c r="Q31" s="40"/>
      <c r="R31" s="41"/>
    </row>
    <row r="32" spans="1:18">
      <c r="A32" s="32">
        <f t="shared" si="7"/>
        <v>27</v>
      </c>
      <c r="B32" s="232" t="s">
        <v>31</v>
      </c>
      <c r="C32" s="232" t="s">
        <v>53</v>
      </c>
      <c r="D32" s="234" t="s">
        <v>60</v>
      </c>
      <c r="E32" s="111">
        <v>60.95</v>
      </c>
      <c r="F32" s="239">
        <v>973.39</v>
      </c>
      <c r="G32" s="283">
        <f t="shared" si="4"/>
        <v>931.39</v>
      </c>
      <c r="H32" s="238">
        <f t="shared" si="5"/>
        <v>56768.220500000003</v>
      </c>
      <c r="I32" s="240">
        <v>41464.11</v>
      </c>
      <c r="J32" s="252">
        <f t="shared" si="6"/>
        <v>2527237.5045000003</v>
      </c>
      <c r="K32" s="38" t="s">
        <v>16</v>
      </c>
      <c r="L32" s="39" t="s">
        <v>21</v>
      </c>
      <c r="M32" s="134"/>
      <c r="N32" s="32"/>
      <c r="O32" s="40"/>
      <c r="P32" s="40"/>
      <c r="Q32" s="40"/>
      <c r="R32" s="41"/>
    </row>
    <row r="33" spans="1:22">
      <c r="A33" s="32">
        <f t="shared" si="7"/>
        <v>28</v>
      </c>
      <c r="B33" s="232" t="s">
        <v>31</v>
      </c>
      <c r="C33" s="232" t="s">
        <v>53</v>
      </c>
      <c r="D33" s="234" t="s">
        <v>61</v>
      </c>
      <c r="E33" s="111">
        <v>60.95</v>
      </c>
      <c r="F33" s="239">
        <v>973.39</v>
      </c>
      <c r="G33" s="283">
        <f t="shared" si="4"/>
        <v>931.39</v>
      </c>
      <c r="H33" s="238">
        <f t="shared" si="5"/>
        <v>56768.220500000003</v>
      </c>
      <c r="I33" s="240">
        <v>41464.11</v>
      </c>
      <c r="J33" s="252">
        <f t="shared" si="6"/>
        <v>2527237.5045000003</v>
      </c>
      <c r="K33" s="38" t="s">
        <v>16</v>
      </c>
      <c r="L33" s="39" t="s">
        <v>21</v>
      </c>
      <c r="M33" s="134"/>
      <c r="N33" s="32"/>
      <c r="O33" s="40"/>
      <c r="P33" s="40"/>
      <c r="Q33" s="40"/>
      <c r="R33" s="41"/>
    </row>
    <row r="34" spans="1:22">
      <c r="A34" s="32">
        <f t="shared" si="7"/>
        <v>29</v>
      </c>
      <c r="B34" s="232" t="s">
        <v>31</v>
      </c>
      <c r="C34" s="232" t="s">
        <v>53</v>
      </c>
      <c r="D34" s="234" t="s">
        <v>62</v>
      </c>
      <c r="E34" s="111">
        <v>60.95</v>
      </c>
      <c r="F34" s="239">
        <v>973.39</v>
      </c>
      <c r="G34" s="283">
        <f t="shared" si="4"/>
        <v>931.39</v>
      </c>
      <c r="H34" s="238">
        <f t="shared" si="5"/>
        <v>56768.220500000003</v>
      </c>
      <c r="I34" s="240">
        <v>41464.11</v>
      </c>
      <c r="J34" s="252">
        <f t="shared" si="6"/>
        <v>2527237.5045000003</v>
      </c>
      <c r="K34" s="38" t="s">
        <v>16</v>
      </c>
      <c r="L34" s="39" t="s">
        <v>21</v>
      </c>
      <c r="M34" s="134"/>
      <c r="N34" s="32"/>
      <c r="O34" s="40"/>
      <c r="P34" s="40"/>
      <c r="Q34" s="40"/>
      <c r="R34" s="41"/>
    </row>
    <row r="35" spans="1:22">
      <c r="A35" s="32">
        <f t="shared" si="7"/>
        <v>30</v>
      </c>
      <c r="B35" s="232" t="s">
        <v>31</v>
      </c>
      <c r="C35" s="232" t="s">
        <v>53</v>
      </c>
      <c r="D35" s="234" t="s">
        <v>63</v>
      </c>
      <c r="E35" s="111">
        <v>60.05</v>
      </c>
      <c r="F35" s="239">
        <v>973.39</v>
      </c>
      <c r="G35" s="283">
        <f t="shared" si="4"/>
        <v>931.39</v>
      </c>
      <c r="H35" s="238">
        <f t="shared" si="5"/>
        <v>55929.969499999999</v>
      </c>
      <c r="I35" s="240">
        <v>41464.11</v>
      </c>
      <c r="J35" s="252">
        <f t="shared" si="6"/>
        <v>2489919.8054999998</v>
      </c>
      <c r="K35" s="38" t="s">
        <v>16</v>
      </c>
      <c r="L35" s="39" t="s">
        <v>21</v>
      </c>
      <c r="M35" s="134"/>
      <c r="N35" s="32"/>
      <c r="O35" s="40"/>
      <c r="P35" s="40"/>
      <c r="Q35" s="40"/>
      <c r="R35" s="41"/>
    </row>
    <row r="36" spans="1:22">
      <c r="A36" s="32">
        <f t="shared" si="7"/>
        <v>31</v>
      </c>
      <c r="B36" s="232" t="s">
        <v>31</v>
      </c>
      <c r="C36" s="232" t="s">
        <v>53</v>
      </c>
      <c r="D36" s="234" t="s">
        <v>64</v>
      </c>
      <c r="E36" s="111">
        <v>60.4</v>
      </c>
      <c r="F36" s="239">
        <v>973.39</v>
      </c>
      <c r="G36" s="283">
        <f t="shared" si="4"/>
        <v>931.39</v>
      </c>
      <c r="H36" s="238">
        <f>E36*G36</f>
        <v>56255.955999999998</v>
      </c>
      <c r="I36" s="240">
        <v>41464.11</v>
      </c>
      <c r="J36" s="252">
        <f t="shared" si="6"/>
        <v>2504432.2439999999</v>
      </c>
      <c r="K36" s="38" t="s">
        <v>16</v>
      </c>
      <c r="L36" s="39" t="s">
        <v>21</v>
      </c>
      <c r="M36" s="134"/>
      <c r="N36" s="32"/>
      <c r="O36" s="40"/>
      <c r="P36" s="40"/>
      <c r="Q36" s="40"/>
      <c r="R36" s="41"/>
    </row>
    <row r="37" spans="1:22">
      <c r="A37" s="32">
        <f t="shared" si="7"/>
        <v>32</v>
      </c>
      <c r="B37" s="232" t="s">
        <v>31</v>
      </c>
      <c r="C37" s="232" t="s">
        <v>53</v>
      </c>
      <c r="D37" s="234" t="s">
        <v>65</v>
      </c>
      <c r="E37" s="111">
        <v>60.65</v>
      </c>
      <c r="F37" s="239">
        <v>973.39</v>
      </c>
      <c r="G37" s="283">
        <f t="shared" si="4"/>
        <v>931.39</v>
      </c>
      <c r="H37" s="238">
        <f t="shared" si="5"/>
        <v>56488.803499999995</v>
      </c>
      <c r="I37" s="240">
        <v>41464.11</v>
      </c>
      <c r="J37" s="252">
        <f t="shared" si="6"/>
        <v>2514798.2714999998</v>
      </c>
      <c r="K37" s="38" t="s">
        <v>16</v>
      </c>
      <c r="L37" s="39" t="s">
        <v>21</v>
      </c>
      <c r="M37" s="134"/>
      <c r="N37" s="32"/>
      <c r="O37" s="40"/>
      <c r="P37" s="40"/>
      <c r="Q37" s="40"/>
      <c r="R37" s="41"/>
    </row>
    <row r="38" spans="1:22" ht="14.4" thickBot="1">
      <c r="A38" s="42">
        <f t="shared" si="7"/>
        <v>33</v>
      </c>
      <c r="B38" s="235" t="s">
        <v>31</v>
      </c>
      <c r="C38" s="236" t="s">
        <v>53</v>
      </c>
      <c r="D38" s="237" t="s">
        <v>66</v>
      </c>
      <c r="E38" s="216">
        <v>61.15</v>
      </c>
      <c r="F38" s="239">
        <v>973.39</v>
      </c>
      <c r="G38" s="283">
        <f t="shared" si="4"/>
        <v>931.39</v>
      </c>
      <c r="H38" s="238">
        <f t="shared" si="5"/>
        <v>56954.498499999994</v>
      </c>
      <c r="I38" s="240">
        <v>41464.11</v>
      </c>
      <c r="J38" s="252">
        <f t="shared" si="6"/>
        <v>2535530.3265</v>
      </c>
      <c r="K38" s="38" t="s">
        <v>16</v>
      </c>
      <c r="L38" s="39" t="s">
        <v>21</v>
      </c>
      <c r="M38" s="135"/>
      <c r="N38" s="42"/>
      <c r="O38" s="49"/>
      <c r="P38" s="49"/>
      <c r="Q38" s="49"/>
      <c r="R38" s="50"/>
    </row>
    <row r="39" spans="1:22" ht="14.4" thickBot="1">
      <c r="A39" s="116"/>
      <c r="B39" s="117"/>
      <c r="C39" s="117"/>
      <c r="D39" s="117"/>
      <c r="E39" s="122">
        <f>SUM(E26:E38)</f>
        <v>764.59999999999991</v>
      </c>
      <c r="F39" s="117"/>
      <c r="G39" s="117"/>
      <c r="H39" s="159">
        <f>SUM(H26:H38)</f>
        <v>712140.79399999999</v>
      </c>
      <c r="I39" s="176"/>
      <c r="J39" s="248">
        <f>SUM(J26:J38)</f>
        <v>31703458.505999997</v>
      </c>
      <c r="K39" s="117"/>
      <c r="L39" s="123"/>
      <c r="M39" s="125"/>
      <c r="N39" s="124"/>
      <c r="O39" s="117"/>
      <c r="P39" s="117"/>
      <c r="Q39" s="117"/>
      <c r="R39" s="119"/>
    </row>
    <row r="40" spans="1:22">
      <c r="A40" s="78">
        <v>34</v>
      </c>
      <c r="B40" s="72">
        <v>46091</v>
      </c>
      <c r="C40" s="250" t="s">
        <v>68</v>
      </c>
      <c r="D40" s="261" t="s">
        <v>69</v>
      </c>
      <c r="E40" s="258">
        <v>61.05</v>
      </c>
      <c r="F40" s="239">
        <v>973.39</v>
      </c>
      <c r="G40" s="283">
        <f t="shared" ref="G40:G44" si="8">F40-42</f>
        <v>931.39</v>
      </c>
      <c r="H40" s="238">
        <f t="shared" ref="H40:H44" si="9">E40*G40</f>
        <v>56861.359499999999</v>
      </c>
      <c r="I40" s="240">
        <v>41464.11</v>
      </c>
      <c r="J40" s="259">
        <f t="shared" si="6"/>
        <v>2531383.9155000001</v>
      </c>
      <c r="K40" s="75" t="s">
        <v>16</v>
      </c>
      <c r="L40" s="76" t="s">
        <v>21</v>
      </c>
      <c r="M40" s="77"/>
      <c r="N40" s="64"/>
      <c r="O40" s="65"/>
      <c r="P40" s="65"/>
      <c r="Q40" s="65"/>
      <c r="R40" s="66"/>
      <c r="V40" s="232"/>
    </row>
    <row r="41" spans="1:22">
      <c r="A41" s="67">
        <f>A40+1</f>
        <v>35</v>
      </c>
      <c r="B41" s="61">
        <v>46091</v>
      </c>
      <c r="C41" s="232" t="s">
        <v>68</v>
      </c>
      <c r="D41" s="232" t="s">
        <v>70</v>
      </c>
      <c r="E41" s="111">
        <v>51.7</v>
      </c>
      <c r="F41" s="239">
        <v>973.39</v>
      </c>
      <c r="G41" s="283">
        <f t="shared" si="8"/>
        <v>931.39</v>
      </c>
      <c r="H41" s="238">
        <f t="shared" si="9"/>
        <v>48152.863000000005</v>
      </c>
      <c r="I41" s="240">
        <v>41464.11</v>
      </c>
      <c r="J41" s="252">
        <f t="shared" si="6"/>
        <v>2143694.4870000002</v>
      </c>
      <c r="K41" s="38" t="s">
        <v>16</v>
      </c>
      <c r="L41" s="39" t="s">
        <v>21</v>
      </c>
      <c r="M41" s="62"/>
      <c r="N41" s="67"/>
      <c r="O41" s="54"/>
      <c r="P41" s="54"/>
      <c r="Q41" s="54"/>
      <c r="R41" s="68"/>
      <c r="V41" s="232"/>
    </row>
    <row r="42" spans="1:22">
      <c r="A42" s="67">
        <f t="shared" ref="A42:A44" si="10">A41+1</f>
        <v>36</v>
      </c>
      <c r="B42" s="61">
        <v>46091</v>
      </c>
      <c r="C42" s="232" t="s">
        <v>68</v>
      </c>
      <c r="D42" s="232" t="s">
        <v>71</v>
      </c>
      <c r="E42" s="111">
        <v>52.15</v>
      </c>
      <c r="F42" s="239">
        <v>973.39</v>
      </c>
      <c r="G42" s="283">
        <f t="shared" si="8"/>
        <v>931.39</v>
      </c>
      <c r="H42" s="238">
        <f t="shared" si="9"/>
        <v>48571.988499999999</v>
      </c>
      <c r="I42" s="240">
        <v>41464.11</v>
      </c>
      <c r="J42" s="252">
        <f t="shared" si="6"/>
        <v>2162353.3364999997</v>
      </c>
      <c r="K42" s="38" t="s">
        <v>16</v>
      </c>
      <c r="L42" s="39" t="s">
        <v>21</v>
      </c>
      <c r="M42" s="62"/>
      <c r="N42" s="67"/>
      <c r="O42" s="54"/>
      <c r="P42" s="54"/>
      <c r="Q42" s="54"/>
      <c r="R42" s="68"/>
      <c r="V42" s="232"/>
    </row>
    <row r="43" spans="1:22">
      <c r="A43" s="67">
        <f t="shared" si="10"/>
        <v>37</v>
      </c>
      <c r="B43" s="61">
        <v>46091</v>
      </c>
      <c r="C43" s="232" t="s">
        <v>68</v>
      </c>
      <c r="D43" s="232" t="s">
        <v>72</v>
      </c>
      <c r="E43" s="111">
        <v>60.65</v>
      </c>
      <c r="F43" s="239">
        <v>973.39</v>
      </c>
      <c r="G43" s="283">
        <f t="shared" si="8"/>
        <v>931.39</v>
      </c>
      <c r="H43" s="238">
        <f t="shared" si="9"/>
        <v>56488.803499999995</v>
      </c>
      <c r="I43" s="240">
        <v>41464.11</v>
      </c>
      <c r="J43" s="252">
        <f t="shared" si="6"/>
        <v>2514798.2714999998</v>
      </c>
      <c r="K43" s="38" t="s">
        <v>16</v>
      </c>
      <c r="L43" s="39" t="s">
        <v>21</v>
      </c>
      <c r="M43" s="62"/>
      <c r="N43" s="67"/>
      <c r="O43" s="54"/>
      <c r="P43" s="54"/>
      <c r="Q43" s="54"/>
      <c r="R43" s="68"/>
      <c r="V43" s="232"/>
    </row>
    <row r="44" spans="1:22" ht="14.4" thickBot="1">
      <c r="A44" s="69">
        <f t="shared" si="10"/>
        <v>38</v>
      </c>
      <c r="B44" s="112">
        <v>46091</v>
      </c>
      <c r="C44" s="237" t="s">
        <v>68</v>
      </c>
      <c r="D44" s="235" t="s">
        <v>73</v>
      </c>
      <c r="E44" s="245">
        <v>61.1</v>
      </c>
      <c r="F44" s="239">
        <v>973.39</v>
      </c>
      <c r="G44" s="283">
        <f t="shared" si="8"/>
        <v>931.39</v>
      </c>
      <c r="H44" s="238">
        <f t="shared" si="9"/>
        <v>56907.929000000004</v>
      </c>
      <c r="I44" s="247">
        <v>41464.11</v>
      </c>
      <c r="J44" s="252">
        <f t="shared" si="6"/>
        <v>2533457.1210000003</v>
      </c>
      <c r="K44" s="100" t="s">
        <v>16</v>
      </c>
      <c r="L44" s="101" t="s">
        <v>21</v>
      </c>
      <c r="M44" s="103"/>
      <c r="N44" s="69"/>
      <c r="O44" s="70"/>
      <c r="P44" s="70"/>
      <c r="Q44" s="70"/>
      <c r="R44" s="71"/>
      <c r="V44" s="262"/>
    </row>
    <row r="45" spans="1:22" ht="14.4" thickBot="1">
      <c r="A45" s="116"/>
      <c r="B45" s="117"/>
      <c r="C45" s="117"/>
      <c r="D45" s="117"/>
      <c r="E45" s="122">
        <f>SUM(E40:E44)</f>
        <v>286.65000000000003</v>
      </c>
      <c r="F45" s="117"/>
      <c r="G45" s="117"/>
      <c r="H45" s="159">
        <f>SUM(H40:H44)</f>
        <v>266982.94349999999</v>
      </c>
      <c r="I45" s="176"/>
      <c r="J45" s="248">
        <f>SUM(J40:J44)</f>
        <v>11885687.131499998</v>
      </c>
      <c r="K45" s="117"/>
      <c r="L45" s="119"/>
      <c r="M45" s="214"/>
      <c r="N45" s="116"/>
      <c r="O45" s="117"/>
      <c r="P45" s="117"/>
      <c r="Q45" s="117"/>
      <c r="R45" s="119"/>
    </row>
    <row r="46" spans="1:22" ht="14.4" thickBot="1">
      <c r="A46" s="92">
        <v>39</v>
      </c>
      <c r="B46" s="61">
        <v>46091</v>
      </c>
      <c r="C46" s="266" t="s">
        <v>74</v>
      </c>
      <c r="D46" s="263" t="s">
        <v>75</v>
      </c>
      <c r="E46" s="269">
        <v>60.65</v>
      </c>
      <c r="F46" s="239">
        <v>973.39</v>
      </c>
      <c r="G46" s="283">
        <f>F46-42</f>
        <v>931.39</v>
      </c>
      <c r="H46" s="254">
        <f>E46*G46</f>
        <v>56488.803499999995</v>
      </c>
      <c r="I46" s="255">
        <v>41464.11</v>
      </c>
      <c r="J46" s="252">
        <f t="shared" si="6"/>
        <v>2514798.2714999998</v>
      </c>
      <c r="K46" s="58" t="s">
        <v>16</v>
      </c>
      <c r="L46" s="59" t="s">
        <v>21</v>
      </c>
      <c r="M46" s="260"/>
      <c r="N46" s="181"/>
      <c r="O46" s="182"/>
      <c r="P46" s="182"/>
      <c r="Q46" s="182"/>
      <c r="R46" s="193"/>
    </row>
    <row r="47" spans="1:22" ht="14.4" thickBot="1">
      <c r="A47" s="116"/>
      <c r="B47" s="117"/>
      <c r="C47" s="117"/>
      <c r="D47" s="117"/>
      <c r="E47" s="122">
        <f>E46</f>
        <v>60.65</v>
      </c>
      <c r="F47" s="117"/>
      <c r="G47" s="117"/>
      <c r="H47" s="159">
        <f>H46</f>
        <v>56488.803499999995</v>
      </c>
      <c r="I47" s="176"/>
      <c r="J47" s="248">
        <f>J46</f>
        <v>2514798.2714999998</v>
      </c>
      <c r="K47" s="117"/>
      <c r="L47" s="123"/>
      <c r="M47" s="125"/>
      <c r="N47" s="124"/>
      <c r="O47" s="117"/>
      <c r="P47" s="117"/>
      <c r="Q47" s="117"/>
      <c r="R47" s="119"/>
    </row>
    <row r="48" spans="1:22">
      <c r="A48" s="60">
        <v>40</v>
      </c>
      <c r="B48" s="72">
        <v>46091</v>
      </c>
      <c r="C48" s="250" t="s">
        <v>76</v>
      </c>
      <c r="D48" s="261" t="s">
        <v>77</v>
      </c>
      <c r="E48" s="267">
        <v>59.9</v>
      </c>
      <c r="F48" s="239">
        <v>973.39</v>
      </c>
      <c r="G48" s="283">
        <f t="shared" ref="G48:G62" si="11">F48-42</f>
        <v>931.39</v>
      </c>
      <c r="H48" s="238">
        <f t="shared" ref="H48:H62" si="12">E48*G48</f>
        <v>55790.260999999999</v>
      </c>
      <c r="I48" s="240">
        <v>41464.11</v>
      </c>
      <c r="J48" s="259">
        <f t="shared" ref="J48:J62" si="13">E48*I48</f>
        <v>2483700.1889999998</v>
      </c>
      <c r="K48" s="75" t="s">
        <v>16</v>
      </c>
      <c r="L48" s="76" t="s">
        <v>21</v>
      </c>
      <c r="M48" s="77"/>
      <c r="N48" s="64"/>
      <c r="O48" s="65"/>
      <c r="P48" s="65"/>
      <c r="Q48" s="65"/>
      <c r="R48" s="66"/>
    </row>
    <row r="49" spans="1:18">
      <c r="A49" s="54">
        <f>A48+1</f>
        <v>41</v>
      </c>
      <c r="B49" s="61">
        <v>46091</v>
      </c>
      <c r="C49" s="232" t="s">
        <v>76</v>
      </c>
      <c r="D49" s="232" t="s">
        <v>78</v>
      </c>
      <c r="E49" s="264">
        <v>51.9</v>
      </c>
      <c r="F49" s="239">
        <v>973.39</v>
      </c>
      <c r="G49" s="283">
        <f t="shared" si="11"/>
        <v>931.39</v>
      </c>
      <c r="H49" s="238">
        <f t="shared" si="12"/>
        <v>48339.140999999996</v>
      </c>
      <c r="I49" s="240">
        <v>41464.11</v>
      </c>
      <c r="J49" s="252">
        <f t="shared" si="13"/>
        <v>2151987.3089999999</v>
      </c>
      <c r="K49" s="38" t="s">
        <v>16</v>
      </c>
      <c r="L49" s="39" t="s">
        <v>21</v>
      </c>
      <c r="M49" s="62"/>
      <c r="N49" s="67"/>
      <c r="O49" s="54"/>
      <c r="P49" s="54"/>
      <c r="Q49" s="54"/>
      <c r="R49" s="68"/>
    </row>
    <row r="50" spans="1:18">
      <c r="A50" s="54">
        <f t="shared" ref="A50:A62" si="14">A49+1</f>
        <v>42</v>
      </c>
      <c r="B50" s="61">
        <v>46091</v>
      </c>
      <c r="C50" s="232" t="s">
        <v>76</v>
      </c>
      <c r="D50" s="232" t="s">
        <v>79</v>
      </c>
      <c r="E50" s="264">
        <v>59.45</v>
      </c>
      <c r="F50" s="239">
        <v>973.39</v>
      </c>
      <c r="G50" s="283">
        <f t="shared" si="11"/>
        <v>931.39</v>
      </c>
      <c r="H50" s="238">
        <f t="shared" si="12"/>
        <v>55371.135500000004</v>
      </c>
      <c r="I50" s="240">
        <v>41464.11</v>
      </c>
      <c r="J50" s="252">
        <f t="shared" si="13"/>
        <v>2465041.3395000002</v>
      </c>
      <c r="K50" s="38" t="s">
        <v>16</v>
      </c>
      <c r="L50" s="39" t="s">
        <v>21</v>
      </c>
      <c r="M50" s="62"/>
      <c r="N50" s="67"/>
      <c r="O50" s="54"/>
      <c r="P50" s="54"/>
      <c r="Q50" s="54"/>
      <c r="R50" s="68"/>
    </row>
    <row r="51" spans="1:18">
      <c r="A51" s="54">
        <f t="shared" si="14"/>
        <v>43</v>
      </c>
      <c r="B51" s="61">
        <v>46091</v>
      </c>
      <c r="C51" s="232" t="s">
        <v>76</v>
      </c>
      <c r="D51" s="232" t="s">
        <v>80</v>
      </c>
      <c r="E51" s="264">
        <v>60.1</v>
      </c>
      <c r="F51" s="239">
        <v>973.39</v>
      </c>
      <c r="G51" s="283">
        <f t="shared" si="11"/>
        <v>931.39</v>
      </c>
      <c r="H51" s="238">
        <f t="shared" si="12"/>
        <v>55976.538999999997</v>
      </c>
      <c r="I51" s="240">
        <v>41464.11</v>
      </c>
      <c r="J51" s="252">
        <f t="shared" si="13"/>
        <v>2491993.0109999999</v>
      </c>
      <c r="K51" s="38" t="s">
        <v>16</v>
      </c>
      <c r="L51" s="39" t="s">
        <v>21</v>
      </c>
      <c r="M51" s="62"/>
      <c r="N51" s="67"/>
      <c r="O51" s="54"/>
      <c r="P51" s="54"/>
      <c r="Q51" s="54"/>
      <c r="R51" s="68"/>
    </row>
    <row r="52" spans="1:18">
      <c r="A52" s="54">
        <f t="shared" si="14"/>
        <v>44</v>
      </c>
      <c r="B52" s="61">
        <v>46091</v>
      </c>
      <c r="C52" s="232" t="s">
        <v>76</v>
      </c>
      <c r="D52" s="232" t="s">
        <v>81</v>
      </c>
      <c r="E52" s="264">
        <v>60.05</v>
      </c>
      <c r="F52" s="239">
        <v>973.39</v>
      </c>
      <c r="G52" s="283">
        <f t="shared" si="11"/>
        <v>931.39</v>
      </c>
      <c r="H52" s="238">
        <f t="shared" si="12"/>
        <v>55929.969499999999</v>
      </c>
      <c r="I52" s="240">
        <v>41464.11</v>
      </c>
      <c r="J52" s="252">
        <f t="shared" si="13"/>
        <v>2489919.8054999998</v>
      </c>
      <c r="K52" s="38" t="s">
        <v>16</v>
      </c>
      <c r="L52" s="39" t="s">
        <v>21</v>
      </c>
      <c r="M52" s="62"/>
      <c r="N52" s="67"/>
      <c r="O52" s="54"/>
      <c r="P52" s="54"/>
      <c r="Q52" s="54"/>
      <c r="R52" s="68"/>
    </row>
    <row r="53" spans="1:18">
      <c r="A53" s="54">
        <f t="shared" si="14"/>
        <v>45</v>
      </c>
      <c r="B53" s="61">
        <v>46091</v>
      </c>
      <c r="C53" s="232" t="s">
        <v>76</v>
      </c>
      <c r="D53" s="232" t="s">
        <v>82</v>
      </c>
      <c r="E53" s="264">
        <v>60.4</v>
      </c>
      <c r="F53" s="239">
        <v>973.39</v>
      </c>
      <c r="G53" s="283">
        <f t="shared" si="11"/>
        <v>931.39</v>
      </c>
      <c r="H53" s="238">
        <f t="shared" si="12"/>
        <v>56255.955999999998</v>
      </c>
      <c r="I53" s="240">
        <v>41464.11</v>
      </c>
      <c r="J53" s="252">
        <f t="shared" si="13"/>
        <v>2504432.2439999999</v>
      </c>
      <c r="K53" s="38" t="s">
        <v>16</v>
      </c>
      <c r="L53" s="39" t="s">
        <v>21</v>
      </c>
      <c r="M53" s="62"/>
      <c r="N53" s="67"/>
      <c r="O53" s="54"/>
      <c r="P53" s="54"/>
      <c r="Q53" s="54"/>
      <c r="R53" s="68"/>
    </row>
    <row r="54" spans="1:18">
      <c r="A54" s="54">
        <f t="shared" si="14"/>
        <v>46</v>
      </c>
      <c r="B54" s="61">
        <v>46091</v>
      </c>
      <c r="C54" s="232" t="s">
        <v>76</v>
      </c>
      <c r="D54" s="232" t="s">
        <v>83</v>
      </c>
      <c r="E54" s="264">
        <v>60.65</v>
      </c>
      <c r="F54" s="239">
        <v>973.39</v>
      </c>
      <c r="G54" s="283">
        <f t="shared" si="11"/>
        <v>931.39</v>
      </c>
      <c r="H54" s="238">
        <f t="shared" si="12"/>
        <v>56488.803499999995</v>
      </c>
      <c r="I54" s="240">
        <v>41464.11</v>
      </c>
      <c r="J54" s="252">
        <f t="shared" si="13"/>
        <v>2514798.2714999998</v>
      </c>
      <c r="K54" s="38" t="s">
        <v>16</v>
      </c>
      <c r="L54" s="39" t="s">
        <v>21</v>
      </c>
      <c r="M54" s="62"/>
      <c r="N54" s="67"/>
      <c r="O54" s="54"/>
      <c r="P54" s="54"/>
      <c r="Q54" s="54"/>
      <c r="R54" s="68"/>
    </row>
    <row r="55" spans="1:18">
      <c r="A55" s="54">
        <f t="shared" si="14"/>
        <v>47</v>
      </c>
      <c r="B55" s="61">
        <v>46091</v>
      </c>
      <c r="C55" s="232" t="s">
        <v>76</v>
      </c>
      <c r="D55" s="232" t="s">
        <v>84</v>
      </c>
      <c r="E55" s="264">
        <v>60.45</v>
      </c>
      <c r="F55" s="239">
        <v>973.39</v>
      </c>
      <c r="G55" s="283">
        <f t="shared" si="11"/>
        <v>931.39</v>
      </c>
      <c r="H55" s="238">
        <f t="shared" si="12"/>
        <v>56302.525500000003</v>
      </c>
      <c r="I55" s="240">
        <v>41464.11</v>
      </c>
      <c r="J55" s="252">
        <f t="shared" si="13"/>
        <v>2506505.4495000001</v>
      </c>
      <c r="K55" s="38" t="s">
        <v>16</v>
      </c>
      <c r="L55" s="39" t="s">
        <v>21</v>
      </c>
      <c r="M55" s="62"/>
      <c r="N55" s="67"/>
      <c r="O55" s="54"/>
      <c r="P55" s="54"/>
      <c r="Q55" s="54"/>
      <c r="R55" s="68"/>
    </row>
    <row r="56" spans="1:18">
      <c r="A56" s="54">
        <f t="shared" si="14"/>
        <v>48</v>
      </c>
      <c r="B56" s="61">
        <v>46091</v>
      </c>
      <c r="C56" s="232" t="s">
        <v>76</v>
      </c>
      <c r="D56" s="232" t="s">
        <v>85</v>
      </c>
      <c r="E56" s="264">
        <v>60.35</v>
      </c>
      <c r="F56" s="239">
        <v>973.39</v>
      </c>
      <c r="G56" s="283">
        <f t="shared" si="11"/>
        <v>931.39</v>
      </c>
      <c r="H56" s="238">
        <f t="shared" si="12"/>
        <v>56209.386500000001</v>
      </c>
      <c r="I56" s="240">
        <v>41464.11</v>
      </c>
      <c r="J56" s="252">
        <f t="shared" si="13"/>
        <v>2502359.0385000003</v>
      </c>
      <c r="K56" s="38" t="s">
        <v>16</v>
      </c>
      <c r="L56" s="39" t="s">
        <v>21</v>
      </c>
      <c r="M56" s="62"/>
      <c r="N56" s="67"/>
      <c r="O56" s="54"/>
      <c r="P56" s="54"/>
      <c r="Q56" s="54"/>
      <c r="R56" s="68"/>
    </row>
    <row r="57" spans="1:18">
      <c r="A57" s="54">
        <f t="shared" si="14"/>
        <v>49</v>
      </c>
      <c r="B57" s="61">
        <v>46091</v>
      </c>
      <c r="C57" s="232" t="s">
        <v>76</v>
      </c>
      <c r="D57" s="232" t="s">
        <v>86</v>
      </c>
      <c r="E57" s="264">
        <v>60.4</v>
      </c>
      <c r="F57" s="239">
        <v>973.39</v>
      </c>
      <c r="G57" s="283">
        <f t="shared" si="11"/>
        <v>931.39</v>
      </c>
      <c r="H57" s="238">
        <f t="shared" si="12"/>
        <v>56255.955999999998</v>
      </c>
      <c r="I57" s="240">
        <v>41464.11</v>
      </c>
      <c r="J57" s="252">
        <f t="shared" si="13"/>
        <v>2504432.2439999999</v>
      </c>
      <c r="K57" s="38" t="s">
        <v>16</v>
      </c>
      <c r="L57" s="39" t="s">
        <v>21</v>
      </c>
      <c r="M57" s="62"/>
      <c r="N57" s="67"/>
      <c r="O57" s="54"/>
      <c r="P57" s="54"/>
      <c r="Q57" s="54"/>
      <c r="R57" s="68"/>
    </row>
    <row r="58" spans="1:18">
      <c r="A58" s="54">
        <f t="shared" si="14"/>
        <v>50</v>
      </c>
      <c r="B58" s="61">
        <v>46091</v>
      </c>
      <c r="C58" s="232" t="s">
        <v>76</v>
      </c>
      <c r="D58" s="232" t="s">
        <v>87</v>
      </c>
      <c r="E58" s="264">
        <v>60.5</v>
      </c>
      <c r="F58" s="239">
        <v>973.39</v>
      </c>
      <c r="G58" s="283">
        <f t="shared" si="11"/>
        <v>931.39</v>
      </c>
      <c r="H58" s="238">
        <f t="shared" si="12"/>
        <v>56349.095000000001</v>
      </c>
      <c r="I58" s="240">
        <v>41464.11</v>
      </c>
      <c r="J58" s="252">
        <f t="shared" si="13"/>
        <v>2508578.6550000003</v>
      </c>
      <c r="K58" s="38" t="s">
        <v>16</v>
      </c>
      <c r="L58" s="39" t="s">
        <v>21</v>
      </c>
      <c r="M58" s="62"/>
      <c r="N58" s="67"/>
      <c r="O58" s="54"/>
      <c r="P58" s="54"/>
      <c r="Q58" s="54"/>
      <c r="R58" s="68"/>
    </row>
    <row r="59" spans="1:18">
      <c r="A59" s="54">
        <f t="shared" si="14"/>
        <v>51</v>
      </c>
      <c r="B59" s="61">
        <v>46091</v>
      </c>
      <c r="C59" s="232" t="s">
        <v>76</v>
      </c>
      <c r="D59" s="232" t="s">
        <v>88</v>
      </c>
      <c r="E59" s="264">
        <v>60.35</v>
      </c>
      <c r="F59" s="239">
        <v>973.39</v>
      </c>
      <c r="G59" s="283">
        <f t="shared" si="11"/>
        <v>931.39</v>
      </c>
      <c r="H59" s="238">
        <f t="shared" si="12"/>
        <v>56209.386500000001</v>
      </c>
      <c r="I59" s="240">
        <v>41464.11</v>
      </c>
      <c r="J59" s="252">
        <f t="shared" si="13"/>
        <v>2502359.0385000003</v>
      </c>
      <c r="K59" s="38" t="s">
        <v>16</v>
      </c>
      <c r="L59" s="39" t="s">
        <v>21</v>
      </c>
      <c r="M59" s="62"/>
      <c r="N59" s="67"/>
      <c r="O59" s="54"/>
      <c r="P59" s="54"/>
      <c r="Q59" s="54"/>
      <c r="R59" s="68"/>
    </row>
    <row r="60" spans="1:18">
      <c r="A60" s="54">
        <f t="shared" si="14"/>
        <v>52</v>
      </c>
      <c r="B60" s="61">
        <v>46091</v>
      </c>
      <c r="C60" s="232" t="s">
        <v>76</v>
      </c>
      <c r="D60" s="232" t="s">
        <v>89</v>
      </c>
      <c r="E60" s="264">
        <v>60.4</v>
      </c>
      <c r="F60" s="239">
        <v>973.39</v>
      </c>
      <c r="G60" s="283">
        <f t="shared" si="11"/>
        <v>931.39</v>
      </c>
      <c r="H60" s="238">
        <f t="shared" si="12"/>
        <v>56255.955999999998</v>
      </c>
      <c r="I60" s="240">
        <v>41464.11</v>
      </c>
      <c r="J60" s="252">
        <f t="shared" si="13"/>
        <v>2504432.2439999999</v>
      </c>
      <c r="K60" s="38" t="s">
        <v>16</v>
      </c>
      <c r="L60" s="39" t="s">
        <v>21</v>
      </c>
      <c r="M60" s="62"/>
      <c r="N60" s="67"/>
      <c r="O60" s="54"/>
      <c r="P60" s="54"/>
      <c r="Q60" s="54"/>
      <c r="R60" s="68"/>
    </row>
    <row r="61" spans="1:18">
      <c r="A61" s="54">
        <f t="shared" si="14"/>
        <v>53</v>
      </c>
      <c r="B61" s="61">
        <v>46091</v>
      </c>
      <c r="C61" s="232" t="s">
        <v>76</v>
      </c>
      <c r="D61" s="232" t="s">
        <v>90</v>
      </c>
      <c r="E61" s="264">
        <v>60.8</v>
      </c>
      <c r="F61" s="239">
        <v>973.39</v>
      </c>
      <c r="G61" s="283">
        <f t="shared" si="11"/>
        <v>931.39</v>
      </c>
      <c r="H61" s="238">
        <f t="shared" si="12"/>
        <v>56628.511999999995</v>
      </c>
      <c r="I61" s="240">
        <v>41464.11</v>
      </c>
      <c r="J61" s="252">
        <f t="shared" si="13"/>
        <v>2521017.8879999998</v>
      </c>
      <c r="K61" s="38" t="s">
        <v>16</v>
      </c>
      <c r="L61" s="39" t="s">
        <v>21</v>
      </c>
      <c r="M61" s="62"/>
      <c r="N61" s="67"/>
      <c r="O61" s="54"/>
      <c r="P61" s="54"/>
      <c r="Q61" s="54"/>
      <c r="R61" s="68"/>
    </row>
    <row r="62" spans="1:18" ht="14.4" thickBot="1">
      <c r="A62" s="55">
        <f t="shared" si="14"/>
        <v>54</v>
      </c>
      <c r="B62" s="90">
        <v>46091</v>
      </c>
      <c r="C62" s="262" t="s">
        <v>76</v>
      </c>
      <c r="D62" s="262" t="s">
        <v>91</v>
      </c>
      <c r="E62" s="265">
        <v>60.7</v>
      </c>
      <c r="F62" s="239">
        <v>973.39</v>
      </c>
      <c r="G62" s="283">
        <f t="shared" si="11"/>
        <v>931.39</v>
      </c>
      <c r="H62" s="254">
        <f t="shared" si="12"/>
        <v>56535.373</v>
      </c>
      <c r="I62" s="255">
        <v>41464.11</v>
      </c>
      <c r="J62" s="256">
        <f t="shared" si="13"/>
        <v>2516871.477</v>
      </c>
      <c r="K62" s="58" t="s">
        <v>16</v>
      </c>
      <c r="L62" s="59" t="s">
        <v>21</v>
      </c>
      <c r="M62" s="63"/>
      <c r="N62" s="69"/>
      <c r="O62" s="70"/>
      <c r="P62" s="70"/>
      <c r="Q62" s="70"/>
      <c r="R62" s="71"/>
    </row>
    <row r="63" spans="1:18" ht="14.4" thickBot="1">
      <c r="A63" s="116"/>
      <c r="B63" s="117"/>
      <c r="C63" s="117"/>
      <c r="D63" s="117"/>
      <c r="E63" s="122">
        <f>SUM(E48:E62)</f>
        <v>896.39999999999986</v>
      </c>
      <c r="F63" s="117"/>
      <c r="G63" s="117"/>
      <c r="H63" s="159">
        <f>SUM(H48:H62)</f>
        <v>834897.99599999993</v>
      </c>
      <c r="I63" s="176"/>
      <c r="J63" s="248">
        <f>SUM(J48:J62)</f>
        <v>37168428.203999989</v>
      </c>
      <c r="K63" s="117"/>
      <c r="L63" s="123"/>
      <c r="M63" s="125"/>
      <c r="N63" s="124"/>
      <c r="O63" s="117"/>
      <c r="P63" s="117"/>
      <c r="Q63" s="117"/>
      <c r="R63" s="119"/>
    </row>
    <row r="64" spans="1:18">
      <c r="A64" s="64">
        <v>55</v>
      </c>
      <c r="B64" s="87">
        <v>46091</v>
      </c>
      <c r="C64" s="233" t="s">
        <v>92</v>
      </c>
      <c r="D64" s="233" t="s">
        <v>93</v>
      </c>
      <c r="E64" s="268">
        <v>59.8</v>
      </c>
      <c r="F64" s="239">
        <v>973.39</v>
      </c>
      <c r="G64" s="283">
        <f t="shared" ref="G64:G75" si="15">F64-42</f>
        <v>931.39</v>
      </c>
      <c r="H64" s="242">
        <f t="shared" ref="H64:H85" si="16">E64*G64</f>
        <v>55697.121999999996</v>
      </c>
      <c r="I64" s="244">
        <v>41464.11</v>
      </c>
      <c r="J64" s="251">
        <f t="shared" ref="J64:J85" si="17">E64*I64</f>
        <v>2479553.7779999999</v>
      </c>
      <c r="K64" s="95" t="s">
        <v>16</v>
      </c>
      <c r="L64" s="96" t="s">
        <v>21</v>
      </c>
      <c r="M64" s="102"/>
      <c r="N64" s="64"/>
      <c r="O64" s="65"/>
      <c r="P64" s="65"/>
      <c r="Q64" s="65"/>
      <c r="R64" s="66"/>
    </row>
    <row r="65" spans="1:20">
      <c r="A65" s="67">
        <f>A64+1</f>
        <v>56</v>
      </c>
      <c r="B65" s="61">
        <v>46091</v>
      </c>
      <c r="C65" s="232" t="s">
        <v>92</v>
      </c>
      <c r="D65" s="232" t="s">
        <v>94</v>
      </c>
      <c r="E65" s="264">
        <v>51.2</v>
      </c>
      <c r="F65" s="239">
        <v>973.39</v>
      </c>
      <c r="G65" s="283">
        <f t="shared" si="15"/>
        <v>931.39</v>
      </c>
      <c r="H65" s="238">
        <f t="shared" si="16"/>
        <v>47687.168000000005</v>
      </c>
      <c r="I65" s="240">
        <v>41464.11</v>
      </c>
      <c r="J65" s="252">
        <f t="shared" si="17"/>
        <v>2122962.432</v>
      </c>
      <c r="K65" s="38" t="s">
        <v>16</v>
      </c>
      <c r="L65" s="39" t="s">
        <v>21</v>
      </c>
      <c r="M65" s="62"/>
      <c r="N65" s="67"/>
      <c r="O65" s="54"/>
      <c r="P65" s="54"/>
      <c r="Q65" s="54"/>
      <c r="R65" s="68"/>
    </row>
    <row r="66" spans="1:20">
      <c r="A66" s="67">
        <f t="shared" ref="A66:A75" si="18">A65+1</f>
        <v>57</v>
      </c>
      <c r="B66" s="61">
        <v>46091</v>
      </c>
      <c r="C66" s="232" t="s">
        <v>92</v>
      </c>
      <c r="D66" s="232" t="s">
        <v>95</v>
      </c>
      <c r="E66" s="264">
        <v>51.05</v>
      </c>
      <c r="F66" s="239">
        <v>973.39</v>
      </c>
      <c r="G66" s="283">
        <f t="shared" si="15"/>
        <v>931.39</v>
      </c>
      <c r="H66" s="238">
        <f t="shared" si="16"/>
        <v>47547.459499999997</v>
      </c>
      <c r="I66" s="240">
        <v>41464.11</v>
      </c>
      <c r="J66" s="252">
        <f t="shared" si="17"/>
        <v>2116742.8155</v>
      </c>
      <c r="K66" s="38" t="s">
        <v>16</v>
      </c>
      <c r="L66" s="39" t="s">
        <v>21</v>
      </c>
      <c r="M66" s="62"/>
      <c r="N66" s="67"/>
      <c r="O66" s="54"/>
      <c r="P66" s="54"/>
      <c r="Q66" s="54"/>
      <c r="R66" s="68"/>
    </row>
    <row r="67" spans="1:20">
      <c r="A67" s="67">
        <f t="shared" si="18"/>
        <v>58</v>
      </c>
      <c r="B67" s="61">
        <v>46091</v>
      </c>
      <c r="C67" s="232" t="s">
        <v>92</v>
      </c>
      <c r="D67" s="232" t="s">
        <v>96</v>
      </c>
      <c r="E67" s="264">
        <v>59.95</v>
      </c>
      <c r="F67" s="239">
        <v>973.39</v>
      </c>
      <c r="G67" s="283">
        <f t="shared" si="15"/>
        <v>931.39</v>
      </c>
      <c r="H67" s="238">
        <f t="shared" si="16"/>
        <v>55836.830500000004</v>
      </c>
      <c r="I67" s="240">
        <v>41464.11</v>
      </c>
      <c r="J67" s="252">
        <f t="shared" si="17"/>
        <v>2485773.3944999999</v>
      </c>
      <c r="K67" s="38" t="s">
        <v>16</v>
      </c>
      <c r="L67" s="39" t="s">
        <v>21</v>
      </c>
      <c r="M67" s="62"/>
      <c r="N67" s="67"/>
      <c r="O67" s="54"/>
      <c r="P67" s="54"/>
      <c r="Q67" s="54"/>
      <c r="R67" s="68"/>
    </row>
    <row r="68" spans="1:20">
      <c r="A68" s="67">
        <f t="shared" si="18"/>
        <v>59</v>
      </c>
      <c r="B68" s="61">
        <v>46091</v>
      </c>
      <c r="C68" s="232" t="s">
        <v>92</v>
      </c>
      <c r="D68" s="232" t="s">
        <v>97</v>
      </c>
      <c r="E68" s="264">
        <v>59.85</v>
      </c>
      <c r="F68" s="239">
        <v>973.39</v>
      </c>
      <c r="G68" s="283">
        <f t="shared" si="15"/>
        <v>931.39</v>
      </c>
      <c r="H68" s="238">
        <f t="shared" si="16"/>
        <v>55743.691500000001</v>
      </c>
      <c r="I68" s="240">
        <v>41464.11</v>
      </c>
      <c r="J68" s="252">
        <f t="shared" si="17"/>
        <v>2481626.9835000001</v>
      </c>
      <c r="K68" s="38" t="s">
        <v>16</v>
      </c>
      <c r="L68" s="39" t="s">
        <v>21</v>
      </c>
      <c r="M68" s="62"/>
      <c r="N68" s="67"/>
      <c r="O68" s="54"/>
      <c r="P68" s="54"/>
      <c r="Q68" s="54"/>
      <c r="R68" s="68"/>
    </row>
    <row r="69" spans="1:20">
      <c r="A69" s="67">
        <f t="shared" si="18"/>
        <v>60</v>
      </c>
      <c r="B69" s="61">
        <v>46091</v>
      </c>
      <c r="C69" s="232" t="s">
        <v>92</v>
      </c>
      <c r="D69" s="232" t="s">
        <v>98</v>
      </c>
      <c r="E69" s="264">
        <v>59.85</v>
      </c>
      <c r="F69" s="239">
        <v>973.39</v>
      </c>
      <c r="G69" s="283">
        <f t="shared" si="15"/>
        <v>931.39</v>
      </c>
      <c r="H69" s="238">
        <f t="shared" si="16"/>
        <v>55743.691500000001</v>
      </c>
      <c r="I69" s="240">
        <v>41464.11</v>
      </c>
      <c r="J69" s="252">
        <f t="shared" si="17"/>
        <v>2481626.9835000001</v>
      </c>
      <c r="K69" s="38" t="s">
        <v>16</v>
      </c>
      <c r="L69" s="39" t="s">
        <v>21</v>
      </c>
      <c r="M69" s="62"/>
      <c r="N69" s="67"/>
      <c r="O69" s="54"/>
      <c r="P69" s="54"/>
      <c r="Q69" s="54"/>
      <c r="R69" s="68"/>
    </row>
    <row r="70" spans="1:20">
      <c r="A70" s="67">
        <f t="shared" si="18"/>
        <v>61</v>
      </c>
      <c r="B70" s="61">
        <v>46091</v>
      </c>
      <c r="C70" s="232" t="s">
        <v>92</v>
      </c>
      <c r="D70" s="232" t="s">
        <v>99</v>
      </c>
      <c r="E70" s="264">
        <v>59.9</v>
      </c>
      <c r="F70" s="239">
        <v>973.39</v>
      </c>
      <c r="G70" s="283">
        <f t="shared" si="15"/>
        <v>931.39</v>
      </c>
      <c r="H70" s="238">
        <f t="shared" si="16"/>
        <v>55790.260999999999</v>
      </c>
      <c r="I70" s="240">
        <v>41464.11</v>
      </c>
      <c r="J70" s="252">
        <f t="shared" si="17"/>
        <v>2483700.1889999998</v>
      </c>
      <c r="K70" s="38" t="s">
        <v>16</v>
      </c>
      <c r="L70" s="39" t="s">
        <v>21</v>
      </c>
      <c r="M70" s="62"/>
      <c r="N70" s="67"/>
      <c r="O70" s="54"/>
      <c r="P70" s="54"/>
      <c r="Q70" s="54"/>
      <c r="R70" s="68"/>
    </row>
    <row r="71" spans="1:20">
      <c r="A71" s="67">
        <f t="shared" si="18"/>
        <v>62</v>
      </c>
      <c r="B71" s="61">
        <v>46091</v>
      </c>
      <c r="C71" s="232" t="s">
        <v>92</v>
      </c>
      <c r="D71" s="232" t="s">
        <v>100</v>
      </c>
      <c r="E71" s="264">
        <v>59.85</v>
      </c>
      <c r="F71" s="239">
        <v>973.39</v>
      </c>
      <c r="G71" s="283">
        <f t="shared" si="15"/>
        <v>931.39</v>
      </c>
      <c r="H71" s="238">
        <f t="shared" si="16"/>
        <v>55743.691500000001</v>
      </c>
      <c r="I71" s="240">
        <v>41464.11</v>
      </c>
      <c r="J71" s="252">
        <f t="shared" si="17"/>
        <v>2481626.9835000001</v>
      </c>
      <c r="K71" s="38" t="s">
        <v>16</v>
      </c>
      <c r="L71" s="39" t="s">
        <v>21</v>
      </c>
      <c r="M71" s="62"/>
      <c r="N71" s="67"/>
      <c r="O71" s="54"/>
      <c r="P71" s="54"/>
      <c r="Q71" s="54"/>
      <c r="R71" s="68"/>
    </row>
    <row r="72" spans="1:20">
      <c r="A72" s="67">
        <f t="shared" si="18"/>
        <v>63</v>
      </c>
      <c r="B72" s="61">
        <v>46091</v>
      </c>
      <c r="C72" s="232" t="s">
        <v>92</v>
      </c>
      <c r="D72" s="232" t="s">
        <v>101</v>
      </c>
      <c r="E72" s="264">
        <v>59.95</v>
      </c>
      <c r="F72" s="239">
        <v>973.39</v>
      </c>
      <c r="G72" s="283">
        <f t="shared" si="15"/>
        <v>931.39</v>
      </c>
      <c r="H72" s="238">
        <f t="shared" si="16"/>
        <v>55836.830500000004</v>
      </c>
      <c r="I72" s="240">
        <v>41464.11</v>
      </c>
      <c r="J72" s="252">
        <f t="shared" si="17"/>
        <v>2485773.3944999999</v>
      </c>
      <c r="K72" s="38" t="s">
        <v>16</v>
      </c>
      <c r="L72" s="39" t="s">
        <v>21</v>
      </c>
      <c r="M72" s="62"/>
      <c r="N72" s="67"/>
      <c r="O72" s="54"/>
      <c r="P72" s="54"/>
      <c r="Q72" s="54"/>
      <c r="R72" s="68"/>
    </row>
    <row r="73" spans="1:20">
      <c r="A73" s="67">
        <f t="shared" si="18"/>
        <v>64</v>
      </c>
      <c r="B73" s="61">
        <v>46091</v>
      </c>
      <c r="C73" s="232" t="s">
        <v>92</v>
      </c>
      <c r="D73" s="232" t="s">
        <v>102</v>
      </c>
      <c r="E73" s="264">
        <v>60.05</v>
      </c>
      <c r="F73" s="239">
        <v>973.39</v>
      </c>
      <c r="G73" s="283">
        <f t="shared" si="15"/>
        <v>931.39</v>
      </c>
      <c r="H73" s="238">
        <f t="shared" si="16"/>
        <v>55929.969499999999</v>
      </c>
      <c r="I73" s="240">
        <v>41464.11</v>
      </c>
      <c r="J73" s="252">
        <f t="shared" si="17"/>
        <v>2489919.8054999998</v>
      </c>
      <c r="K73" s="38" t="s">
        <v>16</v>
      </c>
      <c r="L73" s="39" t="s">
        <v>21</v>
      </c>
      <c r="M73" s="62"/>
      <c r="N73" s="67"/>
      <c r="O73" s="54"/>
      <c r="P73" s="54"/>
      <c r="Q73" s="54"/>
      <c r="R73" s="68"/>
    </row>
    <row r="74" spans="1:20">
      <c r="A74" s="67">
        <f t="shared" si="18"/>
        <v>65</v>
      </c>
      <c r="B74" s="61">
        <v>46091</v>
      </c>
      <c r="C74" s="232" t="s">
        <v>92</v>
      </c>
      <c r="D74" s="232" t="s">
        <v>103</v>
      </c>
      <c r="E74" s="264">
        <v>60.5</v>
      </c>
      <c r="F74" s="239">
        <v>973.39</v>
      </c>
      <c r="G74" s="283">
        <f t="shared" si="15"/>
        <v>931.39</v>
      </c>
      <c r="H74" s="238">
        <f t="shared" si="16"/>
        <v>56349.095000000001</v>
      </c>
      <c r="I74" s="240">
        <v>41464.11</v>
      </c>
      <c r="J74" s="252">
        <f t="shared" si="17"/>
        <v>2508578.6550000003</v>
      </c>
      <c r="K74" s="38" t="s">
        <v>16</v>
      </c>
      <c r="L74" s="39" t="s">
        <v>21</v>
      </c>
      <c r="M74" s="62"/>
      <c r="N74" s="67"/>
      <c r="O74" s="54"/>
      <c r="P74" s="54"/>
      <c r="Q74" s="54"/>
      <c r="R74" s="68"/>
    </row>
    <row r="75" spans="1:20" ht="14.4" thickBot="1">
      <c r="A75" s="88">
        <f t="shared" si="18"/>
        <v>66</v>
      </c>
      <c r="B75" s="90">
        <v>46091</v>
      </c>
      <c r="C75" s="262" t="s">
        <v>92</v>
      </c>
      <c r="D75" s="262" t="s">
        <v>104</v>
      </c>
      <c r="E75" s="265">
        <v>59.95</v>
      </c>
      <c r="F75" s="239">
        <v>973.39</v>
      </c>
      <c r="G75" s="275">
        <f t="shared" si="15"/>
        <v>931.39</v>
      </c>
      <c r="H75" s="254">
        <f t="shared" si="16"/>
        <v>55836.830500000004</v>
      </c>
      <c r="I75" s="255">
        <v>41464.11</v>
      </c>
      <c r="J75" s="256">
        <f t="shared" si="17"/>
        <v>2485773.3944999999</v>
      </c>
      <c r="K75" s="58" t="s">
        <v>16</v>
      </c>
      <c r="L75" s="59" t="s">
        <v>21</v>
      </c>
      <c r="M75" s="103"/>
      <c r="N75" s="69"/>
      <c r="O75" s="70"/>
      <c r="P75" s="70"/>
      <c r="Q75" s="70"/>
      <c r="R75" s="71"/>
    </row>
    <row r="76" spans="1:20" ht="14.4" thickBot="1">
      <c r="A76" s="116"/>
      <c r="B76" s="117"/>
      <c r="C76" s="117"/>
      <c r="D76" s="117"/>
      <c r="E76" s="122">
        <f>SUM(E64:E75)</f>
        <v>701.90000000000009</v>
      </c>
      <c r="F76" s="117"/>
      <c r="G76" s="117"/>
      <c r="H76" s="159">
        <f>SUM(H64:H75)</f>
        <v>653742.64100000006</v>
      </c>
      <c r="I76" s="176"/>
      <c r="J76" s="248">
        <f>SUM(J64:J75)</f>
        <v>29103658.809</v>
      </c>
      <c r="K76" s="117"/>
      <c r="L76" s="119"/>
      <c r="M76" s="168"/>
      <c r="N76" s="169"/>
      <c r="O76" s="167"/>
      <c r="P76" s="167"/>
      <c r="Q76" s="167"/>
      <c r="R76" s="170"/>
      <c r="T76" s="270"/>
    </row>
    <row r="77" spans="1:20">
      <c r="A77" s="78">
        <v>67</v>
      </c>
      <c r="B77" s="72">
        <v>46092</v>
      </c>
      <c r="C77" s="250" t="s">
        <v>114</v>
      </c>
      <c r="D77" s="261" t="s">
        <v>105</v>
      </c>
      <c r="E77" s="285">
        <v>60.5</v>
      </c>
      <c r="F77" s="239">
        <v>973.39</v>
      </c>
      <c r="G77" s="283">
        <f t="shared" ref="G77:G85" si="19">F77-42</f>
        <v>931.39</v>
      </c>
      <c r="H77" s="238">
        <f t="shared" si="16"/>
        <v>56349.095000000001</v>
      </c>
      <c r="I77" s="240">
        <v>41464.11</v>
      </c>
      <c r="J77" s="259">
        <f t="shared" si="17"/>
        <v>2508578.6550000003</v>
      </c>
      <c r="K77" s="75" t="s">
        <v>16</v>
      </c>
      <c r="L77" s="76" t="s">
        <v>21</v>
      </c>
      <c r="M77" s="66"/>
      <c r="N77" s="64"/>
      <c r="O77" s="65"/>
      <c r="P77" s="65"/>
      <c r="Q77" s="65"/>
      <c r="R77" s="66"/>
      <c r="T77" s="250"/>
    </row>
    <row r="78" spans="1:20">
      <c r="A78" s="67">
        <f>A77+1</f>
        <v>68</v>
      </c>
      <c r="B78" s="61">
        <v>46092</v>
      </c>
      <c r="C78" s="232" t="s">
        <v>114</v>
      </c>
      <c r="D78" s="232" t="s">
        <v>106</v>
      </c>
      <c r="E78" s="111">
        <v>60.6</v>
      </c>
      <c r="F78" s="239">
        <v>973.39</v>
      </c>
      <c r="G78" s="283">
        <f t="shared" si="19"/>
        <v>931.39</v>
      </c>
      <c r="H78" s="238">
        <f t="shared" si="16"/>
        <v>56442.234000000004</v>
      </c>
      <c r="I78" s="240">
        <v>41464.11</v>
      </c>
      <c r="J78" s="252">
        <f t="shared" si="17"/>
        <v>2512725.0660000001</v>
      </c>
      <c r="K78" s="38" t="s">
        <v>16</v>
      </c>
      <c r="L78" s="39" t="s">
        <v>21</v>
      </c>
      <c r="M78" s="68"/>
      <c r="N78" s="67"/>
      <c r="O78" s="54"/>
      <c r="P78" s="54"/>
      <c r="Q78" s="54"/>
      <c r="R78" s="68"/>
      <c r="T78" s="250"/>
    </row>
    <row r="79" spans="1:20">
      <c r="A79" s="67">
        <f t="shared" ref="A79:A85" si="20">A78+1</f>
        <v>69</v>
      </c>
      <c r="B79" s="61">
        <v>46092</v>
      </c>
      <c r="C79" s="232" t="s">
        <v>114</v>
      </c>
      <c r="D79" s="232" t="s">
        <v>107</v>
      </c>
      <c r="E79" s="111">
        <v>60.45</v>
      </c>
      <c r="F79" s="239">
        <v>973.39</v>
      </c>
      <c r="G79" s="283">
        <f t="shared" si="19"/>
        <v>931.39</v>
      </c>
      <c r="H79" s="238">
        <f t="shared" si="16"/>
        <v>56302.525500000003</v>
      </c>
      <c r="I79" s="240">
        <v>41464.11</v>
      </c>
      <c r="J79" s="252">
        <f t="shared" si="17"/>
        <v>2506505.4495000001</v>
      </c>
      <c r="K79" s="38" t="s">
        <v>16</v>
      </c>
      <c r="L79" s="39" t="s">
        <v>21</v>
      </c>
      <c r="M79" s="68"/>
      <c r="N79" s="67"/>
      <c r="O79" s="54"/>
      <c r="P79" s="54"/>
      <c r="Q79" s="54"/>
      <c r="R79" s="68"/>
      <c r="T79" s="250"/>
    </row>
    <row r="80" spans="1:20">
      <c r="A80" s="67">
        <f t="shared" si="20"/>
        <v>70</v>
      </c>
      <c r="B80" s="61">
        <v>46092</v>
      </c>
      <c r="C80" s="232" t="s">
        <v>114</v>
      </c>
      <c r="D80" s="232" t="s">
        <v>108</v>
      </c>
      <c r="E80" s="111">
        <v>52.1</v>
      </c>
      <c r="F80" s="239">
        <v>973.39</v>
      </c>
      <c r="G80" s="283">
        <f t="shared" si="19"/>
        <v>931.39</v>
      </c>
      <c r="H80" s="238">
        <f t="shared" si="16"/>
        <v>48525.419000000002</v>
      </c>
      <c r="I80" s="240">
        <v>41464.11</v>
      </c>
      <c r="J80" s="252">
        <f t="shared" si="17"/>
        <v>2160280.1310000001</v>
      </c>
      <c r="K80" s="38" t="s">
        <v>16</v>
      </c>
      <c r="L80" s="39" t="s">
        <v>21</v>
      </c>
      <c r="M80" s="68"/>
      <c r="N80" s="67"/>
      <c r="O80" s="54"/>
      <c r="P80" s="54"/>
      <c r="Q80" s="54"/>
      <c r="R80" s="68"/>
      <c r="T80" s="250"/>
    </row>
    <row r="81" spans="1:20">
      <c r="A81" s="67">
        <f t="shared" si="20"/>
        <v>71</v>
      </c>
      <c r="B81" s="61">
        <v>46092</v>
      </c>
      <c r="C81" s="232" t="s">
        <v>114</v>
      </c>
      <c r="D81" s="232" t="s">
        <v>109</v>
      </c>
      <c r="E81" s="111">
        <v>61.1</v>
      </c>
      <c r="F81" s="239">
        <v>973.39</v>
      </c>
      <c r="G81" s="283">
        <f t="shared" si="19"/>
        <v>931.39</v>
      </c>
      <c r="H81" s="238">
        <f t="shared" si="16"/>
        <v>56907.929000000004</v>
      </c>
      <c r="I81" s="240">
        <v>41464.11</v>
      </c>
      <c r="J81" s="252">
        <f t="shared" si="17"/>
        <v>2533457.1210000003</v>
      </c>
      <c r="K81" s="38" t="s">
        <v>16</v>
      </c>
      <c r="L81" s="39" t="s">
        <v>21</v>
      </c>
      <c r="M81" s="68"/>
      <c r="N81" s="67"/>
      <c r="O81" s="54"/>
      <c r="P81" s="54"/>
      <c r="Q81" s="54"/>
      <c r="R81" s="68"/>
      <c r="T81" s="250"/>
    </row>
    <row r="82" spans="1:20">
      <c r="A82" s="67">
        <f t="shared" si="20"/>
        <v>72</v>
      </c>
      <c r="B82" s="61">
        <v>46092</v>
      </c>
      <c r="C82" s="232" t="s">
        <v>114</v>
      </c>
      <c r="D82" s="232" t="s">
        <v>110</v>
      </c>
      <c r="E82" s="111">
        <v>61.05</v>
      </c>
      <c r="F82" s="239">
        <v>973.39</v>
      </c>
      <c r="G82" s="283">
        <f t="shared" si="19"/>
        <v>931.39</v>
      </c>
      <c r="H82" s="238">
        <f t="shared" si="16"/>
        <v>56861.359499999999</v>
      </c>
      <c r="I82" s="240">
        <v>41464.11</v>
      </c>
      <c r="J82" s="252">
        <f t="shared" si="17"/>
        <v>2531383.9155000001</v>
      </c>
      <c r="K82" s="38" t="s">
        <v>16</v>
      </c>
      <c r="L82" s="39" t="s">
        <v>21</v>
      </c>
      <c r="M82" s="68"/>
      <c r="N82" s="67"/>
      <c r="O82" s="54"/>
      <c r="P82" s="54"/>
      <c r="Q82" s="54"/>
      <c r="R82" s="68"/>
      <c r="T82" s="250"/>
    </row>
    <row r="83" spans="1:20">
      <c r="A83" s="67">
        <f t="shared" si="20"/>
        <v>73</v>
      </c>
      <c r="B83" s="61">
        <v>46092</v>
      </c>
      <c r="C83" s="232" t="s">
        <v>114</v>
      </c>
      <c r="D83" s="232" t="s">
        <v>111</v>
      </c>
      <c r="E83" s="111">
        <v>61.05</v>
      </c>
      <c r="F83" s="239">
        <v>973.39</v>
      </c>
      <c r="G83" s="283">
        <f t="shared" si="19"/>
        <v>931.39</v>
      </c>
      <c r="H83" s="238">
        <f t="shared" si="16"/>
        <v>56861.359499999999</v>
      </c>
      <c r="I83" s="240">
        <v>41464.11</v>
      </c>
      <c r="J83" s="252">
        <f t="shared" si="17"/>
        <v>2531383.9155000001</v>
      </c>
      <c r="K83" s="38" t="s">
        <v>16</v>
      </c>
      <c r="L83" s="39" t="s">
        <v>21</v>
      </c>
      <c r="M83" s="68"/>
      <c r="N83" s="67"/>
      <c r="O83" s="54"/>
      <c r="P83" s="54"/>
      <c r="Q83" s="54"/>
      <c r="R83" s="68"/>
      <c r="T83" s="250"/>
    </row>
    <row r="84" spans="1:20">
      <c r="A84" s="67">
        <f t="shared" si="20"/>
        <v>74</v>
      </c>
      <c r="B84" s="61">
        <v>46092</v>
      </c>
      <c r="C84" s="232" t="s">
        <v>114</v>
      </c>
      <c r="D84" s="232" t="s">
        <v>112</v>
      </c>
      <c r="E84" s="111">
        <v>61</v>
      </c>
      <c r="F84" s="239">
        <v>973.39</v>
      </c>
      <c r="G84" s="283">
        <f t="shared" si="19"/>
        <v>931.39</v>
      </c>
      <c r="H84" s="238">
        <f t="shared" si="16"/>
        <v>56814.79</v>
      </c>
      <c r="I84" s="240">
        <v>41464.11</v>
      </c>
      <c r="J84" s="252">
        <f t="shared" si="17"/>
        <v>2529310.71</v>
      </c>
      <c r="K84" s="38" t="s">
        <v>16</v>
      </c>
      <c r="L84" s="39" t="s">
        <v>21</v>
      </c>
      <c r="M84" s="68"/>
      <c r="N84" s="67"/>
      <c r="O84" s="54"/>
      <c r="P84" s="54"/>
      <c r="Q84" s="54"/>
      <c r="R84" s="68"/>
      <c r="T84" s="250"/>
    </row>
    <row r="85" spans="1:20" ht="14.4" thickBot="1">
      <c r="A85" s="69">
        <f t="shared" si="20"/>
        <v>75</v>
      </c>
      <c r="B85" s="112">
        <v>46092</v>
      </c>
      <c r="C85" s="237" t="s">
        <v>114</v>
      </c>
      <c r="D85" s="235" t="s">
        <v>113</v>
      </c>
      <c r="E85" s="216">
        <v>61.35</v>
      </c>
      <c r="F85" s="239">
        <v>973.39</v>
      </c>
      <c r="G85" s="283">
        <f t="shared" si="19"/>
        <v>931.39</v>
      </c>
      <c r="H85" s="246">
        <f t="shared" si="16"/>
        <v>57140.7765</v>
      </c>
      <c r="I85" s="247">
        <v>41464.11</v>
      </c>
      <c r="J85" s="253">
        <f t="shared" si="17"/>
        <v>2543823.1485000001</v>
      </c>
      <c r="K85" s="100" t="s">
        <v>16</v>
      </c>
      <c r="L85" s="101" t="s">
        <v>21</v>
      </c>
      <c r="M85" s="71"/>
      <c r="N85" s="69"/>
      <c r="O85" s="70"/>
      <c r="P85" s="70"/>
      <c r="Q85" s="70"/>
      <c r="R85" s="71"/>
      <c r="T85" s="250"/>
    </row>
    <row r="86" spans="1:20" ht="14.4" thickBot="1">
      <c r="A86" s="116"/>
      <c r="B86" s="117"/>
      <c r="C86" s="117"/>
      <c r="D86" s="117"/>
      <c r="E86" s="122">
        <f>SUM(E77:E85)</f>
        <v>539.20000000000005</v>
      </c>
      <c r="F86" s="117"/>
      <c r="G86" s="117"/>
      <c r="H86" s="159">
        <f>SUM(H77:H85)</f>
        <v>502205.48800000001</v>
      </c>
      <c r="I86" s="176"/>
      <c r="J86" s="248">
        <f>SUM(J77:J85)</f>
        <v>22357448.112</v>
      </c>
      <c r="K86" s="117"/>
      <c r="L86" s="119"/>
      <c r="M86" s="191"/>
      <c r="N86" s="157"/>
      <c r="O86" s="156"/>
      <c r="P86" s="156"/>
      <c r="Q86" s="156"/>
      <c r="R86" s="158"/>
      <c r="T86" s="270"/>
    </row>
    <row r="87" spans="1:20" ht="14.4" thickBot="1">
      <c r="A87" s="91">
        <v>76</v>
      </c>
      <c r="B87" s="80">
        <v>46092</v>
      </c>
      <c r="C87" s="280" t="s">
        <v>115</v>
      </c>
      <c r="D87" s="280" t="s">
        <v>116</v>
      </c>
      <c r="E87" s="281">
        <v>52.2</v>
      </c>
      <c r="F87" s="239">
        <v>973.39</v>
      </c>
      <c r="G87" s="283">
        <f>F87-42</f>
        <v>931.39</v>
      </c>
      <c r="H87" s="254">
        <f>E87*G87</f>
        <v>48618.558000000005</v>
      </c>
      <c r="I87" s="255">
        <v>41464.11</v>
      </c>
      <c r="J87" s="276">
        <f>E87*I87</f>
        <v>2164426.5420000004</v>
      </c>
      <c r="K87" s="277" t="s">
        <v>16</v>
      </c>
      <c r="L87" s="278" t="s">
        <v>21</v>
      </c>
      <c r="M87" s="271"/>
      <c r="N87" s="272"/>
      <c r="O87" s="273"/>
      <c r="P87" s="273"/>
      <c r="Q87" s="273"/>
      <c r="R87" s="274"/>
      <c r="T87" s="270"/>
    </row>
    <row r="88" spans="1:20" ht="14.4" thickBot="1">
      <c r="A88" s="116"/>
      <c r="B88" s="117"/>
      <c r="C88" s="117"/>
      <c r="D88" s="117"/>
      <c r="E88" s="122">
        <f>E87</f>
        <v>52.2</v>
      </c>
      <c r="F88" s="117"/>
      <c r="G88" s="117"/>
      <c r="H88" s="159">
        <f>SUM(H87)</f>
        <v>48618.558000000005</v>
      </c>
      <c r="I88" s="176"/>
      <c r="J88" s="248">
        <f>SUM(J87)</f>
        <v>2164426.5420000004</v>
      </c>
      <c r="K88" s="117"/>
      <c r="L88" s="123"/>
      <c r="M88" s="125"/>
      <c r="N88" s="124"/>
      <c r="O88" s="117"/>
      <c r="P88" s="117"/>
      <c r="Q88" s="117"/>
      <c r="R88" s="119"/>
    </row>
    <row r="89" spans="1:20">
      <c r="A89" s="64">
        <v>77</v>
      </c>
      <c r="B89" s="87">
        <v>46093</v>
      </c>
      <c r="C89" s="279" t="s">
        <v>117</v>
      </c>
      <c r="D89" s="233" t="s">
        <v>118</v>
      </c>
      <c r="E89" s="268">
        <v>60</v>
      </c>
      <c r="F89" s="239">
        <v>973.39</v>
      </c>
      <c r="G89" s="283">
        <f t="shared" ref="G89:G105" si="21">F89-42</f>
        <v>931.39</v>
      </c>
      <c r="H89" s="242">
        <f t="shared" ref="H89:H105" si="22">E89*G89</f>
        <v>55883.4</v>
      </c>
      <c r="I89" s="244">
        <v>41464.11</v>
      </c>
      <c r="J89" s="251">
        <f t="shared" ref="J89:J105" si="23">E89*I89</f>
        <v>2487846.6</v>
      </c>
      <c r="K89" s="95" t="s">
        <v>16</v>
      </c>
      <c r="L89" s="96" t="s">
        <v>21</v>
      </c>
      <c r="M89" s="66"/>
      <c r="N89" s="64"/>
      <c r="O89" s="65"/>
      <c r="P89" s="65"/>
      <c r="Q89" s="65"/>
      <c r="R89" s="66"/>
    </row>
    <row r="90" spans="1:20">
      <c r="A90" s="67">
        <f>A89+1</f>
        <v>78</v>
      </c>
      <c r="B90" s="61">
        <v>46093</v>
      </c>
      <c r="C90" s="234" t="s">
        <v>117</v>
      </c>
      <c r="D90" s="232" t="s">
        <v>119</v>
      </c>
      <c r="E90" s="264">
        <v>60.05</v>
      </c>
      <c r="F90" s="239">
        <v>973.39</v>
      </c>
      <c r="G90" s="283">
        <f t="shared" si="21"/>
        <v>931.39</v>
      </c>
      <c r="H90" s="238">
        <f t="shared" si="22"/>
        <v>55929.969499999999</v>
      </c>
      <c r="I90" s="240">
        <v>41464.11</v>
      </c>
      <c r="J90" s="252">
        <f t="shared" si="23"/>
        <v>2489919.8054999998</v>
      </c>
      <c r="K90" s="38" t="s">
        <v>16</v>
      </c>
      <c r="L90" s="39" t="s">
        <v>21</v>
      </c>
      <c r="M90" s="68"/>
      <c r="N90" s="67"/>
      <c r="O90" s="54"/>
      <c r="P90" s="54"/>
      <c r="Q90" s="54"/>
      <c r="R90" s="68"/>
    </row>
    <row r="91" spans="1:20">
      <c r="A91" s="67">
        <f t="shared" ref="A91:A105" si="24">A90+1</f>
        <v>79</v>
      </c>
      <c r="B91" s="61">
        <v>46093</v>
      </c>
      <c r="C91" s="234" t="s">
        <v>117</v>
      </c>
      <c r="D91" s="232" t="s">
        <v>120</v>
      </c>
      <c r="E91" s="264">
        <v>60.05</v>
      </c>
      <c r="F91" s="239">
        <v>973.39</v>
      </c>
      <c r="G91" s="283">
        <f t="shared" si="21"/>
        <v>931.39</v>
      </c>
      <c r="H91" s="238">
        <f t="shared" si="22"/>
        <v>55929.969499999999</v>
      </c>
      <c r="I91" s="240">
        <v>41464.11</v>
      </c>
      <c r="J91" s="252">
        <f t="shared" si="23"/>
        <v>2489919.8054999998</v>
      </c>
      <c r="K91" s="38" t="s">
        <v>16</v>
      </c>
      <c r="L91" s="39" t="s">
        <v>21</v>
      </c>
      <c r="M91" s="68"/>
      <c r="N91" s="67"/>
      <c r="O91" s="54"/>
      <c r="P91" s="54"/>
      <c r="Q91" s="54"/>
      <c r="R91" s="68"/>
    </row>
    <row r="92" spans="1:20">
      <c r="A92" s="67">
        <f t="shared" si="24"/>
        <v>80</v>
      </c>
      <c r="B92" s="61">
        <v>46093</v>
      </c>
      <c r="C92" s="234" t="s">
        <v>117</v>
      </c>
      <c r="D92" s="232" t="s">
        <v>121</v>
      </c>
      <c r="E92" s="264">
        <v>60.05</v>
      </c>
      <c r="F92" s="239">
        <v>973.39</v>
      </c>
      <c r="G92" s="283">
        <f t="shared" si="21"/>
        <v>931.39</v>
      </c>
      <c r="H92" s="238">
        <f t="shared" si="22"/>
        <v>55929.969499999999</v>
      </c>
      <c r="I92" s="240">
        <v>41464.11</v>
      </c>
      <c r="J92" s="252">
        <f t="shared" si="23"/>
        <v>2489919.8054999998</v>
      </c>
      <c r="K92" s="38" t="s">
        <v>16</v>
      </c>
      <c r="L92" s="39" t="s">
        <v>21</v>
      </c>
      <c r="M92" s="68"/>
      <c r="N92" s="67"/>
      <c r="O92" s="54"/>
      <c r="P92" s="54"/>
      <c r="Q92" s="54"/>
      <c r="R92" s="68"/>
    </row>
    <row r="93" spans="1:20">
      <c r="A93" s="67">
        <f t="shared" si="24"/>
        <v>81</v>
      </c>
      <c r="B93" s="61">
        <v>46093</v>
      </c>
      <c r="C93" s="234" t="s">
        <v>117</v>
      </c>
      <c r="D93" s="232" t="s">
        <v>122</v>
      </c>
      <c r="E93" s="264">
        <v>60.1</v>
      </c>
      <c r="F93" s="239">
        <v>973.39</v>
      </c>
      <c r="G93" s="283">
        <f t="shared" si="21"/>
        <v>931.39</v>
      </c>
      <c r="H93" s="238">
        <f t="shared" si="22"/>
        <v>55976.538999999997</v>
      </c>
      <c r="I93" s="240">
        <v>41464.11</v>
      </c>
      <c r="J93" s="252">
        <f t="shared" si="23"/>
        <v>2491993.0109999999</v>
      </c>
      <c r="K93" s="38" t="s">
        <v>16</v>
      </c>
      <c r="L93" s="39" t="s">
        <v>21</v>
      </c>
      <c r="M93" s="68"/>
      <c r="N93" s="67"/>
      <c r="O93" s="54"/>
      <c r="P93" s="54"/>
      <c r="Q93" s="54"/>
      <c r="R93" s="68"/>
    </row>
    <row r="94" spans="1:20">
      <c r="A94" s="67">
        <f t="shared" si="24"/>
        <v>82</v>
      </c>
      <c r="B94" s="61">
        <v>46093</v>
      </c>
      <c r="C94" s="234" t="s">
        <v>117</v>
      </c>
      <c r="D94" s="232" t="s">
        <v>123</v>
      </c>
      <c r="E94" s="264">
        <v>60.1</v>
      </c>
      <c r="F94" s="239">
        <v>973.39</v>
      </c>
      <c r="G94" s="283">
        <f t="shared" si="21"/>
        <v>931.39</v>
      </c>
      <c r="H94" s="238">
        <f t="shared" si="22"/>
        <v>55976.538999999997</v>
      </c>
      <c r="I94" s="240">
        <v>41464.11</v>
      </c>
      <c r="J94" s="252">
        <f t="shared" si="23"/>
        <v>2491993.0109999999</v>
      </c>
      <c r="K94" s="38" t="s">
        <v>16</v>
      </c>
      <c r="L94" s="39" t="s">
        <v>21</v>
      </c>
      <c r="M94" s="68"/>
      <c r="N94" s="67"/>
      <c r="O94" s="54"/>
      <c r="P94" s="54"/>
      <c r="Q94" s="54"/>
      <c r="R94" s="68"/>
    </row>
    <row r="95" spans="1:20">
      <c r="A95" s="67">
        <f t="shared" si="24"/>
        <v>83</v>
      </c>
      <c r="B95" s="61">
        <v>46093</v>
      </c>
      <c r="C95" s="234" t="s">
        <v>117</v>
      </c>
      <c r="D95" s="232" t="s">
        <v>124</v>
      </c>
      <c r="E95" s="264">
        <v>60.2</v>
      </c>
      <c r="F95" s="239">
        <v>973.39</v>
      </c>
      <c r="G95" s="283">
        <f t="shared" si="21"/>
        <v>931.39</v>
      </c>
      <c r="H95" s="238">
        <f t="shared" si="22"/>
        <v>56069.678</v>
      </c>
      <c r="I95" s="240">
        <v>41464.11</v>
      </c>
      <c r="J95" s="252">
        <f t="shared" si="23"/>
        <v>2496139.4220000003</v>
      </c>
      <c r="K95" s="38" t="s">
        <v>16</v>
      </c>
      <c r="L95" s="39" t="s">
        <v>21</v>
      </c>
      <c r="M95" s="68"/>
      <c r="N95" s="67"/>
      <c r="O95" s="54"/>
      <c r="P95" s="54"/>
      <c r="Q95" s="54"/>
      <c r="R95" s="68"/>
    </row>
    <row r="96" spans="1:20">
      <c r="A96" s="67">
        <f t="shared" si="24"/>
        <v>84</v>
      </c>
      <c r="B96" s="61">
        <v>46093</v>
      </c>
      <c r="C96" s="234" t="s">
        <v>117</v>
      </c>
      <c r="D96" s="232" t="s">
        <v>125</v>
      </c>
      <c r="E96" s="264">
        <v>60.15</v>
      </c>
      <c r="F96" s="239">
        <v>973.39</v>
      </c>
      <c r="G96" s="283">
        <f t="shared" si="21"/>
        <v>931.39</v>
      </c>
      <c r="H96" s="238">
        <f t="shared" si="22"/>
        <v>56023.108499999995</v>
      </c>
      <c r="I96" s="240">
        <v>41464.11</v>
      </c>
      <c r="J96" s="252">
        <f t="shared" si="23"/>
        <v>2494066.2165000001</v>
      </c>
      <c r="K96" s="38" t="s">
        <v>16</v>
      </c>
      <c r="L96" s="39" t="s">
        <v>21</v>
      </c>
      <c r="M96" s="68"/>
      <c r="N96" s="67"/>
      <c r="O96" s="54"/>
      <c r="P96" s="54"/>
      <c r="Q96" s="54"/>
      <c r="R96" s="68"/>
    </row>
    <row r="97" spans="1:18">
      <c r="A97" s="67">
        <f t="shared" si="24"/>
        <v>85</v>
      </c>
      <c r="B97" s="61">
        <v>46093</v>
      </c>
      <c r="C97" s="234" t="s">
        <v>117</v>
      </c>
      <c r="D97" s="232" t="s">
        <v>126</v>
      </c>
      <c r="E97" s="264">
        <v>60.6</v>
      </c>
      <c r="F97" s="239">
        <v>973.39</v>
      </c>
      <c r="G97" s="283">
        <f t="shared" si="21"/>
        <v>931.39</v>
      </c>
      <c r="H97" s="238">
        <f t="shared" si="22"/>
        <v>56442.234000000004</v>
      </c>
      <c r="I97" s="240">
        <v>41464.11</v>
      </c>
      <c r="J97" s="252">
        <f t="shared" si="23"/>
        <v>2512725.0660000001</v>
      </c>
      <c r="K97" s="38" t="s">
        <v>16</v>
      </c>
      <c r="L97" s="39" t="s">
        <v>21</v>
      </c>
      <c r="M97" s="68"/>
      <c r="N97" s="67"/>
      <c r="O97" s="54"/>
      <c r="P97" s="54"/>
      <c r="Q97" s="54"/>
      <c r="R97" s="68"/>
    </row>
    <row r="98" spans="1:18">
      <c r="A98" s="67">
        <f t="shared" si="24"/>
        <v>86</v>
      </c>
      <c r="B98" s="61">
        <v>46093</v>
      </c>
      <c r="C98" s="234" t="s">
        <v>117</v>
      </c>
      <c r="D98" s="232" t="s">
        <v>127</v>
      </c>
      <c r="E98" s="264">
        <v>60.55</v>
      </c>
      <c r="F98" s="239">
        <v>973.39</v>
      </c>
      <c r="G98" s="283">
        <f t="shared" si="21"/>
        <v>931.39</v>
      </c>
      <c r="H98" s="238">
        <f t="shared" si="22"/>
        <v>56395.664499999999</v>
      </c>
      <c r="I98" s="240">
        <v>41464.11</v>
      </c>
      <c r="J98" s="252">
        <f t="shared" si="23"/>
        <v>2510651.8605</v>
      </c>
      <c r="K98" s="38" t="s">
        <v>16</v>
      </c>
      <c r="L98" s="39" t="s">
        <v>21</v>
      </c>
      <c r="M98" s="68"/>
      <c r="N98" s="67"/>
      <c r="O98" s="54"/>
      <c r="P98" s="54"/>
      <c r="Q98" s="54"/>
      <c r="R98" s="68"/>
    </row>
    <row r="99" spans="1:18">
      <c r="A99" s="67">
        <f t="shared" si="24"/>
        <v>87</v>
      </c>
      <c r="B99" s="61">
        <v>46093</v>
      </c>
      <c r="C99" s="234" t="s">
        <v>117</v>
      </c>
      <c r="D99" s="232" t="s">
        <v>128</v>
      </c>
      <c r="E99" s="264">
        <v>60.6</v>
      </c>
      <c r="F99" s="239">
        <v>973.39</v>
      </c>
      <c r="G99" s="283">
        <f t="shared" si="21"/>
        <v>931.39</v>
      </c>
      <c r="H99" s="238">
        <f t="shared" si="22"/>
        <v>56442.234000000004</v>
      </c>
      <c r="I99" s="240">
        <v>41464.11</v>
      </c>
      <c r="J99" s="252">
        <f t="shared" si="23"/>
        <v>2512725.0660000001</v>
      </c>
      <c r="K99" s="38" t="s">
        <v>16</v>
      </c>
      <c r="L99" s="39" t="s">
        <v>21</v>
      </c>
      <c r="M99" s="68"/>
      <c r="N99" s="67"/>
      <c r="O99" s="54"/>
      <c r="P99" s="54"/>
      <c r="Q99" s="54"/>
      <c r="R99" s="68"/>
    </row>
    <row r="100" spans="1:18">
      <c r="A100" s="67">
        <f t="shared" si="24"/>
        <v>88</v>
      </c>
      <c r="B100" s="61">
        <v>46093</v>
      </c>
      <c r="C100" s="234" t="s">
        <v>117</v>
      </c>
      <c r="D100" s="232" t="s">
        <v>129</v>
      </c>
      <c r="E100" s="264">
        <v>60.55</v>
      </c>
      <c r="F100" s="239">
        <v>973.39</v>
      </c>
      <c r="G100" s="283">
        <f t="shared" si="21"/>
        <v>931.39</v>
      </c>
      <c r="H100" s="238">
        <f t="shared" si="22"/>
        <v>56395.664499999999</v>
      </c>
      <c r="I100" s="240">
        <v>41464.11</v>
      </c>
      <c r="J100" s="252">
        <f t="shared" si="23"/>
        <v>2510651.8605</v>
      </c>
      <c r="K100" s="38" t="s">
        <v>16</v>
      </c>
      <c r="L100" s="39" t="s">
        <v>21</v>
      </c>
      <c r="M100" s="68"/>
      <c r="N100" s="67"/>
      <c r="O100" s="54"/>
      <c r="P100" s="54"/>
      <c r="Q100" s="54"/>
      <c r="R100" s="68"/>
    </row>
    <row r="101" spans="1:18">
      <c r="A101" s="67">
        <f t="shared" si="24"/>
        <v>89</v>
      </c>
      <c r="B101" s="61">
        <v>46093</v>
      </c>
      <c r="C101" s="234" t="s">
        <v>117</v>
      </c>
      <c r="D101" s="232" t="s">
        <v>130</v>
      </c>
      <c r="E101" s="264">
        <v>60.6</v>
      </c>
      <c r="F101" s="239">
        <v>973.39</v>
      </c>
      <c r="G101" s="283">
        <f t="shared" si="21"/>
        <v>931.39</v>
      </c>
      <c r="H101" s="238">
        <f t="shared" si="22"/>
        <v>56442.234000000004</v>
      </c>
      <c r="I101" s="240">
        <v>41464.11</v>
      </c>
      <c r="J101" s="252">
        <f t="shared" si="23"/>
        <v>2512725.0660000001</v>
      </c>
      <c r="K101" s="38" t="s">
        <v>16</v>
      </c>
      <c r="L101" s="39" t="s">
        <v>21</v>
      </c>
      <c r="M101" s="68"/>
      <c r="N101" s="67"/>
      <c r="O101" s="54"/>
      <c r="P101" s="54"/>
      <c r="Q101" s="54"/>
      <c r="R101" s="68"/>
    </row>
    <row r="102" spans="1:18">
      <c r="A102" s="67">
        <f t="shared" si="24"/>
        <v>90</v>
      </c>
      <c r="B102" s="61">
        <v>46093</v>
      </c>
      <c r="C102" s="234" t="s">
        <v>117</v>
      </c>
      <c r="D102" s="232" t="s">
        <v>131</v>
      </c>
      <c r="E102" s="264">
        <v>60.6</v>
      </c>
      <c r="F102" s="239">
        <v>973.39</v>
      </c>
      <c r="G102" s="283">
        <f t="shared" si="21"/>
        <v>931.39</v>
      </c>
      <c r="H102" s="238">
        <f t="shared" si="22"/>
        <v>56442.234000000004</v>
      </c>
      <c r="I102" s="240">
        <v>41464.11</v>
      </c>
      <c r="J102" s="252">
        <f t="shared" si="23"/>
        <v>2512725.0660000001</v>
      </c>
      <c r="K102" s="38" t="s">
        <v>16</v>
      </c>
      <c r="L102" s="39" t="s">
        <v>21</v>
      </c>
      <c r="M102" s="68"/>
      <c r="N102" s="67"/>
      <c r="O102" s="54"/>
      <c r="P102" s="54"/>
      <c r="Q102" s="54"/>
      <c r="R102" s="68"/>
    </row>
    <row r="103" spans="1:18">
      <c r="A103" s="67">
        <f t="shared" si="24"/>
        <v>91</v>
      </c>
      <c r="B103" s="61">
        <v>46093</v>
      </c>
      <c r="C103" s="234" t="s">
        <v>117</v>
      </c>
      <c r="D103" s="232" t="s">
        <v>132</v>
      </c>
      <c r="E103" s="264">
        <v>60.55</v>
      </c>
      <c r="F103" s="239">
        <v>973.39</v>
      </c>
      <c r="G103" s="283">
        <f t="shared" si="21"/>
        <v>931.39</v>
      </c>
      <c r="H103" s="238">
        <f t="shared" si="22"/>
        <v>56395.664499999999</v>
      </c>
      <c r="I103" s="240">
        <v>41464.11</v>
      </c>
      <c r="J103" s="252">
        <f t="shared" si="23"/>
        <v>2510651.8605</v>
      </c>
      <c r="K103" s="38" t="s">
        <v>16</v>
      </c>
      <c r="L103" s="39" t="s">
        <v>21</v>
      </c>
      <c r="M103" s="68"/>
      <c r="N103" s="67"/>
      <c r="O103" s="54"/>
      <c r="P103" s="54"/>
      <c r="Q103" s="54"/>
      <c r="R103" s="68"/>
    </row>
    <row r="104" spans="1:18">
      <c r="A104" s="67">
        <f t="shared" si="24"/>
        <v>92</v>
      </c>
      <c r="B104" s="61">
        <v>46093</v>
      </c>
      <c r="C104" s="234" t="s">
        <v>117</v>
      </c>
      <c r="D104" s="232" t="s">
        <v>133</v>
      </c>
      <c r="E104" s="264">
        <v>60.8</v>
      </c>
      <c r="F104" s="239">
        <v>973.39</v>
      </c>
      <c r="G104" s="283">
        <f t="shared" si="21"/>
        <v>931.39</v>
      </c>
      <c r="H104" s="238">
        <f t="shared" si="22"/>
        <v>56628.511999999995</v>
      </c>
      <c r="I104" s="240">
        <v>41464.11</v>
      </c>
      <c r="J104" s="252">
        <f t="shared" si="23"/>
        <v>2521017.8879999998</v>
      </c>
      <c r="K104" s="38" t="s">
        <v>16</v>
      </c>
      <c r="L104" s="39" t="s">
        <v>21</v>
      </c>
      <c r="M104" s="68"/>
      <c r="N104" s="67"/>
      <c r="O104" s="54"/>
      <c r="P104" s="54"/>
      <c r="Q104" s="54"/>
      <c r="R104" s="68"/>
    </row>
    <row r="105" spans="1:18" ht="14.4" thickBot="1">
      <c r="A105" s="88">
        <f t="shared" si="24"/>
        <v>93</v>
      </c>
      <c r="B105" s="90">
        <v>46093</v>
      </c>
      <c r="C105" s="250" t="s">
        <v>117</v>
      </c>
      <c r="D105" s="262" t="s">
        <v>134</v>
      </c>
      <c r="E105" s="265">
        <v>60.85</v>
      </c>
      <c r="F105" s="239">
        <v>973.39</v>
      </c>
      <c r="G105" s="275">
        <f t="shared" si="21"/>
        <v>931.39</v>
      </c>
      <c r="H105" s="254">
        <f t="shared" si="22"/>
        <v>56675.0815</v>
      </c>
      <c r="I105" s="255">
        <v>41464.11</v>
      </c>
      <c r="J105" s="256">
        <f t="shared" si="23"/>
        <v>2523091.0935</v>
      </c>
      <c r="K105" s="58" t="s">
        <v>16</v>
      </c>
      <c r="L105" s="59" t="s">
        <v>21</v>
      </c>
      <c r="M105" s="71"/>
      <c r="N105" s="69"/>
      <c r="O105" s="70"/>
      <c r="P105" s="70"/>
      <c r="Q105" s="70"/>
      <c r="R105" s="71"/>
    </row>
    <row r="106" spans="1:18" ht="14.4" thickBot="1">
      <c r="A106" s="116"/>
      <c r="B106" s="117"/>
      <c r="C106" s="117"/>
      <c r="D106" s="117"/>
      <c r="E106" s="118">
        <f>SUM(E89:E105)</f>
        <v>1026.3999999999999</v>
      </c>
      <c r="F106" s="117"/>
      <c r="G106" s="117"/>
      <c r="H106" s="159">
        <f>SUM(H89:H105)</f>
        <v>955978.696</v>
      </c>
      <c r="I106" s="176"/>
      <c r="J106" s="248">
        <f>SUM(J89:J105)</f>
        <v>42558762.504000001</v>
      </c>
      <c r="K106" s="117"/>
      <c r="L106" s="119"/>
      <c r="M106" s="168"/>
      <c r="N106" s="169"/>
      <c r="O106" s="167"/>
      <c r="P106" s="167"/>
      <c r="Q106" s="167"/>
      <c r="R106" s="170"/>
    </row>
    <row r="107" spans="1:18">
      <c r="A107" s="78">
        <v>94</v>
      </c>
      <c r="B107" s="72">
        <v>46095</v>
      </c>
      <c r="C107" s="60">
        <v>8612052</v>
      </c>
      <c r="D107" s="60">
        <v>50946011</v>
      </c>
      <c r="E107" s="213">
        <v>60</v>
      </c>
      <c r="F107" s="239">
        <v>973.39</v>
      </c>
      <c r="G107" s="283">
        <f t="shared" ref="G107:G117" si="25">F107-42</f>
        <v>931.39</v>
      </c>
      <c r="H107" s="238">
        <f t="shared" ref="H107:H117" si="26">E107*G107</f>
        <v>55883.4</v>
      </c>
      <c r="I107" s="240">
        <v>41464.11</v>
      </c>
      <c r="J107" s="259">
        <f t="shared" ref="J107:J117" si="27">E107*I107</f>
        <v>2487846.6</v>
      </c>
      <c r="K107" s="75" t="s">
        <v>16</v>
      </c>
      <c r="L107" s="76" t="s">
        <v>21</v>
      </c>
      <c r="M107" s="102"/>
      <c r="N107" s="64"/>
      <c r="O107" s="65"/>
      <c r="P107" s="65"/>
      <c r="Q107" s="65"/>
      <c r="R107" s="66"/>
    </row>
    <row r="108" spans="1:18">
      <c r="A108" s="67">
        <f>A107+1</f>
        <v>95</v>
      </c>
      <c r="B108" s="61">
        <v>46095</v>
      </c>
      <c r="C108" s="54">
        <v>8612052</v>
      </c>
      <c r="D108" s="54">
        <v>54077318</v>
      </c>
      <c r="E108" s="148">
        <v>60.05</v>
      </c>
      <c r="F108" s="239">
        <v>973.39</v>
      </c>
      <c r="G108" s="283">
        <f t="shared" si="25"/>
        <v>931.39</v>
      </c>
      <c r="H108" s="238">
        <f t="shared" si="26"/>
        <v>55929.969499999999</v>
      </c>
      <c r="I108" s="240">
        <v>41464.11</v>
      </c>
      <c r="J108" s="252">
        <f t="shared" si="27"/>
        <v>2489919.8054999998</v>
      </c>
      <c r="K108" s="38" t="s">
        <v>16</v>
      </c>
      <c r="L108" s="39" t="s">
        <v>21</v>
      </c>
      <c r="M108" s="62"/>
      <c r="N108" s="67"/>
      <c r="O108" s="54"/>
      <c r="P108" s="54"/>
      <c r="Q108" s="54"/>
      <c r="R108" s="68"/>
    </row>
    <row r="109" spans="1:18">
      <c r="A109" s="67">
        <f t="shared" ref="A109:A117" si="28">A108+1</f>
        <v>96</v>
      </c>
      <c r="B109" s="61">
        <v>46095</v>
      </c>
      <c r="C109" s="54">
        <v>8612052</v>
      </c>
      <c r="D109" s="54">
        <v>54717525</v>
      </c>
      <c r="E109" s="148">
        <v>60.15</v>
      </c>
      <c r="F109" s="239">
        <v>973.39</v>
      </c>
      <c r="G109" s="283">
        <f t="shared" si="25"/>
        <v>931.39</v>
      </c>
      <c r="H109" s="238">
        <f t="shared" si="26"/>
        <v>56023.108499999995</v>
      </c>
      <c r="I109" s="240">
        <v>41464.11</v>
      </c>
      <c r="J109" s="252">
        <f t="shared" si="27"/>
        <v>2494066.2165000001</v>
      </c>
      <c r="K109" s="38" t="s">
        <v>16</v>
      </c>
      <c r="L109" s="39" t="s">
        <v>21</v>
      </c>
      <c r="M109" s="62"/>
      <c r="N109" s="67"/>
      <c r="O109" s="54"/>
      <c r="P109" s="54"/>
      <c r="Q109" s="54"/>
      <c r="R109" s="68"/>
    </row>
    <row r="110" spans="1:18">
      <c r="A110" s="67">
        <f t="shared" si="28"/>
        <v>97</v>
      </c>
      <c r="B110" s="61">
        <v>46095</v>
      </c>
      <c r="C110" s="54">
        <v>8612052</v>
      </c>
      <c r="D110" s="54">
        <v>58706805</v>
      </c>
      <c r="E110" s="148">
        <v>59.95</v>
      </c>
      <c r="F110" s="239">
        <v>973.39</v>
      </c>
      <c r="G110" s="283">
        <f t="shared" si="25"/>
        <v>931.39</v>
      </c>
      <c r="H110" s="238">
        <f t="shared" si="26"/>
        <v>55836.830500000004</v>
      </c>
      <c r="I110" s="240">
        <v>41464.11</v>
      </c>
      <c r="J110" s="252">
        <f t="shared" si="27"/>
        <v>2485773.3944999999</v>
      </c>
      <c r="K110" s="38" t="s">
        <v>16</v>
      </c>
      <c r="L110" s="39" t="s">
        <v>21</v>
      </c>
      <c r="M110" s="62"/>
      <c r="N110" s="67"/>
      <c r="O110" s="54"/>
      <c r="P110" s="54"/>
      <c r="Q110" s="54"/>
      <c r="R110" s="68"/>
    </row>
    <row r="111" spans="1:18">
      <c r="A111" s="67">
        <f t="shared" si="28"/>
        <v>98</v>
      </c>
      <c r="B111" s="61">
        <v>46095</v>
      </c>
      <c r="C111" s="54">
        <v>8612052</v>
      </c>
      <c r="D111" s="54">
        <v>73037350</v>
      </c>
      <c r="E111" s="148">
        <v>60.55</v>
      </c>
      <c r="F111" s="239">
        <v>973.39</v>
      </c>
      <c r="G111" s="283">
        <f t="shared" si="25"/>
        <v>931.39</v>
      </c>
      <c r="H111" s="238">
        <f t="shared" si="26"/>
        <v>56395.664499999999</v>
      </c>
      <c r="I111" s="240">
        <v>41464.11</v>
      </c>
      <c r="J111" s="252">
        <f t="shared" si="27"/>
        <v>2510651.8605</v>
      </c>
      <c r="K111" s="38" t="s">
        <v>16</v>
      </c>
      <c r="L111" s="39" t="s">
        <v>21</v>
      </c>
      <c r="M111" s="62"/>
      <c r="N111" s="67"/>
      <c r="O111" s="54"/>
      <c r="P111" s="54"/>
      <c r="Q111" s="54"/>
      <c r="R111" s="68"/>
    </row>
    <row r="112" spans="1:18">
      <c r="A112" s="67">
        <f t="shared" si="28"/>
        <v>99</v>
      </c>
      <c r="B112" s="61">
        <v>46095</v>
      </c>
      <c r="C112" s="54">
        <v>8612052</v>
      </c>
      <c r="D112" s="54">
        <v>73051401</v>
      </c>
      <c r="E112" s="148">
        <v>60.55</v>
      </c>
      <c r="F112" s="239">
        <v>973.39</v>
      </c>
      <c r="G112" s="283">
        <f t="shared" si="25"/>
        <v>931.39</v>
      </c>
      <c r="H112" s="238">
        <f t="shared" si="26"/>
        <v>56395.664499999999</v>
      </c>
      <c r="I112" s="240">
        <v>41464.11</v>
      </c>
      <c r="J112" s="252">
        <f t="shared" si="27"/>
        <v>2510651.8605</v>
      </c>
      <c r="K112" s="38" t="s">
        <v>16</v>
      </c>
      <c r="L112" s="39" t="s">
        <v>21</v>
      </c>
      <c r="M112" s="62"/>
      <c r="N112" s="67"/>
      <c r="O112" s="54"/>
      <c r="P112" s="54"/>
      <c r="Q112" s="54"/>
      <c r="R112" s="68"/>
    </row>
    <row r="113" spans="1:18">
      <c r="A113" s="67">
        <f t="shared" si="28"/>
        <v>100</v>
      </c>
      <c r="B113" s="61">
        <v>46095</v>
      </c>
      <c r="C113" s="54">
        <v>8612052</v>
      </c>
      <c r="D113" s="54">
        <v>73106247</v>
      </c>
      <c r="E113" s="148">
        <v>60.7</v>
      </c>
      <c r="F113" s="239">
        <v>973.39</v>
      </c>
      <c r="G113" s="283">
        <f t="shared" si="25"/>
        <v>931.39</v>
      </c>
      <c r="H113" s="238">
        <f t="shared" si="26"/>
        <v>56535.373</v>
      </c>
      <c r="I113" s="240">
        <v>41464.11</v>
      </c>
      <c r="J113" s="252">
        <f t="shared" si="27"/>
        <v>2516871.477</v>
      </c>
      <c r="K113" s="38" t="s">
        <v>16</v>
      </c>
      <c r="L113" s="39" t="s">
        <v>21</v>
      </c>
      <c r="M113" s="62"/>
      <c r="N113" s="67"/>
      <c r="O113" s="54"/>
      <c r="P113" s="54"/>
      <c r="Q113" s="54"/>
      <c r="R113" s="68"/>
    </row>
    <row r="114" spans="1:18">
      <c r="A114" s="67">
        <f t="shared" si="28"/>
        <v>101</v>
      </c>
      <c r="B114" s="61">
        <v>46095</v>
      </c>
      <c r="C114" s="54">
        <v>8612052</v>
      </c>
      <c r="D114" s="54">
        <v>73230567</v>
      </c>
      <c r="E114" s="148">
        <v>60.5</v>
      </c>
      <c r="F114" s="239">
        <v>973.39</v>
      </c>
      <c r="G114" s="283">
        <f t="shared" si="25"/>
        <v>931.39</v>
      </c>
      <c r="H114" s="238">
        <f t="shared" si="26"/>
        <v>56349.095000000001</v>
      </c>
      <c r="I114" s="240">
        <v>41464.11</v>
      </c>
      <c r="J114" s="252">
        <f t="shared" si="27"/>
        <v>2508578.6550000003</v>
      </c>
      <c r="K114" s="38" t="s">
        <v>16</v>
      </c>
      <c r="L114" s="39" t="s">
        <v>21</v>
      </c>
      <c r="M114" s="62"/>
      <c r="N114" s="67"/>
      <c r="O114" s="54"/>
      <c r="P114" s="54"/>
      <c r="Q114" s="54"/>
      <c r="R114" s="68"/>
    </row>
    <row r="115" spans="1:18">
      <c r="A115" s="67">
        <f t="shared" si="28"/>
        <v>102</v>
      </c>
      <c r="B115" s="61">
        <v>46095</v>
      </c>
      <c r="C115" s="54">
        <v>8612052</v>
      </c>
      <c r="D115" s="54">
        <v>73230757</v>
      </c>
      <c r="E115" s="148">
        <v>60.55</v>
      </c>
      <c r="F115" s="239">
        <v>973.39</v>
      </c>
      <c r="G115" s="283">
        <f t="shared" si="25"/>
        <v>931.39</v>
      </c>
      <c r="H115" s="238">
        <f t="shared" si="26"/>
        <v>56395.664499999999</v>
      </c>
      <c r="I115" s="240">
        <v>41464.11</v>
      </c>
      <c r="J115" s="252">
        <f t="shared" si="27"/>
        <v>2510651.8605</v>
      </c>
      <c r="K115" s="38" t="s">
        <v>16</v>
      </c>
      <c r="L115" s="39" t="s">
        <v>21</v>
      </c>
      <c r="M115" s="62"/>
      <c r="N115" s="67"/>
      <c r="O115" s="54"/>
      <c r="P115" s="54"/>
      <c r="Q115" s="54"/>
      <c r="R115" s="68"/>
    </row>
    <row r="116" spans="1:18">
      <c r="A116" s="67">
        <f t="shared" si="28"/>
        <v>103</v>
      </c>
      <c r="B116" s="61">
        <v>46095</v>
      </c>
      <c r="C116" s="54">
        <v>8612052</v>
      </c>
      <c r="D116" s="54">
        <v>73237208</v>
      </c>
      <c r="E116" s="148">
        <v>60.45</v>
      </c>
      <c r="F116" s="239">
        <v>973.39</v>
      </c>
      <c r="G116" s="283">
        <f t="shared" si="25"/>
        <v>931.39</v>
      </c>
      <c r="H116" s="238">
        <f t="shared" si="26"/>
        <v>56302.525500000003</v>
      </c>
      <c r="I116" s="240">
        <v>41464.11</v>
      </c>
      <c r="J116" s="252">
        <f t="shared" si="27"/>
        <v>2506505.4495000001</v>
      </c>
      <c r="K116" s="38" t="s">
        <v>16</v>
      </c>
      <c r="L116" s="39" t="s">
        <v>21</v>
      </c>
      <c r="M116" s="62"/>
      <c r="N116" s="67"/>
      <c r="O116" s="54"/>
      <c r="P116" s="54"/>
      <c r="Q116" s="54"/>
      <c r="R116" s="68"/>
    </row>
    <row r="117" spans="1:18" ht="14.4" thickBot="1">
      <c r="A117" s="69">
        <f t="shared" si="28"/>
        <v>104</v>
      </c>
      <c r="B117" s="112">
        <v>46095</v>
      </c>
      <c r="C117" s="70">
        <v>8612052</v>
      </c>
      <c r="D117" s="70">
        <v>75288423</v>
      </c>
      <c r="E117" s="151">
        <v>60.85</v>
      </c>
      <c r="F117" s="239">
        <v>973.39</v>
      </c>
      <c r="G117" s="283">
        <f t="shared" si="25"/>
        <v>931.39</v>
      </c>
      <c r="H117" s="246">
        <f t="shared" si="26"/>
        <v>56675.0815</v>
      </c>
      <c r="I117" s="247">
        <v>41464.11</v>
      </c>
      <c r="J117" s="253">
        <f t="shared" si="27"/>
        <v>2523091.0935</v>
      </c>
      <c r="K117" s="100" t="s">
        <v>16</v>
      </c>
      <c r="L117" s="101" t="s">
        <v>21</v>
      </c>
      <c r="M117" s="103"/>
      <c r="N117" s="69"/>
      <c r="O117" s="70"/>
      <c r="P117" s="70"/>
      <c r="Q117" s="70"/>
      <c r="R117" s="71"/>
    </row>
    <row r="118" spans="1:18" ht="14.4" thickBot="1">
      <c r="A118" s="116"/>
      <c r="B118" s="117"/>
      <c r="C118" s="117"/>
      <c r="D118" s="117"/>
      <c r="E118" s="118">
        <f>SUM(E107:E117)</f>
        <v>664.30000000000007</v>
      </c>
      <c r="F118" s="117"/>
      <c r="G118" s="117"/>
      <c r="H118" s="159">
        <f>SUM(H107:H117)</f>
        <v>618722.37700000009</v>
      </c>
      <c r="I118" s="176"/>
      <c r="J118" s="248">
        <f>SUM(J107:J117)</f>
        <v>27544608.273000006</v>
      </c>
      <c r="K118" s="117"/>
      <c r="L118" s="119"/>
      <c r="M118" s="282"/>
      <c r="N118" s="169"/>
      <c r="O118" s="167"/>
      <c r="P118" s="167"/>
      <c r="Q118" s="167"/>
      <c r="R118" s="170"/>
    </row>
    <row r="119" spans="1:18">
      <c r="A119" s="64">
        <v>105</v>
      </c>
      <c r="B119" s="87">
        <v>46096</v>
      </c>
      <c r="C119" s="65">
        <v>8612060</v>
      </c>
      <c r="D119" s="65">
        <v>50188697</v>
      </c>
      <c r="E119" s="150">
        <v>62.7</v>
      </c>
      <c r="F119" s="239">
        <v>973.39</v>
      </c>
      <c r="G119" s="283">
        <f t="shared" ref="G119:G129" si="29">F119-42</f>
        <v>931.39</v>
      </c>
      <c r="H119" s="242">
        <f t="shared" ref="H119:H129" si="30">E119*G119</f>
        <v>58398.152999999998</v>
      </c>
      <c r="I119" s="244">
        <v>41464.11</v>
      </c>
      <c r="J119" s="251">
        <f t="shared" ref="J119:J129" si="31">E119*I119</f>
        <v>2599799.6970000002</v>
      </c>
      <c r="K119" s="95" t="s">
        <v>16</v>
      </c>
      <c r="L119" s="96" t="s">
        <v>21</v>
      </c>
      <c r="M119" s="66"/>
      <c r="N119" s="64"/>
      <c r="O119" s="65"/>
      <c r="P119" s="65"/>
      <c r="Q119" s="65"/>
      <c r="R119" s="66"/>
    </row>
    <row r="120" spans="1:18">
      <c r="A120" s="67">
        <f>A119+1</f>
        <v>106</v>
      </c>
      <c r="B120" s="61">
        <v>46096</v>
      </c>
      <c r="C120" s="54">
        <v>8612060</v>
      </c>
      <c r="D120" s="54">
        <v>50197268</v>
      </c>
      <c r="E120" s="148">
        <v>57.75</v>
      </c>
      <c r="F120" s="239">
        <v>973.39</v>
      </c>
      <c r="G120" s="283">
        <f t="shared" si="29"/>
        <v>931.39</v>
      </c>
      <c r="H120" s="238">
        <f t="shared" si="30"/>
        <v>53787.772499999999</v>
      </c>
      <c r="I120" s="240">
        <v>41464.11</v>
      </c>
      <c r="J120" s="252">
        <f t="shared" si="31"/>
        <v>2394552.3525</v>
      </c>
      <c r="K120" s="38" t="s">
        <v>16</v>
      </c>
      <c r="L120" s="39" t="s">
        <v>21</v>
      </c>
      <c r="M120" s="68"/>
      <c r="N120" s="67"/>
      <c r="O120" s="54"/>
      <c r="P120" s="54"/>
      <c r="Q120" s="54"/>
      <c r="R120" s="68"/>
    </row>
    <row r="121" spans="1:18">
      <c r="A121" s="67">
        <f t="shared" ref="A121:A129" si="32">A120+1</f>
        <v>107</v>
      </c>
      <c r="B121" s="61">
        <v>46096</v>
      </c>
      <c r="C121" s="54">
        <v>8612060</v>
      </c>
      <c r="D121" s="54">
        <v>50768449</v>
      </c>
      <c r="E121" s="148">
        <v>50.3</v>
      </c>
      <c r="F121" s="239">
        <v>973.39</v>
      </c>
      <c r="G121" s="283">
        <f t="shared" si="29"/>
        <v>931.39</v>
      </c>
      <c r="H121" s="238">
        <f t="shared" si="30"/>
        <v>46848.916999999994</v>
      </c>
      <c r="I121" s="240">
        <v>41464.11</v>
      </c>
      <c r="J121" s="252">
        <f t="shared" si="31"/>
        <v>2085644.733</v>
      </c>
      <c r="K121" s="38" t="s">
        <v>16</v>
      </c>
      <c r="L121" s="39" t="s">
        <v>21</v>
      </c>
      <c r="M121" s="68"/>
      <c r="N121" s="67"/>
      <c r="O121" s="54"/>
      <c r="P121" s="54"/>
      <c r="Q121" s="54"/>
      <c r="R121" s="68"/>
    </row>
    <row r="122" spans="1:18">
      <c r="A122" s="67">
        <f t="shared" si="32"/>
        <v>108</v>
      </c>
      <c r="B122" s="61">
        <v>46096</v>
      </c>
      <c r="C122" s="54">
        <v>8612060</v>
      </c>
      <c r="D122" s="54">
        <v>51688927</v>
      </c>
      <c r="E122" s="148">
        <v>60.95</v>
      </c>
      <c r="F122" s="239">
        <v>973.39</v>
      </c>
      <c r="G122" s="283">
        <f t="shared" si="29"/>
        <v>931.39</v>
      </c>
      <c r="H122" s="238">
        <f t="shared" si="30"/>
        <v>56768.220500000003</v>
      </c>
      <c r="I122" s="240">
        <v>41464.11</v>
      </c>
      <c r="J122" s="252">
        <f t="shared" si="31"/>
        <v>2527237.5045000003</v>
      </c>
      <c r="K122" s="38" t="s">
        <v>16</v>
      </c>
      <c r="L122" s="39" t="s">
        <v>21</v>
      </c>
      <c r="M122" s="68"/>
      <c r="N122" s="67"/>
      <c r="O122" s="54"/>
      <c r="P122" s="54"/>
      <c r="Q122" s="54"/>
      <c r="R122" s="68"/>
    </row>
    <row r="123" spans="1:18">
      <c r="A123" s="67">
        <f t="shared" si="32"/>
        <v>109</v>
      </c>
      <c r="B123" s="61">
        <v>46096</v>
      </c>
      <c r="C123" s="54">
        <v>8612060</v>
      </c>
      <c r="D123" s="54">
        <v>51813160</v>
      </c>
      <c r="E123" s="148">
        <v>59.65</v>
      </c>
      <c r="F123" s="239">
        <v>973.39</v>
      </c>
      <c r="G123" s="283">
        <f t="shared" si="29"/>
        <v>931.39</v>
      </c>
      <c r="H123" s="238">
        <f t="shared" si="30"/>
        <v>55557.413499999995</v>
      </c>
      <c r="I123" s="240">
        <v>41464.11</v>
      </c>
      <c r="J123" s="252">
        <f t="shared" si="31"/>
        <v>2473334.1614999999</v>
      </c>
      <c r="K123" s="38" t="s">
        <v>16</v>
      </c>
      <c r="L123" s="39" t="s">
        <v>21</v>
      </c>
      <c r="M123" s="68"/>
      <c r="N123" s="67"/>
      <c r="O123" s="54"/>
      <c r="P123" s="54"/>
      <c r="Q123" s="54"/>
      <c r="R123" s="68"/>
    </row>
    <row r="124" spans="1:18">
      <c r="A124" s="67">
        <f t="shared" si="32"/>
        <v>110</v>
      </c>
      <c r="B124" s="61">
        <v>46096</v>
      </c>
      <c r="C124" s="54">
        <v>8612060</v>
      </c>
      <c r="D124" s="54">
        <v>51847135</v>
      </c>
      <c r="E124" s="148">
        <v>57.8</v>
      </c>
      <c r="F124" s="239">
        <v>973.39</v>
      </c>
      <c r="G124" s="283">
        <f t="shared" si="29"/>
        <v>931.39</v>
      </c>
      <c r="H124" s="238">
        <f t="shared" si="30"/>
        <v>53834.341999999997</v>
      </c>
      <c r="I124" s="240">
        <v>41464.11</v>
      </c>
      <c r="J124" s="252">
        <f t="shared" si="31"/>
        <v>2396625.5579999997</v>
      </c>
      <c r="K124" s="38" t="s">
        <v>16</v>
      </c>
      <c r="L124" s="39" t="s">
        <v>21</v>
      </c>
      <c r="M124" s="68"/>
      <c r="N124" s="67"/>
      <c r="O124" s="54"/>
      <c r="P124" s="54"/>
      <c r="Q124" s="54"/>
      <c r="R124" s="68"/>
    </row>
    <row r="125" spans="1:18">
      <c r="A125" s="67">
        <f t="shared" si="32"/>
        <v>111</v>
      </c>
      <c r="B125" s="61">
        <v>46096</v>
      </c>
      <c r="C125" s="54">
        <v>8612060</v>
      </c>
      <c r="D125" s="54">
        <v>54656566</v>
      </c>
      <c r="E125" s="148">
        <v>61.45</v>
      </c>
      <c r="F125" s="239">
        <v>973.39</v>
      </c>
      <c r="G125" s="283">
        <f t="shared" si="29"/>
        <v>931.39</v>
      </c>
      <c r="H125" s="238">
        <f t="shared" si="30"/>
        <v>57233.915500000003</v>
      </c>
      <c r="I125" s="240">
        <v>41464.11</v>
      </c>
      <c r="J125" s="252">
        <f t="shared" si="31"/>
        <v>2547969.5595</v>
      </c>
      <c r="K125" s="38" t="s">
        <v>16</v>
      </c>
      <c r="L125" s="39" t="s">
        <v>21</v>
      </c>
      <c r="M125" s="68"/>
      <c r="N125" s="67"/>
      <c r="O125" s="54"/>
      <c r="P125" s="54"/>
      <c r="Q125" s="54"/>
      <c r="R125" s="68"/>
    </row>
    <row r="126" spans="1:18">
      <c r="A126" s="67">
        <f t="shared" si="32"/>
        <v>112</v>
      </c>
      <c r="B126" s="61">
        <v>46096</v>
      </c>
      <c r="C126" s="54">
        <v>8612060</v>
      </c>
      <c r="D126" s="54">
        <v>57147167</v>
      </c>
      <c r="E126" s="148">
        <v>58.75</v>
      </c>
      <c r="F126" s="239">
        <v>973.39</v>
      </c>
      <c r="G126" s="283">
        <f t="shared" si="29"/>
        <v>931.39</v>
      </c>
      <c r="H126" s="238">
        <f t="shared" si="30"/>
        <v>54719.162499999999</v>
      </c>
      <c r="I126" s="240">
        <v>41464.11</v>
      </c>
      <c r="J126" s="252">
        <f t="shared" si="31"/>
        <v>2436016.4624999999</v>
      </c>
      <c r="K126" s="38" t="s">
        <v>16</v>
      </c>
      <c r="L126" s="39" t="s">
        <v>21</v>
      </c>
      <c r="M126" s="68"/>
      <c r="N126" s="67"/>
      <c r="O126" s="54"/>
      <c r="P126" s="54"/>
      <c r="Q126" s="54"/>
      <c r="R126" s="68"/>
    </row>
    <row r="127" spans="1:18">
      <c r="A127" s="67">
        <f t="shared" si="32"/>
        <v>113</v>
      </c>
      <c r="B127" s="61">
        <v>46096</v>
      </c>
      <c r="C127" s="54">
        <v>8612060</v>
      </c>
      <c r="D127" s="54">
        <v>74893371</v>
      </c>
      <c r="E127" s="148">
        <v>53</v>
      </c>
      <c r="F127" s="239">
        <v>973.39</v>
      </c>
      <c r="G127" s="283">
        <f t="shared" si="29"/>
        <v>931.39</v>
      </c>
      <c r="H127" s="238">
        <f t="shared" si="30"/>
        <v>49363.67</v>
      </c>
      <c r="I127" s="240">
        <v>41464.11</v>
      </c>
      <c r="J127" s="252">
        <f t="shared" si="31"/>
        <v>2197597.83</v>
      </c>
      <c r="K127" s="38" t="s">
        <v>16</v>
      </c>
      <c r="L127" s="39" t="s">
        <v>21</v>
      </c>
      <c r="M127" s="68"/>
      <c r="N127" s="67"/>
      <c r="O127" s="54"/>
      <c r="P127" s="54"/>
      <c r="Q127" s="54"/>
      <c r="R127" s="68"/>
    </row>
    <row r="128" spans="1:18">
      <c r="A128" s="67">
        <f t="shared" si="32"/>
        <v>114</v>
      </c>
      <c r="B128" s="61">
        <v>46096</v>
      </c>
      <c r="C128" s="54">
        <v>8612060</v>
      </c>
      <c r="D128" s="54">
        <v>75000760</v>
      </c>
      <c r="E128" s="148">
        <v>60.25</v>
      </c>
      <c r="F128" s="239">
        <v>973.39</v>
      </c>
      <c r="G128" s="283">
        <f t="shared" si="29"/>
        <v>931.39</v>
      </c>
      <c r="H128" s="238">
        <f t="shared" si="30"/>
        <v>56116.247499999998</v>
      </c>
      <c r="I128" s="240">
        <v>41464.11</v>
      </c>
      <c r="J128" s="252">
        <f t="shared" si="31"/>
        <v>2498212.6274999999</v>
      </c>
      <c r="K128" s="38" t="s">
        <v>16</v>
      </c>
      <c r="L128" s="39" t="s">
        <v>21</v>
      </c>
      <c r="M128" s="68"/>
      <c r="N128" s="67"/>
      <c r="O128" s="54"/>
      <c r="P128" s="54"/>
      <c r="Q128" s="54"/>
      <c r="R128" s="68"/>
    </row>
    <row r="129" spans="1:18" ht="14.4" thickBot="1">
      <c r="A129" s="69">
        <f t="shared" si="32"/>
        <v>115</v>
      </c>
      <c r="B129" s="112">
        <v>46096</v>
      </c>
      <c r="C129" s="70">
        <v>8612060</v>
      </c>
      <c r="D129" s="70">
        <v>73158016</v>
      </c>
      <c r="E129" s="151">
        <v>56.55</v>
      </c>
      <c r="F129" s="239">
        <v>973.39</v>
      </c>
      <c r="G129" s="283">
        <f t="shared" si="29"/>
        <v>931.39</v>
      </c>
      <c r="H129" s="246">
        <f t="shared" si="30"/>
        <v>52670.104499999994</v>
      </c>
      <c r="I129" s="247">
        <v>41464.11</v>
      </c>
      <c r="J129" s="253">
        <f t="shared" si="31"/>
        <v>2344795.4205</v>
      </c>
      <c r="K129" s="100" t="s">
        <v>16</v>
      </c>
      <c r="L129" s="101" t="s">
        <v>21</v>
      </c>
      <c r="M129" s="71"/>
      <c r="N129" s="69"/>
      <c r="O129" s="70"/>
      <c r="P129" s="70"/>
      <c r="Q129" s="70"/>
      <c r="R129" s="71"/>
    </row>
    <row r="130" spans="1:18" ht="14.4" thickBot="1">
      <c r="A130" s="116"/>
      <c r="B130" s="117"/>
      <c r="C130" s="117"/>
      <c r="D130" s="117"/>
      <c r="E130" s="118">
        <f>SUM(E119:E129)</f>
        <v>639.14999999999986</v>
      </c>
      <c r="F130" s="117"/>
      <c r="G130" s="117"/>
      <c r="H130" s="159">
        <f>SUM(H119:H129)</f>
        <v>595297.91850000003</v>
      </c>
      <c r="I130" s="176"/>
      <c r="J130" s="248">
        <f>SUM(J119:J129)</f>
        <v>26501785.906499997</v>
      </c>
      <c r="K130" s="117"/>
      <c r="L130" s="123"/>
      <c r="M130" s="125"/>
      <c r="N130" s="169"/>
      <c r="O130" s="167"/>
      <c r="P130" s="167"/>
      <c r="Q130" s="167"/>
      <c r="R130" s="170"/>
    </row>
    <row r="131" spans="1:18">
      <c r="A131" s="64">
        <v>116</v>
      </c>
      <c r="B131" s="87">
        <v>46096</v>
      </c>
      <c r="C131" s="65">
        <v>8612063</v>
      </c>
      <c r="D131" s="65">
        <v>50400035</v>
      </c>
      <c r="E131" s="150">
        <v>60.15</v>
      </c>
      <c r="F131" s="239">
        <v>973.39</v>
      </c>
      <c r="G131" s="283">
        <f t="shared" ref="G131:G163" si="33">F131-42</f>
        <v>931.39</v>
      </c>
      <c r="H131" s="242">
        <f t="shared" ref="H131:H163" si="34">E131*G131</f>
        <v>56023.108499999995</v>
      </c>
      <c r="I131" s="244">
        <v>41464.11</v>
      </c>
      <c r="J131" s="251">
        <f t="shared" ref="J131:J163" si="35">E131*I131</f>
        <v>2494066.2165000001</v>
      </c>
      <c r="K131" s="95" t="s">
        <v>16</v>
      </c>
      <c r="L131" s="96" t="s">
        <v>21</v>
      </c>
      <c r="M131" s="77"/>
      <c r="N131" s="64"/>
      <c r="O131" s="65"/>
      <c r="P131" s="65"/>
      <c r="Q131" s="65"/>
      <c r="R131" s="66"/>
    </row>
    <row r="132" spans="1:18">
      <c r="A132" s="67">
        <f>A131+1</f>
        <v>117</v>
      </c>
      <c r="B132" s="61">
        <v>46096</v>
      </c>
      <c r="C132" s="54">
        <v>8612063</v>
      </c>
      <c r="D132" s="54">
        <v>50409580</v>
      </c>
      <c r="E132" s="148">
        <v>60.1</v>
      </c>
      <c r="F132" s="239">
        <v>973.39</v>
      </c>
      <c r="G132" s="283">
        <f t="shared" si="33"/>
        <v>931.39</v>
      </c>
      <c r="H132" s="238">
        <f t="shared" si="34"/>
        <v>55976.538999999997</v>
      </c>
      <c r="I132" s="240">
        <v>41464.11</v>
      </c>
      <c r="J132" s="252">
        <f t="shared" si="35"/>
        <v>2491993.0109999999</v>
      </c>
      <c r="K132" s="38" t="s">
        <v>16</v>
      </c>
      <c r="L132" s="39" t="s">
        <v>21</v>
      </c>
      <c r="M132" s="62"/>
      <c r="N132" s="67"/>
      <c r="O132" s="54"/>
      <c r="P132" s="54"/>
      <c r="Q132" s="54"/>
      <c r="R132" s="68"/>
    </row>
    <row r="133" spans="1:18">
      <c r="A133" s="67">
        <f t="shared" ref="A133:A163" si="36">A132+1</f>
        <v>118</v>
      </c>
      <c r="B133" s="61">
        <v>46096</v>
      </c>
      <c r="C133" s="54">
        <v>8612063</v>
      </c>
      <c r="D133" s="54">
        <v>50748938</v>
      </c>
      <c r="E133" s="148">
        <v>51.6</v>
      </c>
      <c r="F133" s="239">
        <v>973.39</v>
      </c>
      <c r="G133" s="283">
        <f t="shared" si="33"/>
        <v>931.39</v>
      </c>
      <c r="H133" s="238">
        <f t="shared" si="34"/>
        <v>48059.724000000002</v>
      </c>
      <c r="I133" s="240">
        <v>41464.11</v>
      </c>
      <c r="J133" s="252">
        <f t="shared" si="35"/>
        <v>2139548.0759999999</v>
      </c>
      <c r="K133" s="38" t="s">
        <v>16</v>
      </c>
      <c r="L133" s="39" t="s">
        <v>21</v>
      </c>
      <c r="M133" s="62"/>
      <c r="N133" s="67"/>
      <c r="O133" s="54"/>
      <c r="P133" s="54"/>
      <c r="Q133" s="54"/>
      <c r="R133" s="68"/>
    </row>
    <row r="134" spans="1:18">
      <c r="A134" s="67">
        <f t="shared" si="36"/>
        <v>119</v>
      </c>
      <c r="B134" s="61">
        <v>46096</v>
      </c>
      <c r="C134" s="54">
        <v>8612063</v>
      </c>
      <c r="D134" s="54">
        <v>50945864</v>
      </c>
      <c r="E134" s="148">
        <v>60.3</v>
      </c>
      <c r="F134" s="239">
        <v>973.39</v>
      </c>
      <c r="G134" s="283">
        <f t="shared" si="33"/>
        <v>931.39</v>
      </c>
      <c r="H134" s="238">
        <f t="shared" si="34"/>
        <v>56162.816999999995</v>
      </c>
      <c r="I134" s="240">
        <v>41464.11</v>
      </c>
      <c r="J134" s="252">
        <f t="shared" si="35"/>
        <v>2500285.8330000001</v>
      </c>
      <c r="K134" s="38" t="s">
        <v>16</v>
      </c>
      <c r="L134" s="39" t="s">
        <v>21</v>
      </c>
      <c r="M134" s="62"/>
      <c r="N134" s="67"/>
      <c r="O134" s="54"/>
      <c r="P134" s="54"/>
      <c r="Q134" s="54"/>
      <c r="R134" s="68"/>
    </row>
    <row r="135" spans="1:18">
      <c r="A135" s="67">
        <f t="shared" si="36"/>
        <v>120</v>
      </c>
      <c r="B135" s="61">
        <v>46096</v>
      </c>
      <c r="C135" s="54">
        <v>8612063</v>
      </c>
      <c r="D135" s="54">
        <v>50974906</v>
      </c>
      <c r="E135" s="148">
        <v>60.3</v>
      </c>
      <c r="F135" s="239">
        <v>973.39</v>
      </c>
      <c r="G135" s="283">
        <f t="shared" si="33"/>
        <v>931.39</v>
      </c>
      <c r="H135" s="238">
        <f t="shared" si="34"/>
        <v>56162.816999999995</v>
      </c>
      <c r="I135" s="240">
        <v>41464.11</v>
      </c>
      <c r="J135" s="252">
        <f t="shared" si="35"/>
        <v>2500285.8330000001</v>
      </c>
      <c r="K135" s="38" t="s">
        <v>16</v>
      </c>
      <c r="L135" s="39" t="s">
        <v>21</v>
      </c>
      <c r="M135" s="62"/>
      <c r="N135" s="67"/>
      <c r="O135" s="54"/>
      <c r="P135" s="54"/>
      <c r="Q135" s="54"/>
      <c r="R135" s="68"/>
    </row>
    <row r="136" spans="1:18">
      <c r="A136" s="67">
        <f t="shared" si="36"/>
        <v>121</v>
      </c>
      <c r="B136" s="61">
        <v>46096</v>
      </c>
      <c r="C136" s="54">
        <v>8612063</v>
      </c>
      <c r="D136" s="54">
        <v>51481059</v>
      </c>
      <c r="E136" s="148">
        <v>51.05</v>
      </c>
      <c r="F136" s="239">
        <v>973.39</v>
      </c>
      <c r="G136" s="283">
        <f t="shared" si="33"/>
        <v>931.39</v>
      </c>
      <c r="H136" s="238">
        <f t="shared" si="34"/>
        <v>47547.459499999997</v>
      </c>
      <c r="I136" s="240">
        <v>41464.11</v>
      </c>
      <c r="J136" s="252">
        <f t="shared" si="35"/>
        <v>2116742.8155</v>
      </c>
      <c r="K136" s="38" t="s">
        <v>16</v>
      </c>
      <c r="L136" s="39" t="s">
        <v>21</v>
      </c>
      <c r="M136" s="62"/>
      <c r="N136" s="67"/>
      <c r="O136" s="54"/>
      <c r="P136" s="54"/>
      <c r="Q136" s="54"/>
      <c r="R136" s="68"/>
    </row>
    <row r="137" spans="1:18">
      <c r="A137" s="67">
        <f t="shared" si="36"/>
        <v>122</v>
      </c>
      <c r="B137" s="61">
        <v>46096</v>
      </c>
      <c r="C137" s="54">
        <v>8612063</v>
      </c>
      <c r="D137" s="54">
        <v>73230179</v>
      </c>
      <c r="E137" s="148">
        <v>60.9</v>
      </c>
      <c r="F137" s="239">
        <v>973.39</v>
      </c>
      <c r="G137" s="283">
        <f t="shared" si="33"/>
        <v>931.39</v>
      </c>
      <c r="H137" s="238">
        <f t="shared" si="34"/>
        <v>56721.650999999998</v>
      </c>
      <c r="I137" s="240">
        <v>41464.11</v>
      </c>
      <c r="J137" s="252">
        <f t="shared" si="35"/>
        <v>2525164.2990000001</v>
      </c>
      <c r="K137" s="38" t="s">
        <v>16</v>
      </c>
      <c r="L137" s="39" t="s">
        <v>21</v>
      </c>
      <c r="M137" s="62"/>
      <c r="N137" s="67"/>
      <c r="O137" s="54"/>
      <c r="P137" s="54"/>
      <c r="Q137" s="54"/>
      <c r="R137" s="68"/>
    </row>
    <row r="138" spans="1:18">
      <c r="A138" s="67">
        <f t="shared" si="36"/>
        <v>123</v>
      </c>
      <c r="B138" s="61">
        <v>46096</v>
      </c>
      <c r="C138" s="54">
        <v>8612063</v>
      </c>
      <c r="D138" s="54">
        <v>75217208</v>
      </c>
      <c r="E138" s="148">
        <v>61.1</v>
      </c>
      <c r="F138" s="239">
        <v>973.39</v>
      </c>
      <c r="G138" s="283">
        <f t="shared" si="33"/>
        <v>931.39</v>
      </c>
      <c r="H138" s="238">
        <f t="shared" si="34"/>
        <v>56907.929000000004</v>
      </c>
      <c r="I138" s="240">
        <v>41464.11</v>
      </c>
      <c r="J138" s="252">
        <f t="shared" si="35"/>
        <v>2533457.1210000003</v>
      </c>
      <c r="K138" s="38" t="s">
        <v>16</v>
      </c>
      <c r="L138" s="39" t="s">
        <v>21</v>
      </c>
      <c r="M138" s="62"/>
      <c r="N138" s="67"/>
      <c r="O138" s="54"/>
      <c r="P138" s="54"/>
      <c r="Q138" s="54"/>
      <c r="R138" s="68"/>
    </row>
    <row r="139" spans="1:18">
      <c r="A139" s="67">
        <f t="shared" si="36"/>
        <v>124</v>
      </c>
      <c r="B139" s="61">
        <v>46096</v>
      </c>
      <c r="C139" s="54">
        <v>8612063</v>
      </c>
      <c r="D139" s="54">
        <v>76401595</v>
      </c>
      <c r="E139" s="148">
        <v>60.95</v>
      </c>
      <c r="F139" s="239">
        <v>973.39</v>
      </c>
      <c r="G139" s="283">
        <f t="shared" si="33"/>
        <v>931.39</v>
      </c>
      <c r="H139" s="238">
        <f t="shared" si="34"/>
        <v>56768.220500000003</v>
      </c>
      <c r="I139" s="240">
        <v>41464.11</v>
      </c>
      <c r="J139" s="252">
        <f t="shared" si="35"/>
        <v>2527237.5045000003</v>
      </c>
      <c r="K139" s="38" t="s">
        <v>16</v>
      </c>
      <c r="L139" s="39" t="s">
        <v>21</v>
      </c>
      <c r="M139" s="62"/>
      <c r="N139" s="67"/>
      <c r="O139" s="54"/>
      <c r="P139" s="54"/>
      <c r="Q139" s="54"/>
      <c r="R139" s="68"/>
    </row>
    <row r="140" spans="1:18">
      <c r="A140" s="67">
        <f t="shared" si="36"/>
        <v>125</v>
      </c>
      <c r="B140" s="61">
        <v>46096</v>
      </c>
      <c r="C140" s="54">
        <v>8612063</v>
      </c>
      <c r="D140" s="54">
        <v>51393569</v>
      </c>
      <c r="E140" s="148">
        <v>59.9</v>
      </c>
      <c r="F140" s="239">
        <v>973.39</v>
      </c>
      <c r="G140" s="283">
        <f t="shared" si="33"/>
        <v>931.39</v>
      </c>
      <c r="H140" s="238">
        <f t="shared" si="34"/>
        <v>55790.260999999999</v>
      </c>
      <c r="I140" s="240">
        <v>41464.11</v>
      </c>
      <c r="J140" s="252">
        <f t="shared" si="35"/>
        <v>2483700.1889999998</v>
      </c>
      <c r="K140" s="38" t="s">
        <v>16</v>
      </c>
      <c r="L140" s="39" t="s">
        <v>21</v>
      </c>
      <c r="M140" s="62"/>
      <c r="N140" s="67"/>
      <c r="O140" s="54"/>
      <c r="P140" s="54"/>
      <c r="Q140" s="54"/>
      <c r="R140" s="68"/>
    </row>
    <row r="141" spans="1:18">
      <c r="A141" s="67">
        <f t="shared" si="36"/>
        <v>126</v>
      </c>
      <c r="B141" s="61">
        <v>46096</v>
      </c>
      <c r="C141" s="54">
        <v>8612063</v>
      </c>
      <c r="D141" s="54">
        <v>51812949</v>
      </c>
      <c r="E141" s="148">
        <v>60.3</v>
      </c>
      <c r="F141" s="239">
        <v>973.39</v>
      </c>
      <c r="G141" s="283">
        <f t="shared" si="33"/>
        <v>931.39</v>
      </c>
      <c r="H141" s="238">
        <f t="shared" si="34"/>
        <v>56162.816999999995</v>
      </c>
      <c r="I141" s="240">
        <v>41464.11</v>
      </c>
      <c r="J141" s="252">
        <f t="shared" si="35"/>
        <v>2500285.8330000001</v>
      </c>
      <c r="K141" s="38" t="s">
        <v>16</v>
      </c>
      <c r="L141" s="39" t="s">
        <v>21</v>
      </c>
      <c r="M141" s="62"/>
      <c r="N141" s="67"/>
      <c r="O141" s="54"/>
      <c r="P141" s="54"/>
      <c r="Q141" s="54"/>
      <c r="R141" s="68"/>
    </row>
    <row r="142" spans="1:18">
      <c r="A142" s="67">
        <f t="shared" si="36"/>
        <v>127</v>
      </c>
      <c r="B142" s="61">
        <v>46096</v>
      </c>
      <c r="C142" s="54">
        <v>8612063</v>
      </c>
      <c r="D142" s="54">
        <v>51847200</v>
      </c>
      <c r="E142" s="148">
        <v>60.05</v>
      </c>
      <c r="F142" s="239">
        <v>973.39</v>
      </c>
      <c r="G142" s="283">
        <f t="shared" si="33"/>
        <v>931.39</v>
      </c>
      <c r="H142" s="238">
        <f t="shared" si="34"/>
        <v>55929.969499999999</v>
      </c>
      <c r="I142" s="240">
        <v>41464.11</v>
      </c>
      <c r="J142" s="252">
        <f t="shared" si="35"/>
        <v>2489919.8054999998</v>
      </c>
      <c r="K142" s="38" t="s">
        <v>16</v>
      </c>
      <c r="L142" s="39" t="s">
        <v>21</v>
      </c>
      <c r="M142" s="62"/>
      <c r="N142" s="67"/>
      <c r="O142" s="54"/>
      <c r="P142" s="54"/>
      <c r="Q142" s="54"/>
      <c r="R142" s="68"/>
    </row>
    <row r="143" spans="1:18">
      <c r="A143" s="67">
        <f t="shared" si="36"/>
        <v>128</v>
      </c>
      <c r="B143" s="61">
        <v>46096</v>
      </c>
      <c r="C143" s="54">
        <v>8612063</v>
      </c>
      <c r="D143" s="54">
        <v>54245154</v>
      </c>
      <c r="E143" s="148">
        <v>60.85</v>
      </c>
      <c r="F143" s="239">
        <v>973.39</v>
      </c>
      <c r="G143" s="283">
        <f t="shared" si="33"/>
        <v>931.39</v>
      </c>
      <c r="H143" s="238">
        <f t="shared" si="34"/>
        <v>56675.0815</v>
      </c>
      <c r="I143" s="240">
        <v>41464.11</v>
      </c>
      <c r="J143" s="252">
        <f t="shared" si="35"/>
        <v>2523091.0935</v>
      </c>
      <c r="K143" s="38" t="s">
        <v>16</v>
      </c>
      <c r="L143" s="39" t="s">
        <v>21</v>
      </c>
      <c r="M143" s="62"/>
      <c r="N143" s="67"/>
      <c r="O143" s="54"/>
      <c r="P143" s="54"/>
      <c r="Q143" s="54"/>
      <c r="R143" s="68"/>
    </row>
    <row r="144" spans="1:18">
      <c r="A144" s="67">
        <f t="shared" si="36"/>
        <v>129</v>
      </c>
      <c r="B144" s="61">
        <v>46096</v>
      </c>
      <c r="C144" s="54">
        <v>8612063</v>
      </c>
      <c r="D144" s="54">
        <v>54643358</v>
      </c>
      <c r="E144" s="148">
        <v>60.05</v>
      </c>
      <c r="F144" s="239">
        <v>973.39</v>
      </c>
      <c r="G144" s="283">
        <f t="shared" si="33"/>
        <v>931.39</v>
      </c>
      <c r="H144" s="238">
        <f t="shared" si="34"/>
        <v>55929.969499999999</v>
      </c>
      <c r="I144" s="240">
        <v>41464.11</v>
      </c>
      <c r="J144" s="252">
        <f t="shared" si="35"/>
        <v>2489919.8054999998</v>
      </c>
      <c r="K144" s="38" t="s">
        <v>16</v>
      </c>
      <c r="L144" s="39" t="s">
        <v>21</v>
      </c>
      <c r="M144" s="62"/>
      <c r="N144" s="67"/>
      <c r="O144" s="54"/>
      <c r="P144" s="54"/>
      <c r="Q144" s="54"/>
      <c r="R144" s="68"/>
    </row>
    <row r="145" spans="1:18">
      <c r="A145" s="67">
        <f t="shared" si="36"/>
        <v>130</v>
      </c>
      <c r="B145" s="61">
        <v>46096</v>
      </c>
      <c r="C145" s="54">
        <v>8612063</v>
      </c>
      <c r="D145" s="54">
        <v>54657093</v>
      </c>
      <c r="E145" s="148">
        <v>60.4</v>
      </c>
      <c r="F145" s="239">
        <v>973.39</v>
      </c>
      <c r="G145" s="283">
        <f t="shared" si="33"/>
        <v>931.39</v>
      </c>
      <c r="H145" s="238">
        <f t="shared" si="34"/>
        <v>56255.955999999998</v>
      </c>
      <c r="I145" s="240">
        <v>41464.11</v>
      </c>
      <c r="J145" s="252">
        <f t="shared" si="35"/>
        <v>2504432.2439999999</v>
      </c>
      <c r="K145" s="38" t="s">
        <v>16</v>
      </c>
      <c r="L145" s="39" t="s">
        <v>21</v>
      </c>
      <c r="M145" s="62"/>
      <c r="N145" s="67"/>
      <c r="O145" s="54"/>
      <c r="P145" s="54"/>
      <c r="Q145" s="54"/>
      <c r="R145" s="68"/>
    </row>
    <row r="146" spans="1:18">
      <c r="A146" s="67">
        <f t="shared" si="36"/>
        <v>131</v>
      </c>
      <c r="B146" s="61">
        <v>46096</v>
      </c>
      <c r="C146" s="54">
        <v>8612063</v>
      </c>
      <c r="D146" s="54">
        <v>57072068</v>
      </c>
      <c r="E146" s="148">
        <v>60.15</v>
      </c>
      <c r="F146" s="239">
        <v>973.39</v>
      </c>
      <c r="G146" s="283">
        <f t="shared" si="33"/>
        <v>931.39</v>
      </c>
      <c r="H146" s="238">
        <f t="shared" si="34"/>
        <v>56023.108499999995</v>
      </c>
      <c r="I146" s="240">
        <v>41464.11</v>
      </c>
      <c r="J146" s="252">
        <f t="shared" si="35"/>
        <v>2494066.2165000001</v>
      </c>
      <c r="K146" s="38" t="s">
        <v>16</v>
      </c>
      <c r="L146" s="39" t="s">
        <v>21</v>
      </c>
      <c r="M146" s="62"/>
      <c r="N146" s="67"/>
      <c r="O146" s="54"/>
      <c r="P146" s="54"/>
      <c r="Q146" s="54"/>
      <c r="R146" s="68"/>
    </row>
    <row r="147" spans="1:18">
      <c r="A147" s="67">
        <f t="shared" si="36"/>
        <v>132</v>
      </c>
      <c r="B147" s="61">
        <v>46096</v>
      </c>
      <c r="C147" s="54">
        <v>8612063</v>
      </c>
      <c r="D147" s="54">
        <v>57135113</v>
      </c>
      <c r="E147" s="148">
        <v>60.1</v>
      </c>
      <c r="F147" s="239">
        <v>973.39</v>
      </c>
      <c r="G147" s="283">
        <f t="shared" si="33"/>
        <v>931.39</v>
      </c>
      <c r="H147" s="238">
        <f t="shared" si="34"/>
        <v>55976.538999999997</v>
      </c>
      <c r="I147" s="240">
        <v>41464.11</v>
      </c>
      <c r="J147" s="252">
        <f t="shared" si="35"/>
        <v>2491993.0109999999</v>
      </c>
      <c r="K147" s="38" t="s">
        <v>16</v>
      </c>
      <c r="L147" s="39" t="s">
        <v>21</v>
      </c>
      <c r="M147" s="62"/>
      <c r="N147" s="67"/>
      <c r="O147" s="54"/>
      <c r="P147" s="54"/>
      <c r="Q147" s="54"/>
      <c r="R147" s="68"/>
    </row>
    <row r="148" spans="1:18">
      <c r="A148" s="67">
        <f t="shared" si="36"/>
        <v>133</v>
      </c>
      <c r="B148" s="61">
        <v>46096</v>
      </c>
      <c r="C148" s="54">
        <v>8612063</v>
      </c>
      <c r="D148" s="54">
        <v>73147183</v>
      </c>
      <c r="E148" s="148">
        <v>60.65</v>
      </c>
      <c r="F148" s="239">
        <v>973.39</v>
      </c>
      <c r="G148" s="283">
        <f t="shared" si="33"/>
        <v>931.39</v>
      </c>
      <c r="H148" s="238">
        <f t="shared" si="34"/>
        <v>56488.803499999995</v>
      </c>
      <c r="I148" s="240">
        <v>41464.11</v>
      </c>
      <c r="J148" s="252">
        <f t="shared" si="35"/>
        <v>2514798.2714999998</v>
      </c>
      <c r="K148" s="38" t="s">
        <v>16</v>
      </c>
      <c r="L148" s="39" t="s">
        <v>21</v>
      </c>
      <c r="M148" s="62"/>
      <c r="N148" s="67"/>
      <c r="O148" s="54"/>
      <c r="P148" s="54"/>
      <c r="Q148" s="54"/>
      <c r="R148" s="68"/>
    </row>
    <row r="149" spans="1:18">
      <c r="A149" s="67">
        <f t="shared" si="36"/>
        <v>134</v>
      </c>
      <c r="B149" s="61">
        <v>46096</v>
      </c>
      <c r="C149" s="54">
        <v>8612063</v>
      </c>
      <c r="D149" s="54">
        <v>73902736</v>
      </c>
      <c r="E149" s="148">
        <v>60.35</v>
      </c>
      <c r="F149" s="239">
        <v>973.39</v>
      </c>
      <c r="G149" s="283">
        <f t="shared" si="33"/>
        <v>931.39</v>
      </c>
      <c r="H149" s="238">
        <f t="shared" si="34"/>
        <v>56209.386500000001</v>
      </c>
      <c r="I149" s="240">
        <v>41464.11</v>
      </c>
      <c r="J149" s="252">
        <f t="shared" si="35"/>
        <v>2502359.0385000003</v>
      </c>
      <c r="K149" s="38" t="s">
        <v>16</v>
      </c>
      <c r="L149" s="39" t="s">
        <v>21</v>
      </c>
      <c r="M149" s="62"/>
      <c r="N149" s="67"/>
      <c r="O149" s="54"/>
      <c r="P149" s="54"/>
      <c r="Q149" s="54"/>
      <c r="R149" s="68"/>
    </row>
    <row r="150" spans="1:18">
      <c r="A150" s="67">
        <f t="shared" si="36"/>
        <v>135</v>
      </c>
      <c r="B150" s="61">
        <v>46096</v>
      </c>
      <c r="C150" s="54">
        <v>8612063</v>
      </c>
      <c r="D150" s="54">
        <v>74951047</v>
      </c>
      <c r="E150" s="148">
        <v>60.15</v>
      </c>
      <c r="F150" s="239">
        <v>973.39</v>
      </c>
      <c r="G150" s="283">
        <f t="shared" si="33"/>
        <v>931.39</v>
      </c>
      <c r="H150" s="238">
        <f t="shared" si="34"/>
        <v>56023.108499999995</v>
      </c>
      <c r="I150" s="240">
        <v>41464.11</v>
      </c>
      <c r="J150" s="252">
        <f t="shared" si="35"/>
        <v>2494066.2165000001</v>
      </c>
      <c r="K150" s="38" t="s">
        <v>16</v>
      </c>
      <c r="L150" s="39" t="s">
        <v>21</v>
      </c>
      <c r="M150" s="62"/>
      <c r="N150" s="67"/>
      <c r="O150" s="54"/>
      <c r="P150" s="54"/>
      <c r="Q150" s="54"/>
      <c r="R150" s="68"/>
    </row>
    <row r="151" spans="1:18">
      <c r="A151" s="67">
        <f t="shared" si="36"/>
        <v>136</v>
      </c>
      <c r="B151" s="61">
        <v>46096</v>
      </c>
      <c r="C151" s="54">
        <v>8612063</v>
      </c>
      <c r="D151" s="54">
        <v>75032938</v>
      </c>
      <c r="E151" s="148">
        <v>60.85</v>
      </c>
      <c r="F151" s="239">
        <v>973.39</v>
      </c>
      <c r="G151" s="283">
        <f t="shared" si="33"/>
        <v>931.39</v>
      </c>
      <c r="H151" s="238">
        <f t="shared" si="34"/>
        <v>56675.0815</v>
      </c>
      <c r="I151" s="240">
        <v>41464.11</v>
      </c>
      <c r="J151" s="252">
        <f t="shared" si="35"/>
        <v>2523091.0935</v>
      </c>
      <c r="K151" s="38" t="s">
        <v>16</v>
      </c>
      <c r="L151" s="39" t="s">
        <v>21</v>
      </c>
      <c r="M151" s="62"/>
      <c r="N151" s="67"/>
      <c r="O151" s="54"/>
      <c r="P151" s="54"/>
      <c r="Q151" s="54"/>
      <c r="R151" s="68"/>
    </row>
    <row r="152" spans="1:18">
      <c r="A152" s="67">
        <f t="shared" si="36"/>
        <v>137</v>
      </c>
      <c r="B152" s="61">
        <v>46096</v>
      </c>
      <c r="C152" s="54">
        <v>8612063</v>
      </c>
      <c r="D152" s="54">
        <v>75102376</v>
      </c>
      <c r="E152" s="148">
        <v>61</v>
      </c>
      <c r="F152" s="239">
        <v>973.39</v>
      </c>
      <c r="G152" s="283">
        <f t="shared" si="33"/>
        <v>931.39</v>
      </c>
      <c r="H152" s="238">
        <f t="shared" si="34"/>
        <v>56814.79</v>
      </c>
      <c r="I152" s="240">
        <v>41464.11</v>
      </c>
      <c r="J152" s="252">
        <f t="shared" si="35"/>
        <v>2529310.71</v>
      </c>
      <c r="K152" s="38" t="s">
        <v>16</v>
      </c>
      <c r="L152" s="39" t="s">
        <v>21</v>
      </c>
      <c r="M152" s="62"/>
      <c r="N152" s="67"/>
      <c r="O152" s="54"/>
      <c r="P152" s="54"/>
      <c r="Q152" s="54"/>
      <c r="R152" s="68"/>
    </row>
    <row r="153" spans="1:18">
      <c r="A153" s="67">
        <f t="shared" si="36"/>
        <v>138</v>
      </c>
      <c r="B153" s="61">
        <v>46096</v>
      </c>
      <c r="C153" s="54">
        <v>8612063</v>
      </c>
      <c r="D153" s="54">
        <v>75180182</v>
      </c>
      <c r="E153" s="148">
        <v>61.6</v>
      </c>
      <c r="F153" s="239">
        <v>973.39</v>
      </c>
      <c r="G153" s="283">
        <f t="shared" si="33"/>
        <v>931.39</v>
      </c>
      <c r="H153" s="238">
        <f t="shared" si="34"/>
        <v>57373.624000000003</v>
      </c>
      <c r="I153" s="240">
        <v>41464.11</v>
      </c>
      <c r="J153" s="252">
        <f t="shared" si="35"/>
        <v>2554189.176</v>
      </c>
      <c r="K153" s="38" t="s">
        <v>16</v>
      </c>
      <c r="L153" s="39" t="s">
        <v>21</v>
      </c>
      <c r="M153" s="62"/>
      <c r="N153" s="67"/>
      <c r="O153" s="54"/>
      <c r="P153" s="54"/>
      <c r="Q153" s="54"/>
      <c r="R153" s="68"/>
    </row>
    <row r="154" spans="1:18">
      <c r="A154" s="67">
        <f t="shared" si="36"/>
        <v>139</v>
      </c>
      <c r="B154" s="61">
        <v>46096</v>
      </c>
      <c r="C154" s="54">
        <v>8612063</v>
      </c>
      <c r="D154" s="54">
        <v>76815083</v>
      </c>
      <c r="E154" s="148">
        <v>60.85</v>
      </c>
      <c r="F154" s="239">
        <v>973.39</v>
      </c>
      <c r="G154" s="283">
        <f t="shared" si="33"/>
        <v>931.39</v>
      </c>
      <c r="H154" s="238">
        <f t="shared" si="34"/>
        <v>56675.0815</v>
      </c>
      <c r="I154" s="240">
        <v>41464.11</v>
      </c>
      <c r="J154" s="252">
        <f t="shared" si="35"/>
        <v>2523091.0935</v>
      </c>
      <c r="K154" s="38" t="s">
        <v>16</v>
      </c>
      <c r="L154" s="39" t="s">
        <v>21</v>
      </c>
      <c r="M154" s="62"/>
      <c r="N154" s="67"/>
      <c r="O154" s="54"/>
      <c r="P154" s="54"/>
      <c r="Q154" s="54"/>
      <c r="R154" s="68"/>
    </row>
    <row r="155" spans="1:18">
      <c r="A155" s="67">
        <f t="shared" si="36"/>
        <v>140</v>
      </c>
      <c r="B155" s="61">
        <v>46096</v>
      </c>
      <c r="C155" s="54">
        <v>8612063</v>
      </c>
      <c r="D155" s="54">
        <v>51340594</v>
      </c>
      <c r="E155" s="148">
        <v>51.95</v>
      </c>
      <c r="F155" s="239">
        <v>973.39</v>
      </c>
      <c r="G155" s="283">
        <f t="shared" si="33"/>
        <v>931.39</v>
      </c>
      <c r="H155" s="238">
        <f t="shared" si="34"/>
        <v>48385.710500000001</v>
      </c>
      <c r="I155" s="240">
        <v>41464.11</v>
      </c>
      <c r="J155" s="252">
        <f t="shared" si="35"/>
        <v>2154060.5145</v>
      </c>
      <c r="K155" s="38" t="s">
        <v>16</v>
      </c>
      <c r="L155" s="39" t="s">
        <v>21</v>
      </c>
      <c r="M155" s="62"/>
      <c r="N155" s="67"/>
      <c r="O155" s="54"/>
      <c r="P155" s="54"/>
      <c r="Q155" s="54"/>
      <c r="R155" s="68"/>
    </row>
    <row r="156" spans="1:18">
      <c r="A156" s="67">
        <f t="shared" si="36"/>
        <v>141</v>
      </c>
      <c r="B156" s="61">
        <v>46096</v>
      </c>
      <c r="C156" s="54">
        <v>8612063</v>
      </c>
      <c r="D156" s="54">
        <v>51341899</v>
      </c>
      <c r="E156" s="148">
        <v>51.9</v>
      </c>
      <c r="F156" s="239">
        <v>973.39</v>
      </c>
      <c r="G156" s="283">
        <f t="shared" si="33"/>
        <v>931.39</v>
      </c>
      <c r="H156" s="238">
        <f t="shared" si="34"/>
        <v>48339.140999999996</v>
      </c>
      <c r="I156" s="240">
        <v>41464.11</v>
      </c>
      <c r="J156" s="252">
        <f t="shared" si="35"/>
        <v>2151987.3089999999</v>
      </c>
      <c r="K156" s="38" t="s">
        <v>16</v>
      </c>
      <c r="L156" s="39" t="s">
        <v>21</v>
      </c>
      <c r="M156" s="62"/>
      <c r="N156" s="67"/>
      <c r="O156" s="54"/>
      <c r="P156" s="54"/>
      <c r="Q156" s="54"/>
      <c r="R156" s="68"/>
    </row>
    <row r="157" spans="1:18">
      <c r="A157" s="67">
        <f t="shared" si="36"/>
        <v>142</v>
      </c>
      <c r="B157" s="61">
        <v>46096</v>
      </c>
      <c r="C157" s="54">
        <v>8612063</v>
      </c>
      <c r="D157" s="54">
        <v>51346492</v>
      </c>
      <c r="E157" s="148">
        <v>52.15</v>
      </c>
      <c r="F157" s="239">
        <v>973.39</v>
      </c>
      <c r="G157" s="283">
        <f t="shared" si="33"/>
        <v>931.39</v>
      </c>
      <c r="H157" s="238">
        <f t="shared" si="34"/>
        <v>48571.988499999999</v>
      </c>
      <c r="I157" s="240">
        <v>41464.11</v>
      </c>
      <c r="J157" s="252">
        <f t="shared" si="35"/>
        <v>2162353.3364999997</v>
      </c>
      <c r="K157" s="38" t="s">
        <v>16</v>
      </c>
      <c r="L157" s="39" t="s">
        <v>21</v>
      </c>
      <c r="M157" s="62"/>
      <c r="N157" s="67"/>
      <c r="O157" s="54"/>
      <c r="P157" s="54"/>
      <c r="Q157" s="54"/>
      <c r="R157" s="68"/>
    </row>
    <row r="158" spans="1:18">
      <c r="A158" s="67">
        <f t="shared" si="36"/>
        <v>143</v>
      </c>
      <c r="B158" s="61">
        <v>46096</v>
      </c>
      <c r="C158" s="54">
        <v>8612063</v>
      </c>
      <c r="D158" s="54">
        <v>51346898</v>
      </c>
      <c r="E158" s="148">
        <v>51.95</v>
      </c>
      <c r="F158" s="239">
        <v>973.39</v>
      </c>
      <c r="G158" s="283">
        <f t="shared" si="33"/>
        <v>931.39</v>
      </c>
      <c r="H158" s="238">
        <f t="shared" si="34"/>
        <v>48385.710500000001</v>
      </c>
      <c r="I158" s="240">
        <v>41464.11</v>
      </c>
      <c r="J158" s="252">
        <f t="shared" si="35"/>
        <v>2154060.5145</v>
      </c>
      <c r="K158" s="38" t="s">
        <v>16</v>
      </c>
      <c r="L158" s="39" t="s">
        <v>21</v>
      </c>
      <c r="M158" s="62"/>
      <c r="N158" s="67"/>
      <c r="O158" s="54"/>
      <c r="P158" s="54"/>
      <c r="Q158" s="54"/>
      <c r="R158" s="68"/>
    </row>
    <row r="159" spans="1:18">
      <c r="A159" s="67">
        <f t="shared" si="36"/>
        <v>144</v>
      </c>
      <c r="B159" s="61">
        <v>46096</v>
      </c>
      <c r="C159" s="54">
        <v>8612063</v>
      </c>
      <c r="D159" s="54">
        <v>51347797</v>
      </c>
      <c r="E159" s="148">
        <v>51.8</v>
      </c>
      <c r="F159" s="239">
        <v>973.39</v>
      </c>
      <c r="G159" s="283">
        <f t="shared" si="33"/>
        <v>931.39</v>
      </c>
      <c r="H159" s="238">
        <f t="shared" si="34"/>
        <v>48246.001999999993</v>
      </c>
      <c r="I159" s="240">
        <v>41464.11</v>
      </c>
      <c r="J159" s="252">
        <f t="shared" si="35"/>
        <v>2147840.898</v>
      </c>
      <c r="K159" s="38" t="s">
        <v>16</v>
      </c>
      <c r="L159" s="39" t="s">
        <v>21</v>
      </c>
      <c r="M159" s="62"/>
      <c r="N159" s="67"/>
      <c r="O159" s="54"/>
      <c r="P159" s="54"/>
      <c r="Q159" s="54"/>
      <c r="R159" s="68"/>
    </row>
    <row r="160" spans="1:18">
      <c r="A160" s="67">
        <f t="shared" si="36"/>
        <v>145</v>
      </c>
      <c r="B160" s="61">
        <v>46096</v>
      </c>
      <c r="C160" s="54">
        <v>8612063</v>
      </c>
      <c r="D160" s="54">
        <v>51684942</v>
      </c>
      <c r="E160" s="148">
        <v>51.9</v>
      </c>
      <c r="F160" s="239">
        <v>973.39</v>
      </c>
      <c r="G160" s="283">
        <f t="shared" si="33"/>
        <v>931.39</v>
      </c>
      <c r="H160" s="238">
        <f t="shared" si="34"/>
        <v>48339.140999999996</v>
      </c>
      <c r="I160" s="240">
        <v>41464.11</v>
      </c>
      <c r="J160" s="252">
        <f t="shared" si="35"/>
        <v>2151987.3089999999</v>
      </c>
      <c r="K160" s="38" t="s">
        <v>16</v>
      </c>
      <c r="L160" s="39" t="s">
        <v>21</v>
      </c>
      <c r="M160" s="62"/>
      <c r="N160" s="67"/>
      <c r="O160" s="54"/>
      <c r="P160" s="54"/>
      <c r="Q160" s="54"/>
      <c r="R160" s="68"/>
    </row>
    <row r="161" spans="1:18">
      <c r="A161" s="67">
        <f t="shared" si="36"/>
        <v>146</v>
      </c>
      <c r="B161" s="61">
        <v>46096</v>
      </c>
      <c r="C161" s="54">
        <v>8612063</v>
      </c>
      <c r="D161" s="54">
        <v>51685147</v>
      </c>
      <c r="E161" s="148">
        <v>51.9</v>
      </c>
      <c r="F161" s="239">
        <v>973.39</v>
      </c>
      <c r="G161" s="283">
        <f t="shared" si="33"/>
        <v>931.39</v>
      </c>
      <c r="H161" s="238">
        <f t="shared" si="34"/>
        <v>48339.140999999996</v>
      </c>
      <c r="I161" s="240">
        <v>41464.11</v>
      </c>
      <c r="J161" s="252">
        <f t="shared" si="35"/>
        <v>2151987.3089999999</v>
      </c>
      <c r="K161" s="38" t="s">
        <v>16</v>
      </c>
      <c r="L161" s="39" t="s">
        <v>21</v>
      </c>
      <c r="M161" s="62"/>
      <c r="N161" s="67"/>
      <c r="O161" s="54"/>
      <c r="P161" s="54"/>
      <c r="Q161" s="54"/>
      <c r="R161" s="68"/>
    </row>
    <row r="162" spans="1:18">
      <c r="A162" s="67">
        <f t="shared" si="36"/>
        <v>147</v>
      </c>
      <c r="B162" s="61">
        <v>46096</v>
      </c>
      <c r="C162" s="54">
        <v>8612063</v>
      </c>
      <c r="D162" s="54">
        <v>51685543</v>
      </c>
      <c r="E162" s="148">
        <v>51.95</v>
      </c>
      <c r="F162" s="239">
        <v>973.39</v>
      </c>
      <c r="G162" s="283">
        <f t="shared" si="33"/>
        <v>931.39</v>
      </c>
      <c r="H162" s="238">
        <f t="shared" si="34"/>
        <v>48385.710500000001</v>
      </c>
      <c r="I162" s="240">
        <v>41464.11</v>
      </c>
      <c r="J162" s="252">
        <f t="shared" si="35"/>
        <v>2154060.5145</v>
      </c>
      <c r="K162" s="38" t="s">
        <v>16</v>
      </c>
      <c r="L162" s="39" t="s">
        <v>21</v>
      </c>
      <c r="M162" s="62"/>
      <c r="N162" s="67"/>
      <c r="O162" s="54"/>
      <c r="P162" s="54"/>
      <c r="Q162" s="54"/>
      <c r="R162" s="68"/>
    </row>
    <row r="163" spans="1:18" ht="14.4" thickBot="1">
      <c r="A163" s="88">
        <f t="shared" si="36"/>
        <v>148</v>
      </c>
      <c r="B163" s="90">
        <v>46096</v>
      </c>
      <c r="C163" s="55">
        <v>8612063</v>
      </c>
      <c r="D163" s="55">
        <v>51709749</v>
      </c>
      <c r="E163" s="152">
        <v>51.85</v>
      </c>
      <c r="F163" s="239">
        <v>973.39</v>
      </c>
      <c r="G163" s="275">
        <f t="shared" si="33"/>
        <v>931.39</v>
      </c>
      <c r="H163" s="254">
        <f t="shared" si="34"/>
        <v>48292.571499999998</v>
      </c>
      <c r="I163" s="255">
        <v>41464.11</v>
      </c>
      <c r="J163" s="256">
        <f t="shared" si="35"/>
        <v>2149914.1035000002</v>
      </c>
      <c r="K163" s="58" t="s">
        <v>16</v>
      </c>
      <c r="L163" s="59" t="s">
        <v>21</v>
      </c>
      <c r="M163" s="63"/>
      <c r="N163" s="69"/>
      <c r="O163" s="70"/>
      <c r="P163" s="70"/>
      <c r="Q163" s="70"/>
      <c r="R163" s="71"/>
    </row>
    <row r="164" spans="1:18" ht="14.4" thickBot="1">
      <c r="A164" s="116"/>
      <c r="B164" s="117"/>
      <c r="C164" s="117"/>
      <c r="D164" s="117"/>
      <c r="E164" s="118">
        <f>SUM(E131:E163)</f>
        <v>1901.05</v>
      </c>
      <c r="F164" s="117"/>
      <c r="G164" s="117"/>
      <c r="H164" s="159">
        <f>SUM(H131:H163)</f>
        <v>1770618.9595000008</v>
      </c>
      <c r="I164" s="176"/>
      <c r="J164" s="248">
        <f>SUM(J131:J163)</f>
        <v>78825346.315500021</v>
      </c>
      <c r="K164" s="117"/>
      <c r="L164" s="119"/>
      <c r="M164" s="125"/>
      <c r="N164" s="169"/>
      <c r="O164" s="167"/>
      <c r="P164" s="167"/>
      <c r="Q164" s="167"/>
      <c r="R164" s="170"/>
    </row>
    <row r="165" spans="1:18">
      <c r="A165" s="64">
        <v>149</v>
      </c>
      <c r="B165" s="87">
        <v>46098</v>
      </c>
      <c r="C165" s="65">
        <v>8612088</v>
      </c>
      <c r="D165" s="65">
        <v>50193531</v>
      </c>
      <c r="E165" s="150">
        <v>60.7</v>
      </c>
      <c r="F165" s="239">
        <v>973.39</v>
      </c>
      <c r="G165" s="243">
        <f t="shared" ref="G165:G181" si="37">F165-42</f>
        <v>931.39</v>
      </c>
      <c r="H165" s="242">
        <f t="shared" ref="H165:H182" si="38">E165*G165</f>
        <v>56535.373</v>
      </c>
      <c r="I165" s="244">
        <v>41464.11</v>
      </c>
      <c r="J165" s="251">
        <f t="shared" ref="J165:J182" si="39">E165*I165</f>
        <v>2516871.477</v>
      </c>
      <c r="K165" s="95" t="s">
        <v>16</v>
      </c>
      <c r="L165" s="96" t="s">
        <v>21</v>
      </c>
      <c r="M165" s="102"/>
      <c r="N165" s="64"/>
      <c r="O165" s="65"/>
      <c r="P165" s="65"/>
      <c r="Q165" s="65"/>
      <c r="R165" s="66"/>
    </row>
    <row r="166" spans="1:18">
      <c r="A166" s="67">
        <f>A165+1</f>
        <v>150</v>
      </c>
      <c r="B166" s="61">
        <v>46098</v>
      </c>
      <c r="C166" s="54">
        <v>8612088</v>
      </c>
      <c r="D166" s="54">
        <v>51181402</v>
      </c>
      <c r="E166" s="148">
        <v>60.15</v>
      </c>
      <c r="F166" s="239">
        <v>973.39</v>
      </c>
      <c r="G166" s="283">
        <f t="shared" si="37"/>
        <v>931.39</v>
      </c>
      <c r="H166" s="238">
        <f t="shared" si="38"/>
        <v>56023.108499999995</v>
      </c>
      <c r="I166" s="240">
        <v>41464.11</v>
      </c>
      <c r="J166" s="252">
        <f t="shared" si="39"/>
        <v>2494066.2165000001</v>
      </c>
      <c r="K166" s="38" t="s">
        <v>16</v>
      </c>
      <c r="L166" s="39" t="s">
        <v>21</v>
      </c>
      <c r="M166" s="62"/>
      <c r="N166" s="67"/>
      <c r="O166" s="54"/>
      <c r="P166" s="54"/>
      <c r="Q166" s="54"/>
      <c r="R166" s="68"/>
    </row>
    <row r="167" spans="1:18">
      <c r="A167" s="67">
        <f t="shared" ref="A167:A182" si="40">A166+1</f>
        <v>151</v>
      </c>
      <c r="B167" s="61">
        <v>46098</v>
      </c>
      <c r="C167" s="54">
        <v>8612088</v>
      </c>
      <c r="D167" s="54">
        <v>53924049</v>
      </c>
      <c r="E167" s="148">
        <v>60.2</v>
      </c>
      <c r="F167" s="239">
        <v>973.39</v>
      </c>
      <c r="G167" s="283">
        <f t="shared" si="37"/>
        <v>931.39</v>
      </c>
      <c r="H167" s="238">
        <f t="shared" si="38"/>
        <v>56069.678</v>
      </c>
      <c r="I167" s="240">
        <v>41464.11</v>
      </c>
      <c r="J167" s="252">
        <f t="shared" si="39"/>
        <v>2496139.4220000003</v>
      </c>
      <c r="K167" s="38" t="s">
        <v>16</v>
      </c>
      <c r="L167" s="39" t="s">
        <v>21</v>
      </c>
      <c r="M167" s="62"/>
      <c r="N167" s="67"/>
      <c r="O167" s="54"/>
      <c r="P167" s="54"/>
      <c r="Q167" s="54"/>
      <c r="R167" s="68"/>
    </row>
    <row r="168" spans="1:18">
      <c r="A168" s="67">
        <f t="shared" si="40"/>
        <v>152</v>
      </c>
      <c r="B168" s="61">
        <v>46098</v>
      </c>
      <c r="C168" s="54">
        <v>8612088</v>
      </c>
      <c r="D168" s="54">
        <v>53987962</v>
      </c>
      <c r="E168" s="148">
        <v>59.85</v>
      </c>
      <c r="F168" s="239">
        <v>973.39</v>
      </c>
      <c r="G168" s="283">
        <f t="shared" si="37"/>
        <v>931.39</v>
      </c>
      <c r="H168" s="238">
        <f t="shared" si="38"/>
        <v>55743.691500000001</v>
      </c>
      <c r="I168" s="240">
        <v>41464.11</v>
      </c>
      <c r="J168" s="252">
        <f t="shared" si="39"/>
        <v>2481626.9835000001</v>
      </c>
      <c r="K168" s="38" t="s">
        <v>16</v>
      </c>
      <c r="L168" s="39" t="s">
        <v>21</v>
      </c>
      <c r="M168" s="62"/>
      <c r="N168" s="67"/>
      <c r="O168" s="54"/>
      <c r="P168" s="54"/>
      <c r="Q168" s="54"/>
      <c r="R168" s="68"/>
    </row>
    <row r="169" spans="1:18">
      <c r="A169" s="67">
        <f t="shared" si="40"/>
        <v>153</v>
      </c>
      <c r="B169" s="61">
        <v>46098</v>
      </c>
      <c r="C169" s="54">
        <v>8612088</v>
      </c>
      <c r="D169" s="54">
        <v>54098215</v>
      </c>
      <c r="E169" s="148">
        <v>60.1</v>
      </c>
      <c r="F169" s="239">
        <v>973.39</v>
      </c>
      <c r="G169" s="283">
        <f t="shared" si="37"/>
        <v>931.39</v>
      </c>
      <c r="H169" s="238">
        <f t="shared" si="38"/>
        <v>55976.538999999997</v>
      </c>
      <c r="I169" s="240">
        <v>41464.11</v>
      </c>
      <c r="J169" s="252">
        <f t="shared" si="39"/>
        <v>2491993.0109999999</v>
      </c>
      <c r="K169" s="38" t="s">
        <v>16</v>
      </c>
      <c r="L169" s="39" t="s">
        <v>21</v>
      </c>
      <c r="M169" s="62"/>
      <c r="N169" s="67"/>
      <c r="O169" s="54"/>
      <c r="P169" s="54"/>
      <c r="Q169" s="54"/>
      <c r="R169" s="68"/>
    </row>
    <row r="170" spans="1:18">
      <c r="A170" s="67">
        <f t="shared" si="40"/>
        <v>154</v>
      </c>
      <c r="B170" s="61">
        <v>46098</v>
      </c>
      <c r="C170" s="54">
        <v>8612088</v>
      </c>
      <c r="D170" s="54">
        <v>54098579</v>
      </c>
      <c r="E170" s="148">
        <v>60.2</v>
      </c>
      <c r="F170" s="239">
        <v>973.39</v>
      </c>
      <c r="G170" s="283">
        <f t="shared" si="37"/>
        <v>931.39</v>
      </c>
      <c r="H170" s="238">
        <f t="shared" si="38"/>
        <v>56069.678</v>
      </c>
      <c r="I170" s="240">
        <v>41464.11</v>
      </c>
      <c r="J170" s="252">
        <f t="shared" si="39"/>
        <v>2496139.4220000003</v>
      </c>
      <c r="K170" s="38" t="s">
        <v>16</v>
      </c>
      <c r="L170" s="39" t="s">
        <v>21</v>
      </c>
      <c r="M170" s="62"/>
      <c r="N170" s="67"/>
      <c r="O170" s="54"/>
      <c r="P170" s="54"/>
      <c r="Q170" s="54"/>
      <c r="R170" s="68"/>
    </row>
    <row r="171" spans="1:18">
      <c r="A171" s="67">
        <f t="shared" si="40"/>
        <v>155</v>
      </c>
      <c r="B171" s="61">
        <v>46098</v>
      </c>
      <c r="C171" s="54">
        <v>8612088</v>
      </c>
      <c r="D171" s="54">
        <v>55945828</v>
      </c>
      <c r="E171" s="148">
        <v>60.5</v>
      </c>
      <c r="F171" s="239">
        <v>973.39</v>
      </c>
      <c r="G171" s="283">
        <f t="shared" si="37"/>
        <v>931.39</v>
      </c>
      <c r="H171" s="238">
        <f t="shared" si="38"/>
        <v>56349.095000000001</v>
      </c>
      <c r="I171" s="240">
        <v>41464.11</v>
      </c>
      <c r="J171" s="252">
        <f t="shared" si="39"/>
        <v>2508578.6550000003</v>
      </c>
      <c r="K171" s="38" t="s">
        <v>16</v>
      </c>
      <c r="L171" s="39" t="s">
        <v>21</v>
      </c>
      <c r="M171" s="62"/>
      <c r="N171" s="67"/>
      <c r="O171" s="54"/>
      <c r="P171" s="54"/>
      <c r="Q171" s="54"/>
      <c r="R171" s="68"/>
    </row>
    <row r="172" spans="1:18">
      <c r="A172" s="67">
        <f t="shared" si="40"/>
        <v>156</v>
      </c>
      <c r="B172" s="61">
        <v>46098</v>
      </c>
      <c r="C172" s="54">
        <v>8612088</v>
      </c>
      <c r="D172" s="54">
        <v>57371445</v>
      </c>
      <c r="E172" s="148">
        <v>60.55</v>
      </c>
      <c r="F172" s="239">
        <v>973.39</v>
      </c>
      <c r="G172" s="283">
        <f t="shared" si="37"/>
        <v>931.39</v>
      </c>
      <c r="H172" s="238">
        <f t="shared" si="38"/>
        <v>56395.664499999999</v>
      </c>
      <c r="I172" s="240">
        <v>41464.11</v>
      </c>
      <c r="J172" s="252">
        <f t="shared" si="39"/>
        <v>2510651.8605</v>
      </c>
      <c r="K172" s="38" t="s">
        <v>16</v>
      </c>
      <c r="L172" s="39" t="s">
        <v>21</v>
      </c>
      <c r="M172" s="62"/>
      <c r="N172" s="67"/>
      <c r="O172" s="54"/>
      <c r="P172" s="54"/>
      <c r="Q172" s="54"/>
      <c r="R172" s="68"/>
    </row>
    <row r="173" spans="1:18">
      <c r="A173" s="67">
        <f t="shared" si="40"/>
        <v>157</v>
      </c>
      <c r="B173" s="61">
        <v>46098</v>
      </c>
      <c r="C173" s="54">
        <v>8612088</v>
      </c>
      <c r="D173" s="54">
        <v>57422792</v>
      </c>
      <c r="E173" s="148">
        <v>59.8</v>
      </c>
      <c r="F173" s="239">
        <v>973.39</v>
      </c>
      <c r="G173" s="283">
        <f t="shared" si="37"/>
        <v>931.39</v>
      </c>
      <c r="H173" s="238">
        <f t="shared" si="38"/>
        <v>55697.121999999996</v>
      </c>
      <c r="I173" s="240">
        <v>41464.11</v>
      </c>
      <c r="J173" s="252">
        <f t="shared" si="39"/>
        <v>2479553.7779999999</v>
      </c>
      <c r="K173" s="38" t="s">
        <v>16</v>
      </c>
      <c r="L173" s="39" t="s">
        <v>21</v>
      </c>
      <c r="M173" s="62"/>
      <c r="N173" s="67"/>
      <c r="O173" s="54"/>
      <c r="P173" s="54"/>
      <c r="Q173" s="54"/>
      <c r="R173" s="68"/>
    </row>
    <row r="174" spans="1:18">
      <c r="A174" s="67">
        <f t="shared" si="40"/>
        <v>158</v>
      </c>
      <c r="B174" s="61">
        <v>46098</v>
      </c>
      <c r="C174" s="54">
        <v>8612088</v>
      </c>
      <c r="D174" s="54">
        <v>71048235</v>
      </c>
      <c r="E174" s="148">
        <v>59.95</v>
      </c>
      <c r="F174" s="239">
        <v>973.39</v>
      </c>
      <c r="G174" s="283">
        <f t="shared" si="37"/>
        <v>931.39</v>
      </c>
      <c r="H174" s="238">
        <f t="shared" si="38"/>
        <v>55836.830500000004</v>
      </c>
      <c r="I174" s="240">
        <v>41464.11</v>
      </c>
      <c r="J174" s="252">
        <f t="shared" si="39"/>
        <v>2485773.3944999999</v>
      </c>
      <c r="K174" s="38" t="s">
        <v>16</v>
      </c>
      <c r="L174" s="39" t="s">
        <v>21</v>
      </c>
      <c r="M174" s="62"/>
      <c r="N174" s="67"/>
      <c r="O174" s="54"/>
      <c r="P174" s="54"/>
      <c r="Q174" s="54"/>
      <c r="R174" s="68"/>
    </row>
    <row r="175" spans="1:18">
      <c r="A175" s="67">
        <f t="shared" si="40"/>
        <v>159</v>
      </c>
      <c r="B175" s="61">
        <v>46098</v>
      </c>
      <c r="C175" s="54">
        <v>8612088</v>
      </c>
      <c r="D175" s="54">
        <v>73138042</v>
      </c>
      <c r="E175" s="148">
        <v>60.6</v>
      </c>
      <c r="F175" s="239">
        <v>973.39</v>
      </c>
      <c r="G175" s="283">
        <f t="shared" si="37"/>
        <v>931.39</v>
      </c>
      <c r="H175" s="238">
        <f t="shared" si="38"/>
        <v>56442.234000000004</v>
      </c>
      <c r="I175" s="240">
        <v>41464.11</v>
      </c>
      <c r="J175" s="252">
        <f t="shared" si="39"/>
        <v>2512725.0660000001</v>
      </c>
      <c r="K175" s="38" t="s">
        <v>16</v>
      </c>
      <c r="L175" s="39" t="s">
        <v>21</v>
      </c>
      <c r="M175" s="62"/>
      <c r="N175" s="67"/>
      <c r="O175" s="54"/>
      <c r="P175" s="54"/>
      <c r="Q175" s="54"/>
      <c r="R175" s="68"/>
    </row>
    <row r="176" spans="1:18">
      <c r="A176" s="67">
        <f t="shared" si="40"/>
        <v>160</v>
      </c>
      <c r="B176" s="61">
        <v>46098</v>
      </c>
      <c r="C176" s="54">
        <v>8612088</v>
      </c>
      <c r="D176" s="54">
        <v>73195927</v>
      </c>
      <c r="E176" s="148">
        <v>60.75</v>
      </c>
      <c r="F176" s="239">
        <v>973.39</v>
      </c>
      <c r="G176" s="283">
        <f t="shared" si="37"/>
        <v>931.39</v>
      </c>
      <c r="H176" s="238">
        <f t="shared" si="38"/>
        <v>56581.942499999997</v>
      </c>
      <c r="I176" s="240">
        <v>41464.11</v>
      </c>
      <c r="J176" s="252">
        <f t="shared" si="39"/>
        <v>2518944.6825000001</v>
      </c>
      <c r="K176" s="38" t="s">
        <v>16</v>
      </c>
      <c r="L176" s="39" t="s">
        <v>21</v>
      </c>
      <c r="M176" s="62"/>
      <c r="N176" s="67"/>
      <c r="O176" s="54"/>
      <c r="P176" s="54"/>
      <c r="Q176" s="54"/>
      <c r="R176" s="68"/>
    </row>
    <row r="177" spans="1:18">
      <c r="A177" s="67">
        <f t="shared" si="40"/>
        <v>161</v>
      </c>
      <c r="B177" s="61">
        <v>46098</v>
      </c>
      <c r="C177" s="54">
        <v>8612088</v>
      </c>
      <c r="D177" s="54">
        <v>74997941</v>
      </c>
      <c r="E177" s="148">
        <v>61.8</v>
      </c>
      <c r="F177" s="239">
        <v>973.39</v>
      </c>
      <c r="G177" s="283">
        <f t="shared" si="37"/>
        <v>931.39</v>
      </c>
      <c r="H177" s="238">
        <f t="shared" si="38"/>
        <v>57559.901999999995</v>
      </c>
      <c r="I177" s="240">
        <v>41464.11</v>
      </c>
      <c r="J177" s="252">
        <f t="shared" si="39"/>
        <v>2562481.9980000001</v>
      </c>
      <c r="K177" s="38" t="s">
        <v>16</v>
      </c>
      <c r="L177" s="39" t="s">
        <v>21</v>
      </c>
      <c r="M177" s="62"/>
      <c r="N177" s="67"/>
      <c r="O177" s="54"/>
      <c r="P177" s="54"/>
      <c r="Q177" s="54"/>
      <c r="R177" s="68"/>
    </row>
    <row r="178" spans="1:18">
      <c r="A178" s="67">
        <f t="shared" si="40"/>
        <v>162</v>
      </c>
      <c r="B178" s="61">
        <v>46098</v>
      </c>
      <c r="C178" s="54">
        <v>8612088</v>
      </c>
      <c r="D178" s="54">
        <v>75292771</v>
      </c>
      <c r="E178" s="148">
        <v>61.3</v>
      </c>
      <c r="F178" s="239">
        <v>973.39</v>
      </c>
      <c r="G178" s="283">
        <f t="shared" si="37"/>
        <v>931.39</v>
      </c>
      <c r="H178" s="238">
        <f t="shared" si="38"/>
        <v>57094.206999999995</v>
      </c>
      <c r="I178" s="240">
        <v>41464.11</v>
      </c>
      <c r="J178" s="252">
        <f t="shared" si="39"/>
        <v>2541749.943</v>
      </c>
      <c r="K178" s="38" t="s">
        <v>16</v>
      </c>
      <c r="L178" s="39" t="s">
        <v>21</v>
      </c>
      <c r="M178" s="62"/>
      <c r="N178" s="67"/>
      <c r="O178" s="54"/>
      <c r="P178" s="54"/>
      <c r="Q178" s="54"/>
      <c r="R178" s="68"/>
    </row>
    <row r="179" spans="1:18">
      <c r="A179" s="67">
        <f t="shared" si="40"/>
        <v>163</v>
      </c>
      <c r="B179" s="61">
        <v>46098</v>
      </c>
      <c r="C179" s="54">
        <v>8612088</v>
      </c>
      <c r="D179" s="54">
        <v>75292870</v>
      </c>
      <c r="E179" s="148">
        <v>61.15</v>
      </c>
      <c r="F179" s="239">
        <v>973.39</v>
      </c>
      <c r="G179" s="283">
        <f t="shared" si="37"/>
        <v>931.39</v>
      </c>
      <c r="H179" s="238">
        <f t="shared" si="38"/>
        <v>56954.498499999994</v>
      </c>
      <c r="I179" s="240">
        <v>41464.11</v>
      </c>
      <c r="J179" s="252">
        <f t="shared" si="39"/>
        <v>2535530.3265</v>
      </c>
      <c r="K179" s="38" t="s">
        <v>16</v>
      </c>
      <c r="L179" s="39" t="s">
        <v>21</v>
      </c>
      <c r="M179" s="62"/>
      <c r="N179" s="67"/>
      <c r="O179" s="54"/>
      <c r="P179" s="54"/>
      <c r="Q179" s="54"/>
      <c r="R179" s="68"/>
    </row>
    <row r="180" spans="1:18">
      <c r="A180" s="67">
        <f t="shared" si="40"/>
        <v>164</v>
      </c>
      <c r="B180" s="61">
        <v>46098</v>
      </c>
      <c r="C180" s="54">
        <v>8612088</v>
      </c>
      <c r="D180" s="54">
        <v>75295857</v>
      </c>
      <c r="E180" s="148">
        <v>61.15</v>
      </c>
      <c r="F180" s="239">
        <v>973.39</v>
      </c>
      <c r="G180" s="283">
        <f t="shared" si="37"/>
        <v>931.39</v>
      </c>
      <c r="H180" s="238">
        <f t="shared" si="38"/>
        <v>56954.498499999994</v>
      </c>
      <c r="I180" s="240">
        <v>41464.11</v>
      </c>
      <c r="J180" s="252">
        <f t="shared" si="39"/>
        <v>2535530.3265</v>
      </c>
      <c r="K180" s="38" t="s">
        <v>16</v>
      </c>
      <c r="L180" s="39" t="s">
        <v>21</v>
      </c>
      <c r="M180" s="62"/>
      <c r="N180" s="67"/>
      <c r="O180" s="54"/>
      <c r="P180" s="54"/>
      <c r="Q180" s="54"/>
      <c r="R180" s="68"/>
    </row>
    <row r="181" spans="1:18">
      <c r="A181" s="67">
        <f t="shared" si="40"/>
        <v>165</v>
      </c>
      <c r="B181" s="61">
        <v>46098</v>
      </c>
      <c r="C181" s="54">
        <v>8612088</v>
      </c>
      <c r="D181" s="54">
        <v>75298851</v>
      </c>
      <c r="E181" s="148">
        <v>61.15</v>
      </c>
      <c r="F181" s="239">
        <v>973.39</v>
      </c>
      <c r="G181" s="283">
        <f t="shared" si="37"/>
        <v>931.39</v>
      </c>
      <c r="H181" s="238">
        <f t="shared" si="38"/>
        <v>56954.498499999994</v>
      </c>
      <c r="I181" s="240">
        <v>41464.11</v>
      </c>
      <c r="J181" s="252">
        <f t="shared" si="39"/>
        <v>2535530.3265</v>
      </c>
      <c r="K181" s="38" t="s">
        <v>16</v>
      </c>
      <c r="L181" s="39" t="s">
        <v>21</v>
      </c>
      <c r="M181" s="62"/>
      <c r="N181" s="67"/>
      <c r="O181" s="54"/>
      <c r="P181" s="54"/>
      <c r="Q181" s="54"/>
      <c r="R181" s="68"/>
    </row>
    <row r="182" spans="1:18" ht="14.4" thickBot="1">
      <c r="A182" s="88">
        <f t="shared" si="40"/>
        <v>166</v>
      </c>
      <c r="B182" s="90">
        <v>46098</v>
      </c>
      <c r="C182" s="55">
        <v>8612088</v>
      </c>
      <c r="D182" s="55">
        <v>76153295</v>
      </c>
      <c r="E182" s="152">
        <v>61.2</v>
      </c>
      <c r="F182" s="284">
        <v>973.39</v>
      </c>
      <c r="G182" s="275">
        <f>F182-42</f>
        <v>931.39</v>
      </c>
      <c r="H182" s="254">
        <f t="shared" si="38"/>
        <v>57001.067999999999</v>
      </c>
      <c r="I182" s="255">
        <v>41464.11</v>
      </c>
      <c r="J182" s="256">
        <f t="shared" si="39"/>
        <v>2537603.5320000001</v>
      </c>
      <c r="K182" s="58" t="s">
        <v>16</v>
      </c>
      <c r="L182" s="59" t="s">
        <v>21</v>
      </c>
      <c r="M182" s="103"/>
      <c r="N182" s="69"/>
      <c r="O182" s="70"/>
      <c r="P182" s="70"/>
      <c r="Q182" s="70"/>
      <c r="R182" s="71"/>
    </row>
    <row r="183" spans="1:18" ht="14.4" thickBot="1">
      <c r="A183" s="116"/>
      <c r="B183" s="117"/>
      <c r="C183" s="117"/>
      <c r="D183" s="117"/>
      <c r="E183" s="118">
        <f>SUM(E165:E182)</f>
        <v>1091.0999999999999</v>
      </c>
      <c r="F183" s="117"/>
      <c r="G183" s="117"/>
      <c r="H183" s="159">
        <f>SUM(H165:H182)</f>
        <v>1016239.629</v>
      </c>
      <c r="I183" s="176"/>
      <c r="J183" s="248">
        <f>SUM(J165:J182)</f>
        <v>45241490.420999996</v>
      </c>
      <c r="K183" s="117"/>
      <c r="L183" s="119"/>
      <c r="M183" s="191"/>
      <c r="N183" s="157"/>
      <c r="O183" s="156"/>
      <c r="P183" s="156"/>
      <c r="Q183" s="156"/>
      <c r="R183" s="158"/>
    </row>
    <row r="184" spans="1:18" ht="14.4" thickBot="1">
      <c r="A184" s="140"/>
      <c r="B184" s="141"/>
      <c r="C184" s="141"/>
      <c r="D184" s="141"/>
      <c r="E184" s="142">
        <f>E25+E39+E45+E47+E63+E76+E86+E88+E106+E130+E118+E183+E164</f>
        <v>9782.4</v>
      </c>
      <c r="F184" s="141"/>
      <c r="G184" s="141"/>
      <c r="H184" s="160" t="e">
        <f>H25+H39+H45+H47+H63+H76+H86+H88+H106+H130+H183+H118+H164</f>
        <v>#REF!</v>
      </c>
      <c r="I184" s="177"/>
      <c r="J184" s="249">
        <f>J25+J39+J45+J47+J63+J76+J86+J88+J106+J130+J183+J118+J164</f>
        <v>405618509.66399997</v>
      </c>
      <c r="K184" s="141"/>
      <c r="L184" s="144"/>
      <c r="M184" s="145"/>
      <c r="N184" s="146"/>
      <c r="O184" s="141"/>
      <c r="P184" s="141"/>
      <c r="Q184" s="141"/>
      <c r="R184" s="147"/>
    </row>
    <row r="186" spans="1:18" ht="14.4" thickBot="1"/>
    <row r="187" spans="1:18">
      <c r="B187" s="358" t="s">
        <v>18</v>
      </c>
      <c r="C187" s="359"/>
      <c r="D187" s="360"/>
      <c r="E187" s="51">
        <v>10000</v>
      </c>
    </row>
    <row r="188" spans="1:18">
      <c r="B188" s="361" t="s">
        <v>19</v>
      </c>
      <c r="C188" s="362"/>
      <c r="D188" s="363"/>
      <c r="E188" s="52">
        <f>E184</f>
        <v>9782.4</v>
      </c>
    </row>
    <row r="189" spans="1:18" ht="15" thickBot="1">
      <c r="B189" s="364" t="s">
        <v>20</v>
      </c>
      <c r="C189" s="365"/>
      <c r="D189" s="366"/>
      <c r="E189" s="53">
        <f>E187-E188</f>
        <v>217.60000000000036</v>
      </c>
    </row>
    <row r="190" spans="1:18">
      <c r="I190" s="257"/>
    </row>
  </sheetData>
  <mergeCells count="5">
    <mergeCell ref="A1:M1"/>
    <mergeCell ref="A2:M2"/>
    <mergeCell ref="B187:D187"/>
    <mergeCell ref="B188:D188"/>
    <mergeCell ref="B189:D189"/>
  </mergeCells>
  <conditionalFormatting sqref="D4">
    <cfRule type="duplicateValues" dxfId="1" priority="2"/>
  </conditionalFormatting>
  <conditionalFormatting sqref="D187:D189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A5" sqref="A5:A26"/>
    </sheetView>
  </sheetViews>
  <sheetFormatPr defaultRowHeight="13.2"/>
  <cols>
    <col min="1" max="1" width="5.5546875" style="289" bestFit="1" customWidth="1"/>
    <col min="2" max="2" width="17.77734375" style="289" bestFit="1" customWidth="1"/>
    <col min="3" max="3" width="9.77734375" style="289" customWidth="1"/>
    <col min="4" max="4" width="31.5546875" style="301" customWidth="1"/>
    <col min="5" max="5" width="9.44140625" style="302" customWidth="1"/>
    <col min="6" max="6" width="12.33203125" style="302" customWidth="1"/>
    <col min="7" max="7" width="15.33203125" style="308" customWidth="1"/>
    <col min="8" max="8" width="13.77734375" style="311" customWidth="1"/>
    <col min="9" max="9" width="15.21875" style="309" bestFit="1" customWidth="1"/>
    <col min="10" max="10" width="0.44140625" style="309" customWidth="1"/>
    <col min="11" max="11" width="11.44140625" style="289" customWidth="1"/>
    <col min="12" max="12" width="12.77734375" style="289" customWidth="1"/>
    <col min="13" max="13" width="12.88671875" style="289" customWidth="1"/>
    <col min="14" max="14" width="13.77734375" style="289" customWidth="1"/>
    <col min="15" max="15" width="16.6640625" style="289" bestFit="1" customWidth="1"/>
    <col min="16" max="250" width="8.88671875" style="289"/>
    <col min="251" max="251" width="5.5546875" style="289" bestFit="1" customWidth="1"/>
    <col min="252" max="252" width="9.33203125" style="289" customWidth="1"/>
    <col min="253" max="253" width="24.6640625" style="289" customWidth="1"/>
    <col min="254" max="254" width="11" style="289" bestFit="1" customWidth="1"/>
    <col min="255" max="255" width="7.5546875" style="289" bestFit="1" customWidth="1"/>
    <col min="256" max="256" width="13.5546875" style="289" customWidth="1"/>
    <col min="257" max="257" width="5.44140625" style="289" bestFit="1" customWidth="1"/>
    <col min="258" max="258" width="11.33203125" style="289" bestFit="1" customWidth="1"/>
    <col min="259" max="259" width="5.6640625" style="289" bestFit="1" customWidth="1"/>
    <col min="260" max="260" width="12" style="289" customWidth="1"/>
    <col min="261" max="261" width="15.44140625" style="289" bestFit="1" customWidth="1"/>
    <col min="262" max="263" width="15.109375" style="289" bestFit="1" customWidth="1"/>
    <col min="264" max="264" width="14.33203125" style="289" bestFit="1" customWidth="1"/>
    <col min="265" max="265" width="3.109375" style="289" customWidth="1"/>
    <col min="266" max="266" width="6.44140625" style="289" customWidth="1"/>
    <col min="267" max="506" width="8.88671875" style="289"/>
    <col min="507" max="507" width="5.5546875" style="289" bestFit="1" customWidth="1"/>
    <col min="508" max="508" width="9.33203125" style="289" customWidth="1"/>
    <col min="509" max="509" width="24.6640625" style="289" customWidth="1"/>
    <col min="510" max="510" width="11" style="289" bestFit="1" customWidth="1"/>
    <col min="511" max="511" width="7.5546875" style="289" bestFit="1" customWidth="1"/>
    <col min="512" max="512" width="13.5546875" style="289" customWidth="1"/>
    <col min="513" max="513" width="5.44140625" style="289" bestFit="1" customWidth="1"/>
    <col min="514" max="514" width="11.33203125" style="289" bestFit="1" customWidth="1"/>
    <col min="515" max="515" width="5.6640625" style="289" bestFit="1" customWidth="1"/>
    <col min="516" max="516" width="12" style="289" customWidth="1"/>
    <col min="517" max="517" width="15.44140625" style="289" bestFit="1" customWidth="1"/>
    <col min="518" max="519" width="15.109375" style="289" bestFit="1" customWidth="1"/>
    <col min="520" max="520" width="14.33203125" style="289" bestFit="1" customWidth="1"/>
    <col min="521" max="521" width="3.109375" style="289" customWidth="1"/>
    <col min="522" max="522" width="6.44140625" style="289" customWidth="1"/>
    <col min="523" max="762" width="8.88671875" style="289"/>
    <col min="763" max="763" width="5.5546875" style="289" bestFit="1" customWidth="1"/>
    <col min="764" max="764" width="9.33203125" style="289" customWidth="1"/>
    <col min="765" max="765" width="24.6640625" style="289" customWidth="1"/>
    <col min="766" max="766" width="11" style="289" bestFit="1" customWidth="1"/>
    <col min="767" max="767" width="7.5546875" style="289" bestFit="1" customWidth="1"/>
    <col min="768" max="768" width="13.5546875" style="289" customWidth="1"/>
    <col min="769" max="769" width="5.44140625" style="289" bestFit="1" customWidth="1"/>
    <col min="770" max="770" width="11.33203125" style="289" bestFit="1" customWidth="1"/>
    <col min="771" max="771" width="5.6640625" style="289" bestFit="1" customWidth="1"/>
    <col min="772" max="772" width="12" style="289" customWidth="1"/>
    <col min="773" max="773" width="15.44140625" style="289" bestFit="1" customWidth="1"/>
    <col min="774" max="775" width="15.109375" style="289" bestFit="1" customWidth="1"/>
    <col min="776" max="776" width="14.33203125" style="289" bestFit="1" customWidth="1"/>
    <col min="777" max="777" width="3.109375" style="289" customWidth="1"/>
    <col min="778" max="778" width="6.44140625" style="289" customWidth="1"/>
    <col min="779" max="1018" width="8.88671875" style="289"/>
    <col min="1019" max="1019" width="5.5546875" style="289" bestFit="1" customWidth="1"/>
    <col min="1020" max="1020" width="9.33203125" style="289" customWidth="1"/>
    <col min="1021" max="1021" width="24.6640625" style="289" customWidth="1"/>
    <col min="1022" max="1022" width="11" style="289" bestFit="1" customWidth="1"/>
    <col min="1023" max="1023" width="7.5546875" style="289" bestFit="1" customWidth="1"/>
    <col min="1024" max="1024" width="13.5546875" style="289" customWidth="1"/>
    <col min="1025" max="1025" width="5.44140625" style="289" bestFit="1" customWidth="1"/>
    <col min="1026" max="1026" width="11.33203125" style="289" bestFit="1" customWidth="1"/>
    <col min="1027" max="1027" width="5.6640625" style="289" bestFit="1" customWidth="1"/>
    <col min="1028" max="1028" width="12" style="289" customWidth="1"/>
    <col min="1029" max="1029" width="15.44140625" style="289" bestFit="1" customWidth="1"/>
    <col min="1030" max="1031" width="15.109375" style="289" bestFit="1" customWidth="1"/>
    <col min="1032" max="1032" width="14.33203125" style="289" bestFit="1" customWidth="1"/>
    <col min="1033" max="1033" width="3.109375" style="289" customWidth="1"/>
    <col min="1034" max="1034" width="6.44140625" style="289" customWidth="1"/>
    <col min="1035" max="1274" width="8.88671875" style="289"/>
    <col min="1275" max="1275" width="5.5546875" style="289" bestFit="1" customWidth="1"/>
    <col min="1276" max="1276" width="9.33203125" style="289" customWidth="1"/>
    <col min="1277" max="1277" width="24.6640625" style="289" customWidth="1"/>
    <col min="1278" max="1278" width="11" style="289" bestFit="1" customWidth="1"/>
    <col min="1279" max="1279" width="7.5546875" style="289" bestFit="1" customWidth="1"/>
    <col min="1280" max="1280" width="13.5546875" style="289" customWidth="1"/>
    <col min="1281" max="1281" width="5.44140625" style="289" bestFit="1" customWidth="1"/>
    <col min="1282" max="1282" width="11.33203125" style="289" bestFit="1" customWidth="1"/>
    <col min="1283" max="1283" width="5.6640625" style="289" bestFit="1" customWidth="1"/>
    <col min="1284" max="1284" width="12" style="289" customWidth="1"/>
    <col min="1285" max="1285" width="15.44140625" style="289" bestFit="1" customWidth="1"/>
    <col min="1286" max="1287" width="15.109375" style="289" bestFit="1" customWidth="1"/>
    <col min="1288" max="1288" width="14.33203125" style="289" bestFit="1" customWidth="1"/>
    <col min="1289" max="1289" width="3.109375" style="289" customWidth="1"/>
    <col min="1290" max="1290" width="6.44140625" style="289" customWidth="1"/>
    <col min="1291" max="1530" width="8.88671875" style="289"/>
    <col min="1531" max="1531" width="5.5546875" style="289" bestFit="1" customWidth="1"/>
    <col min="1532" max="1532" width="9.33203125" style="289" customWidth="1"/>
    <col min="1533" max="1533" width="24.6640625" style="289" customWidth="1"/>
    <col min="1534" max="1534" width="11" style="289" bestFit="1" customWidth="1"/>
    <col min="1535" max="1535" width="7.5546875" style="289" bestFit="1" customWidth="1"/>
    <col min="1536" max="1536" width="13.5546875" style="289" customWidth="1"/>
    <col min="1537" max="1537" width="5.44140625" style="289" bestFit="1" customWidth="1"/>
    <col min="1538" max="1538" width="11.33203125" style="289" bestFit="1" customWidth="1"/>
    <col min="1539" max="1539" width="5.6640625" style="289" bestFit="1" customWidth="1"/>
    <col min="1540" max="1540" width="12" style="289" customWidth="1"/>
    <col min="1541" max="1541" width="15.44140625" style="289" bestFit="1" customWidth="1"/>
    <col min="1542" max="1543" width="15.109375" style="289" bestFit="1" customWidth="1"/>
    <col min="1544" max="1544" width="14.33203125" style="289" bestFit="1" customWidth="1"/>
    <col min="1545" max="1545" width="3.109375" style="289" customWidth="1"/>
    <col min="1546" max="1546" width="6.44140625" style="289" customWidth="1"/>
    <col min="1547" max="1786" width="8.88671875" style="289"/>
    <col min="1787" max="1787" width="5.5546875" style="289" bestFit="1" customWidth="1"/>
    <col min="1788" max="1788" width="9.33203125" style="289" customWidth="1"/>
    <col min="1789" max="1789" width="24.6640625" style="289" customWidth="1"/>
    <col min="1790" max="1790" width="11" style="289" bestFit="1" customWidth="1"/>
    <col min="1791" max="1791" width="7.5546875" style="289" bestFit="1" customWidth="1"/>
    <col min="1792" max="1792" width="13.5546875" style="289" customWidth="1"/>
    <col min="1793" max="1793" width="5.44140625" style="289" bestFit="1" customWidth="1"/>
    <col min="1794" max="1794" width="11.33203125" style="289" bestFit="1" customWidth="1"/>
    <col min="1795" max="1795" width="5.6640625" style="289" bestFit="1" customWidth="1"/>
    <col min="1796" max="1796" width="12" style="289" customWidth="1"/>
    <col min="1797" max="1797" width="15.44140625" style="289" bestFit="1" customWidth="1"/>
    <col min="1798" max="1799" width="15.109375" style="289" bestFit="1" customWidth="1"/>
    <col min="1800" max="1800" width="14.33203125" style="289" bestFit="1" customWidth="1"/>
    <col min="1801" max="1801" width="3.109375" style="289" customWidth="1"/>
    <col min="1802" max="1802" width="6.44140625" style="289" customWidth="1"/>
    <col min="1803" max="2042" width="8.88671875" style="289"/>
    <col min="2043" max="2043" width="5.5546875" style="289" bestFit="1" customWidth="1"/>
    <col min="2044" max="2044" width="9.33203125" style="289" customWidth="1"/>
    <col min="2045" max="2045" width="24.6640625" style="289" customWidth="1"/>
    <col min="2046" max="2046" width="11" style="289" bestFit="1" customWidth="1"/>
    <col min="2047" max="2047" width="7.5546875" style="289" bestFit="1" customWidth="1"/>
    <col min="2048" max="2048" width="13.5546875" style="289" customWidth="1"/>
    <col min="2049" max="2049" width="5.44140625" style="289" bestFit="1" customWidth="1"/>
    <col min="2050" max="2050" width="11.33203125" style="289" bestFit="1" customWidth="1"/>
    <col min="2051" max="2051" width="5.6640625" style="289" bestFit="1" customWidth="1"/>
    <col min="2052" max="2052" width="12" style="289" customWidth="1"/>
    <col min="2053" max="2053" width="15.44140625" style="289" bestFit="1" customWidth="1"/>
    <col min="2054" max="2055" width="15.109375" style="289" bestFit="1" customWidth="1"/>
    <col min="2056" max="2056" width="14.33203125" style="289" bestFit="1" customWidth="1"/>
    <col min="2057" max="2057" width="3.109375" style="289" customWidth="1"/>
    <col min="2058" max="2058" width="6.44140625" style="289" customWidth="1"/>
    <col min="2059" max="2298" width="8.88671875" style="289"/>
    <col min="2299" max="2299" width="5.5546875" style="289" bestFit="1" customWidth="1"/>
    <col min="2300" max="2300" width="9.33203125" style="289" customWidth="1"/>
    <col min="2301" max="2301" width="24.6640625" style="289" customWidth="1"/>
    <col min="2302" max="2302" width="11" style="289" bestFit="1" customWidth="1"/>
    <col min="2303" max="2303" width="7.5546875" style="289" bestFit="1" customWidth="1"/>
    <col min="2304" max="2304" width="13.5546875" style="289" customWidth="1"/>
    <col min="2305" max="2305" width="5.44140625" style="289" bestFit="1" customWidth="1"/>
    <col min="2306" max="2306" width="11.33203125" style="289" bestFit="1" customWidth="1"/>
    <col min="2307" max="2307" width="5.6640625" style="289" bestFit="1" customWidth="1"/>
    <col min="2308" max="2308" width="12" style="289" customWidth="1"/>
    <col min="2309" max="2309" width="15.44140625" style="289" bestFit="1" customWidth="1"/>
    <col min="2310" max="2311" width="15.109375" style="289" bestFit="1" customWidth="1"/>
    <col min="2312" max="2312" width="14.33203125" style="289" bestFit="1" customWidth="1"/>
    <col min="2313" max="2313" width="3.109375" style="289" customWidth="1"/>
    <col min="2314" max="2314" width="6.44140625" style="289" customWidth="1"/>
    <col min="2315" max="2554" width="8.88671875" style="289"/>
    <col min="2555" max="2555" width="5.5546875" style="289" bestFit="1" customWidth="1"/>
    <col min="2556" max="2556" width="9.33203125" style="289" customWidth="1"/>
    <col min="2557" max="2557" width="24.6640625" style="289" customWidth="1"/>
    <col min="2558" max="2558" width="11" style="289" bestFit="1" customWidth="1"/>
    <col min="2559" max="2559" width="7.5546875" style="289" bestFit="1" customWidth="1"/>
    <col min="2560" max="2560" width="13.5546875" style="289" customWidth="1"/>
    <col min="2561" max="2561" width="5.44140625" style="289" bestFit="1" customWidth="1"/>
    <col min="2562" max="2562" width="11.33203125" style="289" bestFit="1" customWidth="1"/>
    <col min="2563" max="2563" width="5.6640625" style="289" bestFit="1" customWidth="1"/>
    <col min="2564" max="2564" width="12" style="289" customWidth="1"/>
    <col min="2565" max="2565" width="15.44140625" style="289" bestFit="1" customWidth="1"/>
    <col min="2566" max="2567" width="15.109375" style="289" bestFit="1" customWidth="1"/>
    <col min="2568" max="2568" width="14.33203125" style="289" bestFit="1" customWidth="1"/>
    <col min="2569" max="2569" width="3.109375" style="289" customWidth="1"/>
    <col min="2570" max="2570" width="6.44140625" style="289" customWidth="1"/>
    <col min="2571" max="2810" width="8.88671875" style="289"/>
    <col min="2811" max="2811" width="5.5546875" style="289" bestFit="1" customWidth="1"/>
    <col min="2812" max="2812" width="9.33203125" style="289" customWidth="1"/>
    <col min="2813" max="2813" width="24.6640625" style="289" customWidth="1"/>
    <col min="2814" max="2814" width="11" style="289" bestFit="1" customWidth="1"/>
    <col min="2815" max="2815" width="7.5546875" style="289" bestFit="1" customWidth="1"/>
    <col min="2816" max="2816" width="13.5546875" style="289" customWidth="1"/>
    <col min="2817" max="2817" width="5.44140625" style="289" bestFit="1" customWidth="1"/>
    <col min="2818" max="2818" width="11.33203125" style="289" bestFit="1" customWidth="1"/>
    <col min="2819" max="2819" width="5.6640625" style="289" bestFit="1" customWidth="1"/>
    <col min="2820" max="2820" width="12" style="289" customWidth="1"/>
    <col min="2821" max="2821" width="15.44140625" style="289" bestFit="1" customWidth="1"/>
    <col min="2822" max="2823" width="15.109375" style="289" bestFit="1" customWidth="1"/>
    <col min="2824" max="2824" width="14.33203125" style="289" bestFit="1" customWidth="1"/>
    <col min="2825" max="2825" width="3.109375" style="289" customWidth="1"/>
    <col min="2826" max="2826" width="6.44140625" style="289" customWidth="1"/>
    <col min="2827" max="3066" width="8.88671875" style="289"/>
    <col min="3067" max="3067" width="5.5546875" style="289" bestFit="1" customWidth="1"/>
    <col min="3068" max="3068" width="9.33203125" style="289" customWidth="1"/>
    <col min="3069" max="3069" width="24.6640625" style="289" customWidth="1"/>
    <col min="3070" max="3070" width="11" style="289" bestFit="1" customWidth="1"/>
    <col min="3071" max="3071" width="7.5546875" style="289" bestFit="1" customWidth="1"/>
    <col min="3072" max="3072" width="13.5546875" style="289" customWidth="1"/>
    <col min="3073" max="3073" width="5.44140625" style="289" bestFit="1" customWidth="1"/>
    <col min="3074" max="3074" width="11.33203125" style="289" bestFit="1" customWidth="1"/>
    <col min="3075" max="3075" width="5.6640625" style="289" bestFit="1" customWidth="1"/>
    <col min="3076" max="3076" width="12" style="289" customWidth="1"/>
    <col min="3077" max="3077" width="15.44140625" style="289" bestFit="1" customWidth="1"/>
    <col min="3078" max="3079" width="15.109375" style="289" bestFit="1" customWidth="1"/>
    <col min="3080" max="3080" width="14.33203125" style="289" bestFit="1" customWidth="1"/>
    <col min="3081" max="3081" width="3.109375" style="289" customWidth="1"/>
    <col min="3082" max="3082" width="6.44140625" style="289" customWidth="1"/>
    <col min="3083" max="3322" width="8.88671875" style="289"/>
    <col min="3323" max="3323" width="5.5546875" style="289" bestFit="1" customWidth="1"/>
    <col min="3324" max="3324" width="9.33203125" style="289" customWidth="1"/>
    <col min="3325" max="3325" width="24.6640625" style="289" customWidth="1"/>
    <col min="3326" max="3326" width="11" style="289" bestFit="1" customWidth="1"/>
    <col min="3327" max="3327" width="7.5546875" style="289" bestFit="1" customWidth="1"/>
    <col min="3328" max="3328" width="13.5546875" style="289" customWidth="1"/>
    <col min="3329" max="3329" width="5.44140625" style="289" bestFit="1" customWidth="1"/>
    <col min="3330" max="3330" width="11.33203125" style="289" bestFit="1" customWidth="1"/>
    <col min="3331" max="3331" width="5.6640625" style="289" bestFit="1" customWidth="1"/>
    <col min="3332" max="3332" width="12" style="289" customWidth="1"/>
    <col min="3333" max="3333" width="15.44140625" style="289" bestFit="1" customWidth="1"/>
    <col min="3334" max="3335" width="15.109375" style="289" bestFit="1" customWidth="1"/>
    <col min="3336" max="3336" width="14.33203125" style="289" bestFit="1" customWidth="1"/>
    <col min="3337" max="3337" width="3.109375" style="289" customWidth="1"/>
    <col min="3338" max="3338" width="6.44140625" style="289" customWidth="1"/>
    <col min="3339" max="3578" width="8.88671875" style="289"/>
    <col min="3579" max="3579" width="5.5546875" style="289" bestFit="1" customWidth="1"/>
    <col min="3580" max="3580" width="9.33203125" style="289" customWidth="1"/>
    <col min="3581" max="3581" width="24.6640625" style="289" customWidth="1"/>
    <col min="3582" max="3582" width="11" style="289" bestFit="1" customWidth="1"/>
    <col min="3583" max="3583" width="7.5546875" style="289" bestFit="1" customWidth="1"/>
    <col min="3584" max="3584" width="13.5546875" style="289" customWidth="1"/>
    <col min="3585" max="3585" width="5.44140625" style="289" bestFit="1" customWidth="1"/>
    <col min="3586" max="3586" width="11.33203125" style="289" bestFit="1" customWidth="1"/>
    <col min="3587" max="3587" width="5.6640625" style="289" bestFit="1" customWidth="1"/>
    <col min="3588" max="3588" width="12" style="289" customWidth="1"/>
    <col min="3589" max="3589" width="15.44140625" style="289" bestFit="1" customWidth="1"/>
    <col min="3590" max="3591" width="15.109375" style="289" bestFit="1" customWidth="1"/>
    <col min="3592" max="3592" width="14.33203125" style="289" bestFit="1" customWidth="1"/>
    <col min="3593" max="3593" width="3.109375" style="289" customWidth="1"/>
    <col min="3594" max="3594" width="6.44140625" style="289" customWidth="1"/>
    <col min="3595" max="3834" width="8.88671875" style="289"/>
    <col min="3835" max="3835" width="5.5546875" style="289" bestFit="1" customWidth="1"/>
    <col min="3836" max="3836" width="9.33203125" style="289" customWidth="1"/>
    <col min="3837" max="3837" width="24.6640625" style="289" customWidth="1"/>
    <col min="3838" max="3838" width="11" style="289" bestFit="1" customWidth="1"/>
    <col min="3839" max="3839" width="7.5546875" style="289" bestFit="1" customWidth="1"/>
    <col min="3840" max="3840" width="13.5546875" style="289" customWidth="1"/>
    <col min="3841" max="3841" width="5.44140625" style="289" bestFit="1" customWidth="1"/>
    <col min="3842" max="3842" width="11.33203125" style="289" bestFit="1" customWidth="1"/>
    <col min="3843" max="3843" width="5.6640625" style="289" bestFit="1" customWidth="1"/>
    <col min="3844" max="3844" width="12" style="289" customWidth="1"/>
    <col min="3845" max="3845" width="15.44140625" style="289" bestFit="1" customWidth="1"/>
    <col min="3846" max="3847" width="15.109375" style="289" bestFit="1" customWidth="1"/>
    <col min="3848" max="3848" width="14.33203125" style="289" bestFit="1" customWidth="1"/>
    <col min="3849" max="3849" width="3.109375" style="289" customWidth="1"/>
    <col min="3850" max="3850" width="6.44140625" style="289" customWidth="1"/>
    <col min="3851" max="4090" width="8.88671875" style="289"/>
    <col min="4091" max="4091" width="5.5546875" style="289" bestFit="1" customWidth="1"/>
    <col min="4092" max="4092" width="9.33203125" style="289" customWidth="1"/>
    <col min="4093" max="4093" width="24.6640625" style="289" customWidth="1"/>
    <col min="4094" max="4094" width="11" style="289" bestFit="1" customWidth="1"/>
    <col min="4095" max="4095" width="7.5546875" style="289" bestFit="1" customWidth="1"/>
    <col min="4096" max="4096" width="13.5546875" style="289" customWidth="1"/>
    <col min="4097" max="4097" width="5.44140625" style="289" bestFit="1" customWidth="1"/>
    <col min="4098" max="4098" width="11.33203125" style="289" bestFit="1" customWidth="1"/>
    <col min="4099" max="4099" width="5.6640625" style="289" bestFit="1" customWidth="1"/>
    <col min="4100" max="4100" width="12" style="289" customWidth="1"/>
    <col min="4101" max="4101" width="15.44140625" style="289" bestFit="1" customWidth="1"/>
    <col min="4102" max="4103" width="15.109375" style="289" bestFit="1" customWidth="1"/>
    <col min="4104" max="4104" width="14.33203125" style="289" bestFit="1" customWidth="1"/>
    <col min="4105" max="4105" width="3.109375" style="289" customWidth="1"/>
    <col min="4106" max="4106" width="6.44140625" style="289" customWidth="1"/>
    <col min="4107" max="4346" width="8.88671875" style="289"/>
    <col min="4347" max="4347" width="5.5546875" style="289" bestFit="1" customWidth="1"/>
    <col min="4348" max="4348" width="9.33203125" style="289" customWidth="1"/>
    <col min="4349" max="4349" width="24.6640625" style="289" customWidth="1"/>
    <col min="4350" max="4350" width="11" style="289" bestFit="1" customWidth="1"/>
    <col min="4351" max="4351" width="7.5546875" style="289" bestFit="1" customWidth="1"/>
    <col min="4352" max="4352" width="13.5546875" style="289" customWidth="1"/>
    <col min="4353" max="4353" width="5.44140625" style="289" bestFit="1" customWidth="1"/>
    <col min="4354" max="4354" width="11.33203125" style="289" bestFit="1" customWidth="1"/>
    <col min="4355" max="4355" width="5.6640625" style="289" bestFit="1" customWidth="1"/>
    <col min="4356" max="4356" width="12" style="289" customWidth="1"/>
    <col min="4357" max="4357" width="15.44140625" style="289" bestFit="1" customWidth="1"/>
    <col min="4358" max="4359" width="15.109375" style="289" bestFit="1" customWidth="1"/>
    <col min="4360" max="4360" width="14.33203125" style="289" bestFit="1" customWidth="1"/>
    <col min="4361" max="4361" width="3.109375" style="289" customWidth="1"/>
    <col min="4362" max="4362" width="6.44140625" style="289" customWidth="1"/>
    <col min="4363" max="4602" width="8.88671875" style="289"/>
    <col min="4603" max="4603" width="5.5546875" style="289" bestFit="1" customWidth="1"/>
    <col min="4604" max="4604" width="9.33203125" style="289" customWidth="1"/>
    <col min="4605" max="4605" width="24.6640625" style="289" customWidth="1"/>
    <col min="4606" max="4606" width="11" style="289" bestFit="1" customWidth="1"/>
    <col min="4607" max="4607" width="7.5546875" style="289" bestFit="1" customWidth="1"/>
    <col min="4608" max="4608" width="13.5546875" style="289" customWidth="1"/>
    <col min="4609" max="4609" width="5.44140625" style="289" bestFit="1" customWidth="1"/>
    <col min="4610" max="4610" width="11.33203125" style="289" bestFit="1" customWidth="1"/>
    <col min="4611" max="4611" width="5.6640625" style="289" bestFit="1" customWidth="1"/>
    <col min="4612" max="4612" width="12" style="289" customWidth="1"/>
    <col min="4613" max="4613" width="15.44140625" style="289" bestFit="1" customWidth="1"/>
    <col min="4614" max="4615" width="15.109375" style="289" bestFit="1" customWidth="1"/>
    <col min="4616" max="4616" width="14.33203125" style="289" bestFit="1" customWidth="1"/>
    <col min="4617" max="4617" width="3.109375" style="289" customWidth="1"/>
    <col min="4618" max="4618" width="6.44140625" style="289" customWidth="1"/>
    <col min="4619" max="4858" width="8.88671875" style="289"/>
    <col min="4859" max="4859" width="5.5546875" style="289" bestFit="1" customWidth="1"/>
    <col min="4860" max="4860" width="9.33203125" style="289" customWidth="1"/>
    <col min="4861" max="4861" width="24.6640625" style="289" customWidth="1"/>
    <col min="4862" max="4862" width="11" style="289" bestFit="1" customWidth="1"/>
    <col min="4863" max="4863" width="7.5546875" style="289" bestFit="1" customWidth="1"/>
    <col min="4864" max="4864" width="13.5546875" style="289" customWidth="1"/>
    <col min="4865" max="4865" width="5.44140625" style="289" bestFit="1" customWidth="1"/>
    <col min="4866" max="4866" width="11.33203125" style="289" bestFit="1" customWidth="1"/>
    <col min="4867" max="4867" width="5.6640625" style="289" bestFit="1" customWidth="1"/>
    <col min="4868" max="4868" width="12" style="289" customWidth="1"/>
    <col min="4869" max="4869" width="15.44140625" style="289" bestFit="1" customWidth="1"/>
    <col min="4870" max="4871" width="15.109375" style="289" bestFit="1" customWidth="1"/>
    <col min="4872" max="4872" width="14.33203125" style="289" bestFit="1" customWidth="1"/>
    <col min="4873" max="4873" width="3.109375" style="289" customWidth="1"/>
    <col min="4874" max="4874" width="6.44140625" style="289" customWidth="1"/>
    <col min="4875" max="5114" width="8.88671875" style="289"/>
    <col min="5115" max="5115" width="5.5546875" style="289" bestFit="1" customWidth="1"/>
    <col min="5116" max="5116" width="9.33203125" style="289" customWidth="1"/>
    <col min="5117" max="5117" width="24.6640625" style="289" customWidth="1"/>
    <col min="5118" max="5118" width="11" style="289" bestFit="1" customWidth="1"/>
    <col min="5119" max="5119" width="7.5546875" style="289" bestFit="1" customWidth="1"/>
    <col min="5120" max="5120" width="13.5546875" style="289" customWidth="1"/>
    <col min="5121" max="5121" width="5.44140625" style="289" bestFit="1" customWidth="1"/>
    <col min="5122" max="5122" width="11.33203125" style="289" bestFit="1" customWidth="1"/>
    <col min="5123" max="5123" width="5.6640625" style="289" bestFit="1" customWidth="1"/>
    <col min="5124" max="5124" width="12" style="289" customWidth="1"/>
    <col min="5125" max="5125" width="15.44140625" style="289" bestFit="1" customWidth="1"/>
    <col min="5126" max="5127" width="15.109375" style="289" bestFit="1" customWidth="1"/>
    <col min="5128" max="5128" width="14.33203125" style="289" bestFit="1" customWidth="1"/>
    <col min="5129" max="5129" width="3.109375" style="289" customWidth="1"/>
    <col min="5130" max="5130" width="6.44140625" style="289" customWidth="1"/>
    <col min="5131" max="5370" width="8.88671875" style="289"/>
    <col min="5371" max="5371" width="5.5546875" style="289" bestFit="1" customWidth="1"/>
    <col min="5372" max="5372" width="9.33203125" style="289" customWidth="1"/>
    <col min="5373" max="5373" width="24.6640625" style="289" customWidth="1"/>
    <col min="5374" max="5374" width="11" style="289" bestFit="1" customWidth="1"/>
    <col min="5375" max="5375" width="7.5546875" style="289" bestFit="1" customWidth="1"/>
    <col min="5376" max="5376" width="13.5546875" style="289" customWidth="1"/>
    <col min="5377" max="5377" width="5.44140625" style="289" bestFit="1" customWidth="1"/>
    <col min="5378" max="5378" width="11.33203125" style="289" bestFit="1" customWidth="1"/>
    <col min="5379" max="5379" width="5.6640625" style="289" bestFit="1" customWidth="1"/>
    <col min="5380" max="5380" width="12" style="289" customWidth="1"/>
    <col min="5381" max="5381" width="15.44140625" style="289" bestFit="1" customWidth="1"/>
    <col min="5382" max="5383" width="15.109375" style="289" bestFit="1" customWidth="1"/>
    <col min="5384" max="5384" width="14.33203125" style="289" bestFit="1" customWidth="1"/>
    <col min="5385" max="5385" width="3.109375" style="289" customWidth="1"/>
    <col min="5386" max="5386" width="6.44140625" style="289" customWidth="1"/>
    <col min="5387" max="5626" width="8.88671875" style="289"/>
    <col min="5627" max="5627" width="5.5546875" style="289" bestFit="1" customWidth="1"/>
    <col min="5628" max="5628" width="9.33203125" style="289" customWidth="1"/>
    <col min="5629" max="5629" width="24.6640625" style="289" customWidth="1"/>
    <col min="5630" max="5630" width="11" style="289" bestFit="1" customWidth="1"/>
    <col min="5631" max="5631" width="7.5546875" style="289" bestFit="1" customWidth="1"/>
    <col min="5632" max="5632" width="13.5546875" style="289" customWidth="1"/>
    <col min="5633" max="5633" width="5.44140625" style="289" bestFit="1" customWidth="1"/>
    <col min="5634" max="5634" width="11.33203125" style="289" bestFit="1" customWidth="1"/>
    <col min="5635" max="5635" width="5.6640625" style="289" bestFit="1" customWidth="1"/>
    <col min="5636" max="5636" width="12" style="289" customWidth="1"/>
    <col min="5637" max="5637" width="15.44140625" style="289" bestFit="1" customWidth="1"/>
    <col min="5638" max="5639" width="15.109375" style="289" bestFit="1" customWidth="1"/>
    <col min="5640" max="5640" width="14.33203125" style="289" bestFit="1" customWidth="1"/>
    <col min="5641" max="5641" width="3.109375" style="289" customWidth="1"/>
    <col min="5642" max="5642" width="6.44140625" style="289" customWidth="1"/>
    <col min="5643" max="5882" width="8.88671875" style="289"/>
    <col min="5883" max="5883" width="5.5546875" style="289" bestFit="1" customWidth="1"/>
    <col min="5884" max="5884" width="9.33203125" style="289" customWidth="1"/>
    <col min="5885" max="5885" width="24.6640625" style="289" customWidth="1"/>
    <col min="5886" max="5886" width="11" style="289" bestFit="1" customWidth="1"/>
    <col min="5887" max="5887" width="7.5546875" style="289" bestFit="1" customWidth="1"/>
    <col min="5888" max="5888" width="13.5546875" style="289" customWidth="1"/>
    <col min="5889" max="5889" width="5.44140625" style="289" bestFit="1" customWidth="1"/>
    <col min="5890" max="5890" width="11.33203125" style="289" bestFit="1" customWidth="1"/>
    <col min="5891" max="5891" width="5.6640625" style="289" bestFit="1" customWidth="1"/>
    <col min="5892" max="5892" width="12" style="289" customWidth="1"/>
    <col min="5893" max="5893" width="15.44140625" style="289" bestFit="1" customWidth="1"/>
    <col min="5894" max="5895" width="15.109375" style="289" bestFit="1" customWidth="1"/>
    <col min="5896" max="5896" width="14.33203125" style="289" bestFit="1" customWidth="1"/>
    <col min="5897" max="5897" width="3.109375" style="289" customWidth="1"/>
    <col min="5898" max="5898" width="6.44140625" style="289" customWidth="1"/>
    <col min="5899" max="6138" width="8.88671875" style="289"/>
    <col min="6139" max="6139" width="5.5546875" style="289" bestFit="1" customWidth="1"/>
    <col min="6140" max="6140" width="9.33203125" style="289" customWidth="1"/>
    <col min="6141" max="6141" width="24.6640625" style="289" customWidth="1"/>
    <col min="6142" max="6142" width="11" style="289" bestFit="1" customWidth="1"/>
    <col min="6143" max="6143" width="7.5546875" style="289" bestFit="1" customWidth="1"/>
    <col min="6144" max="6144" width="13.5546875" style="289" customWidth="1"/>
    <col min="6145" max="6145" width="5.44140625" style="289" bestFit="1" customWidth="1"/>
    <col min="6146" max="6146" width="11.33203125" style="289" bestFit="1" customWidth="1"/>
    <col min="6147" max="6147" width="5.6640625" style="289" bestFit="1" customWidth="1"/>
    <col min="6148" max="6148" width="12" style="289" customWidth="1"/>
    <col min="6149" max="6149" width="15.44140625" style="289" bestFit="1" customWidth="1"/>
    <col min="6150" max="6151" width="15.109375" style="289" bestFit="1" customWidth="1"/>
    <col min="6152" max="6152" width="14.33203125" style="289" bestFit="1" customWidth="1"/>
    <col min="6153" max="6153" width="3.109375" style="289" customWidth="1"/>
    <col min="6154" max="6154" width="6.44140625" style="289" customWidth="1"/>
    <col min="6155" max="6394" width="8.88671875" style="289"/>
    <col min="6395" max="6395" width="5.5546875" style="289" bestFit="1" customWidth="1"/>
    <col min="6396" max="6396" width="9.33203125" style="289" customWidth="1"/>
    <col min="6397" max="6397" width="24.6640625" style="289" customWidth="1"/>
    <col min="6398" max="6398" width="11" style="289" bestFit="1" customWidth="1"/>
    <col min="6399" max="6399" width="7.5546875" style="289" bestFit="1" customWidth="1"/>
    <col min="6400" max="6400" width="13.5546875" style="289" customWidth="1"/>
    <col min="6401" max="6401" width="5.44140625" style="289" bestFit="1" customWidth="1"/>
    <col min="6402" max="6402" width="11.33203125" style="289" bestFit="1" customWidth="1"/>
    <col min="6403" max="6403" width="5.6640625" style="289" bestFit="1" customWidth="1"/>
    <col min="6404" max="6404" width="12" style="289" customWidth="1"/>
    <col min="6405" max="6405" width="15.44140625" style="289" bestFit="1" customWidth="1"/>
    <col min="6406" max="6407" width="15.109375" style="289" bestFit="1" customWidth="1"/>
    <col min="6408" max="6408" width="14.33203125" style="289" bestFit="1" customWidth="1"/>
    <col min="6409" max="6409" width="3.109375" style="289" customWidth="1"/>
    <col min="6410" max="6410" width="6.44140625" style="289" customWidth="1"/>
    <col min="6411" max="6650" width="8.88671875" style="289"/>
    <col min="6651" max="6651" width="5.5546875" style="289" bestFit="1" customWidth="1"/>
    <col min="6652" max="6652" width="9.33203125" style="289" customWidth="1"/>
    <col min="6653" max="6653" width="24.6640625" style="289" customWidth="1"/>
    <col min="6654" max="6654" width="11" style="289" bestFit="1" customWidth="1"/>
    <col min="6655" max="6655" width="7.5546875" style="289" bestFit="1" customWidth="1"/>
    <col min="6656" max="6656" width="13.5546875" style="289" customWidth="1"/>
    <col min="6657" max="6657" width="5.44140625" style="289" bestFit="1" customWidth="1"/>
    <col min="6658" max="6658" width="11.33203125" style="289" bestFit="1" customWidth="1"/>
    <col min="6659" max="6659" width="5.6640625" style="289" bestFit="1" customWidth="1"/>
    <col min="6660" max="6660" width="12" style="289" customWidth="1"/>
    <col min="6661" max="6661" width="15.44140625" style="289" bestFit="1" customWidth="1"/>
    <col min="6662" max="6663" width="15.109375" style="289" bestFit="1" customWidth="1"/>
    <col min="6664" max="6664" width="14.33203125" style="289" bestFit="1" customWidth="1"/>
    <col min="6665" max="6665" width="3.109375" style="289" customWidth="1"/>
    <col min="6666" max="6666" width="6.44140625" style="289" customWidth="1"/>
    <col min="6667" max="6906" width="8.88671875" style="289"/>
    <col min="6907" max="6907" width="5.5546875" style="289" bestFit="1" customWidth="1"/>
    <col min="6908" max="6908" width="9.33203125" style="289" customWidth="1"/>
    <col min="6909" max="6909" width="24.6640625" style="289" customWidth="1"/>
    <col min="6910" max="6910" width="11" style="289" bestFit="1" customWidth="1"/>
    <col min="6911" max="6911" width="7.5546875" style="289" bestFit="1" customWidth="1"/>
    <col min="6912" max="6912" width="13.5546875" style="289" customWidth="1"/>
    <col min="6913" max="6913" width="5.44140625" style="289" bestFit="1" customWidth="1"/>
    <col min="6914" max="6914" width="11.33203125" style="289" bestFit="1" customWidth="1"/>
    <col min="6915" max="6915" width="5.6640625" style="289" bestFit="1" customWidth="1"/>
    <col min="6916" max="6916" width="12" style="289" customWidth="1"/>
    <col min="6917" max="6917" width="15.44140625" style="289" bestFit="1" customWidth="1"/>
    <col min="6918" max="6919" width="15.109375" style="289" bestFit="1" customWidth="1"/>
    <col min="6920" max="6920" width="14.33203125" style="289" bestFit="1" customWidth="1"/>
    <col min="6921" max="6921" width="3.109375" style="289" customWidth="1"/>
    <col min="6922" max="6922" width="6.44140625" style="289" customWidth="1"/>
    <col min="6923" max="7162" width="8.88671875" style="289"/>
    <col min="7163" max="7163" width="5.5546875" style="289" bestFit="1" customWidth="1"/>
    <col min="7164" max="7164" width="9.33203125" style="289" customWidth="1"/>
    <col min="7165" max="7165" width="24.6640625" style="289" customWidth="1"/>
    <col min="7166" max="7166" width="11" style="289" bestFit="1" customWidth="1"/>
    <col min="7167" max="7167" width="7.5546875" style="289" bestFit="1" customWidth="1"/>
    <col min="7168" max="7168" width="13.5546875" style="289" customWidth="1"/>
    <col min="7169" max="7169" width="5.44140625" style="289" bestFit="1" customWidth="1"/>
    <col min="7170" max="7170" width="11.33203125" style="289" bestFit="1" customWidth="1"/>
    <col min="7171" max="7171" width="5.6640625" style="289" bestFit="1" customWidth="1"/>
    <col min="7172" max="7172" width="12" style="289" customWidth="1"/>
    <col min="7173" max="7173" width="15.44140625" style="289" bestFit="1" customWidth="1"/>
    <col min="7174" max="7175" width="15.109375" style="289" bestFit="1" customWidth="1"/>
    <col min="7176" max="7176" width="14.33203125" style="289" bestFit="1" customWidth="1"/>
    <col min="7177" max="7177" width="3.109375" style="289" customWidth="1"/>
    <col min="7178" max="7178" width="6.44140625" style="289" customWidth="1"/>
    <col min="7179" max="7418" width="8.88671875" style="289"/>
    <col min="7419" max="7419" width="5.5546875" style="289" bestFit="1" customWidth="1"/>
    <col min="7420" max="7420" width="9.33203125" style="289" customWidth="1"/>
    <col min="7421" max="7421" width="24.6640625" style="289" customWidth="1"/>
    <col min="7422" max="7422" width="11" style="289" bestFit="1" customWidth="1"/>
    <col min="7423" max="7423" width="7.5546875" style="289" bestFit="1" customWidth="1"/>
    <col min="7424" max="7424" width="13.5546875" style="289" customWidth="1"/>
    <col min="7425" max="7425" width="5.44140625" style="289" bestFit="1" customWidth="1"/>
    <col min="7426" max="7426" width="11.33203125" style="289" bestFit="1" customWidth="1"/>
    <col min="7427" max="7427" width="5.6640625" style="289" bestFit="1" customWidth="1"/>
    <col min="7428" max="7428" width="12" style="289" customWidth="1"/>
    <col min="7429" max="7429" width="15.44140625" style="289" bestFit="1" customWidth="1"/>
    <col min="7430" max="7431" width="15.109375" style="289" bestFit="1" customWidth="1"/>
    <col min="7432" max="7432" width="14.33203125" style="289" bestFit="1" customWidth="1"/>
    <col min="7433" max="7433" width="3.109375" style="289" customWidth="1"/>
    <col min="7434" max="7434" width="6.44140625" style="289" customWidth="1"/>
    <col min="7435" max="7674" width="8.88671875" style="289"/>
    <col min="7675" max="7675" width="5.5546875" style="289" bestFit="1" customWidth="1"/>
    <col min="7676" max="7676" width="9.33203125" style="289" customWidth="1"/>
    <col min="7677" max="7677" width="24.6640625" style="289" customWidth="1"/>
    <col min="7678" max="7678" width="11" style="289" bestFit="1" customWidth="1"/>
    <col min="7679" max="7679" width="7.5546875" style="289" bestFit="1" customWidth="1"/>
    <col min="7680" max="7680" width="13.5546875" style="289" customWidth="1"/>
    <col min="7681" max="7681" width="5.44140625" style="289" bestFit="1" customWidth="1"/>
    <col min="7682" max="7682" width="11.33203125" style="289" bestFit="1" customWidth="1"/>
    <col min="7683" max="7683" width="5.6640625" style="289" bestFit="1" customWidth="1"/>
    <col min="7684" max="7684" width="12" style="289" customWidth="1"/>
    <col min="7685" max="7685" width="15.44140625" style="289" bestFit="1" customWidth="1"/>
    <col min="7686" max="7687" width="15.109375" style="289" bestFit="1" customWidth="1"/>
    <col min="7688" max="7688" width="14.33203125" style="289" bestFit="1" customWidth="1"/>
    <col min="7689" max="7689" width="3.109375" style="289" customWidth="1"/>
    <col min="7690" max="7690" width="6.44140625" style="289" customWidth="1"/>
    <col min="7691" max="7930" width="8.88671875" style="289"/>
    <col min="7931" max="7931" width="5.5546875" style="289" bestFit="1" customWidth="1"/>
    <col min="7932" max="7932" width="9.33203125" style="289" customWidth="1"/>
    <col min="7933" max="7933" width="24.6640625" style="289" customWidth="1"/>
    <col min="7934" max="7934" width="11" style="289" bestFit="1" customWidth="1"/>
    <col min="7935" max="7935" width="7.5546875" style="289" bestFit="1" customWidth="1"/>
    <col min="7936" max="7936" width="13.5546875" style="289" customWidth="1"/>
    <col min="7937" max="7937" width="5.44140625" style="289" bestFit="1" customWidth="1"/>
    <col min="7938" max="7938" width="11.33203125" style="289" bestFit="1" customWidth="1"/>
    <col min="7939" max="7939" width="5.6640625" style="289" bestFit="1" customWidth="1"/>
    <col min="7940" max="7940" width="12" style="289" customWidth="1"/>
    <col min="7941" max="7941" width="15.44140625" style="289" bestFit="1" customWidth="1"/>
    <col min="7942" max="7943" width="15.109375" style="289" bestFit="1" customWidth="1"/>
    <col min="7944" max="7944" width="14.33203125" style="289" bestFit="1" customWidth="1"/>
    <col min="7945" max="7945" width="3.109375" style="289" customWidth="1"/>
    <col min="7946" max="7946" width="6.44140625" style="289" customWidth="1"/>
    <col min="7947" max="8186" width="8.88671875" style="289"/>
    <col min="8187" max="8187" width="5.5546875" style="289" bestFit="1" customWidth="1"/>
    <col min="8188" max="8188" width="9.33203125" style="289" customWidth="1"/>
    <col min="8189" max="8189" width="24.6640625" style="289" customWidth="1"/>
    <col min="8190" max="8190" width="11" style="289" bestFit="1" customWidth="1"/>
    <col min="8191" max="8191" width="7.5546875" style="289" bestFit="1" customWidth="1"/>
    <col min="8192" max="8192" width="13.5546875" style="289" customWidth="1"/>
    <col min="8193" max="8193" width="5.44140625" style="289" bestFit="1" customWidth="1"/>
    <col min="8194" max="8194" width="11.33203125" style="289" bestFit="1" customWidth="1"/>
    <col min="8195" max="8195" width="5.6640625" style="289" bestFit="1" customWidth="1"/>
    <col min="8196" max="8196" width="12" style="289" customWidth="1"/>
    <col min="8197" max="8197" width="15.44140625" style="289" bestFit="1" customWidth="1"/>
    <col min="8198" max="8199" width="15.109375" style="289" bestFit="1" customWidth="1"/>
    <col min="8200" max="8200" width="14.33203125" style="289" bestFit="1" customWidth="1"/>
    <col min="8201" max="8201" width="3.109375" style="289" customWidth="1"/>
    <col min="8202" max="8202" width="6.44140625" style="289" customWidth="1"/>
    <col min="8203" max="8442" width="8.88671875" style="289"/>
    <col min="8443" max="8443" width="5.5546875" style="289" bestFit="1" customWidth="1"/>
    <col min="8444" max="8444" width="9.33203125" style="289" customWidth="1"/>
    <col min="8445" max="8445" width="24.6640625" style="289" customWidth="1"/>
    <col min="8446" max="8446" width="11" style="289" bestFit="1" customWidth="1"/>
    <col min="8447" max="8447" width="7.5546875" style="289" bestFit="1" customWidth="1"/>
    <col min="8448" max="8448" width="13.5546875" style="289" customWidth="1"/>
    <col min="8449" max="8449" width="5.44140625" style="289" bestFit="1" customWidth="1"/>
    <col min="8450" max="8450" width="11.33203125" style="289" bestFit="1" customWidth="1"/>
    <col min="8451" max="8451" width="5.6640625" style="289" bestFit="1" customWidth="1"/>
    <col min="8452" max="8452" width="12" style="289" customWidth="1"/>
    <col min="8453" max="8453" width="15.44140625" style="289" bestFit="1" customWidth="1"/>
    <col min="8454" max="8455" width="15.109375" style="289" bestFit="1" customWidth="1"/>
    <col min="8456" max="8456" width="14.33203125" style="289" bestFit="1" customWidth="1"/>
    <col min="8457" max="8457" width="3.109375" style="289" customWidth="1"/>
    <col min="8458" max="8458" width="6.44140625" style="289" customWidth="1"/>
    <col min="8459" max="8698" width="8.88671875" style="289"/>
    <col min="8699" max="8699" width="5.5546875" style="289" bestFit="1" customWidth="1"/>
    <col min="8700" max="8700" width="9.33203125" style="289" customWidth="1"/>
    <col min="8701" max="8701" width="24.6640625" style="289" customWidth="1"/>
    <col min="8702" max="8702" width="11" style="289" bestFit="1" customWidth="1"/>
    <col min="8703" max="8703" width="7.5546875" style="289" bestFit="1" customWidth="1"/>
    <col min="8704" max="8704" width="13.5546875" style="289" customWidth="1"/>
    <col min="8705" max="8705" width="5.44140625" style="289" bestFit="1" customWidth="1"/>
    <col min="8706" max="8706" width="11.33203125" style="289" bestFit="1" customWidth="1"/>
    <col min="8707" max="8707" width="5.6640625" style="289" bestFit="1" customWidth="1"/>
    <col min="8708" max="8708" width="12" style="289" customWidth="1"/>
    <col min="8709" max="8709" width="15.44140625" style="289" bestFit="1" customWidth="1"/>
    <col min="8710" max="8711" width="15.109375" style="289" bestFit="1" customWidth="1"/>
    <col min="8712" max="8712" width="14.33203125" style="289" bestFit="1" customWidth="1"/>
    <col min="8713" max="8713" width="3.109375" style="289" customWidth="1"/>
    <col min="8714" max="8714" width="6.44140625" style="289" customWidth="1"/>
    <col min="8715" max="8954" width="8.88671875" style="289"/>
    <col min="8955" max="8955" width="5.5546875" style="289" bestFit="1" customWidth="1"/>
    <col min="8956" max="8956" width="9.33203125" style="289" customWidth="1"/>
    <col min="8957" max="8957" width="24.6640625" style="289" customWidth="1"/>
    <col min="8958" max="8958" width="11" style="289" bestFit="1" customWidth="1"/>
    <col min="8959" max="8959" width="7.5546875" style="289" bestFit="1" customWidth="1"/>
    <col min="8960" max="8960" width="13.5546875" style="289" customWidth="1"/>
    <col min="8961" max="8961" width="5.44140625" style="289" bestFit="1" customWidth="1"/>
    <col min="8962" max="8962" width="11.33203125" style="289" bestFit="1" customWidth="1"/>
    <col min="8963" max="8963" width="5.6640625" style="289" bestFit="1" customWidth="1"/>
    <col min="8964" max="8964" width="12" style="289" customWidth="1"/>
    <col min="8965" max="8965" width="15.44140625" style="289" bestFit="1" customWidth="1"/>
    <col min="8966" max="8967" width="15.109375" style="289" bestFit="1" customWidth="1"/>
    <col min="8968" max="8968" width="14.33203125" style="289" bestFit="1" customWidth="1"/>
    <col min="8969" max="8969" width="3.109375" style="289" customWidth="1"/>
    <col min="8970" max="8970" width="6.44140625" style="289" customWidth="1"/>
    <col min="8971" max="9210" width="8.88671875" style="289"/>
    <col min="9211" max="9211" width="5.5546875" style="289" bestFit="1" customWidth="1"/>
    <col min="9212" max="9212" width="9.33203125" style="289" customWidth="1"/>
    <col min="9213" max="9213" width="24.6640625" style="289" customWidth="1"/>
    <col min="9214" max="9214" width="11" style="289" bestFit="1" customWidth="1"/>
    <col min="9215" max="9215" width="7.5546875" style="289" bestFit="1" customWidth="1"/>
    <col min="9216" max="9216" width="13.5546875" style="289" customWidth="1"/>
    <col min="9217" max="9217" width="5.44140625" style="289" bestFit="1" customWidth="1"/>
    <col min="9218" max="9218" width="11.33203125" style="289" bestFit="1" customWidth="1"/>
    <col min="9219" max="9219" width="5.6640625" style="289" bestFit="1" customWidth="1"/>
    <col min="9220" max="9220" width="12" style="289" customWidth="1"/>
    <col min="9221" max="9221" width="15.44140625" style="289" bestFit="1" customWidth="1"/>
    <col min="9222" max="9223" width="15.109375" style="289" bestFit="1" customWidth="1"/>
    <col min="9224" max="9224" width="14.33203125" style="289" bestFit="1" customWidth="1"/>
    <col min="9225" max="9225" width="3.109375" style="289" customWidth="1"/>
    <col min="9226" max="9226" width="6.44140625" style="289" customWidth="1"/>
    <col min="9227" max="9466" width="8.88671875" style="289"/>
    <col min="9467" max="9467" width="5.5546875" style="289" bestFit="1" customWidth="1"/>
    <col min="9468" max="9468" width="9.33203125" style="289" customWidth="1"/>
    <col min="9469" max="9469" width="24.6640625" style="289" customWidth="1"/>
    <col min="9470" max="9470" width="11" style="289" bestFit="1" customWidth="1"/>
    <col min="9471" max="9471" width="7.5546875" style="289" bestFit="1" customWidth="1"/>
    <col min="9472" max="9472" width="13.5546875" style="289" customWidth="1"/>
    <col min="9473" max="9473" width="5.44140625" style="289" bestFit="1" customWidth="1"/>
    <col min="9474" max="9474" width="11.33203125" style="289" bestFit="1" customWidth="1"/>
    <col min="9475" max="9475" width="5.6640625" style="289" bestFit="1" customWidth="1"/>
    <col min="9476" max="9476" width="12" style="289" customWidth="1"/>
    <col min="9477" max="9477" width="15.44140625" style="289" bestFit="1" customWidth="1"/>
    <col min="9478" max="9479" width="15.109375" style="289" bestFit="1" customWidth="1"/>
    <col min="9480" max="9480" width="14.33203125" style="289" bestFit="1" customWidth="1"/>
    <col min="9481" max="9481" width="3.109375" style="289" customWidth="1"/>
    <col min="9482" max="9482" width="6.44140625" style="289" customWidth="1"/>
    <col min="9483" max="9722" width="8.88671875" style="289"/>
    <col min="9723" max="9723" width="5.5546875" style="289" bestFit="1" customWidth="1"/>
    <col min="9724" max="9724" width="9.33203125" style="289" customWidth="1"/>
    <col min="9725" max="9725" width="24.6640625" style="289" customWidth="1"/>
    <col min="9726" max="9726" width="11" style="289" bestFit="1" customWidth="1"/>
    <col min="9727" max="9727" width="7.5546875" style="289" bestFit="1" customWidth="1"/>
    <col min="9728" max="9728" width="13.5546875" style="289" customWidth="1"/>
    <col min="9729" max="9729" width="5.44140625" style="289" bestFit="1" customWidth="1"/>
    <col min="9730" max="9730" width="11.33203125" style="289" bestFit="1" customWidth="1"/>
    <col min="9731" max="9731" width="5.6640625" style="289" bestFit="1" customWidth="1"/>
    <col min="9732" max="9732" width="12" style="289" customWidth="1"/>
    <col min="9733" max="9733" width="15.44140625" style="289" bestFit="1" customWidth="1"/>
    <col min="9734" max="9735" width="15.109375" style="289" bestFit="1" customWidth="1"/>
    <col min="9736" max="9736" width="14.33203125" style="289" bestFit="1" customWidth="1"/>
    <col min="9737" max="9737" width="3.109375" style="289" customWidth="1"/>
    <col min="9738" max="9738" width="6.44140625" style="289" customWidth="1"/>
    <col min="9739" max="9978" width="8.88671875" style="289"/>
    <col min="9979" max="9979" width="5.5546875" style="289" bestFit="1" customWidth="1"/>
    <col min="9980" max="9980" width="9.33203125" style="289" customWidth="1"/>
    <col min="9981" max="9981" width="24.6640625" style="289" customWidth="1"/>
    <col min="9982" max="9982" width="11" style="289" bestFit="1" customWidth="1"/>
    <col min="9983" max="9983" width="7.5546875" style="289" bestFit="1" customWidth="1"/>
    <col min="9984" max="9984" width="13.5546875" style="289" customWidth="1"/>
    <col min="9985" max="9985" width="5.44140625" style="289" bestFit="1" customWidth="1"/>
    <col min="9986" max="9986" width="11.33203125" style="289" bestFit="1" customWidth="1"/>
    <col min="9987" max="9987" width="5.6640625" style="289" bestFit="1" customWidth="1"/>
    <col min="9988" max="9988" width="12" style="289" customWidth="1"/>
    <col min="9989" max="9989" width="15.44140625" style="289" bestFit="1" customWidth="1"/>
    <col min="9990" max="9991" width="15.109375" style="289" bestFit="1" customWidth="1"/>
    <col min="9992" max="9992" width="14.33203125" style="289" bestFit="1" customWidth="1"/>
    <col min="9993" max="9993" width="3.109375" style="289" customWidth="1"/>
    <col min="9994" max="9994" width="6.44140625" style="289" customWidth="1"/>
    <col min="9995" max="10234" width="8.88671875" style="289"/>
    <col min="10235" max="10235" width="5.5546875" style="289" bestFit="1" customWidth="1"/>
    <col min="10236" max="10236" width="9.33203125" style="289" customWidth="1"/>
    <col min="10237" max="10237" width="24.6640625" style="289" customWidth="1"/>
    <col min="10238" max="10238" width="11" style="289" bestFit="1" customWidth="1"/>
    <col min="10239" max="10239" width="7.5546875" style="289" bestFit="1" customWidth="1"/>
    <col min="10240" max="10240" width="13.5546875" style="289" customWidth="1"/>
    <col min="10241" max="10241" width="5.44140625" style="289" bestFit="1" customWidth="1"/>
    <col min="10242" max="10242" width="11.33203125" style="289" bestFit="1" customWidth="1"/>
    <col min="10243" max="10243" width="5.6640625" style="289" bestFit="1" customWidth="1"/>
    <col min="10244" max="10244" width="12" style="289" customWidth="1"/>
    <col min="10245" max="10245" width="15.44140625" style="289" bestFit="1" customWidth="1"/>
    <col min="10246" max="10247" width="15.109375" style="289" bestFit="1" customWidth="1"/>
    <col min="10248" max="10248" width="14.33203125" style="289" bestFit="1" customWidth="1"/>
    <col min="10249" max="10249" width="3.109375" style="289" customWidth="1"/>
    <col min="10250" max="10250" width="6.44140625" style="289" customWidth="1"/>
    <col min="10251" max="10490" width="8.88671875" style="289"/>
    <col min="10491" max="10491" width="5.5546875" style="289" bestFit="1" customWidth="1"/>
    <col min="10492" max="10492" width="9.33203125" style="289" customWidth="1"/>
    <col min="10493" max="10493" width="24.6640625" style="289" customWidth="1"/>
    <col min="10494" max="10494" width="11" style="289" bestFit="1" customWidth="1"/>
    <col min="10495" max="10495" width="7.5546875" style="289" bestFit="1" customWidth="1"/>
    <col min="10496" max="10496" width="13.5546875" style="289" customWidth="1"/>
    <col min="10497" max="10497" width="5.44140625" style="289" bestFit="1" customWidth="1"/>
    <col min="10498" max="10498" width="11.33203125" style="289" bestFit="1" customWidth="1"/>
    <col min="10499" max="10499" width="5.6640625" style="289" bestFit="1" customWidth="1"/>
    <col min="10500" max="10500" width="12" style="289" customWidth="1"/>
    <col min="10501" max="10501" width="15.44140625" style="289" bestFit="1" customWidth="1"/>
    <col min="10502" max="10503" width="15.109375" style="289" bestFit="1" customWidth="1"/>
    <col min="10504" max="10504" width="14.33203125" style="289" bestFit="1" customWidth="1"/>
    <col min="10505" max="10505" width="3.109375" style="289" customWidth="1"/>
    <col min="10506" max="10506" width="6.44140625" style="289" customWidth="1"/>
    <col min="10507" max="10746" width="8.88671875" style="289"/>
    <col min="10747" max="10747" width="5.5546875" style="289" bestFit="1" customWidth="1"/>
    <col min="10748" max="10748" width="9.33203125" style="289" customWidth="1"/>
    <col min="10749" max="10749" width="24.6640625" style="289" customWidth="1"/>
    <col min="10750" max="10750" width="11" style="289" bestFit="1" customWidth="1"/>
    <col min="10751" max="10751" width="7.5546875" style="289" bestFit="1" customWidth="1"/>
    <col min="10752" max="10752" width="13.5546875" style="289" customWidth="1"/>
    <col min="10753" max="10753" width="5.44140625" style="289" bestFit="1" customWidth="1"/>
    <col min="10754" max="10754" width="11.33203125" style="289" bestFit="1" customWidth="1"/>
    <col min="10755" max="10755" width="5.6640625" style="289" bestFit="1" customWidth="1"/>
    <col min="10756" max="10756" width="12" style="289" customWidth="1"/>
    <col min="10757" max="10757" width="15.44140625" style="289" bestFit="1" customWidth="1"/>
    <col min="10758" max="10759" width="15.109375" style="289" bestFit="1" customWidth="1"/>
    <col min="10760" max="10760" width="14.33203125" style="289" bestFit="1" customWidth="1"/>
    <col min="10761" max="10761" width="3.109375" style="289" customWidth="1"/>
    <col min="10762" max="10762" width="6.44140625" style="289" customWidth="1"/>
    <col min="10763" max="11002" width="8.88671875" style="289"/>
    <col min="11003" max="11003" width="5.5546875" style="289" bestFit="1" customWidth="1"/>
    <col min="11004" max="11004" width="9.33203125" style="289" customWidth="1"/>
    <col min="11005" max="11005" width="24.6640625" style="289" customWidth="1"/>
    <col min="11006" max="11006" width="11" style="289" bestFit="1" customWidth="1"/>
    <col min="11007" max="11007" width="7.5546875" style="289" bestFit="1" customWidth="1"/>
    <col min="11008" max="11008" width="13.5546875" style="289" customWidth="1"/>
    <col min="11009" max="11009" width="5.44140625" style="289" bestFit="1" customWidth="1"/>
    <col min="11010" max="11010" width="11.33203125" style="289" bestFit="1" customWidth="1"/>
    <col min="11011" max="11011" width="5.6640625" style="289" bestFit="1" customWidth="1"/>
    <col min="11012" max="11012" width="12" style="289" customWidth="1"/>
    <col min="11013" max="11013" width="15.44140625" style="289" bestFit="1" customWidth="1"/>
    <col min="11014" max="11015" width="15.109375" style="289" bestFit="1" customWidth="1"/>
    <col min="11016" max="11016" width="14.33203125" style="289" bestFit="1" customWidth="1"/>
    <col min="11017" max="11017" width="3.109375" style="289" customWidth="1"/>
    <col min="11018" max="11018" width="6.44140625" style="289" customWidth="1"/>
    <col min="11019" max="11258" width="8.88671875" style="289"/>
    <col min="11259" max="11259" width="5.5546875" style="289" bestFit="1" customWidth="1"/>
    <col min="11260" max="11260" width="9.33203125" style="289" customWidth="1"/>
    <col min="11261" max="11261" width="24.6640625" style="289" customWidth="1"/>
    <col min="11262" max="11262" width="11" style="289" bestFit="1" customWidth="1"/>
    <col min="11263" max="11263" width="7.5546875" style="289" bestFit="1" customWidth="1"/>
    <col min="11264" max="11264" width="13.5546875" style="289" customWidth="1"/>
    <col min="11265" max="11265" width="5.44140625" style="289" bestFit="1" customWidth="1"/>
    <col min="11266" max="11266" width="11.33203125" style="289" bestFit="1" customWidth="1"/>
    <col min="11267" max="11267" width="5.6640625" style="289" bestFit="1" customWidth="1"/>
    <col min="11268" max="11268" width="12" style="289" customWidth="1"/>
    <col min="11269" max="11269" width="15.44140625" style="289" bestFit="1" customWidth="1"/>
    <col min="11270" max="11271" width="15.109375" style="289" bestFit="1" customWidth="1"/>
    <col min="11272" max="11272" width="14.33203125" style="289" bestFit="1" customWidth="1"/>
    <col min="11273" max="11273" width="3.109375" style="289" customWidth="1"/>
    <col min="11274" max="11274" width="6.44140625" style="289" customWidth="1"/>
    <col min="11275" max="11514" width="8.88671875" style="289"/>
    <col min="11515" max="11515" width="5.5546875" style="289" bestFit="1" customWidth="1"/>
    <col min="11516" max="11516" width="9.33203125" style="289" customWidth="1"/>
    <col min="11517" max="11517" width="24.6640625" style="289" customWidth="1"/>
    <col min="11518" max="11518" width="11" style="289" bestFit="1" customWidth="1"/>
    <col min="11519" max="11519" width="7.5546875" style="289" bestFit="1" customWidth="1"/>
    <col min="11520" max="11520" width="13.5546875" style="289" customWidth="1"/>
    <col min="11521" max="11521" width="5.44140625" style="289" bestFit="1" customWidth="1"/>
    <col min="11522" max="11522" width="11.33203125" style="289" bestFit="1" customWidth="1"/>
    <col min="11523" max="11523" width="5.6640625" style="289" bestFit="1" customWidth="1"/>
    <col min="11524" max="11524" width="12" style="289" customWidth="1"/>
    <col min="11525" max="11525" width="15.44140625" style="289" bestFit="1" customWidth="1"/>
    <col min="11526" max="11527" width="15.109375" style="289" bestFit="1" customWidth="1"/>
    <col min="11528" max="11528" width="14.33203125" style="289" bestFit="1" customWidth="1"/>
    <col min="11529" max="11529" width="3.109375" style="289" customWidth="1"/>
    <col min="11530" max="11530" width="6.44140625" style="289" customWidth="1"/>
    <col min="11531" max="11770" width="8.88671875" style="289"/>
    <col min="11771" max="11771" width="5.5546875" style="289" bestFit="1" customWidth="1"/>
    <col min="11772" max="11772" width="9.33203125" style="289" customWidth="1"/>
    <col min="11773" max="11773" width="24.6640625" style="289" customWidth="1"/>
    <col min="11774" max="11774" width="11" style="289" bestFit="1" customWidth="1"/>
    <col min="11775" max="11775" width="7.5546875" style="289" bestFit="1" customWidth="1"/>
    <col min="11776" max="11776" width="13.5546875" style="289" customWidth="1"/>
    <col min="11777" max="11777" width="5.44140625" style="289" bestFit="1" customWidth="1"/>
    <col min="11778" max="11778" width="11.33203125" style="289" bestFit="1" customWidth="1"/>
    <col min="11779" max="11779" width="5.6640625" style="289" bestFit="1" customWidth="1"/>
    <col min="11780" max="11780" width="12" style="289" customWidth="1"/>
    <col min="11781" max="11781" width="15.44140625" style="289" bestFit="1" customWidth="1"/>
    <col min="11782" max="11783" width="15.109375" style="289" bestFit="1" customWidth="1"/>
    <col min="11784" max="11784" width="14.33203125" style="289" bestFit="1" customWidth="1"/>
    <col min="11785" max="11785" width="3.109375" style="289" customWidth="1"/>
    <col min="11786" max="11786" width="6.44140625" style="289" customWidth="1"/>
    <col min="11787" max="12026" width="8.88671875" style="289"/>
    <col min="12027" max="12027" width="5.5546875" style="289" bestFit="1" customWidth="1"/>
    <col min="12028" max="12028" width="9.33203125" style="289" customWidth="1"/>
    <col min="12029" max="12029" width="24.6640625" style="289" customWidth="1"/>
    <col min="12030" max="12030" width="11" style="289" bestFit="1" customWidth="1"/>
    <col min="12031" max="12031" width="7.5546875" style="289" bestFit="1" customWidth="1"/>
    <col min="12032" max="12032" width="13.5546875" style="289" customWidth="1"/>
    <col min="12033" max="12033" width="5.44140625" style="289" bestFit="1" customWidth="1"/>
    <col min="12034" max="12034" width="11.33203125" style="289" bestFit="1" customWidth="1"/>
    <col min="12035" max="12035" width="5.6640625" style="289" bestFit="1" customWidth="1"/>
    <col min="12036" max="12036" width="12" style="289" customWidth="1"/>
    <col min="12037" max="12037" width="15.44140625" style="289" bestFit="1" customWidth="1"/>
    <col min="12038" max="12039" width="15.109375" style="289" bestFit="1" customWidth="1"/>
    <col min="12040" max="12040" width="14.33203125" style="289" bestFit="1" customWidth="1"/>
    <col min="12041" max="12041" width="3.109375" style="289" customWidth="1"/>
    <col min="12042" max="12042" width="6.44140625" style="289" customWidth="1"/>
    <col min="12043" max="12282" width="8.88671875" style="289"/>
    <col min="12283" max="12283" width="5.5546875" style="289" bestFit="1" customWidth="1"/>
    <col min="12284" max="12284" width="9.33203125" style="289" customWidth="1"/>
    <col min="12285" max="12285" width="24.6640625" style="289" customWidth="1"/>
    <col min="12286" max="12286" width="11" style="289" bestFit="1" customWidth="1"/>
    <col min="12287" max="12287" width="7.5546875" style="289" bestFit="1" customWidth="1"/>
    <col min="12288" max="12288" width="13.5546875" style="289" customWidth="1"/>
    <col min="12289" max="12289" width="5.44140625" style="289" bestFit="1" customWidth="1"/>
    <col min="12290" max="12290" width="11.33203125" style="289" bestFit="1" customWidth="1"/>
    <col min="12291" max="12291" width="5.6640625" style="289" bestFit="1" customWidth="1"/>
    <col min="12292" max="12292" width="12" style="289" customWidth="1"/>
    <col min="12293" max="12293" width="15.44140625" style="289" bestFit="1" customWidth="1"/>
    <col min="12294" max="12295" width="15.109375" style="289" bestFit="1" customWidth="1"/>
    <col min="12296" max="12296" width="14.33203125" style="289" bestFit="1" customWidth="1"/>
    <col min="12297" max="12297" width="3.109375" style="289" customWidth="1"/>
    <col min="12298" max="12298" width="6.44140625" style="289" customWidth="1"/>
    <col min="12299" max="12538" width="8.88671875" style="289"/>
    <col min="12539" max="12539" width="5.5546875" style="289" bestFit="1" customWidth="1"/>
    <col min="12540" max="12540" width="9.33203125" style="289" customWidth="1"/>
    <col min="12541" max="12541" width="24.6640625" style="289" customWidth="1"/>
    <col min="12542" max="12542" width="11" style="289" bestFit="1" customWidth="1"/>
    <col min="12543" max="12543" width="7.5546875" style="289" bestFit="1" customWidth="1"/>
    <col min="12544" max="12544" width="13.5546875" style="289" customWidth="1"/>
    <col min="12545" max="12545" width="5.44140625" style="289" bestFit="1" customWidth="1"/>
    <col min="12546" max="12546" width="11.33203125" style="289" bestFit="1" customWidth="1"/>
    <col min="12547" max="12547" width="5.6640625" style="289" bestFit="1" customWidth="1"/>
    <col min="12548" max="12548" width="12" style="289" customWidth="1"/>
    <col min="12549" max="12549" width="15.44140625" style="289" bestFit="1" customWidth="1"/>
    <col min="12550" max="12551" width="15.109375" style="289" bestFit="1" customWidth="1"/>
    <col min="12552" max="12552" width="14.33203125" style="289" bestFit="1" customWidth="1"/>
    <col min="12553" max="12553" width="3.109375" style="289" customWidth="1"/>
    <col min="12554" max="12554" width="6.44140625" style="289" customWidth="1"/>
    <col min="12555" max="12794" width="8.88671875" style="289"/>
    <col min="12795" max="12795" width="5.5546875" style="289" bestFit="1" customWidth="1"/>
    <col min="12796" max="12796" width="9.33203125" style="289" customWidth="1"/>
    <col min="12797" max="12797" width="24.6640625" style="289" customWidth="1"/>
    <col min="12798" max="12798" width="11" style="289" bestFit="1" customWidth="1"/>
    <col min="12799" max="12799" width="7.5546875" style="289" bestFit="1" customWidth="1"/>
    <col min="12800" max="12800" width="13.5546875" style="289" customWidth="1"/>
    <col min="12801" max="12801" width="5.44140625" style="289" bestFit="1" customWidth="1"/>
    <col min="12802" max="12802" width="11.33203125" style="289" bestFit="1" customWidth="1"/>
    <col min="12803" max="12803" width="5.6640625" style="289" bestFit="1" customWidth="1"/>
    <col min="12804" max="12804" width="12" style="289" customWidth="1"/>
    <col min="12805" max="12805" width="15.44140625" style="289" bestFit="1" customWidth="1"/>
    <col min="12806" max="12807" width="15.109375" style="289" bestFit="1" customWidth="1"/>
    <col min="12808" max="12808" width="14.33203125" style="289" bestFit="1" customWidth="1"/>
    <col min="12809" max="12809" width="3.109375" style="289" customWidth="1"/>
    <col min="12810" max="12810" width="6.44140625" style="289" customWidth="1"/>
    <col min="12811" max="13050" width="8.88671875" style="289"/>
    <col min="13051" max="13051" width="5.5546875" style="289" bestFit="1" customWidth="1"/>
    <col min="13052" max="13052" width="9.33203125" style="289" customWidth="1"/>
    <col min="13053" max="13053" width="24.6640625" style="289" customWidth="1"/>
    <col min="13054" max="13054" width="11" style="289" bestFit="1" customWidth="1"/>
    <col min="13055" max="13055" width="7.5546875" style="289" bestFit="1" customWidth="1"/>
    <col min="13056" max="13056" width="13.5546875" style="289" customWidth="1"/>
    <col min="13057" max="13057" width="5.44140625" style="289" bestFit="1" customWidth="1"/>
    <col min="13058" max="13058" width="11.33203125" style="289" bestFit="1" customWidth="1"/>
    <col min="13059" max="13059" width="5.6640625" style="289" bestFit="1" customWidth="1"/>
    <col min="13060" max="13060" width="12" style="289" customWidth="1"/>
    <col min="13061" max="13061" width="15.44140625" style="289" bestFit="1" customWidth="1"/>
    <col min="13062" max="13063" width="15.109375" style="289" bestFit="1" customWidth="1"/>
    <col min="13064" max="13064" width="14.33203125" style="289" bestFit="1" customWidth="1"/>
    <col min="13065" max="13065" width="3.109375" style="289" customWidth="1"/>
    <col min="13066" max="13066" width="6.44140625" style="289" customWidth="1"/>
    <col min="13067" max="13306" width="8.88671875" style="289"/>
    <col min="13307" max="13307" width="5.5546875" style="289" bestFit="1" customWidth="1"/>
    <col min="13308" max="13308" width="9.33203125" style="289" customWidth="1"/>
    <col min="13309" max="13309" width="24.6640625" style="289" customWidth="1"/>
    <col min="13310" max="13310" width="11" style="289" bestFit="1" customWidth="1"/>
    <col min="13311" max="13311" width="7.5546875" style="289" bestFit="1" customWidth="1"/>
    <col min="13312" max="13312" width="13.5546875" style="289" customWidth="1"/>
    <col min="13313" max="13313" width="5.44140625" style="289" bestFit="1" customWidth="1"/>
    <col min="13314" max="13314" width="11.33203125" style="289" bestFit="1" customWidth="1"/>
    <col min="13315" max="13315" width="5.6640625" style="289" bestFit="1" customWidth="1"/>
    <col min="13316" max="13316" width="12" style="289" customWidth="1"/>
    <col min="13317" max="13317" width="15.44140625" style="289" bestFit="1" customWidth="1"/>
    <col min="13318" max="13319" width="15.109375" style="289" bestFit="1" customWidth="1"/>
    <col min="13320" max="13320" width="14.33203125" style="289" bestFit="1" customWidth="1"/>
    <col min="13321" max="13321" width="3.109375" style="289" customWidth="1"/>
    <col min="13322" max="13322" width="6.44140625" style="289" customWidth="1"/>
    <col min="13323" max="13562" width="8.88671875" style="289"/>
    <col min="13563" max="13563" width="5.5546875" style="289" bestFit="1" customWidth="1"/>
    <col min="13564" max="13564" width="9.33203125" style="289" customWidth="1"/>
    <col min="13565" max="13565" width="24.6640625" style="289" customWidth="1"/>
    <col min="13566" max="13566" width="11" style="289" bestFit="1" customWidth="1"/>
    <col min="13567" max="13567" width="7.5546875" style="289" bestFit="1" customWidth="1"/>
    <col min="13568" max="13568" width="13.5546875" style="289" customWidth="1"/>
    <col min="13569" max="13569" width="5.44140625" style="289" bestFit="1" customWidth="1"/>
    <col min="13570" max="13570" width="11.33203125" style="289" bestFit="1" customWidth="1"/>
    <col min="13571" max="13571" width="5.6640625" style="289" bestFit="1" customWidth="1"/>
    <col min="13572" max="13572" width="12" style="289" customWidth="1"/>
    <col min="13573" max="13573" width="15.44140625" style="289" bestFit="1" customWidth="1"/>
    <col min="13574" max="13575" width="15.109375" style="289" bestFit="1" customWidth="1"/>
    <col min="13576" max="13576" width="14.33203125" style="289" bestFit="1" customWidth="1"/>
    <col min="13577" max="13577" width="3.109375" style="289" customWidth="1"/>
    <col min="13578" max="13578" width="6.44140625" style="289" customWidth="1"/>
    <col min="13579" max="13818" width="8.88671875" style="289"/>
    <col min="13819" max="13819" width="5.5546875" style="289" bestFit="1" customWidth="1"/>
    <col min="13820" max="13820" width="9.33203125" style="289" customWidth="1"/>
    <col min="13821" max="13821" width="24.6640625" style="289" customWidth="1"/>
    <col min="13822" max="13822" width="11" style="289" bestFit="1" customWidth="1"/>
    <col min="13823" max="13823" width="7.5546875" style="289" bestFit="1" customWidth="1"/>
    <col min="13824" max="13824" width="13.5546875" style="289" customWidth="1"/>
    <col min="13825" max="13825" width="5.44140625" style="289" bestFit="1" customWidth="1"/>
    <col min="13826" max="13826" width="11.33203125" style="289" bestFit="1" customWidth="1"/>
    <col min="13827" max="13827" width="5.6640625" style="289" bestFit="1" customWidth="1"/>
    <col min="13828" max="13828" width="12" style="289" customWidth="1"/>
    <col min="13829" max="13829" width="15.44140625" style="289" bestFit="1" customWidth="1"/>
    <col min="13830" max="13831" width="15.109375" style="289" bestFit="1" customWidth="1"/>
    <col min="13832" max="13832" width="14.33203125" style="289" bestFit="1" customWidth="1"/>
    <col min="13833" max="13833" width="3.109375" style="289" customWidth="1"/>
    <col min="13834" max="13834" width="6.44140625" style="289" customWidth="1"/>
    <col min="13835" max="14074" width="8.88671875" style="289"/>
    <col min="14075" max="14075" width="5.5546875" style="289" bestFit="1" customWidth="1"/>
    <col min="14076" max="14076" width="9.33203125" style="289" customWidth="1"/>
    <col min="14077" max="14077" width="24.6640625" style="289" customWidth="1"/>
    <col min="14078" max="14078" width="11" style="289" bestFit="1" customWidth="1"/>
    <col min="14079" max="14079" width="7.5546875" style="289" bestFit="1" customWidth="1"/>
    <col min="14080" max="14080" width="13.5546875" style="289" customWidth="1"/>
    <col min="14081" max="14081" width="5.44140625" style="289" bestFit="1" customWidth="1"/>
    <col min="14082" max="14082" width="11.33203125" style="289" bestFit="1" customWidth="1"/>
    <col min="14083" max="14083" width="5.6640625" style="289" bestFit="1" customWidth="1"/>
    <col min="14084" max="14084" width="12" style="289" customWidth="1"/>
    <col min="14085" max="14085" width="15.44140625" style="289" bestFit="1" customWidth="1"/>
    <col min="14086" max="14087" width="15.109375" style="289" bestFit="1" customWidth="1"/>
    <col min="14088" max="14088" width="14.33203125" style="289" bestFit="1" customWidth="1"/>
    <col min="14089" max="14089" width="3.109375" style="289" customWidth="1"/>
    <col min="14090" max="14090" width="6.44140625" style="289" customWidth="1"/>
    <col min="14091" max="14330" width="8.88671875" style="289"/>
    <col min="14331" max="14331" width="5.5546875" style="289" bestFit="1" customWidth="1"/>
    <col min="14332" max="14332" width="9.33203125" style="289" customWidth="1"/>
    <col min="14333" max="14333" width="24.6640625" style="289" customWidth="1"/>
    <col min="14334" max="14334" width="11" style="289" bestFit="1" customWidth="1"/>
    <col min="14335" max="14335" width="7.5546875" style="289" bestFit="1" customWidth="1"/>
    <col min="14336" max="14336" width="13.5546875" style="289" customWidth="1"/>
    <col min="14337" max="14337" width="5.44140625" style="289" bestFit="1" customWidth="1"/>
    <col min="14338" max="14338" width="11.33203125" style="289" bestFit="1" customWidth="1"/>
    <col min="14339" max="14339" width="5.6640625" style="289" bestFit="1" customWidth="1"/>
    <col min="14340" max="14340" width="12" style="289" customWidth="1"/>
    <col min="14341" max="14341" width="15.44140625" style="289" bestFit="1" customWidth="1"/>
    <col min="14342" max="14343" width="15.109375" style="289" bestFit="1" customWidth="1"/>
    <col min="14344" max="14344" width="14.33203125" style="289" bestFit="1" customWidth="1"/>
    <col min="14345" max="14345" width="3.109375" style="289" customWidth="1"/>
    <col min="14346" max="14346" width="6.44140625" style="289" customWidth="1"/>
    <col min="14347" max="14586" width="8.88671875" style="289"/>
    <col min="14587" max="14587" width="5.5546875" style="289" bestFit="1" customWidth="1"/>
    <col min="14588" max="14588" width="9.33203125" style="289" customWidth="1"/>
    <col min="14589" max="14589" width="24.6640625" style="289" customWidth="1"/>
    <col min="14590" max="14590" width="11" style="289" bestFit="1" customWidth="1"/>
    <col min="14591" max="14591" width="7.5546875" style="289" bestFit="1" customWidth="1"/>
    <col min="14592" max="14592" width="13.5546875" style="289" customWidth="1"/>
    <col min="14593" max="14593" width="5.44140625" style="289" bestFit="1" customWidth="1"/>
    <col min="14594" max="14594" width="11.33203125" style="289" bestFit="1" customWidth="1"/>
    <col min="14595" max="14595" width="5.6640625" style="289" bestFit="1" customWidth="1"/>
    <col min="14596" max="14596" width="12" style="289" customWidth="1"/>
    <col min="14597" max="14597" width="15.44140625" style="289" bestFit="1" customWidth="1"/>
    <col min="14598" max="14599" width="15.109375" style="289" bestFit="1" customWidth="1"/>
    <col min="14600" max="14600" width="14.33203125" style="289" bestFit="1" customWidth="1"/>
    <col min="14601" max="14601" width="3.109375" style="289" customWidth="1"/>
    <col min="14602" max="14602" width="6.44140625" style="289" customWidth="1"/>
    <col min="14603" max="14842" width="8.88671875" style="289"/>
    <col min="14843" max="14843" width="5.5546875" style="289" bestFit="1" customWidth="1"/>
    <col min="14844" max="14844" width="9.33203125" style="289" customWidth="1"/>
    <col min="14845" max="14845" width="24.6640625" style="289" customWidth="1"/>
    <col min="14846" max="14846" width="11" style="289" bestFit="1" customWidth="1"/>
    <col min="14847" max="14847" width="7.5546875" style="289" bestFit="1" customWidth="1"/>
    <col min="14848" max="14848" width="13.5546875" style="289" customWidth="1"/>
    <col min="14849" max="14849" width="5.44140625" style="289" bestFit="1" customWidth="1"/>
    <col min="14850" max="14850" width="11.33203125" style="289" bestFit="1" customWidth="1"/>
    <col min="14851" max="14851" width="5.6640625" style="289" bestFit="1" customWidth="1"/>
    <col min="14852" max="14852" width="12" style="289" customWidth="1"/>
    <col min="14853" max="14853" width="15.44140625" style="289" bestFit="1" customWidth="1"/>
    <col min="14854" max="14855" width="15.109375" style="289" bestFit="1" customWidth="1"/>
    <col min="14856" max="14856" width="14.33203125" style="289" bestFit="1" customWidth="1"/>
    <col min="14857" max="14857" width="3.109375" style="289" customWidth="1"/>
    <col min="14858" max="14858" width="6.44140625" style="289" customWidth="1"/>
    <col min="14859" max="15098" width="8.88671875" style="289"/>
    <col min="15099" max="15099" width="5.5546875" style="289" bestFit="1" customWidth="1"/>
    <col min="15100" max="15100" width="9.33203125" style="289" customWidth="1"/>
    <col min="15101" max="15101" width="24.6640625" style="289" customWidth="1"/>
    <col min="15102" max="15102" width="11" style="289" bestFit="1" customWidth="1"/>
    <col min="15103" max="15103" width="7.5546875" style="289" bestFit="1" customWidth="1"/>
    <col min="15104" max="15104" width="13.5546875" style="289" customWidth="1"/>
    <col min="15105" max="15105" width="5.44140625" style="289" bestFit="1" customWidth="1"/>
    <col min="15106" max="15106" width="11.33203125" style="289" bestFit="1" customWidth="1"/>
    <col min="15107" max="15107" width="5.6640625" style="289" bestFit="1" customWidth="1"/>
    <col min="15108" max="15108" width="12" style="289" customWidth="1"/>
    <col min="15109" max="15109" width="15.44140625" style="289" bestFit="1" customWidth="1"/>
    <col min="15110" max="15111" width="15.109375" style="289" bestFit="1" customWidth="1"/>
    <col min="15112" max="15112" width="14.33203125" style="289" bestFit="1" customWidth="1"/>
    <col min="15113" max="15113" width="3.109375" style="289" customWidth="1"/>
    <col min="15114" max="15114" width="6.44140625" style="289" customWidth="1"/>
    <col min="15115" max="15354" width="8.88671875" style="289"/>
    <col min="15355" max="15355" width="5.5546875" style="289" bestFit="1" customWidth="1"/>
    <col min="15356" max="15356" width="9.33203125" style="289" customWidth="1"/>
    <col min="15357" max="15357" width="24.6640625" style="289" customWidth="1"/>
    <col min="15358" max="15358" width="11" style="289" bestFit="1" customWidth="1"/>
    <col min="15359" max="15359" width="7.5546875" style="289" bestFit="1" customWidth="1"/>
    <col min="15360" max="15360" width="13.5546875" style="289" customWidth="1"/>
    <col min="15361" max="15361" width="5.44140625" style="289" bestFit="1" customWidth="1"/>
    <col min="15362" max="15362" width="11.33203125" style="289" bestFit="1" customWidth="1"/>
    <col min="15363" max="15363" width="5.6640625" style="289" bestFit="1" customWidth="1"/>
    <col min="15364" max="15364" width="12" style="289" customWidth="1"/>
    <col min="15365" max="15365" width="15.44140625" style="289" bestFit="1" customWidth="1"/>
    <col min="15366" max="15367" width="15.109375" style="289" bestFit="1" customWidth="1"/>
    <col min="15368" max="15368" width="14.33203125" style="289" bestFit="1" customWidth="1"/>
    <col min="15369" max="15369" width="3.109375" style="289" customWidth="1"/>
    <col min="15370" max="15370" width="6.44140625" style="289" customWidth="1"/>
    <col min="15371" max="15610" width="8.88671875" style="289"/>
    <col min="15611" max="15611" width="5.5546875" style="289" bestFit="1" customWidth="1"/>
    <col min="15612" max="15612" width="9.33203125" style="289" customWidth="1"/>
    <col min="15613" max="15613" width="24.6640625" style="289" customWidth="1"/>
    <col min="15614" max="15614" width="11" style="289" bestFit="1" customWidth="1"/>
    <col min="15615" max="15615" width="7.5546875" style="289" bestFit="1" customWidth="1"/>
    <col min="15616" max="15616" width="13.5546875" style="289" customWidth="1"/>
    <col min="15617" max="15617" width="5.44140625" style="289" bestFit="1" customWidth="1"/>
    <col min="15618" max="15618" width="11.33203125" style="289" bestFit="1" customWidth="1"/>
    <col min="15619" max="15619" width="5.6640625" style="289" bestFit="1" customWidth="1"/>
    <col min="15620" max="15620" width="12" style="289" customWidth="1"/>
    <col min="15621" max="15621" width="15.44140625" style="289" bestFit="1" customWidth="1"/>
    <col min="15622" max="15623" width="15.109375" style="289" bestFit="1" customWidth="1"/>
    <col min="15624" max="15624" width="14.33203125" style="289" bestFit="1" customWidth="1"/>
    <col min="15625" max="15625" width="3.109375" style="289" customWidth="1"/>
    <col min="15626" max="15626" width="6.44140625" style="289" customWidth="1"/>
    <col min="15627" max="15866" width="8.88671875" style="289"/>
    <col min="15867" max="15867" width="5.5546875" style="289" bestFit="1" customWidth="1"/>
    <col min="15868" max="15868" width="9.33203125" style="289" customWidth="1"/>
    <col min="15869" max="15869" width="24.6640625" style="289" customWidth="1"/>
    <col min="15870" max="15870" width="11" style="289" bestFit="1" customWidth="1"/>
    <col min="15871" max="15871" width="7.5546875" style="289" bestFit="1" customWidth="1"/>
    <col min="15872" max="15872" width="13.5546875" style="289" customWidth="1"/>
    <col min="15873" max="15873" width="5.44140625" style="289" bestFit="1" customWidth="1"/>
    <col min="15874" max="15874" width="11.33203125" style="289" bestFit="1" customWidth="1"/>
    <col min="15875" max="15875" width="5.6640625" style="289" bestFit="1" customWidth="1"/>
    <col min="15876" max="15876" width="12" style="289" customWidth="1"/>
    <col min="15877" max="15877" width="15.44140625" style="289" bestFit="1" customWidth="1"/>
    <col min="15878" max="15879" width="15.109375" style="289" bestFit="1" customWidth="1"/>
    <col min="15880" max="15880" width="14.33203125" style="289" bestFit="1" customWidth="1"/>
    <col min="15881" max="15881" width="3.109375" style="289" customWidth="1"/>
    <col min="15882" max="15882" width="6.44140625" style="289" customWidth="1"/>
    <col min="15883" max="16122" width="8.88671875" style="289"/>
    <col min="16123" max="16123" width="5.5546875" style="289" bestFit="1" customWidth="1"/>
    <col min="16124" max="16124" width="9.33203125" style="289" customWidth="1"/>
    <col min="16125" max="16125" width="24.6640625" style="289" customWidth="1"/>
    <col min="16126" max="16126" width="11" style="289" bestFit="1" customWidth="1"/>
    <col min="16127" max="16127" width="7.5546875" style="289" bestFit="1" customWidth="1"/>
    <col min="16128" max="16128" width="13.5546875" style="289" customWidth="1"/>
    <col min="16129" max="16129" width="5.44140625" style="289" bestFit="1" customWidth="1"/>
    <col min="16130" max="16130" width="11.33203125" style="289" bestFit="1" customWidth="1"/>
    <col min="16131" max="16131" width="5.6640625" style="289" bestFit="1" customWidth="1"/>
    <col min="16132" max="16132" width="12" style="289" customWidth="1"/>
    <col min="16133" max="16133" width="15.44140625" style="289" bestFit="1" customWidth="1"/>
    <col min="16134" max="16135" width="15.109375" style="289" bestFit="1" customWidth="1"/>
    <col min="16136" max="16136" width="14.33203125" style="289" bestFit="1" customWidth="1"/>
    <col min="16137" max="16137" width="3.109375" style="289" customWidth="1"/>
    <col min="16138" max="16138" width="6.44140625" style="289" customWidth="1"/>
    <col min="16139" max="16384" width="8.88671875" style="289"/>
  </cols>
  <sheetData>
    <row r="1" spans="1:15" ht="52.8" customHeight="1" thickBot="1">
      <c r="A1" s="367" t="s">
        <v>144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</row>
    <row r="2" spans="1:15" ht="27.6" customHeight="1" thickBot="1">
      <c r="A2" s="312" t="s">
        <v>135</v>
      </c>
      <c r="B2" s="313" t="s">
        <v>136</v>
      </c>
      <c r="C2" s="314" t="s">
        <v>2</v>
      </c>
      <c r="D2" s="314" t="s">
        <v>137</v>
      </c>
      <c r="E2" s="315" t="s">
        <v>138</v>
      </c>
      <c r="F2" s="315" t="s">
        <v>139</v>
      </c>
      <c r="G2" s="316" t="s">
        <v>140</v>
      </c>
      <c r="H2" s="317" t="s">
        <v>141</v>
      </c>
      <c r="I2" s="318" t="s">
        <v>142</v>
      </c>
      <c r="J2" s="319"/>
      <c r="K2" s="320" t="s">
        <v>143</v>
      </c>
      <c r="L2" s="316" t="s">
        <v>140</v>
      </c>
      <c r="M2" s="317" t="s">
        <v>141</v>
      </c>
      <c r="N2" s="318" t="s">
        <v>142</v>
      </c>
    </row>
    <row r="3" spans="1:15" ht="5.4" customHeight="1">
      <c r="A3" s="321"/>
      <c r="B3" s="321"/>
      <c r="C3" s="321"/>
      <c r="D3" s="321"/>
      <c r="E3" s="322"/>
      <c r="F3" s="322"/>
      <c r="G3" s="323"/>
      <c r="H3" s="324"/>
      <c r="I3" s="290"/>
      <c r="J3" s="290"/>
      <c r="K3" s="323"/>
      <c r="L3" s="323"/>
      <c r="M3" s="324"/>
      <c r="N3" s="290"/>
    </row>
    <row r="4" spans="1:15" ht="34.950000000000003" customHeight="1">
      <c r="A4" s="291">
        <v>1</v>
      </c>
      <c r="B4" s="368" t="s">
        <v>23</v>
      </c>
      <c r="C4" s="337">
        <v>46357</v>
      </c>
      <c r="D4" s="338" t="s">
        <v>145</v>
      </c>
      <c r="E4" s="339"/>
      <c r="F4" s="340"/>
      <c r="G4" s="341">
        <v>226257555.19999999</v>
      </c>
      <c r="H4" s="342"/>
      <c r="I4" s="341">
        <f>G4-H4</f>
        <v>226257555.19999999</v>
      </c>
      <c r="J4" s="343"/>
      <c r="K4" s="344">
        <v>77.215000000000003</v>
      </c>
      <c r="L4" s="345">
        <f>G4/K4</f>
        <v>2930228.002331153</v>
      </c>
      <c r="M4" s="346"/>
      <c r="N4" s="347">
        <f>L4-M4</f>
        <v>2930228.002331153</v>
      </c>
      <c r="O4" s="371">
        <f>SUM(G4:G6)-H9</f>
        <v>61874653.75818783</v>
      </c>
    </row>
    <row r="5" spans="1:15" ht="34.950000000000003" customHeight="1">
      <c r="A5" s="291">
        <v>2</v>
      </c>
      <c r="B5" s="369"/>
      <c r="C5" s="337">
        <v>46357</v>
      </c>
      <c r="D5" s="338" t="s">
        <v>146</v>
      </c>
      <c r="E5" s="339"/>
      <c r="F5" s="340"/>
      <c r="G5" s="341">
        <v>176890403.19999999</v>
      </c>
      <c r="H5" s="342"/>
      <c r="I5" s="341">
        <f t="shared" ref="I5:I26" si="0">G5-H5+I4</f>
        <v>403147958.39999998</v>
      </c>
      <c r="J5" s="343"/>
      <c r="K5" s="344">
        <v>77.215000000000003</v>
      </c>
      <c r="L5" s="345">
        <f t="shared" ref="L5:L8" si="1">G5/K5</f>
        <v>2290881.3468885575</v>
      </c>
      <c r="M5" s="346"/>
      <c r="N5" s="347">
        <f>L5-M5+N4</f>
        <v>5221109.3492197106</v>
      </c>
      <c r="O5" s="372"/>
    </row>
    <row r="6" spans="1:15" ht="34.950000000000003" customHeight="1">
      <c r="A6" s="291">
        <v>3</v>
      </c>
      <c r="B6" s="369"/>
      <c r="C6" s="337"/>
      <c r="D6" s="338" t="s">
        <v>25</v>
      </c>
      <c r="E6" s="339"/>
      <c r="F6" s="340"/>
      <c r="G6" s="341">
        <v>102369240</v>
      </c>
      <c r="H6" s="342"/>
      <c r="I6" s="341">
        <f t="shared" si="0"/>
        <v>505517198.39999998</v>
      </c>
      <c r="J6" s="343"/>
      <c r="K6" s="344">
        <v>77.215000000000003</v>
      </c>
      <c r="L6" s="345">
        <f t="shared" si="1"/>
        <v>1325768.8273003949</v>
      </c>
      <c r="M6" s="346"/>
      <c r="N6" s="347">
        <f t="shared" ref="N6:N26" si="2">L6-M6+N5</f>
        <v>6546878.1765201055</v>
      </c>
      <c r="O6" s="372"/>
    </row>
    <row r="7" spans="1:15" ht="34.950000000000003" customHeight="1">
      <c r="A7" s="291">
        <v>4</v>
      </c>
      <c r="B7" s="369"/>
      <c r="C7" s="337"/>
      <c r="D7" s="348" t="s">
        <v>147</v>
      </c>
      <c r="E7" s="339"/>
      <c r="F7" s="340"/>
      <c r="G7" s="341">
        <v>24399714.489999998</v>
      </c>
      <c r="H7" s="342"/>
      <c r="I7" s="341">
        <f t="shared" si="0"/>
        <v>529916912.88999999</v>
      </c>
      <c r="J7" s="343"/>
      <c r="K7" s="344">
        <v>77.215000000000003</v>
      </c>
      <c r="L7" s="345">
        <f t="shared" si="1"/>
        <v>315997.07945347403</v>
      </c>
      <c r="M7" s="346"/>
      <c r="N7" s="347">
        <f t="shared" si="2"/>
        <v>6862875.2559735794</v>
      </c>
      <c r="O7" s="372"/>
    </row>
    <row r="8" spans="1:15" ht="34.950000000000003" customHeight="1">
      <c r="A8" s="291">
        <v>5</v>
      </c>
      <c r="B8" s="369"/>
      <c r="C8" s="337"/>
      <c r="D8" s="348" t="s">
        <v>25</v>
      </c>
      <c r="E8" s="339"/>
      <c r="F8" s="340"/>
      <c r="G8" s="341">
        <v>16490072.800000001</v>
      </c>
      <c r="H8" s="342"/>
      <c r="I8" s="341">
        <f t="shared" si="0"/>
        <v>546406985.68999994</v>
      </c>
      <c r="J8" s="343"/>
      <c r="K8" s="344">
        <v>77.215000000000003</v>
      </c>
      <c r="L8" s="345">
        <f t="shared" si="1"/>
        <v>213560.48436184679</v>
      </c>
      <c r="M8" s="346"/>
      <c r="N8" s="347">
        <f t="shared" si="2"/>
        <v>7076435.7403354263</v>
      </c>
      <c r="O8" s="372"/>
    </row>
    <row r="9" spans="1:15" ht="34.950000000000003" customHeight="1">
      <c r="A9" s="291">
        <v>6</v>
      </c>
      <c r="B9" s="369"/>
      <c r="C9" s="337"/>
      <c r="D9" s="338" t="s">
        <v>148</v>
      </c>
      <c r="E9" s="339">
        <v>9564.2780000000002</v>
      </c>
      <c r="F9" s="349">
        <f>K9*K8</f>
        <v>46385.366950000003</v>
      </c>
      <c r="G9" s="350"/>
      <c r="H9" s="342">
        <f>E9*F9</f>
        <v>443642544.64181215</v>
      </c>
      <c r="I9" s="341">
        <f t="shared" si="0"/>
        <v>102764441.04818779</v>
      </c>
      <c r="J9" s="343"/>
      <c r="K9" s="351">
        <f>642.73-42</f>
        <v>600.73</v>
      </c>
      <c r="L9" s="345"/>
      <c r="M9" s="346">
        <f>E9*K9</f>
        <v>5745548.7229400007</v>
      </c>
      <c r="N9" s="347">
        <f t="shared" si="2"/>
        <v>1330887.0173954256</v>
      </c>
      <c r="O9" s="372"/>
    </row>
    <row r="10" spans="1:15" ht="34.950000000000003" customHeight="1">
      <c r="A10" s="291">
        <v>7</v>
      </c>
      <c r="B10" s="369"/>
      <c r="C10" s="337"/>
      <c r="D10" s="348" t="s">
        <v>149</v>
      </c>
      <c r="E10" s="339"/>
      <c r="F10" s="340"/>
      <c r="G10" s="341"/>
      <c r="H10" s="342">
        <v>103196398.8</v>
      </c>
      <c r="I10" s="341">
        <f t="shared" si="0"/>
        <v>-431957.75181220472</v>
      </c>
      <c r="J10" s="343"/>
      <c r="K10" s="344">
        <v>77.215000000000003</v>
      </c>
      <c r="L10" s="345"/>
      <c r="M10" s="346">
        <f>H10/K10</f>
        <v>1336481.2381014051</v>
      </c>
      <c r="N10" s="347">
        <f t="shared" si="2"/>
        <v>-5594.2207059795037</v>
      </c>
      <c r="O10" s="372"/>
    </row>
    <row r="11" spans="1:15" ht="34.950000000000003" customHeight="1">
      <c r="A11" s="291">
        <v>8</v>
      </c>
      <c r="B11" s="369"/>
      <c r="C11" s="337"/>
      <c r="D11" s="338" t="s">
        <v>25</v>
      </c>
      <c r="E11" s="339"/>
      <c r="F11" s="340"/>
      <c r="G11" s="341">
        <v>35028278</v>
      </c>
      <c r="H11" s="342"/>
      <c r="I11" s="341">
        <f t="shared" si="0"/>
        <v>34596320.248187795</v>
      </c>
      <c r="J11" s="343"/>
      <c r="K11" s="344">
        <v>77.215000000000003</v>
      </c>
      <c r="L11" s="345">
        <f>G11/K11</f>
        <v>453646.02732629667</v>
      </c>
      <c r="M11" s="346"/>
      <c r="N11" s="347">
        <f t="shared" si="2"/>
        <v>448051.80662031716</v>
      </c>
      <c r="O11" s="289">
        <v>85.57</v>
      </c>
    </row>
    <row r="12" spans="1:15" ht="34.950000000000003" customHeight="1">
      <c r="A12" s="291">
        <v>9</v>
      </c>
      <c r="B12" s="370"/>
      <c r="C12" s="337"/>
      <c r="D12" s="338" t="s">
        <v>160</v>
      </c>
      <c r="E12" s="339"/>
      <c r="F12" s="340"/>
      <c r="G12" s="341"/>
      <c r="H12" s="342">
        <f>I11</f>
        <v>34596320.248187795</v>
      </c>
      <c r="I12" s="341">
        <f t="shared" si="0"/>
        <v>0</v>
      </c>
      <c r="J12" s="343"/>
      <c r="K12" s="344">
        <v>77.215000000000003</v>
      </c>
      <c r="L12" s="345"/>
      <c r="M12" s="346">
        <f t="shared" ref="M12" si="3">H12/K12</f>
        <v>448051.80662031722</v>
      </c>
      <c r="N12" s="347">
        <f t="shared" si="2"/>
        <v>0</v>
      </c>
    </row>
    <row r="13" spans="1:15" ht="34.950000000000003" customHeight="1">
      <c r="A13" s="291">
        <v>10</v>
      </c>
      <c r="B13" s="336"/>
      <c r="C13" s="337"/>
      <c r="D13" s="338"/>
      <c r="E13" s="339"/>
      <c r="F13" s="340"/>
      <c r="G13" s="341"/>
      <c r="H13" s="342"/>
      <c r="I13" s="341">
        <f t="shared" si="0"/>
        <v>0</v>
      </c>
      <c r="J13" s="343"/>
      <c r="K13" s="352"/>
      <c r="L13" s="345"/>
      <c r="M13" s="346"/>
      <c r="N13" s="347">
        <f t="shared" si="2"/>
        <v>0</v>
      </c>
    </row>
    <row r="14" spans="1:15" ht="34.950000000000003" customHeight="1">
      <c r="A14" s="291">
        <v>11</v>
      </c>
      <c r="B14" s="336"/>
      <c r="C14" s="337"/>
      <c r="D14" s="338"/>
      <c r="E14" s="339"/>
      <c r="F14" s="340"/>
      <c r="G14" s="341"/>
      <c r="H14" s="342"/>
      <c r="I14" s="341">
        <f t="shared" si="0"/>
        <v>0</v>
      </c>
      <c r="J14" s="343"/>
      <c r="K14" s="352"/>
      <c r="L14" s="345"/>
      <c r="M14" s="346"/>
      <c r="N14" s="347">
        <f t="shared" si="2"/>
        <v>0</v>
      </c>
    </row>
    <row r="15" spans="1:15" ht="34.950000000000003" customHeight="1">
      <c r="A15" s="291">
        <v>12</v>
      </c>
      <c r="B15" s="373" t="s">
        <v>150</v>
      </c>
      <c r="C15" s="337">
        <v>46176</v>
      </c>
      <c r="D15" s="338" t="s">
        <v>159</v>
      </c>
      <c r="E15" s="339"/>
      <c r="F15" s="340"/>
      <c r="G15" s="341">
        <v>224500000</v>
      </c>
      <c r="H15" s="342"/>
      <c r="I15" s="341">
        <f t="shared" si="0"/>
        <v>224500000</v>
      </c>
      <c r="J15" s="343"/>
      <c r="K15" s="352">
        <v>80.503699999999995</v>
      </c>
      <c r="L15" s="345">
        <f>G15/K15</f>
        <v>2788691.6998846019</v>
      </c>
      <c r="M15" s="346"/>
      <c r="N15" s="347">
        <f t="shared" si="2"/>
        <v>2788691.6998846019</v>
      </c>
    </row>
    <row r="16" spans="1:15" ht="34.950000000000003" customHeight="1">
      <c r="A16" s="291">
        <v>13</v>
      </c>
      <c r="B16" s="374"/>
      <c r="C16" s="337">
        <v>46176</v>
      </c>
      <c r="D16" s="338" t="s">
        <v>159</v>
      </c>
      <c r="E16" s="339"/>
      <c r="F16" s="340"/>
      <c r="G16" s="341">
        <v>75500000</v>
      </c>
      <c r="H16" s="342"/>
      <c r="I16" s="341">
        <f t="shared" si="0"/>
        <v>300000000</v>
      </c>
      <c r="J16" s="343"/>
      <c r="K16" s="352">
        <v>80.503699999999995</v>
      </c>
      <c r="L16" s="345">
        <f t="shared" ref="L16:L23" si="4">G16/K16</f>
        <v>937845.0928342425</v>
      </c>
      <c r="M16" s="346"/>
      <c r="N16" s="347">
        <f t="shared" si="2"/>
        <v>3726536.7927188445</v>
      </c>
    </row>
    <row r="17" spans="1:14" ht="34.950000000000003" customHeight="1">
      <c r="A17" s="291">
        <v>14</v>
      </c>
      <c r="B17" s="374"/>
      <c r="C17" s="337">
        <v>46176</v>
      </c>
      <c r="D17" s="338" t="s">
        <v>151</v>
      </c>
      <c r="E17" s="339"/>
      <c r="F17" s="340"/>
      <c r="G17" s="341">
        <v>127684999.84</v>
      </c>
      <c r="H17" s="342"/>
      <c r="I17" s="341">
        <f t="shared" si="0"/>
        <v>427684999.84000003</v>
      </c>
      <c r="J17" s="343"/>
      <c r="K17" s="352">
        <v>80.503699999999995</v>
      </c>
      <c r="L17" s="345">
        <f t="shared" si="4"/>
        <v>1586076.1659401993</v>
      </c>
      <c r="M17" s="346"/>
      <c r="N17" s="347">
        <f t="shared" si="2"/>
        <v>5312612.9586590435</v>
      </c>
    </row>
    <row r="18" spans="1:14" ht="34.950000000000003" customHeight="1">
      <c r="A18" s="291">
        <v>15</v>
      </c>
      <c r="B18" s="374"/>
      <c r="C18" s="337">
        <v>46359</v>
      </c>
      <c r="D18" s="338" t="s">
        <v>152</v>
      </c>
      <c r="E18" s="339"/>
      <c r="F18" s="340"/>
      <c r="G18" s="341">
        <v>1000000</v>
      </c>
      <c r="H18" s="342"/>
      <c r="I18" s="341">
        <f t="shared" si="0"/>
        <v>428684999.84000003</v>
      </c>
      <c r="J18" s="343"/>
      <c r="K18" s="352">
        <v>80.503699999999995</v>
      </c>
      <c r="L18" s="345">
        <f t="shared" si="4"/>
        <v>12421.789309062815</v>
      </c>
      <c r="M18" s="346"/>
      <c r="N18" s="347">
        <f t="shared" si="2"/>
        <v>5325034.7479681065</v>
      </c>
    </row>
    <row r="19" spans="1:14" ht="34.950000000000003" customHeight="1">
      <c r="A19" s="291">
        <v>16</v>
      </c>
      <c r="B19" s="374"/>
      <c r="C19" s="337">
        <v>46359</v>
      </c>
      <c r="D19" s="338" t="s">
        <v>153</v>
      </c>
      <c r="E19" s="339"/>
      <c r="F19" s="340"/>
      <c r="G19" s="341">
        <v>3000000</v>
      </c>
      <c r="H19" s="342"/>
      <c r="I19" s="341">
        <f t="shared" si="0"/>
        <v>431684999.84000003</v>
      </c>
      <c r="J19" s="343"/>
      <c r="K19" s="352">
        <v>80.503699999999995</v>
      </c>
      <c r="L19" s="345">
        <f t="shared" si="4"/>
        <v>37265.367927188439</v>
      </c>
      <c r="M19" s="346"/>
      <c r="N19" s="347">
        <f t="shared" si="2"/>
        <v>5362300.1158952946</v>
      </c>
    </row>
    <row r="20" spans="1:14" ht="34.950000000000003" customHeight="1">
      <c r="A20" s="291">
        <v>17</v>
      </c>
      <c r="B20" s="374"/>
      <c r="C20" s="337">
        <v>46359</v>
      </c>
      <c r="D20" s="338" t="s">
        <v>154</v>
      </c>
      <c r="E20" s="339"/>
      <c r="F20" s="340"/>
      <c r="G20" s="341">
        <v>3000000</v>
      </c>
      <c r="H20" s="342"/>
      <c r="I20" s="341">
        <f t="shared" si="0"/>
        <v>434684999.84000003</v>
      </c>
      <c r="J20" s="343"/>
      <c r="K20" s="352">
        <v>80.503699999999995</v>
      </c>
      <c r="L20" s="345">
        <f t="shared" si="4"/>
        <v>37265.367927188439</v>
      </c>
      <c r="M20" s="346"/>
      <c r="N20" s="347">
        <f t="shared" si="2"/>
        <v>5399565.4838224826</v>
      </c>
    </row>
    <row r="21" spans="1:14" ht="34.950000000000003" customHeight="1">
      <c r="A21" s="291">
        <v>18</v>
      </c>
      <c r="B21" s="374"/>
      <c r="C21" s="337">
        <v>46359</v>
      </c>
      <c r="D21" s="338" t="s">
        <v>155</v>
      </c>
      <c r="E21" s="339"/>
      <c r="F21" s="341"/>
      <c r="G21" s="341">
        <v>2849558.4</v>
      </c>
      <c r="H21" s="342"/>
      <c r="I21" s="341">
        <f t="shared" si="0"/>
        <v>437534558.24000001</v>
      </c>
      <c r="J21" s="343"/>
      <c r="K21" s="352">
        <v>80.503699999999995</v>
      </c>
      <c r="L21" s="345">
        <f t="shared" si="4"/>
        <v>35396.61406867014</v>
      </c>
      <c r="M21" s="346"/>
      <c r="N21" s="347">
        <f t="shared" si="2"/>
        <v>5434962.0978911528</v>
      </c>
    </row>
    <row r="22" spans="1:14" ht="34.950000000000003" customHeight="1">
      <c r="A22" s="291">
        <v>19</v>
      </c>
      <c r="B22" s="374"/>
      <c r="C22" s="337">
        <v>46359</v>
      </c>
      <c r="D22" s="338" t="s">
        <v>156</v>
      </c>
      <c r="E22" s="339"/>
      <c r="F22" s="340"/>
      <c r="G22" s="341">
        <v>78346407.439999998</v>
      </c>
      <c r="H22" s="342"/>
      <c r="I22" s="341">
        <f t="shared" si="0"/>
        <v>515880965.68000001</v>
      </c>
      <c r="J22" s="343"/>
      <c r="K22" s="352">
        <v>80.503699999999995</v>
      </c>
      <c r="L22" s="345">
        <f t="shared" si="4"/>
        <v>973202.56634167128</v>
      </c>
      <c r="M22" s="346"/>
      <c r="N22" s="347">
        <f t="shared" si="2"/>
        <v>6408164.664232824</v>
      </c>
    </row>
    <row r="23" spans="1:14" ht="34.950000000000003" customHeight="1">
      <c r="A23" s="291">
        <v>20</v>
      </c>
      <c r="B23" s="374"/>
      <c r="C23" s="337">
        <v>46359</v>
      </c>
      <c r="D23" s="338" t="s">
        <v>157</v>
      </c>
      <c r="E23" s="339"/>
      <c r="F23" s="340"/>
      <c r="G23" s="341">
        <v>103196398.8</v>
      </c>
      <c r="H23" s="342"/>
      <c r="I23" s="341">
        <f t="shared" si="0"/>
        <v>619077364.48000002</v>
      </c>
      <c r="J23" s="343"/>
      <c r="K23" s="352">
        <v>80.503699999999995</v>
      </c>
      <c r="L23" s="345">
        <f t="shared" si="4"/>
        <v>1281883.9233476226</v>
      </c>
      <c r="M23" s="346"/>
      <c r="N23" s="347">
        <f t="shared" si="2"/>
        <v>7690048.5875804462</v>
      </c>
    </row>
    <row r="24" spans="1:14" ht="34.950000000000003" customHeight="1">
      <c r="A24" s="291">
        <v>21</v>
      </c>
      <c r="B24" s="374"/>
      <c r="C24" s="337"/>
      <c r="D24" s="338" t="s">
        <v>158</v>
      </c>
      <c r="E24" s="339">
        <v>9782.4</v>
      </c>
      <c r="F24" s="353">
        <f>K24*K23</f>
        <v>74980.341142999998</v>
      </c>
      <c r="G24" s="341"/>
      <c r="H24" s="342">
        <f>E24*F24</f>
        <v>733487689.19728315</v>
      </c>
      <c r="I24" s="341">
        <f t="shared" si="0"/>
        <v>-114410324.71728313</v>
      </c>
      <c r="J24" s="343"/>
      <c r="K24" s="352">
        <v>931.39</v>
      </c>
      <c r="L24" s="345"/>
      <c r="M24" s="346">
        <f>E24*K24</f>
        <v>9111229.5360000003</v>
      </c>
      <c r="N24" s="347">
        <f t="shared" si="2"/>
        <v>-1421180.9484195542</v>
      </c>
    </row>
    <row r="25" spans="1:14" ht="34.950000000000003" customHeight="1">
      <c r="A25" s="291">
        <v>22</v>
      </c>
      <c r="B25" s="375"/>
      <c r="C25" s="337"/>
      <c r="D25" s="338" t="s">
        <v>160</v>
      </c>
      <c r="E25" s="339"/>
      <c r="F25" s="340"/>
      <c r="G25" s="341">
        <v>34596320.248187795</v>
      </c>
      <c r="H25" s="342"/>
      <c r="I25" s="341">
        <f t="shared" si="0"/>
        <v>-79814004.469095334</v>
      </c>
      <c r="J25" s="343"/>
      <c r="K25" s="352">
        <v>80.503699999999995</v>
      </c>
      <c r="L25" s="345">
        <f>G25/K25</f>
        <v>429748.2009918525</v>
      </c>
      <c r="M25" s="346"/>
      <c r="N25" s="347">
        <f t="shared" si="2"/>
        <v>-991432.74742770172</v>
      </c>
    </row>
    <row r="26" spans="1:14" ht="34.950000000000003" customHeight="1">
      <c r="A26" s="291">
        <v>23</v>
      </c>
      <c r="B26" s="336"/>
      <c r="C26" s="292"/>
      <c r="D26" s="293"/>
      <c r="E26" s="299"/>
      <c r="F26" s="294"/>
      <c r="G26" s="295"/>
      <c r="H26" s="296"/>
      <c r="I26" s="295">
        <f t="shared" si="0"/>
        <v>-79814004.469095334</v>
      </c>
      <c r="J26" s="300"/>
      <c r="K26" s="325"/>
      <c r="L26" s="297"/>
      <c r="M26" s="298"/>
      <c r="N26" s="347">
        <f t="shared" si="2"/>
        <v>-991432.74742770172</v>
      </c>
    </row>
    <row r="27" spans="1:14" ht="34.950000000000003" customHeight="1" thickBot="1">
      <c r="A27" s="326"/>
      <c r="B27" s="327"/>
      <c r="C27" s="327"/>
      <c r="D27" s="328"/>
      <c r="E27" s="329"/>
      <c r="F27" s="330"/>
      <c r="G27" s="331"/>
      <c r="H27" s="332"/>
      <c r="I27" s="333"/>
      <c r="J27" s="333"/>
      <c r="K27" s="334"/>
      <c r="L27" s="334"/>
      <c r="M27" s="334"/>
      <c r="N27" s="335"/>
    </row>
    <row r="29" spans="1:14" ht="13.8">
      <c r="G29" s="303">
        <f>SUM(G4:G28)</f>
        <v>1235108948.4181876</v>
      </c>
      <c r="H29" s="304">
        <f>SUM(H4:H28)</f>
        <v>1314922952.8872831</v>
      </c>
      <c r="I29" s="305"/>
      <c r="J29" s="305"/>
      <c r="K29" s="305"/>
      <c r="L29" s="306">
        <f>SUM(L4:L28)</f>
        <v>15649878.556234021</v>
      </c>
      <c r="M29" s="307">
        <f>SUM(M4:M28)</f>
        <v>16641311.303661723</v>
      </c>
    </row>
    <row r="30" spans="1:14">
      <c r="H30" s="308"/>
    </row>
    <row r="31" spans="1:14" ht="13.8">
      <c r="G31" s="310"/>
    </row>
  </sheetData>
  <mergeCells count="4">
    <mergeCell ref="A1:N1"/>
    <mergeCell ref="B4:B12"/>
    <mergeCell ref="O4:O10"/>
    <mergeCell ref="B1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9600 MT January</vt:lpstr>
      <vt:lpstr>10000 MT MARCH </vt:lpstr>
      <vt:lpstr>Account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fawad S G C</cp:lastModifiedBy>
  <dcterms:created xsi:type="dcterms:W3CDTF">2015-06-05T18:17:20Z</dcterms:created>
  <dcterms:modified xsi:type="dcterms:W3CDTF">2026-04-18T10:14:21Z</dcterms:modified>
</cp:coreProperties>
</file>