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hidePivotFieldList="1" defaultThemeVersion="124226"/>
  <xr:revisionPtr revIDLastSave="0" documentId="13_ncr:1_{B3A8D3F7-AF70-4336-A972-E606B13311A3}" xr6:coauthVersionLast="47" xr6:coauthVersionMax="47" xr10:uidLastSave="{00000000-0000-0000-0000-000000000000}"/>
  <bookViews>
    <workbookView xWindow="-120" yWindow="-120" windowWidth="29040" windowHeight="15840" tabRatio="926" activeTab="8" xr2:uid="{00000000-000D-0000-FFFF-FFFF00000000}"/>
  </bookViews>
  <sheets>
    <sheet name="Account " sheetId="21" r:id="rId1"/>
    <sheet name="Rent " sheetId="22" r:id="rId2"/>
    <sheet name="14170 MT" sheetId="18" r:id="rId3"/>
    <sheet name="830 MT" sheetId="19" r:id="rId4"/>
    <sheet name=" 34-M AI-92 -15000 MT " sheetId="20" r:id="rId5"/>
    <sheet name="35 - M -15000 MT Diesel" sheetId="23" r:id="rId6"/>
    <sheet name="37 - M -15000 MT Gasoline -70" sheetId="24" r:id="rId7"/>
    <sheet name="38 - M # 10000#APRIL -44" sheetId="26" r:id="rId8"/>
    <sheet name="39 - M # 10000 # MAY -41" sheetId="2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2" hidden="1">'14170 MT'!$A$4:$U$219</definedName>
    <definedName name="_xlnm._FilterDatabase" localSheetId="0" hidden="1">'Account '!$A$2:$N$2</definedName>
    <definedName name="_xlnm.Print_Area" localSheetId="0">'Account '!$A$1:$N$204</definedName>
    <definedName name="_xlnm.Print_Area" localSheetId="1">'Rent '!$A$1:$M$42</definedName>
    <definedName name="_xlnm.Print_Titles" localSheetId="0">'Account '!$2:$2</definedName>
    <definedName name="_xlnm.Print_Titles" localSheetId="1">'Rent 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0" l="1"/>
  <c r="H194" i="21"/>
  <c r="L128" i="21"/>
  <c r="I126" i="21"/>
  <c r="N126" i="21"/>
  <c r="E127" i="21"/>
  <c r="H127" i="21" s="1"/>
  <c r="I127" i="21" s="1"/>
  <c r="I128" i="21" s="1"/>
  <c r="I129" i="21" s="1"/>
  <c r="I130" i="21" s="1"/>
  <c r="I131" i="21" s="1"/>
  <c r="I132" i="21" s="1"/>
  <c r="I133" i="21" s="1"/>
  <c r="I134" i="21" s="1"/>
  <c r="I135" i="21" s="1"/>
  <c r="I136" i="21" s="1"/>
  <c r="I137" i="21" s="1"/>
  <c r="I138" i="21" s="1"/>
  <c r="I139" i="21" s="1"/>
  <c r="I140" i="21" s="1"/>
  <c r="I141" i="21" s="1"/>
  <c r="I142" i="21" s="1"/>
  <c r="K127" i="21"/>
  <c r="L129" i="21"/>
  <c r="L130" i="21"/>
  <c r="L131" i="21"/>
  <c r="M132" i="21"/>
  <c r="M133" i="21"/>
  <c r="M134" i="21"/>
  <c r="M135" i="21"/>
  <c r="M136" i="21"/>
  <c r="L138" i="21"/>
  <c r="L139" i="21"/>
  <c r="L140" i="21"/>
  <c r="L141" i="21"/>
  <c r="L142" i="21"/>
  <c r="M127" i="21" l="1"/>
  <c r="N127" i="21" s="1"/>
  <c r="N128" i="21"/>
  <c r="N129" i="21" s="1"/>
  <c r="N130" i="21" s="1"/>
  <c r="N131" i="21" s="1"/>
  <c r="N132" i="21" s="1"/>
  <c r="N133" i="21" s="1"/>
  <c r="N134" i="21" s="1"/>
  <c r="N135" i="21" s="1"/>
  <c r="N136" i="21" s="1"/>
  <c r="N137" i="21" s="1"/>
  <c r="N138" i="21" s="1"/>
  <c r="N139" i="21" s="1"/>
  <c r="N140" i="21" s="1"/>
  <c r="N141" i="21" s="1"/>
  <c r="N142" i="21" s="1"/>
  <c r="Q194" i="21"/>
  <c r="Q195" i="21" s="1"/>
  <c r="P168" i="21" l="1"/>
  <c r="P166" i="21"/>
  <c r="P182" i="21"/>
  <c r="E185" i="28"/>
  <c r="I184" i="28"/>
  <c r="G184" i="28"/>
  <c r="I183" i="28"/>
  <c r="G183" i="28"/>
  <c r="I182" i="28"/>
  <c r="G182" i="28"/>
  <c r="I181" i="28"/>
  <c r="G181" i="28"/>
  <c r="I180" i="28"/>
  <c r="G180" i="28"/>
  <c r="I179" i="28"/>
  <c r="G179" i="28"/>
  <c r="I178" i="28"/>
  <c r="G178" i="28"/>
  <c r="I177" i="28"/>
  <c r="G177" i="28"/>
  <c r="I176" i="28"/>
  <c r="G176" i="28"/>
  <c r="I175" i="28"/>
  <c r="G175" i="28"/>
  <c r="I174" i="28"/>
  <c r="G174" i="28"/>
  <c r="A174" i="28"/>
  <c r="A175" i="28" s="1"/>
  <c r="A176" i="28" s="1"/>
  <c r="A177" i="28" s="1"/>
  <c r="A178" i="28" s="1"/>
  <c r="A179" i="28" s="1"/>
  <c r="A180" i="28" s="1"/>
  <c r="A181" i="28" s="1"/>
  <c r="A182" i="28" s="1"/>
  <c r="A183" i="28" s="1"/>
  <c r="A184" i="28" s="1"/>
  <c r="I173" i="28"/>
  <c r="G173" i="28"/>
  <c r="A173" i="28"/>
  <c r="I172" i="28"/>
  <c r="G172" i="28"/>
  <c r="I171" i="28"/>
  <c r="G171" i="28"/>
  <c r="I170" i="28"/>
  <c r="G170" i="28"/>
  <c r="I169" i="28"/>
  <c r="G169" i="28"/>
  <c r="I168" i="28"/>
  <c r="G168" i="28"/>
  <c r="I167" i="28"/>
  <c r="G167" i="28"/>
  <c r="I166" i="28"/>
  <c r="G166" i="28"/>
  <c r="I165" i="28"/>
  <c r="G165" i="28"/>
  <c r="I164" i="28"/>
  <c r="G164" i="28"/>
  <c r="I163" i="28"/>
  <c r="G163" i="28"/>
  <c r="I162" i="28"/>
  <c r="G162" i="28"/>
  <c r="I161" i="28"/>
  <c r="G161" i="28"/>
  <c r="I160" i="28"/>
  <c r="G160" i="28"/>
  <c r="I159" i="28"/>
  <c r="G159" i="28"/>
  <c r="I158" i="28"/>
  <c r="G158" i="28"/>
  <c r="I157" i="28"/>
  <c r="G157" i="28"/>
  <c r="I156" i="28"/>
  <c r="G156" i="28"/>
  <c r="I155" i="28"/>
  <c r="G155" i="28"/>
  <c r="I154" i="28"/>
  <c r="G154" i="28"/>
  <c r="I153" i="28"/>
  <c r="G153" i="28"/>
  <c r="A153" i="28"/>
  <c r="A154" i="28" s="1"/>
  <c r="A155" i="28" s="1"/>
  <c r="A156" i="28" s="1"/>
  <c r="A157" i="28" s="1"/>
  <c r="A158" i="28" s="1"/>
  <c r="A159" i="28" s="1"/>
  <c r="A160" i="28" s="1"/>
  <c r="A161" i="28" s="1"/>
  <c r="A162" i="28" s="1"/>
  <c r="A163" i="28" s="1"/>
  <c r="A164" i="28" s="1"/>
  <c r="A165" i="28" s="1"/>
  <c r="A166" i="28" s="1"/>
  <c r="A167" i="28" s="1"/>
  <c r="A168" i="28" s="1"/>
  <c r="A169" i="28" s="1"/>
  <c r="A170" i="28" s="1"/>
  <c r="A171" i="28" s="1"/>
  <c r="I152" i="28"/>
  <c r="G152" i="28"/>
  <c r="G185" i="28" s="1"/>
  <c r="E151" i="28"/>
  <c r="I150" i="28"/>
  <c r="G150" i="28"/>
  <c r="I149" i="28"/>
  <c r="G149" i="28"/>
  <c r="I148" i="28"/>
  <c r="G148" i="28"/>
  <c r="I147" i="28"/>
  <c r="G147" i="28"/>
  <c r="A147" i="28"/>
  <c r="A148" i="28" s="1"/>
  <c r="A149" i="28" s="1"/>
  <c r="A150" i="28" s="1"/>
  <c r="I146" i="28"/>
  <c r="G146" i="28"/>
  <c r="E145" i="28"/>
  <c r="I144" i="28"/>
  <c r="G144" i="28"/>
  <c r="I143" i="28"/>
  <c r="G143" i="28"/>
  <c r="I142" i="28"/>
  <c r="G142" i="28"/>
  <c r="I141" i="28"/>
  <c r="G141" i="28"/>
  <c r="I140" i="28"/>
  <c r="G140" i="28"/>
  <c r="I139" i="28"/>
  <c r="G139" i="28"/>
  <c r="I138" i="28"/>
  <c r="G138" i="28"/>
  <c r="I137" i="28"/>
  <c r="G137" i="28"/>
  <c r="I136" i="28"/>
  <c r="G136" i="28"/>
  <c r="I135" i="28"/>
  <c r="G135" i="28"/>
  <c r="I134" i="28"/>
  <c r="G134" i="28"/>
  <c r="I133" i="28"/>
  <c r="G133" i="28"/>
  <c r="I132" i="28"/>
  <c r="G132" i="28"/>
  <c r="I131" i="28"/>
  <c r="G131" i="28"/>
  <c r="I130" i="28"/>
  <c r="G130" i="28"/>
  <c r="I129" i="28"/>
  <c r="G129" i="28"/>
  <c r="I128" i="28"/>
  <c r="G128" i="28"/>
  <c r="I127" i="28"/>
  <c r="G127" i="28"/>
  <c r="I126" i="28"/>
  <c r="G126" i="28"/>
  <c r="A126" i="28"/>
  <c r="A127" i="28" s="1"/>
  <c r="A128" i="28" s="1"/>
  <c r="A129" i="28" s="1"/>
  <c r="A130" i="28" s="1"/>
  <c r="A131" i="28" s="1"/>
  <c r="A132" i="28" s="1"/>
  <c r="A133" i="28" s="1"/>
  <c r="A134" i="28" s="1"/>
  <c r="A135" i="28" s="1"/>
  <c r="A136" i="28" s="1"/>
  <c r="A137" i="28" s="1"/>
  <c r="A138" i="28" s="1"/>
  <c r="A139" i="28" s="1"/>
  <c r="A140" i="28" s="1"/>
  <c r="A141" i="28" s="1"/>
  <c r="A142" i="28" s="1"/>
  <c r="A143" i="28" s="1"/>
  <c r="A144" i="28" s="1"/>
  <c r="I125" i="28"/>
  <c r="G125" i="28"/>
  <c r="E124" i="28"/>
  <c r="I123" i="28"/>
  <c r="G123" i="28"/>
  <c r="I122" i="28"/>
  <c r="G122" i="28"/>
  <c r="I121" i="28"/>
  <c r="G121" i="28"/>
  <c r="I120" i="28"/>
  <c r="G120" i="28"/>
  <c r="I119" i="28"/>
  <c r="G119" i="28"/>
  <c r="I118" i="28"/>
  <c r="G118" i="28"/>
  <c r="I117" i="28"/>
  <c r="G117" i="28"/>
  <c r="I116" i="28"/>
  <c r="G116" i="28"/>
  <c r="I115" i="28"/>
  <c r="G115" i="28"/>
  <c r="I114" i="28"/>
  <c r="G114" i="28"/>
  <c r="I113" i="28"/>
  <c r="G113" i="28"/>
  <c r="I112" i="28"/>
  <c r="G112" i="28"/>
  <c r="I111" i="28"/>
  <c r="G111" i="28"/>
  <c r="I110" i="28"/>
  <c r="G110" i="28"/>
  <c r="I109" i="28"/>
  <c r="G109" i="28"/>
  <c r="E108" i="28"/>
  <c r="I107" i="28"/>
  <c r="G107" i="28"/>
  <c r="I106" i="28"/>
  <c r="G106" i="28"/>
  <c r="I105" i="28"/>
  <c r="G105" i="28"/>
  <c r="I104" i="28"/>
  <c r="G104" i="28"/>
  <c r="I103" i="28"/>
  <c r="G103" i="28"/>
  <c r="I102" i="28"/>
  <c r="G102" i="28"/>
  <c r="I101" i="28"/>
  <c r="G101" i="28"/>
  <c r="I100" i="28"/>
  <c r="G100" i="28"/>
  <c r="E99" i="28"/>
  <c r="I98" i="28"/>
  <c r="G98" i="28"/>
  <c r="I97" i="28"/>
  <c r="G97" i="28"/>
  <c r="I96" i="28"/>
  <c r="G96" i="28"/>
  <c r="I95" i="28"/>
  <c r="G95" i="28"/>
  <c r="I94" i="28"/>
  <c r="G94" i="28"/>
  <c r="I93" i="28"/>
  <c r="G93" i="28"/>
  <c r="I92" i="28"/>
  <c r="G92" i="28"/>
  <c r="I91" i="28"/>
  <c r="G91" i="28"/>
  <c r="I90" i="28"/>
  <c r="G90" i="28"/>
  <c r="I89" i="28"/>
  <c r="G89" i="28"/>
  <c r="I88" i="28"/>
  <c r="G88" i="28"/>
  <c r="I87" i="28"/>
  <c r="G87" i="28"/>
  <c r="I86" i="28"/>
  <c r="G86" i="28"/>
  <c r="I85" i="28"/>
  <c r="G85" i="28"/>
  <c r="I84" i="28"/>
  <c r="G84" i="28"/>
  <c r="I83" i="28"/>
  <c r="G83" i="28"/>
  <c r="I82" i="28"/>
  <c r="G82" i="28"/>
  <c r="I81" i="28"/>
  <c r="G81" i="28"/>
  <c r="I80" i="28"/>
  <c r="G80" i="28"/>
  <c r="I79" i="28"/>
  <c r="G79" i="28"/>
  <c r="I78" i="28"/>
  <c r="G78" i="28"/>
  <c r="I77" i="28"/>
  <c r="G77" i="28"/>
  <c r="I76" i="28"/>
  <c r="G76" i="28"/>
  <c r="I75" i="28"/>
  <c r="G75" i="28"/>
  <c r="I74" i="28"/>
  <c r="G74" i="28"/>
  <c r="I73" i="28"/>
  <c r="G73" i="28"/>
  <c r="I72" i="28"/>
  <c r="G72" i="28"/>
  <c r="I71" i="28"/>
  <c r="G71" i="28"/>
  <c r="I70" i="28"/>
  <c r="G70" i="28"/>
  <c r="I69" i="28"/>
  <c r="G69" i="28"/>
  <c r="I68" i="28"/>
  <c r="G68" i="28"/>
  <c r="I67" i="28"/>
  <c r="G67" i="28"/>
  <c r="I66" i="28"/>
  <c r="G66" i="28"/>
  <c r="I65" i="28"/>
  <c r="G65" i="28"/>
  <c r="I64" i="28"/>
  <c r="G64" i="28"/>
  <c r="I63" i="28"/>
  <c r="G63" i="28"/>
  <c r="I62" i="28"/>
  <c r="G62" i="28"/>
  <c r="I61" i="28"/>
  <c r="G61" i="28"/>
  <c r="I60" i="28"/>
  <c r="G60" i="28"/>
  <c r="A60" i="28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A75" i="28" s="1"/>
  <c r="A76" i="28" s="1"/>
  <c r="A77" i="28" s="1"/>
  <c r="A78" i="28" s="1"/>
  <c r="A79" i="28" s="1"/>
  <c r="A80" i="28" s="1"/>
  <c r="A81" i="28" s="1"/>
  <c r="A82" i="28" s="1"/>
  <c r="A83" i="28" s="1"/>
  <c r="A84" i="28" s="1"/>
  <c r="A85" i="28" s="1"/>
  <c r="A86" i="28" s="1"/>
  <c r="A87" i="28" s="1"/>
  <c r="A88" i="28" s="1"/>
  <c r="A89" i="28" s="1"/>
  <c r="A90" i="28" s="1"/>
  <c r="A91" i="28" s="1"/>
  <c r="A92" i="28" s="1"/>
  <c r="A93" i="28" s="1"/>
  <c r="A94" i="28" s="1"/>
  <c r="A95" i="28" s="1"/>
  <c r="A96" i="28" s="1"/>
  <c r="A97" i="28" s="1"/>
  <c r="A98" i="28" s="1"/>
  <c r="A100" i="28" s="1"/>
  <c r="A101" i="28" s="1"/>
  <c r="A102" i="28" s="1"/>
  <c r="A103" i="28" s="1"/>
  <c r="A104" i="28" s="1"/>
  <c r="A105" i="28" s="1"/>
  <c r="A106" i="28" s="1"/>
  <c r="A107" i="28" s="1"/>
  <c r="A109" i="28" s="1"/>
  <c r="A110" i="28" s="1"/>
  <c r="A111" i="28" s="1"/>
  <c r="A112" i="28" s="1"/>
  <c r="A113" i="28" s="1"/>
  <c r="A114" i="28" s="1"/>
  <c r="A115" i="28" s="1"/>
  <c r="A116" i="28" s="1"/>
  <c r="A117" i="28" s="1"/>
  <c r="A118" i="28" s="1"/>
  <c r="A119" i="28" s="1"/>
  <c r="A120" i="28" s="1"/>
  <c r="A121" i="28" s="1"/>
  <c r="A122" i="28" s="1"/>
  <c r="A123" i="28" s="1"/>
  <c r="I59" i="28"/>
  <c r="G59" i="28"/>
  <c r="E58" i="28"/>
  <c r="I57" i="28"/>
  <c r="G57" i="28"/>
  <c r="I56" i="28"/>
  <c r="G56" i="28"/>
  <c r="I55" i="28"/>
  <c r="G55" i="28"/>
  <c r="I54" i="28"/>
  <c r="G54" i="28"/>
  <c r="I53" i="28"/>
  <c r="G53" i="28"/>
  <c r="I52" i="28"/>
  <c r="G52" i="28"/>
  <c r="I51" i="28"/>
  <c r="G51" i="28"/>
  <c r="I50" i="28"/>
  <c r="G50" i="28"/>
  <c r="I49" i="28"/>
  <c r="G49" i="28"/>
  <c r="I48" i="28"/>
  <c r="G48" i="28"/>
  <c r="I47" i="28"/>
  <c r="G47" i="28"/>
  <c r="I46" i="28"/>
  <c r="G46" i="28"/>
  <c r="I45" i="28"/>
  <c r="G45" i="28"/>
  <c r="I44" i="28"/>
  <c r="G44" i="28"/>
  <c r="I43" i="28"/>
  <c r="G43" i="28"/>
  <c r="I42" i="28"/>
  <c r="G42" i="28"/>
  <c r="I41" i="28"/>
  <c r="G41" i="28"/>
  <c r="A41" i="28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I40" i="28"/>
  <c r="G40" i="28"/>
  <c r="E39" i="28"/>
  <c r="I38" i="28"/>
  <c r="G38" i="28"/>
  <c r="I37" i="28"/>
  <c r="G37" i="28"/>
  <c r="I36" i="28"/>
  <c r="G36" i="28"/>
  <c r="I35" i="28"/>
  <c r="G35" i="28"/>
  <c r="I34" i="28"/>
  <c r="G34" i="28"/>
  <c r="I33" i="28"/>
  <c r="G33" i="28"/>
  <c r="I32" i="28"/>
  <c r="G32" i="28"/>
  <c r="I31" i="28"/>
  <c r="G31" i="28"/>
  <c r="I30" i="28"/>
  <c r="G30" i="28"/>
  <c r="I29" i="28"/>
  <c r="G29" i="28"/>
  <c r="I28" i="28"/>
  <c r="G28" i="28"/>
  <c r="A28" i="28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I27" i="28"/>
  <c r="G27" i="28"/>
  <c r="A27" i="28"/>
  <c r="I26" i="28"/>
  <c r="G26" i="28"/>
  <c r="E25" i="28"/>
  <c r="I24" i="28"/>
  <c r="G24" i="28"/>
  <c r="I23" i="28"/>
  <c r="G23" i="28"/>
  <c r="I22" i="28"/>
  <c r="G22" i="28"/>
  <c r="I21" i="28"/>
  <c r="G21" i="28"/>
  <c r="I20" i="28"/>
  <c r="G20" i="28"/>
  <c r="I19" i="28"/>
  <c r="G19" i="28"/>
  <c r="I18" i="28"/>
  <c r="G18" i="28"/>
  <c r="I17" i="28"/>
  <c r="G17" i="28"/>
  <c r="I16" i="28"/>
  <c r="G16" i="28"/>
  <c r="I15" i="28"/>
  <c r="G15" i="28"/>
  <c r="I14" i="28"/>
  <c r="G14" i="28"/>
  <c r="I13" i="28"/>
  <c r="G13" i="28"/>
  <c r="I12" i="28"/>
  <c r="G12" i="28"/>
  <c r="I11" i="28"/>
  <c r="G11" i="28"/>
  <c r="I10" i="28"/>
  <c r="G10" i="28"/>
  <c r="I9" i="28"/>
  <c r="G9" i="28"/>
  <c r="I8" i="28"/>
  <c r="G8" i="28"/>
  <c r="A8" i="28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I7" i="28"/>
  <c r="G7" i="28"/>
  <c r="A7" i="28"/>
  <c r="I6" i="28"/>
  <c r="G6" i="28"/>
  <c r="A6" i="28"/>
  <c r="I5" i="28"/>
  <c r="F5" i="28"/>
  <c r="G5" i="28" s="1"/>
  <c r="G25" i="28" s="1"/>
  <c r="G108" i="28" l="1"/>
  <c r="G145" i="28"/>
  <c r="G151" i="28"/>
  <c r="G58" i="28"/>
  <c r="G99" i="28"/>
  <c r="G124" i="28"/>
  <c r="E186" i="28"/>
  <c r="E189" i="28" s="1"/>
  <c r="E190" i="28" s="1"/>
  <c r="I151" i="28"/>
  <c r="I185" i="28"/>
  <c r="I99" i="28"/>
  <c r="I124" i="28"/>
  <c r="G39" i="28"/>
  <c r="I145" i="28"/>
  <c r="I58" i="28"/>
  <c r="I25" i="28"/>
  <c r="I108" i="28"/>
  <c r="I39" i="28"/>
  <c r="M165" i="21"/>
  <c r="T201" i="21"/>
  <c r="E183" i="26"/>
  <c r="I182" i="26"/>
  <c r="G182" i="26"/>
  <c r="G183" i="26" s="1"/>
  <c r="I181" i="26"/>
  <c r="I183" i="26" s="1"/>
  <c r="G181" i="26"/>
  <c r="E180" i="26"/>
  <c r="I179" i="26"/>
  <c r="G179" i="26"/>
  <c r="I178" i="26"/>
  <c r="G178" i="26"/>
  <c r="I177" i="26"/>
  <c r="G177" i="26"/>
  <c r="I176" i="26"/>
  <c r="G176" i="26"/>
  <c r="I175" i="26"/>
  <c r="G175" i="26"/>
  <c r="I174" i="26"/>
  <c r="G174" i="26"/>
  <c r="I173" i="26"/>
  <c r="G173" i="26"/>
  <c r="I172" i="26"/>
  <c r="G172" i="26"/>
  <c r="I171" i="26"/>
  <c r="G171" i="26"/>
  <c r="I170" i="26"/>
  <c r="G170" i="26"/>
  <c r="I169" i="26"/>
  <c r="G169" i="26"/>
  <c r="I168" i="26"/>
  <c r="G168" i="26"/>
  <c r="I167" i="26"/>
  <c r="G167" i="26"/>
  <c r="I166" i="26"/>
  <c r="G166" i="26"/>
  <c r="I165" i="26"/>
  <c r="G165" i="26"/>
  <c r="A165" i="26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I164" i="26"/>
  <c r="G164" i="26"/>
  <c r="E163" i="26"/>
  <c r="I162" i="26"/>
  <c r="G162" i="26"/>
  <c r="I161" i="26"/>
  <c r="G161" i="26"/>
  <c r="I160" i="26"/>
  <c r="G160" i="26"/>
  <c r="I159" i="26"/>
  <c r="G159" i="26"/>
  <c r="I158" i="26"/>
  <c r="G158" i="26"/>
  <c r="I157" i="26"/>
  <c r="G157" i="26"/>
  <c r="I156" i="26"/>
  <c r="G156" i="26"/>
  <c r="I155" i="26"/>
  <c r="G155" i="26"/>
  <c r="I154" i="26"/>
  <c r="G154" i="26"/>
  <c r="A154" i="26"/>
  <c r="A155" i="26" s="1"/>
  <c r="A156" i="26" s="1"/>
  <c r="A157" i="26" s="1"/>
  <c r="A158" i="26" s="1"/>
  <c r="A159" i="26" s="1"/>
  <c r="A160" i="26" s="1"/>
  <c r="A161" i="26" s="1"/>
  <c r="A162" i="26" s="1"/>
  <c r="I153" i="26"/>
  <c r="G153" i="26"/>
  <c r="E152" i="26"/>
  <c r="I151" i="26"/>
  <c r="G151" i="26"/>
  <c r="I150" i="26"/>
  <c r="G150" i="26"/>
  <c r="I149" i="26"/>
  <c r="G149" i="26"/>
  <c r="A149" i="26"/>
  <c r="A150" i="26" s="1"/>
  <c r="A151" i="26" s="1"/>
  <c r="I148" i="26"/>
  <c r="G148" i="26"/>
  <c r="G152" i="26" s="1"/>
  <c r="E147" i="26"/>
  <c r="I146" i="26"/>
  <c r="G146" i="26"/>
  <c r="I145" i="26"/>
  <c r="G145" i="26"/>
  <c r="I144" i="26"/>
  <c r="G144" i="26"/>
  <c r="I143" i="26"/>
  <c r="G143" i="26"/>
  <c r="I142" i="26"/>
  <c r="G142" i="26"/>
  <c r="I141" i="26"/>
  <c r="G141" i="26"/>
  <c r="I140" i="26"/>
  <c r="G140" i="26"/>
  <c r="I139" i="26"/>
  <c r="G139" i="26"/>
  <c r="I138" i="26"/>
  <c r="G138" i="26"/>
  <c r="I137" i="26"/>
  <c r="G137" i="26"/>
  <c r="I136" i="26"/>
  <c r="G136" i="26"/>
  <c r="I135" i="26"/>
  <c r="G135" i="26"/>
  <c r="I134" i="26"/>
  <c r="G134" i="26"/>
  <c r="I133" i="26"/>
  <c r="G133" i="26"/>
  <c r="I132" i="26"/>
  <c r="G132" i="26"/>
  <c r="I131" i="26"/>
  <c r="G131" i="26"/>
  <c r="I130" i="26"/>
  <c r="G130" i="26"/>
  <c r="I129" i="26"/>
  <c r="G129" i="26"/>
  <c r="I128" i="26"/>
  <c r="G128" i="26"/>
  <c r="I127" i="26"/>
  <c r="G127" i="26"/>
  <c r="I126" i="26"/>
  <c r="G126" i="26"/>
  <c r="I125" i="26"/>
  <c r="G125" i="26"/>
  <c r="I124" i="26"/>
  <c r="G124" i="26"/>
  <c r="I123" i="26"/>
  <c r="G123" i="26"/>
  <c r="I122" i="26"/>
  <c r="G122" i="26"/>
  <c r="I121" i="26"/>
  <c r="G121" i="26"/>
  <c r="I120" i="26"/>
  <c r="G120" i="26"/>
  <c r="I119" i="26"/>
  <c r="G119" i="26"/>
  <c r="I118" i="26"/>
  <c r="G118" i="26"/>
  <c r="I117" i="26"/>
  <c r="G117" i="26"/>
  <c r="I116" i="26"/>
  <c r="G116" i="26"/>
  <c r="I115" i="26"/>
  <c r="G115" i="26"/>
  <c r="I114" i="26"/>
  <c r="G114" i="26"/>
  <c r="I113" i="26"/>
  <c r="G113" i="26"/>
  <c r="I112" i="26"/>
  <c r="G112" i="26"/>
  <c r="I111" i="26"/>
  <c r="G111" i="26"/>
  <c r="I110" i="26"/>
  <c r="G110" i="26"/>
  <c r="I109" i="26"/>
  <c r="G109" i="26"/>
  <c r="I108" i="26"/>
  <c r="G108" i="26"/>
  <c r="I107" i="26"/>
  <c r="G107" i="26"/>
  <c r="I106" i="26"/>
  <c r="G106" i="26"/>
  <c r="I105" i="26"/>
  <c r="G105" i="26"/>
  <c r="I104" i="26"/>
  <c r="G104" i="26"/>
  <c r="I103" i="26"/>
  <c r="G103" i="26"/>
  <c r="I102" i="26"/>
  <c r="G102" i="26"/>
  <c r="I101" i="26"/>
  <c r="G101" i="26"/>
  <c r="I100" i="26"/>
  <c r="G100" i="26"/>
  <c r="I99" i="26"/>
  <c r="G99" i="26"/>
  <c r="I98" i="26"/>
  <c r="G98" i="26"/>
  <c r="I97" i="26"/>
  <c r="G97" i="26"/>
  <c r="I96" i="26"/>
  <c r="G96" i="26"/>
  <c r="I95" i="26"/>
  <c r="G95" i="26"/>
  <c r="I94" i="26"/>
  <c r="G94" i="26"/>
  <c r="I93" i="26"/>
  <c r="G93" i="26"/>
  <c r="I92" i="26"/>
  <c r="G92" i="26"/>
  <c r="I91" i="26"/>
  <c r="G91" i="26"/>
  <c r="I90" i="26"/>
  <c r="G90" i="26"/>
  <c r="I89" i="26"/>
  <c r="G89" i="26"/>
  <c r="I88" i="26"/>
  <c r="G88" i="26"/>
  <c r="I87" i="26"/>
  <c r="G87" i="26"/>
  <c r="I86" i="26"/>
  <c r="G86" i="26"/>
  <c r="A86" i="26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I85" i="26"/>
  <c r="G85" i="26"/>
  <c r="E84" i="26"/>
  <c r="I83" i="26"/>
  <c r="G83" i="26"/>
  <c r="I82" i="26"/>
  <c r="G82" i="26"/>
  <c r="I81" i="26"/>
  <c r="G81" i="26"/>
  <c r="I80" i="26"/>
  <c r="G80" i="26"/>
  <c r="I79" i="26"/>
  <c r="G79" i="26"/>
  <c r="I78" i="26"/>
  <c r="G78" i="26"/>
  <c r="I77" i="26"/>
  <c r="G77" i="26"/>
  <c r="I76" i="26"/>
  <c r="G76" i="26"/>
  <c r="I75" i="26"/>
  <c r="G75" i="26"/>
  <c r="I74" i="26"/>
  <c r="G74" i="26"/>
  <c r="I73" i="26"/>
  <c r="G73" i="26"/>
  <c r="I72" i="26"/>
  <c r="G72" i="26"/>
  <c r="I71" i="26"/>
  <c r="G71" i="26"/>
  <c r="I70" i="26"/>
  <c r="G70" i="26"/>
  <c r="I69" i="26"/>
  <c r="G69" i="26"/>
  <c r="I68" i="26"/>
  <c r="G68" i="26"/>
  <c r="I67" i="26"/>
  <c r="G67" i="26"/>
  <c r="A67" i="26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I66" i="26"/>
  <c r="G66" i="26"/>
  <c r="E65" i="26"/>
  <c r="I64" i="26"/>
  <c r="G64" i="26"/>
  <c r="I63" i="26"/>
  <c r="G63" i="26"/>
  <c r="I62" i="26"/>
  <c r="G62" i="26"/>
  <c r="G65" i="26" s="1"/>
  <c r="A62" i="26"/>
  <c r="A63" i="26" s="1"/>
  <c r="A64" i="26" s="1"/>
  <c r="I61" i="26"/>
  <c r="G61" i="26"/>
  <c r="E60" i="26"/>
  <c r="I59" i="26"/>
  <c r="G59" i="26"/>
  <c r="I58" i="26"/>
  <c r="G58" i="26"/>
  <c r="I57" i="26"/>
  <c r="G57" i="26"/>
  <c r="I56" i="26"/>
  <c r="G56" i="26"/>
  <c r="I55" i="26"/>
  <c r="G55" i="26"/>
  <c r="I54" i="26"/>
  <c r="G54" i="26"/>
  <c r="I53" i="26"/>
  <c r="G53" i="26"/>
  <c r="I52" i="26"/>
  <c r="G52" i="26"/>
  <c r="I51" i="26"/>
  <c r="G51" i="26"/>
  <c r="I50" i="26"/>
  <c r="G50" i="26"/>
  <c r="I49" i="26"/>
  <c r="G49" i="26"/>
  <c r="I48" i="26"/>
  <c r="G48" i="26"/>
  <c r="I47" i="26"/>
  <c r="G47" i="26"/>
  <c r="I46" i="26"/>
  <c r="G46" i="26"/>
  <c r="A46" i="26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I45" i="26"/>
  <c r="G45" i="26"/>
  <c r="E44" i="26"/>
  <c r="I43" i="26"/>
  <c r="G43" i="26"/>
  <c r="I42" i="26"/>
  <c r="G42" i="26"/>
  <c r="I41" i="26"/>
  <c r="G41" i="26"/>
  <c r="I40" i="26"/>
  <c r="G40" i="26"/>
  <c r="I39" i="26"/>
  <c r="G39" i="26"/>
  <c r="I38" i="26"/>
  <c r="G38" i="26"/>
  <c r="I37" i="26"/>
  <c r="G37" i="26"/>
  <c r="I36" i="26"/>
  <c r="G36" i="26"/>
  <c r="I35" i="26"/>
  <c r="G35" i="26"/>
  <c r="I34" i="26"/>
  <c r="G34" i="26"/>
  <c r="I33" i="26"/>
  <c r="G33" i="26"/>
  <c r="I32" i="26"/>
  <c r="G32" i="26"/>
  <c r="I31" i="26"/>
  <c r="G31" i="26"/>
  <c r="I30" i="26"/>
  <c r="G30" i="26"/>
  <c r="I29" i="26"/>
  <c r="G29" i="26"/>
  <c r="I28" i="26"/>
  <c r="G28" i="26"/>
  <c r="I27" i="26"/>
  <c r="G27" i="26"/>
  <c r="I26" i="26"/>
  <c r="G26" i="26"/>
  <c r="I25" i="26"/>
  <c r="G25" i="26"/>
  <c r="I24" i="26"/>
  <c r="G24" i="26"/>
  <c r="A24" i="26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I23" i="26"/>
  <c r="G23" i="26"/>
  <c r="E22" i="26"/>
  <c r="I21" i="26"/>
  <c r="G21" i="26"/>
  <c r="I20" i="26"/>
  <c r="G20" i="26"/>
  <c r="I19" i="26"/>
  <c r="G19" i="26"/>
  <c r="I18" i="26"/>
  <c r="G18" i="26"/>
  <c r="I17" i="26"/>
  <c r="G17" i="26"/>
  <c r="I16" i="26"/>
  <c r="G16" i="26"/>
  <c r="I15" i="26"/>
  <c r="G15" i="26"/>
  <c r="I14" i="26"/>
  <c r="G14" i="26"/>
  <c r="I13" i="26"/>
  <c r="G13" i="26"/>
  <c r="I12" i="26"/>
  <c r="G12" i="26"/>
  <c r="I11" i="26"/>
  <c r="G11" i="26"/>
  <c r="I10" i="26"/>
  <c r="G10" i="26"/>
  <c r="A10" i="26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I9" i="26"/>
  <c r="G9" i="26"/>
  <c r="I8" i="26"/>
  <c r="G8" i="26"/>
  <c r="I7" i="26"/>
  <c r="G7" i="26"/>
  <c r="A7" i="26"/>
  <c r="A8" i="26" s="1"/>
  <c r="A9" i="26" s="1"/>
  <c r="I6" i="26"/>
  <c r="F6" i="26"/>
  <c r="G6" i="26" s="1"/>
  <c r="I44" i="26" l="1"/>
  <c r="I152" i="26"/>
  <c r="I65" i="26"/>
  <c r="I147" i="26"/>
  <c r="G180" i="26"/>
  <c r="G22" i="26"/>
  <c r="G44" i="26"/>
  <c r="I163" i="26"/>
  <c r="I180" i="26"/>
  <c r="G186" i="28"/>
  <c r="I186" i="28"/>
  <c r="G84" i="26"/>
  <c r="I84" i="26"/>
  <c r="G163" i="26"/>
  <c r="E184" i="26"/>
  <c r="E188" i="26" s="1"/>
  <c r="E189" i="26" s="1"/>
  <c r="G60" i="26"/>
  <c r="I60" i="26"/>
  <c r="G147" i="26"/>
  <c r="I22" i="26"/>
  <c r="G184" i="26" l="1"/>
  <c r="I184" i="26"/>
  <c r="L37" i="22" l="1"/>
  <c r="L35" i="22" l="1"/>
  <c r="L33" i="22"/>
  <c r="L30" i="22"/>
  <c r="K36" i="22"/>
  <c r="K34" i="22"/>
  <c r="K28" i="22"/>
  <c r="K29" i="22"/>
  <c r="K31" i="22"/>
  <c r="K32" i="22"/>
  <c r="K27" i="22"/>
  <c r="R127" i="21"/>
  <c r="F204" i="21" l="1"/>
  <c r="M185" i="21" l="1"/>
  <c r="M184" i="21"/>
  <c r="L183" i="21"/>
  <c r="L184" i="21"/>
  <c r="L185" i="21"/>
  <c r="L182" i="21"/>
  <c r="L179" i="21"/>
  <c r="L180" i="21"/>
  <c r="L178" i="21"/>
  <c r="M181" i="21"/>
  <c r="M175" i="21"/>
  <c r="L167" i="21"/>
  <c r="L168" i="21"/>
  <c r="L169" i="21"/>
  <c r="L170" i="21"/>
  <c r="L171" i="21"/>
  <c r="L172" i="21"/>
  <c r="L173" i="21"/>
  <c r="L174" i="21"/>
  <c r="L175" i="21"/>
  <c r="L176" i="21"/>
  <c r="L166" i="21"/>
  <c r="M163" i="21" l="1"/>
  <c r="M162" i="21"/>
  <c r="M161" i="21"/>
  <c r="L155" i="21"/>
  <c r="L156" i="21"/>
  <c r="L157" i="21"/>
  <c r="L158" i="21"/>
  <c r="L159" i="21"/>
  <c r="L154" i="21"/>
  <c r="M160" i="21"/>
  <c r="M152" i="21"/>
  <c r="L148" i="21"/>
  <c r="L149" i="21"/>
  <c r="L147" i="21"/>
  <c r="K151" i="21"/>
  <c r="M151" i="21" s="1"/>
  <c r="M150" i="21"/>
  <c r="M143" i="21"/>
  <c r="G37" i="22" l="1"/>
  <c r="G33" i="22"/>
  <c r="G35" i="22"/>
  <c r="G30" i="22"/>
  <c r="H181" i="21" l="1"/>
  <c r="H165" i="21"/>
  <c r="G129" i="23"/>
  <c r="E267" i="24" l="1"/>
  <c r="P266" i="24"/>
  <c r="I266" i="24"/>
  <c r="G266" i="24"/>
  <c r="P265" i="24"/>
  <c r="I265" i="24"/>
  <c r="G265" i="24"/>
  <c r="P264" i="24"/>
  <c r="I264" i="24"/>
  <c r="G264" i="24"/>
  <c r="P263" i="24"/>
  <c r="I263" i="24"/>
  <c r="G263" i="24"/>
  <c r="P262" i="24"/>
  <c r="I262" i="24"/>
  <c r="G262" i="24"/>
  <c r="P261" i="24"/>
  <c r="I261" i="24"/>
  <c r="G261" i="24"/>
  <c r="P260" i="24"/>
  <c r="I260" i="24"/>
  <c r="G260" i="24"/>
  <c r="P259" i="24"/>
  <c r="I259" i="24"/>
  <c r="G259" i="24"/>
  <c r="P258" i="24"/>
  <c r="I258" i="24"/>
  <c r="G258" i="24"/>
  <c r="P257" i="24"/>
  <c r="I257" i="24"/>
  <c r="G257" i="24"/>
  <c r="P256" i="24"/>
  <c r="I256" i="24"/>
  <c r="G256" i="24"/>
  <c r="P255" i="24"/>
  <c r="I255" i="24"/>
  <c r="G255" i="24"/>
  <c r="A255" i="24"/>
  <c r="A256" i="24" s="1"/>
  <c r="A257" i="24" s="1"/>
  <c r="A258" i="24" s="1"/>
  <c r="A259" i="24" s="1"/>
  <c r="A260" i="24" s="1"/>
  <c r="A261" i="24" s="1"/>
  <c r="A262" i="24" s="1"/>
  <c r="A263" i="24" s="1"/>
  <c r="A264" i="24" s="1"/>
  <c r="A265" i="24" s="1"/>
  <c r="A266" i="24" s="1"/>
  <c r="P254" i="24"/>
  <c r="I254" i="24"/>
  <c r="G254" i="24"/>
  <c r="E253" i="24"/>
  <c r="P252" i="24"/>
  <c r="I252" i="24"/>
  <c r="G252" i="24"/>
  <c r="P251" i="24"/>
  <c r="I251" i="24"/>
  <c r="G251" i="24"/>
  <c r="P250" i="24"/>
  <c r="I250" i="24"/>
  <c r="G250" i="24"/>
  <c r="P249" i="24"/>
  <c r="I249" i="24"/>
  <c r="G249" i="24"/>
  <c r="P248" i="24"/>
  <c r="I248" i="24"/>
  <c r="G248" i="24"/>
  <c r="P247" i="24"/>
  <c r="I247" i="24"/>
  <c r="G247" i="24"/>
  <c r="P246" i="24"/>
  <c r="I246" i="24"/>
  <c r="G246" i="24"/>
  <c r="P245" i="24"/>
  <c r="I245" i="24"/>
  <c r="G245" i="24"/>
  <c r="P244" i="24"/>
  <c r="I244" i="24"/>
  <c r="G244" i="24"/>
  <c r="P243" i="24"/>
  <c r="I243" i="24"/>
  <c r="G243" i="24"/>
  <c r="P242" i="24"/>
  <c r="I242" i="24"/>
  <c r="G242" i="24"/>
  <c r="P241" i="24"/>
  <c r="I241" i="24"/>
  <c r="G241" i="24"/>
  <c r="P240" i="24"/>
  <c r="I240" i="24"/>
  <c r="G240" i="24"/>
  <c r="P239" i="24"/>
  <c r="I239" i="24"/>
  <c r="G239" i="24"/>
  <c r="P238" i="24"/>
  <c r="I238" i="24"/>
  <c r="G238" i="24"/>
  <c r="A238" i="24"/>
  <c r="A239" i="24" s="1"/>
  <c r="A240" i="24" s="1"/>
  <c r="A241" i="24" s="1"/>
  <c r="A242" i="24" s="1"/>
  <c r="A243" i="24" s="1"/>
  <c r="A244" i="24" s="1"/>
  <c r="A245" i="24" s="1"/>
  <c r="A246" i="24" s="1"/>
  <c r="A247" i="24" s="1"/>
  <c r="A248" i="24" s="1"/>
  <c r="A249" i="24" s="1"/>
  <c r="A250" i="24" s="1"/>
  <c r="A251" i="24" s="1"/>
  <c r="A252" i="24" s="1"/>
  <c r="P237" i="24"/>
  <c r="I237" i="24"/>
  <c r="G237" i="24"/>
  <c r="E236" i="24"/>
  <c r="P235" i="24"/>
  <c r="I235" i="24"/>
  <c r="G235" i="24"/>
  <c r="P234" i="24"/>
  <c r="I234" i="24"/>
  <c r="G234" i="24"/>
  <c r="P233" i="24"/>
  <c r="I233" i="24"/>
  <c r="G233" i="24"/>
  <c r="P232" i="24"/>
  <c r="I232" i="24"/>
  <c r="G232" i="24"/>
  <c r="P231" i="24"/>
  <c r="I231" i="24"/>
  <c r="G231" i="24"/>
  <c r="P230" i="24"/>
  <c r="I230" i="24"/>
  <c r="G230" i="24"/>
  <c r="P229" i="24"/>
  <c r="I229" i="24"/>
  <c r="G229" i="24"/>
  <c r="P228" i="24"/>
  <c r="I228" i="24"/>
  <c r="G228" i="24"/>
  <c r="P227" i="24"/>
  <c r="I227" i="24"/>
  <c r="G227" i="24"/>
  <c r="P226" i="24"/>
  <c r="I226" i="24"/>
  <c r="G226" i="24"/>
  <c r="P225" i="24"/>
  <c r="I225" i="24"/>
  <c r="G225" i="24"/>
  <c r="A225" i="24"/>
  <c r="A226" i="24" s="1"/>
  <c r="A227" i="24" s="1"/>
  <c r="A228" i="24" s="1"/>
  <c r="A229" i="24" s="1"/>
  <c r="A230" i="24" s="1"/>
  <c r="A231" i="24" s="1"/>
  <c r="A232" i="24" s="1"/>
  <c r="A233" i="24" s="1"/>
  <c r="A234" i="24" s="1"/>
  <c r="A235" i="24" s="1"/>
  <c r="P224" i="24"/>
  <c r="I224" i="24"/>
  <c r="G224" i="24"/>
  <c r="E223" i="24"/>
  <c r="P222" i="24"/>
  <c r="I222" i="24"/>
  <c r="G222" i="24"/>
  <c r="P221" i="24"/>
  <c r="I221" i="24"/>
  <c r="G221" i="24"/>
  <c r="P220" i="24"/>
  <c r="I220" i="24"/>
  <c r="G220" i="24"/>
  <c r="A220" i="24"/>
  <c r="A221" i="24" s="1"/>
  <c r="A222" i="24" s="1"/>
  <c r="P219" i="24"/>
  <c r="I219" i="24"/>
  <c r="G219" i="24"/>
  <c r="E218" i="24"/>
  <c r="P217" i="24"/>
  <c r="I217" i="24"/>
  <c r="G217" i="24"/>
  <c r="P216" i="24"/>
  <c r="I216" i="24"/>
  <c r="G216" i="24"/>
  <c r="P215" i="24"/>
  <c r="I215" i="24"/>
  <c r="G215" i="24"/>
  <c r="P214" i="24"/>
  <c r="I214" i="24"/>
  <c r="G214" i="24"/>
  <c r="P213" i="24"/>
  <c r="I213" i="24"/>
  <c r="G213" i="24"/>
  <c r="P212" i="24"/>
  <c r="I212" i="24"/>
  <c r="G212" i="24"/>
  <c r="P211" i="24"/>
  <c r="I211" i="24"/>
  <c r="G211" i="24"/>
  <c r="P210" i="24"/>
  <c r="I210" i="24"/>
  <c r="G210" i="24"/>
  <c r="P209" i="24"/>
  <c r="I209" i="24"/>
  <c r="G209" i="24"/>
  <c r="P208" i="24"/>
  <c r="I208" i="24"/>
  <c r="G208" i="24"/>
  <c r="P207" i="24"/>
  <c r="I207" i="24"/>
  <c r="G207" i="24"/>
  <c r="P206" i="24"/>
  <c r="I206" i="24"/>
  <c r="G206" i="24"/>
  <c r="P205" i="24"/>
  <c r="I205" i="24"/>
  <c r="G205" i="24"/>
  <c r="P204" i="24"/>
  <c r="I204" i="24"/>
  <c r="G204" i="24"/>
  <c r="P203" i="24"/>
  <c r="I203" i="24"/>
  <c r="G203" i="24"/>
  <c r="P202" i="24"/>
  <c r="I202" i="24"/>
  <c r="G202" i="24"/>
  <c r="P201" i="24"/>
  <c r="I201" i="24"/>
  <c r="G201" i="24"/>
  <c r="P200" i="24"/>
  <c r="I200" i="24"/>
  <c r="G200" i="24"/>
  <c r="P199" i="24"/>
  <c r="I199" i="24"/>
  <c r="G199" i="24"/>
  <c r="P198" i="24"/>
  <c r="I198" i="24"/>
  <c r="G198" i="24"/>
  <c r="P197" i="24"/>
  <c r="I197" i="24"/>
  <c r="G197" i="24"/>
  <c r="P196" i="24"/>
  <c r="I196" i="24"/>
  <c r="G196" i="24"/>
  <c r="P195" i="24"/>
  <c r="I195" i="24"/>
  <c r="G195" i="24"/>
  <c r="A195" i="24"/>
  <c r="A196" i="24" s="1"/>
  <c r="A197" i="24" s="1"/>
  <c r="A198" i="24" s="1"/>
  <c r="A199" i="24" s="1"/>
  <c r="A200" i="24" s="1"/>
  <c r="A201" i="24" s="1"/>
  <c r="A202" i="24" s="1"/>
  <c r="A203" i="24" s="1"/>
  <c r="A204" i="24" s="1"/>
  <c r="A205" i="24" s="1"/>
  <c r="A206" i="24" s="1"/>
  <c r="A207" i="24" s="1"/>
  <c r="A208" i="24" s="1"/>
  <c r="A209" i="24" s="1"/>
  <c r="A210" i="24" s="1"/>
  <c r="A211" i="24" s="1"/>
  <c r="A212" i="24" s="1"/>
  <c r="A213" i="24" s="1"/>
  <c r="A214" i="24" s="1"/>
  <c r="A215" i="24" s="1"/>
  <c r="A216" i="24" s="1"/>
  <c r="A217" i="24" s="1"/>
  <c r="P194" i="24"/>
  <c r="I194" i="24"/>
  <c r="G194" i="24"/>
  <c r="E193" i="24"/>
  <c r="P192" i="24"/>
  <c r="I192" i="24"/>
  <c r="G192" i="24"/>
  <c r="P191" i="24"/>
  <c r="I191" i="24"/>
  <c r="G191" i="24"/>
  <c r="P190" i="24"/>
  <c r="I190" i="24"/>
  <c r="G190" i="24"/>
  <c r="P189" i="24"/>
  <c r="I189" i="24"/>
  <c r="G189" i="24"/>
  <c r="P188" i="24"/>
  <c r="I188" i="24"/>
  <c r="G188" i="24"/>
  <c r="P187" i="24"/>
  <c r="I187" i="24"/>
  <c r="G187" i="24"/>
  <c r="P186" i="24"/>
  <c r="I186" i="24"/>
  <c r="G186" i="24"/>
  <c r="P185" i="24"/>
  <c r="I185" i="24"/>
  <c r="G185" i="24"/>
  <c r="P184" i="24"/>
  <c r="I184" i="24"/>
  <c r="G184" i="24"/>
  <c r="P183" i="24"/>
  <c r="I183" i="24"/>
  <c r="G183" i="24"/>
  <c r="P182" i="24"/>
  <c r="I182" i="24"/>
  <c r="G182" i="24"/>
  <c r="P181" i="24"/>
  <c r="I181" i="24"/>
  <c r="G181" i="24"/>
  <c r="P180" i="24"/>
  <c r="I180" i="24"/>
  <c r="G180" i="24"/>
  <c r="P179" i="24"/>
  <c r="I179" i="24"/>
  <c r="G179" i="24"/>
  <c r="P178" i="24"/>
  <c r="I178" i="24"/>
  <c r="G178" i="24"/>
  <c r="P177" i="24"/>
  <c r="I177" i="24"/>
  <c r="G177" i="24"/>
  <c r="P176" i="24"/>
  <c r="I176" i="24"/>
  <c r="G176" i="24"/>
  <c r="P175" i="24"/>
  <c r="I175" i="24"/>
  <c r="G175" i="24"/>
  <c r="P174" i="24"/>
  <c r="I174" i="24"/>
  <c r="G174" i="24"/>
  <c r="P173" i="24"/>
  <c r="I173" i="24"/>
  <c r="G173" i="24"/>
  <c r="P172" i="24"/>
  <c r="I172" i="24"/>
  <c r="G172" i="24"/>
  <c r="P171" i="24"/>
  <c r="I171" i="24"/>
  <c r="G171" i="24"/>
  <c r="P170" i="24"/>
  <c r="I170" i="24"/>
  <c r="G170" i="24"/>
  <c r="P169" i="24"/>
  <c r="I169" i="24"/>
  <c r="G169" i="24"/>
  <c r="P168" i="24"/>
  <c r="I168" i="24"/>
  <c r="G168" i="24"/>
  <c r="P167" i="24"/>
  <c r="I167" i="24"/>
  <c r="G167" i="24"/>
  <c r="P166" i="24"/>
  <c r="I166" i="24"/>
  <c r="G166" i="24"/>
  <c r="P165" i="24"/>
  <c r="I165" i="24"/>
  <c r="G165" i="24"/>
  <c r="P164" i="24"/>
  <c r="I164" i="24"/>
  <c r="G164" i="24"/>
  <c r="P163" i="24"/>
  <c r="I163" i="24"/>
  <c r="G163" i="24"/>
  <c r="P162" i="24"/>
  <c r="I162" i="24"/>
  <c r="G162" i="24"/>
  <c r="P161" i="24"/>
  <c r="I161" i="24"/>
  <c r="G161" i="24"/>
  <c r="A161" i="24"/>
  <c r="A162" i="24" s="1"/>
  <c r="A163" i="24" s="1"/>
  <c r="A164" i="24" s="1"/>
  <c r="A165" i="24" s="1"/>
  <c r="A166" i="24" s="1"/>
  <c r="A167" i="24" s="1"/>
  <c r="A168" i="24" s="1"/>
  <c r="A169" i="24" s="1"/>
  <c r="A170" i="24" s="1"/>
  <c r="A171" i="24" s="1"/>
  <c r="A172" i="24" s="1"/>
  <c r="A173" i="24" s="1"/>
  <c r="A174" i="24" s="1"/>
  <c r="A175" i="24" s="1"/>
  <c r="A176" i="24" s="1"/>
  <c r="A177" i="24" s="1"/>
  <c r="A178" i="24" s="1"/>
  <c r="A179" i="24" s="1"/>
  <c r="A180" i="24" s="1"/>
  <c r="A181" i="24" s="1"/>
  <c r="A182" i="24" s="1"/>
  <c r="A183" i="24" s="1"/>
  <c r="A184" i="24" s="1"/>
  <c r="A185" i="24" s="1"/>
  <c r="A186" i="24" s="1"/>
  <c r="A187" i="24" s="1"/>
  <c r="A188" i="24" s="1"/>
  <c r="A189" i="24" s="1"/>
  <c r="A190" i="24" s="1"/>
  <c r="A191" i="24" s="1"/>
  <c r="A192" i="24" s="1"/>
  <c r="P160" i="24"/>
  <c r="I160" i="24"/>
  <c r="G160" i="24"/>
  <c r="E159" i="24"/>
  <c r="P158" i="24"/>
  <c r="I158" i="24"/>
  <c r="G158" i="24"/>
  <c r="P157" i="24"/>
  <c r="I157" i="24"/>
  <c r="G157" i="24"/>
  <c r="P156" i="24"/>
  <c r="I156" i="24"/>
  <c r="G156" i="24"/>
  <c r="P155" i="24"/>
  <c r="I155" i="24"/>
  <c r="G155" i="24"/>
  <c r="P154" i="24"/>
  <c r="I154" i="24"/>
  <c r="G154" i="24"/>
  <c r="P153" i="24"/>
  <c r="I153" i="24"/>
  <c r="G153" i="24"/>
  <c r="P152" i="24"/>
  <c r="I152" i="24"/>
  <c r="G152" i="24"/>
  <c r="P151" i="24"/>
  <c r="I151" i="24"/>
  <c r="G151" i="24"/>
  <c r="P150" i="24"/>
  <c r="I150" i="24"/>
  <c r="G150" i="24"/>
  <c r="P149" i="24"/>
  <c r="I149" i="24"/>
  <c r="G149" i="24"/>
  <c r="A149" i="24"/>
  <c r="A150" i="24" s="1"/>
  <c r="A151" i="24" s="1"/>
  <c r="A152" i="24" s="1"/>
  <c r="A153" i="24" s="1"/>
  <c r="A154" i="24" s="1"/>
  <c r="A155" i="24" s="1"/>
  <c r="A156" i="24" s="1"/>
  <c r="A157" i="24" s="1"/>
  <c r="A158" i="24" s="1"/>
  <c r="P148" i="24"/>
  <c r="I148" i="24"/>
  <c r="G148" i="24"/>
  <c r="E147" i="24"/>
  <c r="P146" i="24"/>
  <c r="I146" i="24"/>
  <c r="G146" i="24"/>
  <c r="P145" i="24"/>
  <c r="I145" i="24"/>
  <c r="G145" i="24"/>
  <c r="P144" i="24"/>
  <c r="I144" i="24"/>
  <c r="G144" i="24"/>
  <c r="P143" i="24"/>
  <c r="I143" i="24"/>
  <c r="G143" i="24"/>
  <c r="P142" i="24"/>
  <c r="I142" i="24"/>
  <c r="G142" i="24"/>
  <c r="P141" i="24"/>
  <c r="I141" i="24"/>
  <c r="G141" i="24"/>
  <c r="P140" i="24"/>
  <c r="I140" i="24"/>
  <c r="G140" i="24"/>
  <c r="P139" i="24"/>
  <c r="I139" i="24"/>
  <c r="G139" i="24"/>
  <c r="P138" i="24"/>
  <c r="I138" i="24"/>
  <c r="G138" i="24"/>
  <c r="P137" i="24"/>
  <c r="I137" i="24"/>
  <c r="G137" i="24"/>
  <c r="A137" i="24"/>
  <c r="A138" i="24" s="1"/>
  <c r="A139" i="24" s="1"/>
  <c r="A140" i="24" s="1"/>
  <c r="A141" i="24" s="1"/>
  <c r="A142" i="24" s="1"/>
  <c r="A143" i="24" s="1"/>
  <c r="A144" i="24" s="1"/>
  <c r="A145" i="24" s="1"/>
  <c r="A146" i="24" s="1"/>
  <c r="P136" i="24"/>
  <c r="I136" i="24"/>
  <c r="G136" i="24"/>
  <c r="E135" i="24"/>
  <c r="P134" i="24"/>
  <c r="I134" i="24"/>
  <c r="G134" i="24"/>
  <c r="P133" i="24"/>
  <c r="I133" i="24"/>
  <c r="G133" i="24"/>
  <c r="P132" i="24"/>
  <c r="I132" i="24"/>
  <c r="G132" i="24"/>
  <c r="P131" i="24"/>
  <c r="I131" i="24"/>
  <c r="G131" i="24"/>
  <c r="P130" i="24"/>
  <c r="I130" i="24"/>
  <c r="G130" i="24"/>
  <c r="P129" i="24"/>
  <c r="I129" i="24"/>
  <c r="G129" i="24"/>
  <c r="P128" i="24"/>
  <c r="I128" i="24"/>
  <c r="G128" i="24"/>
  <c r="P127" i="24"/>
  <c r="I127" i="24"/>
  <c r="G127" i="24"/>
  <c r="P126" i="24"/>
  <c r="I126" i="24"/>
  <c r="G126" i="24"/>
  <c r="P125" i="24"/>
  <c r="I125" i="24"/>
  <c r="G125" i="24"/>
  <c r="P124" i="24"/>
  <c r="I124" i="24"/>
  <c r="G124" i="24"/>
  <c r="P123" i="24"/>
  <c r="I123" i="24"/>
  <c r="G123" i="24"/>
  <c r="P122" i="24"/>
  <c r="I122" i="24"/>
  <c r="G122" i="24"/>
  <c r="P121" i="24"/>
  <c r="I121" i="24"/>
  <c r="G121" i="24"/>
  <c r="P120" i="24"/>
  <c r="I120" i="24"/>
  <c r="G120" i="24"/>
  <c r="P119" i="24"/>
  <c r="I119" i="24"/>
  <c r="G119" i="24"/>
  <c r="P118" i="24"/>
  <c r="I118" i="24"/>
  <c r="G118" i="24"/>
  <c r="P117" i="24"/>
  <c r="I117" i="24"/>
  <c r="G117" i="24"/>
  <c r="P116" i="24"/>
  <c r="I116" i="24"/>
  <c r="G116" i="24"/>
  <c r="P115" i="24"/>
  <c r="I115" i="24"/>
  <c r="G115" i="24"/>
  <c r="P114" i="24"/>
  <c r="I114" i="24"/>
  <c r="G114" i="24"/>
  <c r="P113" i="24"/>
  <c r="I113" i="24"/>
  <c r="G113" i="24"/>
  <c r="P112" i="24"/>
  <c r="I112" i="24"/>
  <c r="G112" i="24"/>
  <c r="P111" i="24"/>
  <c r="I111" i="24"/>
  <c r="G111" i="24"/>
  <c r="P110" i="24"/>
  <c r="I110" i="24"/>
  <c r="G110" i="24"/>
  <c r="P109" i="24"/>
  <c r="I109" i="24"/>
  <c r="G109" i="24"/>
  <c r="P108" i="24"/>
  <c r="I108" i="24"/>
  <c r="G108" i="24"/>
  <c r="P107" i="24"/>
  <c r="I107" i="24"/>
  <c r="G107" i="24"/>
  <c r="A107" i="24"/>
  <c r="A108" i="24" s="1"/>
  <c r="A109" i="24" s="1"/>
  <c r="A110" i="24" s="1"/>
  <c r="A111" i="24" s="1"/>
  <c r="A112" i="24" s="1"/>
  <c r="A113" i="24" s="1"/>
  <c r="A114" i="24" s="1"/>
  <c r="A115" i="24" s="1"/>
  <c r="A116" i="24" s="1"/>
  <c r="A117" i="24" s="1"/>
  <c r="A118" i="24" s="1"/>
  <c r="A119" i="24" s="1"/>
  <c r="A120" i="24" s="1"/>
  <c r="A121" i="24" s="1"/>
  <c r="A122" i="24" s="1"/>
  <c r="A123" i="24" s="1"/>
  <c r="A124" i="24" s="1"/>
  <c r="A125" i="24" s="1"/>
  <c r="A126" i="24" s="1"/>
  <c r="A127" i="24" s="1"/>
  <c r="A128" i="24" s="1"/>
  <c r="A129" i="24" s="1"/>
  <c r="A130" i="24" s="1"/>
  <c r="A131" i="24" s="1"/>
  <c r="A132" i="24" s="1"/>
  <c r="A133" i="24" s="1"/>
  <c r="A134" i="24" s="1"/>
  <c r="P106" i="24"/>
  <c r="I106" i="24"/>
  <c r="G106" i="24"/>
  <c r="E105" i="24"/>
  <c r="P104" i="24"/>
  <c r="I104" i="24"/>
  <c r="G104" i="24"/>
  <c r="P103" i="24"/>
  <c r="I103" i="24"/>
  <c r="G103" i="24"/>
  <c r="P102" i="24"/>
  <c r="I102" i="24"/>
  <c r="G102" i="24"/>
  <c r="P101" i="24"/>
  <c r="I101" i="24"/>
  <c r="G101" i="24"/>
  <c r="P100" i="24"/>
  <c r="I100" i="24"/>
  <c r="G100" i="24"/>
  <c r="P99" i="24"/>
  <c r="I99" i="24"/>
  <c r="G99" i="24"/>
  <c r="P98" i="24"/>
  <c r="I98" i="24"/>
  <c r="G98" i="24"/>
  <c r="P97" i="24"/>
  <c r="I97" i="24"/>
  <c r="G97" i="24"/>
  <c r="P96" i="24"/>
  <c r="I96" i="24"/>
  <c r="G96" i="24"/>
  <c r="P95" i="24"/>
  <c r="I95" i="24"/>
  <c r="G95" i="24"/>
  <c r="P94" i="24"/>
  <c r="I94" i="24"/>
  <c r="G94" i="24"/>
  <c r="P93" i="24"/>
  <c r="I93" i="24"/>
  <c r="G93" i="24"/>
  <c r="P92" i="24"/>
  <c r="I92" i="24"/>
  <c r="G92" i="24"/>
  <c r="P91" i="24"/>
  <c r="I91" i="24"/>
  <c r="G91" i="24"/>
  <c r="P90" i="24"/>
  <c r="I90" i="24"/>
  <c r="G90" i="24"/>
  <c r="P89" i="24"/>
  <c r="I89" i="24"/>
  <c r="G89" i="24"/>
  <c r="P88" i="24"/>
  <c r="I88" i="24"/>
  <c r="G88" i="24"/>
  <c r="P87" i="24"/>
  <c r="I87" i="24"/>
  <c r="G87" i="24"/>
  <c r="P86" i="24"/>
  <c r="I86" i="24"/>
  <c r="G86" i="24"/>
  <c r="P85" i="24"/>
  <c r="I85" i="24"/>
  <c r="G85" i="24"/>
  <c r="P84" i="24"/>
  <c r="I84" i="24"/>
  <c r="G84" i="24"/>
  <c r="P83" i="24"/>
  <c r="I83" i="24"/>
  <c r="G83" i="24"/>
  <c r="P82" i="24"/>
  <c r="I82" i="24"/>
  <c r="G82" i="24"/>
  <c r="P81" i="24"/>
  <c r="I81" i="24"/>
  <c r="G81" i="24"/>
  <c r="P80" i="24"/>
  <c r="I80" i="24"/>
  <c r="G80" i="24"/>
  <c r="P79" i="24"/>
  <c r="I79" i="24"/>
  <c r="G79" i="24"/>
  <c r="P78" i="24"/>
  <c r="I78" i="24"/>
  <c r="G78" i="24"/>
  <c r="P77" i="24"/>
  <c r="I77" i="24"/>
  <c r="G77" i="24"/>
  <c r="P76" i="24"/>
  <c r="I76" i="24"/>
  <c r="G76" i="24"/>
  <c r="P75" i="24"/>
  <c r="I75" i="24"/>
  <c r="G75" i="24"/>
  <c r="P74" i="24"/>
  <c r="I74" i="24"/>
  <c r="G74" i="24"/>
  <c r="P73" i="24"/>
  <c r="I73" i="24"/>
  <c r="G73" i="24"/>
  <c r="P72" i="24"/>
  <c r="I72" i="24"/>
  <c r="G72" i="24"/>
  <c r="P71" i="24"/>
  <c r="I71" i="24"/>
  <c r="G71" i="24"/>
  <c r="P70" i="24"/>
  <c r="I70" i="24"/>
  <c r="G70" i="24"/>
  <c r="P69" i="24"/>
  <c r="I69" i="24"/>
  <c r="G69" i="24"/>
  <c r="P68" i="24"/>
  <c r="I68" i="24"/>
  <c r="G68" i="24"/>
  <c r="P67" i="24"/>
  <c r="I67" i="24"/>
  <c r="G67" i="24"/>
  <c r="P66" i="24"/>
  <c r="I66" i="24"/>
  <c r="G66" i="24"/>
  <c r="P65" i="24"/>
  <c r="I65" i="24"/>
  <c r="G65" i="24"/>
  <c r="P64" i="24"/>
  <c r="I64" i="24"/>
  <c r="G64" i="24"/>
  <c r="P63" i="24"/>
  <c r="I63" i="24"/>
  <c r="G63" i="24"/>
  <c r="P62" i="24"/>
  <c r="I62" i="24"/>
  <c r="G62" i="24"/>
  <c r="P61" i="24"/>
  <c r="I61" i="24"/>
  <c r="G61" i="24"/>
  <c r="P60" i="24"/>
  <c r="I60" i="24"/>
  <c r="G60" i="24"/>
  <c r="P59" i="24"/>
  <c r="I59" i="24"/>
  <c r="G59" i="24"/>
  <c r="P58" i="24"/>
  <c r="I58" i="24"/>
  <c r="G58" i="24"/>
  <c r="P57" i="24"/>
  <c r="I57" i="24"/>
  <c r="G57" i="24"/>
  <c r="P56" i="24"/>
  <c r="I56" i="24"/>
  <c r="G56" i="24"/>
  <c r="P55" i="24"/>
  <c r="I55" i="24"/>
  <c r="G55" i="24"/>
  <c r="P54" i="24"/>
  <c r="I54" i="24"/>
  <c r="G54" i="24"/>
  <c r="P53" i="24"/>
  <c r="I53" i="24"/>
  <c r="G53" i="24"/>
  <c r="P52" i="24"/>
  <c r="I52" i="24"/>
  <c r="G52" i="24"/>
  <c r="P51" i="24"/>
  <c r="I51" i="24"/>
  <c r="G51" i="24"/>
  <c r="P50" i="24"/>
  <c r="I50" i="24"/>
  <c r="G50" i="24"/>
  <c r="P49" i="24"/>
  <c r="I49" i="24"/>
  <c r="G49" i="24"/>
  <c r="P48" i="24"/>
  <c r="I48" i="24"/>
  <c r="G48" i="24"/>
  <c r="A48" i="24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A100" i="24" s="1"/>
  <c r="A101" i="24" s="1"/>
  <c r="A102" i="24" s="1"/>
  <c r="A103" i="24" s="1"/>
  <c r="A104" i="24" s="1"/>
  <c r="P47" i="24"/>
  <c r="I47" i="24"/>
  <c r="G47" i="24"/>
  <c r="E46" i="24"/>
  <c r="P45" i="24"/>
  <c r="I45" i="24"/>
  <c r="G45" i="24"/>
  <c r="P44" i="24"/>
  <c r="I44" i="24"/>
  <c r="G44" i="24"/>
  <c r="P43" i="24"/>
  <c r="I43" i="24"/>
  <c r="G43" i="24"/>
  <c r="P42" i="24"/>
  <c r="I42" i="24"/>
  <c r="G42" i="24"/>
  <c r="P41" i="24"/>
  <c r="I41" i="24"/>
  <c r="G41" i="24"/>
  <c r="A41" i="24"/>
  <c r="A42" i="24" s="1"/>
  <c r="A43" i="24" s="1"/>
  <c r="A44" i="24" s="1"/>
  <c r="A45" i="24" s="1"/>
  <c r="P40" i="24"/>
  <c r="I40" i="24"/>
  <c r="G40" i="24"/>
  <c r="E39" i="24"/>
  <c r="P38" i="24"/>
  <c r="I38" i="24"/>
  <c r="G38" i="24"/>
  <c r="P37" i="24"/>
  <c r="I37" i="24"/>
  <c r="G37" i="24"/>
  <c r="P36" i="24"/>
  <c r="I36" i="24"/>
  <c r="G36" i="24"/>
  <c r="P35" i="24"/>
  <c r="I35" i="24"/>
  <c r="G35" i="24"/>
  <c r="P34" i="24"/>
  <c r="I34" i="24"/>
  <c r="G34" i="24"/>
  <c r="P33" i="24"/>
  <c r="I33" i="24"/>
  <c r="G33" i="24"/>
  <c r="P32" i="24"/>
  <c r="I32" i="24"/>
  <c r="G32" i="24"/>
  <c r="P31" i="24"/>
  <c r="I31" i="24"/>
  <c r="G31" i="24"/>
  <c r="P30" i="24"/>
  <c r="I30" i="24"/>
  <c r="G30" i="24"/>
  <c r="P29" i="24"/>
  <c r="I29" i="24"/>
  <c r="G29" i="24"/>
  <c r="P28" i="24"/>
  <c r="I28" i="24"/>
  <c r="G28" i="24"/>
  <c r="P27" i="24"/>
  <c r="I27" i="24"/>
  <c r="G27" i="24"/>
  <c r="P26" i="24"/>
  <c r="I26" i="24"/>
  <c r="G26" i="24"/>
  <c r="P25" i="24"/>
  <c r="I25" i="24"/>
  <c r="G25" i="24"/>
  <c r="P24" i="24"/>
  <c r="I24" i="24"/>
  <c r="G24" i="24"/>
  <c r="P23" i="24"/>
  <c r="I23" i="24"/>
  <c r="G23" i="24"/>
  <c r="P22" i="24"/>
  <c r="I22" i="24"/>
  <c r="G22" i="24"/>
  <c r="P21" i="24"/>
  <c r="I21" i="24"/>
  <c r="G21" i="24"/>
  <c r="P20" i="24"/>
  <c r="I20" i="24"/>
  <c r="G20" i="24"/>
  <c r="P19" i="24"/>
  <c r="I19" i="24"/>
  <c r="G19" i="24"/>
  <c r="P18" i="24"/>
  <c r="I18" i="24"/>
  <c r="G18" i="24"/>
  <c r="P17" i="24"/>
  <c r="I17" i="24"/>
  <c r="G17" i="24"/>
  <c r="P16" i="24"/>
  <c r="I16" i="24"/>
  <c r="G16" i="24"/>
  <c r="P15" i="24"/>
  <c r="I15" i="24"/>
  <c r="G15" i="24"/>
  <c r="P14" i="24"/>
  <c r="I14" i="24"/>
  <c r="G14" i="24"/>
  <c r="P13" i="24"/>
  <c r="I13" i="24"/>
  <c r="G13" i="24"/>
  <c r="P12" i="24"/>
  <c r="I12" i="24"/>
  <c r="G12" i="24"/>
  <c r="P11" i="24"/>
  <c r="I11" i="24"/>
  <c r="G11" i="24"/>
  <c r="P10" i="24"/>
  <c r="I10" i="24"/>
  <c r="G10" i="24"/>
  <c r="P9" i="24"/>
  <c r="I9" i="24"/>
  <c r="G9" i="24"/>
  <c r="P8" i="24"/>
  <c r="I8" i="24"/>
  <c r="G8" i="24"/>
  <c r="P7" i="24"/>
  <c r="I7" i="24"/>
  <c r="G7" i="24"/>
  <c r="P6" i="24"/>
  <c r="I6" i="24"/>
  <c r="G6" i="24"/>
  <c r="A6" i="24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P5" i="24"/>
  <c r="I5" i="24"/>
  <c r="F5" i="24"/>
  <c r="G5" i="24" s="1"/>
  <c r="G39" i="24" l="1"/>
  <c r="I105" i="24"/>
  <c r="G147" i="24"/>
  <c r="P105" i="24"/>
  <c r="G218" i="24"/>
  <c r="I253" i="24"/>
  <c r="G46" i="24"/>
  <c r="E268" i="24"/>
  <c r="E272" i="24" s="1"/>
  <c r="E273" i="24" s="1"/>
  <c r="P253" i="24"/>
  <c r="I159" i="24"/>
  <c r="P46" i="24"/>
  <c r="G223" i="24"/>
  <c r="G236" i="24"/>
  <c r="G193" i="24"/>
  <c r="P267" i="24"/>
  <c r="I218" i="24"/>
  <c r="G159" i="24"/>
  <c r="P223" i="24"/>
  <c r="P236" i="24"/>
  <c r="I39" i="24"/>
  <c r="P39" i="24"/>
  <c r="I267" i="24"/>
  <c r="P135" i="24"/>
  <c r="G135" i="24"/>
  <c r="P193" i="24"/>
  <c r="G267" i="24"/>
  <c r="I147" i="24"/>
  <c r="G253" i="24"/>
  <c r="P147" i="24"/>
  <c r="I193" i="24"/>
  <c r="P218" i="24"/>
  <c r="I46" i="24"/>
  <c r="I223" i="24"/>
  <c r="I236" i="24"/>
  <c r="G105" i="24"/>
  <c r="I135" i="24"/>
  <c r="P159" i="24"/>
  <c r="E200" i="23"/>
  <c r="I199" i="23"/>
  <c r="G199" i="23"/>
  <c r="I198" i="23"/>
  <c r="G198" i="23"/>
  <c r="I197" i="23"/>
  <c r="G197" i="23"/>
  <c r="I196" i="23"/>
  <c r="G196" i="23"/>
  <c r="I195" i="23"/>
  <c r="G195" i="23"/>
  <c r="I194" i="23"/>
  <c r="G194" i="23"/>
  <c r="I193" i="23"/>
  <c r="G193" i="23"/>
  <c r="I192" i="23"/>
  <c r="G192" i="23"/>
  <c r="I191" i="23"/>
  <c r="G191" i="23"/>
  <c r="I190" i="23"/>
  <c r="G190" i="23"/>
  <c r="I189" i="23"/>
  <c r="G189" i="23"/>
  <c r="I188" i="23"/>
  <c r="G188" i="23"/>
  <c r="I187" i="23"/>
  <c r="G187" i="23"/>
  <c r="I186" i="23"/>
  <c r="G186" i="23"/>
  <c r="I185" i="23"/>
  <c r="G185" i="23"/>
  <c r="I184" i="23"/>
  <c r="G184" i="23"/>
  <c r="I183" i="23"/>
  <c r="G183" i="23"/>
  <c r="I182" i="23"/>
  <c r="G182" i="23"/>
  <c r="I181" i="23"/>
  <c r="G181" i="23"/>
  <c r="I180" i="23"/>
  <c r="G180" i="23"/>
  <c r="I179" i="23"/>
  <c r="G179" i="23"/>
  <c r="I178" i="23"/>
  <c r="G178" i="23"/>
  <c r="I177" i="23"/>
  <c r="G177" i="23"/>
  <c r="A177" i="23"/>
  <c r="A178" i="23" s="1"/>
  <c r="A179" i="23" s="1"/>
  <c r="A180" i="23" s="1"/>
  <c r="A181" i="23" s="1"/>
  <c r="A182" i="23" s="1"/>
  <c r="A183" i="23" s="1"/>
  <c r="A184" i="23" s="1"/>
  <c r="A185" i="23" s="1"/>
  <c r="A186" i="23" s="1"/>
  <c r="A187" i="23" s="1"/>
  <c r="A188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I176" i="23"/>
  <c r="G176" i="23"/>
  <c r="E175" i="23"/>
  <c r="I174" i="23"/>
  <c r="G174" i="23"/>
  <c r="I173" i="23"/>
  <c r="G173" i="23"/>
  <c r="I172" i="23"/>
  <c r="G172" i="23"/>
  <c r="I171" i="23"/>
  <c r="G171" i="23"/>
  <c r="I170" i="23"/>
  <c r="G170" i="23"/>
  <c r="I169" i="23"/>
  <c r="G169" i="23"/>
  <c r="A169" i="23"/>
  <c r="A170" i="23" s="1"/>
  <c r="A171" i="23" s="1"/>
  <c r="A172" i="23" s="1"/>
  <c r="A173" i="23" s="1"/>
  <c r="A174" i="23" s="1"/>
  <c r="I168" i="23"/>
  <c r="G168" i="23"/>
  <c r="E167" i="23"/>
  <c r="I166" i="23"/>
  <c r="G166" i="23"/>
  <c r="I165" i="23"/>
  <c r="G165" i="23"/>
  <c r="I164" i="23"/>
  <c r="G164" i="23"/>
  <c r="I163" i="23"/>
  <c r="I167" i="23" s="1"/>
  <c r="G163" i="23"/>
  <c r="A163" i="23"/>
  <c r="A164" i="23" s="1"/>
  <c r="A165" i="23" s="1"/>
  <c r="A166" i="23" s="1"/>
  <c r="I162" i="23"/>
  <c r="G162" i="23"/>
  <c r="E161" i="23"/>
  <c r="I160" i="23"/>
  <c r="G160" i="23"/>
  <c r="I159" i="23"/>
  <c r="G159" i="23"/>
  <c r="I158" i="23"/>
  <c r="G158" i="23"/>
  <c r="I157" i="23"/>
  <c r="G157" i="23"/>
  <c r="I156" i="23"/>
  <c r="G156" i="23"/>
  <c r="I155" i="23"/>
  <c r="G155" i="23"/>
  <c r="I154" i="23"/>
  <c r="G154" i="23"/>
  <c r="I153" i="23"/>
  <c r="G153" i="23"/>
  <c r="A153" i="23"/>
  <c r="A154" i="23" s="1"/>
  <c r="A155" i="23" s="1"/>
  <c r="A156" i="23" s="1"/>
  <c r="A157" i="23" s="1"/>
  <c r="A158" i="23" s="1"/>
  <c r="A159" i="23" s="1"/>
  <c r="A160" i="23" s="1"/>
  <c r="I152" i="23"/>
  <c r="G152" i="23"/>
  <c r="E151" i="23"/>
  <c r="I150" i="23"/>
  <c r="G150" i="23"/>
  <c r="I149" i="23"/>
  <c r="G149" i="23"/>
  <c r="I148" i="23"/>
  <c r="G148" i="23"/>
  <c r="I147" i="23"/>
  <c r="G147" i="23"/>
  <c r="I146" i="23"/>
  <c r="G146" i="23"/>
  <c r="I145" i="23"/>
  <c r="G145" i="23"/>
  <c r="I144" i="23"/>
  <c r="G144" i="23"/>
  <c r="I143" i="23"/>
  <c r="G143" i="23"/>
  <c r="I142" i="23"/>
  <c r="G142" i="23"/>
  <c r="A142" i="23"/>
  <c r="A143" i="23" s="1"/>
  <c r="A144" i="23" s="1"/>
  <c r="A145" i="23" s="1"/>
  <c r="A146" i="23" s="1"/>
  <c r="A147" i="23" s="1"/>
  <c r="A148" i="23" s="1"/>
  <c r="A149" i="23" s="1"/>
  <c r="A150" i="23" s="1"/>
  <c r="I141" i="23"/>
  <c r="G141" i="23"/>
  <c r="E140" i="23"/>
  <c r="I139" i="23"/>
  <c r="G139" i="23"/>
  <c r="I138" i="23"/>
  <c r="G138" i="23"/>
  <c r="I137" i="23"/>
  <c r="G137" i="23"/>
  <c r="I136" i="23"/>
  <c r="G136" i="23"/>
  <c r="I135" i="23"/>
  <c r="G135" i="23"/>
  <c r="I134" i="23"/>
  <c r="G134" i="23"/>
  <c r="I133" i="23"/>
  <c r="G133" i="23"/>
  <c r="I132" i="23"/>
  <c r="G132" i="23"/>
  <c r="A132" i="23"/>
  <c r="A133" i="23" s="1"/>
  <c r="A134" i="23" s="1"/>
  <c r="A135" i="23" s="1"/>
  <c r="A136" i="23" s="1"/>
  <c r="A137" i="23" s="1"/>
  <c r="A138" i="23" s="1"/>
  <c r="A139" i="23" s="1"/>
  <c r="I131" i="23"/>
  <c r="G131" i="23"/>
  <c r="E130" i="23"/>
  <c r="I129" i="23"/>
  <c r="I128" i="23"/>
  <c r="G128" i="23"/>
  <c r="I127" i="23"/>
  <c r="G127" i="23"/>
  <c r="I126" i="23"/>
  <c r="G126" i="23"/>
  <c r="I125" i="23"/>
  <c r="G125" i="23"/>
  <c r="I124" i="23"/>
  <c r="G124" i="23"/>
  <c r="I123" i="23"/>
  <c r="G123" i="23"/>
  <c r="I122" i="23"/>
  <c r="G122" i="23"/>
  <c r="I121" i="23"/>
  <c r="G121" i="23"/>
  <c r="I120" i="23"/>
  <c r="G120" i="23"/>
  <c r="I119" i="23"/>
  <c r="G119" i="23"/>
  <c r="I118" i="23"/>
  <c r="G118" i="23"/>
  <c r="I117" i="23"/>
  <c r="G117" i="23"/>
  <c r="A117" i="23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I116" i="23"/>
  <c r="G116" i="23"/>
  <c r="E115" i="23"/>
  <c r="I114" i="23"/>
  <c r="G114" i="23"/>
  <c r="I113" i="23"/>
  <c r="F113" i="23"/>
  <c r="G113" i="23" s="1"/>
  <c r="G115" i="23" s="1"/>
  <c r="E111" i="23"/>
  <c r="I110" i="23"/>
  <c r="G110" i="23"/>
  <c r="I109" i="23"/>
  <c r="G109" i="23"/>
  <c r="I108" i="23"/>
  <c r="G108" i="23"/>
  <c r="I107" i="23"/>
  <c r="G107" i="23"/>
  <c r="I106" i="23"/>
  <c r="G106" i="23"/>
  <c r="I105" i="23"/>
  <c r="G105" i="23"/>
  <c r="I104" i="23"/>
  <c r="G104" i="23"/>
  <c r="I103" i="23"/>
  <c r="G103" i="23"/>
  <c r="I102" i="23"/>
  <c r="G102" i="23"/>
  <c r="I101" i="23"/>
  <c r="G101" i="23"/>
  <c r="I100" i="23"/>
  <c r="G100" i="23"/>
  <c r="A100" i="23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I99" i="23"/>
  <c r="I111" i="23" s="1"/>
  <c r="G99" i="23"/>
  <c r="E98" i="23"/>
  <c r="I97" i="23"/>
  <c r="G97" i="23"/>
  <c r="I96" i="23"/>
  <c r="G96" i="23"/>
  <c r="I95" i="23"/>
  <c r="G95" i="23"/>
  <c r="I94" i="23"/>
  <c r="G94" i="23"/>
  <c r="I93" i="23"/>
  <c r="G93" i="23"/>
  <c r="I92" i="23"/>
  <c r="G92" i="23"/>
  <c r="I91" i="23"/>
  <c r="G91" i="23"/>
  <c r="I90" i="23"/>
  <c r="G90" i="23"/>
  <c r="I89" i="23"/>
  <c r="G89" i="23"/>
  <c r="I88" i="23"/>
  <c r="G88" i="23"/>
  <c r="I87" i="23"/>
  <c r="G87" i="23"/>
  <c r="I86" i="23"/>
  <c r="G86" i="23"/>
  <c r="I85" i="23"/>
  <c r="G85" i="23"/>
  <c r="I84" i="23"/>
  <c r="G84" i="23"/>
  <c r="I83" i="23"/>
  <c r="G83" i="23"/>
  <c r="I82" i="23"/>
  <c r="G82" i="23"/>
  <c r="I81" i="23"/>
  <c r="G81" i="23"/>
  <c r="I80" i="23"/>
  <c r="G80" i="23"/>
  <c r="I79" i="23"/>
  <c r="G79" i="23"/>
  <c r="I78" i="23"/>
  <c r="G78" i="23"/>
  <c r="I77" i="23"/>
  <c r="G77" i="23"/>
  <c r="I76" i="23"/>
  <c r="G76" i="23"/>
  <c r="I75" i="23"/>
  <c r="G75" i="23"/>
  <c r="I74" i="23"/>
  <c r="G74" i="23"/>
  <c r="I73" i="23"/>
  <c r="G73" i="23"/>
  <c r="I72" i="23"/>
  <c r="G72" i="23"/>
  <c r="I71" i="23"/>
  <c r="G71" i="23"/>
  <c r="I70" i="23"/>
  <c r="G70" i="23"/>
  <c r="I69" i="23"/>
  <c r="G69" i="23"/>
  <c r="I68" i="23"/>
  <c r="G68" i="23"/>
  <c r="I67" i="23"/>
  <c r="G67" i="23"/>
  <c r="A67" i="23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I66" i="23"/>
  <c r="G66" i="23"/>
  <c r="E65" i="23"/>
  <c r="I64" i="23"/>
  <c r="G64" i="23"/>
  <c r="I63" i="23"/>
  <c r="G63" i="23"/>
  <c r="I62" i="23"/>
  <c r="G62" i="23"/>
  <c r="I61" i="23"/>
  <c r="G61" i="23"/>
  <c r="I60" i="23"/>
  <c r="G60" i="23"/>
  <c r="I59" i="23"/>
  <c r="G59" i="23"/>
  <c r="I58" i="23"/>
  <c r="G58" i="23"/>
  <c r="I57" i="23"/>
  <c r="G57" i="23"/>
  <c r="I56" i="23"/>
  <c r="G56" i="23"/>
  <c r="A56" i="23"/>
  <c r="A57" i="23" s="1"/>
  <c r="A58" i="23" s="1"/>
  <c r="A59" i="23" s="1"/>
  <c r="A60" i="23" s="1"/>
  <c r="A61" i="23" s="1"/>
  <c r="A62" i="23" s="1"/>
  <c r="A63" i="23" s="1"/>
  <c r="A64" i="23" s="1"/>
  <c r="I55" i="23"/>
  <c r="G55" i="23"/>
  <c r="E54" i="23"/>
  <c r="I53" i="23"/>
  <c r="G53" i="23"/>
  <c r="I52" i="23"/>
  <c r="G52" i="23"/>
  <c r="I51" i="23"/>
  <c r="G51" i="23"/>
  <c r="I50" i="23"/>
  <c r="G50" i="23"/>
  <c r="I49" i="23"/>
  <c r="G49" i="23"/>
  <c r="I48" i="23"/>
  <c r="G48" i="23"/>
  <c r="I47" i="23"/>
  <c r="G47" i="23"/>
  <c r="I46" i="23"/>
  <c r="G46" i="23"/>
  <c r="I45" i="23"/>
  <c r="G45" i="23"/>
  <c r="I44" i="23"/>
  <c r="G44" i="23"/>
  <c r="I43" i="23"/>
  <c r="G43" i="23"/>
  <c r="A43" i="23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I42" i="23"/>
  <c r="G42" i="23"/>
  <c r="E41" i="23"/>
  <c r="I40" i="23"/>
  <c r="G40" i="23"/>
  <c r="I39" i="23"/>
  <c r="G39" i="23"/>
  <c r="I38" i="23"/>
  <c r="G38" i="23"/>
  <c r="I37" i="23"/>
  <c r="G37" i="23"/>
  <c r="I36" i="23"/>
  <c r="G36" i="23"/>
  <c r="I35" i="23"/>
  <c r="G35" i="23"/>
  <c r="I34" i="23"/>
  <c r="G34" i="23"/>
  <c r="I33" i="23"/>
  <c r="G33" i="23"/>
  <c r="I32" i="23"/>
  <c r="G32" i="23"/>
  <c r="I31" i="23"/>
  <c r="G31" i="23"/>
  <c r="A31" i="23"/>
  <c r="A32" i="23" s="1"/>
  <c r="A33" i="23" s="1"/>
  <c r="A34" i="23" s="1"/>
  <c r="A35" i="23" s="1"/>
  <c r="A36" i="23" s="1"/>
  <c r="A37" i="23" s="1"/>
  <c r="A38" i="23" s="1"/>
  <c r="A39" i="23" s="1"/>
  <c r="A40" i="23" s="1"/>
  <c r="I30" i="23"/>
  <c r="G30" i="23"/>
  <c r="E29" i="23"/>
  <c r="I28" i="23"/>
  <c r="G28" i="23"/>
  <c r="I27" i="23"/>
  <c r="G27" i="23"/>
  <c r="I26" i="23"/>
  <c r="G26" i="23"/>
  <c r="I25" i="23"/>
  <c r="G25" i="23"/>
  <c r="I24" i="23"/>
  <c r="G24" i="23"/>
  <c r="I23" i="23"/>
  <c r="G23" i="23"/>
  <c r="I22" i="23"/>
  <c r="G22" i="23"/>
  <c r="I21" i="23"/>
  <c r="G21" i="23"/>
  <c r="I20" i="23"/>
  <c r="G20" i="23"/>
  <c r="I19" i="23"/>
  <c r="G19" i="23"/>
  <c r="I18" i="23"/>
  <c r="G18" i="23"/>
  <c r="I17" i="23"/>
  <c r="G17" i="23"/>
  <c r="I16" i="23"/>
  <c r="G16" i="23"/>
  <c r="I15" i="23"/>
  <c r="G15" i="23"/>
  <c r="I14" i="23"/>
  <c r="G14" i="23"/>
  <c r="I13" i="23"/>
  <c r="G13" i="23"/>
  <c r="I12" i="23"/>
  <c r="G12" i="23"/>
  <c r="I11" i="23"/>
  <c r="G11" i="23"/>
  <c r="I10" i="23"/>
  <c r="G10" i="23"/>
  <c r="I9" i="23"/>
  <c r="G9" i="23"/>
  <c r="I8" i="23"/>
  <c r="G8" i="23"/>
  <c r="I7" i="23"/>
  <c r="G7" i="23"/>
  <c r="I6" i="23"/>
  <c r="G6" i="23"/>
  <c r="A6" i="23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I5" i="23"/>
  <c r="F5" i="23"/>
  <c r="G5" i="23" s="1"/>
  <c r="G268" i="24" l="1"/>
  <c r="P268" i="24"/>
  <c r="G167" i="23"/>
  <c r="G98" i="23"/>
  <c r="G130" i="23"/>
  <c r="E201" i="23"/>
  <c r="I151" i="23"/>
  <c r="G161" i="23"/>
  <c r="I140" i="23"/>
  <c r="I130" i="23"/>
  <c r="G140" i="23"/>
  <c r="I29" i="23"/>
  <c r="I268" i="24"/>
  <c r="I65" i="23"/>
  <c r="G151" i="23"/>
  <c r="G200" i="23"/>
  <c r="G111" i="23"/>
  <c r="I98" i="23"/>
  <c r="G29" i="23"/>
  <c r="I161" i="23"/>
  <c r="I54" i="23"/>
  <c r="G65" i="23"/>
  <c r="I175" i="23"/>
  <c r="E112" i="23"/>
  <c r="E202" i="23" s="1"/>
  <c r="E206" i="23" s="1"/>
  <c r="E207" i="23" s="1"/>
  <c r="G41" i="23"/>
  <c r="G54" i="23"/>
  <c r="I115" i="23"/>
  <c r="G175" i="23"/>
  <c r="G201" i="23" s="1"/>
  <c r="I200" i="23"/>
  <c r="I41" i="23"/>
  <c r="G112" i="23" l="1"/>
  <c r="G202" i="23"/>
  <c r="I201" i="23"/>
  <c r="I112" i="23"/>
  <c r="H160" i="21"/>
  <c r="H150" i="21"/>
  <c r="E271" i="20"/>
  <c r="I270" i="20"/>
  <c r="G270" i="20"/>
  <c r="I269" i="20"/>
  <c r="G269" i="20"/>
  <c r="I268" i="20"/>
  <c r="G268" i="20"/>
  <c r="I267" i="20"/>
  <c r="G267" i="20"/>
  <c r="I266" i="20"/>
  <c r="G266" i="20"/>
  <c r="I265" i="20"/>
  <c r="G265" i="20"/>
  <c r="I264" i="20"/>
  <c r="G264" i="20"/>
  <c r="I263" i="20"/>
  <c r="G263" i="20"/>
  <c r="A263" i="20"/>
  <c r="A264" i="20" s="1"/>
  <c r="A265" i="20" s="1"/>
  <c r="A266" i="20" s="1"/>
  <c r="A267" i="20" s="1"/>
  <c r="A268" i="20" s="1"/>
  <c r="A269" i="20" s="1"/>
  <c r="A270" i="20" s="1"/>
  <c r="I262" i="20"/>
  <c r="G262" i="20"/>
  <c r="E261" i="20"/>
  <c r="I260" i="20"/>
  <c r="G260" i="20"/>
  <c r="I259" i="20"/>
  <c r="G259" i="20"/>
  <c r="G261" i="20" s="1"/>
  <c r="E258" i="20"/>
  <c r="I257" i="20"/>
  <c r="G257" i="20"/>
  <c r="I256" i="20"/>
  <c r="G256" i="20"/>
  <c r="I255" i="20"/>
  <c r="G255" i="20"/>
  <c r="I254" i="20"/>
  <c r="G254" i="20"/>
  <c r="I253" i="20"/>
  <c r="G253" i="20"/>
  <c r="I252" i="20"/>
  <c r="G252" i="20"/>
  <c r="I251" i="20"/>
  <c r="G251" i="20"/>
  <c r="I250" i="20"/>
  <c r="G250" i="20"/>
  <c r="I249" i="20"/>
  <c r="G249" i="20"/>
  <c r="I248" i="20"/>
  <c r="G248" i="20"/>
  <c r="I247" i="20"/>
  <c r="G247" i="20"/>
  <c r="I246" i="20"/>
  <c r="G246" i="20"/>
  <c r="I245" i="20"/>
  <c r="G245" i="20"/>
  <c r="I244" i="20"/>
  <c r="G244" i="20"/>
  <c r="I243" i="20"/>
  <c r="G243" i="20"/>
  <c r="I242" i="20"/>
  <c r="G242" i="20"/>
  <c r="I241" i="20"/>
  <c r="G241" i="20"/>
  <c r="I240" i="20"/>
  <c r="G240" i="20"/>
  <c r="I239" i="20"/>
  <c r="G239" i="20"/>
  <c r="I238" i="20"/>
  <c r="G238" i="20"/>
  <c r="I237" i="20"/>
  <c r="G237" i="20"/>
  <c r="I236" i="20"/>
  <c r="G236" i="20"/>
  <c r="I235" i="20"/>
  <c r="G235" i="20"/>
  <c r="I234" i="20"/>
  <c r="G234" i="20"/>
  <c r="I233" i="20"/>
  <c r="G233" i="20"/>
  <c r="I232" i="20"/>
  <c r="G232" i="20"/>
  <c r="A232" i="20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I231" i="20"/>
  <c r="G231" i="20"/>
  <c r="E230" i="20"/>
  <c r="I229" i="20"/>
  <c r="G229" i="20"/>
  <c r="I228" i="20"/>
  <c r="G228" i="20"/>
  <c r="I227" i="20"/>
  <c r="G227" i="20"/>
  <c r="I226" i="20"/>
  <c r="G226" i="20"/>
  <c r="I225" i="20"/>
  <c r="G225" i="20"/>
  <c r="I224" i="20"/>
  <c r="G224" i="20"/>
  <c r="I223" i="20"/>
  <c r="G223" i="20"/>
  <c r="I222" i="20"/>
  <c r="G222" i="20"/>
  <c r="I221" i="20"/>
  <c r="G221" i="20"/>
  <c r="I220" i="20"/>
  <c r="G220" i="20"/>
  <c r="I219" i="20"/>
  <c r="G219" i="20"/>
  <c r="I218" i="20"/>
  <c r="G218" i="20"/>
  <c r="I217" i="20"/>
  <c r="G217" i="20"/>
  <c r="I216" i="20"/>
  <c r="G216" i="20"/>
  <c r="I215" i="20"/>
  <c r="G215" i="20"/>
  <c r="I214" i="20"/>
  <c r="G214" i="20"/>
  <c r="I213" i="20"/>
  <c r="G213" i="20"/>
  <c r="I212" i="20"/>
  <c r="G212" i="20"/>
  <c r="I211" i="20"/>
  <c r="G211" i="20"/>
  <c r="I210" i="20"/>
  <c r="G210" i="20"/>
  <c r="I209" i="20"/>
  <c r="G209" i="20"/>
  <c r="I208" i="20"/>
  <c r="G208" i="20"/>
  <c r="I207" i="20"/>
  <c r="G207" i="20"/>
  <c r="I206" i="20"/>
  <c r="G206" i="20"/>
  <c r="I205" i="20"/>
  <c r="G205" i="20"/>
  <c r="I204" i="20"/>
  <c r="G204" i="20"/>
  <c r="I203" i="20"/>
  <c r="G203" i="20"/>
  <c r="I202" i="20"/>
  <c r="G202" i="20"/>
  <c r="I201" i="20"/>
  <c r="G201" i="20"/>
  <c r="I200" i="20"/>
  <c r="G200" i="20"/>
  <c r="I199" i="20"/>
  <c r="G199" i="20"/>
  <c r="I198" i="20"/>
  <c r="G198" i="20"/>
  <c r="I197" i="20"/>
  <c r="G197" i="20"/>
  <c r="I196" i="20"/>
  <c r="G196" i="20"/>
  <c r="I195" i="20"/>
  <c r="G195" i="20"/>
  <c r="I194" i="20"/>
  <c r="G194" i="20"/>
  <c r="I193" i="20"/>
  <c r="G193" i="20"/>
  <c r="I192" i="20"/>
  <c r="G192" i="20"/>
  <c r="I191" i="20"/>
  <c r="G191" i="20"/>
  <c r="I190" i="20"/>
  <c r="G190" i="20"/>
  <c r="I189" i="20"/>
  <c r="G189" i="20"/>
  <c r="I188" i="20"/>
  <c r="G188" i="20"/>
  <c r="I187" i="20"/>
  <c r="G187" i="20"/>
  <c r="A187" i="20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I186" i="20"/>
  <c r="G186" i="20"/>
  <c r="E185" i="20"/>
  <c r="I184" i="20"/>
  <c r="G184" i="20"/>
  <c r="I183" i="20"/>
  <c r="G183" i="20"/>
  <c r="I182" i="20"/>
  <c r="G182" i="20"/>
  <c r="I181" i="20"/>
  <c r="G181" i="20"/>
  <c r="I180" i="20"/>
  <c r="G180" i="20"/>
  <c r="I179" i="20"/>
  <c r="G179" i="20"/>
  <c r="I178" i="20"/>
  <c r="G178" i="20"/>
  <c r="I177" i="20"/>
  <c r="G177" i="20"/>
  <c r="I176" i="20"/>
  <c r="G176" i="20"/>
  <c r="A176" i="20"/>
  <c r="A177" i="20" s="1"/>
  <c r="A178" i="20" s="1"/>
  <c r="A179" i="20" s="1"/>
  <c r="A180" i="20" s="1"/>
  <c r="A181" i="20" s="1"/>
  <c r="A182" i="20" s="1"/>
  <c r="A183" i="20" s="1"/>
  <c r="A184" i="20" s="1"/>
  <c r="I175" i="20"/>
  <c r="G175" i="20"/>
  <c r="E174" i="20"/>
  <c r="I173" i="20"/>
  <c r="G173" i="20"/>
  <c r="I172" i="20"/>
  <c r="G172" i="20"/>
  <c r="I171" i="20"/>
  <c r="G171" i="20"/>
  <c r="I170" i="20"/>
  <c r="G170" i="20"/>
  <c r="I169" i="20"/>
  <c r="G169" i="20"/>
  <c r="I168" i="20"/>
  <c r="G168" i="20"/>
  <c r="I167" i="20"/>
  <c r="G167" i="20"/>
  <c r="I166" i="20"/>
  <c r="G166" i="20"/>
  <c r="I165" i="20"/>
  <c r="G165" i="20"/>
  <c r="I164" i="20"/>
  <c r="G164" i="20"/>
  <c r="I163" i="20"/>
  <c r="G163" i="20"/>
  <c r="I162" i="20"/>
  <c r="G162" i="20"/>
  <c r="I161" i="20"/>
  <c r="G161" i="20"/>
  <c r="I160" i="20"/>
  <c r="G160" i="20"/>
  <c r="I159" i="20"/>
  <c r="G159" i="20"/>
  <c r="I158" i="20"/>
  <c r="G158" i="20"/>
  <c r="I157" i="20"/>
  <c r="G157" i="20"/>
  <c r="I156" i="20"/>
  <c r="G156" i="20"/>
  <c r="I155" i="20"/>
  <c r="G155" i="20"/>
  <c r="I154" i="20"/>
  <c r="G154" i="20"/>
  <c r="I153" i="20"/>
  <c r="G153" i="20"/>
  <c r="I152" i="20"/>
  <c r="G152" i="20"/>
  <c r="I151" i="20"/>
  <c r="G151" i="20"/>
  <c r="I150" i="20"/>
  <c r="G150" i="20"/>
  <c r="I149" i="20"/>
  <c r="G149" i="20"/>
  <c r="I148" i="20"/>
  <c r="G148" i="20"/>
  <c r="I147" i="20"/>
  <c r="G147" i="20"/>
  <c r="I146" i="20"/>
  <c r="G146" i="20"/>
  <c r="I145" i="20"/>
  <c r="G145" i="20"/>
  <c r="A145" i="20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I144" i="20"/>
  <c r="G144" i="20"/>
  <c r="A144" i="20"/>
  <c r="I143" i="20"/>
  <c r="G143" i="20"/>
  <c r="E142" i="20"/>
  <c r="I141" i="20"/>
  <c r="G141" i="20"/>
  <c r="I140" i="20"/>
  <c r="G140" i="20"/>
  <c r="I139" i="20"/>
  <c r="G139" i="20"/>
  <c r="I138" i="20"/>
  <c r="G138" i="20"/>
  <c r="I137" i="20"/>
  <c r="G137" i="20"/>
  <c r="I136" i="20"/>
  <c r="G136" i="20"/>
  <c r="I135" i="20"/>
  <c r="G135" i="20"/>
  <c r="I134" i="20"/>
  <c r="G134" i="20"/>
  <c r="I133" i="20"/>
  <c r="G133" i="20"/>
  <c r="I132" i="20"/>
  <c r="G132" i="20"/>
  <c r="I131" i="20"/>
  <c r="G131" i="20"/>
  <c r="I130" i="20"/>
  <c r="G130" i="20"/>
  <c r="A130" i="20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I129" i="20"/>
  <c r="G129" i="20"/>
  <c r="E128" i="20"/>
  <c r="I127" i="20"/>
  <c r="G127" i="20"/>
  <c r="I126" i="20"/>
  <c r="G126" i="20"/>
  <c r="I125" i="20"/>
  <c r="G125" i="20"/>
  <c r="I124" i="20"/>
  <c r="G124" i="20"/>
  <c r="I123" i="20"/>
  <c r="G123" i="20"/>
  <c r="I122" i="20"/>
  <c r="G122" i="20"/>
  <c r="I121" i="20"/>
  <c r="G121" i="20"/>
  <c r="I120" i="20"/>
  <c r="G120" i="20"/>
  <c r="I119" i="20"/>
  <c r="G119" i="20"/>
  <c r="I118" i="20"/>
  <c r="G118" i="20"/>
  <c r="I117" i="20"/>
  <c r="G117" i="20"/>
  <c r="I116" i="20"/>
  <c r="G116" i="20"/>
  <c r="I115" i="20"/>
  <c r="G115" i="20"/>
  <c r="I114" i="20"/>
  <c r="G114" i="20"/>
  <c r="I113" i="20"/>
  <c r="G113" i="20"/>
  <c r="A113" i="20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I112" i="20"/>
  <c r="G112" i="20"/>
  <c r="E111" i="20"/>
  <c r="I110" i="20"/>
  <c r="G110" i="20"/>
  <c r="I109" i="20"/>
  <c r="G109" i="20"/>
  <c r="I108" i="20"/>
  <c r="G108" i="20"/>
  <c r="I107" i="20"/>
  <c r="G107" i="20"/>
  <c r="I106" i="20"/>
  <c r="G106" i="20"/>
  <c r="I105" i="20"/>
  <c r="G105" i="20"/>
  <c r="I104" i="20"/>
  <c r="G104" i="20"/>
  <c r="I103" i="20"/>
  <c r="G103" i="20"/>
  <c r="I102" i="20"/>
  <c r="G102" i="20"/>
  <c r="I101" i="20"/>
  <c r="G101" i="20"/>
  <c r="A101" i="20"/>
  <c r="A102" i="20" s="1"/>
  <c r="A103" i="20" s="1"/>
  <c r="A104" i="20" s="1"/>
  <c r="A105" i="20" s="1"/>
  <c r="A106" i="20" s="1"/>
  <c r="A107" i="20" s="1"/>
  <c r="A108" i="20" s="1"/>
  <c r="A109" i="20" s="1"/>
  <c r="A110" i="20" s="1"/>
  <c r="I100" i="20"/>
  <c r="G100" i="20"/>
  <c r="E98" i="20"/>
  <c r="I97" i="20"/>
  <c r="G97" i="20"/>
  <c r="I96" i="20"/>
  <c r="G96" i="20"/>
  <c r="I95" i="20"/>
  <c r="G95" i="20"/>
  <c r="I94" i="20"/>
  <c r="G94" i="20"/>
  <c r="I93" i="20"/>
  <c r="G93" i="20"/>
  <c r="I92" i="20"/>
  <c r="G92" i="20"/>
  <c r="I91" i="20"/>
  <c r="G91" i="20"/>
  <c r="I90" i="20"/>
  <c r="G90" i="20"/>
  <c r="I89" i="20"/>
  <c r="G89" i="20"/>
  <c r="I88" i="20"/>
  <c r="G88" i="20"/>
  <c r="I87" i="20"/>
  <c r="G87" i="20"/>
  <c r="I86" i="20"/>
  <c r="G86" i="20"/>
  <c r="I85" i="20"/>
  <c r="G85" i="20"/>
  <c r="A85" i="20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I84" i="20"/>
  <c r="G84" i="20"/>
  <c r="E83" i="20"/>
  <c r="I82" i="20"/>
  <c r="G82" i="20"/>
  <c r="I81" i="20"/>
  <c r="G81" i="20"/>
  <c r="A81" i="20"/>
  <c r="A82" i="20" s="1"/>
  <c r="I80" i="20"/>
  <c r="G80" i="20"/>
  <c r="E79" i="20"/>
  <c r="I78" i="20"/>
  <c r="G78" i="20"/>
  <c r="I77" i="20"/>
  <c r="G77" i="20"/>
  <c r="I76" i="20"/>
  <c r="G76" i="20"/>
  <c r="I75" i="20"/>
  <c r="G75" i="20"/>
  <c r="I74" i="20"/>
  <c r="G74" i="20"/>
  <c r="I73" i="20"/>
  <c r="G73" i="20"/>
  <c r="I72" i="20"/>
  <c r="G72" i="20"/>
  <c r="I71" i="20"/>
  <c r="G71" i="20"/>
  <c r="I70" i="20"/>
  <c r="G70" i="20"/>
  <c r="I69" i="20"/>
  <c r="G69" i="20"/>
  <c r="I68" i="20"/>
  <c r="G68" i="20"/>
  <c r="I67" i="20"/>
  <c r="G67" i="20"/>
  <c r="I66" i="20"/>
  <c r="G66" i="20"/>
  <c r="A66" i="20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I65" i="20"/>
  <c r="G65" i="20"/>
  <c r="E64" i="20"/>
  <c r="I63" i="20"/>
  <c r="I64" i="20" s="1"/>
  <c r="G63" i="20"/>
  <c r="G64" i="20" s="1"/>
  <c r="E62" i="20"/>
  <c r="I61" i="20"/>
  <c r="G61" i="20"/>
  <c r="I60" i="20"/>
  <c r="G60" i="20"/>
  <c r="I59" i="20"/>
  <c r="G59" i="20"/>
  <c r="I58" i="20"/>
  <c r="G58" i="20"/>
  <c r="A58" i="20"/>
  <c r="A59" i="20" s="1"/>
  <c r="A60" i="20" s="1"/>
  <c r="A61" i="20" s="1"/>
  <c r="I57" i="20"/>
  <c r="G57" i="20"/>
  <c r="G62" i="20" s="1"/>
  <c r="E56" i="20"/>
  <c r="I55" i="20"/>
  <c r="G55" i="20"/>
  <c r="I54" i="20"/>
  <c r="I56" i="20" s="1"/>
  <c r="G54" i="20"/>
  <c r="A54" i="20"/>
  <c r="A55" i="20" s="1"/>
  <c r="I53" i="20"/>
  <c r="G53" i="20"/>
  <c r="G56" i="20" s="1"/>
  <c r="E52" i="20"/>
  <c r="I51" i="20"/>
  <c r="G51" i="20"/>
  <c r="I50" i="20"/>
  <c r="G50" i="20"/>
  <c r="I49" i="20"/>
  <c r="G49" i="20"/>
  <c r="I48" i="20"/>
  <c r="G48" i="20"/>
  <c r="I47" i="20"/>
  <c r="G47" i="20"/>
  <c r="A47" i="20"/>
  <c r="A48" i="20" s="1"/>
  <c r="A49" i="20" s="1"/>
  <c r="A50" i="20" s="1"/>
  <c r="A51" i="20" s="1"/>
  <c r="I46" i="20"/>
  <c r="G46" i="20"/>
  <c r="E45" i="20"/>
  <c r="I44" i="20"/>
  <c r="G44" i="20"/>
  <c r="I43" i="20"/>
  <c r="G43" i="20"/>
  <c r="I42" i="20"/>
  <c r="G42" i="20"/>
  <c r="I41" i="20"/>
  <c r="G41" i="20"/>
  <c r="I40" i="20"/>
  <c r="G40" i="20"/>
  <c r="I39" i="20"/>
  <c r="G39" i="20"/>
  <c r="I38" i="20"/>
  <c r="G38" i="20"/>
  <c r="A38" i="20"/>
  <c r="A39" i="20" s="1"/>
  <c r="A40" i="20" s="1"/>
  <c r="A41" i="20" s="1"/>
  <c r="A42" i="20" s="1"/>
  <c r="A43" i="20" s="1"/>
  <c r="A44" i="20" s="1"/>
  <c r="I37" i="20"/>
  <c r="G37" i="20"/>
  <c r="A37" i="20"/>
  <c r="I36" i="20"/>
  <c r="G36" i="20"/>
  <c r="E35" i="20"/>
  <c r="T34" i="20"/>
  <c r="I34" i="20"/>
  <c r="G34" i="20"/>
  <c r="I33" i="20"/>
  <c r="G33" i="20"/>
  <c r="I32" i="20"/>
  <c r="G32" i="20"/>
  <c r="T31" i="20"/>
  <c r="I31" i="20"/>
  <c r="G31" i="20"/>
  <c r="T30" i="20"/>
  <c r="I30" i="20"/>
  <c r="G30" i="20"/>
  <c r="T29" i="20"/>
  <c r="I29" i="20"/>
  <c r="G29" i="20"/>
  <c r="T28" i="20"/>
  <c r="I28" i="20"/>
  <c r="G28" i="20"/>
  <c r="I27" i="20"/>
  <c r="G27" i="20"/>
  <c r="I26" i="20"/>
  <c r="G26" i="20"/>
  <c r="I25" i="20"/>
  <c r="G25" i="20"/>
  <c r="I24" i="20"/>
  <c r="G24" i="20"/>
  <c r="T23" i="20"/>
  <c r="I23" i="20"/>
  <c r="G23" i="20"/>
  <c r="T22" i="20"/>
  <c r="I22" i="20"/>
  <c r="G22" i="20"/>
  <c r="T21" i="20"/>
  <c r="I21" i="20"/>
  <c r="G21" i="20"/>
  <c r="I20" i="20"/>
  <c r="G20" i="20"/>
  <c r="I19" i="20"/>
  <c r="G19" i="20"/>
  <c r="I18" i="20"/>
  <c r="G18" i="20"/>
  <c r="I17" i="20"/>
  <c r="G17" i="20"/>
  <c r="T16" i="20"/>
  <c r="I16" i="20"/>
  <c r="G16" i="20"/>
  <c r="T15" i="20"/>
  <c r="I15" i="20"/>
  <c r="G15" i="20"/>
  <c r="I14" i="20"/>
  <c r="G14" i="20"/>
  <c r="I13" i="20"/>
  <c r="G13" i="20"/>
  <c r="I12" i="20"/>
  <c r="G12" i="20"/>
  <c r="I11" i="20"/>
  <c r="G11" i="20"/>
  <c r="T10" i="20"/>
  <c r="I10" i="20"/>
  <c r="G10" i="20"/>
  <c r="I9" i="20"/>
  <c r="G9" i="20"/>
  <c r="I8" i="20"/>
  <c r="G8" i="20"/>
  <c r="T7" i="20"/>
  <c r="I7" i="20"/>
  <c r="G7" i="20"/>
  <c r="T6" i="20"/>
  <c r="I6" i="20"/>
  <c r="G6" i="20"/>
  <c r="A6" i="20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I5" i="20"/>
  <c r="F5" i="20"/>
  <c r="I62" i="20" l="1"/>
  <c r="I174" i="20"/>
  <c r="I111" i="20"/>
  <c r="G271" i="20"/>
  <c r="G128" i="20"/>
  <c r="G98" i="20"/>
  <c r="I128" i="20"/>
  <c r="I98" i="20"/>
  <c r="I271" i="20"/>
  <c r="G83" i="20"/>
  <c r="G142" i="20"/>
  <c r="I52" i="20"/>
  <c r="I185" i="20"/>
  <c r="G258" i="20"/>
  <c r="E272" i="20"/>
  <c r="G185" i="20"/>
  <c r="I202" i="23"/>
  <c r="I258" i="20"/>
  <c r="I230" i="20"/>
  <c r="G79" i="20"/>
  <c r="I79" i="20"/>
  <c r="E99" i="20"/>
  <c r="I45" i="20"/>
  <c r="I83" i="20"/>
  <c r="I142" i="20"/>
  <c r="G230" i="20"/>
  <c r="I261" i="20"/>
  <c r="G111" i="20"/>
  <c r="G272" i="20" s="1"/>
  <c r="G174" i="20"/>
  <c r="G35" i="20"/>
  <c r="G45" i="20"/>
  <c r="G52" i="20"/>
  <c r="I35" i="20"/>
  <c r="G99" i="20" l="1"/>
  <c r="I272" i="20"/>
  <c r="G273" i="20"/>
  <c r="E273" i="20"/>
  <c r="E277" i="20" s="1"/>
  <c r="E278" i="20" s="1"/>
  <c r="I99" i="20"/>
  <c r="I273" i="20" l="1"/>
  <c r="L26" i="22"/>
  <c r="L25" i="22"/>
  <c r="M25" i="22" l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l="1"/>
  <c r="M39" i="22" l="1"/>
  <c r="M40" i="22" s="1"/>
  <c r="M41" i="22" s="1"/>
  <c r="G26" i="22" l="1"/>
  <c r="G25" i="22"/>
  <c r="H143" i="21"/>
  <c r="H25" i="22" l="1"/>
  <c r="H26" i="22" s="1"/>
  <c r="H27" i="22" s="1"/>
  <c r="H28" i="22" s="1"/>
  <c r="H29" i="22" s="1"/>
  <c r="H30" i="22" s="1"/>
  <c r="H31" i="22" s="1"/>
  <c r="H32" i="22" s="1"/>
  <c r="H33" i="22" s="1"/>
  <c r="H34" i="22" s="1"/>
  <c r="H35" i="22" s="1"/>
  <c r="H36" i="22" s="1"/>
  <c r="H37" i="22" s="1"/>
  <c r="H38" i="22" s="1"/>
  <c r="H39" i="22" l="1"/>
  <c r="H40" i="22" s="1"/>
  <c r="H41" i="22" s="1"/>
  <c r="P38" i="22"/>
  <c r="N143" i="21" l="1"/>
  <c r="S19" i="19" l="1"/>
  <c r="S20" i="19" s="1"/>
  <c r="E19" i="19"/>
  <c r="E20" i="19" s="1"/>
  <c r="E23" i="19" s="1"/>
  <c r="E24" i="19" s="1"/>
  <c r="I18" i="19"/>
  <c r="G18" i="19"/>
  <c r="I17" i="19"/>
  <c r="G17" i="19"/>
  <c r="T16" i="19"/>
  <c r="I16" i="19"/>
  <c r="G16" i="19"/>
  <c r="T15" i="19"/>
  <c r="I15" i="19"/>
  <c r="G15" i="19"/>
  <c r="T14" i="19"/>
  <c r="I14" i="19"/>
  <c r="G14" i="19"/>
  <c r="T13" i="19"/>
  <c r="I13" i="19"/>
  <c r="G13" i="19"/>
  <c r="T12" i="19"/>
  <c r="I12" i="19"/>
  <c r="G12" i="19"/>
  <c r="T11" i="19"/>
  <c r="I11" i="19"/>
  <c r="G11" i="19"/>
  <c r="T10" i="19"/>
  <c r="I10" i="19"/>
  <c r="G10" i="19"/>
  <c r="T9" i="19"/>
  <c r="I9" i="19"/>
  <c r="G9" i="19"/>
  <c r="T8" i="19"/>
  <c r="I8" i="19"/>
  <c r="G8" i="19"/>
  <c r="T7" i="19"/>
  <c r="I7" i="19"/>
  <c r="G7" i="19"/>
  <c r="T6" i="19"/>
  <c r="I6" i="19"/>
  <c r="G6" i="19"/>
  <c r="A6" i="19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T5" i="19"/>
  <c r="I5" i="19"/>
  <c r="F5" i="19"/>
  <c r="G5" i="19" s="1"/>
  <c r="I244" i="18"/>
  <c r="G244" i="18"/>
  <c r="I243" i="18"/>
  <c r="G243" i="18"/>
  <c r="I242" i="18"/>
  <c r="G242" i="18"/>
  <c r="I241" i="18"/>
  <c r="G241" i="18"/>
  <c r="I240" i="18"/>
  <c r="G240" i="18"/>
  <c r="I239" i="18"/>
  <c r="G239" i="18"/>
  <c r="I238" i="18"/>
  <c r="G238" i="18"/>
  <c r="I237" i="18"/>
  <c r="G237" i="18"/>
  <c r="I236" i="18"/>
  <c r="G236" i="18"/>
  <c r="I235" i="18"/>
  <c r="G235" i="18"/>
  <c r="I234" i="18"/>
  <c r="G234" i="18"/>
  <c r="I233" i="18"/>
  <c r="G233" i="18"/>
  <c r="I232" i="18"/>
  <c r="G232" i="18"/>
  <c r="I231" i="18"/>
  <c r="G231" i="18"/>
  <c r="I230" i="18"/>
  <c r="G230" i="18"/>
  <c r="I229" i="18"/>
  <c r="G229" i="18"/>
  <c r="I228" i="18"/>
  <c r="G228" i="18"/>
  <c r="I227" i="18"/>
  <c r="G227" i="18"/>
  <c r="A227" i="18"/>
  <c r="A228" i="18" s="1"/>
  <c r="A229" i="18" s="1"/>
  <c r="A230" i="18" s="1"/>
  <c r="A231" i="18" s="1"/>
  <c r="A232" i="18" s="1"/>
  <c r="A233" i="18" s="1"/>
  <c r="A234" i="18" s="1"/>
  <c r="A235" i="18" s="1"/>
  <c r="A236" i="18" s="1"/>
  <c r="A237" i="18" s="1"/>
  <c r="A238" i="18" s="1"/>
  <c r="A239" i="18" s="1"/>
  <c r="A240" i="18" s="1"/>
  <c r="A241" i="18" s="1"/>
  <c r="A242" i="18" s="1"/>
  <c r="A243" i="18" s="1"/>
  <c r="A244" i="18" s="1"/>
  <c r="I226" i="18"/>
  <c r="G226" i="18"/>
  <c r="I224" i="18"/>
  <c r="G224" i="18"/>
  <c r="I223" i="18"/>
  <c r="G223" i="18"/>
  <c r="I222" i="18"/>
  <c r="G222" i="18"/>
  <c r="I221" i="18"/>
  <c r="G221" i="18"/>
  <c r="I220" i="18"/>
  <c r="G220" i="18"/>
  <c r="I219" i="18"/>
  <c r="G219" i="18"/>
  <c r="I218" i="18"/>
  <c r="G218" i="18"/>
  <c r="I217" i="18"/>
  <c r="G217" i="18"/>
  <c r="I216" i="18"/>
  <c r="G216" i="18"/>
  <c r="I215" i="18"/>
  <c r="G215" i="18"/>
  <c r="I214" i="18"/>
  <c r="G214" i="18"/>
  <c r="I213" i="18"/>
  <c r="G213" i="18"/>
  <c r="I212" i="18"/>
  <c r="G212" i="18"/>
  <c r="I211" i="18"/>
  <c r="G211" i="18"/>
  <c r="I210" i="18"/>
  <c r="G210" i="18"/>
  <c r="A210" i="18"/>
  <c r="A211" i="18" s="1"/>
  <c r="A212" i="18" s="1"/>
  <c r="A213" i="18" s="1"/>
  <c r="A214" i="18" s="1"/>
  <c r="A215" i="18" s="1"/>
  <c r="A216" i="18" s="1"/>
  <c r="A217" i="18" s="1"/>
  <c r="A218" i="18" s="1"/>
  <c r="A219" i="18" s="1"/>
  <c r="A220" i="18" s="1"/>
  <c r="A221" i="18" s="1"/>
  <c r="A222" i="18" s="1"/>
  <c r="A223" i="18" s="1"/>
  <c r="A224" i="18" s="1"/>
  <c r="I209" i="18"/>
  <c r="G209" i="18"/>
  <c r="I206" i="18"/>
  <c r="G206" i="18"/>
  <c r="I205" i="18"/>
  <c r="G205" i="18"/>
  <c r="I204" i="18"/>
  <c r="G204" i="18"/>
  <c r="I203" i="18"/>
  <c r="G203" i="18"/>
  <c r="I202" i="18"/>
  <c r="G202" i="18"/>
  <c r="I201" i="18"/>
  <c r="G201" i="18"/>
  <c r="I200" i="18"/>
  <c r="G200" i="18"/>
  <c r="A200" i="18"/>
  <c r="A201" i="18" s="1"/>
  <c r="A202" i="18" s="1"/>
  <c r="A203" i="18" s="1"/>
  <c r="A204" i="18" s="1"/>
  <c r="A205" i="18" s="1"/>
  <c r="A206" i="18" s="1"/>
  <c r="I199" i="18"/>
  <c r="G199" i="18"/>
  <c r="T197" i="18"/>
  <c r="I197" i="18"/>
  <c r="G197" i="18"/>
  <c r="T196" i="18"/>
  <c r="I196" i="18"/>
  <c r="G196" i="18"/>
  <c r="T195" i="18"/>
  <c r="I195" i="18"/>
  <c r="G195" i="18"/>
  <c r="T194" i="18"/>
  <c r="I194" i="18"/>
  <c r="G194" i="18"/>
  <c r="T193" i="18"/>
  <c r="I193" i="18"/>
  <c r="G193" i="18"/>
  <c r="T192" i="18"/>
  <c r="I192" i="18"/>
  <c r="G192" i="18"/>
  <c r="T191" i="18"/>
  <c r="I191" i="18"/>
  <c r="G191" i="18"/>
  <c r="T190" i="18"/>
  <c r="I190" i="18"/>
  <c r="G190" i="18"/>
  <c r="T189" i="18"/>
  <c r="I189" i="18"/>
  <c r="G189" i="18"/>
  <c r="T188" i="18"/>
  <c r="I188" i="18"/>
  <c r="G188" i="18"/>
  <c r="T187" i="18"/>
  <c r="I187" i="18"/>
  <c r="G187" i="18"/>
  <c r="T186" i="18"/>
  <c r="I186" i="18"/>
  <c r="G186" i="18"/>
  <c r="T185" i="18"/>
  <c r="I185" i="18"/>
  <c r="G185" i="18"/>
  <c r="T184" i="18"/>
  <c r="I184" i="18"/>
  <c r="G184" i="18"/>
  <c r="T183" i="18"/>
  <c r="I183" i="18"/>
  <c r="G183" i="18"/>
  <c r="T182" i="18"/>
  <c r="I182" i="18"/>
  <c r="G182" i="18"/>
  <c r="T181" i="18"/>
  <c r="I181" i="18"/>
  <c r="G181" i="18"/>
  <c r="T180" i="18"/>
  <c r="I180" i="18"/>
  <c r="G180" i="18"/>
  <c r="T179" i="18"/>
  <c r="I179" i="18"/>
  <c r="G179" i="18"/>
  <c r="T178" i="18"/>
  <c r="I178" i="18"/>
  <c r="G178" i="18"/>
  <c r="T177" i="18"/>
  <c r="I177" i="18"/>
  <c r="G177" i="18"/>
  <c r="I176" i="18"/>
  <c r="G176" i="18"/>
  <c r="T175" i="18"/>
  <c r="I175" i="18"/>
  <c r="G175" i="18"/>
  <c r="I174" i="18"/>
  <c r="G174" i="18"/>
  <c r="I173" i="18"/>
  <c r="G173" i="18"/>
  <c r="I172" i="18"/>
  <c r="G172" i="18"/>
  <c r="T171" i="18"/>
  <c r="I171" i="18"/>
  <c r="G171" i="18"/>
  <c r="I170" i="18"/>
  <c r="G170" i="18"/>
  <c r="T169" i="18"/>
  <c r="I169" i="18"/>
  <c r="G169" i="18"/>
  <c r="T168" i="18"/>
  <c r="I168" i="18"/>
  <c r="G168" i="18"/>
  <c r="I167" i="18"/>
  <c r="G167" i="18"/>
  <c r="I166" i="18"/>
  <c r="G166" i="18"/>
  <c r="T165" i="18"/>
  <c r="I165" i="18"/>
  <c r="G165" i="18"/>
  <c r="T164" i="18"/>
  <c r="I164" i="18"/>
  <c r="G164" i="18"/>
  <c r="T163" i="18"/>
  <c r="I163" i="18"/>
  <c r="G163" i="18"/>
  <c r="T162" i="18"/>
  <c r="I162" i="18"/>
  <c r="G162" i="18"/>
  <c r="T161" i="18"/>
  <c r="I161" i="18"/>
  <c r="G161" i="18"/>
  <c r="T160" i="18"/>
  <c r="I160" i="18"/>
  <c r="G160" i="18"/>
  <c r="T159" i="18"/>
  <c r="I159" i="18"/>
  <c r="G159" i="18"/>
  <c r="T158" i="18"/>
  <c r="I158" i="18"/>
  <c r="G158" i="18"/>
  <c r="T157" i="18"/>
  <c r="I157" i="18"/>
  <c r="G157" i="18"/>
  <c r="T156" i="18"/>
  <c r="I156" i="18"/>
  <c r="G156" i="18"/>
  <c r="T155" i="18"/>
  <c r="I155" i="18"/>
  <c r="G155" i="18"/>
  <c r="T154" i="18"/>
  <c r="I154" i="18"/>
  <c r="G154" i="18"/>
  <c r="T153" i="18"/>
  <c r="I153" i="18"/>
  <c r="G153" i="18"/>
  <c r="A153" i="18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A170" i="18" s="1"/>
  <c r="A171" i="18" s="1"/>
  <c r="A172" i="18" s="1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6" i="18" s="1"/>
  <c r="A197" i="18" s="1"/>
  <c r="T152" i="18"/>
  <c r="I152" i="18"/>
  <c r="G152" i="18"/>
  <c r="T150" i="18"/>
  <c r="I150" i="18"/>
  <c r="G150" i="18"/>
  <c r="T149" i="18"/>
  <c r="I149" i="18"/>
  <c r="G149" i="18"/>
  <c r="T148" i="18"/>
  <c r="I148" i="18"/>
  <c r="G148" i="18"/>
  <c r="T147" i="18"/>
  <c r="I147" i="18"/>
  <c r="G147" i="18"/>
  <c r="T146" i="18"/>
  <c r="I146" i="18"/>
  <c r="G146" i="18"/>
  <c r="T145" i="18"/>
  <c r="I145" i="18"/>
  <c r="G145" i="18"/>
  <c r="T144" i="18"/>
  <c r="I144" i="18"/>
  <c r="G144" i="18"/>
  <c r="T143" i="18"/>
  <c r="I143" i="18"/>
  <c r="G143" i="18"/>
  <c r="T142" i="18"/>
  <c r="I142" i="18"/>
  <c r="G142" i="18"/>
  <c r="T141" i="18"/>
  <c r="I141" i="18"/>
  <c r="G141" i="18"/>
  <c r="T140" i="18"/>
  <c r="I140" i="18"/>
  <c r="G140" i="18"/>
  <c r="T139" i="18"/>
  <c r="I139" i="18"/>
  <c r="G139" i="18"/>
  <c r="T138" i="18"/>
  <c r="I138" i="18"/>
  <c r="G138" i="18"/>
  <c r="T137" i="18"/>
  <c r="I137" i="18"/>
  <c r="G137" i="18"/>
  <c r="T136" i="18"/>
  <c r="I136" i="18"/>
  <c r="G136" i="18"/>
  <c r="T135" i="18"/>
  <c r="I135" i="18"/>
  <c r="G135" i="18"/>
  <c r="T134" i="18"/>
  <c r="I134" i="18"/>
  <c r="G134" i="18"/>
  <c r="T133" i="18"/>
  <c r="I133" i="18"/>
  <c r="G133" i="18"/>
  <c r="T132" i="18"/>
  <c r="I132" i="18"/>
  <c r="G132" i="18"/>
  <c r="T131" i="18"/>
  <c r="I131" i="18"/>
  <c r="G131" i="18"/>
  <c r="T130" i="18"/>
  <c r="I130" i="18"/>
  <c r="G130" i="18"/>
  <c r="T129" i="18"/>
  <c r="I129" i="18"/>
  <c r="G129" i="18"/>
  <c r="T128" i="18"/>
  <c r="I128" i="18"/>
  <c r="G128" i="18"/>
  <c r="T127" i="18"/>
  <c r="I127" i="18"/>
  <c r="G127" i="18"/>
  <c r="T126" i="18"/>
  <c r="I126" i="18"/>
  <c r="G126" i="18"/>
  <c r="T125" i="18"/>
  <c r="I125" i="18"/>
  <c r="G125" i="18"/>
  <c r="T124" i="18"/>
  <c r="I124" i="18"/>
  <c r="G124" i="18"/>
  <c r="T123" i="18"/>
  <c r="I123" i="18"/>
  <c r="G123" i="18"/>
  <c r="T122" i="18"/>
  <c r="I122" i="18"/>
  <c r="G122" i="18"/>
  <c r="A122" i="18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T121" i="18"/>
  <c r="I121" i="18"/>
  <c r="G121" i="18"/>
  <c r="T119" i="18"/>
  <c r="I119" i="18"/>
  <c r="G119" i="18"/>
  <c r="T118" i="18"/>
  <c r="I118" i="18"/>
  <c r="G118" i="18"/>
  <c r="T117" i="18"/>
  <c r="I117" i="18"/>
  <c r="G117" i="18"/>
  <c r="T116" i="18"/>
  <c r="I116" i="18"/>
  <c r="G116" i="18"/>
  <c r="T115" i="18"/>
  <c r="I115" i="18"/>
  <c r="G115" i="18"/>
  <c r="T114" i="18"/>
  <c r="I114" i="18"/>
  <c r="G114" i="18"/>
  <c r="T113" i="18"/>
  <c r="I113" i="18"/>
  <c r="G113" i="18"/>
  <c r="T112" i="18"/>
  <c r="I112" i="18"/>
  <c r="G112" i="18"/>
  <c r="T111" i="18"/>
  <c r="I111" i="18"/>
  <c r="G111" i="18"/>
  <c r="T110" i="18"/>
  <c r="I110" i="18"/>
  <c r="G110" i="18"/>
  <c r="T109" i="18"/>
  <c r="I109" i="18"/>
  <c r="G109" i="18"/>
  <c r="T108" i="18"/>
  <c r="I108" i="18"/>
  <c r="G108" i="18"/>
  <c r="T107" i="18"/>
  <c r="I107" i="18"/>
  <c r="G107" i="18"/>
  <c r="T106" i="18"/>
  <c r="I106" i="18"/>
  <c r="G106" i="18"/>
  <c r="T105" i="18"/>
  <c r="I105" i="18"/>
  <c r="G105" i="18"/>
  <c r="T104" i="18"/>
  <c r="I104" i="18"/>
  <c r="G104" i="18"/>
  <c r="T103" i="18"/>
  <c r="I103" i="18"/>
  <c r="G103" i="18"/>
  <c r="T102" i="18"/>
  <c r="I102" i="18"/>
  <c r="G102" i="18"/>
  <c r="T101" i="18"/>
  <c r="I101" i="18"/>
  <c r="G101" i="18"/>
  <c r="T100" i="18"/>
  <c r="I100" i="18"/>
  <c r="G100" i="18"/>
  <c r="T99" i="18"/>
  <c r="I99" i="18"/>
  <c r="G99" i="18"/>
  <c r="T98" i="18"/>
  <c r="I98" i="18"/>
  <c r="G98" i="18"/>
  <c r="T97" i="18"/>
  <c r="I97" i="18"/>
  <c r="G97" i="18"/>
  <c r="T96" i="18"/>
  <c r="I96" i="18"/>
  <c r="G96" i="18"/>
  <c r="T95" i="18"/>
  <c r="I95" i="18"/>
  <c r="G95" i="18"/>
  <c r="T94" i="18"/>
  <c r="I94" i="18"/>
  <c r="G94" i="18"/>
  <c r="T93" i="18"/>
  <c r="I93" i="18"/>
  <c r="G93" i="18"/>
  <c r="T92" i="18"/>
  <c r="I92" i="18"/>
  <c r="G92" i="18"/>
  <c r="T91" i="18"/>
  <c r="I91" i="18"/>
  <c r="G91" i="18"/>
  <c r="T90" i="18"/>
  <c r="I90" i="18"/>
  <c r="G90" i="18"/>
  <c r="T89" i="18"/>
  <c r="I89" i="18"/>
  <c r="G89" i="18"/>
  <c r="T88" i="18"/>
  <c r="I88" i="18"/>
  <c r="G88" i="18"/>
  <c r="T87" i="18"/>
  <c r="I87" i="18"/>
  <c r="G87" i="18"/>
  <c r="T86" i="18"/>
  <c r="I86" i="18"/>
  <c r="G86" i="18"/>
  <c r="T85" i="18"/>
  <c r="I85" i="18"/>
  <c r="G85" i="18"/>
  <c r="T84" i="18"/>
  <c r="I84" i="18"/>
  <c r="G84" i="18"/>
  <c r="T83" i="18"/>
  <c r="I83" i="18"/>
  <c r="G83" i="18"/>
  <c r="T82" i="18"/>
  <c r="I82" i="18"/>
  <c r="G82" i="18"/>
  <c r="T81" i="18"/>
  <c r="I81" i="18"/>
  <c r="G81" i="18"/>
  <c r="T80" i="18"/>
  <c r="I80" i="18"/>
  <c r="G80" i="18"/>
  <c r="T79" i="18"/>
  <c r="I79" i="18"/>
  <c r="G79" i="18"/>
  <c r="A79" i="18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T78" i="18"/>
  <c r="I78" i="18"/>
  <c r="G78" i="18"/>
  <c r="I77" i="18"/>
  <c r="G77" i="18"/>
  <c r="I76" i="18"/>
  <c r="G76" i="18"/>
  <c r="I75" i="18"/>
  <c r="G75" i="18"/>
  <c r="I74" i="18"/>
  <c r="G74" i="18"/>
  <c r="I73" i="18"/>
  <c r="G73" i="18"/>
  <c r="I72" i="18"/>
  <c r="G72" i="18"/>
  <c r="I71" i="18"/>
  <c r="G71" i="18"/>
  <c r="A71" i="18"/>
  <c r="A72" i="18" s="1"/>
  <c r="A73" i="18" s="1"/>
  <c r="A74" i="18" s="1"/>
  <c r="A75" i="18" s="1"/>
  <c r="A76" i="18" s="1"/>
  <c r="A77" i="18" s="1"/>
  <c r="I70" i="18"/>
  <c r="G70" i="18"/>
  <c r="T69" i="18"/>
  <c r="I69" i="18"/>
  <c r="G69" i="18"/>
  <c r="T68" i="18"/>
  <c r="I68" i="18"/>
  <c r="G68" i="18"/>
  <c r="T67" i="18"/>
  <c r="I67" i="18"/>
  <c r="G67" i="18"/>
  <c r="T66" i="18"/>
  <c r="I66" i="18"/>
  <c r="G66" i="18"/>
  <c r="T65" i="18"/>
  <c r="I65" i="18"/>
  <c r="G65" i="18"/>
  <c r="I64" i="18"/>
  <c r="G64" i="18"/>
  <c r="T63" i="18"/>
  <c r="I63" i="18"/>
  <c r="G63" i="18"/>
  <c r="T62" i="18"/>
  <c r="I62" i="18"/>
  <c r="G62" i="18"/>
  <c r="T61" i="18"/>
  <c r="I61" i="18"/>
  <c r="G61" i="18"/>
  <c r="A61" i="18"/>
  <c r="A62" i="18" s="1"/>
  <c r="A63" i="18" s="1"/>
  <c r="A64" i="18" s="1"/>
  <c r="A65" i="18" s="1"/>
  <c r="A66" i="18" s="1"/>
  <c r="A67" i="18" s="1"/>
  <c r="A68" i="18" s="1"/>
  <c r="A69" i="18" s="1"/>
  <c r="T60" i="18"/>
  <c r="I60" i="18"/>
  <c r="G60" i="18"/>
  <c r="I59" i="18"/>
  <c r="G59" i="18"/>
  <c r="T58" i="18"/>
  <c r="I58" i="18"/>
  <c r="G58" i="18"/>
  <c r="T57" i="18"/>
  <c r="I57" i="18"/>
  <c r="G57" i="18"/>
  <c r="I56" i="18"/>
  <c r="G56" i="18"/>
  <c r="I55" i="18"/>
  <c r="G55" i="18"/>
  <c r="I54" i="18"/>
  <c r="G54" i="18"/>
  <c r="T53" i="18"/>
  <c r="I53" i="18"/>
  <c r="G53" i="18"/>
  <c r="I52" i="18"/>
  <c r="G52" i="18"/>
  <c r="I51" i="18"/>
  <c r="G51" i="18"/>
  <c r="T50" i="18"/>
  <c r="I50" i="18"/>
  <c r="G50" i="18"/>
  <c r="I49" i="18"/>
  <c r="G49" i="18"/>
  <c r="I48" i="18"/>
  <c r="G48" i="18"/>
  <c r="I47" i="18"/>
  <c r="G47" i="18"/>
  <c r="I46" i="18"/>
  <c r="G46" i="18"/>
  <c r="I45" i="18"/>
  <c r="G45" i="18"/>
  <c r="T44" i="18"/>
  <c r="I44" i="18"/>
  <c r="G44" i="18"/>
  <c r="T43" i="18"/>
  <c r="I43" i="18"/>
  <c r="G43" i="18"/>
  <c r="T42" i="18"/>
  <c r="I42" i="18"/>
  <c r="G42" i="18"/>
  <c r="T41" i="18"/>
  <c r="I41" i="18"/>
  <c r="G41" i="18"/>
  <c r="T40" i="18"/>
  <c r="I40" i="18"/>
  <c r="G40" i="18"/>
  <c r="T39" i="18"/>
  <c r="I39" i="18"/>
  <c r="G39" i="18"/>
  <c r="I38" i="18"/>
  <c r="G38" i="18"/>
  <c r="T37" i="18"/>
  <c r="I37" i="18"/>
  <c r="G37" i="18"/>
  <c r="T36" i="18"/>
  <c r="I36" i="18"/>
  <c r="G36" i="18"/>
  <c r="T35" i="18"/>
  <c r="I35" i="18"/>
  <c r="G35" i="18"/>
  <c r="T34" i="18"/>
  <c r="I34" i="18"/>
  <c r="G34" i="18"/>
  <c r="T33" i="18"/>
  <c r="I33" i="18"/>
  <c r="G33" i="18"/>
  <c r="I32" i="18"/>
  <c r="G32" i="18"/>
  <c r="T31" i="18"/>
  <c r="I31" i="18"/>
  <c r="G31" i="18"/>
  <c r="I30" i="18"/>
  <c r="G30" i="18"/>
  <c r="I29" i="18"/>
  <c r="G29" i="18"/>
  <c r="I28" i="18"/>
  <c r="G28" i="18"/>
  <c r="T27" i="18"/>
  <c r="I27" i="18"/>
  <c r="G27" i="18"/>
  <c r="I26" i="18"/>
  <c r="G26" i="18"/>
  <c r="T25" i="18"/>
  <c r="I25" i="18"/>
  <c r="G25" i="18"/>
  <c r="I24" i="18"/>
  <c r="G24" i="18"/>
  <c r="I23" i="18"/>
  <c r="G23" i="18"/>
  <c r="I22" i="18"/>
  <c r="G22" i="18"/>
  <c r="I21" i="18"/>
  <c r="G21" i="18"/>
  <c r="T20" i="18"/>
  <c r="I20" i="18"/>
  <c r="G20" i="18"/>
  <c r="I19" i="18"/>
  <c r="G19" i="18"/>
  <c r="T18" i="18"/>
  <c r="I18" i="18"/>
  <c r="G18" i="18"/>
  <c r="T17" i="18"/>
  <c r="I17" i="18"/>
  <c r="G17" i="18"/>
  <c r="I16" i="18"/>
  <c r="G16" i="18"/>
  <c r="T15" i="18"/>
  <c r="I15" i="18"/>
  <c r="G15" i="18"/>
  <c r="T14" i="18"/>
  <c r="I14" i="18"/>
  <c r="G14" i="18"/>
  <c r="I13" i="18"/>
  <c r="G13" i="18"/>
  <c r="I12" i="18"/>
  <c r="G12" i="18"/>
  <c r="T11" i="18"/>
  <c r="I11" i="18"/>
  <c r="G11" i="18"/>
  <c r="T10" i="18"/>
  <c r="I10" i="18"/>
  <c r="G10" i="18"/>
  <c r="I9" i="18"/>
  <c r="G9" i="18"/>
  <c r="T8" i="18"/>
  <c r="I8" i="18"/>
  <c r="G8" i="18"/>
  <c r="T7" i="18"/>
  <c r="I7" i="18"/>
  <c r="G7" i="18"/>
  <c r="T6" i="18"/>
  <c r="I6" i="18"/>
  <c r="G6" i="18"/>
  <c r="A6" i="18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T5" i="18"/>
  <c r="I5" i="18"/>
  <c r="F5" i="18"/>
  <c r="G5" i="18" s="1"/>
  <c r="I19" i="19" l="1"/>
  <c r="I20" i="19" s="1"/>
  <c r="T19" i="19"/>
  <c r="T20" i="19" s="1"/>
  <c r="G19" i="19"/>
  <c r="G20" i="19" s="1"/>
  <c r="E251" i="18" l="1"/>
  <c r="E252" i="18" s="1"/>
  <c r="I143" i="21" l="1"/>
  <c r="I144" i="21" s="1"/>
  <c r="I145" i="21" s="1"/>
  <c r="I146" i="21" s="1"/>
  <c r="I147" i="21" s="1"/>
  <c r="I148" i="21" s="1"/>
  <c r="I149" i="21" s="1"/>
  <c r="I150" i="21" s="1"/>
  <c r="I151" i="21" s="1"/>
  <c r="I152" i="21" s="1"/>
  <c r="I153" i="21" s="1"/>
  <c r="I154" i="21" s="1"/>
  <c r="I155" i="21" s="1"/>
  <c r="I156" i="21" s="1"/>
  <c r="I157" i="21" s="1"/>
  <c r="I158" i="21" s="1"/>
  <c r="I159" i="21" s="1"/>
  <c r="I160" i="21" s="1"/>
  <c r="I161" i="21" s="1"/>
  <c r="I162" i="21" s="1"/>
  <c r="I163" i="21" s="1"/>
  <c r="I164" i="21" s="1"/>
  <c r="I165" i="21" s="1"/>
  <c r="I166" i="21" s="1"/>
  <c r="I167" i="21" s="1"/>
  <c r="I168" i="21" s="1"/>
  <c r="I169" i="21" s="1"/>
  <c r="I170" i="21" s="1"/>
  <c r="I171" i="21" s="1"/>
  <c r="I172" i="21" s="1"/>
  <c r="I173" i="21" s="1"/>
  <c r="I174" i="21" s="1"/>
  <c r="I175" i="21" s="1"/>
  <c r="H176" i="21" s="1"/>
  <c r="M144" i="21" l="1"/>
  <c r="N144" i="21" s="1"/>
  <c r="N145" i="21" s="1"/>
  <c r="N146" i="21" s="1"/>
  <c r="N147" i="21" s="1"/>
  <c r="N148" i="21" s="1"/>
  <c r="N149" i="21" s="1"/>
  <c r="N150" i="21" s="1"/>
  <c r="N151" i="21" s="1"/>
  <c r="N152" i="21" s="1"/>
  <c r="N153" i="21" s="1"/>
  <c r="N154" i="21" s="1"/>
  <c r="N155" i="21" s="1"/>
  <c r="N156" i="21" s="1"/>
  <c r="N157" i="21" s="1"/>
  <c r="N158" i="21" s="1"/>
  <c r="N159" i="21" s="1"/>
  <c r="N160" i="21" s="1"/>
  <c r="N161" i="21" s="1"/>
  <c r="N162" i="21" s="1"/>
  <c r="N163" i="21" s="1"/>
  <c r="N164" i="21" s="1"/>
  <c r="N165" i="21" s="1"/>
  <c r="N166" i="21" s="1"/>
  <c r="N167" i="21" s="1"/>
  <c r="N168" i="21" s="1"/>
  <c r="N169" i="21" s="1"/>
  <c r="N170" i="21" s="1"/>
  <c r="N171" i="21" s="1"/>
  <c r="N172" i="21" s="1"/>
  <c r="N173" i="21" s="1"/>
  <c r="N174" i="21" s="1"/>
  <c r="N175" i="21" s="1"/>
  <c r="I176" i="21" l="1"/>
  <c r="I177" i="21" s="1"/>
  <c r="I178" i="21" s="1"/>
  <c r="I179" i="21" s="1"/>
  <c r="I180" i="21" s="1"/>
  <c r="I181" i="21" s="1"/>
  <c r="I182" i="21" s="1"/>
  <c r="I183" i="21" s="1"/>
  <c r="I184" i="21" s="1"/>
  <c r="I185" i="21" s="1"/>
  <c r="I186" i="21" s="1"/>
  <c r="I187" i="21" s="1"/>
  <c r="N176" i="21"/>
  <c r="N177" i="21" s="1"/>
  <c r="N178" i="21" s="1"/>
  <c r="N179" i="21" s="1"/>
  <c r="N180" i="21" s="1"/>
  <c r="N181" i="21" s="1"/>
  <c r="N182" i="21" s="1"/>
  <c r="N183" i="21" s="1"/>
  <c r="N184" i="21" s="1"/>
  <c r="N185" i="21" s="1"/>
  <c r="N186" i="21" s="1"/>
  <c r="N187" i="21" s="1"/>
  <c r="N188" i="21" s="1"/>
  <c r="N189" i="21" s="1"/>
  <c r="N190" i="21" s="1"/>
  <c r="N191" i="21" s="1"/>
  <c r="N192" i="21" s="1"/>
  <c r="N193" i="21" s="1"/>
  <c r="N194" i="21" s="1"/>
  <c r="N195" i="21" s="1"/>
  <c r="N196" i="21" s="1"/>
  <c r="N197" i="21" s="1"/>
  <c r="I188" i="21" l="1"/>
  <c r="I189" i="21" l="1"/>
  <c r="I190" i="21" l="1"/>
  <c r="I191" i="21" s="1"/>
  <c r="I192" i="21" s="1"/>
  <c r="I193" i="21" s="1"/>
  <c r="I194" i="21" s="1"/>
  <c r="I195" i="21" s="1"/>
  <c r="I196" i="21" s="1"/>
  <c r="I197" i="21" s="1"/>
</calcChain>
</file>

<file path=xl/sharedStrings.xml><?xml version="1.0" encoding="utf-8"?>
<sst xmlns="http://schemas.openxmlformats.org/spreadsheetml/2006/main" count="3043" uniqueCount="198">
  <si>
    <t>No</t>
  </si>
  <si>
    <t>Date</t>
  </si>
  <si>
    <t>M-Tone</t>
  </si>
  <si>
    <t>Unit Price</t>
  </si>
  <si>
    <t>T-Credit</t>
  </si>
  <si>
    <t>T-Debit</t>
  </si>
  <si>
    <t>Balance</t>
  </si>
  <si>
    <t>Details</t>
  </si>
  <si>
    <t>RWB No</t>
  </si>
  <si>
    <t>Total</t>
  </si>
  <si>
    <t>Consignee</t>
  </si>
  <si>
    <t xml:space="preserve"> Contract BNK-KHM/9-4-12/140 dd 29.07.2022, between "BNK-FZCO" (UAE) and "KHUMOR" LLC (KYRGYZ REPUBLIC) </t>
  </si>
  <si>
    <t>№</t>
  </si>
  <si>
    <t xml:space="preserve">Wagons No </t>
  </si>
  <si>
    <t>Loaded quantity (MT)</t>
  </si>
  <si>
    <t xml:space="preserve">Fix price in rub </t>
  </si>
  <si>
    <t>Destination</t>
  </si>
  <si>
    <t>Date of arrival of wagons</t>
  </si>
  <si>
    <t>Date of leak</t>
  </si>
  <si>
    <t>Quantity</t>
  </si>
  <si>
    <t>Difference</t>
  </si>
  <si>
    <t>Remarks</t>
  </si>
  <si>
    <t>Terminal Ilinka</t>
  </si>
  <si>
    <t>Trusowo</t>
  </si>
  <si>
    <t>FULL TONNAGE</t>
  </si>
  <si>
    <t>LOADED</t>
  </si>
  <si>
    <t>BALANCE</t>
  </si>
  <si>
    <t>Rate</t>
  </si>
  <si>
    <t>transport included in the product price</t>
  </si>
  <si>
    <t>AI-92-K5</t>
  </si>
  <si>
    <t>-121,31$</t>
  </si>
  <si>
    <t>Price in  December 01.12.25-31.12.25 $</t>
  </si>
  <si>
    <t>09109874</t>
  </si>
  <si>
    <t>09109875</t>
  </si>
  <si>
    <t>ADDENDUM № 33-M dd 17.12.25 (FCA NOVOPOLOTSK)  830 mt</t>
  </si>
  <si>
    <t>-122,43$</t>
  </si>
  <si>
    <t>Novopolotsk</t>
  </si>
  <si>
    <t>ADDENDUM № 32-M dd 17.12.25 (FCA BARBAROV)  14'170 mt</t>
  </si>
  <si>
    <t>Barbarov</t>
  </si>
  <si>
    <t>Recived 199 Wagons # Avarage december -121.31 #</t>
  </si>
  <si>
    <t>ADDENDUM № 34-M dd 06.01.26 (FCA BARBAROV) 15'000 mt</t>
  </si>
  <si>
    <t>-121,57$</t>
  </si>
  <si>
    <t>Price in January 01.01.26-31.01.26 $</t>
  </si>
  <si>
    <t>17/12/2025</t>
  </si>
  <si>
    <t>Paid recipt no 648 by Sarafi Noorzad</t>
  </si>
  <si>
    <t>23/12/2025</t>
  </si>
  <si>
    <t>13/1/2026</t>
  </si>
  <si>
    <t>Paid recipt no 2 by Sarafi Noorzad</t>
  </si>
  <si>
    <t>23/1/2026</t>
  </si>
  <si>
    <t>16/1/2026</t>
  </si>
  <si>
    <t>Contract</t>
  </si>
  <si>
    <t>Recived 14  Wagons # Avarage of December -122.43 #</t>
  </si>
  <si>
    <t>M - 33</t>
  </si>
  <si>
    <t>M - 32</t>
  </si>
  <si>
    <t>M - 34</t>
  </si>
  <si>
    <t>M -35</t>
  </si>
  <si>
    <t>From contract M - 29</t>
  </si>
  <si>
    <t>From contract M - 30</t>
  </si>
  <si>
    <t>From contract M - 33</t>
  </si>
  <si>
    <t>From contract M - 32</t>
  </si>
  <si>
    <t>Paid recipt no 666 by Sarafi Noorzad # 200 M</t>
  </si>
  <si>
    <t>Paid recipt no 2 by Sarafi Noorzad # 400 M</t>
  </si>
  <si>
    <t>Paid recipt no 14 by Monib Omar # 300 M</t>
  </si>
  <si>
    <t>Paid recipt no 93 by Sarafi Noorzad # 100 M</t>
  </si>
  <si>
    <t>Recived to Rent of wagons Account</t>
  </si>
  <si>
    <t>24/12/2025</t>
  </si>
  <si>
    <t>Paid by Jalaledin - we must pay in Kabul</t>
  </si>
  <si>
    <r>
      <t xml:space="preserve">BNK - </t>
    </r>
    <r>
      <rPr>
        <b/>
        <i/>
        <sz val="22"/>
        <color rgb="FFFF0000"/>
        <rFont val="Arial"/>
        <family val="2"/>
      </rPr>
      <t>Humor</t>
    </r>
  </si>
  <si>
    <t>Paid recipt no 93 by Noorzad Dubai</t>
  </si>
  <si>
    <t>15000 MT Gasoline</t>
  </si>
  <si>
    <t>15000 MT DIESEL</t>
  </si>
  <si>
    <t>Totall in January:</t>
  </si>
  <si>
    <t>08610697</t>
  </si>
  <si>
    <t>08610698</t>
  </si>
  <si>
    <t>Totall in February:</t>
  </si>
  <si>
    <t>Recived 248 Wagons Gasoline</t>
  </si>
  <si>
    <t>Recived 148 Wagons Diesel</t>
  </si>
  <si>
    <t>25/3/2026</t>
  </si>
  <si>
    <t>26/3/2026</t>
  </si>
  <si>
    <t>Paid recipt no 432 by Noorzad Dubai</t>
  </si>
  <si>
    <t>Paid recipt no 477 by Noorzad Dubai</t>
  </si>
  <si>
    <t>Paid recipt no 437 by Noorzad Dubai</t>
  </si>
  <si>
    <t>30/3/2026</t>
  </si>
  <si>
    <t>Paid recipt no 461 by Noorzad Dubai</t>
  </si>
  <si>
    <t>Paid recipt no 477 by Sarafi Sadra</t>
  </si>
  <si>
    <t>ADDENDUM № 37-M dd 19.03.26 (DAP TRUSOVO) 15'000 mt</t>
  </si>
  <si>
    <t>-70$</t>
  </si>
  <si>
    <t>Price in January 01.03.26-31.03.26 $</t>
  </si>
  <si>
    <t xml:space="preserve">Transport in rub </t>
  </si>
  <si>
    <t>Transport in $ (preliminary)</t>
  </si>
  <si>
    <t>Diesel DT-E-K5</t>
  </si>
  <si>
    <t>ADDENDUM № 35-M dd 12.01.26 (FCA BARBAROV) 15'000 mt</t>
  </si>
  <si>
    <t>-138,57$</t>
  </si>
  <si>
    <t>08610998</t>
  </si>
  <si>
    <t>08611065</t>
  </si>
  <si>
    <t>08611069</t>
  </si>
  <si>
    <t>17/4/2026</t>
  </si>
  <si>
    <t>Paid recipt no 521 by Noorzad Dubai</t>
  </si>
  <si>
    <t>Paid recipt no 522 by Noorzad Dubai</t>
  </si>
  <si>
    <t>Paid recipt no 476 by Noorzad Dubai</t>
  </si>
  <si>
    <r>
      <t xml:space="preserve">ADDENDUM № 38-M dd </t>
    </r>
    <r>
      <rPr>
        <b/>
        <sz val="11"/>
        <color rgb="FFFF0000"/>
        <rFont val="Times New Roman"/>
        <family val="1"/>
        <charset val="204"/>
      </rPr>
      <t>22.04.26</t>
    </r>
    <r>
      <rPr>
        <b/>
        <sz val="11"/>
        <rFont val="Times New Roman"/>
        <family val="1"/>
        <charset val="204"/>
      </rPr>
      <t xml:space="preserve"> (DAP TRUSOVO) </t>
    </r>
  </si>
  <si>
    <t>Agreement № 1 dd 22.04.2026</t>
  </si>
  <si>
    <t>10'000mt</t>
  </si>
  <si>
    <t>-44$</t>
  </si>
  <si>
    <t>M-37</t>
  </si>
  <si>
    <t>M-38</t>
  </si>
  <si>
    <t>10000 MT</t>
  </si>
  <si>
    <t>15000 MT</t>
  </si>
  <si>
    <t>24/3/2026</t>
  </si>
  <si>
    <t>From contract M-30</t>
  </si>
  <si>
    <t>28.01.2026</t>
  </si>
  <si>
    <t>09.02.2026</t>
  </si>
  <si>
    <t>06.03.2026</t>
  </si>
  <si>
    <t>24.03.2026</t>
  </si>
  <si>
    <t>Recived to contract  35-М</t>
  </si>
  <si>
    <t>From contract 32-М</t>
  </si>
  <si>
    <t>from contract  M-32</t>
  </si>
  <si>
    <t>Recived to contract M - 37</t>
  </si>
  <si>
    <t>From contract  M - 33</t>
  </si>
  <si>
    <t>24.04.2026</t>
  </si>
  <si>
    <t>29.04.2026</t>
  </si>
  <si>
    <t>Recived to contract 38-М</t>
  </si>
  <si>
    <t>From contract 35-М</t>
  </si>
  <si>
    <t>Paid recipt no 139 by Noorzad Dubai 150 M</t>
  </si>
  <si>
    <t>Акт взаимозачет №3-М/8-4-13/66 из ДС-32М</t>
  </si>
  <si>
    <t>02.02.2026</t>
  </si>
  <si>
    <t>From contract  M - 37</t>
  </si>
  <si>
    <t>From contract  M - 38</t>
  </si>
  <si>
    <t>Contract 15000 MT Gasoline #  M - 34</t>
  </si>
  <si>
    <t>Contract 15000 MT Diesel #  M - 35</t>
  </si>
  <si>
    <t>Contract 15000 MT Gasoline #  M - 37</t>
  </si>
  <si>
    <t>Contract 10000 MT Gasoline #  M - 38</t>
  </si>
  <si>
    <t>Recived to Solvex - March loading</t>
  </si>
  <si>
    <t>Recived Gasoline 92 # Avarage April -70</t>
  </si>
  <si>
    <t>Recived Gasoline 92 # Avarage April - 44</t>
  </si>
  <si>
    <t>Paid recipt no 571 by Sarafi Sadra</t>
  </si>
  <si>
    <t>Paid recipt no 360 by Norzad Dubai</t>
  </si>
  <si>
    <t>Paid recipt no 569 by Norzad Dubai</t>
  </si>
  <si>
    <t>M - 35</t>
  </si>
  <si>
    <t>M - 37</t>
  </si>
  <si>
    <t>M-39</t>
  </si>
  <si>
    <t>10000 MT Gasoline # Avarage May - 41</t>
  </si>
  <si>
    <t>Rent of wagons # contract  M - 32</t>
  </si>
  <si>
    <t>Rent of wagons # contract  M - 33</t>
  </si>
  <si>
    <t>BNK # Rent of Wagons</t>
  </si>
  <si>
    <t>Price in april 01.04.26-30.04.26 $</t>
  </si>
  <si>
    <r>
      <t>ADDENDUM № 39-M dd 30</t>
    </r>
    <r>
      <rPr>
        <b/>
        <sz val="11"/>
        <color rgb="FFFF0000"/>
        <rFont val="Times New Roman"/>
        <family val="1"/>
        <charset val="204"/>
      </rPr>
      <t>.</t>
    </r>
    <r>
      <rPr>
        <b/>
        <sz val="11"/>
        <rFont val="Times New Roman"/>
        <family val="1"/>
        <charset val="204"/>
      </rPr>
      <t xml:space="preserve">04.26 (DAP TRUSOVO) </t>
    </r>
  </si>
  <si>
    <t>-41$</t>
  </si>
  <si>
    <t>Price in may 01.05.26-31.05.26 $</t>
  </si>
  <si>
    <t xml:space="preserve">09 05 26 </t>
  </si>
  <si>
    <t>19/5/2026</t>
  </si>
  <si>
    <t>Recived recipt no 7 to HOMUR BNK</t>
  </si>
  <si>
    <t>Paid recipt no 7 by Sarafi Sadra</t>
  </si>
  <si>
    <t>22/5/2026</t>
  </si>
  <si>
    <t>Paid Recipt no 20 by Noorzad Dubai</t>
  </si>
  <si>
    <t>40003600</t>
  </si>
  <si>
    <t>50592815</t>
  </si>
  <si>
    <t>71061055</t>
  </si>
  <si>
    <t>71061188</t>
  </si>
  <si>
    <t>75248211</t>
  </si>
  <si>
    <t>76953694</t>
  </si>
  <si>
    <t>40003736</t>
  </si>
  <si>
    <t>50175223</t>
  </si>
  <si>
    <t>53914727</t>
  </si>
  <si>
    <t>54082805</t>
  </si>
  <si>
    <t>54088083</t>
  </si>
  <si>
    <t>54088257</t>
  </si>
  <si>
    <t>57434094</t>
  </si>
  <si>
    <t>73034845</t>
  </si>
  <si>
    <t>73105108</t>
  </si>
  <si>
    <t>73107708</t>
  </si>
  <si>
    <t>73112161</t>
  </si>
  <si>
    <t>73112344</t>
  </si>
  <si>
    <t>73166670</t>
  </si>
  <si>
    <t>73167389</t>
  </si>
  <si>
    <t>73168205</t>
  </si>
  <si>
    <t>73172959</t>
  </si>
  <si>
    <t>73233025</t>
  </si>
  <si>
    <t>73912123</t>
  </si>
  <si>
    <t>75200303</t>
  </si>
  <si>
    <t>75230615</t>
  </si>
  <si>
    <t>75278507</t>
  </si>
  <si>
    <t>40003737</t>
  </si>
  <si>
    <t>51814168</t>
  </si>
  <si>
    <t>54629860</t>
  </si>
  <si>
    <t>58706763</t>
  </si>
  <si>
    <t>73010639</t>
  </si>
  <si>
    <t>73168270</t>
  </si>
  <si>
    <t>73168452</t>
  </si>
  <si>
    <t>73180010</t>
  </si>
  <si>
    <t>73230864</t>
  </si>
  <si>
    <t>73231839</t>
  </si>
  <si>
    <t>74903253</t>
  </si>
  <si>
    <t>75330068</t>
  </si>
  <si>
    <t>75332536</t>
  </si>
  <si>
    <t>75342816</t>
  </si>
  <si>
    <t>Paid Recipt no 72 by Noorzad Dubai</t>
  </si>
  <si>
    <t>شروع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</si>
</sst>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"/>
    <numFmt numFmtId="166" formatCode="_(&quot;$&quot;* #,##0_);_(&quot;$&quot;* \(#,##0\);_(&quot;$&quot;* &quot;-&quot;??_);_(@_)"/>
    <numFmt numFmtId="167" formatCode="_-* #,##0\ [$₽-419]_-;\-* #,##0\ [$₽-419]_-;_-* &quot;-&quot;??\ [$₽-419]_-;_-@_-"/>
    <numFmt numFmtId="168" formatCode="0.0000"/>
    <numFmt numFmtId="169" formatCode="00000000"/>
    <numFmt numFmtId="170" formatCode="[$$-C09]#,##0.00"/>
    <numFmt numFmtId="171" formatCode="#,##0.00\ &quot;₽&quot;"/>
    <numFmt numFmtId="172" formatCode="#,##0.000\ &quot;₽&quot;"/>
    <numFmt numFmtId="173" formatCode="[$$-C09]#,##0.000"/>
    <numFmt numFmtId="174" formatCode="#,##0.000"/>
    <numFmt numFmtId="175" formatCode="#,##0;[Red]#,##0"/>
    <numFmt numFmtId="176" formatCode="#,##0.00;[Red]#,##0.00"/>
    <numFmt numFmtId="177" formatCode="#,##0.000;[Red]#,##0.000"/>
    <numFmt numFmtId="178" formatCode="_-* #,##0.000\ [$₽-419]_-;\-* #,##0.000\ [$₽-419]_-;_-* &quot;-&quot;??\ [$₽-419]_-;_-@_-"/>
    <numFmt numFmtId="179" formatCode="_-* #,##0.00\ [$₽-419]_-;\-* #,##0.00\ [$₽-419]_-;_-* &quot;-&quot;??\ [$₽-419]_-;_-@_-"/>
    <numFmt numFmtId="180" formatCode="dd\.mm\.yy"/>
    <numFmt numFmtId="181" formatCode="#,##0.00\ [$₽-419]"/>
    <numFmt numFmtId="182" formatCode="#,##0.000\ [$₽-419]"/>
    <numFmt numFmtId="183" formatCode="_(&quot;$&quot;* #,##0.0000_);_(&quot;$&quot;* \(#,##0.0000\);_(&quot;$&quot;* &quot;-&quot;??_);_(@_)"/>
    <numFmt numFmtId="184" formatCode="[$$-2809]#,##0.00"/>
    <numFmt numFmtId="185" formatCode="[$$-2809]#,##0.000"/>
    <numFmt numFmtId="186" formatCode="_(&quot;$&quot;* #,##0.00000_);_(&quot;$&quot;* \(#,##0.00000\);_(&quot;$&quot;* &quot;-&quot;??_);_(@_)"/>
    <numFmt numFmtId="187" formatCode="#,##0.0000\ [$₽-419]"/>
    <numFmt numFmtId="188" formatCode="_-* #,##0.00000\ [$₽-419]_-;\-* #,##0.00000\ [$₽-419]_-;_-* &quot;-&quot;??\ [$₽-419]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rgb="FFFF00FF"/>
      <name val="Arial"/>
      <family val="2"/>
    </font>
    <font>
      <b/>
      <sz val="10"/>
      <color rgb="FF7030A0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1"/>
      <color rgb="FF632523"/>
      <name val="Times New Roman"/>
      <family val="1"/>
      <charset val="204"/>
    </font>
    <font>
      <b/>
      <sz val="11"/>
      <color rgb="FF660033"/>
      <name val="Times New Roman"/>
      <family val="1"/>
      <charset val="204"/>
    </font>
    <font>
      <b/>
      <sz val="11"/>
      <color rgb="FFA50021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color rgb="FF800000"/>
      <name val="Times New Roman"/>
      <family val="1"/>
      <charset val="204"/>
    </font>
    <font>
      <sz val="11"/>
      <color rgb="FF80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rgb="FF660066"/>
      <name val="Times New Roman"/>
      <family val="1"/>
      <charset val="204"/>
    </font>
    <font>
      <b/>
      <i/>
      <sz val="11"/>
      <color rgb="FF00B050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b/>
      <i/>
      <sz val="16"/>
      <name val="Arial"/>
      <family val="2"/>
    </font>
    <font>
      <b/>
      <sz val="11"/>
      <color rgb="FF230AB6"/>
      <name val="Times New Roman"/>
      <family val="1"/>
      <charset val="204"/>
    </font>
    <font>
      <b/>
      <sz val="11"/>
      <color rgb="FF7030A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name val="Times New Roman"/>
      <family val="1"/>
    </font>
    <font>
      <sz val="12"/>
      <name val="Arial"/>
      <family val="2"/>
    </font>
    <font>
      <b/>
      <i/>
      <sz val="22"/>
      <color rgb="FF7030A0"/>
      <name val="Arial"/>
      <family val="2"/>
    </font>
    <font>
      <b/>
      <i/>
      <sz val="22"/>
      <color rgb="FFFF0000"/>
      <name val="Arial"/>
      <family val="2"/>
    </font>
    <font>
      <b/>
      <sz val="10"/>
      <color rgb="FF632523"/>
      <name val="Times New Roman"/>
      <family val="1"/>
      <charset val="204"/>
    </font>
    <font>
      <b/>
      <sz val="10"/>
      <color rgb="FF230AB6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Calibri"/>
      <family val="2"/>
      <scheme val="minor"/>
    </font>
    <font>
      <b/>
      <sz val="10"/>
      <color theme="5" tint="-0.499984740745262"/>
      <name val="Arial"/>
      <family val="2"/>
    </font>
    <font>
      <b/>
      <sz val="10"/>
      <color rgb="FF993366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E598"/>
        <bgColor rgb="FFFFE598"/>
      </patternFill>
    </fill>
    <fill>
      <patternFill patternType="solid">
        <fgColor rgb="FFBDD7E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B4C6E7"/>
        <bgColor rgb="FF000000"/>
      </patternFill>
    </fill>
  </fills>
  <borders count="1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</cellStyleXfs>
  <cellXfs count="699">
    <xf numFmtId="0" fontId="0" fillId="0" borderId="0" xfId="0"/>
    <xf numFmtId="0" fontId="2" fillId="2" borderId="0" xfId="0" applyFont="1" applyFill="1"/>
    <xf numFmtId="3" fontId="4" fillId="3" borderId="13" xfId="0" applyNumberFormat="1" applyFont="1" applyFill="1" applyBorder="1" applyAlignment="1">
      <alignment horizontal="center" vertical="center"/>
    </xf>
    <xf numFmtId="166" fontId="4" fillId="3" borderId="13" xfId="1" applyNumberFormat="1" applyFont="1" applyFill="1" applyBorder="1" applyAlignment="1">
      <alignment horizontal="center" vertical="center"/>
    </xf>
    <xf numFmtId="1" fontId="4" fillId="3" borderId="14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4" fontId="5" fillId="2" borderId="8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164" fontId="7" fillId="2" borderId="5" xfId="0" applyNumberFormat="1" applyFont="1" applyFill="1" applyBorder="1" applyAlignment="1">
      <alignment horizontal="center" vertical="center"/>
    </xf>
    <xf numFmtId="166" fontId="3" fillId="2" borderId="5" xfId="1" applyNumberFormat="1" applyFont="1" applyFill="1" applyBorder="1" applyAlignment="1">
      <alignment horizontal="center" vertical="center"/>
    </xf>
    <xf numFmtId="166" fontId="9" fillId="2" borderId="5" xfId="1" applyNumberFormat="1" applyFont="1" applyFill="1" applyBorder="1" applyAlignment="1">
      <alignment horizontal="center" vertical="center"/>
    </xf>
    <xf numFmtId="166" fontId="10" fillId="2" borderId="5" xfId="1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 vertical="top"/>
    </xf>
    <xf numFmtId="165" fontId="2" fillId="2" borderId="0" xfId="0" applyNumberFormat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2" fillId="2" borderId="11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44" fontId="2" fillId="2" borderId="0" xfId="0" applyNumberFormat="1" applyFont="1" applyFill="1"/>
    <xf numFmtId="0" fontId="16" fillId="0" borderId="0" xfId="0" applyFont="1" applyAlignment="1">
      <alignment horizontal="center"/>
    </xf>
    <xf numFmtId="170" fontId="28" fillId="0" borderId="3" xfId="0" applyNumberFormat="1" applyFont="1" applyBorder="1" applyAlignment="1">
      <alignment horizontal="center"/>
    </xf>
    <xf numFmtId="170" fontId="28" fillId="0" borderId="18" xfId="0" applyNumberFormat="1" applyFont="1" applyBorder="1" applyAlignment="1">
      <alignment horizontal="center"/>
    </xf>
    <xf numFmtId="170" fontId="28" fillId="0" borderId="8" xfId="0" applyNumberFormat="1" applyFont="1" applyBorder="1" applyAlignment="1">
      <alignment horizontal="center"/>
    </xf>
    <xf numFmtId="170" fontId="28" fillId="0" borderId="7" xfId="0" applyNumberFormat="1" applyFont="1" applyBorder="1" applyAlignment="1">
      <alignment horizontal="center"/>
    </xf>
    <xf numFmtId="170" fontId="28" fillId="0" borderId="49" xfId="0" applyNumberFormat="1" applyFont="1" applyBorder="1" applyAlignment="1">
      <alignment horizontal="center"/>
    </xf>
    <xf numFmtId="171" fontId="28" fillId="0" borderId="7" xfId="0" applyNumberFormat="1" applyFont="1" applyBorder="1" applyAlignment="1">
      <alignment horizontal="center" vertical="center"/>
    </xf>
    <xf numFmtId="172" fontId="28" fillId="0" borderId="7" xfId="0" applyNumberFormat="1" applyFont="1" applyBorder="1" applyAlignment="1">
      <alignment horizontal="center"/>
    </xf>
    <xf numFmtId="171" fontId="28" fillId="0" borderId="8" xfId="0" applyNumberFormat="1" applyFont="1" applyBorder="1" applyAlignment="1">
      <alignment horizontal="center" vertical="center"/>
    </xf>
    <xf numFmtId="172" fontId="28" fillId="0" borderId="8" xfId="0" applyNumberFormat="1" applyFont="1" applyBorder="1" applyAlignment="1">
      <alignment horizontal="center"/>
    </xf>
    <xf numFmtId="171" fontId="28" fillId="0" borderId="15" xfId="0" applyNumberFormat="1" applyFont="1" applyBorder="1" applyAlignment="1">
      <alignment horizontal="center" vertical="center"/>
    </xf>
    <xf numFmtId="172" fontId="28" fillId="0" borderId="15" xfId="0" applyNumberFormat="1" applyFont="1" applyBorder="1" applyAlignment="1">
      <alignment horizontal="center"/>
    </xf>
    <xf numFmtId="172" fontId="28" fillId="0" borderId="49" xfId="0" applyNumberFormat="1" applyFont="1" applyBorder="1" applyAlignment="1">
      <alignment horizontal="center"/>
    </xf>
    <xf numFmtId="171" fontId="28" fillId="0" borderId="5" xfId="0" applyNumberFormat="1" applyFont="1" applyBorder="1" applyAlignment="1">
      <alignment horizontal="center" vertical="center"/>
    </xf>
    <xf numFmtId="172" fontId="28" fillId="0" borderId="5" xfId="0" applyNumberFormat="1" applyFont="1" applyBorder="1" applyAlignment="1">
      <alignment horizontal="center"/>
    </xf>
    <xf numFmtId="49" fontId="14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7" fillId="0" borderId="72" xfId="0" applyFont="1" applyBorder="1" applyAlignment="1">
      <alignment horizontal="center" vertical="center" wrapText="1"/>
    </xf>
    <xf numFmtId="180" fontId="17" fillId="0" borderId="73" xfId="0" applyNumberFormat="1" applyFont="1" applyBorder="1" applyAlignment="1">
      <alignment horizontal="center" vertical="center" wrapText="1"/>
    </xf>
    <xf numFmtId="49" fontId="17" fillId="0" borderId="73" xfId="0" applyNumberFormat="1" applyFont="1" applyBorder="1" applyAlignment="1">
      <alignment horizontal="center" vertical="center" wrapText="1"/>
    </xf>
    <xf numFmtId="180" fontId="18" fillId="0" borderId="74" xfId="0" applyNumberFormat="1" applyFont="1" applyBorder="1" applyAlignment="1">
      <alignment horizontal="center" vertical="center" wrapText="1"/>
    </xf>
    <xf numFmtId="180" fontId="19" fillId="0" borderId="74" xfId="0" applyNumberFormat="1" applyFont="1" applyBorder="1" applyAlignment="1">
      <alignment horizontal="center" vertical="center" wrapText="1"/>
    </xf>
    <xf numFmtId="180" fontId="17" fillId="0" borderId="75" xfId="0" applyNumberFormat="1" applyFont="1" applyBorder="1" applyAlignment="1">
      <alignment horizontal="center" vertical="center" wrapText="1"/>
    </xf>
    <xf numFmtId="180" fontId="17" fillId="0" borderId="76" xfId="0" applyNumberFormat="1" applyFont="1" applyBorder="1" applyAlignment="1">
      <alignment horizontal="center" vertical="center" wrapText="1"/>
    </xf>
    <xf numFmtId="0" fontId="17" fillId="0" borderId="79" xfId="0" applyFont="1" applyBorder="1" applyAlignment="1">
      <alignment horizontal="center" vertical="center" wrapText="1"/>
    </xf>
    <xf numFmtId="0" fontId="17" fillId="0" borderId="73" xfId="0" applyFont="1" applyBorder="1" applyAlignment="1">
      <alignment horizontal="center" vertical="center" wrapText="1"/>
    </xf>
    <xf numFmtId="0" fontId="17" fillId="0" borderId="80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/>
    </xf>
    <xf numFmtId="14" fontId="28" fillId="0" borderId="3" xfId="0" applyNumberFormat="1" applyFont="1" applyBorder="1" applyAlignment="1">
      <alignment horizontal="center"/>
    </xf>
    <xf numFmtId="169" fontId="28" fillId="0" borderId="3" xfId="0" applyNumberFormat="1" applyFont="1" applyBorder="1" applyAlignment="1">
      <alignment horizontal="center"/>
    </xf>
    <xf numFmtId="1" fontId="28" fillId="0" borderId="3" xfId="0" applyNumberFormat="1" applyFont="1" applyBorder="1" applyAlignment="1">
      <alignment horizontal="center"/>
    </xf>
    <xf numFmtId="164" fontId="28" fillId="0" borderId="3" xfId="0" applyNumberFormat="1" applyFont="1" applyBorder="1" applyAlignment="1">
      <alignment horizontal="center" wrapText="1"/>
    </xf>
    <xf numFmtId="2" fontId="28" fillId="0" borderId="3" xfId="0" applyNumberFormat="1" applyFont="1" applyBorder="1" applyAlignment="1">
      <alignment horizontal="center"/>
    </xf>
    <xf numFmtId="181" fontId="28" fillId="0" borderId="3" xfId="0" applyNumberFormat="1" applyFont="1" applyBorder="1" applyAlignment="1">
      <alignment horizontal="center" vertical="center"/>
    </xf>
    <xf numFmtId="182" fontId="28" fillId="0" borderId="3" xfId="0" applyNumberFormat="1" applyFont="1" applyBorder="1" applyAlignment="1">
      <alignment horizontal="center"/>
    </xf>
    <xf numFmtId="170" fontId="20" fillId="0" borderId="47" xfId="0" applyNumberFormat="1" applyFont="1" applyBorder="1" applyAlignment="1">
      <alignment horizontal="center" vertical="center" wrapText="1"/>
    </xf>
    <xf numFmtId="0" fontId="20" fillId="0" borderId="81" xfId="0" applyFont="1" applyBorder="1" applyAlignment="1">
      <alignment horizontal="center" vertical="center" wrapText="1"/>
    </xf>
    <xf numFmtId="0" fontId="28" fillId="0" borderId="57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169" fontId="28" fillId="0" borderId="8" xfId="0" applyNumberFormat="1" applyFont="1" applyBorder="1" applyAlignment="1">
      <alignment horizontal="center"/>
    </xf>
    <xf numFmtId="1" fontId="28" fillId="0" borderId="8" xfId="0" applyNumberFormat="1" applyFont="1" applyBorder="1" applyAlignment="1">
      <alignment horizontal="center"/>
    </xf>
    <xf numFmtId="164" fontId="28" fillId="0" borderId="8" xfId="0" applyNumberFormat="1" applyFont="1" applyBorder="1" applyAlignment="1">
      <alignment horizontal="center" wrapText="1"/>
    </xf>
    <xf numFmtId="0" fontId="28" fillId="0" borderId="8" xfId="0" applyFont="1" applyBorder="1" applyAlignment="1">
      <alignment horizontal="center"/>
    </xf>
    <xf numFmtId="181" fontId="28" fillId="0" borderId="8" xfId="0" applyNumberFormat="1" applyFont="1" applyBorder="1" applyAlignment="1">
      <alignment horizontal="center" vertical="center"/>
    </xf>
    <xf numFmtId="182" fontId="28" fillId="0" borderId="7" xfId="0" applyNumberFormat="1" applyFont="1" applyBorder="1" applyAlignment="1">
      <alignment horizontal="center"/>
    </xf>
    <xf numFmtId="0" fontId="28" fillId="0" borderId="35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14" fontId="28" fillId="0" borderId="44" xfId="0" applyNumberFormat="1" applyFont="1" applyBorder="1" applyAlignment="1">
      <alignment horizontal="center"/>
    </xf>
    <xf numFmtId="169" fontId="28" fillId="0" borderId="5" xfId="0" applyNumberFormat="1" applyFont="1" applyBorder="1" applyAlignment="1">
      <alignment horizontal="center"/>
    </xf>
    <xf numFmtId="1" fontId="28" fillId="0" borderId="5" xfId="0" applyNumberFormat="1" applyFont="1" applyBorder="1" applyAlignment="1">
      <alignment horizontal="center"/>
    </xf>
    <xf numFmtId="164" fontId="28" fillId="0" borderId="5" xfId="0" applyNumberFormat="1" applyFont="1" applyBorder="1" applyAlignment="1">
      <alignment horizontal="center" wrapText="1"/>
    </xf>
    <xf numFmtId="181" fontId="28" fillId="0" borderId="5" xfId="0" applyNumberFormat="1" applyFont="1" applyBorder="1" applyAlignment="1">
      <alignment horizontal="center" vertical="center"/>
    </xf>
    <xf numFmtId="182" fontId="28" fillId="0" borderId="44" xfId="0" applyNumberFormat="1" applyFont="1" applyBorder="1" applyAlignment="1">
      <alignment horizontal="center"/>
    </xf>
    <xf numFmtId="0" fontId="28" fillId="0" borderId="36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9" borderId="12" xfId="0" applyFont="1" applyFill="1" applyBorder="1" applyAlignment="1">
      <alignment horizontal="center"/>
    </xf>
    <xf numFmtId="0" fontId="28" fillId="9" borderId="13" xfId="0" applyFont="1" applyFill="1" applyBorder="1" applyAlignment="1">
      <alignment horizontal="center"/>
    </xf>
    <xf numFmtId="174" fontId="14" fillId="9" borderId="13" xfId="0" applyNumberFormat="1" applyFont="1" applyFill="1" applyBorder="1" applyAlignment="1">
      <alignment horizontal="center"/>
    </xf>
    <xf numFmtId="0" fontId="14" fillId="9" borderId="13" xfId="0" applyFont="1" applyFill="1" applyBorder="1" applyAlignment="1">
      <alignment horizontal="center"/>
    </xf>
    <xf numFmtId="170" fontId="14" fillId="9" borderId="13" xfId="0" applyNumberFormat="1" applyFont="1" applyFill="1" applyBorder="1" applyAlignment="1">
      <alignment horizontal="center"/>
    </xf>
    <xf numFmtId="182" fontId="14" fillId="9" borderId="13" xfId="0" applyNumberFormat="1" applyFont="1" applyFill="1" applyBorder="1" applyAlignment="1">
      <alignment horizontal="center"/>
    </xf>
    <xf numFmtId="0" fontId="28" fillId="9" borderId="14" xfId="0" applyFont="1" applyFill="1" applyBorder="1" applyAlignment="1">
      <alignment horizontal="center"/>
    </xf>
    <xf numFmtId="0" fontId="28" fillId="9" borderId="21" xfId="0" applyFont="1" applyFill="1" applyBorder="1" applyAlignment="1">
      <alignment horizontal="center"/>
    </xf>
    <xf numFmtId="14" fontId="28" fillId="0" borderId="8" xfId="0" applyNumberFormat="1" applyFont="1" applyBorder="1" applyAlignment="1">
      <alignment horizontal="center"/>
    </xf>
    <xf numFmtId="14" fontId="28" fillId="0" borderId="5" xfId="0" applyNumberFormat="1" applyFont="1" applyBorder="1" applyAlignment="1">
      <alignment horizontal="center"/>
    </xf>
    <xf numFmtId="170" fontId="20" fillId="0" borderId="25" xfId="0" applyNumberFormat="1" applyFont="1" applyBorder="1" applyAlignment="1">
      <alignment horizontal="center" vertical="center" wrapText="1"/>
    </xf>
    <xf numFmtId="0" fontId="28" fillId="0" borderId="33" xfId="0" applyFont="1" applyBorder="1" applyAlignment="1">
      <alignment horizontal="center"/>
    </xf>
    <xf numFmtId="169" fontId="28" fillId="0" borderId="15" xfId="0" applyNumberFormat="1" applyFont="1" applyBorder="1" applyAlignment="1">
      <alignment horizontal="center"/>
    </xf>
    <xf numFmtId="1" fontId="28" fillId="0" borderId="15" xfId="0" applyNumberFormat="1" applyFont="1" applyBorder="1" applyAlignment="1">
      <alignment horizontal="center"/>
    </xf>
    <xf numFmtId="164" fontId="28" fillId="0" borderId="15" xfId="0" applyNumberFormat="1" applyFont="1" applyBorder="1" applyAlignment="1">
      <alignment horizontal="center" wrapText="1"/>
    </xf>
    <xf numFmtId="0" fontId="28" fillId="0" borderId="15" xfId="0" applyFont="1" applyBorder="1" applyAlignment="1">
      <alignment horizontal="center"/>
    </xf>
    <xf numFmtId="170" fontId="28" fillId="0" borderId="15" xfId="0" applyNumberFormat="1" applyFont="1" applyBorder="1" applyAlignment="1">
      <alignment horizontal="center"/>
    </xf>
    <xf numFmtId="181" fontId="28" fillId="0" borderId="15" xfId="0" applyNumberFormat="1" applyFont="1" applyBorder="1" applyAlignment="1">
      <alignment horizontal="center" vertical="center"/>
    </xf>
    <xf numFmtId="182" fontId="28" fillId="0" borderId="49" xfId="0" applyNumberFormat="1" applyFont="1" applyBorder="1" applyAlignment="1">
      <alignment horizontal="center"/>
    </xf>
    <xf numFmtId="170" fontId="20" fillId="0" borderId="55" xfId="0" applyNumberFormat="1" applyFont="1" applyBorder="1" applyAlignment="1">
      <alignment horizontal="center" vertical="center" wrapText="1"/>
    </xf>
    <xf numFmtId="164" fontId="14" fillId="9" borderId="13" xfId="0" applyNumberFormat="1" applyFont="1" applyFill="1" applyBorder="1" applyAlignment="1">
      <alignment horizontal="center"/>
    </xf>
    <xf numFmtId="0" fontId="28" fillId="9" borderId="16" xfId="0" applyFont="1" applyFill="1" applyBorder="1" applyAlignment="1">
      <alignment horizontal="center"/>
    </xf>
    <xf numFmtId="0" fontId="28" fillId="0" borderId="32" xfId="0" applyFont="1" applyBorder="1" applyAlignment="1">
      <alignment horizontal="center"/>
    </xf>
    <xf numFmtId="182" fontId="28" fillId="0" borderId="8" xfId="0" applyNumberFormat="1" applyFont="1" applyBorder="1" applyAlignment="1">
      <alignment horizontal="center"/>
    </xf>
    <xf numFmtId="170" fontId="20" fillId="0" borderId="8" xfId="0" applyNumberFormat="1" applyFont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/>
    </xf>
    <xf numFmtId="174" fontId="14" fillId="4" borderId="13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170" fontId="14" fillId="4" borderId="13" xfId="0" applyNumberFormat="1" applyFont="1" applyFill="1" applyBorder="1" applyAlignment="1">
      <alignment horizontal="center"/>
    </xf>
    <xf numFmtId="182" fontId="14" fillId="4" borderId="13" xfId="0" applyNumberFormat="1" applyFont="1" applyFill="1" applyBorder="1" applyAlignment="1">
      <alignment horizontal="center"/>
    </xf>
    <xf numFmtId="0" fontId="28" fillId="4" borderId="14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14" fillId="0" borderId="84" xfId="0" applyFont="1" applyBorder="1" applyAlignment="1">
      <alignment horizontal="center" vertical="center"/>
    </xf>
    <xf numFmtId="175" fontId="14" fillId="0" borderId="85" xfId="0" applyNumberFormat="1" applyFont="1" applyBorder="1" applyAlignment="1">
      <alignment horizontal="center" vertical="center"/>
    </xf>
    <xf numFmtId="0" fontId="14" fillId="0" borderId="86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87" xfId="0" applyFont="1" applyBorder="1" applyAlignment="1">
      <alignment horizontal="center" vertical="center"/>
    </xf>
    <xf numFmtId="176" fontId="14" fillId="0" borderId="81" xfId="0" applyNumberFormat="1" applyFont="1" applyBorder="1" applyAlignment="1">
      <alignment horizontal="center" vertical="center"/>
    </xf>
    <xf numFmtId="0" fontId="14" fillId="0" borderId="88" xfId="0" applyFont="1" applyBorder="1" applyAlignment="1">
      <alignment horizontal="center" vertical="center"/>
    </xf>
    <xf numFmtId="0" fontId="14" fillId="0" borderId="89" xfId="0" applyFont="1" applyBorder="1" applyAlignment="1">
      <alignment horizontal="center" vertical="center"/>
    </xf>
    <xf numFmtId="0" fontId="14" fillId="0" borderId="90" xfId="0" applyFont="1" applyBorder="1" applyAlignment="1">
      <alignment horizontal="center" vertical="center"/>
    </xf>
    <xf numFmtId="176" fontId="21" fillId="0" borderId="91" xfId="0" applyNumberFormat="1" applyFont="1" applyBorder="1" applyAlignment="1">
      <alignment horizontal="center" vertical="center"/>
    </xf>
    <xf numFmtId="164" fontId="28" fillId="0" borderId="8" xfId="0" applyNumberFormat="1" applyFont="1" applyBorder="1" applyAlignment="1">
      <alignment horizontal="center"/>
    </xf>
    <xf numFmtId="164" fontId="28" fillId="0" borderId="3" xfId="0" applyNumberFormat="1" applyFont="1" applyBorder="1" applyAlignment="1">
      <alignment horizontal="center"/>
    </xf>
    <xf numFmtId="14" fontId="28" fillId="0" borderId="15" xfId="0" applyNumberFormat="1" applyFont="1" applyBorder="1" applyAlignment="1">
      <alignment horizontal="center"/>
    </xf>
    <xf numFmtId="182" fontId="28" fillId="0" borderId="15" xfId="0" applyNumberFormat="1" applyFont="1" applyBorder="1" applyAlignment="1">
      <alignment horizontal="center"/>
    </xf>
    <xf numFmtId="170" fontId="20" fillId="0" borderId="15" xfId="0" applyNumberFormat="1" applyFont="1" applyBorder="1" applyAlignment="1">
      <alignment horizontal="center" vertical="center" wrapText="1"/>
    </xf>
    <xf numFmtId="0" fontId="28" fillId="9" borderId="22" xfId="0" applyFont="1" applyFill="1" applyBorder="1" applyAlignment="1">
      <alignment horizontal="center"/>
    </xf>
    <xf numFmtId="4" fontId="14" fillId="9" borderId="13" xfId="0" applyNumberFormat="1" applyFont="1" applyFill="1" applyBorder="1" applyAlignment="1">
      <alignment horizontal="center"/>
    </xf>
    <xf numFmtId="0" fontId="28" fillId="0" borderId="7" xfId="0" applyFont="1" applyBorder="1" applyAlignment="1">
      <alignment horizontal="center"/>
    </xf>
    <xf numFmtId="49" fontId="28" fillId="0" borderId="7" xfId="0" applyNumberFormat="1" applyFont="1" applyBorder="1" applyAlignment="1">
      <alignment horizontal="center"/>
    </xf>
    <xf numFmtId="174" fontId="28" fillId="0" borderId="7" xfId="0" applyNumberFormat="1" applyFont="1" applyBorder="1" applyAlignment="1">
      <alignment horizontal="center"/>
    </xf>
    <xf numFmtId="0" fontId="28" fillId="0" borderId="63" xfId="0" applyFont="1" applyBorder="1" applyAlignment="1">
      <alignment horizontal="center"/>
    </xf>
    <xf numFmtId="49" fontId="28" fillId="0" borderId="8" xfId="0" applyNumberFormat="1" applyFont="1" applyBorder="1" applyAlignment="1">
      <alignment horizontal="center"/>
    </xf>
    <xf numFmtId="174" fontId="28" fillId="0" borderId="8" xfId="0" applyNumberFormat="1" applyFont="1" applyBorder="1" applyAlignment="1">
      <alignment horizontal="center"/>
    </xf>
    <xf numFmtId="0" fontId="28" fillId="0" borderId="60" xfId="0" applyFont="1" applyBorder="1" applyAlignment="1">
      <alignment horizontal="center"/>
    </xf>
    <xf numFmtId="49" fontId="28" fillId="0" borderId="15" xfId="0" applyNumberFormat="1" applyFont="1" applyBorder="1" applyAlignment="1">
      <alignment horizontal="center"/>
    </xf>
    <xf numFmtId="174" fontId="28" fillId="0" borderId="15" xfId="0" applyNumberFormat="1" applyFont="1" applyBorder="1" applyAlignment="1">
      <alignment horizontal="center"/>
    </xf>
    <xf numFmtId="0" fontId="28" fillId="0" borderId="61" xfId="0" applyFont="1" applyBorder="1" applyAlignment="1">
      <alignment horizontal="center"/>
    </xf>
    <xf numFmtId="0" fontId="28" fillId="9" borderId="20" xfId="0" applyFont="1" applyFill="1" applyBorder="1" applyAlignment="1">
      <alignment horizontal="center"/>
    </xf>
    <xf numFmtId="169" fontId="28" fillId="0" borderId="7" xfId="0" applyNumberFormat="1" applyFont="1" applyBorder="1" applyAlignment="1">
      <alignment horizontal="center"/>
    </xf>
    <xf numFmtId="1" fontId="28" fillId="0" borderId="7" xfId="0" applyNumberFormat="1" applyFont="1" applyBorder="1" applyAlignment="1">
      <alignment horizontal="center"/>
    </xf>
    <xf numFmtId="164" fontId="28" fillId="0" borderId="7" xfId="0" applyNumberFormat="1" applyFont="1" applyBorder="1" applyAlignment="1">
      <alignment horizontal="center" wrapText="1"/>
    </xf>
    <xf numFmtId="0" fontId="28" fillId="0" borderId="48" xfId="0" applyFont="1" applyBorder="1" applyAlignment="1">
      <alignment horizontal="center"/>
    </xf>
    <xf numFmtId="0" fontId="28" fillId="0" borderId="49" xfId="0" applyFont="1" applyBorder="1" applyAlignment="1">
      <alignment horizontal="center"/>
    </xf>
    <xf numFmtId="0" fontId="28" fillId="0" borderId="50" xfId="0" applyFont="1" applyBorder="1" applyAlignment="1">
      <alignment horizontal="center"/>
    </xf>
    <xf numFmtId="4" fontId="14" fillId="4" borderId="13" xfId="0" applyNumberFormat="1" applyFont="1" applyFill="1" applyBorder="1" applyAlignment="1">
      <alignment horizontal="center"/>
    </xf>
    <xf numFmtId="164" fontId="14" fillId="4" borderId="13" xfId="0" applyNumberFormat="1" applyFont="1" applyFill="1" applyBorder="1" applyAlignment="1">
      <alignment horizontal="center"/>
    </xf>
    <xf numFmtId="174" fontId="14" fillId="4" borderId="18" xfId="0" applyNumberFormat="1" applyFont="1" applyFill="1" applyBorder="1" applyAlignment="1">
      <alignment horizontal="center"/>
    </xf>
    <xf numFmtId="0" fontId="28" fillId="4" borderId="18" xfId="0" applyFont="1" applyFill="1" applyBorder="1" applyAlignment="1">
      <alignment horizontal="center"/>
    </xf>
    <xf numFmtId="170" fontId="14" fillId="4" borderId="18" xfId="0" applyNumberFormat="1" applyFont="1" applyFill="1" applyBorder="1" applyAlignment="1">
      <alignment horizontal="center"/>
    </xf>
    <xf numFmtId="182" fontId="14" fillId="4" borderId="18" xfId="0" applyNumberFormat="1" applyFont="1" applyFill="1" applyBorder="1" applyAlignment="1">
      <alignment horizontal="center"/>
    </xf>
    <xf numFmtId="0" fontId="28" fillId="4" borderId="34" xfId="0" applyFont="1" applyFill="1" applyBorder="1" applyAlignment="1">
      <alignment horizontal="center"/>
    </xf>
    <xf numFmtId="0" fontId="28" fillId="4" borderId="28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28" fillId="4" borderId="26" xfId="0" applyFont="1" applyFill="1" applyBorder="1" applyAlignment="1">
      <alignment horizontal="center"/>
    </xf>
    <xf numFmtId="174" fontId="14" fillId="10" borderId="13" xfId="0" applyNumberFormat="1" applyFont="1" applyFill="1" applyBorder="1" applyAlignment="1">
      <alignment horizontal="center"/>
    </xf>
    <xf numFmtId="0" fontId="28" fillId="10" borderId="13" xfId="0" applyFont="1" applyFill="1" applyBorder="1" applyAlignment="1">
      <alignment horizontal="center"/>
    </xf>
    <xf numFmtId="170" fontId="14" fillId="10" borderId="13" xfId="0" applyNumberFormat="1" applyFont="1" applyFill="1" applyBorder="1" applyAlignment="1">
      <alignment horizontal="center"/>
    </xf>
    <xf numFmtId="182" fontId="14" fillId="10" borderId="13" xfId="0" applyNumberFormat="1" applyFont="1" applyFill="1" applyBorder="1" applyAlignment="1">
      <alignment horizontal="center"/>
    </xf>
    <xf numFmtId="0" fontId="28" fillId="10" borderId="20" xfId="0" applyFont="1" applyFill="1" applyBorder="1" applyAlignment="1">
      <alignment horizontal="center"/>
    </xf>
    <xf numFmtId="0" fontId="28" fillId="10" borderId="21" xfId="0" applyFont="1" applyFill="1" applyBorder="1" applyAlignment="1">
      <alignment horizontal="center"/>
    </xf>
    <xf numFmtId="0" fontId="28" fillId="10" borderId="22" xfId="0" applyFont="1" applyFill="1" applyBorder="1" applyAlignment="1">
      <alignment horizontal="center"/>
    </xf>
    <xf numFmtId="4" fontId="14" fillId="10" borderId="13" xfId="0" applyNumberFormat="1" applyFont="1" applyFill="1" applyBorder="1" applyAlignment="1">
      <alignment horizontal="center"/>
    </xf>
    <xf numFmtId="164" fontId="14" fillId="10" borderId="13" xfId="0" applyNumberFormat="1" applyFont="1" applyFill="1" applyBorder="1" applyAlignment="1">
      <alignment horizontal="center"/>
    </xf>
    <xf numFmtId="0" fontId="28" fillId="10" borderId="14" xfId="0" applyFont="1" applyFill="1" applyBorder="1" applyAlignment="1">
      <alignment horizontal="center"/>
    </xf>
    <xf numFmtId="0" fontId="28" fillId="0" borderId="23" xfId="0" applyFont="1" applyBorder="1" applyAlignment="1">
      <alignment horizontal="center"/>
    </xf>
    <xf numFmtId="14" fontId="28" fillId="0" borderId="93" xfId="0" applyNumberFormat="1" applyFont="1" applyBorder="1" applyAlignment="1">
      <alignment horizontal="center"/>
    </xf>
    <xf numFmtId="169" fontId="28" fillId="0" borderId="55" xfId="0" applyNumberFormat="1" applyFont="1" applyBorder="1" applyAlignment="1">
      <alignment horizontal="center"/>
    </xf>
    <xf numFmtId="1" fontId="28" fillId="0" borderId="55" xfId="0" applyNumberFormat="1" applyFont="1" applyBorder="1" applyAlignment="1">
      <alignment horizontal="center"/>
    </xf>
    <xf numFmtId="164" fontId="28" fillId="0" borderId="55" xfId="0" applyNumberFormat="1" applyFont="1" applyBorder="1" applyAlignment="1">
      <alignment horizontal="center" wrapText="1"/>
    </xf>
    <xf numFmtId="170" fontId="28" fillId="0" borderId="94" xfId="0" applyNumberFormat="1" applyFont="1" applyBorder="1" applyAlignment="1">
      <alignment horizontal="center"/>
    </xf>
    <xf numFmtId="181" fontId="28" fillId="0" borderId="18" xfId="0" applyNumberFormat="1" applyFont="1" applyBorder="1" applyAlignment="1">
      <alignment horizontal="center" vertical="center"/>
    </xf>
    <xf numFmtId="182" fontId="28" fillId="0" borderId="93" xfId="0" applyNumberFormat="1" applyFont="1" applyBorder="1" applyAlignment="1">
      <alignment horizontal="center"/>
    </xf>
    <xf numFmtId="0" fontId="20" fillId="0" borderId="95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14" fontId="28" fillId="0" borderId="49" xfId="0" applyNumberFormat="1" applyFont="1" applyBorder="1" applyAlignment="1">
      <alignment horizontal="center"/>
    </xf>
    <xf numFmtId="170" fontId="20" fillId="0" borderId="96" xfId="0" applyNumberFormat="1" applyFont="1" applyBorder="1" applyAlignment="1">
      <alignment horizontal="center" vertical="center" wrapText="1"/>
    </xf>
    <xf numFmtId="181" fontId="28" fillId="0" borderId="7" xfId="0" applyNumberFormat="1" applyFont="1" applyBorder="1" applyAlignment="1">
      <alignment horizontal="center" vertical="center"/>
    </xf>
    <xf numFmtId="0" fontId="28" fillId="11" borderId="12" xfId="0" applyFont="1" applyFill="1" applyBorder="1" applyAlignment="1">
      <alignment horizontal="center"/>
    </xf>
    <xf numFmtId="0" fontId="28" fillId="11" borderId="13" xfId="0" applyFont="1" applyFill="1" applyBorder="1" applyAlignment="1">
      <alignment horizontal="center"/>
    </xf>
    <xf numFmtId="164" fontId="14" fillId="11" borderId="13" xfId="0" applyNumberFormat="1" applyFont="1" applyFill="1" applyBorder="1" applyAlignment="1">
      <alignment horizontal="center"/>
    </xf>
    <xf numFmtId="170" fontId="14" fillId="11" borderId="13" xfId="0" applyNumberFormat="1" applyFont="1" applyFill="1" applyBorder="1" applyAlignment="1">
      <alignment horizontal="center"/>
    </xf>
    <xf numFmtId="0" fontId="14" fillId="11" borderId="13" xfId="0" applyFont="1" applyFill="1" applyBorder="1" applyAlignment="1">
      <alignment horizontal="center"/>
    </xf>
    <xf numFmtId="182" fontId="14" fillId="11" borderId="13" xfId="0" applyNumberFormat="1" applyFont="1" applyFill="1" applyBorder="1" applyAlignment="1">
      <alignment horizontal="center"/>
    </xf>
    <xf numFmtId="0" fontId="28" fillId="11" borderId="20" xfId="0" applyFont="1" applyFill="1" applyBorder="1" applyAlignment="1">
      <alignment horizontal="center"/>
    </xf>
    <xf numFmtId="0" fontId="28" fillId="11" borderId="59" xfId="0" applyFont="1" applyFill="1" applyBorder="1" applyAlignment="1">
      <alignment horizontal="center"/>
    </xf>
    <xf numFmtId="0" fontId="28" fillId="11" borderId="14" xfId="0" applyFont="1" applyFill="1" applyBorder="1" applyAlignment="1">
      <alignment horizontal="center"/>
    </xf>
    <xf numFmtId="0" fontId="28" fillId="11" borderId="22" xfId="0" applyFont="1" applyFill="1" applyBorder="1" applyAlignment="1">
      <alignment horizontal="center"/>
    </xf>
    <xf numFmtId="0" fontId="28" fillId="4" borderId="12" xfId="0" applyFont="1" applyFill="1" applyBorder="1" applyAlignment="1">
      <alignment horizontal="center"/>
    </xf>
    <xf numFmtId="0" fontId="28" fillId="4" borderId="20" xfId="0" applyFont="1" applyFill="1" applyBorder="1" applyAlignment="1">
      <alignment horizontal="center"/>
    </xf>
    <xf numFmtId="0" fontId="28" fillId="4" borderId="59" xfId="0" applyFont="1" applyFill="1" applyBorder="1" applyAlignment="1">
      <alignment horizontal="center"/>
    </xf>
    <xf numFmtId="176" fontId="14" fillId="0" borderId="85" xfId="0" applyNumberFormat="1" applyFont="1" applyBorder="1" applyAlignment="1">
      <alignment horizontal="center" vertical="center"/>
    </xf>
    <xf numFmtId="177" fontId="14" fillId="0" borderId="81" xfId="0" applyNumberFormat="1" applyFont="1" applyBorder="1" applyAlignment="1">
      <alignment horizontal="center" vertical="center"/>
    </xf>
    <xf numFmtId="177" fontId="21" fillId="0" borderId="91" xfId="0" applyNumberFormat="1" applyFont="1" applyBorder="1" applyAlignment="1">
      <alignment horizontal="center" vertical="center"/>
    </xf>
    <xf numFmtId="0" fontId="28" fillId="0" borderId="52" xfId="0" applyFont="1" applyBorder="1" applyAlignment="1">
      <alignment horizontal="center"/>
    </xf>
    <xf numFmtId="170" fontId="20" fillId="0" borderId="53" xfId="0" applyNumberFormat="1" applyFont="1" applyBorder="1" applyAlignment="1">
      <alignment horizontal="center" vertical="center" wrapText="1"/>
    </xf>
    <xf numFmtId="0" fontId="20" fillId="0" borderId="97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/>
    </xf>
    <xf numFmtId="1" fontId="28" fillId="0" borderId="7" xfId="0" applyNumberFormat="1" applyFont="1" applyBorder="1" applyAlignment="1">
      <alignment horizontal="left"/>
    </xf>
    <xf numFmtId="170" fontId="20" fillId="0" borderId="7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/>
    </xf>
    <xf numFmtId="1" fontId="28" fillId="0" borderId="8" xfId="0" applyNumberFormat="1" applyFont="1" applyBorder="1" applyAlignment="1">
      <alignment horizontal="left"/>
    </xf>
    <xf numFmtId="0" fontId="14" fillId="0" borderId="8" xfId="0" applyFont="1" applyBorder="1" applyAlignment="1">
      <alignment horizontal="center"/>
    </xf>
    <xf numFmtId="1" fontId="28" fillId="0" borderId="5" xfId="0" applyNumberFormat="1" applyFont="1" applyBorder="1" applyAlignment="1">
      <alignment horizontal="left"/>
    </xf>
    <xf numFmtId="170" fontId="28" fillId="0" borderId="5" xfId="0" applyNumberFormat="1" applyFont="1" applyBorder="1" applyAlignment="1">
      <alignment horizontal="center"/>
    </xf>
    <xf numFmtId="182" fontId="28" fillId="0" borderId="5" xfId="0" applyNumberFormat="1" applyFont="1" applyBorder="1" applyAlignment="1">
      <alignment horizontal="center"/>
    </xf>
    <xf numFmtId="170" fontId="20" fillId="0" borderId="5" xfId="0" applyNumberFormat="1" applyFont="1" applyBorder="1" applyAlignment="1">
      <alignment horizontal="center" vertical="center" wrapText="1"/>
    </xf>
    <xf numFmtId="0" fontId="20" fillId="0" borderId="98" xfId="0" applyFont="1" applyBorder="1" applyAlignment="1">
      <alignment horizontal="center" vertical="center" wrapText="1"/>
    </xf>
    <xf numFmtId="0" fontId="28" fillId="0" borderId="99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28" fillId="9" borderId="59" xfId="0" applyFont="1" applyFill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173" fontId="28" fillId="0" borderId="7" xfId="0" applyNumberFormat="1" applyFont="1" applyBorder="1" applyAlignment="1">
      <alignment horizontal="center"/>
    </xf>
    <xf numFmtId="171" fontId="28" fillId="0" borderId="7" xfId="0" applyNumberFormat="1" applyFont="1" applyBorder="1" applyAlignment="1">
      <alignment horizontal="center"/>
    </xf>
    <xf numFmtId="0" fontId="28" fillId="0" borderId="69" xfId="0" applyFont="1" applyBorder="1" applyAlignment="1">
      <alignment horizontal="center"/>
    </xf>
    <xf numFmtId="0" fontId="28" fillId="0" borderId="67" xfId="0" applyFont="1" applyBorder="1" applyAlignment="1">
      <alignment horizontal="center"/>
    </xf>
    <xf numFmtId="0" fontId="28" fillId="0" borderId="68" xfId="0" applyFont="1" applyBorder="1" applyAlignment="1">
      <alignment horizontal="center"/>
    </xf>
    <xf numFmtId="0" fontId="28" fillId="12" borderId="12" xfId="0" applyFont="1" applyFill="1" applyBorder="1" applyAlignment="1">
      <alignment horizontal="center"/>
    </xf>
    <xf numFmtId="0" fontId="28" fillId="12" borderId="13" xfId="0" applyFont="1" applyFill="1" applyBorder="1" applyAlignment="1">
      <alignment horizontal="center"/>
    </xf>
    <xf numFmtId="174" fontId="14" fillId="12" borderId="13" xfId="0" applyNumberFormat="1" applyFont="1" applyFill="1" applyBorder="1" applyAlignment="1">
      <alignment horizontal="center"/>
    </xf>
    <xf numFmtId="170" fontId="14" fillId="12" borderId="13" xfId="0" applyNumberFormat="1" applyFont="1" applyFill="1" applyBorder="1" applyAlignment="1">
      <alignment horizontal="center"/>
    </xf>
    <xf numFmtId="173" fontId="14" fillId="12" borderId="13" xfId="0" applyNumberFormat="1" applyFont="1" applyFill="1" applyBorder="1" applyAlignment="1">
      <alignment horizontal="center"/>
    </xf>
    <xf numFmtId="172" fontId="14" fillId="12" borderId="13" xfId="0" applyNumberFormat="1" applyFont="1" applyFill="1" applyBorder="1" applyAlignment="1">
      <alignment horizontal="center"/>
    </xf>
    <xf numFmtId="0" fontId="28" fillId="12" borderId="14" xfId="0" applyFont="1" applyFill="1" applyBorder="1" applyAlignment="1">
      <alignment horizontal="center"/>
    </xf>
    <xf numFmtId="0" fontId="28" fillId="12" borderId="58" xfId="0" applyFont="1" applyFill="1" applyBorder="1" applyAlignment="1">
      <alignment horizontal="center"/>
    </xf>
    <xf numFmtId="0" fontId="28" fillId="12" borderId="23" xfId="0" applyFont="1" applyFill="1" applyBorder="1" applyAlignment="1">
      <alignment horizontal="center"/>
    </xf>
    <xf numFmtId="0" fontId="28" fillId="12" borderId="18" xfId="0" applyFont="1" applyFill="1" applyBorder="1" applyAlignment="1">
      <alignment horizontal="center"/>
    </xf>
    <xf numFmtId="0" fontId="28" fillId="12" borderId="26" xfId="0" applyFont="1" applyFill="1" applyBorder="1" applyAlignment="1">
      <alignment horizontal="center"/>
    </xf>
    <xf numFmtId="0" fontId="28" fillId="0" borderId="38" xfId="0" applyFont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8" fillId="0" borderId="40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173" fontId="28" fillId="0" borderId="49" xfId="0" applyNumberFormat="1" applyFont="1" applyBorder="1" applyAlignment="1">
      <alignment horizontal="center"/>
    </xf>
    <xf numFmtId="0" fontId="28" fillId="0" borderId="42" xfId="0" applyFont="1" applyBorder="1" applyAlignment="1">
      <alignment horizontal="center"/>
    </xf>
    <xf numFmtId="0" fontId="28" fillId="0" borderId="43" xfId="0" applyFont="1" applyBorder="1" applyAlignment="1">
      <alignment horizontal="center"/>
    </xf>
    <xf numFmtId="164" fontId="14" fillId="12" borderId="13" xfId="0" applyNumberFormat="1" applyFont="1" applyFill="1" applyBorder="1" applyAlignment="1">
      <alignment horizontal="center"/>
    </xf>
    <xf numFmtId="0" fontId="28" fillId="12" borderId="100" xfId="0" applyFont="1" applyFill="1" applyBorder="1" applyAlignment="1">
      <alignment horizontal="center"/>
    </xf>
    <xf numFmtId="0" fontId="28" fillId="12" borderId="48" xfId="0" applyFont="1" applyFill="1" applyBorder="1" applyAlignment="1">
      <alignment horizontal="center"/>
    </xf>
    <xf numFmtId="0" fontId="28" fillId="12" borderId="49" xfId="0" applyFont="1" applyFill="1" applyBorder="1" applyAlignment="1">
      <alignment horizontal="center"/>
    </xf>
    <xf numFmtId="0" fontId="28" fillId="12" borderId="50" xfId="0" applyFont="1" applyFill="1" applyBorder="1" applyAlignment="1">
      <alignment horizontal="center"/>
    </xf>
    <xf numFmtId="0" fontId="28" fillId="12" borderId="101" xfId="0" applyFont="1" applyFill="1" applyBorder="1" applyAlignment="1">
      <alignment horizontal="center"/>
    </xf>
    <xf numFmtId="171" fontId="28" fillId="0" borderId="49" xfId="0" applyNumberFormat="1" applyFont="1" applyBorder="1" applyAlignment="1">
      <alignment horizontal="center"/>
    </xf>
    <xf numFmtId="0" fontId="28" fillId="0" borderId="71" xfId="0" applyFont="1" applyBorder="1" applyAlignment="1">
      <alignment horizontal="center"/>
    </xf>
    <xf numFmtId="0" fontId="28" fillId="12" borderId="65" xfId="0" applyFont="1" applyFill="1" applyBorder="1" applyAlignment="1">
      <alignment horizontal="center"/>
    </xf>
    <xf numFmtId="0" fontId="28" fillId="12" borderId="46" xfId="0" applyFont="1" applyFill="1" applyBorder="1" applyAlignment="1">
      <alignment horizontal="center"/>
    </xf>
    <xf numFmtId="0" fontId="28" fillId="12" borderId="44" xfId="0" applyFont="1" applyFill="1" applyBorder="1" applyAlignment="1">
      <alignment horizontal="center"/>
    </xf>
    <xf numFmtId="0" fontId="28" fillId="12" borderId="45" xfId="0" applyFont="1" applyFill="1" applyBorder="1" applyAlignment="1">
      <alignment horizontal="center"/>
    </xf>
    <xf numFmtId="0" fontId="28" fillId="12" borderId="62" xfId="0" applyFont="1" applyFill="1" applyBorder="1" applyAlignment="1">
      <alignment horizontal="center"/>
    </xf>
    <xf numFmtId="0" fontId="28" fillId="13" borderId="12" xfId="0" applyFont="1" applyFill="1" applyBorder="1" applyAlignment="1">
      <alignment horizontal="center"/>
    </xf>
    <xf numFmtId="0" fontId="28" fillId="13" borderId="13" xfId="0" applyFont="1" applyFill="1" applyBorder="1" applyAlignment="1">
      <alignment horizontal="center"/>
    </xf>
    <xf numFmtId="174" fontId="14" fillId="13" borderId="13" xfId="0" applyNumberFormat="1" applyFont="1" applyFill="1" applyBorder="1" applyAlignment="1">
      <alignment horizontal="center"/>
    </xf>
    <xf numFmtId="170" fontId="14" fillId="13" borderId="13" xfId="0" applyNumberFormat="1" applyFont="1" applyFill="1" applyBorder="1" applyAlignment="1">
      <alignment horizontal="center"/>
    </xf>
    <xf numFmtId="173" fontId="14" fillId="13" borderId="13" xfId="0" applyNumberFormat="1" applyFont="1" applyFill="1" applyBorder="1" applyAlignment="1">
      <alignment horizontal="center"/>
    </xf>
    <xf numFmtId="172" fontId="14" fillId="13" borderId="13" xfId="0" applyNumberFormat="1" applyFont="1" applyFill="1" applyBorder="1" applyAlignment="1">
      <alignment horizontal="center"/>
    </xf>
    <xf numFmtId="0" fontId="28" fillId="13" borderId="20" xfId="0" applyFont="1" applyFill="1" applyBorder="1" applyAlignment="1">
      <alignment horizontal="center"/>
    </xf>
    <xf numFmtId="0" fontId="28" fillId="13" borderId="21" xfId="0" applyFont="1" applyFill="1" applyBorder="1" applyAlignment="1">
      <alignment horizontal="center"/>
    </xf>
    <xf numFmtId="0" fontId="28" fillId="13" borderId="14" xfId="0" applyFont="1" applyFill="1" applyBorder="1" applyAlignment="1">
      <alignment horizontal="center"/>
    </xf>
    <xf numFmtId="0" fontId="28" fillId="13" borderId="22" xfId="0" applyFont="1" applyFill="1" applyBorder="1" applyAlignment="1">
      <alignment horizontal="center"/>
    </xf>
    <xf numFmtId="14" fontId="5" fillId="14" borderId="8" xfId="0" applyNumberFormat="1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left" vertical="center"/>
    </xf>
    <xf numFmtId="178" fontId="11" fillId="14" borderId="8" xfId="0" applyNumberFormat="1" applyFont="1" applyFill="1" applyBorder="1" applyAlignment="1">
      <alignment horizontal="left" vertical="center"/>
    </xf>
    <xf numFmtId="166" fontId="8" fillId="14" borderId="0" xfId="1" applyNumberFormat="1" applyFont="1" applyFill="1" applyBorder="1" applyAlignment="1">
      <alignment horizontal="center" vertical="center"/>
    </xf>
    <xf numFmtId="168" fontId="11" fillId="14" borderId="9" xfId="0" applyNumberFormat="1" applyFont="1" applyFill="1" applyBorder="1" applyAlignment="1">
      <alignment horizontal="center" vertical="center"/>
    </xf>
    <xf numFmtId="166" fontId="9" fillId="14" borderId="8" xfId="1" applyNumberFormat="1" applyFont="1" applyFill="1" applyBorder="1" applyAlignment="1">
      <alignment horizontal="center" vertical="center"/>
    </xf>
    <xf numFmtId="166" fontId="10" fillId="14" borderId="7" xfId="1" applyNumberFormat="1" applyFont="1" applyFill="1" applyBorder="1" applyAlignment="1">
      <alignment horizontal="center" vertical="center"/>
    </xf>
    <xf numFmtId="166" fontId="24" fillId="14" borderId="10" xfId="1" applyNumberFormat="1" applyFont="1" applyFill="1" applyBorder="1" applyAlignment="1">
      <alignment horizontal="left" vertical="center"/>
    </xf>
    <xf numFmtId="0" fontId="2" fillId="2" borderId="8" xfId="0" applyFont="1" applyFill="1" applyBorder="1"/>
    <xf numFmtId="164" fontId="7" fillId="14" borderId="8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2" fillId="14" borderId="0" xfId="0" applyFont="1" applyFill="1"/>
    <xf numFmtId="167" fontId="23" fillId="15" borderId="8" xfId="0" applyNumberFormat="1" applyFont="1" applyFill="1" applyBorder="1" applyAlignment="1">
      <alignment horizontal="left" vertical="center"/>
    </xf>
    <xf numFmtId="167" fontId="23" fillId="16" borderId="8" xfId="0" applyNumberFormat="1" applyFont="1" applyFill="1" applyBorder="1" applyAlignment="1">
      <alignment horizontal="left" vertical="center"/>
    </xf>
    <xf numFmtId="0" fontId="5" fillId="15" borderId="8" xfId="0" applyFont="1" applyFill="1" applyBorder="1" applyAlignment="1">
      <alignment horizontal="left" vertical="center"/>
    </xf>
    <xf numFmtId="164" fontId="7" fillId="15" borderId="8" xfId="0" applyNumberFormat="1" applyFont="1" applyFill="1" applyBorder="1" applyAlignment="1">
      <alignment horizontal="center" vertical="center"/>
    </xf>
    <xf numFmtId="0" fontId="2" fillId="15" borderId="8" xfId="0" applyFont="1" applyFill="1" applyBorder="1"/>
    <xf numFmtId="0" fontId="2" fillId="16" borderId="8" xfId="0" applyFont="1" applyFill="1" applyBorder="1"/>
    <xf numFmtId="0" fontId="5" fillId="16" borderId="8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left" vertical="center"/>
    </xf>
    <xf numFmtId="164" fontId="7" fillId="16" borderId="8" xfId="0" applyNumberFormat="1" applyFont="1" applyFill="1" applyBorder="1" applyAlignment="1">
      <alignment horizontal="center" vertical="center"/>
    </xf>
    <xf numFmtId="14" fontId="5" fillId="16" borderId="8" xfId="0" applyNumberFormat="1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14" fontId="5" fillId="15" borderId="8" xfId="0" applyNumberFormat="1" applyFont="1" applyFill="1" applyBorder="1" applyAlignment="1">
      <alignment horizontal="center" vertical="center"/>
    </xf>
    <xf numFmtId="179" fontId="2" fillId="16" borderId="8" xfId="0" applyNumberFormat="1" applyFont="1" applyFill="1" applyBorder="1"/>
    <xf numFmtId="167" fontId="23" fillId="14" borderId="0" xfId="0" applyNumberFormat="1" applyFont="1" applyFill="1" applyAlignment="1">
      <alignment horizontal="left" vertical="center"/>
    </xf>
    <xf numFmtId="0" fontId="31" fillId="17" borderId="0" xfId="0" applyFont="1" applyFill="1" applyAlignment="1">
      <alignment horizontal="center" vertical="center"/>
    </xf>
    <xf numFmtId="164" fontId="2" fillId="17" borderId="0" xfId="0" applyNumberFormat="1" applyFont="1" applyFill="1" applyAlignment="1">
      <alignment horizontal="center"/>
    </xf>
    <xf numFmtId="44" fontId="9" fillId="14" borderId="8" xfId="1" applyFont="1" applyFill="1" applyBorder="1" applyAlignment="1">
      <alignment horizontal="center" vertical="center"/>
    </xf>
    <xf numFmtId="183" fontId="9" fillId="14" borderId="8" xfId="1" applyNumberFormat="1" applyFont="1" applyFill="1" applyBorder="1" applyAlignment="1">
      <alignment horizontal="center" vertical="center"/>
    </xf>
    <xf numFmtId="0" fontId="2" fillId="14" borderId="8" xfId="0" applyFont="1" applyFill="1" applyBorder="1"/>
    <xf numFmtId="167" fontId="2" fillId="14" borderId="8" xfId="0" applyNumberFormat="1" applyFont="1" applyFill="1" applyBorder="1"/>
    <xf numFmtId="168" fontId="34" fillId="14" borderId="8" xfId="0" applyNumberFormat="1" applyFont="1" applyFill="1" applyBorder="1" applyAlignment="1">
      <alignment horizontal="center" vertical="center"/>
    </xf>
    <xf numFmtId="178" fontId="34" fillId="14" borderId="8" xfId="0" applyNumberFormat="1" applyFont="1" applyFill="1" applyBorder="1" applyAlignment="1">
      <alignment horizontal="left" vertical="center"/>
    </xf>
    <xf numFmtId="178" fontId="34" fillId="2" borderId="8" xfId="0" applyNumberFormat="1" applyFont="1" applyFill="1" applyBorder="1" applyAlignment="1">
      <alignment horizontal="left" vertical="center"/>
    </xf>
    <xf numFmtId="167" fontId="36" fillId="14" borderId="8" xfId="0" applyNumberFormat="1" applyFont="1" applyFill="1" applyBorder="1" applyAlignment="1">
      <alignment horizontal="left" vertical="center"/>
    </xf>
    <xf numFmtId="167" fontId="35" fillId="14" borderId="8" xfId="0" applyNumberFormat="1" applyFont="1" applyFill="1" applyBorder="1" applyAlignment="1">
      <alignment horizontal="left" vertical="center"/>
    </xf>
    <xf numFmtId="179" fontId="36" fillId="14" borderId="8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3" fillId="17" borderId="0" xfId="0" applyFont="1" applyFill="1" applyAlignment="1">
      <alignment horizontal="center" vertical="center"/>
    </xf>
    <xf numFmtId="0" fontId="6" fillId="15" borderId="8" xfId="0" applyFont="1" applyFill="1" applyBorder="1"/>
    <xf numFmtId="0" fontId="6" fillId="2" borderId="8" xfId="0" applyFont="1" applyFill="1" applyBorder="1"/>
    <xf numFmtId="0" fontId="6" fillId="16" borderId="8" xfId="0" applyFont="1" applyFill="1" applyBorder="1"/>
    <xf numFmtId="0" fontId="4" fillId="3" borderId="23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3" fontId="4" fillId="3" borderId="18" xfId="0" applyNumberFormat="1" applyFont="1" applyFill="1" applyBorder="1" applyAlignment="1">
      <alignment horizontal="center" vertical="center"/>
    </xf>
    <xf numFmtId="166" fontId="4" fillId="3" borderId="18" xfId="1" applyNumberFormat="1" applyFont="1" applyFill="1" applyBorder="1" applyAlignment="1">
      <alignment horizontal="center" vertical="center"/>
    </xf>
    <xf numFmtId="1" fontId="4" fillId="3" borderId="26" xfId="0" applyNumberFormat="1" applyFont="1" applyFill="1" applyBorder="1" applyAlignment="1">
      <alignment horizontal="center" vertical="center"/>
    </xf>
    <xf numFmtId="3" fontId="4" fillId="3" borderId="23" xfId="0" applyNumberFormat="1" applyFont="1" applyFill="1" applyBorder="1" applyAlignment="1">
      <alignment horizontal="center" vertical="center"/>
    </xf>
    <xf numFmtId="166" fontId="8" fillId="14" borderId="8" xfId="1" applyNumberFormat="1" applyFont="1" applyFill="1" applyBorder="1" applyAlignment="1">
      <alignment horizontal="center" vertical="center"/>
    </xf>
    <xf numFmtId="166" fontId="10" fillId="14" borderId="8" xfId="1" applyNumberFormat="1" applyFont="1" applyFill="1" applyBorder="1" applyAlignment="1">
      <alignment horizontal="center" vertical="center"/>
    </xf>
    <xf numFmtId="164" fontId="34" fillId="14" borderId="8" xfId="0" applyNumberFormat="1" applyFont="1" applyFill="1" applyBorder="1" applyAlignment="1">
      <alignment horizontal="center" vertical="center"/>
    </xf>
    <xf numFmtId="2" fontId="34" fillId="14" borderId="8" xfId="0" applyNumberFormat="1" applyFont="1" applyFill="1" applyBorder="1" applyAlignment="1">
      <alignment horizontal="center" vertical="center"/>
    </xf>
    <xf numFmtId="164" fontId="2" fillId="16" borderId="8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14" fontId="5" fillId="14" borderId="3" xfId="0" applyNumberFormat="1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left" vertical="center"/>
    </xf>
    <xf numFmtId="164" fontId="7" fillId="14" borderId="3" xfId="0" applyNumberFormat="1" applyFont="1" applyFill="1" applyBorder="1" applyAlignment="1">
      <alignment horizontal="center" vertical="center"/>
    </xf>
    <xf numFmtId="178" fontId="11" fillId="14" borderId="3" xfId="0" applyNumberFormat="1" applyFont="1" applyFill="1" applyBorder="1" applyAlignment="1">
      <alignment horizontal="left" vertical="center"/>
    </xf>
    <xf numFmtId="167" fontId="23" fillId="14" borderId="3" xfId="0" applyNumberFormat="1" applyFont="1" applyFill="1" applyBorder="1" applyAlignment="1">
      <alignment horizontal="left" vertical="center"/>
    </xf>
    <xf numFmtId="179" fontId="25" fillId="14" borderId="3" xfId="0" applyNumberFormat="1" applyFont="1" applyFill="1" applyBorder="1" applyAlignment="1">
      <alignment horizontal="left" vertical="center"/>
    </xf>
    <xf numFmtId="166" fontId="8" fillId="14" borderId="3" xfId="1" applyNumberFormat="1" applyFont="1" applyFill="1" applyBorder="1" applyAlignment="1">
      <alignment horizontal="center" vertical="center"/>
    </xf>
    <xf numFmtId="168" fontId="11" fillId="14" borderId="3" xfId="0" applyNumberFormat="1" applyFont="1" applyFill="1" applyBorder="1" applyAlignment="1">
      <alignment horizontal="center" vertical="center"/>
    </xf>
    <xf numFmtId="166" fontId="9" fillId="14" borderId="3" xfId="1" applyNumberFormat="1" applyFont="1" applyFill="1" applyBorder="1" applyAlignment="1">
      <alignment horizontal="center" vertical="center"/>
    </xf>
    <xf numFmtId="166" fontId="10" fillId="14" borderId="3" xfId="1" applyNumberFormat="1" applyFont="1" applyFill="1" applyBorder="1" applyAlignment="1">
      <alignment horizontal="center" vertical="center"/>
    </xf>
    <xf numFmtId="166" fontId="24" fillId="14" borderId="4" xfId="1" applyNumberFormat="1" applyFont="1" applyFill="1" applyBorder="1" applyAlignment="1">
      <alignment horizontal="left" vertical="center"/>
    </xf>
    <xf numFmtId="165" fontId="3" fillId="2" borderId="5" xfId="0" applyNumberFormat="1" applyFont="1" applyFill="1" applyBorder="1" applyAlignment="1">
      <alignment horizontal="center" vertical="center"/>
    </xf>
    <xf numFmtId="179" fontId="30" fillId="0" borderId="8" xfId="2" applyNumberFormat="1" applyFont="1" applyBorder="1" applyAlignment="1">
      <alignment vertical="center"/>
    </xf>
    <xf numFmtId="0" fontId="5" fillId="14" borderId="8" xfId="0" applyFont="1" applyFill="1" applyBorder="1" applyAlignment="1">
      <alignment horizontal="center" vertical="center"/>
    </xf>
    <xf numFmtId="169" fontId="28" fillId="0" borderId="30" xfId="0" applyNumberFormat="1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14" fontId="28" fillId="0" borderId="13" xfId="0" applyNumberFormat="1" applyFont="1" applyBorder="1" applyAlignment="1">
      <alignment horizontal="center"/>
    </xf>
    <xf numFmtId="0" fontId="28" fillId="0" borderId="65" xfId="0" applyFont="1" applyBorder="1" applyAlignment="1">
      <alignment horizontal="center"/>
    </xf>
    <xf numFmtId="0" fontId="28" fillId="0" borderId="46" xfId="0" applyFont="1" applyBorder="1" applyAlignment="1">
      <alignment horizontal="center"/>
    </xf>
    <xf numFmtId="0" fontId="28" fillId="0" borderId="44" xfId="0" applyFont="1" applyBorder="1" applyAlignment="1">
      <alignment horizontal="center"/>
    </xf>
    <xf numFmtId="0" fontId="28" fillId="0" borderId="45" xfId="0" applyFont="1" applyBorder="1" applyAlignment="1">
      <alignment horizontal="center"/>
    </xf>
    <xf numFmtId="0" fontId="28" fillId="0" borderId="62" xfId="0" applyFont="1" applyBorder="1" applyAlignment="1">
      <alignment horizontal="center"/>
    </xf>
    <xf numFmtId="170" fontId="20" fillId="0" borderId="102" xfId="0" applyNumberFormat="1" applyFont="1" applyBorder="1" applyAlignment="1">
      <alignment horizontal="center" vertical="center" wrapText="1"/>
    </xf>
    <xf numFmtId="0" fontId="20" fillId="0" borderId="103" xfId="0" applyFont="1" applyBorder="1" applyAlignment="1">
      <alignment horizontal="center" vertical="center" wrapText="1"/>
    </xf>
    <xf numFmtId="0" fontId="20" fillId="0" borderId="104" xfId="0" applyFont="1" applyBorder="1" applyAlignment="1">
      <alignment horizontal="center" vertical="center" wrapText="1"/>
    </xf>
    <xf numFmtId="0" fontId="20" fillId="0" borderId="105" xfId="0" applyFont="1" applyBorder="1" applyAlignment="1">
      <alignment horizontal="center" vertical="center" wrapText="1"/>
    </xf>
    <xf numFmtId="173" fontId="28" fillId="0" borderId="3" xfId="0" applyNumberFormat="1" applyFont="1" applyBorder="1" applyAlignment="1">
      <alignment horizontal="center"/>
    </xf>
    <xf numFmtId="171" fontId="28" fillId="0" borderId="3" xfId="0" applyNumberFormat="1" applyFont="1" applyBorder="1" applyAlignment="1">
      <alignment horizontal="center"/>
    </xf>
    <xf numFmtId="172" fontId="28" fillId="0" borderId="3" xfId="0" applyNumberFormat="1" applyFont="1" applyBorder="1" applyAlignment="1">
      <alignment horizontal="center"/>
    </xf>
    <xf numFmtId="170" fontId="20" fillId="0" borderId="106" xfId="0" applyNumberFormat="1" applyFont="1" applyBorder="1" applyAlignment="1">
      <alignment horizontal="center" vertical="center" wrapText="1"/>
    </xf>
    <xf numFmtId="0" fontId="20" fillId="0" borderId="107" xfId="0" applyFont="1" applyBorder="1" applyAlignment="1">
      <alignment horizontal="center" vertical="center" wrapText="1"/>
    </xf>
    <xf numFmtId="0" fontId="28" fillId="0" borderId="108" xfId="0" applyFont="1" applyBorder="1" applyAlignment="1">
      <alignment horizontal="center"/>
    </xf>
    <xf numFmtId="173" fontId="28" fillId="0" borderId="44" xfId="0" applyNumberFormat="1" applyFont="1" applyBorder="1" applyAlignment="1">
      <alignment horizontal="center"/>
    </xf>
    <xf numFmtId="171" fontId="28" fillId="0" borderId="44" xfId="0" applyNumberFormat="1" applyFont="1" applyBorder="1" applyAlignment="1">
      <alignment horizontal="center"/>
    </xf>
    <xf numFmtId="172" fontId="28" fillId="0" borderId="44" xfId="0" applyNumberFormat="1" applyFont="1" applyBorder="1" applyAlignment="1">
      <alignment horizontal="center"/>
    </xf>
    <xf numFmtId="170" fontId="20" fillId="0" borderId="109" xfId="0" applyNumberFormat="1" applyFont="1" applyBorder="1" applyAlignment="1">
      <alignment horizontal="center" vertical="center" wrapText="1"/>
    </xf>
    <xf numFmtId="0" fontId="20" fillId="0" borderId="110" xfId="0" applyFont="1" applyBorder="1" applyAlignment="1">
      <alignment horizontal="center" vertical="center" wrapText="1"/>
    </xf>
    <xf numFmtId="0" fontId="28" fillId="12" borderId="20" xfId="0" applyFont="1" applyFill="1" applyBorder="1" applyAlignment="1">
      <alignment horizontal="center"/>
    </xf>
    <xf numFmtId="0" fontId="28" fillId="12" borderId="21" xfId="0" applyFont="1" applyFill="1" applyBorder="1" applyAlignment="1">
      <alignment horizontal="center"/>
    </xf>
    <xf numFmtId="0" fontId="28" fillId="12" borderId="22" xfId="0" applyFont="1" applyFill="1" applyBorder="1" applyAlignment="1">
      <alignment horizontal="center"/>
    </xf>
    <xf numFmtId="0" fontId="28" fillId="12" borderId="16" xfId="0" applyFont="1" applyFill="1" applyBorder="1" applyAlignment="1">
      <alignment horizontal="center"/>
    </xf>
    <xf numFmtId="0" fontId="28" fillId="0" borderId="37" xfId="0" applyFont="1" applyBorder="1" applyAlignment="1">
      <alignment horizontal="center"/>
    </xf>
    <xf numFmtId="0" fontId="28" fillId="0" borderId="111" xfId="0" applyFont="1" applyBorder="1" applyAlignment="1">
      <alignment horizontal="center"/>
    </xf>
    <xf numFmtId="0" fontId="20" fillId="0" borderId="56" xfId="0" applyFont="1" applyBorder="1" applyAlignment="1">
      <alignment horizontal="center" vertical="center" wrapText="1"/>
    </xf>
    <xf numFmtId="0" fontId="28" fillId="0" borderId="112" xfId="0" applyFont="1" applyBorder="1" applyAlignment="1">
      <alignment horizontal="center"/>
    </xf>
    <xf numFmtId="0" fontId="28" fillId="0" borderId="66" xfId="0" applyFont="1" applyBorder="1" applyAlignment="1">
      <alignment horizontal="center"/>
    </xf>
    <xf numFmtId="0" fontId="20" fillId="0" borderId="51" xfId="0" applyFont="1" applyBorder="1" applyAlignment="1">
      <alignment horizontal="center" vertical="center" wrapText="1"/>
    </xf>
    <xf numFmtId="0" fontId="20" fillId="0" borderId="64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/>
    </xf>
    <xf numFmtId="174" fontId="14" fillId="12" borderId="44" xfId="0" applyNumberFormat="1" applyFont="1" applyFill="1" applyBorder="1" applyAlignment="1">
      <alignment horizontal="center"/>
    </xf>
    <xf numFmtId="170" fontId="14" fillId="12" borderId="44" xfId="0" applyNumberFormat="1" applyFont="1" applyFill="1" applyBorder="1" applyAlignment="1">
      <alignment horizontal="center"/>
    </xf>
    <xf numFmtId="173" fontId="14" fillId="12" borderId="44" xfId="0" applyNumberFormat="1" applyFont="1" applyFill="1" applyBorder="1" applyAlignment="1">
      <alignment horizontal="center"/>
    </xf>
    <xf numFmtId="172" fontId="14" fillId="12" borderId="44" xfId="0" applyNumberFormat="1" applyFont="1" applyFill="1" applyBorder="1" applyAlignment="1">
      <alignment horizontal="center"/>
    </xf>
    <xf numFmtId="0" fontId="28" fillId="12" borderId="113" xfId="0" applyFont="1" applyFill="1" applyBorder="1" applyAlignment="1">
      <alignment horizontal="center"/>
    </xf>
    <xf numFmtId="0" fontId="28" fillId="0" borderId="31" xfId="0" applyFont="1" applyBorder="1" applyAlignment="1">
      <alignment horizontal="center"/>
    </xf>
    <xf numFmtId="14" fontId="5" fillId="16" borderId="8" xfId="0" applyNumberFormat="1" applyFont="1" applyFill="1" applyBorder="1" applyAlignment="1">
      <alignment horizontal="center" vertical="center" wrapText="1"/>
    </xf>
    <xf numFmtId="164" fontId="28" fillId="0" borderId="0" xfId="0" applyNumberFormat="1" applyFont="1" applyAlignment="1">
      <alignment horizontal="center"/>
    </xf>
    <xf numFmtId="0" fontId="28" fillId="12" borderId="1" xfId="0" applyFont="1" applyFill="1" applyBorder="1" applyAlignment="1">
      <alignment horizontal="center"/>
    </xf>
    <xf numFmtId="174" fontId="14" fillId="5" borderId="13" xfId="0" applyNumberFormat="1" applyFont="1" applyFill="1" applyBorder="1" applyAlignment="1">
      <alignment horizontal="center"/>
    </xf>
    <xf numFmtId="170" fontId="14" fillId="5" borderId="13" xfId="0" applyNumberFormat="1" applyFont="1" applyFill="1" applyBorder="1" applyAlignment="1">
      <alignment horizontal="center"/>
    </xf>
    <xf numFmtId="173" fontId="14" fillId="5" borderId="13" xfId="0" applyNumberFormat="1" applyFont="1" applyFill="1" applyBorder="1" applyAlignment="1">
      <alignment horizontal="center"/>
    </xf>
    <xf numFmtId="0" fontId="28" fillId="5" borderId="13" xfId="0" applyFont="1" applyFill="1" applyBorder="1" applyAlignment="1">
      <alignment horizontal="center"/>
    </xf>
    <xf numFmtId="172" fontId="14" fillId="5" borderId="13" xfId="0" applyNumberFormat="1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0" fontId="28" fillId="5" borderId="17" xfId="0" applyFont="1" applyFill="1" applyBorder="1" applyAlignment="1">
      <alignment horizontal="center"/>
    </xf>
    <xf numFmtId="0" fontId="28" fillId="5" borderId="12" xfId="0" applyFont="1" applyFill="1" applyBorder="1" applyAlignment="1">
      <alignment horizontal="center"/>
    </xf>
    <xf numFmtId="0" fontId="28" fillId="5" borderId="14" xfId="0" applyFont="1" applyFill="1" applyBorder="1" applyAlignment="1">
      <alignment horizontal="center"/>
    </xf>
    <xf numFmtId="0" fontId="28" fillId="5" borderId="22" xfId="0" applyFont="1" applyFill="1" applyBorder="1" applyAlignment="1">
      <alignment horizontal="center"/>
    </xf>
    <xf numFmtId="0" fontId="28" fillId="12" borderId="17" xfId="0" applyFont="1" applyFill="1" applyBorder="1" applyAlignment="1">
      <alignment horizontal="center"/>
    </xf>
    <xf numFmtId="0" fontId="28" fillId="12" borderId="0" xfId="0" applyFont="1" applyFill="1" applyAlignment="1">
      <alignment horizontal="center"/>
    </xf>
    <xf numFmtId="164" fontId="28" fillId="0" borderId="7" xfId="0" applyNumberFormat="1" applyFont="1" applyBorder="1" applyAlignment="1">
      <alignment horizontal="center"/>
    </xf>
    <xf numFmtId="164" fontId="28" fillId="0" borderId="15" xfId="0" applyNumberFormat="1" applyFont="1" applyBorder="1" applyAlignment="1">
      <alignment horizontal="center"/>
    </xf>
    <xf numFmtId="170" fontId="28" fillId="0" borderId="44" xfId="0" applyNumberFormat="1" applyFont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0" borderId="114" xfId="0" applyFont="1" applyBorder="1" applyAlignment="1">
      <alignment horizontal="center"/>
    </xf>
    <xf numFmtId="170" fontId="20" fillId="0" borderId="3" xfId="0" applyNumberFormat="1" applyFont="1" applyBorder="1" applyAlignment="1">
      <alignment horizontal="center" vertical="center" wrapText="1"/>
    </xf>
    <xf numFmtId="14" fontId="5" fillId="14" borderId="0" xfId="0" applyNumberFormat="1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center" vertical="center"/>
    </xf>
    <xf numFmtId="0" fontId="17" fillId="0" borderId="116" xfId="0" applyFont="1" applyBorder="1" applyAlignment="1">
      <alignment horizontal="center" vertical="center" wrapText="1"/>
    </xf>
    <xf numFmtId="180" fontId="17" fillId="0" borderId="117" xfId="0" applyNumberFormat="1" applyFont="1" applyBorder="1" applyAlignment="1">
      <alignment horizontal="center" vertical="center" wrapText="1"/>
    </xf>
    <xf numFmtId="0" fontId="17" fillId="0" borderId="118" xfId="0" applyFont="1" applyBorder="1" applyAlignment="1">
      <alignment horizontal="center" vertical="center" wrapText="1"/>
    </xf>
    <xf numFmtId="180" fontId="17" fillId="0" borderId="119" xfId="0" applyNumberFormat="1" applyFont="1" applyBorder="1" applyAlignment="1">
      <alignment horizontal="center" vertical="center" wrapText="1"/>
    </xf>
    <xf numFmtId="0" fontId="17" fillId="0" borderId="120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115" xfId="0" applyFont="1" applyBorder="1" applyAlignment="1">
      <alignment horizontal="center" vertical="center" wrapText="1"/>
    </xf>
    <xf numFmtId="0" fontId="20" fillId="0" borderId="121" xfId="0" applyFont="1" applyBorder="1" applyAlignment="1">
      <alignment horizontal="center" vertical="center" wrapText="1"/>
    </xf>
    <xf numFmtId="184" fontId="27" fillId="0" borderId="3" xfId="0" applyNumberFormat="1" applyFont="1" applyBorder="1" applyAlignment="1">
      <alignment horizontal="center"/>
    </xf>
    <xf numFmtId="185" fontId="27" fillId="0" borderId="3" xfId="0" applyNumberFormat="1" applyFont="1" applyBorder="1" applyAlignment="1">
      <alignment horizontal="center"/>
    </xf>
    <xf numFmtId="0" fontId="20" fillId="0" borderId="60" xfId="0" applyFont="1" applyBorder="1" applyAlignment="1">
      <alignment horizontal="center" vertical="center" wrapText="1"/>
    </xf>
    <xf numFmtId="184" fontId="27" fillId="0" borderId="7" xfId="0" applyNumberFormat="1" applyFont="1" applyBorder="1" applyAlignment="1">
      <alignment horizontal="center"/>
    </xf>
    <xf numFmtId="185" fontId="27" fillId="0" borderId="7" xfId="0" applyNumberFormat="1" applyFont="1" applyBorder="1" applyAlignment="1">
      <alignment horizontal="center"/>
    </xf>
    <xf numFmtId="0" fontId="20" fillId="0" borderId="61" xfId="0" applyFont="1" applyBorder="1" applyAlignment="1">
      <alignment horizontal="center" vertical="center" wrapText="1"/>
    </xf>
    <xf numFmtId="184" fontId="27" fillId="0" borderId="44" xfId="0" applyNumberFormat="1" applyFont="1" applyBorder="1" applyAlignment="1">
      <alignment horizontal="center"/>
    </xf>
    <xf numFmtId="185" fontId="27" fillId="0" borderId="44" xfId="0" applyNumberFormat="1" applyFont="1" applyBorder="1" applyAlignment="1">
      <alignment horizontal="center"/>
    </xf>
    <xf numFmtId="4" fontId="14" fillId="12" borderId="13" xfId="0" applyNumberFormat="1" applyFont="1" applyFill="1" applyBorder="1" applyAlignment="1">
      <alignment horizontal="center"/>
    </xf>
    <xf numFmtId="4" fontId="14" fillId="12" borderId="14" xfId="0" applyNumberFormat="1" applyFont="1" applyFill="1" applyBorder="1" applyAlignment="1">
      <alignment horizontal="center"/>
    </xf>
    <xf numFmtId="4" fontId="14" fillId="12" borderId="58" xfId="0" applyNumberFormat="1" applyFont="1" applyFill="1" applyBorder="1" applyAlignment="1">
      <alignment horizontal="center"/>
    </xf>
    <xf numFmtId="4" fontId="14" fillId="12" borderId="28" xfId="0" applyNumberFormat="1" applyFont="1" applyFill="1" applyBorder="1" applyAlignment="1">
      <alignment horizontal="center"/>
    </xf>
    <xf numFmtId="4" fontId="14" fillId="12" borderId="18" xfId="0" applyNumberFormat="1" applyFont="1" applyFill="1" applyBorder="1" applyAlignment="1">
      <alignment horizontal="center"/>
    </xf>
    <xf numFmtId="4" fontId="14" fillId="12" borderId="26" xfId="0" applyNumberFormat="1" applyFont="1" applyFill="1" applyBorder="1" applyAlignment="1">
      <alignment horizontal="center"/>
    </xf>
    <xf numFmtId="0" fontId="20" fillId="0" borderId="63" xfId="0" applyFont="1" applyBorder="1" applyAlignment="1">
      <alignment horizontal="center" vertical="center" wrapText="1"/>
    </xf>
    <xf numFmtId="4" fontId="14" fillId="0" borderId="3" xfId="0" applyNumberFormat="1" applyFont="1" applyBorder="1" applyAlignment="1">
      <alignment horizontal="center"/>
    </xf>
    <xf numFmtId="4" fontId="14" fillId="0" borderId="4" xfId="0" applyNumberFormat="1" applyFont="1" applyBorder="1" applyAlignment="1">
      <alignment horizontal="center"/>
    </xf>
    <xf numFmtId="4" fontId="14" fillId="0" borderId="8" xfId="0" applyNumberFormat="1" applyFont="1" applyBorder="1" applyAlignment="1">
      <alignment horizontal="center"/>
    </xf>
    <xf numFmtId="4" fontId="14" fillId="0" borderId="10" xfId="0" applyNumberFormat="1" applyFont="1" applyBorder="1" applyAlignment="1">
      <alignment horizontal="center"/>
    </xf>
    <xf numFmtId="0" fontId="20" fillId="0" borderId="99" xfId="0" applyFont="1" applyBorder="1" applyAlignment="1">
      <alignment horizontal="center" vertical="center" wrapText="1"/>
    </xf>
    <xf numFmtId="4" fontId="14" fillId="0" borderId="5" xfId="0" applyNumberFormat="1" applyFont="1" applyBorder="1" applyAlignment="1">
      <alignment horizontal="center"/>
    </xf>
    <xf numFmtId="4" fontId="14" fillId="0" borderId="6" xfId="0" applyNumberFormat="1" applyFont="1" applyBorder="1" applyAlignment="1">
      <alignment horizontal="center"/>
    </xf>
    <xf numFmtId="4" fontId="14" fillId="12" borderId="20" xfId="0" applyNumberFormat="1" applyFont="1" applyFill="1" applyBorder="1" applyAlignment="1">
      <alignment horizontal="center"/>
    </xf>
    <xf numFmtId="4" fontId="14" fillId="12" borderId="21" xfId="0" applyNumberFormat="1" applyFont="1" applyFill="1" applyBorder="1" applyAlignment="1">
      <alignment horizontal="center"/>
    </xf>
    <xf numFmtId="4" fontId="14" fillId="12" borderId="22" xfId="0" applyNumberFormat="1" applyFont="1" applyFill="1" applyBorder="1" applyAlignment="1">
      <alignment horizontal="center"/>
    </xf>
    <xf numFmtId="4" fontId="14" fillId="12" borderId="34" xfId="0" applyNumberFormat="1" applyFont="1" applyFill="1" applyBorder="1" applyAlignment="1">
      <alignment horizontal="center"/>
    </xf>
    <xf numFmtId="0" fontId="20" fillId="0" borderId="108" xfId="0" applyFont="1" applyBorder="1" applyAlignment="1">
      <alignment horizontal="center" vertical="center" wrapText="1"/>
    </xf>
    <xf numFmtId="4" fontId="14" fillId="12" borderId="49" xfId="0" applyNumberFormat="1" applyFont="1" applyFill="1" applyBorder="1" applyAlignment="1">
      <alignment horizontal="center"/>
    </xf>
    <xf numFmtId="4" fontId="14" fillId="12" borderId="70" xfId="0" applyNumberFormat="1" applyFont="1" applyFill="1" applyBorder="1" applyAlignment="1">
      <alignment horizontal="center"/>
    </xf>
    <xf numFmtId="4" fontId="14" fillId="12" borderId="100" xfId="0" applyNumberFormat="1" applyFont="1" applyFill="1" applyBorder="1" applyAlignment="1">
      <alignment horizontal="center"/>
    </xf>
    <xf numFmtId="4" fontId="14" fillId="12" borderId="101" xfId="0" applyNumberFormat="1" applyFont="1" applyFill="1" applyBorder="1" applyAlignment="1">
      <alignment horizontal="center"/>
    </xf>
    <xf numFmtId="4" fontId="14" fillId="12" borderId="50" xfId="0" applyNumberFormat="1" applyFont="1" applyFill="1" applyBorder="1" applyAlignment="1">
      <alignment horizontal="center"/>
    </xf>
    <xf numFmtId="0" fontId="28" fillId="10" borderId="12" xfId="0" applyFont="1" applyFill="1" applyBorder="1" applyAlignment="1">
      <alignment horizontal="center"/>
    </xf>
    <xf numFmtId="4" fontId="14" fillId="10" borderId="20" xfId="0" applyNumberFormat="1" applyFont="1" applyFill="1" applyBorder="1" applyAlignment="1">
      <alignment horizontal="center"/>
    </xf>
    <xf numFmtId="4" fontId="14" fillId="10" borderId="21" xfId="0" applyNumberFormat="1" applyFont="1" applyFill="1" applyBorder="1" applyAlignment="1">
      <alignment horizontal="center"/>
    </xf>
    <xf numFmtId="4" fontId="14" fillId="10" borderId="22" xfId="0" applyNumberFormat="1" applyFont="1" applyFill="1" applyBorder="1" applyAlignment="1">
      <alignment horizontal="center"/>
    </xf>
    <xf numFmtId="4" fontId="14" fillId="10" borderId="14" xfId="0" applyNumberFormat="1" applyFont="1" applyFill="1" applyBorder="1" applyAlignment="1">
      <alignment horizontal="center"/>
    </xf>
    <xf numFmtId="4" fontId="14" fillId="12" borderId="12" xfId="0" applyNumberFormat="1" applyFont="1" applyFill="1" applyBorder="1" applyAlignment="1">
      <alignment horizontal="center"/>
    </xf>
    <xf numFmtId="4" fontId="28" fillId="0" borderId="8" xfId="0" applyNumberFormat="1" applyFont="1" applyBorder="1" applyAlignment="1">
      <alignment horizontal="center" vertical="center"/>
    </xf>
    <xf numFmtId="2" fontId="28" fillId="0" borderId="18" xfId="0" applyNumberFormat="1" applyFont="1" applyBorder="1" applyAlignment="1">
      <alignment horizontal="center"/>
    </xf>
    <xf numFmtId="171" fontId="28" fillId="0" borderId="3" xfId="0" applyNumberFormat="1" applyFont="1" applyBorder="1" applyAlignment="1">
      <alignment horizontal="center" vertical="center"/>
    </xf>
    <xf numFmtId="2" fontId="28" fillId="0" borderId="8" xfId="0" applyNumberFormat="1" applyFont="1" applyBorder="1" applyAlignment="1">
      <alignment horizontal="center"/>
    </xf>
    <xf numFmtId="0" fontId="28" fillId="18" borderId="23" xfId="0" applyFont="1" applyFill="1" applyBorder="1" applyAlignment="1">
      <alignment horizontal="center"/>
    </xf>
    <xf numFmtId="0" fontId="28" fillId="18" borderId="18" xfId="0" applyFont="1" applyFill="1" applyBorder="1" applyAlignment="1">
      <alignment horizontal="center"/>
    </xf>
    <xf numFmtId="174" fontId="14" fillId="18" borderId="18" xfId="0" applyNumberFormat="1" applyFont="1" applyFill="1" applyBorder="1" applyAlignment="1">
      <alignment horizontal="center"/>
    </xf>
    <xf numFmtId="170" fontId="14" fillId="18" borderId="18" xfId="0" applyNumberFormat="1" applyFont="1" applyFill="1" applyBorder="1" applyAlignment="1">
      <alignment horizontal="center"/>
    </xf>
    <xf numFmtId="0" fontId="14" fillId="18" borderId="18" xfId="0" applyFont="1" applyFill="1" applyBorder="1" applyAlignment="1">
      <alignment horizontal="center"/>
    </xf>
    <xf numFmtId="172" fontId="14" fillId="18" borderId="18" xfId="0" applyNumberFormat="1" applyFont="1" applyFill="1" applyBorder="1" applyAlignment="1">
      <alignment horizontal="center"/>
    </xf>
    <xf numFmtId="0" fontId="28" fillId="18" borderId="26" xfId="0" applyFont="1" applyFill="1" applyBorder="1" applyAlignment="1">
      <alignment horizontal="center"/>
    </xf>
    <xf numFmtId="0" fontId="28" fillId="18" borderId="27" xfId="0" applyFont="1" applyFill="1" applyBorder="1" applyAlignment="1">
      <alignment horizontal="center"/>
    </xf>
    <xf numFmtId="0" fontId="28" fillId="18" borderId="28" xfId="0" applyFont="1" applyFill="1" applyBorder="1" applyAlignment="1">
      <alignment horizontal="center"/>
    </xf>
    <xf numFmtId="2" fontId="28" fillId="0" borderId="5" xfId="0" applyNumberFormat="1" applyFont="1" applyBorder="1" applyAlignment="1">
      <alignment horizontal="center"/>
    </xf>
    <xf numFmtId="0" fontId="28" fillId="18" borderId="12" xfId="0" applyFont="1" applyFill="1" applyBorder="1" applyAlignment="1">
      <alignment horizontal="center"/>
    </xf>
    <xf numFmtId="0" fontId="28" fillId="18" borderId="13" xfId="0" applyFont="1" applyFill="1" applyBorder="1" applyAlignment="1">
      <alignment horizontal="center"/>
    </xf>
    <xf numFmtId="174" fontId="14" fillId="18" borderId="13" xfId="0" applyNumberFormat="1" applyFont="1" applyFill="1" applyBorder="1" applyAlignment="1">
      <alignment horizontal="center"/>
    </xf>
    <xf numFmtId="170" fontId="14" fillId="18" borderId="13" xfId="0" applyNumberFormat="1" applyFont="1" applyFill="1" applyBorder="1" applyAlignment="1">
      <alignment horizontal="center"/>
    </xf>
    <xf numFmtId="0" fontId="14" fillId="18" borderId="13" xfId="0" applyFont="1" applyFill="1" applyBorder="1" applyAlignment="1">
      <alignment horizontal="center"/>
    </xf>
    <xf numFmtId="172" fontId="14" fillId="18" borderId="13" xfId="0" applyNumberFormat="1" applyFont="1" applyFill="1" applyBorder="1" applyAlignment="1">
      <alignment horizontal="center"/>
    </xf>
    <xf numFmtId="0" fontId="28" fillId="18" borderId="17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18" borderId="14" xfId="0" applyFont="1" applyFill="1" applyBorder="1" applyAlignment="1">
      <alignment horizontal="center"/>
    </xf>
    <xf numFmtId="0" fontId="28" fillId="18" borderId="22" xfId="0" applyFont="1" applyFill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0" fontId="28" fillId="18" borderId="48" xfId="0" applyFont="1" applyFill="1" applyBorder="1" applyAlignment="1">
      <alignment horizontal="center"/>
    </xf>
    <xf numFmtId="0" fontId="28" fillId="18" borderId="49" xfId="0" applyFont="1" applyFill="1" applyBorder="1" applyAlignment="1">
      <alignment horizontal="center"/>
    </xf>
    <xf numFmtId="0" fontId="28" fillId="18" borderId="50" xfId="0" applyFont="1" applyFill="1" applyBorder="1" applyAlignment="1">
      <alignment horizontal="center"/>
    </xf>
    <xf numFmtId="0" fontId="28" fillId="18" borderId="101" xfId="0" applyFont="1" applyFill="1" applyBorder="1" applyAlignment="1">
      <alignment horizontal="center"/>
    </xf>
    <xf numFmtId="0" fontId="28" fillId="18" borderId="1" xfId="0" applyFont="1" applyFill="1" applyBorder="1" applyAlignment="1">
      <alignment horizontal="center"/>
    </xf>
    <xf numFmtId="172" fontId="14" fillId="4" borderId="18" xfId="0" applyNumberFormat="1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28" fillId="4" borderId="23" xfId="0" applyFont="1" applyFill="1" applyBorder="1" applyAlignment="1">
      <alignment horizontal="center"/>
    </xf>
    <xf numFmtId="174" fontId="14" fillId="18" borderId="49" xfId="0" applyNumberFormat="1" applyFont="1" applyFill="1" applyBorder="1" applyAlignment="1">
      <alignment horizontal="center"/>
    </xf>
    <xf numFmtId="170" fontId="14" fillId="18" borderId="49" xfId="0" applyNumberFormat="1" applyFont="1" applyFill="1" applyBorder="1" applyAlignment="1">
      <alignment horizontal="center"/>
    </xf>
    <xf numFmtId="0" fontId="14" fillId="18" borderId="49" xfId="0" applyFont="1" applyFill="1" applyBorder="1" applyAlignment="1">
      <alignment horizontal="center"/>
    </xf>
    <xf numFmtId="172" fontId="14" fillId="18" borderId="49" xfId="0" applyNumberFormat="1" applyFont="1" applyFill="1" applyBorder="1" applyAlignment="1">
      <alignment horizontal="center"/>
    </xf>
    <xf numFmtId="0" fontId="28" fillId="18" borderId="0" xfId="0" applyFont="1" applyFill="1" applyAlignment="1">
      <alignment horizontal="center"/>
    </xf>
    <xf numFmtId="49" fontId="28" fillId="0" borderId="3" xfId="0" applyNumberFormat="1" applyFont="1" applyBorder="1" applyAlignment="1">
      <alignment horizontal="center"/>
    </xf>
    <xf numFmtId="174" fontId="28" fillId="0" borderId="3" xfId="0" applyNumberFormat="1" applyFont="1" applyBorder="1" applyAlignment="1">
      <alignment horizontal="center"/>
    </xf>
    <xf numFmtId="171" fontId="28" fillId="0" borderId="18" xfId="0" applyNumberFormat="1" applyFont="1" applyBorder="1" applyAlignment="1">
      <alignment horizontal="center" vertical="center"/>
    </xf>
    <xf numFmtId="172" fontId="28" fillId="0" borderId="18" xfId="0" applyNumberFormat="1" applyFont="1" applyBorder="1" applyAlignment="1">
      <alignment horizontal="center"/>
    </xf>
    <xf numFmtId="0" fontId="20" fillId="0" borderId="1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49" fontId="28" fillId="0" borderId="5" xfId="0" applyNumberFormat="1" applyFont="1" applyBorder="1" applyAlignment="1">
      <alignment horizontal="center"/>
    </xf>
    <xf numFmtId="174" fontId="28" fillId="0" borderId="5" xfId="0" applyNumberFormat="1" applyFont="1" applyBorder="1" applyAlignment="1">
      <alignment horizontal="center"/>
    </xf>
    <xf numFmtId="2" fontId="28" fillId="0" borderId="44" xfId="0" applyNumberFormat="1" applyFont="1" applyBorder="1" applyAlignment="1">
      <alignment horizontal="center"/>
    </xf>
    <xf numFmtId="171" fontId="28" fillId="0" borderId="44" xfId="0" applyNumberFormat="1" applyFont="1" applyBorder="1" applyAlignment="1">
      <alignment horizontal="center" vertical="center"/>
    </xf>
    <xf numFmtId="170" fontId="20" fillId="0" borderId="122" xfId="0" applyNumberFormat="1" applyFont="1" applyBorder="1" applyAlignment="1">
      <alignment horizontal="center" vertical="center" wrapText="1"/>
    </xf>
    <xf numFmtId="0" fontId="20" fillId="0" borderId="123" xfId="0" applyFont="1" applyBorder="1" applyAlignment="1">
      <alignment horizontal="center" vertical="center" wrapText="1"/>
    </xf>
    <xf numFmtId="0" fontId="28" fillId="18" borderId="124" xfId="0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2" fontId="28" fillId="0" borderId="49" xfId="0" applyNumberFormat="1" applyFont="1" applyBorder="1" applyAlignment="1">
      <alignment horizontal="center"/>
    </xf>
    <xf numFmtId="0" fontId="28" fillId="18" borderId="21" xfId="0" applyFont="1" applyFill="1" applyBorder="1" applyAlignment="1">
      <alignment horizontal="center"/>
    </xf>
    <xf numFmtId="0" fontId="28" fillId="18" borderId="46" xfId="0" applyFont="1" applyFill="1" applyBorder="1" applyAlignment="1">
      <alignment horizontal="center"/>
    </xf>
    <xf numFmtId="0" fontId="28" fillId="18" borderId="44" xfId="0" applyFont="1" applyFill="1" applyBorder="1" applyAlignment="1">
      <alignment horizontal="center"/>
    </xf>
    <xf numFmtId="0" fontId="28" fillId="18" borderId="45" xfId="0" applyFont="1" applyFill="1" applyBorder="1" applyAlignment="1">
      <alignment horizontal="center"/>
    </xf>
    <xf numFmtId="0" fontId="28" fillId="18" borderId="62" xfId="0" applyFont="1" applyFill="1" applyBorder="1" applyAlignment="1">
      <alignment horizontal="center"/>
    </xf>
    <xf numFmtId="172" fontId="14" fillId="4" borderId="13" xfId="0" applyNumberFormat="1" applyFont="1" applyFill="1" applyBorder="1" applyAlignment="1">
      <alignment horizontal="center"/>
    </xf>
    <xf numFmtId="0" fontId="28" fillId="4" borderId="16" xfId="0" applyFont="1" applyFill="1" applyBorder="1" applyAlignment="1">
      <alignment horizontal="center"/>
    </xf>
    <xf numFmtId="0" fontId="14" fillId="13" borderId="13" xfId="0" applyFont="1" applyFill="1" applyBorder="1" applyAlignment="1">
      <alignment horizontal="center"/>
    </xf>
    <xf numFmtId="0" fontId="28" fillId="13" borderId="16" xfId="0" applyFont="1" applyFill="1" applyBorder="1" applyAlignment="1">
      <alignment horizontal="center"/>
    </xf>
    <xf numFmtId="184" fontId="27" fillId="0" borderId="8" xfId="0" applyNumberFormat="1" applyFont="1" applyBorder="1" applyAlignment="1">
      <alignment horizontal="center"/>
    </xf>
    <xf numFmtId="185" fontId="27" fillId="0" borderId="8" xfId="0" applyNumberFormat="1" applyFont="1" applyBorder="1" applyAlignment="1">
      <alignment horizontal="center"/>
    </xf>
    <xf numFmtId="184" fontId="27" fillId="0" borderId="5" xfId="0" applyNumberFormat="1" applyFont="1" applyBorder="1" applyAlignment="1">
      <alignment horizontal="center"/>
    </xf>
    <xf numFmtId="185" fontId="27" fillId="0" borderId="5" xfId="0" applyNumberFormat="1" applyFont="1" applyBorder="1" applyAlignment="1">
      <alignment horizontal="center"/>
    </xf>
    <xf numFmtId="14" fontId="28" fillId="0" borderId="18" xfId="0" applyNumberFormat="1" applyFont="1" applyBorder="1" applyAlignment="1">
      <alignment horizontal="center"/>
    </xf>
    <xf numFmtId="4" fontId="14" fillId="0" borderId="18" xfId="0" applyNumberFormat="1" applyFont="1" applyBorder="1" applyAlignment="1">
      <alignment horizontal="center"/>
    </xf>
    <xf numFmtId="4" fontId="14" fillId="0" borderId="26" xfId="0" applyNumberFormat="1" applyFont="1" applyBorder="1" applyAlignment="1">
      <alignment horizontal="center"/>
    </xf>
    <xf numFmtId="4" fontId="14" fillId="0" borderId="44" xfId="0" applyNumberFormat="1" applyFont="1" applyBorder="1" applyAlignment="1">
      <alignment horizontal="center"/>
    </xf>
    <xf numFmtId="4" fontId="14" fillId="0" borderId="45" xfId="0" applyNumberFormat="1" applyFont="1" applyBorder="1" applyAlignment="1">
      <alignment horizontal="center"/>
    </xf>
    <xf numFmtId="169" fontId="28" fillId="0" borderId="25" xfId="0" applyNumberFormat="1" applyFont="1" applyBorder="1" applyAlignment="1">
      <alignment horizontal="center"/>
    </xf>
    <xf numFmtId="1" fontId="28" fillId="0" borderId="25" xfId="0" applyNumberFormat="1" applyFont="1" applyBorder="1" applyAlignment="1">
      <alignment horizontal="center"/>
    </xf>
    <xf numFmtId="164" fontId="28" fillId="0" borderId="25" xfId="0" applyNumberFormat="1" applyFont="1" applyBorder="1" applyAlignment="1">
      <alignment horizontal="center" wrapText="1"/>
    </xf>
    <xf numFmtId="169" fontId="28" fillId="0" borderId="47" xfId="0" applyNumberFormat="1" applyFont="1" applyBorder="1" applyAlignment="1">
      <alignment horizontal="center"/>
    </xf>
    <xf numFmtId="1" fontId="28" fillId="0" borderId="47" xfId="0" applyNumberFormat="1" applyFont="1" applyBorder="1" applyAlignment="1">
      <alignment horizontal="center"/>
    </xf>
    <xf numFmtId="164" fontId="28" fillId="0" borderId="47" xfId="0" applyNumberFormat="1" applyFont="1" applyBorder="1" applyAlignment="1">
      <alignment horizontal="center" wrapText="1"/>
    </xf>
    <xf numFmtId="184" fontId="27" fillId="0" borderId="15" xfId="0" applyNumberFormat="1" applyFont="1" applyBorder="1" applyAlignment="1">
      <alignment horizontal="center"/>
    </xf>
    <xf numFmtId="185" fontId="27" fillId="0" borderId="15" xfId="0" applyNumberFormat="1" applyFont="1" applyBorder="1" applyAlignment="1">
      <alignment horizontal="center"/>
    </xf>
    <xf numFmtId="4" fontId="14" fillId="0" borderId="15" xfId="0" applyNumberFormat="1" applyFont="1" applyBorder="1" applyAlignment="1">
      <alignment horizontal="center"/>
    </xf>
    <xf numFmtId="4" fontId="14" fillId="0" borderId="32" xfId="0" applyNumberFormat="1" applyFont="1" applyBorder="1" applyAlignment="1">
      <alignment horizontal="center"/>
    </xf>
    <xf numFmtId="4" fontId="14" fillId="12" borderId="44" xfId="0" applyNumberFormat="1" applyFont="1" applyFill="1" applyBorder="1" applyAlignment="1">
      <alignment horizontal="center"/>
    </xf>
    <xf numFmtId="4" fontId="14" fillId="12" borderId="113" xfId="0" applyNumberFormat="1" applyFont="1" applyFill="1" applyBorder="1" applyAlignment="1">
      <alignment horizontal="center"/>
    </xf>
    <xf numFmtId="4" fontId="14" fillId="12" borderId="65" xfId="0" applyNumberFormat="1" applyFont="1" applyFill="1" applyBorder="1" applyAlignment="1">
      <alignment horizontal="center"/>
    </xf>
    <xf numFmtId="4" fontId="14" fillId="12" borderId="62" xfId="0" applyNumberFormat="1" applyFont="1" applyFill="1" applyBorder="1" applyAlignment="1">
      <alignment horizontal="center"/>
    </xf>
    <xf numFmtId="4" fontId="14" fillId="12" borderId="45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13" borderId="0" xfId="0" applyFont="1" applyFill="1" applyAlignment="1">
      <alignment horizontal="center"/>
    </xf>
    <xf numFmtId="180" fontId="17" fillId="0" borderId="80" xfId="0" applyNumberFormat="1" applyFont="1" applyBorder="1" applyAlignment="1">
      <alignment horizontal="center" vertical="center" wrapText="1"/>
    </xf>
    <xf numFmtId="180" fontId="17" fillId="0" borderId="125" xfId="0" applyNumberFormat="1" applyFont="1" applyBorder="1" applyAlignment="1">
      <alignment horizontal="center" vertical="center" wrapText="1"/>
    </xf>
    <xf numFmtId="173" fontId="14" fillId="4" borderId="13" xfId="0" applyNumberFormat="1" applyFont="1" applyFill="1" applyBorder="1" applyAlignment="1">
      <alignment horizontal="center"/>
    </xf>
    <xf numFmtId="0" fontId="28" fillId="4" borderId="58" xfId="0" applyFont="1" applyFill="1" applyBorder="1" applyAlignment="1">
      <alignment horizontal="center"/>
    </xf>
    <xf numFmtId="0" fontId="28" fillId="4" borderId="100" xfId="0" applyFont="1" applyFill="1" applyBorder="1" applyAlignment="1">
      <alignment horizontal="center"/>
    </xf>
    <xf numFmtId="0" fontId="28" fillId="0" borderId="100" xfId="0" applyFont="1" applyBorder="1" applyAlignment="1">
      <alignment horizontal="center"/>
    </xf>
    <xf numFmtId="0" fontId="20" fillId="0" borderId="5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/>
    </xf>
    <xf numFmtId="173" fontId="28" fillId="0" borderId="8" xfId="0" applyNumberFormat="1" applyFont="1" applyBorder="1" applyAlignment="1">
      <alignment horizontal="center"/>
    </xf>
    <xf numFmtId="173" fontId="28" fillId="0" borderId="15" xfId="0" applyNumberFormat="1" applyFont="1" applyBorder="1" applyAlignment="1">
      <alignment horizontal="center"/>
    </xf>
    <xf numFmtId="0" fontId="20" fillId="0" borderId="32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/>
    </xf>
    <xf numFmtId="0" fontId="28" fillId="4" borderId="101" xfId="0" applyFont="1" applyFill="1" applyBorder="1" applyAlignment="1">
      <alignment horizontal="center"/>
    </xf>
    <xf numFmtId="0" fontId="28" fillId="4" borderId="49" xfId="0" applyFont="1" applyFill="1" applyBorder="1" applyAlignment="1">
      <alignment horizontal="center"/>
    </xf>
    <xf numFmtId="0" fontId="28" fillId="4" borderId="50" xfId="0" applyFont="1" applyFill="1" applyBorder="1" applyAlignment="1">
      <alignment horizontal="center"/>
    </xf>
    <xf numFmtId="0" fontId="28" fillId="4" borderId="44" xfId="0" applyFont="1" applyFill="1" applyBorder="1" applyAlignment="1">
      <alignment horizontal="center"/>
    </xf>
    <xf numFmtId="0" fontId="28" fillId="4" borderId="62" xfId="0" applyFont="1" applyFill="1" applyBorder="1" applyAlignment="1">
      <alignment horizontal="center"/>
    </xf>
    <xf numFmtId="0" fontId="28" fillId="4" borderId="45" xfId="0" applyFont="1" applyFill="1" applyBorder="1" applyAlignment="1">
      <alignment horizontal="center"/>
    </xf>
    <xf numFmtId="0" fontId="28" fillId="6" borderId="12" xfId="0" applyFont="1" applyFill="1" applyBorder="1" applyAlignment="1">
      <alignment horizontal="center"/>
    </xf>
    <xf numFmtId="0" fontId="28" fillId="6" borderId="13" xfId="0" applyFont="1" applyFill="1" applyBorder="1" applyAlignment="1">
      <alignment horizontal="center"/>
    </xf>
    <xf numFmtId="174" fontId="14" fillId="6" borderId="13" xfId="0" applyNumberFormat="1" applyFont="1" applyFill="1" applyBorder="1" applyAlignment="1">
      <alignment horizontal="center"/>
    </xf>
    <xf numFmtId="173" fontId="14" fillId="6" borderId="13" xfId="0" applyNumberFormat="1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172" fontId="14" fillId="6" borderId="13" xfId="0" applyNumberFormat="1" applyFont="1" applyFill="1" applyBorder="1" applyAlignment="1">
      <alignment horizontal="center"/>
    </xf>
    <xf numFmtId="0" fontId="28" fillId="6" borderId="20" xfId="0" applyFont="1" applyFill="1" applyBorder="1" applyAlignment="1">
      <alignment horizontal="center"/>
    </xf>
    <xf numFmtId="0" fontId="28" fillId="6" borderId="21" xfId="0" applyFont="1" applyFill="1" applyBorder="1" applyAlignment="1">
      <alignment horizontal="center"/>
    </xf>
    <xf numFmtId="0" fontId="28" fillId="6" borderId="22" xfId="0" applyFont="1" applyFill="1" applyBorder="1" applyAlignment="1">
      <alignment horizontal="center"/>
    </xf>
    <xf numFmtId="0" fontId="28" fillId="6" borderId="14" xfId="0" applyFont="1" applyFill="1" applyBorder="1" applyAlignment="1">
      <alignment horizontal="center"/>
    </xf>
    <xf numFmtId="14" fontId="5" fillId="14" borderId="8" xfId="0" applyNumberFormat="1" applyFont="1" applyFill="1" applyBorder="1" applyAlignment="1">
      <alignment horizontal="center" vertical="center" wrapText="1"/>
    </xf>
    <xf numFmtId="164" fontId="7" fillId="14" borderId="60" xfId="0" applyNumberFormat="1" applyFont="1" applyFill="1" applyBorder="1" applyAlignment="1">
      <alignment horizontal="center" vertical="center"/>
    </xf>
    <xf numFmtId="167" fontId="37" fillId="19" borderId="8" xfId="0" applyNumberFormat="1" applyFont="1" applyFill="1" applyBorder="1" applyAlignment="1">
      <alignment horizontal="left" vertical="center"/>
    </xf>
    <xf numFmtId="179" fontId="37" fillId="19" borderId="8" xfId="0" applyNumberFormat="1" applyFont="1" applyFill="1" applyBorder="1" applyAlignment="1">
      <alignment horizontal="left" vertical="center"/>
    </xf>
    <xf numFmtId="14" fontId="5" fillId="15" borderId="8" xfId="0" applyNumberFormat="1" applyFont="1" applyFill="1" applyBorder="1" applyAlignment="1">
      <alignment horizontal="center" vertical="center" wrapText="1"/>
    </xf>
    <xf numFmtId="0" fontId="2" fillId="15" borderId="0" xfId="0" applyFont="1" applyFill="1"/>
    <xf numFmtId="164" fontId="7" fillId="15" borderId="60" xfId="0" applyNumberFormat="1" applyFont="1" applyFill="1" applyBorder="1" applyAlignment="1">
      <alignment horizontal="center" vertical="center"/>
    </xf>
    <xf numFmtId="167" fontId="35" fillId="14" borderId="0" xfId="0" applyNumberFormat="1" applyFont="1" applyFill="1" applyAlignment="1">
      <alignment horizontal="left" vertical="center"/>
    </xf>
    <xf numFmtId="166" fontId="2" fillId="14" borderId="0" xfId="0" applyNumberFormat="1" applyFont="1" applyFill="1"/>
    <xf numFmtId="186" fontId="9" fillId="14" borderId="8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8" borderId="0" xfId="0" applyFont="1" applyFill="1" applyAlignment="1">
      <alignment horizontal="center" vertical="center"/>
    </xf>
    <xf numFmtId="164" fontId="34" fillId="14" borderId="0" xfId="0" applyNumberFormat="1" applyFont="1" applyFill="1" applyAlignment="1">
      <alignment horizontal="center" vertical="center"/>
    </xf>
    <xf numFmtId="179" fontId="2" fillId="14" borderId="0" xfId="0" applyNumberFormat="1" applyFont="1" applyFill="1"/>
    <xf numFmtId="179" fontId="2" fillId="2" borderId="0" xfId="0" applyNumberFormat="1" applyFont="1" applyFill="1"/>
    <xf numFmtId="179" fontId="25" fillId="14" borderId="8" xfId="0" applyNumberFormat="1" applyFont="1" applyFill="1" applyBorder="1" applyAlignment="1">
      <alignment horizontal="left" vertical="center"/>
    </xf>
    <xf numFmtId="167" fontId="23" fillId="14" borderId="10" xfId="0" applyNumberFormat="1" applyFont="1" applyFill="1" applyBorder="1" applyAlignment="1">
      <alignment horizontal="left" vertical="center"/>
    </xf>
    <xf numFmtId="168" fontId="11" fillId="14" borderId="2" xfId="0" applyNumberFormat="1" applyFont="1" applyFill="1" applyBorder="1" applyAlignment="1">
      <alignment horizontal="center" vertical="center"/>
    </xf>
    <xf numFmtId="167" fontId="23" fillId="14" borderId="8" xfId="0" applyNumberFormat="1" applyFont="1" applyFill="1" applyBorder="1" applyAlignment="1">
      <alignment horizontal="left" vertical="center"/>
    </xf>
    <xf numFmtId="14" fontId="5" fillId="14" borderId="15" xfId="0" applyNumberFormat="1" applyFont="1" applyFill="1" applyBorder="1" applyAlignment="1">
      <alignment horizontal="center" vertical="center"/>
    </xf>
    <xf numFmtId="0" fontId="5" fillId="14" borderId="15" xfId="0" applyFont="1" applyFill="1" applyBorder="1" applyAlignment="1">
      <alignment horizontal="left" vertical="center"/>
    </xf>
    <xf numFmtId="166" fontId="9" fillId="14" borderId="15" xfId="1" applyNumberFormat="1" applyFont="1" applyFill="1" applyBorder="1" applyAlignment="1">
      <alignment horizontal="center" vertical="center"/>
    </xf>
    <xf numFmtId="166" fontId="2" fillId="2" borderId="0" xfId="0" applyNumberFormat="1" applyFont="1" applyFill="1"/>
    <xf numFmtId="178" fontId="34" fillId="14" borderId="0" xfId="0" applyNumberFormat="1" applyFont="1" applyFill="1" applyAlignment="1">
      <alignment horizontal="left" vertical="center"/>
    </xf>
    <xf numFmtId="0" fontId="4" fillId="17" borderId="23" xfId="0" applyFont="1" applyFill="1" applyBorder="1" applyAlignment="1">
      <alignment horizontal="center" vertical="center"/>
    </xf>
    <xf numFmtId="0" fontId="4" fillId="17" borderId="18" xfId="0" applyFont="1" applyFill="1" applyBorder="1" applyAlignment="1">
      <alignment horizontal="center" vertical="center"/>
    </xf>
    <xf numFmtId="0" fontId="3" fillId="17" borderId="18" xfId="0" applyFont="1" applyFill="1" applyBorder="1" applyAlignment="1">
      <alignment horizontal="center" vertical="center"/>
    </xf>
    <xf numFmtId="3" fontId="4" fillId="17" borderId="18" xfId="0" applyNumberFormat="1" applyFont="1" applyFill="1" applyBorder="1" applyAlignment="1">
      <alignment horizontal="center" vertical="center"/>
    </xf>
    <xf numFmtId="166" fontId="4" fillId="17" borderId="18" xfId="1" applyNumberFormat="1" applyFont="1" applyFill="1" applyBorder="1" applyAlignment="1">
      <alignment horizontal="center" vertical="center"/>
    </xf>
    <xf numFmtId="1" fontId="4" fillId="17" borderId="26" xfId="0" applyNumberFormat="1" applyFont="1" applyFill="1" applyBorder="1" applyAlignment="1">
      <alignment horizontal="center" vertical="center"/>
    </xf>
    <xf numFmtId="167" fontId="25" fillId="14" borderId="8" xfId="0" applyNumberFormat="1" applyFont="1" applyFill="1" applyBorder="1" applyAlignment="1">
      <alignment horizontal="left" vertical="center"/>
    </xf>
    <xf numFmtId="179" fontId="26" fillId="0" borderId="8" xfId="2" applyNumberFormat="1" applyFont="1" applyBorder="1" applyAlignment="1">
      <alignment vertical="center"/>
    </xf>
    <xf numFmtId="167" fontId="23" fillId="14" borderId="4" xfId="0" applyNumberFormat="1" applyFont="1" applyFill="1" applyBorder="1" applyAlignment="1">
      <alignment horizontal="left" vertical="center"/>
    </xf>
    <xf numFmtId="0" fontId="5" fillId="14" borderId="15" xfId="0" applyFont="1" applyFill="1" applyBorder="1" applyAlignment="1">
      <alignment horizontal="center" vertical="center"/>
    </xf>
    <xf numFmtId="187" fontId="28" fillId="0" borderId="8" xfId="0" applyNumberFormat="1" applyFont="1" applyBorder="1" applyAlignment="1">
      <alignment horizontal="center" vertical="center"/>
    </xf>
    <xf numFmtId="173" fontId="14" fillId="4" borderId="18" xfId="0" applyNumberFormat="1" applyFont="1" applyFill="1" applyBorder="1" applyAlignment="1">
      <alignment horizontal="center"/>
    </xf>
    <xf numFmtId="173" fontId="28" fillId="0" borderId="5" xfId="0" applyNumberFormat="1" applyFont="1" applyBorder="1" applyAlignment="1">
      <alignment horizontal="center"/>
    </xf>
    <xf numFmtId="0" fontId="28" fillId="4" borderId="46" xfId="0" applyFont="1" applyFill="1" applyBorder="1" applyAlignment="1">
      <alignment horizontal="center"/>
    </xf>
    <xf numFmtId="174" fontId="14" fillId="4" borderId="44" xfId="0" applyNumberFormat="1" applyFont="1" applyFill="1" applyBorder="1" applyAlignment="1">
      <alignment horizontal="center"/>
    </xf>
    <xf numFmtId="173" fontId="14" fillId="4" borderId="44" xfId="0" applyNumberFormat="1" applyFont="1" applyFill="1" applyBorder="1" applyAlignment="1">
      <alignment horizontal="center"/>
    </xf>
    <xf numFmtId="0" fontId="14" fillId="4" borderId="44" xfId="0" applyFont="1" applyFill="1" applyBorder="1" applyAlignment="1">
      <alignment horizontal="center"/>
    </xf>
    <xf numFmtId="172" fontId="14" fillId="4" borderId="44" xfId="0" applyNumberFormat="1" applyFont="1" applyFill="1" applyBorder="1" applyAlignment="1">
      <alignment horizontal="center"/>
    </xf>
    <xf numFmtId="187" fontId="28" fillId="0" borderId="15" xfId="0" applyNumberFormat="1" applyFont="1" applyBorder="1" applyAlignment="1">
      <alignment horizontal="center" vertical="center"/>
    </xf>
    <xf numFmtId="170" fontId="28" fillId="0" borderId="66" xfId="0" applyNumberFormat="1" applyFont="1" applyBorder="1" applyAlignment="1">
      <alignment horizontal="center"/>
    </xf>
    <xf numFmtId="187" fontId="28" fillId="0" borderId="7" xfId="0" applyNumberFormat="1" applyFont="1" applyBorder="1" applyAlignment="1">
      <alignment horizontal="center" vertical="center"/>
    </xf>
    <xf numFmtId="170" fontId="28" fillId="0" borderId="31" xfId="0" applyNumberFormat="1" applyFont="1" applyBorder="1" applyAlignment="1">
      <alignment horizontal="center"/>
    </xf>
    <xf numFmtId="0" fontId="28" fillId="4" borderId="65" xfId="0" applyFont="1" applyFill="1" applyBorder="1" applyAlignment="1">
      <alignment horizontal="center"/>
    </xf>
    <xf numFmtId="0" fontId="14" fillId="12" borderId="13" xfId="0" applyFont="1" applyFill="1" applyBorder="1" applyAlignment="1">
      <alignment horizontal="center"/>
    </xf>
    <xf numFmtId="0" fontId="28" fillId="12" borderId="28" xfId="0" applyFont="1" applyFill="1" applyBorder="1" applyAlignment="1">
      <alignment horizontal="center"/>
    </xf>
    <xf numFmtId="0" fontId="28" fillId="20" borderId="12" xfId="0" applyFont="1" applyFill="1" applyBorder="1" applyAlignment="1">
      <alignment horizontal="center"/>
    </xf>
    <xf numFmtId="0" fontId="28" fillId="20" borderId="13" xfId="0" applyFont="1" applyFill="1" applyBorder="1" applyAlignment="1">
      <alignment horizontal="center"/>
    </xf>
    <xf numFmtId="174" fontId="14" fillId="20" borderId="13" xfId="0" applyNumberFormat="1" applyFont="1" applyFill="1" applyBorder="1" applyAlignment="1">
      <alignment horizontal="center"/>
    </xf>
    <xf numFmtId="0" fontId="14" fillId="20" borderId="13" xfId="0" applyFont="1" applyFill="1" applyBorder="1" applyAlignment="1">
      <alignment horizontal="center"/>
    </xf>
    <xf numFmtId="173" fontId="14" fillId="20" borderId="13" xfId="0" applyNumberFormat="1" applyFont="1" applyFill="1" applyBorder="1" applyAlignment="1">
      <alignment horizontal="center"/>
    </xf>
    <xf numFmtId="172" fontId="14" fillId="20" borderId="13" xfId="0" applyNumberFormat="1" applyFont="1" applyFill="1" applyBorder="1" applyAlignment="1">
      <alignment horizontal="center"/>
    </xf>
    <xf numFmtId="0" fontId="28" fillId="20" borderId="20" xfId="0" applyFont="1" applyFill="1" applyBorder="1" applyAlignment="1">
      <alignment horizontal="center"/>
    </xf>
    <xf numFmtId="0" fontId="28" fillId="20" borderId="21" xfId="0" applyFont="1" applyFill="1" applyBorder="1" applyAlignment="1">
      <alignment horizontal="center"/>
    </xf>
    <xf numFmtId="0" fontId="28" fillId="20" borderId="14" xfId="0" applyFont="1" applyFill="1" applyBorder="1" applyAlignment="1">
      <alignment horizontal="center"/>
    </xf>
    <xf numFmtId="0" fontId="28" fillId="20" borderId="22" xfId="0" applyFont="1" applyFill="1" applyBorder="1" applyAlignment="1">
      <alignment horizontal="center"/>
    </xf>
    <xf numFmtId="0" fontId="3" fillId="14" borderId="15" xfId="0" applyFont="1" applyFill="1" applyBorder="1" applyAlignment="1">
      <alignment horizontal="left" vertical="center"/>
    </xf>
    <xf numFmtId="0" fontId="39" fillId="14" borderId="15" xfId="0" applyFont="1" applyFill="1" applyBorder="1" applyAlignment="1">
      <alignment horizontal="center" vertical="center"/>
    </xf>
    <xf numFmtId="0" fontId="40" fillId="14" borderId="15" xfId="1" applyNumberFormat="1" applyFont="1" applyFill="1" applyBorder="1" applyAlignment="1">
      <alignment horizontal="center" vertical="center"/>
    </xf>
    <xf numFmtId="44" fontId="3" fillId="14" borderId="15" xfId="1" applyFont="1" applyFill="1" applyBorder="1" applyAlignment="1">
      <alignment horizontal="center" vertical="center"/>
    </xf>
    <xf numFmtId="166" fontId="10" fillId="14" borderId="15" xfId="1" applyNumberFormat="1" applyFont="1" applyFill="1" applyBorder="1" applyAlignment="1">
      <alignment horizontal="center" vertical="center"/>
    </xf>
    <xf numFmtId="164" fontId="7" fillId="14" borderId="15" xfId="0" applyNumberFormat="1" applyFont="1" applyFill="1" applyBorder="1" applyAlignment="1">
      <alignment horizontal="center" vertical="center"/>
    </xf>
    <xf numFmtId="178" fontId="34" fillId="14" borderId="15" xfId="0" applyNumberFormat="1" applyFont="1" applyFill="1" applyBorder="1" applyAlignment="1">
      <alignment horizontal="left" vertical="center"/>
    </xf>
    <xf numFmtId="167" fontId="35" fillId="14" borderId="15" xfId="0" applyNumberFormat="1" applyFont="1" applyFill="1" applyBorder="1" applyAlignment="1">
      <alignment horizontal="left" vertical="center"/>
    </xf>
    <xf numFmtId="179" fontId="36" fillId="14" borderId="15" xfId="0" applyNumberFormat="1" applyFont="1" applyFill="1" applyBorder="1" applyAlignment="1">
      <alignment horizontal="left" vertical="center"/>
    </xf>
    <xf numFmtId="166" fontId="8" fillId="14" borderId="15" xfId="1" applyNumberFormat="1" applyFont="1" applyFill="1" applyBorder="1" applyAlignment="1">
      <alignment horizontal="center" vertical="center"/>
    </xf>
    <xf numFmtId="168" fontId="34" fillId="14" borderId="15" xfId="0" applyNumberFormat="1" applyFont="1" applyFill="1" applyBorder="1" applyAlignment="1">
      <alignment horizontal="center" vertical="center"/>
    </xf>
    <xf numFmtId="188" fontId="2" fillId="14" borderId="0" xfId="0" applyNumberFormat="1" applyFont="1" applyFill="1"/>
    <xf numFmtId="44" fontId="2" fillId="14" borderId="0" xfId="0" applyNumberFormat="1" applyFont="1" applyFill="1"/>
    <xf numFmtId="1" fontId="28" fillId="0" borderId="53" xfId="0" applyNumberFormat="1" applyFont="1" applyBorder="1" applyAlignment="1">
      <alignment horizontal="center"/>
    </xf>
    <xf numFmtId="164" fontId="28" fillId="0" borderId="53" xfId="0" applyNumberFormat="1" applyFont="1" applyBorder="1" applyAlignment="1">
      <alignment horizontal="center" wrapText="1"/>
    </xf>
    <xf numFmtId="0" fontId="28" fillId="0" borderId="0" xfId="0" applyFont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164" fontId="28" fillId="0" borderId="7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164" fontId="28" fillId="0" borderId="8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164" fontId="28" fillId="0" borderId="15" xfId="0" applyNumberFormat="1" applyFont="1" applyBorder="1" applyAlignment="1">
      <alignment horizontal="center" vertical="center"/>
    </xf>
    <xf numFmtId="188" fontId="2" fillId="2" borderId="0" xfId="0" applyNumberFormat="1" applyFont="1" applyFill="1"/>
    <xf numFmtId="167" fontId="36" fillId="14" borderId="15" xfId="0" applyNumberFormat="1" applyFont="1" applyFill="1" applyBorder="1" applyAlignment="1">
      <alignment horizontal="left" vertical="center"/>
    </xf>
    <xf numFmtId="43" fontId="23" fillId="7" borderId="0" xfId="3" applyFont="1" applyFill="1" applyBorder="1" applyAlignment="1">
      <alignment horizontal="center" vertical="center"/>
    </xf>
    <xf numFmtId="0" fontId="14" fillId="10" borderId="59" xfId="0" applyFont="1" applyFill="1" applyBorder="1" applyAlignment="1">
      <alignment horizontal="center"/>
    </xf>
    <xf numFmtId="0" fontId="14" fillId="10" borderId="16" xfId="0" applyFont="1" applyFill="1" applyBorder="1" applyAlignment="1">
      <alignment horizontal="center"/>
    </xf>
    <xf numFmtId="0" fontId="14" fillId="10" borderId="22" xfId="0" applyFont="1" applyFill="1" applyBorder="1" applyAlignment="1">
      <alignment horizontal="center"/>
    </xf>
    <xf numFmtId="0" fontId="14" fillId="0" borderId="82" xfId="0" applyFont="1" applyBorder="1" applyAlignment="1">
      <alignment horizontal="center" vertical="center"/>
    </xf>
    <xf numFmtId="0" fontId="28" fillId="0" borderId="83" xfId="0" applyFont="1" applyBorder="1" applyAlignment="1">
      <alignment horizontal="center"/>
    </xf>
    <xf numFmtId="0" fontId="14" fillId="8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7" fillId="0" borderId="77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/>
    </xf>
    <xf numFmtId="0" fontId="28" fillId="0" borderId="78" xfId="0" applyFont="1" applyBorder="1" applyAlignment="1">
      <alignment horizontal="center"/>
    </xf>
    <xf numFmtId="0" fontId="14" fillId="4" borderId="59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/>
    </xf>
    <xf numFmtId="0" fontId="14" fillId="4" borderId="92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5" fillId="14" borderId="15" xfId="0" applyFont="1" applyFill="1" applyBorder="1" applyAlignment="1">
      <alignment horizontal="center" vertical="center"/>
    </xf>
    <xf numFmtId="0" fontId="5" fillId="14" borderId="49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4" fillId="5" borderId="59" xfId="0" applyFont="1" applyFill="1" applyBorder="1" applyAlignment="1">
      <alignment horizontal="center"/>
    </xf>
    <xf numFmtId="0" fontId="14" fillId="5" borderId="16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14" fillId="0" borderId="83" xfId="0" applyFont="1" applyBorder="1" applyAlignment="1">
      <alignment horizontal="center" vertical="center"/>
    </xf>
    <xf numFmtId="0" fontId="14" fillId="0" borderId="84" xfId="0" applyFont="1" applyBorder="1" applyAlignment="1">
      <alignment horizontal="center" vertical="center"/>
    </xf>
    <xf numFmtId="0" fontId="14" fillId="0" borderId="86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87" xfId="0" applyFont="1" applyBorder="1" applyAlignment="1">
      <alignment horizontal="center" vertical="center"/>
    </xf>
    <xf numFmtId="0" fontId="14" fillId="0" borderId="88" xfId="0" applyFont="1" applyBorder="1" applyAlignment="1">
      <alignment horizontal="center" vertical="center"/>
    </xf>
    <xf numFmtId="0" fontId="14" fillId="0" borderId="89" xfId="0" applyFont="1" applyBorder="1" applyAlignment="1">
      <alignment horizontal="center" vertical="center"/>
    </xf>
    <xf numFmtId="0" fontId="14" fillId="0" borderId="90" xfId="0" applyFont="1" applyBorder="1" applyAlignment="1">
      <alignment horizontal="center" vertical="center"/>
    </xf>
    <xf numFmtId="0" fontId="14" fillId="13" borderId="19" xfId="0" applyFont="1" applyFill="1" applyBorder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Обычный 2 2" xfId="2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fawad%20S%20G%20C/Downloads/Humor%20bnc%20(7).xlsx" TargetMode="External"/><Relationship Id="rId1" Type="http://schemas.openxmlformats.org/officeDocument/2006/relationships/externalLinkPath" Target="/Users/fawad%20S%20G%20C/Downloads/Humor%20bnc%20(7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fawad%20S%20G%20C/Downloads/Humor%20bnc%20(2).xlsx" TargetMode="External"/><Relationship Id="rId1" Type="http://schemas.openxmlformats.org/officeDocument/2006/relationships/externalLinkPath" Target="/Users/fawad%20S%20G%20C/Downloads/Humor%20bnc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fawad%20S%20G%20C/Downloads/2026%20-%20Loading%20of%20Khumor%20-%20BNK%20(LAST)-1%20(5).xlsx" TargetMode="External"/><Relationship Id="rId1" Type="http://schemas.openxmlformats.org/officeDocument/2006/relationships/externalLinkPath" Target="/Users/fawad%20S%20G%20C/Downloads/2026%20-%20Loading%20of%20Khumor%20-%20BNK%20(LAST)-1%20(5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fawad%20S%20G%20C/Downloads/2026%20-%20Loading%20of%20Khumor%20-%20BNK%20(LAST)-1%20(7).xlsx" TargetMode="External"/><Relationship Id="rId1" Type="http://schemas.openxmlformats.org/officeDocument/2006/relationships/externalLinkPath" Target="/Users/fawad%20S%20G%20C/Downloads/2026%20-%20Loading%20of%20Khumor%20-%20BNK%20(LAST)-1%20(7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li%20Ahmad/Downloads/2026%20-%20Loading%20of%20Khumor%20-%20BNK%20(LAST)-1%20(8).xlsx" TargetMode="External"/><Relationship Id="rId1" Type="http://schemas.openxmlformats.org/officeDocument/2006/relationships/externalLinkPath" Target="/Users/Ali%20Ahmad/Downloads/2026%20-%20Loading%20of%20Khumor%20-%20BNK%20(LAST)-1%20(8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li%20Ahmad/Downloads/2026%20-%20Loading%20of%20Khumor%20-%20BNK%20(LAST)-1%20(13).xlsx" TargetMode="External"/><Relationship Id="rId1" Type="http://schemas.openxmlformats.org/officeDocument/2006/relationships/externalLinkPath" Target="/Users/Ali%20Ahmad/Downloads/2026%20-%20Loading%20of%20Khumor%20-%20BNK%20(LAST)-1%20(1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I-92-K5 -EURO"/>
      <sheetName val="ACCOUNT 2024-15M"/>
      <sheetName val="Add Agreement15-M-16"/>
      <sheetName val="Add Agreement M-17"/>
      <sheetName val="Add Agreement M-18"/>
      <sheetName val="Add Agreement M-19"/>
      <sheetName val="Add Agreement M-20"/>
      <sheetName val="Add Agreement M-21"/>
      <sheetName val="Add Agreement M-22"/>
      <sheetName val="23-М"/>
      <sheetName val="AddAgreement 24-C"/>
      <sheetName val="Add Agreement 25-H"/>
      <sheetName val="Add Agreement 26-M"/>
      <sheetName val="Add Agreement 27-M"/>
      <sheetName val="28-M"/>
      <sheetName val="29-H"/>
      <sheetName val="Add Agreement 30-M"/>
      <sheetName val="32-M"/>
      <sheetName val="33-М"/>
      <sheetName val="34-М"/>
      <sheetName val="Platts2025"/>
      <sheetName val="Acc AGR. M-16;17;18;19;20;21"/>
      <sheetName val="Vessels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4">
          <cell r="AD34">
            <v>651.88095238095241</v>
          </cell>
          <cell r="AH34">
            <v>634.76470588235293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I-92-K5 -EURO"/>
      <sheetName val="ACCOUNT 2024-15M"/>
      <sheetName val="Add Agreement15-M-16"/>
      <sheetName val="Add Agreement M-17"/>
      <sheetName val="Add Agreement M-18"/>
      <sheetName val="Add Agreement M-19"/>
      <sheetName val="Add Agreement M-20"/>
      <sheetName val="Add Agreement M-21"/>
      <sheetName val="Add Agreement M-22"/>
      <sheetName val="23-М"/>
      <sheetName val="AddAgreement 24-C"/>
      <sheetName val="Add Agreement 25-H"/>
      <sheetName val="Add Agreement 26-M"/>
      <sheetName val="Add Agreement 27-M"/>
      <sheetName val="28-M"/>
      <sheetName val="29-H"/>
      <sheetName val="Add Agreement 30-M"/>
      <sheetName val="32-M"/>
      <sheetName val="33-М"/>
      <sheetName val=" 34-M AI-92"/>
      <sheetName val="35-М Diesel DT-E-K5"/>
      <sheetName val="Platts2025"/>
      <sheetName val="Platt's 2026"/>
      <sheetName val="Acc AGR. M-16;17;18;19;20;21"/>
      <sheetName val="Vessels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O31">
            <v>683.92499999999995</v>
          </cell>
        </row>
        <row r="34">
          <cell r="B34">
            <v>641.68181818181813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3-М"/>
      <sheetName val=" 34-M AI-92"/>
      <sheetName val="35-М Diesel DT-E-K5"/>
      <sheetName val="37-М AI-92 15000"/>
      <sheetName val="Platt's 2026"/>
      <sheetName val="Vessels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1">
          <cell r="O31">
            <v>683.92499999999995</v>
          </cell>
        </row>
        <row r="34">
          <cell r="F34">
            <v>634.36363636363637</v>
          </cell>
        </row>
      </sheetData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3-М"/>
      <sheetName val=" 34-M AI-92"/>
      <sheetName val="35-М Diesel DT-E-K5"/>
      <sheetName val="37-М AI-92 15000"/>
      <sheetName val="Platt's 2026"/>
      <sheetName val="Vessels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4">
          <cell r="S34">
            <v>973.38636363636363</v>
          </cell>
        </row>
      </sheetData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3-М"/>
      <sheetName val=" 34-M AI-92"/>
      <sheetName val="35-М Diesel DT-E-K5"/>
      <sheetName val="37-М AI-92 15000"/>
      <sheetName val="38-М "/>
      <sheetName val="39-М"/>
      <sheetName val="Platt's 2026"/>
      <sheetName val="Vessels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3">
          <cell r="V33">
            <v>1060.0125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3-М"/>
      <sheetName val=" 34-M AI-92"/>
      <sheetName val="35-М Diesel DT-E-K5"/>
      <sheetName val="37-М AI-92 15000"/>
      <sheetName val="38-М "/>
      <sheetName val="39-М"/>
      <sheetName val="Platt's 2026"/>
      <sheetName val="Vessels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4">
          <cell r="Z34">
            <v>1127.1447368421052</v>
          </cell>
        </row>
      </sheetData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4"/>
  <sheetViews>
    <sheetView zoomScale="90" zoomScaleNormal="90" workbookViewId="0">
      <pane xSplit="12" ySplit="11" topLeftCell="M135" activePane="bottomRight" state="frozen"/>
      <selection pane="topRight" activeCell="M1" sqref="M1"/>
      <selection pane="bottomLeft" activeCell="A12" sqref="A12"/>
      <selection pane="bottomRight" activeCell="T129" sqref="T129:T130"/>
    </sheetView>
  </sheetViews>
  <sheetFormatPr defaultRowHeight="12.75" x14ac:dyDescent="0.2"/>
  <cols>
    <col min="1" max="1" width="4.5703125" style="1" customWidth="1"/>
    <col min="2" max="2" width="5.85546875" style="1" customWidth="1"/>
    <col min="3" max="3" width="10.140625" style="1" customWidth="1"/>
    <col min="4" max="4" width="36.42578125" style="16" customWidth="1"/>
    <col min="5" max="5" width="10.7109375" style="17" customWidth="1"/>
    <col min="6" max="6" width="18.85546875" style="17" customWidth="1"/>
    <col min="7" max="7" width="14" style="18" customWidth="1"/>
    <col min="8" max="8" width="23.85546875" style="19" customWidth="1"/>
    <col min="9" max="9" width="15.140625" style="20" customWidth="1"/>
    <col min="10" max="10" width="0.42578125" style="20" customWidth="1"/>
    <col min="11" max="11" width="9.42578125" style="1" customWidth="1"/>
    <col min="12" max="12" width="14.42578125" style="1" customWidth="1"/>
    <col min="13" max="13" width="13.28515625" style="1" customWidth="1"/>
    <col min="14" max="14" width="14.42578125" style="1" customWidth="1"/>
    <col min="15" max="15" width="1.7109375" style="1" customWidth="1"/>
    <col min="16" max="16" width="15.7109375" style="1" bestFit="1" customWidth="1"/>
    <col min="17" max="17" width="14.7109375" style="1" bestFit="1" customWidth="1"/>
    <col min="18" max="20" width="8.85546875" style="1"/>
    <col min="21" max="21" width="16.42578125" style="1" customWidth="1"/>
    <col min="22" max="22" width="15.7109375" style="1" customWidth="1"/>
    <col min="23" max="250" width="8.85546875" style="1"/>
    <col min="251" max="251" width="5.5703125" style="1" bestFit="1" customWidth="1"/>
    <col min="252" max="252" width="9.28515625" style="1" customWidth="1"/>
    <col min="253" max="253" width="24.7109375" style="1" customWidth="1"/>
    <col min="254" max="254" width="11" style="1" bestFit="1" customWidth="1"/>
    <col min="255" max="255" width="7.5703125" style="1" bestFit="1" customWidth="1"/>
    <col min="256" max="256" width="13.5703125" style="1" customWidth="1"/>
    <col min="257" max="257" width="5.42578125" style="1" bestFit="1" customWidth="1"/>
    <col min="258" max="258" width="11.28515625" style="1" bestFit="1" customWidth="1"/>
    <col min="259" max="259" width="5.7109375" style="1" bestFit="1" customWidth="1"/>
    <col min="260" max="260" width="12" style="1" customWidth="1"/>
    <col min="261" max="261" width="15.42578125" style="1" bestFit="1" customWidth="1"/>
    <col min="262" max="263" width="15.140625" style="1" bestFit="1" customWidth="1"/>
    <col min="264" max="264" width="14.28515625" style="1" bestFit="1" customWidth="1"/>
    <col min="265" max="265" width="3.140625" style="1" customWidth="1"/>
    <col min="266" max="266" width="6.42578125" style="1" customWidth="1"/>
    <col min="267" max="506" width="8.85546875" style="1"/>
    <col min="507" max="507" width="5.5703125" style="1" bestFit="1" customWidth="1"/>
    <col min="508" max="508" width="9.28515625" style="1" customWidth="1"/>
    <col min="509" max="509" width="24.7109375" style="1" customWidth="1"/>
    <col min="510" max="510" width="11" style="1" bestFit="1" customWidth="1"/>
    <col min="511" max="511" width="7.5703125" style="1" bestFit="1" customWidth="1"/>
    <col min="512" max="512" width="13.5703125" style="1" customWidth="1"/>
    <col min="513" max="513" width="5.42578125" style="1" bestFit="1" customWidth="1"/>
    <col min="514" max="514" width="11.28515625" style="1" bestFit="1" customWidth="1"/>
    <col min="515" max="515" width="5.7109375" style="1" bestFit="1" customWidth="1"/>
    <col min="516" max="516" width="12" style="1" customWidth="1"/>
    <col min="517" max="517" width="15.42578125" style="1" bestFit="1" customWidth="1"/>
    <col min="518" max="519" width="15.140625" style="1" bestFit="1" customWidth="1"/>
    <col min="520" max="520" width="14.28515625" style="1" bestFit="1" customWidth="1"/>
    <col min="521" max="521" width="3.140625" style="1" customWidth="1"/>
    <col min="522" max="522" width="6.42578125" style="1" customWidth="1"/>
    <col min="523" max="762" width="8.85546875" style="1"/>
    <col min="763" max="763" width="5.5703125" style="1" bestFit="1" customWidth="1"/>
    <col min="764" max="764" width="9.28515625" style="1" customWidth="1"/>
    <col min="765" max="765" width="24.7109375" style="1" customWidth="1"/>
    <col min="766" max="766" width="11" style="1" bestFit="1" customWidth="1"/>
    <col min="767" max="767" width="7.5703125" style="1" bestFit="1" customWidth="1"/>
    <col min="768" max="768" width="13.5703125" style="1" customWidth="1"/>
    <col min="769" max="769" width="5.42578125" style="1" bestFit="1" customWidth="1"/>
    <col min="770" max="770" width="11.28515625" style="1" bestFit="1" customWidth="1"/>
    <col min="771" max="771" width="5.7109375" style="1" bestFit="1" customWidth="1"/>
    <col min="772" max="772" width="12" style="1" customWidth="1"/>
    <col min="773" max="773" width="15.42578125" style="1" bestFit="1" customWidth="1"/>
    <col min="774" max="775" width="15.140625" style="1" bestFit="1" customWidth="1"/>
    <col min="776" max="776" width="14.28515625" style="1" bestFit="1" customWidth="1"/>
    <col min="777" max="777" width="3.140625" style="1" customWidth="1"/>
    <col min="778" max="778" width="6.42578125" style="1" customWidth="1"/>
    <col min="779" max="1018" width="8.85546875" style="1"/>
    <col min="1019" max="1019" width="5.5703125" style="1" bestFit="1" customWidth="1"/>
    <col min="1020" max="1020" width="9.28515625" style="1" customWidth="1"/>
    <col min="1021" max="1021" width="24.7109375" style="1" customWidth="1"/>
    <col min="1022" max="1022" width="11" style="1" bestFit="1" customWidth="1"/>
    <col min="1023" max="1023" width="7.5703125" style="1" bestFit="1" customWidth="1"/>
    <col min="1024" max="1024" width="13.5703125" style="1" customWidth="1"/>
    <col min="1025" max="1025" width="5.42578125" style="1" bestFit="1" customWidth="1"/>
    <col min="1026" max="1026" width="11.28515625" style="1" bestFit="1" customWidth="1"/>
    <col min="1027" max="1027" width="5.7109375" style="1" bestFit="1" customWidth="1"/>
    <col min="1028" max="1028" width="12" style="1" customWidth="1"/>
    <col min="1029" max="1029" width="15.42578125" style="1" bestFit="1" customWidth="1"/>
    <col min="1030" max="1031" width="15.140625" style="1" bestFit="1" customWidth="1"/>
    <col min="1032" max="1032" width="14.28515625" style="1" bestFit="1" customWidth="1"/>
    <col min="1033" max="1033" width="3.140625" style="1" customWidth="1"/>
    <col min="1034" max="1034" width="6.42578125" style="1" customWidth="1"/>
    <col min="1035" max="1274" width="8.85546875" style="1"/>
    <col min="1275" max="1275" width="5.5703125" style="1" bestFit="1" customWidth="1"/>
    <col min="1276" max="1276" width="9.28515625" style="1" customWidth="1"/>
    <col min="1277" max="1277" width="24.7109375" style="1" customWidth="1"/>
    <col min="1278" max="1278" width="11" style="1" bestFit="1" customWidth="1"/>
    <col min="1279" max="1279" width="7.5703125" style="1" bestFit="1" customWidth="1"/>
    <col min="1280" max="1280" width="13.5703125" style="1" customWidth="1"/>
    <col min="1281" max="1281" width="5.42578125" style="1" bestFit="1" customWidth="1"/>
    <col min="1282" max="1282" width="11.28515625" style="1" bestFit="1" customWidth="1"/>
    <col min="1283" max="1283" width="5.7109375" style="1" bestFit="1" customWidth="1"/>
    <col min="1284" max="1284" width="12" style="1" customWidth="1"/>
    <col min="1285" max="1285" width="15.42578125" style="1" bestFit="1" customWidth="1"/>
    <col min="1286" max="1287" width="15.140625" style="1" bestFit="1" customWidth="1"/>
    <col min="1288" max="1288" width="14.28515625" style="1" bestFit="1" customWidth="1"/>
    <col min="1289" max="1289" width="3.140625" style="1" customWidth="1"/>
    <col min="1290" max="1290" width="6.42578125" style="1" customWidth="1"/>
    <col min="1291" max="1530" width="8.85546875" style="1"/>
    <col min="1531" max="1531" width="5.5703125" style="1" bestFit="1" customWidth="1"/>
    <col min="1532" max="1532" width="9.28515625" style="1" customWidth="1"/>
    <col min="1533" max="1533" width="24.7109375" style="1" customWidth="1"/>
    <col min="1534" max="1534" width="11" style="1" bestFit="1" customWidth="1"/>
    <col min="1535" max="1535" width="7.5703125" style="1" bestFit="1" customWidth="1"/>
    <col min="1536" max="1536" width="13.5703125" style="1" customWidth="1"/>
    <col min="1537" max="1537" width="5.42578125" style="1" bestFit="1" customWidth="1"/>
    <col min="1538" max="1538" width="11.28515625" style="1" bestFit="1" customWidth="1"/>
    <col min="1539" max="1539" width="5.7109375" style="1" bestFit="1" customWidth="1"/>
    <col min="1540" max="1540" width="12" style="1" customWidth="1"/>
    <col min="1541" max="1541" width="15.42578125" style="1" bestFit="1" customWidth="1"/>
    <col min="1542" max="1543" width="15.140625" style="1" bestFit="1" customWidth="1"/>
    <col min="1544" max="1544" width="14.28515625" style="1" bestFit="1" customWidth="1"/>
    <col min="1545" max="1545" width="3.140625" style="1" customWidth="1"/>
    <col min="1546" max="1546" width="6.42578125" style="1" customWidth="1"/>
    <col min="1547" max="1786" width="8.85546875" style="1"/>
    <col min="1787" max="1787" width="5.5703125" style="1" bestFit="1" customWidth="1"/>
    <col min="1788" max="1788" width="9.28515625" style="1" customWidth="1"/>
    <col min="1789" max="1789" width="24.7109375" style="1" customWidth="1"/>
    <col min="1790" max="1790" width="11" style="1" bestFit="1" customWidth="1"/>
    <col min="1791" max="1791" width="7.5703125" style="1" bestFit="1" customWidth="1"/>
    <col min="1792" max="1792" width="13.5703125" style="1" customWidth="1"/>
    <col min="1793" max="1793" width="5.42578125" style="1" bestFit="1" customWidth="1"/>
    <col min="1794" max="1794" width="11.28515625" style="1" bestFit="1" customWidth="1"/>
    <col min="1795" max="1795" width="5.7109375" style="1" bestFit="1" customWidth="1"/>
    <col min="1796" max="1796" width="12" style="1" customWidth="1"/>
    <col min="1797" max="1797" width="15.42578125" style="1" bestFit="1" customWidth="1"/>
    <col min="1798" max="1799" width="15.140625" style="1" bestFit="1" customWidth="1"/>
    <col min="1800" max="1800" width="14.28515625" style="1" bestFit="1" customWidth="1"/>
    <col min="1801" max="1801" width="3.140625" style="1" customWidth="1"/>
    <col min="1802" max="1802" width="6.42578125" style="1" customWidth="1"/>
    <col min="1803" max="2042" width="8.85546875" style="1"/>
    <col min="2043" max="2043" width="5.5703125" style="1" bestFit="1" customWidth="1"/>
    <col min="2044" max="2044" width="9.28515625" style="1" customWidth="1"/>
    <col min="2045" max="2045" width="24.7109375" style="1" customWidth="1"/>
    <col min="2046" max="2046" width="11" style="1" bestFit="1" customWidth="1"/>
    <col min="2047" max="2047" width="7.5703125" style="1" bestFit="1" customWidth="1"/>
    <col min="2048" max="2048" width="13.5703125" style="1" customWidth="1"/>
    <col min="2049" max="2049" width="5.42578125" style="1" bestFit="1" customWidth="1"/>
    <col min="2050" max="2050" width="11.28515625" style="1" bestFit="1" customWidth="1"/>
    <col min="2051" max="2051" width="5.7109375" style="1" bestFit="1" customWidth="1"/>
    <col min="2052" max="2052" width="12" style="1" customWidth="1"/>
    <col min="2053" max="2053" width="15.42578125" style="1" bestFit="1" customWidth="1"/>
    <col min="2054" max="2055" width="15.140625" style="1" bestFit="1" customWidth="1"/>
    <col min="2056" max="2056" width="14.28515625" style="1" bestFit="1" customWidth="1"/>
    <col min="2057" max="2057" width="3.140625" style="1" customWidth="1"/>
    <col min="2058" max="2058" width="6.42578125" style="1" customWidth="1"/>
    <col min="2059" max="2298" width="8.85546875" style="1"/>
    <col min="2299" max="2299" width="5.5703125" style="1" bestFit="1" customWidth="1"/>
    <col min="2300" max="2300" width="9.28515625" style="1" customWidth="1"/>
    <col min="2301" max="2301" width="24.7109375" style="1" customWidth="1"/>
    <col min="2302" max="2302" width="11" style="1" bestFit="1" customWidth="1"/>
    <col min="2303" max="2303" width="7.5703125" style="1" bestFit="1" customWidth="1"/>
    <col min="2304" max="2304" width="13.5703125" style="1" customWidth="1"/>
    <col min="2305" max="2305" width="5.42578125" style="1" bestFit="1" customWidth="1"/>
    <col min="2306" max="2306" width="11.28515625" style="1" bestFit="1" customWidth="1"/>
    <col min="2307" max="2307" width="5.7109375" style="1" bestFit="1" customWidth="1"/>
    <col min="2308" max="2308" width="12" style="1" customWidth="1"/>
    <col min="2309" max="2309" width="15.42578125" style="1" bestFit="1" customWidth="1"/>
    <col min="2310" max="2311" width="15.140625" style="1" bestFit="1" customWidth="1"/>
    <col min="2312" max="2312" width="14.28515625" style="1" bestFit="1" customWidth="1"/>
    <col min="2313" max="2313" width="3.140625" style="1" customWidth="1"/>
    <col min="2314" max="2314" width="6.42578125" style="1" customWidth="1"/>
    <col min="2315" max="2554" width="8.85546875" style="1"/>
    <col min="2555" max="2555" width="5.5703125" style="1" bestFit="1" customWidth="1"/>
    <col min="2556" max="2556" width="9.28515625" style="1" customWidth="1"/>
    <col min="2557" max="2557" width="24.7109375" style="1" customWidth="1"/>
    <col min="2558" max="2558" width="11" style="1" bestFit="1" customWidth="1"/>
    <col min="2559" max="2559" width="7.5703125" style="1" bestFit="1" customWidth="1"/>
    <col min="2560" max="2560" width="13.5703125" style="1" customWidth="1"/>
    <col min="2561" max="2561" width="5.42578125" style="1" bestFit="1" customWidth="1"/>
    <col min="2562" max="2562" width="11.28515625" style="1" bestFit="1" customWidth="1"/>
    <col min="2563" max="2563" width="5.7109375" style="1" bestFit="1" customWidth="1"/>
    <col min="2564" max="2564" width="12" style="1" customWidth="1"/>
    <col min="2565" max="2565" width="15.42578125" style="1" bestFit="1" customWidth="1"/>
    <col min="2566" max="2567" width="15.140625" style="1" bestFit="1" customWidth="1"/>
    <col min="2568" max="2568" width="14.28515625" style="1" bestFit="1" customWidth="1"/>
    <col min="2569" max="2569" width="3.140625" style="1" customWidth="1"/>
    <col min="2570" max="2570" width="6.42578125" style="1" customWidth="1"/>
    <col min="2571" max="2810" width="8.85546875" style="1"/>
    <col min="2811" max="2811" width="5.5703125" style="1" bestFit="1" customWidth="1"/>
    <col min="2812" max="2812" width="9.28515625" style="1" customWidth="1"/>
    <col min="2813" max="2813" width="24.7109375" style="1" customWidth="1"/>
    <col min="2814" max="2814" width="11" style="1" bestFit="1" customWidth="1"/>
    <col min="2815" max="2815" width="7.5703125" style="1" bestFit="1" customWidth="1"/>
    <col min="2816" max="2816" width="13.5703125" style="1" customWidth="1"/>
    <col min="2817" max="2817" width="5.42578125" style="1" bestFit="1" customWidth="1"/>
    <col min="2818" max="2818" width="11.28515625" style="1" bestFit="1" customWidth="1"/>
    <col min="2819" max="2819" width="5.7109375" style="1" bestFit="1" customWidth="1"/>
    <col min="2820" max="2820" width="12" style="1" customWidth="1"/>
    <col min="2821" max="2821" width="15.42578125" style="1" bestFit="1" customWidth="1"/>
    <col min="2822" max="2823" width="15.140625" style="1" bestFit="1" customWidth="1"/>
    <col min="2824" max="2824" width="14.28515625" style="1" bestFit="1" customWidth="1"/>
    <col min="2825" max="2825" width="3.140625" style="1" customWidth="1"/>
    <col min="2826" max="2826" width="6.42578125" style="1" customWidth="1"/>
    <col min="2827" max="3066" width="8.85546875" style="1"/>
    <col min="3067" max="3067" width="5.5703125" style="1" bestFit="1" customWidth="1"/>
    <col min="3068" max="3068" width="9.28515625" style="1" customWidth="1"/>
    <col min="3069" max="3069" width="24.7109375" style="1" customWidth="1"/>
    <col min="3070" max="3070" width="11" style="1" bestFit="1" customWidth="1"/>
    <col min="3071" max="3071" width="7.5703125" style="1" bestFit="1" customWidth="1"/>
    <col min="3072" max="3072" width="13.5703125" style="1" customWidth="1"/>
    <col min="3073" max="3073" width="5.42578125" style="1" bestFit="1" customWidth="1"/>
    <col min="3074" max="3074" width="11.28515625" style="1" bestFit="1" customWidth="1"/>
    <col min="3075" max="3075" width="5.7109375" style="1" bestFit="1" customWidth="1"/>
    <col min="3076" max="3076" width="12" style="1" customWidth="1"/>
    <col min="3077" max="3077" width="15.42578125" style="1" bestFit="1" customWidth="1"/>
    <col min="3078" max="3079" width="15.140625" style="1" bestFit="1" customWidth="1"/>
    <col min="3080" max="3080" width="14.28515625" style="1" bestFit="1" customWidth="1"/>
    <col min="3081" max="3081" width="3.140625" style="1" customWidth="1"/>
    <col min="3082" max="3082" width="6.42578125" style="1" customWidth="1"/>
    <col min="3083" max="3322" width="8.85546875" style="1"/>
    <col min="3323" max="3323" width="5.5703125" style="1" bestFit="1" customWidth="1"/>
    <col min="3324" max="3324" width="9.28515625" style="1" customWidth="1"/>
    <col min="3325" max="3325" width="24.7109375" style="1" customWidth="1"/>
    <col min="3326" max="3326" width="11" style="1" bestFit="1" customWidth="1"/>
    <col min="3327" max="3327" width="7.5703125" style="1" bestFit="1" customWidth="1"/>
    <col min="3328" max="3328" width="13.5703125" style="1" customWidth="1"/>
    <col min="3329" max="3329" width="5.42578125" style="1" bestFit="1" customWidth="1"/>
    <col min="3330" max="3330" width="11.28515625" style="1" bestFit="1" customWidth="1"/>
    <col min="3331" max="3331" width="5.7109375" style="1" bestFit="1" customWidth="1"/>
    <col min="3332" max="3332" width="12" style="1" customWidth="1"/>
    <col min="3333" max="3333" width="15.42578125" style="1" bestFit="1" customWidth="1"/>
    <col min="3334" max="3335" width="15.140625" style="1" bestFit="1" customWidth="1"/>
    <col min="3336" max="3336" width="14.28515625" style="1" bestFit="1" customWidth="1"/>
    <col min="3337" max="3337" width="3.140625" style="1" customWidth="1"/>
    <col min="3338" max="3338" width="6.42578125" style="1" customWidth="1"/>
    <col min="3339" max="3578" width="8.85546875" style="1"/>
    <col min="3579" max="3579" width="5.5703125" style="1" bestFit="1" customWidth="1"/>
    <col min="3580" max="3580" width="9.28515625" style="1" customWidth="1"/>
    <col min="3581" max="3581" width="24.7109375" style="1" customWidth="1"/>
    <col min="3582" max="3582" width="11" style="1" bestFit="1" customWidth="1"/>
    <col min="3583" max="3583" width="7.5703125" style="1" bestFit="1" customWidth="1"/>
    <col min="3584" max="3584" width="13.5703125" style="1" customWidth="1"/>
    <col min="3585" max="3585" width="5.42578125" style="1" bestFit="1" customWidth="1"/>
    <col min="3586" max="3586" width="11.28515625" style="1" bestFit="1" customWidth="1"/>
    <col min="3587" max="3587" width="5.7109375" style="1" bestFit="1" customWidth="1"/>
    <col min="3588" max="3588" width="12" style="1" customWidth="1"/>
    <col min="3589" max="3589" width="15.42578125" style="1" bestFit="1" customWidth="1"/>
    <col min="3590" max="3591" width="15.140625" style="1" bestFit="1" customWidth="1"/>
    <col min="3592" max="3592" width="14.28515625" style="1" bestFit="1" customWidth="1"/>
    <col min="3593" max="3593" width="3.140625" style="1" customWidth="1"/>
    <col min="3594" max="3594" width="6.42578125" style="1" customWidth="1"/>
    <col min="3595" max="3834" width="8.85546875" style="1"/>
    <col min="3835" max="3835" width="5.5703125" style="1" bestFit="1" customWidth="1"/>
    <col min="3836" max="3836" width="9.28515625" style="1" customWidth="1"/>
    <col min="3837" max="3837" width="24.7109375" style="1" customWidth="1"/>
    <col min="3838" max="3838" width="11" style="1" bestFit="1" customWidth="1"/>
    <col min="3839" max="3839" width="7.5703125" style="1" bestFit="1" customWidth="1"/>
    <col min="3840" max="3840" width="13.5703125" style="1" customWidth="1"/>
    <col min="3841" max="3841" width="5.42578125" style="1" bestFit="1" customWidth="1"/>
    <col min="3842" max="3842" width="11.28515625" style="1" bestFit="1" customWidth="1"/>
    <col min="3843" max="3843" width="5.7109375" style="1" bestFit="1" customWidth="1"/>
    <col min="3844" max="3844" width="12" style="1" customWidth="1"/>
    <col min="3845" max="3845" width="15.42578125" style="1" bestFit="1" customWidth="1"/>
    <col min="3846" max="3847" width="15.140625" style="1" bestFit="1" customWidth="1"/>
    <col min="3848" max="3848" width="14.28515625" style="1" bestFit="1" customWidth="1"/>
    <col min="3849" max="3849" width="3.140625" style="1" customWidth="1"/>
    <col min="3850" max="3850" width="6.42578125" style="1" customWidth="1"/>
    <col min="3851" max="4090" width="8.85546875" style="1"/>
    <col min="4091" max="4091" width="5.5703125" style="1" bestFit="1" customWidth="1"/>
    <col min="4092" max="4092" width="9.28515625" style="1" customWidth="1"/>
    <col min="4093" max="4093" width="24.7109375" style="1" customWidth="1"/>
    <col min="4094" max="4094" width="11" style="1" bestFit="1" customWidth="1"/>
    <col min="4095" max="4095" width="7.5703125" style="1" bestFit="1" customWidth="1"/>
    <col min="4096" max="4096" width="13.5703125" style="1" customWidth="1"/>
    <col min="4097" max="4097" width="5.42578125" style="1" bestFit="1" customWidth="1"/>
    <col min="4098" max="4098" width="11.28515625" style="1" bestFit="1" customWidth="1"/>
    <col min="4099" max="4099" width="5.7109375" style="1" bestFit="1" customWidth="1"/>
    <col min="4100" max="4100" width="12" style="1" customWidth="1"/>
    <col min="4101" max="4101" width="15.42578125" style="1" bestFit="1" customWidth="1"/>
    <col min="4102" max="4103" width="15.140625" style="1" bestFit="1" customWidth="1"/>
    <col min="4104" max="4104" width="14.28515625" style="1" bestFit="1" customWidth="1"/>
    <col min="4105" max="4105" width="3.140625" style="1" customWidth="1"/>
    <col min="4106" max="4106" width="6.42578125" style="1" customWidth="1"/>
    <col min="4107" max="4346" width="8.85546875" style="1"/>
    <col min="4347" max="4347" width="5.5703125" style="1" bestFit="1" customWidth="1"/>
    <col min="4348" max="4348" width="9.28515625" style="1" customWidth="1"/>
    <col min="4349" max="4349" width="24.7109375" style="1" customWidth="1"/>
    <col min="4350" max="4350" width="11" style="1" bestFit="1" customWidth="1"/>
    <col min="4351" max="4351" width="7.5703125" style="1" bestFit="1" customWidth="1"/>
    <col min="4352" max="4352" width="13.5703125" style="1" customWidth="1"/>
    <col min="4353" max="4353" width="5.42578125" style="1" bestFit="1" customWidth="1"/>
    <col min="4354" max="4354" width="11.28515625" style="1" bestFit="1" customWidth="1"/>
    <col min="4355" max="4355" width="5.7109375" style="1" bestFit="1" customWidth="1"/>
    <col min="4356" max="4356" width="12" style="1" customWidth="1"/>
    <col min="4357" max="4357" width="15.42578125" style="1" bestFit="1" customWidth="1"/>
    <col min="4358" max="4359" width="15.140625" style="1" bestFit="1" customWidth="1"/>
    <col min="4360" max="4360" width="14.28515625" style="1" bestFit="1" customWidth="1"/>
    <col min="4361" max="4361" width="3.140625" style="1" customWidth="1"/>
    <col min="4362" max="4362" width="6.42578125" style="1" customWidth="1"/>
    <col min="4363" max="4602" width="8.85546875" style="1"/>
    <col min="4603" max="4603" width="5.5703125" style="1" bestFit="1" customWidth="1"/>
    <col min="4604" max="4604" width="9.28515625" style="1" customWidth="1"/>
    <col min="4605" max="4605" width="24.7109375" style="1" customWidth="1"/>
    <col min="4606" max="4606" width="11" style="1" bestFit="1" customWidth="1"/>
    <col min="4607" max="4607" width="7.5703125" style="1" bestFit="1" customWidth="1"/>
    <col min="4608" max="4608" width="13.5703125" style="1" customWidth="1"/>
    <col min="4609" max="4609" width="5.42578125" style="1" bestFit="1" customWidth="1"/>
    <col min="4610" max="4610" width="11.28515625" style="1" bestFit="1" customWidth="1"/>
    <col min="4611" max="4611" width="5.7109375" style="1" bestFit="1" customWidth="1"/>
    <col min="4612" max="4612" width="12" style="1" customWidth="1"/>
    <col min="4613" max="4613" width="15.42578125" style="1" bestFit="1" customWidth="1"/>
    <col min="4614" max="4615" width="15.140625" style="1" bestFit="1" customWidth="1"/>
    <col min="4616" max="4616" width="14.28515625" style="1" bestFit="1" customWidth="1"/>
    <col min="4617" max="4617" width="3.140625" style="1" customWidth="1"/>
    <col min="4618" max="4618" width="6.42578125" style="1" customWidth="1"/>
    <col min="4619" max="4858" width="8.85546875" style="1"/>
    <col min="4859" max="4859" width="5.5703125" style="1" bestFit="1" customWidth="1"/>
    <col min="4860" max="4860" width="9.28515625" style="1" customWidth="1"/>
    <col min="4861" max="4861" width="24.7109375" style="1" customWidth="1"/>
    <col min="4862" max="4862" width="11" style="1" bestFit="1" customWidth="1"/>
    <col min="4863" max="4863" width="7.5703125" style="1" bestFit="1" customWidth="1"/>
    <col min="4864" max="4864" width="13.5703125" style="1" customWidth="1"/>
    <col min="4865" max="4865" width="5.42578125" style="1" bestFit="1" customWidth="1"/>
    <col min="4866" max="4866" width="11.28515625" style="1" bestFit="1" customWidth="1"/>
    <col min="4867" max="4867" width="5.7109375" style="1" bestFit="1" customWidth="1"/>
    <col min="4868" max="4868" width="12" style="1" customWidth="1"/>
    <col min="4869" max="4869" width="15.42578125" style="1" bestFit="1" customWidth="1"/>
    <col min="4870" max="4871" width="15.140625" style="1" bestFit="1" customWidth="1"/>
    <col min="4872" max="4872" width="14.28515625" style="1" bestFit="1" customWidth="1"/>
    <col min="4873" max="4873" width="3.140625" style="1" customWidth="1"/>
    <col min="4874" max="4874" width="6.42578125" style="1" customWidth="1"/>
    <col min="4875" max="5114" width="8.85546875" style="1"/>
    <col min="5115" max="5115" width="5.5703125" style="1" bestFit="1" customWidth="1"/>
    <col min="5116" max="5116" width="9.28515625" style="1" customWidth="1"/>
    <col min="5117" max="5117" width="24.7109375" style="1" customWidth="1"/>
    <col min="5118" max="5118" width="11" style="1" bestFit="1" customWidth="1"/>
    <col min="5119" max="5119" width="7.5703125" style="1" bestFit="1" customWidth="1"/>
    <col min="5120" max="5120" width="13.5703125" style="1" customWidth="1"/>
    <col min="5121" max="5121" width="5.42578125" style="1" bestFit="1" customWidth="1"/>
    <col min="5122" max="5122" width="11.28515625" style="1" bestFit="1" customWidth="1"/>
    <col min="5123" max="5123" width="5.7109375" style="1" bestFit="1" customWidth="1"/>
    <col min="5124" max="5124" width="12" style="1" customWidth="1"/>
    <col min="5125" max="5125" width="15.42578125" style="1" bestFit="1" customWidth="1"/>
    <col min="5126" max="5127" width="15.140625" style="1" bestFit="1" customWidth="1"/>
    <col min="5128" max="5128" width="14.28515625" style="1" bestFit="1" customWidth="1"/>
    <col min="5129" max="5129" width="3.140625" style="1" customWidth="1"/>
    <col min="5130" max="5130" width="6.42578125" style="1" customWidth="1"/>
    <col min="5131" max="5370" width="8.85546875" style="1"/>
    <col min="5371" max="5371" width="5.5703125" style="1" bestFit="1" customWidth="1"/>
    <col min="5372" max="5372" width="9.28515625" style="1" customWidth="1"/>
    <col min="5373" max="5373" width="24.7109375" style="1" customWidth="1"/>
    <col min="5374" max="5374" width="11" style="1" bestFit="1" customWidth="1"/>
    <col min="5375" max="5375" width="7.5703125" style="1" bestFit="1" customWidth="1"/>
    <col min="5376" max="5376" width="13.5703125" style="1" customWidth="1"/>
    <col min="5377" max="5377" width="5.42578125" style="1" bestFit="1" customWidth="1"/>
    <col min="5378" max="5378" width="11.28515625" style="1" bestFit="1" customWidth="1"/>
    <col min="5379" max="5379" width="5.7109375" style="1" bestFit="1" customWidth="1"/>
    <col min="5380" max="5380" width="12" style="1" customWidth="1"/>
    <col min="5381" max="5381" width="15.42578125" style="1" bestFit="1" customWidth="1"/>
    <col min="5382" max="5383" width="15.140625" style="1" bestFit="1" customWidth="1"/>
    <col min="5384" max="5384" width="14.28515625" style="1" bestFit="1" customWidth="1"/>
    <col min="5385" max="5385" width="3.140625" style="1" customWidth="1"/>
    <col min="5386" max="5386" width="6.42578125" style="1" customWidth="1"/>
    <col min="5387" max="5626" width="8.85546875" style="1"/>
    <col min="5627" max="5627" width="5.5703125" style="1" bestFit="1" customWidth="1"/>
    <col min="5628" max="5628" width="9.28515625" style="1" customWidth="1"/>
    <col min="5629" max="5629" width="24.7109375" style="1" customWidth="1"/>
    <col min="5630" max="5630" width="11" style="1" bestFit="1" customWidth="1"/>
    <col min="5631" max="5631" width="7.5703125" style="1" bestFit="1" customWidth="1"/>
    <col min="5632" max="5632" width="13.5703125" style="1" customWidth="1"/>
    <col min="5633" max="5633" width="5.42578125" style="1" bestFit="1" customWidth="1"/>
    <col min="5634" max="5634" width="11.28515625" style="1" bestFit="1" customWidth="1"/>
    <col min="5635" max="5635" width="5.7109375" style="1" bestFit="1" customWidth="1"/>
    <col min="5636" max="5636" width="12" style="1" customWidth="1"/>
    <col min="5637" max="5637" width="15.42578125" style="1" bestFit="1" customWidth="1"/>
    <col min="5638" max="5639" width="15.140625" style="1" bestFit="1" customWidth="1"/>
    <col min="5640" max="5640" width="14.28515625" style="1" bestFit="1" customWidth="1"/>
    <col min="5641" max="5641" width="3.140625" style="1" customWidth="1"/>
    <col min="5642" max="5642" width="6.42578125" style="1" customWidth="1"/>
    <col min="5643" max="5882" width="8.85546875" style="1"/>
    <col min="5883" max="5883" width="5.5703125" style="1" bestFit="1" customWidth="1"/>
    <col min="5884" max="5884" width="9.28515625" style="1" customWidth="1"/>
    <col min="5885" max="5885" width="24.7109375" style="1" customWidth="1"/>
    <col min="5886" max="5886" width="11" style="1" bestFit="1" customWidth="1"/>
    <col min="5887" max="5887" width="7.5703125" style="1" bestFit="1" customWidth="1"/>
    <col min="5888" max="5888" width="13.5703125" style="1" customWidth="1"/>
    <col min="5889" max="5889" width="5.42578125" style="1" bestFit="1" customWidth="1"/>
    <col min="5890" max="5890" width="11.28515625" style="1" bestFit="1" customWidth="1"/>
    <col min="5891" max="5891" width="5.7109375" style="1" bestFit="1" customWidth="1"/>
    <col min="5892" max="5892" width="12" style="1" customWidth="1"/>
    <col min="5893" max="5893" width="15.42578125" style="1" bestFit="1" customWidth="1"/>
    <col min="5894" max="5895" width="15.140625" style="1" bestFit="1" customWidth="1"/>
    <col min="5896" max="5896" width="14.28515625" style="1" bestFit="1" customWidth="1"/>
    <col min="5897" max="5897" width="3.140625" style="1" customWidth="1"/>
    <col min="5898" max="5898" width="6.42578125" style="1" customWidth="1"/>
    <col min="5899" max="6138" width="8.85546875" style="1"/>
    <col min="6139" max="6139" width="5.5703125" style="1" bestFit="1" customWidth="1"/>
    <col min="6140" max="6140" width="9.28515625" style="1" customWidth="1"/>
    <col min="6141" max="6141" width="24.7109375" style="1" customWidth="1"/>
    <col min="6142" max="6142" width="11" style="1" bestFit="1" customWidth="1"/>
    <col min="6143" max="6143" width="7.5703125" style="1" bestFit="1" customWidth="1"/>
    <col min="6144" max="6144" width="13.5703125" style="1" customWidth="1"/>
    <col min="6145" max="6145" width="5.42578125" style="1" bestFit="1" customWidth="1"/>
    <col min="6146" max="6146" width="11.28515625" style="1" bestFit="1" customWidth="1"/>
    <col min="6147" max="6147" width="5.7109375" style="1" bestFit="1" customWidth="1"/>
    <col min="6148" max="6148" width="12" style="1" customWidth="1"/>
    <col min="6149" max="6149" width="15.42578125" style="1" bestFit="1" customWidth="1"/>
    <col min="6150" max="6151" width="15.140625" style="1" bestFit="1" customWidth="1"/>
    <col min="6152" max="6152" width="14.28515625" style="1" bestFit="1" customWidth="1"/>
    <col min="6153" max="6153" width="3.140625" style="1" customWidth="1"/>
    <col min="6154" max="6154" width="6.42578125" style="1" customWidth="1"/>
    <col min="6155" max="6394" width="8.85546875" style="1"/>
    <col min="6395" max="6395" width="5.5703125" style="1" bestFit="1" customWidth="1"/>
    <col min="6396" max="6396" width="9.28515625" style="1" customWidth="1"/>
    <col min="6397" max="6397" width="24.7109375" style="1" customWidth="1"/>
    <col min="6398" max="6398" width="11" style="1" bestFit="1" customWidth="1"/>
    <col min="6399" max="6399" width="7.5703125" style="1" bestFit="1" customWidth="1"/>
    <col min="6400" max="6400" width="13.5703125" style="1" customWidth="1"/>
    <col min="6401" max="6401" width="5.42578125" style="1" bestFit="1" customWidth="1"/>
    <col min="6402" max="6402" width="11.28515625" style="1" bestFit="1" customWidth="1"/>
    <col min="6403" max="6403" width="5.7109375" style="1" bestFit="1" customWidth="1"/>
    <col min="6404" max="6404" width="12" style="1" customWidth="1"/>
    <col min="6405" max="6405" width="15.42578125" style="1" bestFit="1" customWidth="1"/>
    <col min="6406" max="6407" width="15.140625" style="1" bestFit="1" customWidth="1"/>
    <col min="6408" max="6408" width="14.28515625" style="1" bestFit="1" customWidth="1"/>
    <col min="6409" max="6409" width="3.140625" style="1" customWidth="1"/>
    <col min="6410" max="6410" width="6.42578125" style="1" customWidth="1"/>
    <col min="6411" max="6650" width="8.85546875" style="1"/>
    <col min="6651" max="6651" width="5.5703125" style="1" bestFit="1" customWidth="1"/>
    <col min="6652" max="6652" width="9.28515625" style="1" customWidth="1"/>
    <col min="6653" max="6653" width="24.7109375" style="1" customWidth="1"/>
    <col min="6654" max="6654" width="11" style="1" bestFit="1" customWidth="1"/>
    <col min="6655" max="6655" width="7.5703125" style="1" bestFit="1" customWidth="1"/>
    <col min="6656" max="6656" width="13.5703125" style="1" customWidth="1"/>
    <col min="6657" max="6657" width="5.42578125" style="1" bestFit="1" customWidth="1"/>
    <col min="6658" max="6658" width="11.28515625" style="1" bestFit="1" customWidth="1"/>
    <col min="6659" max="6659" width="5.7109375" style="1" bestFit="1" customWidth="1"/>
    <col min="6660" max="6660" width="12" style="1" customWidth="1"/>
    <col min="6661" max="6661" width="15.42578125" style="1" bestFit="1" customWidth="1"/>
    <col min="6662" max="6663" width="15.140625" style="1" bestFit="1" customWidth="1"/>
    <col min="6664" max="6664" width="14.28515625" style="1" bestFit="1" customWidth="1"/>
    <col min="6665" max="6665" width="3.140625" style="1" customWidth="1"/>
    <col min="6666" max="6666" width="6.42578125" style="1" customWidth="1"/>
    <col min="6667" max="6906" width="8.85546875" style="1"/>
    <col min="6907" max="6907" width="5.5703125" style="1" bestFit="1" customWidth="1"/>
    <col min="6908" max="6908" width="9.28515625" style="1" customWidth="1"/>
    <col min="6909" max="6909" width="24.7109375" style="1" customWidth="1"/>
    <col min="6910" max="6910" width="11" style="1" bestFit="1" customWidth="1"/>
    <col min="6911" max="6911" width="7.5703125" style="1" bestFit="1" customWidth="1"/>
    <col min="6912" max="6912" width="13.5703125" style="1" customWidth="1"/>
    <col min="6913" max="6913" width="5.42578125" style="1" bestFit="1" customWidth="1"/>
    <col min="6914" max="6914" width="11.28515625" style="1" bestFit="1" customWidth="1"/>
    <col min="6915" max="6915" width="5.7109375" style="1" bestFit="1" customWidth="1"/>
    <col min="6916" max="6916" width="12" style="1" customWidth="1"/>
    <col min="6917" max="6917" width="15.42578125" style="1" bestFit="1" customWidth="1"/>
    <col min="6918" max="6919" width="15.140625" style="1" bestFit="1" customWidth="1"/>
    <col min="6920" max="6920" width="14.28515625" style="1" bestFit="1" customWidth="1"/>
    <col min="6921" max="6921" width="3.140625" style="1" customWidth="1"/>
    <col min="6922" max="6922" width="6.42578125" style="1" customWidth="1"/>
    <col min="6923" max="7162" width="8.85546875" style="1"/>
    <col min="7163" max="7163" width="5.5703125" style="1" bestFit="1" customWidth="1"/>
    <col min="7164" max="7164" width="9.28515625" style="1" customWidth="1"/>
    <col min="7165" max="7165" width="24.7109375" style="1" customWidth="1"/>
    <col min="7166" max="7166" width="11" style="1" bestFit="1" customWidth="1"/>
    <col min="7167" max="7167" width="7.5703125" style="1" bestFit="1" customWidth="1"/>
    <col min="7168" max="7168" width="13.5703125" style="1" customWidth="1"/>
    <col min="7169" max="7169" width="5.42578125" style="1" bestFit="1" customWidth="1"/>
    <col min="7170" max="7170" width="11.28515625" style="1" bestFit="1" customWidth="1"/>
    <col min="7171" max="7171" width="5.7109375" style="1" bestFit="1" customWidth="1"/>
    <col min="7172" max="7172" width="12" style="1" customWidth="1"/>
    <col min="7173" max="7173" width="15.42578125" style="1" bestFit="1" customWidth="1"/>
    <col min="7174" max="7175" width="15.140625" style="1" bestFit="1" customWidth="1"/>
    <col min="7176" max="7176" width="14.28515625" style="1" bestFit="1" customWidth="1"/>
    <col min="7177" max="7177" width="3.140625" style="1" customWidth="1"/>
    <col min="7178" max="7178" width="6.42578125" style="1" customWidth="1"/>
    <col min="7179" max="7418" width="8.85546875" style="1"/>
    <col min="7419" max="7419" width="5.5703125" style="1" bestFit="1" customWidth="1"/>
    <col min="7420" max="7420" width="9.28515625" style="1" customWidth="1"/>
    <col min="7421" max="7421" width="24.7109375" style="1" customWidth="1"/>
    <col min="7422" max="7422" width="11" style="1" bestFit="1" customWidth="1"/>
    <col min="7423" max="7423" width="7.5703125" style="1" bestFit="1" customWidth="1"/>
    <col min="7424" max="7424" width="13.5703125" style="1" customWidth="1"/>
    <col min="7425" max="7425" width="5.42578125" style="1" bestFit="1" customWidth="1"/>
    <col min="7426" max="7426" width="11.28515625" style="1" bestFit="1" customWidth="1"/>
    <col min="7427" max="7427" width="5.7109375" style="1" bestFit="1" customWidth="1"/>
    <col min="7428" max="7428" width="12" style="1" customWidth="1"/>
    <col min="7429" max="7429" width="15.42578125" style="1" bestFit="1" customWidth="1"/>
    <col min="7430" max="7431" width="15.140625" style="1" bestFit="1" customWidth="1"/>
    <col min="7432" max="7432" width="14.28515625" style="1" bestFit="1" customWidth="1"/>
    <col min="7433" max="7433" width="3.140625" style="1" customWidth="1"/>
    <col min="7434" max="7434" width="6.42578125" style="1" customWidth="1"/>
    <col min="7435" max="7674" width="8.85546875" style="1"/>
    <col min="7675" max="7675" width="5.5703125" style="1" bestFit="1" customWidth="1"/>
    <col min="7676" max="7676" width="9.28515625" style="1" customWidth="1"/>
    <col min="7677" max="7677" width="24.7109375" style="1" customWidth="1"/>
    <col min="7678" max="7678" width="11" style="1" bestFit="1" customWidth="1"/>
    <col min="7679" max="7679" width="7.5703125" style="1" bestFit="1" customWidth="1"/>
    <col min="7680" max="7680" width="13.5703125" style="1" customWidth="1"/>
    <col min="7681" max="7681" width="5.42578125" style="1" bestFit="1" customWidth="1"/>
    <col min="7682" max="7682" width="11.28515625" style="1" bestFit="1" customWidth="1"/>
    <col min="7683" max="7683" width="5.7109375" style="1" bestFit="1" customWidth="1"/>
    <col min="7684" max="7684" width="12" style="1" customWidth="1"/>
    <col min="7685" max="7685" width="15.42578125" style="1" bestFit="1" customWidth="1"/>
    <col min="7686" max="7687" width="15.140625" style="1" bestFit="1" customWidth="1"/>
    <col min="7688" max="7688" width="14.28515625" style="1" bestFit="1" customWidth="1"/>
    <col min="7689" max="7689" width="3.140625" style="1" customWidth="1"/>
    <col min="7690" max="7690" width="6.42578125" style="1" customWidth="1"/>
    <col min="7691" max="7930" width="8.85546875" style="1"/>
    <col min="7931" max="7931" width="5.5703125" style="1" bestFit="1" customWidth="1"/>
    <col min="7932" max="7932" width="9.28515625" style="1" customWidth="1"/>
    <col min="7933" max="7933" width="24.7109375" style="1" customWidth="1"/>
    <col min="7934" max="7934" width="11" style="1" bestFit="1" customWidth="1"/>
    <col min="7935" max="7935" width="7.5703125" style="1" bestFit="1" customWidth="1"/>
    <col min="7936" max="7936" width="13.5703125" style="1" customWidth="1"/>
    <col min="7937" max="7937" width="5.42578125" style="1" bestFit="1" customWidth="1"/>
    <col min="7938" max="7938" width="11.28515625" style="1" bestFit="1" customWidth="1"/>
    <col min="7939" max="7939" width="5.7109375" style="1" bestFit="1" customWidth="1"/>
    <col min="7940" max="7940" width="12" style="1" customWidth="1"/>
    <col min="7941" max="7941" width="15.42578125" style="1" bestFit="1" customWidth="1"/>
    <col min="7942" max="7943" width="15.140625" style="1" bestFit="1" customWidth="1"/>
    <col min="7944" max="7944" width="14.28515625" style="1" bestFit="1" customWidth="1"/>
    <col min="7945" max="7945" width="3.140625" style="1" customWidth="1"/>
    <col min="7946" max="7946" width="6.42578125" style="1" customWidth="1"/>
    <col min="7947" max="8186" width="8.85546875" style="1"/>
    <col min="8187" max="8187" width="5.5703125" style="1" bestFit="1" customWidth="1"/>
    <col min="8188" max="8188" width="9.28515625" style="1" customWidth="1"/>
    <col min="8189" max="8189" width="24.7109375" style="1" customWidth="1"/>
    <col min="8190" max="8190" width="11" style="1" bestFit="1" customWidth="1"/>
    <col min="8191" max="8191" width="7.5703125" style="1" bestFit="1" customWidth="1"/>
    <col min="8192" max="8192" width="13.5703125" style="1" customWidth="1"/>
    <col min="8193" max="8193" width="5.42578125" style="1" bestFit="1" customWidth="1"/>
    <col min="8194" max="8194" width="11.28515625" style="1" bestFit="1" customWidth="1"/>
    <col min="8195" max="8195" width="5.7109375" style="1" bestFit="1" customWidth="1"/>
    <col min="8196" max="8196" width="12" style="1" customWidth="1"/>
    <col min="8197" max="8197" width="15.42578125" style="1" bestFit="1" customWidth="1"/>
    <col min="8198" max="8199" width="15.140625" style="1" bestFit="1" customWidth="1"/>
    <col min="8200" max="8200" width="14.28515625" style="1" bestFit="1" customWidth="1"/>
    <col min="8201" max="8201" width="3.140625" style="1" customWidth="1"/>
    <col min="8202" max="8202" width="6.42578125" style="1" customWidth="1"/>
    <col min="8203" max="8442" width="8.85546875" style="1"/>
    <col min="8443" max="8443" width="5.5703125" style="1" bestFit="1" customWidth="1"/>
    <col min="8444" max="8444" width="9.28515625" style="1" customWidth="1"/>
    <col min="8445" max="8445" width="24.7109375" style="1" customWidth="1"/>
    <col min="8446" max="8446" width="11" style="1" bestFit="1" customWidth="1"/>
    <col min="8447" max="8447" width="7.5703125" style="1" bestFit="1" customWidth="1"/>
    <col min="8448" max="8448" width="13.5703125" style="1" customWidth="1"/>
    <col min="8449" max="8449" width="5.42578125" style="1" bestFit="1" customWidth="1"/>
    <col min="8450" max="8450" width="11.28515625" style="1" bestFit="1" customWidth="1"/>
    <col min="8451" max="8451" width="5.7109375" style="1" bestFit="1" customWidth="1"/>
    <col min="8452" max="8452" width="12" style="1" customWidth="1"/>
    <col min="8453" max="8453" width="15.42578125" style="1" bestFit="1" customWidth="1"/>
    <col min="8454" max="8455" width="15.140625" style="1" bestFit="1" customWidth="1"/>
    <col min="8456" max="8456" width="14.28515625" style="1" bestFit="1" customWidth="1"/>
    <col min="8457" max="8457" width="3.140625" style="1" customWidth="1"/>
    <col min="8458" max="8458" width="6.42578125" style="1" customWidth="1"/>
    <col min="8459" max="8698" width="8.85546875" style="1"/>
    <col min="8699" max="8699" width="5.5703125" style="1" bestFit="1" customWidth="1"/>
    <col min="8700" max="8700" width="9.28515625" style="1" customWidth="1"/>
    <col min="8701" max="8701" width="24.7109375" style="1" customWidth="1"/>
    <col min="8702" max="8702" width="11" style="1" bestFit="1" customWidth="1"/>
    <col min="8703" max="8703" width="7.5703125" style="1" bestFit="1" customWidth="1"/>
    <col min="8704" max="8704" width="13.5703125" style="1" customWidth="1"/>
    <col min="8705" max="8705" width="5.42578125" style="1" bestFit="1" customWidth="1"/>
    <col min="8706" max="8706" width="11.28515625" style="1" bestFit="1" customWidth="1"/>
    <col min="8707" max="8707" width="5.7109375" style="1" bestFit="1" customWidth="1"/>
    <col min="8708" max="8708" width="12" style="1" customWidth="1"/>
    <col min="8709" max="8709" width="15.42578125" style="1" bestFit="1" customWidth="1"/>
    <col min="8710" max="8711" width="15.140625" style="1" bestFit="1" customWidth="1"/>
    <col min="8712" max="8712" width="14.28515625" style="1" bestFit="1" customWidth="1"/>
    <col min="8713" max="8713" width="3.140625" style="1" customWidth="1"/>
    <col min="8714" max="8714" width="6.42578125" style="1" customWidth="1"/>
    <col min="8715" max="8954" width="8.85546875" style="1"/>
    <col min="8955" max="8955" width="5.5703125" style="1" bestFit="1" customWidth="1"/>
    <col min="8956" max="8956" width="9.28515625" style="1" customWidth="1"/>
    <col min="8957" max="8957" width="24.7109375" style="1" customWidth="1"/>
    <col min="8958" max="8958" width="11" style="1" bestFit="1" customWidth="1"/>
    <col min="8959" max="8959" width="7.5703125" style="1" bestFit="1" customWidth="1"/>
    <col min="8960" max="8960" width="13.5703125" style="1" customWidth="1"/>
    <col min="8961" max="8961" width="5.42578125" style="1" bestFit="1" customWidth="1"/>
    <col min="8962" max="8962" width="11.28515625" style="1" bestFit="1" customWidth="1"/>
    <col min="8963" max="8963" width="5.7109375" style="1" bestFit="1" customWidth="1"/>
    <col min="8964" max="8964" width="12" style="1" customWidth="1"/>
    <col min="8965" max="8965" width="15.42578125" style="1" bestFit="1" customWidth="1"/>
    <col min="8966" max="8967" width="15.140625" style="1" bestFit="1" customWidth="1"/>
    <col min="8968" max="8968" width="14.28515625" style="1" bestFit="1" customWidth="1"/>
    <col min="8969" max="8969" width="3.140625" style="1" customWidth="1"/>
    <col min="8970" max="8970" width="6.42578125" style="1" customWidth="1"/>
    <col min="8971" max="9210" width="8.85546875" style="1"/>
    <col min="9211" max="9211" width="5.5703125" style="1" bestFit="1" customWidth="1"/>
    <col min="9212" max="9212" width="9.28515625" style="1" customWidth="1"/>
    <col min="9213" max="9213" width="24.7109375" style="1" customWidth="1"/>
    <col min="9214" max="9214" width="11" style="1" bestFit="1" customWidth="1"/>
    <col min="9215" max="9215" width="7.5703125" style="1" bestFit="1" customWidth="1"/>
    <col min="9216" max="9216" width="13.5703125" style="1" customWidth="1"/>
    <col min="9217" max="9217" width="5.42578125" style="1" bestFit="1" customWidth="1"/>
    <col min="9218" max="9218" width="11.28515625" style="1" bestFit="1" customWidth="1"/>
    <col min="9219" max="9219" width="5.7109375" style="1" bestFit="1" customWidth="1"/>
    <col min="9220" max="9220" width="12" style="1" customWidth="1"/>
    <col min="9221" max="9221" width="15.42578125" style="1" bestFit="1" customWidth="1"/>
    <col min="9222" max="9223" width="15.140625" style="1" bestFit="1" customWidth="1"/>
    <col min="9224" max="9224" width="14.28515625" style="1" bestFit="1" customWidth="1"/>
    <col min="9225" max="9225" width="3.140625" style="1" customWidth="1"/>
    <col min="9226" max="9226" width="6.42578125" style="1" customWidth="1"/>
    <col min="9227" max="9466" width="8.85546875" style="1"/>
    <col min="9467" max="9467" width="5.5703125" style="1" bestFit="1" customWidth="1"/>
    <col min="9468" max="9468" width="9.28515625" style="1" customWidth="1"/>
    <col min="9469" max="9469" width="24.7109375" style="1" customWidth="1"/>
    <col min="9470" max="9470" width="11" style="1" bestFit="1" customWidth="1"/>
    <col min="9471" max="9471" width="7.5703125" style="1" bestFit="1" customWidth="1"/>
    <col min="9472" max="9472" width="13.5703125" style="1" customWidth="1"/>
    <col min="9473" max="9473" width="5.42578125" style="1" bestFit="1" customWidth="1"/>
    <col min="9474" max="9474" width="11.28515625" style="1" bestFit="1" customWidth="1"/>
    <col min="9475" max="9475" width="5.7109375" style="1" bestFit="1" customWidth="1"/>
    <col min="9476" max="9476" width="12" style="1" customWidth="1"/>
    <col min="9477" max="9477" width="15.42578125" style="1" bestFit="1" customWidth="1"/>
    <col min="9478" max="9479" width="15.140625" style="1" bestFit="1" customWidth="1"/>
    <col min="9480" max="9480" width="14.28515625" style="1" bestFit="1" customWidth="1"/>
    <col min="9481" max="9481" width="3.140625" style="1" customWidth="1"/>
    <col min="9482" max="9482" width="6.42578125" style="1" customWidth="1"/>
    <col min="9483" max="9722" width="8.85546875" style="1"/>
    <col min="9723" max="9723" width="5.5703125" style="1" bestFit="1" customWidth="1"/>
    <col min="9724" max="9724" width="9.28515625" style="1" customWidth="1"/>
    <col min="9725" max="9725" width="24.7109375" style="1" customWidth="1"/>
    <col min="9726" max="9726" width="11" style="1" bestFit="1" customWidth="1"/>
    <col min="9727" max="9727" width="7.5703125" style="1" bestFit="1" customWidth="1"/>
    <col min="9728" max="9728" width="13.5703125" style="1" customWidth="1"/>
    <col min="9729" max="9729" width="5.42578125" style="1" bestFit="1" customWidth="1"/>
    <col min="9730" max="9730" width="11.28515625" style="1" bestFit="1" customWidth="1"/>
    <col min="9731" max="9731" width="5.7109375" style="1" bestFit="1" customWidth="1"/>
    <col min="9732" max="9732" width="12" style="1" customWidth="1"/>
    <col min="9733" max="9733" width="15.42578125" style="1" bestFit="1" customWidth="1"/>
    <col min="9734" max="9735" width="15.140625" style="1" bestFit="1" customWidth="1"/>
    <col min="9736" max="9736" width="14.28515625" style="1" bestFit="1" customWidth="1"/>
    <col min="9737" max="9737" width="3.140625" style="1" customWidth="1"/>
    <col min="9738" max="9738" width="6.42578125" style="1" customWidth="1"/>
    <col min="9739" max="9978" width="8.85546875" style="1"/>
    <col min="9979" max="9979" width="5.5703125" style="1" bestFit="1" customWidth="1"/>
    <col min="9980" max="9980" width="9.28515625" style="1" customWidth="1"/>
    <col min="9981" max="9981" width="24.7109375" style="1" customWidth="1"/>
    <col min="9982" max="9982" width="11" style="1" bestFit="1" customWidth="1"/>
    <col min="9983" max="9983" width="7.5703125" style="1" bestFit="1" customWidth="1"/>
    <col min="9984" max="9984" width="13.5703125" style="1" customWidth="1"/>
    <col min="9985" max="9985" width="5.42578125" style="1" bestFit="1" customWidth="1"/>
    <col min="9986" max="9986" width="11.28515625" style="1" bestFit="1" customWidth="1"/>
    <col min="9987" max="9987" width="5.7109375" style="1" bestFit="1" customWidth="1"/>
    <col min="9988" max="9988" width="12" style="1" customWidth="1"/>
    <col min="9989" max="9989" width="15.42578125" style="1" bestFit="1" customWidth="1"/>
    <col min="9990" max="9991" width="15.140625" style="1" bestFit="1" customWidth="1"/>
    <col min="9992" max="9992" width="14.28515625" style="1" bestFit="1" customWidth="1"/>
    <col min="9993" max="9993" width="3.140625" style="1" customWidth="1"/>
    <col min="9994" max="9994" width="6.42578125" style="1" customWidth="1"/>
    <col min="9995" max="10234" width="8.85546875" style="1"/>
    <col min="10235" max="10235" width="5.5703125" style="1" bestFit="1" customWidth="1"/>
    <col min="10236" max="10236" width="9.28515625" style="1" customWidth="1"/>
    <col min="10237" max="10237" width="24.7109375" style="1" customWidth="1"/>
    <col min="10238" max="10238" width="11" style="1" bestFit="1" customWidth="1"/>
    <col min="10239" max="10239" width="7.5703125" style="1" bestFit="1" customWidth="1"/>
    <col min="10240" max="10240" width="13.5703125" style="1" customWidth="1"/>
    <col min="10241" max="10241" width="5.42578125" style="1" bestFit="1" customWidth="1"/>
    <col min="10242" max="10242" width="11.28515625" style="1" bestFit="1" customWidth="1"/>
    <col min="10243" max="10243" width="5.7109375" style="1" bestFit="1" customWidth="1"/>
    <col min="10244" max="10244" width="12" style="1" customWidth="1"/>
    <col min="10245" max="10245" width="15.42578125" style="1" bestFit="1" customWidth="1"/>
    <col min="10246" max="10247" width="15.140625" style="1" bestFit="1" customWidth="1"/>
    <col min="10248" max="10248" width="14.28515625" style="1" bestFit="1" customWidth="1"/>
    <col min="10249" max="10249" width="3.140625" style="1" customWidth="1"/>
    <col min="10250" max="10250" width="6.42578125" style="1" customWidth="1"/>
    <col min="10251" max="10490" width="8.85546875" style="1"/>
    <col min="10491" max="10491" width="5.5703125" style="1" bestFit="1" customWidth="1"/>
    <col min="10492" max="10492" width="9.28515625" style="1" customWidth="1"/>
    <col min="10493" max="10493" width="24.7109375" style="1" customWidth="1"/>
    <col min="10494" max="10494" width="11" style="1" bestFit="1" customWidth="1"/>
    <col min="10495" max="10495" width="7.5703125" style="1" bestFit="1" customWidth="1"/>
    <col min="10496" max="10496" width="13.5703125" style="1" customWidth="1"/>
    <col min="10497" max="10497" width="5.42578125" style="1" bestFit="1" customWidth="1"/>
    <col min="10498" max="10498" width="11.28515625" style="1" bestFit="1" customWidth="1"/>
    <col min="10499" max="10499" width="5.7109375" style="1" bestFit="1" customWidth="1"/>
    <col min="10500" max="10500" width="12" style="1" customWidth="1"/>
    <col min="10501" max="10501" width="15.42578125" style="1" bestFit="1" customWidth="1"/>
    <col min="10502" max="10503" width="15.140625" style="1" bestFit="1" customWidth="1"/>
    <col min="10504" max="10504" width="14.28515625" style="1" bestFit="1" customWidth="1"/>
    <col min="10505" max="10505" width="3.140625" style="1" customWidth="1"/>
    <col min="10506" max="10506" width="6.42578125" style="1" customWidth="1"/>
    <col min="10507" max="10746" width="8.85546875" style="1"/>
    <col min="10747" max="10747" width="5.5703125" style="1" bestFit="1" customWidth="1"/>
    <col min="10748" max="10748" width="9.28515625" style="1" customWidth="1"/>
    <col min="10749" max="10749" width="24.7109375" style="1" customWidth="1"/>
    <col min="10750" max="10750" width="11" style="1" bestFit="1" customWidth="1"/>
    <col min="10751" max="10751" width="7.5703125" style="1" bestFit="1" customWidth="1"/>
    <col min="10752" max="10752" width="13.5703125" style="1" customWidth="1"/>
    <col min="10753" max="10753" width="5.42578125" style="1" bestFit="1" customWidth="1"/>
    <col min="10754" max="10754" width="11.28515625" style="1" bestFit="1" customWidth="1"/>
    <col min="10755" max="10755" width="5.7109375" style="1" bestFit="1" customWidth="1"/>
    <col min="10756" max="10756" width="12" style="1" customWidth="1"/>
    <col min="10757" max="10757" width="15.42578125" style="1" bestFit="1" customWidth="1"/>
    <col min="10758" max="10759" width="15.140625" style="1" bestFit="1" customWidth="1"/>
    <col min="10760" max="10760" width="14.28515625" style="1" bestFit="1" customWidth="1"/>
    <col min="10761" max="10761" width="3.140625" style="1" customWidth="1"/>
    <col min="10762" max="10762" width="6.42578125" style="1" customWidth="1"/>
    <col min="10763" max="11002" width="8.85546875" style="1"/>
    <col min="11003" max="11003" width="5.5703125" style="1" bestFit="1" customWidth="1"/>
    <col min="11004" max="11004" width="9.28515625" style="1" customWidth="1"/>
    <col min="11005" max="11005" width="24.7109375" style="1" customWidth="1"/>
    <col min="11006" max="11006" width="11" style="1" bestFit="1" customWidth="1"/>
    <col min="11007" max="11007" width="7.5703125" style="1" bestFit="1" customWidth="1"/>
    <col min="11008" max="11008" width="13.5703125" style="1" customWidth="1"/>
    <col min="11009" max="11009" width="5.42578125" style="1" bestFit="1" customWidth="1"/>
    <col min="11010" max="11010" width="11.28515625" style="1" bestFit="1" customWidth="1"/>
    <col min="11011" max="11011" width="5.7109375" style="1" bestFit="1" customWidth="1"/>
    <col min="11012" max="11012" width="12" style="1" customWidth="1"/>
    <col min="11013" max="11013" width="15.42578125" style="1" bestFit="1" customWidth="1"/>
    <col min="11014" max="11015" width="15.140625" style="1" bestFit="1" customWidth="1"/>
    <col min="11016" max="11016" width="14.28515625" style="1" bestFit="1" customWidth="1"/>
    <col min="11017" max="11017" width="3.140625" style="1" customWidth="1"/>
    <col min="11018" max="11018" width="6.42578125" style="1" customWidth="1"/>
    <col min="11019" max="11258" width="8.85546875" style="1"/>
    <col min="11259" max="11259" width="5.5703125" style="1" bestFit="1" customWidth="1"/>
    <col min="11260" max="11260" width="9.28515625" style="1" customWidth="1"/>
    <col min="11261" max="11261" width="24.7109375" style="1" customWidth="1"/>
    <col min="11262" max="11262" width="11" style="1" bestFit="1" customWidth="1"/>
    <col min="11263" max="11263" width="7.5703125" style="1" bestFit="1" customWidth="1"/>
    <col min="11264" max="11264" width="13.5703125" style="1" customWidth="1"/>
    <col min="11265" max="11265" width="5.42578125" style="1" bestFit="1" customWidth="1"/>
    <col min="11266" max="11266" width="11.28515625" style="1" bestFit="1" customWidth="1"/>
    <col min="11267" max="11267" width="5.7109375" style="1" bestFit="1" customWidth="1"/>
    <col min="11268" max="11268" width="12" style="1" customWidth="1"/>
    <col min="11269" max="11269" width="15.42578125" style="1" bestFit="1" customWidth="1"/>
    <col min="11270" max="11271" width="15.140625" style="1" bestFit="1" customWidth="1"/>
    <col min="11272" max="11272" width="14.28515625" style="1" bestFit="1" customWidth="1"/>
    <col min="11273" max="11273" width="3.140625" style="1" customWidth="1"/>
    <col min="11274" max="11274" width="6.42578125" style="1" customWidth="1"/>
    <col min="11275" max="11514" width="8.85546875" style="1"/>
    <col min="11515" max="11515" width="5.5703125" style="1" bestFit="1" customWidth="1"/>
    <col min="11516" max="11516" width="9.28515625" style="1" customWidth="1"/>
    <col min="11517" max="11517" width="24.7109375" style="1" customWidth="1"/>
    <col min="11518" max="11518" width="11" style="1" bestFit="1" customWidth="1"/>
    <col min="11519" max="11519" width="7.5703125" style="1" bestFit="1" customWidth="1"/>
    <col min="11520" max="11520" width="13.5703125" style="1" customWidth="1"/>
    <col min="11521" max="11521" width="5.42578125" style="1" bestFit="1" customWidth="1"/>
    <col min="11522" max="11522" width="11.28515625" style="1" bestFit="1" customWidth="1"/>
    <col min="11523" max="11523" width="5.7109375" style="1" bestFit="1" customWidth="1"/>
    <col min="11524" max="11524" width="12" style="1" customWidth="1"/>
    <col min="11525" max="11525" width="15.42578125" style="1" bestFit="1" customWidth="1"/>
    <col min="11526" max="11527" width="15.140625" style="1" bestFit="1" customWidth="1"/>
    <col min="11528" max="11528" width="14.28515625" style="1" bestFit="1" customWidth="1"/>
    <col min="11529" max="11529" width="3.140625" style="1" customWidth="1"/>
    <col min="11530" max="11530" width="6.42578125" style="1" customWidth="1"/>
    <col min="11531" max="11770" width="8.85546875" style="1"/>
    <col min="11771" max="11771" width="5.5703125" style="1" bestFit="1" customWidth="1"/>
    <col min="11772" max="11772" width="9.28515625" style="1" customWidth="1"/>
    <col min="11773" max="11773" width="24.7109375" style="1" customWidth="1"/>
    <col min="11774" max="11774" width="11" style="1" bestFit="1" customWidth="1"/>
    <col min="11775" max="11775" width="7.5703125" style="1" bestFit="1" customWidth="1"/>
    <col min="11776" max="11776" width="13.5703125" style="1" customWidth="1"/>
    <col min="11777" max="11777" width="5.42578125" style="1" bestFit="1" customWidth="1"/>
    <col min="11778" max="11778" width="11.28515625" style="1" bestFit="1" customWidth="1"/>
    <col min="11779" max="11779" width="5.7109375" style="1" bestFit="1" customWidth="1"/>
    <col min="11780" max="11780" width="12" style="1" customWidth="1"/>
    <col min="11781" max="11781" width="15.42578125" style="1" bestFit="1" customWidth="1"/>
    <col min="11782" max="11783" width="15.140625" style="1" bestFit="1" customWidth="1"/>
    <col min="11784" max="11784" width="14.28515625" style="1" bestFit="1" customWidth="1"/>
    <col min="11785" max="11785" width="3.140625" style="1" customWidth="1"/>
    <col min="11786" max="11786" width="6.42578125" style="1" customWidth="1"/>
    <col min="11787" max="12026" width="8.85546875" style="1"/>
    <col min="12027" max="12027" width="5.5703125" style="1" bestFit="1" customWidth="1"/>
    <col min="12028" max="12028" width="9.28515625" style="1" customWidth="1"/>
    <col min="12029" max="12029" width="24.7109375" style="1" customWidth="1"/>
    <col min="12030" max="12030" width="11" style="1" bestFit="1" customWidth="1"/>
    <col min="12031" max="12031" width="7.5703125" style="1" bestFit="1" customWidth="1"/>
    <col min="12032" max="12032" width="13.5703125" style="1" customWidth="1"/>
    <col min="12033" max="12033" width="5.42578125" style="1" bestFit="1" customWidth="1"/>
    <col min="12034" max="12034" width="11.28515625" style="1" bestFit="1" customWidth="1"/>
    <col min="12035" max="12035" width="5.7109375" style="1" bestFit="1" customWidth="1"/>
    <col min="12036" max="12036" width="12" style="1" customWidth="1"/>
    <col min="12037" max="12037" width="15.42578125" style="1" bestFit="1" customWidth="1"/>
    <col min="12038" max="12039" width="15.140625" style="1" bestFit="1" customWidth="1"/>
    <col min="12040" max="12040" width="14.28515625" style="1" bestFit="1" customWidth="1"/>
    <col min="12041" max="12041" width="3.140625" style="1" customWidth="1"/>
    <col min="12042" max="12042" width="6.42578125" style="1" customWidth="1"/>
    <col min="12043" max="12282" width="8.85546875" style="1"/>
    <col min="12283" max="12283" width="5.5703125" style="1" bestFit="1" customWidth="1"/>
    <col min="12284" max="12284" width="9.28515625" style="1" customWidth="1"/>
    <col min="12285" max="12285" width="24.7109375" style="1" customWidth="1"/>
    <col min="12286" max="12286" width="11" style="1" bestFit="1" customWidth="1"/>
    <col min="12287" max="12287" width="7.5703125" style="1" bestFit="1" customWidth="1"/>
    <col min="12288" max="12288" width="13.5703125" style="1" customWidth="1"/>
    <col min="12289" max="12289" width="5.42578125" style="1" bestFit="1" customWidth="1"/>
    <col min="12290" max="12290" width="11.28515625" style="1" bestFit="1" customWidth="1"/>
    <col min="12291" max="12291" width="5.7109375" style="1" bestFit="1" customWidth="1"/>
    <col min="12292" max="12292" width="12" style="1" customWidth="1"/>
    <col min="12293" max="12293" width="15.42578125" style="1" bestFit="1" customWidth="1"/>
    <col min="12294" max="12295" width="15.140625" style="1" bestFit="1" customWidth="1"/>
    <col min="12296" max="12296" width="14.28515625" style="1" bestFit="1" customWidth="1"/>
    <col min="12297" max="12297" width="3.140625" style="1" customWidth="1"/>
    <col min="12298" max="12298" width="6.42578125" style="1" customWidth="1"/>
    <col min="12299" max="12538" width="8.85546875" style="1"/>
    <col min="12539" max="12539" width="5.5703125" style="1" bestFit="1" customWidth="1"/>
    <col min="12540" max="12540" width="9.28515625" style="1" customWidth="1"/>
    <col min="12541" max="12541" width="24.7109375" style="1" customWidth="1"/>
    <col min="12542" max="12542" width="11" style="1" bestFit="1" customWidth="1"/>
    <col min="12543" max="12543" width="7.5703125" style="1" bestFit="1" customWidth="1"/>
    <col min="12544" max="12544" width="13.5703125" style="1" customWidth="1"/>
    <col min="12545" max="12545" width="5.42578125" style="1" bestFit="1" customWidth="1"/>
    <col min="12546" max="12546" width="11.28515625" style="1" bestFit="1" customWidth="1"/>
    <col min="12547" max="12547" width="5.7109375" style="1" bestFit="1" customWidth="1"/>
    <col min="12548" max="12548" width="12" style="1" customWidth="1"/>
    <col min="12549" max="12549" width="15.42578125" style="1" bestFit="1" customWidth="1"/>
    <col min="12550" max="12551" width="15.140625" style="1" bestFit="1" customWidth="1"/>
    <col min="12552" max="12552" width="14.28515625" style="1" bestFit="1" customWidth="1"/>
    <col min="12553" max="12553" width="3.140625" style="1" customWidth="1"/>
    <col min="12554" max="12554" width="6.42578125" style="1" customWidth="1"/>
    <col min="12555" max="12794" width="8.85546875" style="1"/>
    <col min="12795" max="12795" width="5.5703125" style="1" bestFit="1" customWidth="1"/>
    <col min="12796" max="12796" width="9.28515625" style="1" customWidth="1"/>
    <col min="12797" max="12797" width="24.7109375" style="1" customWidth="1"/>
    <col min="12798" max="12798" width="11" style="1" bestFit="1" customWidth="1"/>
    <col min="12799" max="12799" width="7.5703125" style="1" bestFit="1" customWidth="1"/>
    <col min="12800" max="12800" width="13.5703125" style="1" customWidth="1"/>
    <col min="12801" max="12801" width="5.42578125" style="1" bestFit="1" customWidth="1"/>
    <col min="12802" max="12802" width="11.28515625" style="1" bestFit="1" customWidth="1"/>
    <col min="12803" max="12803" width="5.7109375" style="1" bestFit="1" customWidth="1"/>
    <col min="12804" max="12804" width="12" style="1" customWidth="1"/>
    <col min="12805" max="12805" width="15.42578125" style="1" bestFit="1" customWidth="1"/>
    <col min="12806" max="12807" width="15.140625" style="1" bestFit="1" customWidth="1"/>
    <col min="12808" max="12808" width="14.28515625" style="1" bestFit="1" customWidth="1"/>
    <col min="12809" max="12809" width="3.140625" style="1" customWidth="1"/>
    <col min="12810" max="12810" width="6.42578125" style="1" customWidth="1"/>
    <col min="12811" max="13050" width="8.85546875" style="1"/>
    <col min="13051" max="13051" width="5.5703125" style="1" bestFit="1" customWidth="1"/>
    <col min="13052" max="13052" width="9.28515625" style="1" customWidth="1"/>
    <col min="13053" max="13053" width="24.7109375" style="1" customWidth="1"/>
    <col min="13054" max="13054" width="11" style="1" bestFit="1" customWidth="1"/>
    <col min="13055" max="13055" width="7.5703125" style="1" bestFit="1" customWidth="1"/>
    <col min="13056" max="13056" width="13.5703125" style="1" customWidth="1"/>
    <col min="13057" max="13057" width="5.42578125" style="1" bestFit="1" customWidth="1"/>
    <col min="13058" max="13058" width="11.28515625" style="1" bestFit="1" customWidth="1"/>
    <col min="13059" max="13059" width="5.7109375" style="1" bestFit="1" customWidth="1"/>
    <col min="13060" max="13060" width="12" style="1" customWidth="1"/>
    <col min="13061" max="13061" width="15.42578125" style="1" bestFit="1" customWidth="1"/>
    <col min="13062" max="13063" width="15.140625" style="1" bestFit="1" customWidth="1"/>
    <col min="13064" max="13064" width="14.28515625" style="1" bestFit="1" customWidth="1"/>
    <col min="13065" max="13065" width="3.140625" style="1" customWidth="1"/>
    <col min="13066" max="13066" width="6.42578125" style="1" customWidth="1"/>
    <col min="13067" max="13306" width="8.85546875" style="1"/>
    <col min="13307" max="13307" width="5.5703125" style="1" bestFit="1" customWidth="1"/>
    <col min="13308" max="13308" width="9.28515625" style="1" customWidth="1"/>
    <col min="13309" max="13309" width="24.7109375" style="1" customWidth="1"/>
    <col min="13310" max="13310" width="11" style="1" bestFit="1" customWidth="1"/>
    <col min="13311" max="13311" width="7.5703125" style="1" bestFit="1" customWidth="1"/>
    <col min="13312" max="13312" width="13.5703125" style="1" customWidth="1"/>
    <col min="13313" max="13313" width="5.42578125" style="1" bestFit="1" customWidth="1"/>
    <col min="13314" max="13314" width="11.28515625" style="1" bestFit="1" customWidth="1"/>
    <col min="13315" max="13315" width="5.7109375" style="1" bestFit="1" customWidth="1"/>
    <col min="13316" max="13316" width="12" style="1" customWidth="1"/>
    <col min="13317" max="13317" width="15.42578125" style="1" bestFit="1" customWidth="1"/>
    <col min="13318" max="13319" width="15.140625" style="1" bestFit="1" customWidth="1"/>
    <col min="13320" max="13320" width="14.28515625" style="1" bestFit="1" customWidth="1"/>
    <col min="13321" max="13321" width="3.140625" style="1" customWidth="1"/>
    <col min="13322" max="13322" width="6.42578125" style="1" customWidth="1"/>
    <col min="13323" max="13562" width="8.85546875" style="1"/>
    <col min="13563" max="13563" width="5.5703125" style="1" bestFit="1" customWidth="1"/>
    <col min="13564" max="13564" width="9.28515625" style="1" customWidth="1"/>
    <col min="13565" max="13565" width="24.7109375" style="1" customWidth="1"/>
    <col min="13566" max="13566" width="11" style="1" bestFit="1" customWidth="1"/>
    <col min="13567" max="13567" width="7.5703125" style="1" bestFit="1" customWidth="1"/>
    <col min="13568" max="13568" width="13.5703125" style="1" customWidth="1"/>
    <col min="13569" max="13569" width="5.42578125" style="1" bestFit="1" customWidth="1"/>
    <col min="13570" max="13570" width="11.28515625" style="1" bestFit="1" customWidth="1"/>
    <col min="13571" max="13571" width="5.7109375" style="1" bestFit="1" customWidth="1"/>
    <col min="13572" max="13572" width="12" style="1" customWidth="1"/>
    <col min="13573" max="13573" width="15.42578125" style="1" bestFit="1" customWidth="1"/>
    <col min="13574" max="13575" width="15.140625" style="1" bestFit="1" customWidth="1"/>
    <col min="13576" max="13576" width="14.28515625" style="1" bestFit="1" customWidth="1"/>
    <col min="13577" max="13577" width="3.140625" style="1" customWidth="1"/>
    <col min="13578" max="13578" width="6.42578125" style="1" customWidth="1"/>
    <col min="13579" max="13818" width="8.85546875" style="1"/>
    <col min="13819" max="13819" width="5.5703125" style="1" bestFit="1" customWidth="1"/>
    <col min="13820" max="13820" width="9.28515625" style="1" customWidth="1"/>
    <col min="13821" max="13821" width="24.7109375" style="1" customWidth="1"/>
    <col min="13822" max="13822" width="11" style="1" bestFit="1" customWidth="1"/>
    <col min="13823" max="13823" width="7.5703125" style="1" bestFit="1" customWidth="1"/>
    <col min="13824" max="13824" width="13.5703125" style="1" customWidth="1"/>
    <col min="13825" max="13825" width="5.42578125" style="1" bestFit="1" customWidth="1"/>
    <col min="13826" max="13826" width="11.28515625" style="1" bestFit="1" customWidth="1"/>
    <col min="13827" max="13827" width="5.7109375" style="1" bestFit="1" customWidth="1"/>
    <col min="13828" max="13828" width="12" style="1" customWidth="1"/>
    <col min="13829" max="13829" width="15.42578125" style="1" bestFit="1" customWidth="1"/>
    <col min="13830" max="13831" width="15.140625" style="1" bestFit="1" customWidth="1"/>
    <col min="13832" max="13832" width="14.28515625" style="1" bestFit="1" customWidth="1"/>
    <col min="13833" max="13833" width="3.140625" style="1" customWidth="1"/>
    <col min="13834" max="13834" width="6.42578125" style="1" customWidth="1"/>
    <col min="13835" max="14074" width="8.85546875" style="1"/>
    <col min="14075" max="14075" width="5.5703125" style="1" bestFit="1" customWidth="1"/>
    <col min="14076" max="14076" width="9.28515625" style="1" customWidth="1"/>
    <col min="14077" max="14077" width="24.7109375" style="1" customWidth="1"/>
    <col min="14078" max="14078" width="11" style="1" bestFit="1" customWidth="1"/>
    <col min="14079" max="14079" width="7.5703125" style="1" bestFit="1" customWidth="1"/>
    <col min="14080" max="14080" width="13.5703125" style="1" customWidth="1"/>
    <col min="14081" max="14081" width="5.42578125" style="1" bestFit="1" customWidth="1"/>
    <col min="14082" max="14082" width="11.28515625" style="1" bestFit="1" customWidth="1"/>
    <col min="14083" max="14083" width="5.7109375" style="1" bestFit="1" customWidth="1"/>
    <col min="14084" max="14084" width="12" style="1" customWidth="1"/>
    <col min="14085" max="14085" width="15.42578125" style="1" bestFit="1" customWidth="1"/>
    <col min="14086" max="14087" width="15.140625" style="1" bestFit="1" customWidth="1"/>
    <col min="14088" max="14088" width="14.28515625" style="1" bestFit="1" customWidth="1"/>
    <col min="14089" max="14089" width="3.140625" style="1" customWidth="1"/>
    <col min="14090" max="14090" width="6.42578125" style="1" customWidth="1"/>
    <col min="14091" max="14330" width="8.85546875" style="1"/>
    <col min="14331" max="14331" width="5.5703125" style="1" bestFit="1" customWidth="1"/>
    <col min="14332" max="14332" width="9.28515625" style="1" customWidth="1"/>
    <col min="14333" max="14333" width="24.7109375" style="1" customWidth="1"/>
    <col min="14334" max="14334" width="11" style="1" bestFit="1" customWidth="1"/>
    <col min="14335" max="14335" width="7.5703125" style="1" bestFit="1" customWidth="1"/>
    <col min="14336" max="14336" width="13.5703125" style="1" customWidth="1"/>
    <col min="14337" max="14337" width="5.42578125" style="1" bestFit="1" customWidth="1"/>
    <col min="14338" max="14338" width="11.28515625" style="1" bestFit="1" customWidth="1"/>
    <col min="14339" max="14339" width="5.7109375" style="1" bestFit="1" customWidth="1"/>
    <col min="14340" max="14340" width="12" style="1" customWidth="1"/>
    <col min="14341" max="14341" width="15.42578125" style="1" bestFit="1" customWidth="1"/>
    <col min="14342" max="14343" width="15.140625" style="1" bestFit="1" customWidth="1"/>
    <col min="14344" max="14344" width="14.28515625" style="1" bestFit="1" customWidth="1"/>
    <col min="14345" max="14345" width="3.140625" style="1" customWidth="1"/>
    <col min="14346" max="14346" width="6.42578125" style="1" customWidth="1"/>
    <col min="14347" max="14586" width="8.85546875" style="1"/>
    <col min="14587" max="14587" width="5.5703125" style="1" bestFit="1" customWidth="1"/>
    <col min="14588" max="14588" width="9.28515625" style="1" customWidth="1"/>
    <col min="14589" max="14589" width="24.7109375" style="1" customWidth="1"/>
    <col min="14590" max="14590" width="11" style="1" bestFit="1" customWidth="1"/>
    <col min="14591" max="14591" width="7.5703125" style="1" bestFit="1" customWidth="1"/>
    <col min="14592" max="14592" width="13.5703125" style="1" customWidth="1"/>
    <col min="14593" max="14593" width="5.42578125" style="1" bestFit="1" customWidth="1"/>
    <col min="14594" max="14594" width="11.28515625" style="1" bestFit="1" customWidth="1"/>
    <col min="14595" max="14595" width="5.7109375" style="1" bestFit="1" customWidth="1"/>
    <col min="14596" max="14596" width="12" style="1" customWidth="1"/>
    <col min="14597" max="14597" width="15.42578125" style="1" bestFit="1" customWidth="1"/>
    <col min="14598" max="14599" width="15.140625" style="1" bestFit="1" customWidth="1"/>
    <col min="14600" max="14600" width="14.28515625" style="1" bestFit="1" customWidth="1"/>
    <col min="14601" max="14601" width="3.140625" style="1" customWidth="1"/>
    <col min="14602" max="14602" width="6.42578125" style="1" customWidth="1"/>
    <col min="14603" max="14842" width="8.85546875" style="1"/>
    <col min="14843" max="14843" width="5.5703125" style="1" bestFit="1" customWidth="1"/>
    <col min="14844" max="14844" width="9.28515625" style="1" customWidth="1"/>
    <col min="14845" max="14845" width="24.7109375" style="1" customWidth="1"/>
    <col min="14846" max="14846" width="11" style="1" bestFit="1" customWidth="1"/>
    <col min="14847" max="14847" width="7.5703125" style="1" bestFit="1" customWidth="1"/>
    <col min="14848" max="14848" width="13.5703125" style="1" customWidth="1"/>
    <col min="14849" max="14849" width="5.42578125" style="1" bestFit="1" customWidth="1"/>
    <col min="14850" max="14850" width="11.28515625" style="1" bestFit="1" customWidth="1"/>
    <col min="14851" max="14851" width="5.7109375" style="1" bestFit="1" customWidth="1"/>
    <col min="14852" max="14852" width="12" style="1" customWidth="1"/>
    <col min="14853" max="14853" width="15.42578125" style="1" bestFit="1" customWidth="1"/>
    <col min="14854" max="14855" width="15.140625" style="1" bestFit="1" customWidth="1"/>
    <col min="14856" max="14856" width="14.28515625" style="1" bestFit="1" customWidth="1"/>
    <col min="14857" max="14857" width="3.140625" style="1" customWidth="1"/>
    <col min="14858" max="14858" width="6.42578125" style="1" customWidth="1"/>
    <col min="14859" max="15098" width="8.85546875" style="1"/>
    <col min="15099" max="15099" width="5.5703125" style="1" bestFit="1" customWidth="1"/>
    <col min="15100" max="15100" width="9.28515625" style="1" customWidth="1"/>
    <col min="15101" max="15101" width="24.7109375" style="1" customWidth="1"/>
    <col min="15102" max="15102" width="11" style="1" bestFit="1" customWidth="1"/>
    <col min="15103" max="15103" width="7.5703125" style="1" bestFit="1" customWidth="1"/>
    <col min="15104" max="15104" width="13.5703125" style="1" customWidth="1"/>
    <col min="15105" max="15105" width="5.42578125" style="1" bestFit="1" customWidth="1"/>
    <col min="15106" max="15106" width="11.28515625" style="1" bestFit="1" customWidth="1"/>
    <col min="15107" max="15107" width="5.7109375" style="1" bestFit="1" customWidth="1"/>
    <col min="15108" max="15108" width="12" style="1" customWidth="1"/>
    <col min="15109" max="15109" width="15.42578125" style="1" bestFit="1" customWidth="1"/>
    <col min="15110" max="15111" width="15.140625" style="1" bestFit="1" customWidth="1"/>
    <col min="15112" max="15112" width="14.28515625" style="1" bestFit="1" customWidth="1"/>
    <col min="15113" max="15113" width="3.140625" style="1" customWidth="1"/>
    <col min="15114" max="15114" width="6.42578125" style="1" customWidth="1"/>
    <col min="15115" max="15354" width="8.85546875" style="1"/>
    <col min="15355" max="15355" width="5.5703125" style="1" bestFit="1" customWidth="1"/>
    <col min="15356" max="15356" width="9.28515625" style="1" customWidth="1"/>
    <col min="15357" max="15357" width="24.7109375" style="1" customWidth="1"/>
    <col min="15358" max="15358" width="11" style="1" bestFit="1" customWidth="1"/>
    <col min="15359" max="15359" width="7.5703125" style="1" bestFit="1" customWidth="1"/>
    <col min="15360" max="15360" width="13.5703125" style="1" customWidth="1"/>
    <col min="15361" max="15361" width="5.42578125" style="1" bestFit="1" customWidth="1"/>
    <col min="15362" max="15362" width="11.28515625" style="1" bestFit="1" customWidth="1"/>
    <col min="15363" max="15363" width="5.7109375" style="1" bestFit="1" customWidth="1"/>
    <col min="15364" max="15364" width="12" style="1" customWidth="1"/>
    <col min="15365" max="15365" width="15.42578125" style="1" bestFit="1" customWidth="1"/>
    <col min="15366" max="15367" width="15.140625" style="1" bestFit="1" customWidth="1"/>
    <col min="15368" max="15368" width="14.28515625" style="1" bestFit="1" customWidth="1"/>
    <col min="15369" max="15369" width="3.140625" style="1" customWidth="1"/>
    <col min="15370" max="15370" width="6.42578125" style="1" customWidth="1"/>
    <col min="15371" max="15610" width="8.85546875" style="1"/>
    <col min="15611" max="15611" width="5.5703125" style="1" bestFit="1" customWidth="1"/>
    <col min="15612" max="15612" width="9.28515625" style="1" customWidth="1"/>
    <col min="15613" max="15613" width="24.7109375" style="1" customWidth="1"/>
    <col min="15614" max="15614" width="11" style="1" bestFit="1" customWidth="1"/>
    <col min="15615" max="15615" width="7.5703125" style="1" bestFit="1" customWidth="1"/>
    <col min="15616" max="15616" width="13.5703125" style="1" customWidth="1"/>
    <col min="15617" max="15617" width="5.42578125" style="1" bestFit="1" customWidth="1"/>
    <col min="15618" max="15618" width="11.28515625" style="1" bestFit="1" customWidth="1"/>
    <col min="15619" max="15619" width="5.7109375" style="1" bestFit="1" customWidth="1"/>
    <col min="15620" max="15620" width="12" style="1" customWidth="1"/>
    <col min="15621" max="15621" width="15.42578125" style="1" bestFit="1" customWidth="1"/>
    <col min="15622" max="15623" width="15.140625" style="1" bestFit="1" customWidth="1"/>
    <col min="15624" max="15624" width="14.28515625" style="1" bestFit="1" customWidth="1"/>
    <col min="15625" max="15625" width="3.140625" style="1" customWidth="1"/>
    <col min="15626" max="15626" width="6.42578125" style="1" customWidth="1"/>
    <col min="15627" max="15866" width="8.85546875" style="1"/>
    <col min="15867" max="15867" width="5.5703125" style="1" bestFit="1" customWidth="1"/>
    <col min="15868" max="15868" width="9.28515625" style="1" customWidth="1"/>
    <col min="15869" max="15869" width="24.7109375" style="1" customWidth="1"/>
    <col min="15870" max="15870" width="11" style="1" bestFit="1" customWidth="1"/>
    <col min="15871" max="15871" width="7.5703125" style="1" bestFit="1" customWidth="1"/>
    <col min="15872" max="15872" width="13.5703125" style="1" customWidth="1"/>
    <col min="15873" max="15873" width="5.42578125" style="1" bestFit="1" customWidth="1"/>
    <col min="15874" max="15874" width="11.28515625" style="1" bestFit="1" customWidth="1"/>
    <col min="15875" max="15875" width="5.7109375" style="1" bestFit="1" customWidth="1"/>
    <col min="15876" max="15876" width="12" style="1" customWidth="1"/>
    <col min="15877" max="15877" width="15.42578125" style="1" bestFit="1" customWidth="1"/>
    <col min="15878" max="15879" width="15.140625" style="1" bestFit="1" customWidth="1"/>
    <col min="15880" max="15880" width="14.28515625" style="1" bestFit="1" customWidth="1"/>
    <col min="15881" max="15881" width="3.140625" style="1" customWidth="1"/>
    <col min="15882" max="15882" width="6.42578125" style="1" customWidth="1"/>
    <col min="15883" max="16122" width="8.85546875" style="1"/>
    <col min="16123" max="16123" width="5.5703125" style="1" bestFit="1" customWidth="1"/>
    <col min="16124" max="16124" width="9.28515625" style="1" customWidth="1"/>
    <col min="16125" max="16125" width="24.7109375" style="1" customWidth="1"/>
    <col min="16126" max="16126" width="11" style="1" bestFit="1" customWidth="1"/>
    <col min="16127" max="16127" width="7.5703125" style="1" bestFit="1" customWidth="1"/>
    <col min="16128" max="16128" width="13.5703125" style="1" customWidth="1"/>
    <col min="16129" max="16129" width="5.42578125" style="1" bestFit="1" customWidth="1"/>
    <col min="16130" max="16130" width="11.28515625" style="1" bestFit="1" customWidth="1"/>
    <col min="16131" max="16131" width="5.7109375" style="1" bestFit="1" customWidth="1"/>
    <col min="16132" max="16132" width="12" style="1" customWidth="1"/>
    <col min="16133" max="16133" width="15.42578125" style="1" bestFit="1" customWidth="1"/>
    <col min="16134" max="16135" width="15.140625" style="1" bestFit="1" customWidth="1"/>
    <col min="16136" max="16136" width="14.28515625" style="1" bestFit="1" customWidth="1"/>
    <col min="16137" max="16137" width="3.140625" style="1" customWidth="1"/>
    <col min="16138" max="16138" width="6.42578125" style="1" customWidth="1"/>
    <col min="16139" max="16384" width="8.85546875" style="1"/>
  </cols>
  <sheetData>
    <row r="1" spans="1:16" ht="46.9" customHeight="1" thickBot="1" x14ac:dyDescent="0.25">
      <c r="A1" s="679" t="s">
        <v>67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</row>
    <row r="2" spans="1:16" ht="30" customHeight="1" thickBot="1" x14ac:dyDescent="0.25">
      <c r="A2" s="317" t="s">
        <v>0</v>
      </c>
      <c r="B2" s="318" t="s">
        <v>50</v>
      </c>
      <c r="C2" s="319" t="s">
        <v>1</v>
      </c>
      <c r="D2" s="319" t="s">
        <v>7</v>
      </c>
      <c r="E2" s="320" t="s">
        <v>2</v>
      </c>
      <c r="F2" s="320" t="s">
        <v>3</v>
      </c>
      <c r="G2" s="321" t="s">
        <v>4</v>
      </c>
      <c r="H2" s="322" t="s">
        <v>5</v>
      </c>
      <c r="I2" s="323" t="s">
        <v>6</v>
      </c>
      <c r="J2" s="21"/>
      <c r="K2" s="324" t="s">
        <v>27</v>
      </c>
      <c r="L2" s="321" t="s">
        <v>4</v>
      </c>
      <c r="M2" s="322" t="s">
        <v>5</v>
      </c>
      <c r="N2" s="323" t="s">
        <v>6</v>
      </c>
    </row>
    <row r="3" spans="1:16" ht="0.75" customHeight="1" x14ac:dyDescent="0.2">
      <c r="A3" s="330">
        <v>1</v>
      </c>
      <c r="B3" s="331"/>
      <c r="C3" s="332"/>
      <c r="D3" s="333"/>
      <c r="E3" s="334"/>
      <c r="F3" s="335"/>
      <c r="G3" s="336"/>
      <c r="H3" s="337"/>
      <c r="I3" s="336"/>
      <c r="J3" s="338"/>
      <c r="K3" s="339"/>
      <c r="L3" s="340"/>
      <c r="M3" s="341"/>
      <c r="N3" s="342"/>
    </row>
    <row r="4" spans="1:16" ht="27" hidden="1" customHeight="1" x14ac:dyDescent="0.2">
      <c r="A4" s="5">
        <v>2</v>
      </c>
      <c r="B4" s="678"/>
      <c r="C4" s="297"/>
      <c r="D4" s="288"/>
      <c r="E4" s="289"/>
      <c r="F4" s="276"/>
      <c r="G4" s="310"/>
      <c r="H4" s="311"/>
      <c r="I4" s="310"/>
      <c r="J4" s="325"/>
      <c r="K4" s="306"/>
      <c r="L4" s="279"/>
      <c r="M4" s="326"/>
      <c r="N4" s="281"/>
    </row>
    <row r="5" spans="1:16" ht="27" hidden="1" customHeight="1" x14ac:dyDescent="0.2">
      <c r="A5" s="5">
        <v>3</v>
      </c>
      <c r="B5" s="678"/>
      <c r="C5" s="297"/>
      <c r="D5" s="288"/>
      <c r="E5" s="289"/>
      <c r="F5" s="276"/>
      <c r="G5" s="310"/>
      <c r="H5" s="311"/>
      <c r="I5" s="310"/>
      <c r="J5" s="325"/>
      <c r="K5" s="306"/>
      <c r="L5" s="279"/>
      <c r="M5" s="326"/>
      <c r="N5" s="281"/>
    </row>
    <row r="6" spans="1:16" ht="27" hidden="1" customHeight="1" x14ac:dyDescent="0.2">
      <c r="A6" s="5">
        <v>4</v>
      </c>
      <c r="B6" s="678"/>
      <c r="C6" s="297"/>
      <c r="D6" s="288"/>
      <c r="E6" s="289"/>
      <c r="F6" s="307"/>
      <c r="G6" s="310"/>
      <c r="H6" s="309"/>
      <c r="I6" s="310"/>
      <c r="J6" s="325"/>
      <c r="K6" s="306"/>
      <c r="L6" s="279"/>
      <c r="M6" s="326"/>
      <c r="N6" s="281"/>
    </row>
    <row r="7" spans="1:16" ht="27" hidden="1" customHeight="1" x14ac:dyDescent="0.2">
      <c r="A7" s="5">
        <v>5</v>
      </c>
      <c r="B7" s="678"/>
      <c r="C7" s="297"/>
      <c r="D7" s="288"/>
      <c r="E7" s="289"/>
      <c r="F7" s="307"/>
      <c r="G7" s="310"/>
      <c r="H7" s="309"/>
      <c r="I7" s="310"/>
      <c r="J7" s="325"/>
      <c r="K7" s="306"/>
      <c r="L7" s="279"/>
      <c r="M7" s="326"/>
      <c r="N7" s="281"/>
    </row>
    <row r="8" spans="1:16" ht="27" hidden="1" customHeight="1" x14ac:dyDescent="0.2">
      <c r="A8" s="5">
        <v>6</v>
      </c>
      <c r="B8" s="678"/>
      <c r="C8" s="297"/>
      <c r="D8" s="288"/>
      <c r="E8" s="289"/>
      <c r="F8" s="307"/>
      <c r="G8" s="310"/>
      <c r="H8" s="309"/>
      <c r="I8" s="310"/>
      <c r="J8" s="325"/>
      <c r="K8" s="306"/>
      <c r="L8" s="279"/>
      <c r="M8" s="326"/>
      <c r="N8" s="281"/>
      <c r="P8" s="658"/>
    </row>
    <row r="9" spans="1:16" ht="27" hidden="1" customHeight="1" x14ac:dyDescent="0.2">
      <c r="A9" s="5">
        <v>7</v>
      </c>
      <c r="B9" s="678"/>
      <c r="C9" s="297"/>
      <c r="D9" s="288"/>
      <c r="E9" s="289"/>
      <c r="F9" s="307"/>
      <c r="G9" s="310"/>
      <c r="H9" s="309"/>
      <c r="I9" s="310"/>
      <c r="J9" s="325"/>
      <c r="K9" s="306"/>
      <c r="L9" s="279"/>
      <c r="M9" s="326"/>
      <c r="N9" s="281"/>
    </row>
    <row r="10" spans="1:16" ht="6.75" hidden="1" customHeight="1" x14ac:dyDescent="0.2">
      <c r="A10" s="5">
        <v>8</v>
      </c>
      <c r="B10" s="678"/>
      <c r="C10" s="297"/>
      <c r="D10" s="288"/>
      <c r="E10" s="289"/>
      <c r="F10" s="307"/>
      <c r="G10" s="310"/>
      <c r="H10" s="309"/>
      <c r="I10" s="310"/>
      <c r="J10" s="325"/>
      <c r="K10" s="306"/>
      <c r="L10" s="279"/>
      <c r="M10" s="326"/>
      <c r="N10" s="281"/>
    </row>
    <row r="11" spans="1:16" ht="27" hidden="1" customHeight="1" x14ac:dyDescent="0.2">
      <c r="A11" s="5">
        <v>9</v>
      </c>
      <c r="B11" s="284"/>
      <c r="C11" s="274"/>
      <c r="D11" s="275"/>
      <c r="E11" s="283"/>
      <c r="F11" s="307"/>
      <c r="G11" s="310"/>
      <c r="H11" s="311"/>
      <c r="I11" s="310"/>
      <c r="J11" s="325"/>
      <c r="K11" s="306"/>
      <c r="L11" s="279"/>
      <c r="M11" s="326"/>
      <c r="N11" s="281"/>
    </row>
    <row r="12" spans="1:16" ht="9" customHeight="1" x14ac:dyDescent="0.2">
      <c r="A12" s="5">
        <v>10</v>
      </c>
      <c r="B12" s="678"/>
      <c r="C12" s="295"/>
      <c r="D12" s="293"/>
      <c r="E12" s="294"/>
      <c r="F12" s="307"/>
      <c r="G12" s="310"/>
      <c r="H12" s="311"/>
      <c r="I12" s="310"/>
      <c r="J12" s="325"/>
      <c r="K12" s="306"/>
      <c r="L12" s="279"/>
      <c r="M12" s="326"/>
      <c r="N12" s="281"/>
    </row>
    <row r="13" spans="1:16" ht="27" hidden="1" customHeight="1" x14ac:dyDescent="0.2">
      <c r="A13" s="5">
        <v>11</v>
      </c>
      <c r="B13" s="678"/>
      <c r="C13" s="295"/>
      <c r="D13" s="293"/>
      <c r="E13" s="294"/>
      <c r="F13" s="307"/>
      <c r="G13" s="310"/>
      <c r="H13" s="311"/>
      <c r="I13" s="310"/>
      <c r="J13" s="325"/>
      <c r="K13" s="306"/>
      <c r="L13" s="279"/>
      <c r="M13" s="326"/>
      <c r="N13" s="281"/>
      <c r="P13" s="599"/>
    </row>
    <row r="14" spans="1:16" ht="27" hidden="1" customHeight="1" x14ac:dyDescent="0.2">
      <c r="A14" s="5">
        <v>12</v>
      </c>
      <c r="B14" s="678"/>
      <c r="C14" s="295"/>
      <c r="D14" s="293"/>
      <c r="E14" s="294"/>
      <c r="F14" s="307"/>
      <c r="G14" s="310"/>
      <c r="H14" s="311"/>
      <c r="I14" s="310"/>
      <c r="J14" s="325"/>
      <c r="K14" s="306"/>
      <c r="L14" s="279"/>
      <c r="M14" s="326"/>
      <c r="N14" s="281"/>
    </row>
    <row r="15" spans="1:16" ht="27" hidden="1" customHeight="1" x14ac:dyDescent="0.2">
      <c r="A15" s="5">
        <v>13</v>
      </c>
      <c r="B15" s="678"/>
      <c r="C15" s="295"/>
      <c r="D15" s="293"/>
      <c r="E15" s="294"/>
      <c r="F15" s="307"/>
      <c r="G15" s="310"/>
      <c r="H15" s="311"/>
      <c r="I15" s="310"/>
      <c r="J15" s="325"/>
      <c r="K15" s="306"/>
      <c r="L15" s="279"/>
      <c r="M15" s="326"/>
      <c r="N15" s="281"/>
    </row>
    <row r="16" spans="1:16" ht="27" hidden="1" customHeight="1" x14ac:dyDescent="0.2">
      <c r="A16" s="5">
        <v>14</v>
      </c>
      <c r="B16" s="678"/>
      <c r="C16" s="295"/>
      <c r="D16" s="293"/>
      <c r="E16" s="294"/>
      <c r="F16" s="307"/>
      <c r="G16" s="310"/>
      <c r="H16" s="309"/>
      <c r="I16" s="310"/>
      <c r="J16" s="325"/>
      <c r="K16" s="306"/>
      <c r="L16" s="279"/>
      <c r="M16" s="326"/>
      <c r="N16" s="281"/>
    </row>
    <row r="17" spans="1:16" ht="27" hidden="1" customHeight="1" x14ac:dyDescent="0.2">
      <c r="A17" s="5">
        <v>15</v>
      </c>
      <c r="B17" s="678"/>
      <c r="C17" s="295"/>
      <c r="D17" s="293"/>
      <c r="E17" s="294"/>
      <c r="F17" s="307"/>
      <c r="G17" s="310"/>
      <c r="H17" s="309"/>
      <c r="I17" s="310"/>
      <c r="J17" s="325"/>
      <c r="K17" s="306"/>
      <c r="L17" s="279"/>
      <c r="M17" s="326"/>
      <c r="N17" s="281"/>
      <c r="P17" s="599"/>
    </row>
    <row r="18" spans="1:16" ht="27" hidden="1" customHeight="1" x14ac:dyDescent="0.2">
      <c r="A18" s="5">
        <v>16</v>
      </c>
      <c r="B18" s="284"/>
      <c r="C18" s="274"/>
      <c r="D18" s="275"/>
      <c r="E18" s="283"/>
      <c r="F18" s="307"/>
      <c r="G18" s="310"/>
      <c r="H18" s="309"/>
      <c r="I18" s="310"/>
      <c r="J18" s="325"/>
      <c r="K18" s="306"/>
      <c r="L18" s="279"/>
      <c r="M18" s="326"/>
      <c r="N18" s="281"/>
    </row>
    <row r="19" spans="1:16" ht="27" hidden="1" customHeight="1" x14ac:dyDescent="0.2">
      <c r="A19" s="5">
        <v>17</v>
      </c>
      <c r="B19" s="282"/>
      <c r="C19" s="297"/>
      <c r="D19" s="288"/>
      <c r="E19" s="289"/>
      <c r="F19" s="307"/>
      <c r="G19" s="310"/>
      <c r="H19" s="309"/>
      <c r="I19" s="310"/>
      <c r="J19" s="325"/>
      <c r="K19" s="306"/>
      <c r="L19" s="279"/>
      <c r="M19" s="326"/>
      <c r="N19" s="281"/>
    </row>
    <row r="20" spans="1:16" ht="27" hidden="1" customHeight="1" x14ac:dyDescent="0.2">
      <c r="A20" s="5">
        <v>18</v>
      </c>
      <c r="B20" s="284"/>
      <c r="C20" s="297"/>
      <c r="D20" s="288"/>
      <c r="E20" s="289"/>
      <c r="F20" s="307"/>
      <c r="G20" s="310"/>
      <c r="H20" s="309"/>
      <c r="I20" s="310"/>
      <c r="J20" s="325"/>
      <c r="K20" s="306"/>
      <c r="L20" s="279"/>
      <c r="M20" s="326"/>
      <c r="N20" s="281"/>
    </row>
    <row r="21" spans="1:16" ht="27" hidden="1" customHeight="1" x14ac:dyDescent="0.2">
      <c r="A21" s="5">
        <v>19</v>
      </c>
      <c r="B21" s="284"/>
      <c r="C21" s="297"/>
      <c r="D21" s="288"/>
      <c r="E21" s="289"/>
      <c r="F21" s="307"/>
      <c r="G21" s="310"/>
      <c r="H21" s="309"/>
      <c r="I21" s="310"/>
      <c r="J21" s="325"/>
      <c r="K21" s="306"/>
      <c r="L21" s="279"/>
      <c r="M21" s="326"/>
      <c r="N21" s="281"/>
    </row>
    <row r="22" spans="1:16" ht="27" hidden="1" customHeight="1" x14ac:dyDescent="0.2">
      <c r="A22" s="5">
        <v>20</v>
      </c>
      <c r="B22" s="284"/>
      <c r="C22" s="297"/>
      <c r="D22" s="288"/>
      <c r="E22" s="289"/>
      <c r="F22" s="307"/>
      <c r="G22" s="310"/>
      <c r="H22" s="309"/>
      <c r="I22" s="310"/>
      <c r="J22" s="325"/>
      <c r="K22" s="306"/>
      <c r="L22" s="279"/>
      <c r="M22" s="326"/>
      <c r="N22" s="281"/>
    </row>
    <row r="23" spans="1:16" ht="27" hidden="1" customHeight="1" x14ac:dyDescent="0.2">
      <c r="A23" s="5">
        <v>21</v>
      </c>
      <c r="B23" s="284"/>
      <c r="C23" s="297"/>
      <c r="D23" s="288"/>
      <c r="E23" s="289"/>
      <c r="F23" s="307"/>
      <c r="G23" s="310"/>
      <c r="H23" s="309"/>
      <c r="I23" s="310"/>
      <c r="J23" s="325"/>
      <c r="K23" s="306"/>
      <c r="L23" s="279"/>
      <c r="M23" s="326"/>
      <c r="N23" s="281"/>
    </row>
    <row r="24" spans="1:16" ht="27" hidden="1" customHeight="1" x14ac:dyDescent="0.2">
      <c r="A24" s="5">
        <v>22</v>
      </c>
      <c r="B24" s="284"/>
      <c r="C24" s="297"/>
      <c r="D24" s="288"/>
      <c r="E24" s="289"/>
      <c r="F24" s="307"/>
      <c r="G24" s="310"/>
      <c r="H24" s="309"/>
      <c r="I24" s="310"/>
      <c r="J24" s="325"/>
      <c r="K24" s="327"/>
      <c r="L24" s="279"/>
      <c r="M24" s="326"/>
      <c r="N24" s="281"/>
    </row>
    <row r="25" spans="1:16" ht="27" hidden="1" customHeight="1" x14ac:dyDescent="0.2">
      <c r="A25" s="5">
        <v>23</v>
      </c>
      <c r="B25" s="284"/>
      <c r="C25" s="297"/>
      <c r="D25" s="288"/>
      <c r="E25" s="289"/>
      <c r="F25" s="307"/>
      <c r="G25" s="310"/>
      <c r="H25" s="309"/>
      <c r="I25" s="310"/>
      <c r="J25" s="325"/>
      <c r="K25" s="327"/>
      <c r="L25" s="303"/>
      <c r="M25" s="326"/>
      <c r="N25" s="281"/>
    </row>
    <row r="26" spans="1:16" ht="27" hidden="1" customHeight="1" x14ac:dyDescent="0.2">
      <c r="A26" s="5">
        <v>24</v>
      </c>
      <c r="B26" s="284"/>
      <c r="C26" s="297"/>
      <c r="D26" s="288"/>
      <c r="E26" s="289"/>
      <c r="F26" s="307"/>
      <c r="G26" s="310"/>
      <c r="H26" s="309"/>
      <c r="I26" s="310"/>
      <c r="J26" s="325"/>
      <c r="K26" s="306"/>
      <c r="L26" s="302"/>
      <c r="M26" s="326"/>
      <c r="N26" s="281"/>
    </row>
    <row r="27" spans="1:16" ht="24" hidden="1" customHeight="1" x14ac:dyDescent="0.2">
      <c r="A27" s="5">
        <v>25</v>
      </c>
      <c r="B27" s="284"/>
      <c r="C27" s="314"/>
      <c r="D27" s="288"/>
      <c r="E27" s="290"/>
      <c r="F27" s="304"/>
      <c r="G27" s="304"/>
      <c r="H27" s="309"/>
      <c r="I27" s="310"/>
      <c r="J27" s="325"/>
      <c r="K27" s="306"/>
      <c r="L27" s="282"/>
      <c r="M27" s="326"/>
      <c r="N27" s="281"/>
    </row>
    <row r="28" spans="1:16" ht="27" hidden="1" customHeight="1" x14ac:dyDescent="0.2">
      <c r="A28" s="5">
        <v>26</v>
      </c>
      <c r="B28" s="284"/>
      <c r="C28" s="314"/>
      <c r="D28" s="288"/>
      <c r="E28" s="290"/>
      <c r="F28" s="304"/>
      <c r="G28" s="304"/>
      <c r="H28" s="309"/>
      <c r="I28" s="310"/>
      <c r="J28" s="325"/>
      <c r="K28" s="306"/>
      <c r="L28" s="279"/>
      <c r="M28" s="326"/>
      <c r="N28" s="281"/>
    </row>
    <row r="29" spans="1:16" ht="27" hidden="1" customHeight="1" x14ac:dyDescent="0.2">
      <c r="A29" s="5">
        <v>27</v>
      </c>
      <c r="B29" s="284"/>
      <c r="C29" s="314"/>
      <c r="D29" s="288"/>
      <c r="E29" s="290"/>
      <c r="F29" s="304"/>
      <c r="G29" s="304"/>
      <c r="H29" s="309"/>
      <c r="I29" s="310"/>
      <c r="J29" s="325"/>
      <c r="K29" s="306"/>
      <c r="L29" s="279"/>
      <c r="M29" s="326"/>
      <c r="N29" s="281"/>
    </row>
    <row r="30" spans="1:16" ht="27" hidden="1" customHeight="1" x14ac:dyDescent="0.2">
      <c r="A30" s="5">
        <v>28</v>
      </c>
      <c r="B30" s="284"/>
      <c r="C30" s="315"/>
      <c r="D30" s="282"/>
      <c r="E30" s="282"/>
      <c r="F30" s="304"/>
      <c r="G30" s="304"/>
      <c r="H30" s="309"/>
      <c r="I30" s="310"/>
      <c r="J30" s="325"/>
      <c r="K30" s="306"/>
      <c r="L30" s="279"/>
      <c r="M30" s="326"/>
      <c r="N30" s="281"/>
    </row>
    <row r="31" spans="1:16" ht="27" hidden="1" customHeight="1" x14ac:dyDescent="0.2">
      <c r="A31" s="5">
        <v>29</v>
      </c>
      <c r="B31" s="284"/>
      <c r="C31" s="316"/>
      <c r="D31" s="293"/>
      <c r="E31" s="291"/>
      <c r="F31" s="304"/>
      <c r="G31" s="310"/>
      <c r="H31" s="309"/>
      <c r="I31" s="310"/>
      <c r="J31" s="325"/>
      <c r="K31" s="306"/>
      <c r="L31" s="279"/>
      <c r="M31" s="326"/>
      <c r="N31" s="281"/>
    </row>
    <row r="32" spans="1:16" ht="27" hidden="1" customHeight="1" x14ac:dyDescent="0.2">
      <c r="A32" s="5">
        <v>30</v>
      </c>
      <c r="B32" s="284"/>
      <c r="C32" s="295"/>
      <c r="D32" s="293"/>
      <c r="E32" s="294"/>
      <c r="F32" s="307"/>
      <c r="G32" s="310"/>
      <c r="H32" s="309"/>
      <c r="I32" s="310"/>
      <c r="J32" s="325"/>
      <c r="K32" s="306"/>
      <c r="L32" s="279"/>
      <c r="M32" s="326"/>
      <c r="N32" s="281"/>
    </row>
    <row r="33" spans="1:16" ht="27" hidden="1" customHeight="1" x14ac:dyDescent="0.2">
      <c r="A33" s="5">
        <v>31</v>
      </c>
      <c r="B33" s="284"/>
      <c r="C33" s="316"/>
      <c r="D33" s="293"/>
      <c r="E33" s="294"/>
      <c r="F33" s="307"/>
      <c r="G33" s="310"/>
      <c r="H33" s="309"/>
      <c r="I33" s="310"/>
      <c r="J33" s="325"/>
      <c r="K33" s="306"/>
      <c r="L33" s="279"/>
      <c r="M33" s="326"/>
      <c r="N33" s="281"/>
    </row>
    <row r="34" spans="1:16" ht="27" hidden="1" customHeight="1" x14ac:dyDescent="0.2">
      <c r="A34" s="5">
        <v>32</v>
      </c>
      <c r="B34" s="284"/>
      <c r="C34" s="316"/>
      <c r="D34" s="293"/>
      <c r="E34" s="294"/>
      <c r="F34" s="307"/>
      <c r="G34" s="304"/>
      <c r="H34" s="309"/>
      <c r="I34" s="310"/>
      <c r="J34" s="325"/>
      <c r="K34" s="306"/>
      <c r="L34" s="279"/>
      <c r="M34" s="326"/>
      <c r="N34" s="281"/>
    </row>
    <row r="35" spans="1:16" ht="27" hidden="1" customHeight="1" x14ac:dyDescent="0.2">
      <c r="A35" s="5">
        <v>33</v>
      </c>
      <c r="B35" s="284"/>
      <c r="C35" s="316"/>
      <c r="D35" s="293"/>
      <c r="E35" s="294"/>
      <c r="F35" s="307"/>
      <c r="G35" s="304"/>
      <c r="H35" s="309"/>
      <c r="I35" s="310"/>
      <c r="J35" s="325"/>
      <c r="K35" s="306"/>
      <c r="L35" s="279"/>
      <c r="M35" s="326"/>
      <c r="N35" s="281"/>
    </row>
    <row r="36" spans="1:16" ht="27" hidden="1" customHeight="1" x14ac:dyDescent="0.2">
      <c r="A36" s="5">
        <v>34</v>
      </c>
      <c r="B36" s="284"/>
      <c r="C36" s="316"/>
      <c r="D36" s="293"/>
      <c r="E36" s="291"/>
      <c r="F36" s="304"/>
      <c r="G36" s="304"/>
      <c r="H36" s="309"/>
      <c r="I36" s="310"/>
      <c r="J36" s="325"/>
      <c r="K36" s="306"/>
      <c r="L36" s="279"/>
      <c r="M36" s="326"/>
      <c r="N36" s="281"/>
    </row>
    <row r="37" spans="1:16" ht="27" hidden="1" customHeight="1" x14ac:dyDescent="0.2">
      <c r="A37" s="5">
        <v>35</v>
      </c>
      <c r="B37" s="284"/>
      <c r="C37" s="316"/>
      <c r="D37" s="293"/>
      <c r="E37" s="291"/>
      <c r="F37" s="304"/>
      <c r="G37" s="304"/>
      <c r="H37" s="309"/>
      <c r="I37" s="310"/>
      <c r="J37" s="325"/>
      <c r="K37" s="306"/>
      <c r="L37" s="279"/>
      <c r="M37" s="326"/>
      <c r="N37" s="281"/>
    </row>
    <row r="38" spans="1:16" ht="27" hidden="1" customHeight="1" x14ac:dyDescent="0.2">
      <c r="A38" s="5">
        <v>36</v>
      </c>
      <c r="B38" s="284"/>
      <c r="C38" s="316"/>
      <c r="D38" s="293"/>
      <c r="E38" s="291"/>
      <c r="F38" s="304"/>
      <c r="G38" s="310"/>
      <c r="H38" s="309"/>
      <c r="I38" s="310"/>
      <c r="J38" s="325"/>
      <c r="K38" s="306"/>
      <c r="L38" s="279"/>
      <c r="M38" s="326"/>
      <c r="N38" s="281"/>
    </row>
    <row r="39" spans="1:16" ht="27" hidden="1" customHeight="1" x14ac:dyDescent="0.2">
      <c r="A39" s="5">
        <v>37</v>
      </c>
      <c r="B39" s="284"/>
      <c r="C39" s="316"/>
      <c r="D39" s="293"/>
      <c r="E39" s="291"/>
      <c r="F39" s="304"/>
      <c r="G39" s="310"/>
      <c r="H39" s="309"/>
      <c r="I39" s="310"/>
      <c r="J39" s="325"/>
      <c r="K39" s="306"/>
      <c r="L39" s="279"/>
      <c r="M39" s="326"/>
      <c r="N39" s="281"/>
    </row>
    <row r="40" spans="1:16" ht="27" hidden="1" customHeight="1" x14ac:dyDescent="0.2">
      <c r="A40" s="5">
        <v>38</v>
      </c>
      <c r="B40" s="284"/>
      <c r="C40" s="316"/>
      <c r="D40" s="293"/>
      <c r="E40" s="291"/>
      <c r="F40" s="304"/>
      <c r="G40" s="310"/>
      <c r="H40" s="309"/>
      <c r="I40" s="310"/>
      <c r="J40" s="325"/>
      <c r="K40" s="306"/>
      <c r="L40" s="279"/>
      <c r="M40" s="326"/>
      <c r="N40" s="281"/>
    </row>
    <row r="41" spans="1:16" ht="27" hidden="1" customHeight="1" x14ac:dyDescent="0.2">
      <c r="A41" s="5">
        <v>39</v>
      </c>
      <c r="B41" s="284"/>
      <c r="C41" s="315"/>
      <c r="D41" s="282"/>
      <c r="E41" s="282"/>
      <c r="F41" s="304"/>
      <c r="G41" s="310"/>
      <c r="H41" s="309"/>
      <c r="I41" s="310"/>
      <c r="J41" s="325"/>
      <c r="K41" s="306"/>
      <c r="L41" s="279"/>
      <c r="M41" s="326"/>
      <c r="N41" s="281"/>
    </row>
    <row r="42" spans="1:16" ht="27" hidden="1" customHeight="1" x14ac:dyDescent="0.2">
      <c r="A42" s="5">
        <v>40</v>
      </c>
      <c r="B42" s="678"/>
      <c r="C42" s="314"/>
      <c r="D42" s="288"/>
      <c r="E42" s="290"/>
      <c r="F42" s="304"/>
      <c r="G42" s="310"/>
      <c r="H42" s="309"/>
      <c r="I42" s="310"/>
      <c r="J42" s="325"/>
      <c r="K42" s="306"/>
      <c r="L42" s="279"/>
      <c r="M42" s="326"/>
      <c r="N42" s="281"/>
    </row>
    <row r="43" spans="1:16" ht="27" hidden="1" customHeight="1" x14ac:dyDescent="0.2">
      <c r="A43" s="5">
        <v>41</v>
      </c>
      <c r="B43" s="678"/>
      <c r="C43" s="297"/>
      <c r="D43" s="288"/>
      <c r="E43" s="289"/>
      <c r="F43" s="307"/>
      <c r="G43" s="310"/>
      <c r="H43" s="309"/>
      <c r="I43" s="310"/>
      <c r="J43" s="325"/>
      <c r="K43" s="306"/>
      <c r="L43" s="279"/>
      <c r="M43" s="326"/>
      <c r="N43" s="281"/>
    </row>
    <row r="44" spans="1:16" ht="27" hidden="1" customHeight="1" x14ac:dyDescent="0.2">
      <c r="A44" s="5">
        <v>42</v>
      </c>
      <c r="B44" s="678"/>
      <c r="C44" s="297"/>
      <c r="D44" s="288"/>
      <c r="E44" s="289"/>
      <c r="F44" s="307"/>
      <c r="G44" s="310"/>
      <c r="H44" s="309"/>
      <c r="I44" s="310"/>
      <c r="J44" s="325"/>
      <c r="K44" s="306"/>
      <c r="L44" s="279"/>
      <c r="M44" s="326"/>
      <c r="N44" s="281"/>
    </row>
    <row r="45" spans="1:16" ht="25.5" hidden="1" customHeight="1" x14ac:dyDescent="0.2">
      <c r="A45" s="5">
        <v>43</v>
      </c>
      <c r="B45" s="678"/>
      <c r="C45" s="297"/>
      <c r="D45" s="288"/>
      <c r="E45" s="289"/>
      <c r="F45" s="307"/>
      <c r="G45" s="310"/>
      <c r="H45" s="309"/>
      <c r="I45" s="310"/>
      <c r="J45" s="325"/>
      <c r="K45" s="306"/>
      <c r="L45" s="279"/>
      <c r="M45" s="326"/>
      <c r="N45" s="281"/>
    </row>
    <row r="46" spans="1:16" ht="27" hidden="1" customHeight="1" x14ac:dyDescent="0.2">
      <c r="A46" s="5">
        <v>44</v>
      </c>
      <c r="B46" s="678"/>
      <c r="C46" s="314"/>
      <c r="D46" s="288"/>
      <c r="E46" s="289"/>
      <c r="F46" s="307"/>
      <c r="G46" s="304"/>
      <c r="H46" s="309"/>
      <c r="I46" s="310"/>
      <c r="J46" s="325"/>
      <c r="K46" s="327"/>
      <c r="L46" s="279"/>
      <c r="M46" s="326"/>
      <c r="N46" s="281"/>
    </row>
    <row r="47" spans="1:16" ht="27" hidden="1" customHeight="1" x14ac:dyDescent="0.2">
      <c r="A47" s="5">
        <v>45</v>
      </c>
      <c r="B47" s="678"/>
      <c r="C47" s="297"/>
      <c r="D47" s="288"/>
      <c r="E47" s="290"/>
      <c r="F47" s="304"/>
      <c r="G47" s="304"/>
      <c r="H47" s="309"/>
      <c r="I47" s="310"/>
      <c r="J47" s="325"/>
      <c r="K47" s="306"/>
      <c r="L47" s="279"/>
      <c r="M47" s="326"/>
      <c r="N47" s="281"/>
    </row>
    <row r="48" spans="1:16" ht="27" hidden="1" customHeight="1" x14ac:dyDescent="0.2">
      <c r="A48" s="5">
        <v>46</v>
      </c>
      <c r="B48" s="678"/>
      <c r="C48" s="314"/>
      <c r="D48" s="288"/>
      <c r="E48" s="290"/>
      <c r="F48" s="304"/>
      <c r="G48" s="304"/>
      <c r="H48" s="309"/>
      <c r="I48" s="310"/>
      <c r="J48" s="325"/>
      <c r="K48" s="306"/>
      <c r="L48" s="279"/>
      <c r="M48" s="326"/>
      <c r="N48" s="281"/>
      <c r="P48" s="599"/>
    </row>
    <row r="49" spans="1:14" ht="27" hidden="1" customHeight="1" x14ac:dyDescent="0.2">
      <c r="A49" s="5">
        <v>47</v>
      </c>
      <c r="B49" s="678"/>
      <c r="C49" s="314"/>
      <c r="D49" s="288"/>
      <c r="E49" s="290"/>
      <c r="F49" s="304"/>
      <c r="G49" s="304"/>
      <c r="H49" s="309"/>
      <c r="I49" s="310"/>
      <c r="J49" s="325"/>
      <c r="K49" s="306"/>
      <c r="L49" s="279"/>
      <c r="M49" s="326"/>
      <c r="N49" s="281"/>
    </row>
    <row r="50" spans="1:14" ht="27" hidden="1" customHeight="1" x14ac:dyDescent="0.2">
      <c r="A50" s="5">
        <v>48</v>
      </c>
      <c r="B50" s="284"/>
      <c r="C50" s="315"/>
      <c r="D50" s="275"/>
      <c r="E50" s="282"/>
      <c r="F50" s="304"/>
      <c r="G50" s="304"/>
      <c r="H50" s="309"/>
      <c r="I50" s="310"/>
      <c r="J50" s="325"/>
      <c r="K50" s="306"/>
      <c r="L50" s="279"/>
      <c r="M50" s="326"/>
      <c r="N50" s="281"/>
    </row>
    <row r="51" spans="1:14" ht="27" hidden="1" customHeight="1" x14ac:dyDescent="0.2">
      <c r="A51" s="5">
        <v>49</v>
      </c>
      <c r="B51" s="284"/>
      <c r="C51" s="295"/>
      <c r="D51" s="293"/>
      <c r="E51" s="291"/>
      <c r="F51" s="304"/>
      <c r="G51" s="310"/>
      <c r="H51" s="309"/>
      <c r="I51" s="310"/>
      <c r="J51" s="325"/>
      <c r="K51" s="306"/>
      <c r="L51" s="279"/>
      <c r="M51" s="326"/>
      <c r="N51" s="281"/>
    </row>
    <row r="52" spans="1:14" ht="27" hidden="1" customHeight="1" x14ac:dyDescent="0.2">
      <c r="A52" s="5">
        <v>50</v>
      </c>
      <c r="B52" s="678"/>
      <c r="C52" s="295"/>
      <c r="D52" s="293"/>
      <c r="E52" s="291"/>
      <c r="F52" s="304"/>
      <c r="G52" s="310"/>
      <c r="H52" s="309"/>
      <c r="I52" s="310"/>
      <c r="J52" s="325"/>
      <c r="K52" s="306"/>
      <c r="L52" s="279"/>
      <c r="M52" s="326"/>
      <c r="N52" s="281"/>
    </row>
    <row r="53" spans="1:14" ht="27" hidden="1" customHeight="1" x14ac:dyDescent="0.2">
      <c r="A53" s="5">
        <v>51</v>
      </c>
      <c r="B53" s="678"/>
      <c r="C53" s="295"/>
      <c r="D53" s="293"/>
      <c r="E53" s="291"/>
      <c r="F53" s="304"/>
      <c r="G53" s="310"/>
      <c r="H53" s="309"/>
      <c r="I53" s="310"/>
      <c r="J53" s="325"/>
      <c r="K53" s="306"/>
      <c r="L53" s="279"/>
      <c r="M53" s="326"/>
      <c r="N53" s="281"/>
    </row>
    <row r="54" spans="1:14" ht="27" hidden="1" customHeight="1" x14ac:dyDescent="0.2">
      <c r="A54" s="5">
        <v>52</v>
      </c>
      <c r="B54" s="678"/>
      <c r="C54" s="295"/>
      <c r="D54" s="293"/>
      <c r="E54" s="291"/>
      <c r="F54" s="304"/>
      <c r="G54" s="310"/>
      <c r="H54" s="309"/>
      <c r="I54" s="310"/>
      <c r="J54" s="325"/>
      <c r="K54" s="306"/>
      <c r="L54" s="279"/>
      <c r="M54" s="326"/>
      <c r="N54" s="281"/>
    </row>
    <row r="55" spans="1:14" ht="27" hidden="1" customHeight="1" x14ac:dyDescent="0.2">
      <c r="A55" s="5">
        <v>53</v>
      </c>
      <c r="B55" s="678"/>
      <c r="C55" s="295"/>
      <c r="D55" s="293"/>
      <c r="E55" s="291"/>
      <c r="F55" s="304"/>
      <c r="G55" s="310"/>
      <c r="H55" s="309"/>
      <c r="I55" s="310"/>
      <c r="J55" s="325"/>
      <c r="K55" s="306"/>
      <c r="L55" s="279"/>
      <c r="M55" s="326"/>
      <c r="N55" s="281"/>
    </row>
    <row r="56" spans="1:14" ht="27" hidden="1" customHeight="1" x14ac:dyDescent="0.2">
      <c r="A56" s="5">
        <v>54</v>
      </c>
      <c r="B56" s="678"/>
      <c r="C56" s="295"/>
      <c r="D56" s="293"/>
      <c r="E56" s="291"/>
      <c r="F56" s="304"/>
      <c r="G56" s="310"/>
      <c r="H56" s="309"/>
      <c r="I56" s="310"/>
      <c r="J56" s="325"/>
      <c r="K56" s="306"/>
      <c r="L56" s="279"/>
      <c r="M56" s="326"/>
      <c r="N56" s="281"/>
    </row>
    <row r="57" spans="1:14" ht="27" hidden="1" customHeight="1" x14ac:dyDescent="0.2">
      <c r="A57" s="5">
        <v>55</v>
      </c>
      <c r="B57" s="678"/>
      <c r="C57" s="316"/>
      <c r="D57" s="293"/>
      <c r="E57" s="294"/>
      <c r="F57" s="307"/>
      <c r="G57" s="310"/>
      <c r="H57" s="309"/>
      <c r="I57" s="310"/>
      <c r="J57" s="325"/>
      <c r="K57" s="306"/>
      <c r="L57" s="282"/>
      <c r="M57" s="326"/>
      <c r="N57" s="281"/>
    </row>
    <row r="58" spans="1:14" ht="27" hidden="1" customHeight="1" x14ac:dyDescent="0.2">
      <c r="A58" s="5">
        <v>56</v>
      </c>
      <c r="B58" s="678"/>
      <c r="C58" s="316"/>
      <c r="D58" s="293"/>
      <c r="E58" s="291"/>
      <c r="F58" s="304"/>
      <c r="G58" s="304"/>
      <c r="H58" s="309"/>
      <c r="I58" s="310"/>
      <c r="J58" s="325"/>
      <c r="K58" s="306"/>
      <c r="L58" s="282"/>
      <c r="M58" s="326"/>
      <c r="N58" s="281"/>
    </row>
    <row r="59" spans="1:14" ht="27" hidden="1" customHeight="1" x14ac:dyDescent="0.2">
      <c r="A59" s="5">
        <v>57</v>
      </c>
      <c r="B59" s="678"/>
      <c r="C59" s="315"/>
      <c r="D59" s="275"/>
      <c r="E59" s="282"/>
      <c r="F59" s="304"/>
      <c r="G59" s="304"/>
      <c r="H59" s="309"/>
      <c r="I59" s="310"/>
      <c r="J59" s="325"/>
      <c r="K59" s="306"/>
      <c r="L59" s="282"/>
      <c r="M59" s="326"/>
      <c r="N59" s="281"/>
    </row>
    <row r="60" spans="1:14" ht="27" hidden="1" customHeight="1" x14ac:dyDescent="0.2">
      <c r="A60" s="5">
        <v>58</v>
      </c>
      <c r="B60" s="678"/>
      <c r="C60" s="296"/>
      <c r="D60" s="288"/>
      <c r="E60" s="289"/>
      <c r="F60" s="307"/>
      <c r="G60" s="310"/>
      <c r="H60" s="309"/>
      <c r="I60" s="310"/>
      <c r="J60" s="325"/>
      <c r="K60" s="306"/>
      <c r="L60" s="279"/>
      <c r="M60" s="326"/>
      <c r="N60" s="281"/>
    </row>
    <row r="61" spans="1:14" ht="27" hidden="1" customHeight="1" x14ac:dyDescent="0.2">
      <c r="A61" s="5">
        <v>59</v>
      </c>
      <c r="B61" s="678"/>
      <c r="C61" s="296"/>
      <c r="D61" s="288"/>
      <c r="E61" s="289"/>
      <c r="F61" s="307"/>
      <c r="G61" s="310"/>
      <c r="H61" s="309"/>
      <c r="I61" s="310"/>
      <c r="J61" s="325"/>
      <c r="K61" s="306"/>
      <c r="L61" s="279"/>
      <c r="M61" s="326"/>
      <c r="N61" s="281"/>
    </row>
    <row r="62" spans="1:14" ht="27" hidden="1" customHeight="1" x14ac:dyDescent="0.2">
      <c r="A62" s="5">
        <v>60</v>
      </c>
      <c r="B62" s="678"/>
      <c r="C62" s="296"/>
      <c r="D62" s="288"/>
      <c r="E62" s="289"/>
      <c r="F62" s="307"/>
      <c r="G62" s="310"/>
      <c r="H62" s="309"/>
      <c r="I62" s="310"/>
      <c r="J62" s="325"/>
      <c r="K62" s="306"/>
      <c r="L62" s="279"/>
      <c r="M62" s="326"/>
      <c r="N62" s="281"/>
    </row>
    <row r="63" spans="1:14" ht="17.25" hidden="1" customHeight="1" x14ac:dyDescent="0.2">
      <c r="A63" s="5">
        <v>61</v>
      </c>
      <c r="B63" s="678"/>
      <c r="C63" s="297"/>
      <c r="D63" s="288"/>
      <c r="E63" s="289"/>
      <c r="F63" s="307"/>
      <c r="G63" s="310"/>
      <c r="H63" s="309"/>
      <c r="I63" s="310"/>
      <c r="J63" s="325"/>
      <c r="K63" s="306"/>
      <c r="L63" s="279"/>
      <c r="M63" s="326"/>
      <c r="N63" s="281"/>
    </row>
    <row r="64" spans="1:14" ht="27" hidden="1" customHeight="1" x14ac:dyDescent="0.2">
      <c r="A64" s="5">
        <v>62</v>
      </c>
      <c r="B64" s="678"/>
      <c r="C64" s="314"/>
      <c r="D64" s="288"/>
      <c r="E64" s="290"/>
      <c r="F64" s="304"/>
      <c r="G64" s="304"/>
      <c r="H64" s="309"/>
      <c r="I64" s="310"/>
      <c r="J64" s="325"/>
      <c r="K64" s="306"/>
      <c r="L64" s="279"/>
      <c r="M64" s="326"/>
      <c r="N64" s="281"/>
    </row>
    <row r="65" spans="1:14" ht="27" hidden="1" customHeight="1" x14ac:dyDescent="0.2">
      <c r="A65" s="5">
        <v>63</v>
      </c>
      <c r="B65" s="284"/>
      <c r="C65" s="274"/>
      <c r="D65" s="282"/>
      <c r="E65" s="282"/>
      <c r="F65" s="304"/>
      <c r="G65" s="304"/>
      <c r="H65" s="305"/>
      <c r="I65" s="310"/>
      <c r="J65" s="325"/>
      <c r="K65" s="306"/>
      <c r="L65" s="279"/>
      <c r="M65" s="326"/>
      <c r="N65" s="281"/>
    </row>
    <row r="66" spans="1:14" ht="27" hidden="1" customHeight="1" x14ac:dyDescent="0.2">
      <c r="A66" s="5">
        <v>64</v>
      </c>
      <c r="B66" s="678"/>
      <c r="C66" s="292"/>
      <c r="D66" s="293"/>
      <c r="E66" s="294"/>
      <c r="F66" s="307"/>
      <c r="G66" s="310"/>
      <c r="H66" s="309"/>
      <c r="I66" s="310"/>
      <c r="J66" s="325"/>
      <c r="K66" s="306"/>
      <c r="L66" s="279"/>
      <c r="M66" s="326"/>
      <c r="N66" s="281"/>
    </row>
    <row r="67" spans="1:14" ht="27" hidden="1" customHeight="1" x14ac:dyDescent="0.2">
      <c r="A67" s="5">
        <v>65</v>
      </c>
      <c r="B67" s="678"/>
      <c r="C67" s="295"/>
      <c r="D67" s="293"/>
      <c r="E67" s="294"/>
      <c r="F67" s="307"/>
      <c r="G67" s="310"/>
      <c r="H67" s="309"/>
      <c r="I67" s="310"/>
      <c r="J67" s="325"/>
      <c r="K67" s="306"/>
      <c r="L67" s="279"/>
      <c r="M67" s="326"/>
      <c r="N67" s="281"/>
    </row>
    <row r="68" spans="1:14" ht="27" hidden="1" customHeight="1" x14ac:dyDescent="0.2">
      <c r="A68" s="5">
        <v>66</v>
      </c>
      <c r="B68" s="678"/>
      <c r="C68" s="295"/>
      <c r="D68" s="293"/>
      <c r="E68" s="294"/>
      <c r="F68" s="307"/>
      <c r="G68" s="310"/>
      <c r="H68" s="309"/>
      <c r="I68" s="310"/>
      <c r="J68" s="325"/>
      <c r="K68" s="328"/>
      <c r="L68" s="279"/>
      <c r="M68" s="326"/>
      <c r="N68" s="281"/>
    </row>
    <row r="69" spans="1:14" ht="27" hidden="1" customHeight="1" x14ac:dyDescent="0.2">
      <c r="A69" s="5">
        <v>67</v>
      </c>
      <c r="B69" s="678"/>
      <c r="C69" s="295"/>
      <c r="D69" s="293"/>
      <c r="E69" s="294"/>
      <c r="F69" s="307"/>
      <c r="G69" s="310"/>
      <c r="H69" s="309"/>
      <c r="I69" s="310"/>
      <c r="J69" s="325"/>
      <c r="K69" s="306"/>
      <c r="L69" s="279"/>
      <c r="M69" s="326"/>
      <c r="N69" s="281"/>
    </row>
    <row r="70" spans="1:14" ht="27" hidden="1" customHeight="1" x14ac:dyDescent="0.2">
      <c r="A70" s="5">
        <v>68</v>
      </c>
      <c r="B70" s="284"/>
      <c r="C70" s="274"/>
      <c r="D70" s="275"/>
      <c r="E70" s="283"/>
      <c r="F70" s="307"/>
      <c r="G70" s="310"/>
      <c r="H70" s="309"/>
      <c r="I70" s="310"/>
      <c r="J70" s="325"/>
      <c r="K70" s="306"/>
      <c r="L70" s="279"/>
      <c r="M70" s="326"/>
      <c r="N70" s="281"/>
    </row>
    <row r="71" spans="1:14" ht="27" hidden="1" customHeight="1" x14ac:dyDescent="0.2">
      <c r="A71" s="5">
        <v>69</v>
      </c>
      <c r="B71" s="678"/>
      <c r="C71" s="297"/>
      <c r="D71" s="288"/>
      <c r="E71" s="289"/>
      <c r="F71" s="307"/>
      <c r="G71" s="310"/>
      <c r="H71" s="309"/>
      <c r="I71" s="310"/>
      <c r="J71" s="325"/>
      <c r="K71" s="306"/>
      <c r="L71" s="279"/>
      <c r="M71" s="326"/>
      <c r="N71" s="281"/>
    </row>
    <row r="72" spans="1:14" ht="27" hidden="1" customHeight="1" x14ac:dyDescent="0.2">
      <c r="A72" s="5">
        <v>70</v>
      </c>
      <c r="B72" s="678"/>
      <c r="C72" s="297"/>
      <c r="D72" s="288"/>
      <c r="E72" s="289"/>
      <c r="F72" s="307"/>
      <c r="G72" s="310"/>
      <c r="H72" s="309"/>
      <c r="I72" s="310"/>
      <c r="J72" s="325"/>
      <c r="K72" s="306"/>
      <c r="L72" s="279"/>
      <c r="M72" s="326"/>
      <c r="N72" s="281"/>
    </row>
    <row r="73" spans="1:14" ht="27" hidden="1" customHeight="1" x14ac:dyDescent="0.2">
      <c r="A73" s="5">
        <v>71</v>
      </c>
      <c r="B73" s="678"/>
      <c r="C73" s="297"/>
      <c r="D73" s="288"/>
      <c r="E73" s="289"/>
      <c r="F73" s="307"/>
      <c r="G73" s="310"/>
      <c r="H73" s="309"/>
      <c r="I73" s="310"/>
      <c r="J73" s="325"/>
      <c r="K73" s="306"/>
      <c r="L73" s="279"/>
      <c r="M73" s="326"/>
      <c r="N73" s="281"/>
    </row>
    <row r="74" spans="1:14" s="285" customFormat="1" ht="27" hidden="1" customHeight="1" x14ac:dyDescent="0.2">
      <c r="A74" s="5">
        <v>72</v>
      </c>
      <c r="B74" s="678"/>
      <c r="C74" s="297"/>
      <c r="D74" s="288"/>
      <c r="E74" s="289"/>
      <c r="F74" s="307"/>
      <c r="G74" s="310"/>
      <c r="H74" s="309"/>
      <c r="I74" s="310"/>
      <c r="J74" s="325"/>
      <c r="K74" s="306"/>
      <c r="L74" s="279"/>
      <c r="M74" s="326"/>
      <c r="N74" s="281"/>
    </row>
    <row r="75" spans="1:14" ht="27" hidden="1" customHeight="1" x14ac:dyDescent="0.2">
      <c r="A75" s="5">
        <v>73</v>
      </c>
      <c r="B75" s="678"/>
      <c r="C75" s="297"/>
      <c r="D75" s="288"/>
      <c r="E75" s="289"/>
      <c r="F75" s="307"/>
      <c r="G75" s="310"/>
      <c r="H75" s="309"/>
      <c r="I75" s="310"/>
      <c r="J75" s="325"/>
      <c r="K75" s="306"/>
      <c r="L75" s="279"/>
      <c r="M75" s="326"/>
      <c r="N75" s="281"/>
    </row>
    <row r="76" spans="1:14" ht="27" hidden="1" customHeight="1" x14ac:dyDescent="0.2">
      <c r="A76" s="5">
        <v>74</v>
      </c>
      <c r="B76" s="678"/>
      <c r="C76" s="297"/>
      <c r="D76" s="288"/>
      <c r="E76" s="289"/>
      <c r="F76" s="307"/>
      <c r="G76" s="310"/>
      <c r="H76" s="309"/>
      <c r="I76" s="310"/>
      <c r="J76" s="325"/>
      <c r="K76" s="306"/>
      <c r="L76" s="279"/>
      <c r="M76" s="326"/>
      <c r="N76" s="281"/>
    </row>
    <row r="77" spans="1:14" ht="27" hidden="1" customHeight="1" x14ac:dyDescent="0.2">
      <c r="A77" s="5">
        <v>75</v>
      </c>
      <c r="B77" s="678"/>
      <c r="C77" s="297"/>
      <c r="D77" s="288"/>
      <c r="E77" s="289"/>
      <c r="F77" s="307"/>
      <c r="G77" s="310"/>
      <c r="H77" s="309"/>
      <c r="I77" s="310"/>
      <c r="J77" s="325"/>
      <c r="K77" s="306"/>
      <c r="L77" s="279"/>
      <c r="M77" s="326"/>
      <c r="N77" s="281"/>
    </row>
    <row r="78" spans="1:14" ht="27" hidden="1" customHeight="1" x14ac:dyDescent="0.2">
      <c r="A78" s="5">
        <v>76</v>
      </c>
      <c r="B78" s="678"/>
      <c r="C78" s="297"/>
      <c r="D78" s="288"/>
      <c r="E78" s="289"/>
      <c r="F78" s="307"/>
      <c r="G78" s="310"/>
      <c r="H78" s="309"/>
      <c r="I78" s="310"/>
      <c r="J78" s="325"/>
      <c r="K78" s="306"/>
      <c r="L78" s="279"/>
      <c r="M78" s="326"/>
      <c r="N78" s="281"/>
    </row>
    <row r="79" spans="1:14" ht="27" hidden="1" customHeight="1" x14ac:dyDescent="0.2">
      <c r="A79" s="5">
        <v>77</v>
      </c>
      <c r="B79" s="678"/>
      <c r="C79" s="297"/>
      <c r="D79" s="288"/>
      <c r="E79" s="289"/>
      <c r="F79" s="307"/>
      <c r="G79" s="310"/>
      <c r="H79" s="309"/>
      <c r="I79" s="310"/>
      <c r="J79" s="325"/>
      <c r="K79" s="306"/>
      <c r="L79" s="279"/>
      <c r="M79" s="326"/>
      <c r="N79" s="281"/>
    </row>
    <row r="80" spans="1:14" ht="27" hidden="1" customHeight="1" x14ac:dyDescent="0.2">
      <c r="A80" s="5">
        <v>78</v>
      </c>
      <c r="B80" s="678"/>
      <c r="C80" s="297"/>
      <c r="D80" s="288"/>
      <c r="E80" s="286"/>
      <c r="F80" s="307"/>
      <c r="G80" s="310"/>
      <c r="H80" s="309"/>
      <c r="I80" s="310"/>
      <c r="J80" s="325"/>
      <c r="K80" s="306"/>
      <c r="L80" s="279"/>
      <c r="M80" s="326"/>
      <c r="N80" s="281"/>
    </row>
    <row r="81" spans="1:14" ht="27" hidden="1" customHeight="1" x14ac:dyDescent="0.2">
      <c r="A81" s="5">
        <v>79</v>
      </c>
      <c r="B81" s="678"/>
      <c r="C81" s="297"/>
      <c r="D81" s="288"/>
      <c r="E81" s="289"/>
      <c r="F81" s="307"/>
      <c r="G81" s="310"/>
      <c r="H81" s="309"/>
      <c r="I81" s="310"/>
      <c r="J81" s="325"/>
      <c r="K81" s="306"/>
      <c r="L81" s="279"/>
      <c r="M81" s="326"/>
      <c r="N81" s="281"/>
    </row>
    <row r="82" spans="1:14" ht="27" hidden="1" customHeight="1" x14ac:dyDescent="0.2">
      <c r="A82" s="5">
        <v>80</v>
      </c>
      <c r="B82" s="678"/>
      <c r="C82" s="297"/>
      <c r="D82" s="288"/>
      <c r="E82" s="289"/>
      <c r="F82" s="307"/>
      <c r="G82" s="310"/>
      <c r="H82" s="309"/>
      <c r="I82" s="310"/>
      <c r="J82" s="325"/>
      <c r="K82" s="306"/>
      <c r="L82" s="279"/>
      <c r="M82" s="326"/>
      <c r="N82" s="281"/>
    </row>
    <row r="83" spans="1:14" ht="27" hidden="1" customHeight="1" x14ac:dyDescent="0.2">
      <c r="A83" s="5">
        <v>81</v>
      </c>
      <c r="B83" s="678"/>
      <c r="C83" s="297"/>
      <c r="D83" s="288"/>
      <c r="E83" s="289"/>
      <c r="F83" s="307"/>
      <c r="G83" s="310"/>
      <c r="H83" s="309"/>
      <c r="I83" s="310"/>
      <c r="J83" s="325"/>
      <c r="K83" s="306"/>
      <c r="L83" s="279"/>
      <c r="M83" s="326"/>
      <c r="N83" s="281"/>
    </row>
    <row r="84" spans="1:14" ht="27" hidden="1" customHeight="1" x14ac:dyDescent="0.2">
      <c r="A84" s="5">
        <v>82</v>
      </c>
      <c r="B84" s="678"/>
      <c r="C84" s="297"/>
      <c r="D84" s="288"/>
      <c r="E84" s="289"/>
      <c r="F84" s="307"/>
      <c r="G84" s="310"/>
      <c r="H84" s="309"/>
      <c r="I84" s="310"/>
      <c r="J84" s="325"/>
      <c r="K84" s="306"/>
      <c r="L84" s="279"/>
      <c r="M84" s="326"/>
      <c r="N84" s="281"/>
    </row>
    <row r="85" spans="1:14" ht="27" hidden="1" customHeight="1" x14ac:dyDescent="0.2">
      <c r="A85" s="5">
        <v>83</v>
      </c>
      <c r="B85" s="284"/>
      <c r="C85" s="274"/>
      <c r="D85" s="275"/>
      <c r="E85" s="283"/>
      <c r="F85" s="307"/>
      <c r="G85" s="310"/>
      <c r="H85" s="309"/>
      <c r="I85" s="310"/>
      <c r="J85" s="325"/>
      <c r="K85" s="306"/>
      <c r="L85" s="279"/>
      <c r="M85" s="326"/>
      <c r="N85" s="281"/>
    </row>
    <row r="86" spans="1:14" ht="27" hidden="1" customHeight="1" x14ac:dyDescent="0.2">
      <c r="A86" s="5">
        <v>84</v>
      </c>
      <c r="B86" s="678"/>
      <c r="C86" s="295"/>
      <c r="D86" s="293"/>
      <c r="E86" s="294"/>
      <c r="F86" s="307"/>
      <c r="G86" s="310"/>
      <c r="H86" s="309"/>
      <c r="I86" s="310"/>
      <c r="J86" s="325"/>
      <c r="K86" s="306"/>
      <c r="L86" s="279"/>
      <c r="M86" s="326"/>
      <c r="N86" s="281"/>
    </row>
    <row r="87" spans="1:14" ht="27" hidden="1" customHeight="1" x14ac:dyDescent="0.2">
      <c r="A87" s="5">
        <v>85</v>
      </c>
      <c r="B87" s="678"/>
      <c r="C87" s="295"/>
      <c r="D87" s="293"/>
      <c r="E87" s="294"/>
      <c r="F87" s="307"/>
      <c r="G87" s="310"/>
      <c r="H87" s="309"/>
      <c r="I87" s="310"/>
      <c r="J87" s="325"/>
      <c r="K87" s="306"/>
      <c r="L87" s="279"/>
      <c r="M87" s="326"/>
      <c r="N87" s="281"/>
    </row>
    <row r="88" spans="1:14" ht="27" hidden="1" customHeight="1" x14ac:dyDescent="0.2">
      <c r="A88" s="5">
        <v>86</v>
      </c>
      <c r="B88" s="678"/>
      <c r="C88" s="295"/>
      <c r="D88" s="293"/>
      <c r="E88" s="294"/>
      <c r="F88" s="307"/>
      <c r="G88" s="310"/>
      <c r="H88" s="309"/>
      <c r="I88" s="310"/>
      <c r="J88" s="325"/>
      <c r="K88" s="306"/>
      <c r="L88" s="279"/>
      <c r="M88" s="326"/>
      <c r="N88" s="281"/>
    </row>
    <row r="89" spans="1:14" ht="27" hidden="1" customHeight="1" x14ac:dyDescent="0.2">
      <c r="A89" s="5">
        <v>87</v>
      </c>
      <c r="B89" s="678"/>
      <c r="C89" s="295"/>
      <c r="D89" s="293"/>
      <c r="E89" s="294"/>
      <c r="F89" s="307"/>
      <c r="G89" s="310"/>
      <c r="H89" s="309"/>
      <c r="I89" s="310"/>
      <c r="J89" s="325"/>
      <c r="K89" s="306"/>
      <c r="L89" s="279"/>
      <c r="M89" s="326"/>
      <c r="N89" s="281"/>
    </row>
    <row r="90" spans="1:14" ht="27" hidden="1" customHeight="1" x14ac:dyDescent="0.2">
      <c r="A90" s="5">
        <v>88</v>
      </c>
      <c r="B90" s="678"/>
      <c r="C90" s="295"/>
      <c r="D90" s="293"/>
      <c r="E90" s="294"/>
      <c r="F90" s="307"/>
      <c r="G90" s="310"/>
      <c r="H90" s="309"/>
      <c r="I90" s="310"/>
      <c r="J90" s="325"/>
      <c r="K90" s="306"/>
      <c r="L90" s="279"/>
      <c r="M90" s="326"/>
      <c r="N90" s="281"/>
    </row>
    <row r="91" spans="1:14" ht="27" hidden="1" customHeight="1" x14ac:dyDescent="0.2">
      <c r="A91" s="5">
        <v>89</v>
      </c>
      <c r="B91" s="678"/>
      <c r="C91" s="295"/>
      <c r="D91" s="293"/>
      <c r="E91" s="291"/>
      <c r="F91" s="305"/>
      <c r="G91" s="310"/>
      <c r="H91" s="309"/>
      <c r="I91" s="310"/>
      <c r="J91" s="325"/>
      <c r="K91" s="306"/>
      <c r="L91" s="279"/>
      <c r="M91" s="326"/>
      <c r="N91" s="281"/>
    </row>
    <row r="92" spans="1:14" ht="27" hidden="1" customHeight="1" x14ac:dyDescent="0.2">
      <c r="A92" s="5">
        <v>90</v>
      </c>
      <c r="B92" s="678"/>
      <c r="C92" s="295"/>
      <c r="D92" s="293"/>
      <c r="E92" s="294"/>
      <c r="F92" s="307"/>
      <c r="G92" s="310"/>
      <c r="H92" s="309"/>
      <c r="I92" s="310"/>
      <c r="J92" s="325"/>
      <c r="K92" s="306"/>
      <c r="L92" s="279"/>
      <c r="M92" s="326"/>
      <c r="N92" s="281"/>
    </row>
    <row r="93" spans="1:14" ht="27" hidden="1" customHeight="1" x14ac:dyDescent="0.2">
      <c r="A93" s="5">
        <v>91</v>
      </c>
      <c r="B93" s="678"/>
      <c r="C93" s="295"/>
      <c r="D93" s="293"/>
      <c r="E93" s="294"/>
      <c r="F93" s="307"/>
      <c r="G93" s="310"/>
      <c r="H93" s="309"/>
      <c r="I93" s="310"/>
      <c r="J93" s="325"/>
      <c r="K93" s="306"/>
      <c r="L93" s="279"/>
      <c r="M93" s="326"/>
      <c r="N93" s="281"/>
    </row>
    <row r="94" spans="1:14" ht="27" hidden="1" customHeight="1" x14ac:dyDescent="0.2">
      <c r="A94" s="5">
        <v>92</v>
      </c>
      <c r="B94" s="678"/>
      <c r="C94" s="295"/>
      <c r="D94" s="293"/>
      <c r="E94" s="294"/>
      <c r="F94" s="307"/>
      <c r="G94" s="310"/>
      <c r="H94" s="309"/>
      <c r="I94" s="310"/>
      <c r="J94" s="325"/>
      <c r="K94" s="306"/>
      <c r="L94" s="279"/>
      <c r="M94" s="326"/>
      <c r="N94" s="281"/>
    </row>
    <row r="95" spans="1:14" ht="27" hidden="1" customHeight="1" x14ac:dyDescent="0.2">
      <c r="A95" s="5">
        <v>93</v>
      </c>
      <c r="B95" s="284"/>
      <c r="C95" s="274"/>
      <c r="D95" s="275"/>
      <c r="E95" s="283"/>
      <c r="F95" s="307"/>
      <c r="G95" s="310"/>
      <c r="H95" s="309"/>
      <c r="I95" s="310"/>
      <c r="J95" s="325"/>
      <c r="K95" s="306"/>
      <c r="L95" s="279"/>
      <c r="M95" s="326"/>
      <c r="N95" s="281"/>
    </row>
    <row r="96" spans="1:14" ht="27" hidden="1" customHeight="1" x14ac:dyDescent="0.2">
      <c r="A96" s="5">
        <v>94</v>
      </c>
      <c r="B96" s="678"/>
      <c r="C96" s="297"/>
      <c r="D96" s="288"/>
      <c r="E96" s="289"/>
      <c r="F96" s="307"/>
      <c r="G96" s="310"/>
      <c r="H96" s="309"/>
      <c r="I96" s="310"/>
      <c r="J96" s="325"/>
      <c r="K96" s="306"/>
      <c r="L96" s="279"/>
      <c r="M96" s="326"/>
      <c r="N96" s="281"/>
    </row>
    <row r="97" spans="1:14" ht="27" hidden="1" customHeight="1" x14ac:dyDescent="0.2">
      <c r="A97" s="5">
        <v>95</v>
      </c>
      <c r="B97" s="678"/>
      <c r="C97" s="297"/>
      <c r="D97" s="288"/>
      <c r="E97" s="289"/>
      <c r="F97" s="307"/>
      <c r="G97" s="310"/>
      <c r="H97" s="309"/>
      <c r="I97" s="310"/>
      <c r="J97" s="325"/>
      <c r="K97" s="306"/>
      <c r="L97" s="279"/>
      <c r="M97" s="326"/>
      <c r="N97" s="281"/>
    </row>
    <row r="98" spans="1:14" ht="27" hidden="1" customHeight="1" x14ac:dyDescent="0.2">
      <c r="A98" s="5">
        <v>96</v>
      </c>
      <c r="B98" s="678"/>
      <c r="C98" s="297"/>
      <c r="D98" s="288"/>
      <c r="E98" s="289"/>
      <c r="F98" s="307"/>
      <c r="G98" s="310"/>
      <c r="H98" s="309"/>
      <c r="I98" s="310"/>
      <c r="J98" s="325"/>
      <c r="K98" s="306"/>
      <c r="L98" s="279"/>
      <c r="M98" s="326"/>
      <c r="N98" s="281"/>
    </row>
    <row r="99" spans="1:14" ht="12.75" hidden="1" customHeight="1" x14ac:dyDescent="0.2">
      <c r="A99" s="5">
        <v>97</v>
      </c>
      <c r="B99" s="284"/>
      <c r="C99" s="274"/>
      <c r="D99" s="275"/>
      <c r="E99" s="283"/>
      <c r="F99" s="307"/>
      <c r="G99" s="310"/>
      <c r="H99" s="309"/>
      <c r="I99" s="310"/>
      <c r="J99" s="325"/>
      <c r="K99" s="306"/>
      <c r="L99" s="279"/>
      <c r="M99" s="326"/>
      <c r="N99" s="281"/>
    </row>
    <row r="100" spans="1:14" ht="27" hidden="1" customHeight="1" x14ac:dyDescent="0.2">
      <c r="A100" s="5">
        <v>98</v>
      </c>
      <c r="B100" s="678"/>
      <c r="C100" s="295"/>
      <c r="D100" s="293"/>
      <c r="E100" s="287"/>
      <c r="F100" s="307"/>
      <c r="G100" s="310"/>
      <c r="H100" s="309"/>
      <c r="I100" s="310"/>
      <c r="J100" s="325"/>
      <c r="K100" s="306"/>
      <c r="L100" s="279"/>
      <c r="M100" s="326"/>
      <c r="N100" s="281"/>
    </row>
    <row r="101" spans="1:14" ht="27" hidden="1" customHeight="1" x14ac:dyDescent="0.2">
      <c r="A101" s="5">
        <v>99</v>
      </c>
      <c r="B101" s="678"/>
      <c r="C101" s="295"/>
      <c r="D101" s="293"/>
      <c r="E101" s="294"/>
      <c r="F101" s="307"/>
      <c r="G101" s="310"/>
      <c r="H101" s="309"/>
      <c r="I101" s="310"/>
      <c r="J101" s="325"/>
      <c r="K101" s="306"/>
      <c r="L101" s="279"/>
      <c r="M101" s="326"/>
      <c r="N101" s="281"/>
    </row>
    <row r="102" spans="1:14" ht="27" hidden="1" customHeight="1" x14ac:dyDescent="0.2">
      <c r="A102" s="5">
        <v>100</v>
      </c>
      <c r="B102" s="678"/>
      <c r="C102" s="295"/>
      <c r="D102" s="293"/>
      <c r="E102" s="294"/>
      <c r="F102" s="307"/>
      <c r="G102" s="310"/>
      <c r="H102" s="309"/>
      <c r="I102" s="310"/>
      <c r="J102" s="325"/>
      <c r="K102" s="306"/>
      <c r="L102" s="279"/>
      <c r="M102" s="326"/>
      <c r="N102" s="281"/>
    </row>
    <row r="103" spans="1:14" ht="27" hidden="1" customHeight="1" x14ac:dyDescent="0.2">
      <c r="A103" s="5">
        <v>101</v>
      </c>
      <c r="B103" s="678"/>
      <c r="C103" s="295"/>
      <c r="D103" s="293"/>
      <c r="E103" s="291"/>
      <c r="F103" s="304"/>
      <c r="G103" s="304"/>
      <c r="H103" s="309"/>
      <c r="I103" s="310"/>
      <c r="J103" s="325"/>
      <c r="K103" s="306"/>
      <c r="L103" s="279"/>
      <c r="M103" s="326"/>
      <c r="N103" s="281"/>
    </row>
    <row r="104" spans="1:14" ht="27" hidden="1" customHeight="1" x14ac:dyDescent="0.2">
      <c r="A104" s="5">
        <v>102</v>
      </c>
      <c r="B104" s="678"/>
      <c r="C104" s="295"/>
      <c r="D104" s="293"/>
      <c r="E104" s="294"/>
      <c r="F104" s="307"/>
      <c r="G104" s="310"/>
      <c r="H104" s="309"/>
      <c r="I104" s="310"/>
      <c r="J104" s="325"/>
      <c r="K104" s="306"/>
      <c r="L104" s="279"/>
      <c r="M104" s="326"/>
      <c r="N104" s="281"/>
    </row>
    <row r="105" spans="1:14" ht="27" hidden="1" customHeight="1" x14ac:dyDescent="0.2">
      <c r="A105" s="5">
        <v>103</v>
      </c>
      <c r="B105" s="678"/>
      <c r="C105" s="295"/>
      <c r="D105" s="293"/>
      <c r="E105" s="294"/>
      <c r="F105" s="307"/>
      <c r="G105" s="310"/>
      <c r="H105" s="309"/>
      <c r="I105" s="310"/>
      <c r="J105" s="325"/>
      <c r="K105" s="306"/>
      <c r="L105" s="279"/>
      <c r="M105" s="326"/>
      <c r="N105" s="281"/>
    </row>
    <row r="106" spans="1:14" ht="27" hidden="1" customHeight="1" x14ac:dyDescent="0.2">
      <c r="A106" s="5">
        <v>104</v>
      </c>
      <c r="B106" s="678"/>
      <c r="C106" s="295"/>
      <c r="D106" s="293"/>
      <c r="E106" s="294"/>
      <c r="F106" s="307"/>
      <c r="G106" s="310"/>
      <c r="H106" s="309"/>
      <c r="I106" s="310"/>
      <c r="J106" s="325"/>
      <c r="K106" s="306"/>
      <c r="L106" s="279"/>
      <c r="M106" s="326"/>
      <c r="N106" s="281"/>
    </row>
    <row r="107" spans="1:14" ht="27" hidden="1" customHeight="1" x14ac:dyDescent="0.2">
      <c r="A107" s="5">
        <v>105</v>
      </c>
      <c r="B107" s="284"/>
      <c r="C107" s="274"/>
      <c r="D107" s="7"/>
      <c r="E107" s="283"/>
      <c r="F107" s="307"/>
      <c r="G107" s="310"/>
      <c r="H107" s="309"/>
      <c r="I107" s="310"/>
      <c r="J107" s="325"/>
      <c r="K107" s="306"/>
      <c r="L107" s="279"/>
      <c r="M107" s="326"/>
      <c r="N107" s="281"/>
    </row>
    <row r="108" spans="1:14" ht="27" hidden="1" customHeight="1" x14ac:dyDescent="0.2">
      <c r="A108" s="5">
        <v>106</v>
      </c>
      <c r="B108" s="678"/>
      <c r="C108" s="297"/>
      <c r="D108" s="288"/>
      <c r="E108" s="289"/>
      <c r="F108" s="307"/>
      <c r="G108" s="310"/>
      <c r="H108" s="309"/>
      <c r="I108" s="310"/>
      <c r="J108" s="325"/>
      <c r="K108" s="306"/>
      <c r="L108" s="279"/>
      <c r="M108" s="326"/>
      <c r="N108" s="281"/>
    </row>
    <row r="109" spans="1:14" ht="27" hidden="1" customHeight="1" x14ac:dyDescent="0.2">
      <c r="A109" s="5">
        <v>107</v>
      </c>
      <c r="B109" s="678"/>
      <c r="C109" s="297"/>
      <c r="D109" s="288"/>
      <c r="E109" s="289"/>
      <c r="F109" s="307"/>
      <c r="G109" s="310"/>
      <c r="H109" s="309"/>
      <c r="I109" s="310"/>
      <c r="J109" s="325"/>
      <c r="K109" s="306"/>
      <c r="L109" s="279"/>
      <c r="M109" s="326"/>
      <c r="N109" s="281"/>
    </row>
    <row r="110" spans="1:14" ht="27" hidden="1" customHeight="1" x14ac:dyDescent="0.2">
      <c r="A110" s="5">
        <v>108</v>
      </c>
      <c r="B110" s="678"/>
      <c r="C110" s="297"/>
      <c r="D110" s="288"/>
      <c r="E110" s="289"/>
      <c r="F110" s="307"/>
      <c r="G110" s="310"/>
      <c r="H110" s="309"/>
      <c r="I110" s="310"/>
      <c r="J110" s="325"/>
      <c r="K110" s="306"/>
      <c r="L110" s="279"/>
      <c r="M110" s="326"/>
      <c r="N110" s="281"/>
    </row>
    <row r="111" spans="1:14" ht="27" hidden="1" customHeight="1" x14ac:dyDescent="0.2">
      <c r="A111" s="5">
        <v>109</v>
      </c>
      <c r="B111" s="678"/>
      <c r="C111" s="297"/>
      <c r="D111" s="288"/>
      <c r="E111" s="289"/>
      <c r="F111" s="307"/>
      <c r="G111" s="310"/>
      <c r="H111" s="309"/>
      <c r="I111" s="310"/>
      <c r="J111" s="325"/>
      <c r="K111" s="306"/>
      <c r="L111" s="279"/>
      <c r="M111" s="326"/>
      <c r="N111" s="281"/>
    </row>
    <row r="112" spans="1:14" ht="27" hidden="1" customHeight="1" x14ac:dyDescent="0.2">
      <c r="A112" s="5">
        <v>110</v>
      </c>
      <c r="B112" s="678"/>
      <c r="C112" s="297"/>
      <c r="D112" s="288"/>
      <c r="E112" s="289"/>
      <c r="F112" s="307"/>
      <c r="G112" s="310"/>
      <c r="H112" s="309"/>
      <c r="I112" s="310"/>
      <c r="J112" s="325"/>
      <c r="K112" s="306"/>
      <c r="L112" s="279"/>
      <c r="M112" s="326"/>
      <c r="N112" s="281"/>
    </row>
    <row r="113" spans="1:18" ht="27" hidden="1" customHeight="1" x14ac:dyDescent="0.2">
      <c r="A113" s="5">
        <v>111</v>
      </c>
      <c r="B113" s="678"/>
      <c r="C113" s="297"/>
      <c r="D113" s="288"/>
      <c r="E113" s="289"/>
      <c r="F113" s="307"/>
      <c r="G113" s="310"/>
      <c r="H113" s="309"/>
      <c r="I113" s="310"/>
      <c r="J113" s="325"/>
      <c r="K113" s="306"/>
      <c r="L113" s="279"/>
      <c r="M113" s="326"/>
      <c r="N113" s="281"/>
    </row>
    <row r="114" spans="1:18" ht="27" hidden="1" customHeight="1" x14ac:dyDescent="0.2">
      <c r="A114" s="5">
        <v>112</v>
      </c>
      <c r="B114" s="678"/>
      <c r="C114" s="297"/>
      <c r="D114" s="288"/>
      <c r="E114" s="289"/>
      <c r="F114" s="307"/>
      <c r="G114" s="310"/>
      <c r="H114" s="309"/>
      <c r="I114" s="310"/>
      <c r="J114" s="325"/>
      <c r="K114" s="306"/>
      <c r="L114" s="279"/>
      <c r="M114" s="326"/>
      <c r="N114" s="281"/>
    </row>
    <row r="115" spans="1:18" ht="27" hidden="1" customHeight="1" x14ac:dyDescent="0.2">
      <c r="A115" s="5">
        <v>113</v>
      </c>
      <c r="B115" s="678"/>
      <c r="C115" s="297"/>
      <c r="D115" s="288"/>
      <c r="E115" s="289"/>
      <c r="F115" s="307"/>
      <c r="G115" s="310"/>
      <c r="H115" s="309"/>
      <c r="I115" s="310"/>
      <c r="J115" s="325"/>
      <c r="K115" s="306"/>
      <c r="L115" s="279"/>
      <c r="M115" s="326"/>
      <c r="N115" s="281"/>
    </row>
    <row r="116" spans="1:18" ht="27" hidden="1" customHeight="1" x14ac:dyDescent="0.2">
      <c r="A116" s="5">
        <v>114</v>
      </c>
      <c r="B116" s="678"/>
      <c r="C116" s="297"/>
      <c r="D116" s="288"/>
      <c r="E116" s="289"/>
      <c r="F116" s="307"/>
      <c r="G116" s="310"/>
      <c r="H116" s="309"/>
      <c r="I116" s="310"/>
      <c r="J116" s="325"/>
      <c r="K116" s="306"/>
      <c r="L116" s="279"/>
      <c r="M116" s="326"/>
      <c r="N116" s="281"/>
    </row>
    <row r="117" spans="1:18" ht="1.5" hidden="1" customHeight="1" x14ac:dyDescent="0.2">
      <c r="A117" s="5">
        <v>115</v>
      </c>
      <c r="B117" s="678"/>
      <c r="C117" s="297"/>
      <c r="D117" s="288"/>
      <c r="E117" s="289"/>
      <c r="F117" s="307"/>
      <c r="G117" s="310"/>
      <c r="H117" s="309"/>
      <c r="I117" s="310"/>
      <c r="J117" s="325"/>
      <c r="K117" s="306"/>
      <c r="L117" s="279"/>
      <c r="M117" s="326"/>
      <c r="N117" s="281"/>
    </row>
    <row r="118" spans="1:18" ht="27" hidden="1" customHeight="1" x14ac:dyDescent="0.2">
      <c r="A118" s="5">
        <v>116</v>
      </c>
      <c r="B118" s="678"/>
      <c r="C118" s="297"/>
      <c r="D118" s="288"/>
      <c r="E118" s="289"/>
      <c r="F118" s="307"/>
      <c r="G118" s="310"/>
      <c r="H118" s="309"/>
      <c r="I118" s="310"/>
      <c r="J118" s="325"/>
      <c r="K118" s="306"/>
      <c r="L118" s="279"/>
      <c r="M118" s="326"/>
      <c r="N118" s="281"/>
    </row>
    <row r="119" spans="1:18" ht="27" hidden="1" customHeight="1" x14ac:dyDescent="0.2">
      <c r="A119" s="5">
        <v>117</v>
      </c>
      <c r="B119" s="678"/>
      <c r="C119" s="297"/>
      <c r="D119" s="288"/>
      <c r="E119" s="289"/>
      <c r="F119" s="307"/>
      <c r="G119" s="310"/>
      <c r="H119" s="309"/>
      <c r="I119" s="310"/>
      <c r="J119" s="325"/>
      <c r="K119" s="306"/>
      <c r="L119" s="279"/>
      <c r="M119" s="326"/>
      <c r="N119" s="281"/>
    </row>
    <row r="120" spans="1:18" ht="27" hidden="1" customHeight="1" x14ac:dyDescent="0.2">
      <c r="A120" s="5">
        <v>118</v>
      </c>
      <c r="B120" s="678"/>
      <c r="C120" s="297"/>
      <c r="D120" s="288"/>
      <c r="E120" s="289"/>
      <c r="F120" s="307"/>
      <c r="G120" s="310"/>
      <c r="H120" s="309"/>
      <c r="I120" s="310"/>
      <c r="J120" s="325"/>
      <c r="K120" s="306"/>
      <c r="L120" s="279"/>
      <c r="M120" s="326"/>
      <c r="N120" s="281"/>
    </row>
    <row r="121" spans="1:18" ht="27" hidden="1" customHeight="1" x14ac:dyDescent="0.2">
      <c r="A121" s="5">
        <v>119</v>
      </c>
      <c r="B121" s="678"/>
      <c r="C121" s="297"/>
      <c r="D121" s="288"/>
      <c r="E121" s="289"/>
      <c r="F121" s="307"/>
      <c r="G121" s="310"/>
      <c r="H121" s="309"/>
      <c r="I121" s="310"/>
      <c r="J121" s="325"/>
      <c r="K121" s="306"/>
      <c r="L121" s="279"/>
      <c r="M121" s="326"/>
      <c r="N121" s="281"/>
      <c r="P121" s="1" t="s">
        <v>197</v>
      </c>
    </row>
    <row r="122" spans="1:18" ht="27" hidden="1" customHeight="1" x14ac:dyDescent="0.2">
      <c r="A122" s="5">
        <v>120</v>
      </c>
      <c r="B122" s="678"/>
      <c r="C122" s="297"/>
      <c r="D122" s="288"/>
      <c r="E122" s="289"/>
      <c r="F122" s="307"/>
      <c r="G122" s="310"/>
      <c r="H122" s="309"/>
      <c r="I122" s="310"/>
      <c r="J122" s="325"/>
      <c r="K122" s="306"/>
      <c r="L122" s="279"/>
      <c r="M122" s="326"/>
      <c r="N122" s="281"/>
    </row>
    <row r="123" spans="1:18" ht="27" hidden="1" customHeight="1" x14ac:dyDescent="0.2">
      <c r="A123" s="5">
        <v>121</v>
      </c>
      <c r="B123" s="678"/>
      <c r="C123" s="297"/>
      <c r="D123" s="288"/>
      <c r="E123" s="289"/>
      <c r="F123" s="307"/>
      <c r="G123" s="310"/>
      <c r="H123" s="309"/>
      <c r="I123" s="310"/>
      <c r="J123" s="325"/>
      <c r="K123" s="306"/>
      <c r="L123" s="279"/>
      <c r="M123" s="326"/>
      <c r="N123" s="281"/>
    </row>
    <row r="124" spans="1:18" ht="27" hidden="1" customHeight="1" x14ac:dyDescent="0.2">
      <c r="A124" s="5">
        <v>122</v>
      </c>
      <c r="B124" s="678"/>
      <c r="C124" s="297"/>
      <c r="D124" s="288"/>
      <c r="E124" s="289"/>
      <c r="F124" s="307"/>
      <c r="G124" s="310"/>
      <c r="H124" s="309"/>
      <c r="I124" s="310"/>
      <c r="J124" s="325"/>
      <c r="K124" s="306"/>
      <c r="L124" s="279"/>
      <c r="M124" s="326"/>
      <c r="N124" s="281"/>
    </row>
    <row r="125" spans="1:18" ht="27" hidden="1" customHeight="1" x14ac:dyDescent="0.2">
      <c r="A125" s="5">
        <v>123</v>
      </c>
      <c r="B125" s="678"/>
      <c r="C125" s="274"/>
      <c r="D125" s="275"/>
      <c r="E125" s="283"/>
      <c r="F125" s="307"/>
      <c r="G125" s="310"/>
      <c r="H125" s="309"/>
      <c r="I125" s="310"/>
      <c r="J125" s="325"/>
      <c r="K125" s="306"/>
      <c r="L125" s="279"/>
      <c r="M125" s="326"/>
      <c r="N125" s="281"/>
    </row>
    <row r="126" spans="1:18" ht="27" customHeight="1" x14ac:dyDescent="0.2">
      <c r="A126" s="5">
        <v>124</v>
      </c>
      <c r="B126" s="284"/>
      <c r="C126" s="274"/>
      <c r="D126" s="275"/>
      <c r="E126" s="283"/>
      <c r="F126" s="307"/>
      <c r="G126" s="310"/>
      <c r="H126" s="309"/>
      <c r="I126" s="310">
        <f t="shared" ref="I126:I161" si="0">G126-H126+I125</f>
        <v>0</v>
      </c>
      <c r="J126" s="325"/>
      <c r="K126" s="306"/>
      <c r="L126" s="279"/>
      <c r="M126" s="326"/>
      <c r="N126" s="281">
        <f t="shared" ref="N126:N134" si="1">L126-M126+N125</f>
        <v>0</v>
      </c>
    </row>
    <row r="127" spans="1:18" ht="27" customHeight="1" x14ac:dyDescent="0.2">
      <c r="A127" s="5">
        <v>125</v>
      </c>
      <c r="B127" s="683" t="s">
        <v>53</v>
      </c>
      <c r="C127" s="316"/>
      <c r="D127" s="293" t="s">
        <v>39</v>
      </c>
      <c r="E127" s="294">
        <f>12006.4+2139.35</f>
        <v>14145.75</v>
      </c>
      <c r="F127" s="308">
        <v>41596.75</v>
      </c>
      <c r="G127" s="310"/>
      <c r="H127" s="309">
        <f>E127*F127</f>
        <v>588417226.3125</v>
      </c>
      <c r="I127" s="310">
        <f t="shared" si="0"/>
        <v>-588417226.3125</v>
      </c>
      <c r="J127" s="325"/>
      <c r="K127" s="327">
        <f>651.88-121.31</f>
        <v>530.56999999999994</v>
      </c>
      <c r="L127" s="585"/>
      <c r="M127" s="326">
        <f>E127*K127</f>
        <v>7505310.5774999987</v>
      </c>
      <c r="N127" s="281">
        <f t="shared" si="1"/>
        <v>-7505310.5774999987</v>
      </c>
      <c r="P127" s="1">
        <v>86</v>
      </c>
      <c r="Q127" s="1">
        <v>651.88095238095241</v>
      </c>
      <c r="R127" s="1">
        <f>Q127-35</f>
        <v>616.88095238095241</v>
      </c>
    </row>
    <row r="128" spans="1:18" ht="27" customHeight="1" x14ac:dyDescent="0.2">
      <c r="A128" s="5">
        <v>126</v>
      </c>
      <c r="B128" s="684"/>
      <c r="C128" s="295" t="s">
        <v>43</v>
      </c>
      <c r="D128" s="293" t="s">
        <v>44</v>
      </c>
      <c r="E128" s="329"/>
      <c r="F128" s="308"/>
      <c r="G128" s="310">
        <v>500000000</v>
      </c>
      <c r="H128" s="309"/>
      <c r="I128" s="310">
        <f t="shared" si="0"/>
        <v>-88417226.3125</v>
      </c>
      <c r="J128" s="325"/>
      <c r="K128" s="306">
        <v>78.400116855457341</v>
      </c>
      <c r="L128" s="279">
        <f>G128/K128</f>
        <v>6377541.5146616017</v>
      </c>
      <c r="M128" s="326"/>
      <c r="N128" s="281">
        <f t="shared" si="1"/>
        <v>-1127769.062838397</v>
      </c>
    </row>
    <row r="129" spans="1:14" ht="27" customHeight="1" x14ac:dyDescent="0.2">
      <c r="A129" s="5">
        <v>127</v>
      </c>
      <c r="B129" s="684"/>
      <c r="C129" s="295" t="s">
        <v>45</v>
      </c>
      <c r="D129" s="293" t="s">
        <v>60</v>
      </c>
      <c r="E129" s="294"/>
      <c r="F129" s="308"/>
      <c r="G129" s="310">
        <v>101857663.2</v>
      </c>
      <c r="H129" s="309"/>
      <c r="I129" s="310">
        <f t="shared" si="0"/>
        <v>13440436.887500003</v>
      </c>
      <c r="J129" s="325"/>
      <c r="K129" s="306">
        <v>78.400116855457341</v>
      </c>
      <c r="L129" s="279">
        <f t="shared" ref="L129:L131" si="2">G129/K129</f>
        <v>1299202.9512888386</v>
      </c>
      <c r="M129" s="326"/>
      <c r="N129" s="281">
        <f t="shared" si="1"/>
        <v>171433.88845044165</v>
      </c>
    </row>
    <row r="130" spans="1:14" ht="27" customHeight="1" x14ac:dyDescent="0.2">
      <c r="A130" s="5">
        <v>128</v>
      </c>
      <c r="B130" s="684"/>
      <c r="C130" s="295" t="s">
        <v>65</v>
      </c>
      <c r="D130" s="293" t="s">
        <v>57</v>
      </c>
      <c r="E130" s="298"/>
      <c r="F130" s="282"/>
      <c r="G130" s="310">
        <v>194546187.55000001</v>
      </c>
      <c r="H130" s="309"/>
      <c r="I130" s="310">
        <f t="shared" si="0"/>
        <v>207986624.4375</v>
      </c>
      <c r="J130" s="325"/>
      <c r="K130" s="306">
        <v>78.400116855457341</v>
      </c>
      <c r="L130" s="279">
        <f t="shared" si="2"/>
        <v>2481452.7752385344</v>
      </c>
      <c r="M130" s="326"/>
      <c r="N130" s="281">
        <f t="shared" si="1"/>
        <v>2652886.6636889763</v>
      </c>
    </row>
    <row r="131" spans="1:14" ht="27" customHeight="1" x14ac:dyDescent="0.2">
      <c r="A131" s="5">
        <v>129</v>
      </c>
      <c r="B131" s="684"/>
      <c r="C131" s="295">
        <v>46174</v>
      </c>
      <c r="D131" s="293" t="s">
        <v>56</v>
      </c>
      <c r="E131" s="291"/>
      <c r="F131" s="282"/>
      <c r="G131" s="310">
        <v>4210124.38</v>
      </c>
      <c r="H131" s="309"/>
      <c r="I131" s="310">
        <f t="shared" si="0"/>
        <v>212196748.8175</v>
      </c>
      <c r="J131" s="325"/>
      <c r="K131" s="306">
        <v>78.400116855457341</v>
      </c>
      <c r="L131" s="279">
        <f t="shared" si="2"/>
        <v>53700.486030677872</v>
      </c>
      <c r="M131" s="326"/>
      <c r="N131" s="281">
        <f t="shared" si="1"/>
        <v>2706587.1497196541</v>
      </c>
    </row>
    <row r="132" spans="1:14" ht="27" customHeight="1" x14ac:dyDescent="0.2">
      <c r="A132" s="5">
        <v>130</v>
      </c>
      <c r="B132" s="684"/>
      <c r="C132" s="295">
        <v>46174</v>
      </c>
      <c r="D132" s="293" t="s">
        <v>58</v>
      </c>
      <c r="E132" s="294"/>
      <c r="F132" s="307"/>
      <c r="G132" s="304"/>
      <c r="H132" s="309">
        <v>2752469.48</v>
      </c>
      <c r="I132" s="310">
        <f t="shared" si="0"/>
        <v>209444279.33750001</v>
      </c>
      <c r="J132" s="325"/>
      <c r="K132" s="306">
        <v>78.400116855457341</v>
      </c>
      <c r="L132" s="279"/>
      <c r="M132" s="326">
        <f>H132/K132</f>
        <v>35107.976753078066</v>
      </c>
      <c r="N132" s="281">
        <f t="shared" si="1"/>
        <v>2671479.1729665762</v>
      </c>
    </row>
    <row r="133" spans="1:14" ht="27" customHeight="1" x14ac:dyDescent="0.2">
      <c r="A133" s="5">
        <v>131</v>
      </c>
      <c r="B133" s="684"/>
      <c r="C133" s="295" t="s">
        <v>110</v>
      </c>
      <c r="D133" s="293" t="s">
        <v>114</v>
      </c>
      <c r="E133" s="291"/>
      <c r="F133" s="282"/>
      <c r="G133" s="282"/>
      <c r="H133" s="309">
        <v>114118634.77</v>
      </c>
      <c r="I133" s="310">
        <f t="shared" si="0"/>
        <v>95325644.56750001</v>
      </c>
      <c r="J133" s="325"/>
      <c r="K133" s="306">
        <v>78.400116855457341</v>
      </c>
      <c r="L133" s="279"/>
      <c r="M133" s="326">
        <f t="shared" ref="M133:M136" si="3">H133/K133</f>
        <v>1455592.6616843599</v>
      </c>
      <c r="N133" s="281">
        <f t="shared" si="1"/>
        <v>1215886.5112822163</v>
      </c>
    </row>
    <row r="134" spans="1:14" ht="27" customHeight="1" x14ac:dyDescent="0.2">
      <c r="A134" s="5">
        <v>132</v>
      </c>
      <c r="B134" s="684"/>
      <c r="C134" s="295" t="s">
        <v>111</v>
      </c>
      <c r="D134" s="293" t="s">
        <v>64</v>
      </c>
      <c r="E134" s="291"/>
      <c r="F134" s="282"/>
      <c r="G134" s="282"/>
      <c r="H134" s="309">
        <v>32500168.23</v>
      </c>
      <c r="I134" s="310">
        <f t="shared" si="0"/>
        <v>62825476.337500006</v>
      </c>
      <c r="J134" s="325"/>
      <c r="K134" s="306">
        <v>78.400116855457341</v>
      </c>
      <c r="L134" s="279"/>
      <c r="M134" s="326">
        <f t="shared" si="3"/>
        <v>414542.34424062213</v>
      </c>
      <c r="N134" s="281">
        <f t="shared" si="1"/>
        <v>801344.16704159416</v>
      </c>
    </row>
    <row r="135" spans="1:14" ht="27" customHeight="1" x14ac:dyDescent="0.2">
      <c r="A135" s="5">
        <v>133</v>
      </c>
      <c r="B135" s="684"/>
      <c r="C135" s="295" t="s">
        <v>112</v>
      </c>
      <c r="D135" s="293" t="s">
        <v>132</v>
      </c>
      <c r="E135" s="291"/>
      <c r="F135" s="282"/>
      <c r="G135" s="282"/>
      <c r="H135" s="309">
        <v>39264820.25</v>
      </c>
      <c r="I135" s="310">
        <f t="shared" si="0"/>
        <v>23560656.087500006</v>
      </c>
      <c r="J135" s="325"/>
      <c r="K135" s="306">
        <v>78.400116855457341</v>
      </c>
      <c r="L135" s="279"/>
      <c r="M135" s="326">
        <f t="shared" si="3"/>
        <v>500826.04242020106</v>
      </c>
      <c r="N135" s="281">
        <f t="shared" ref="N135:N197" si="4">L135-M135+N134</f>
        <v>300518.1246213931</v>
      </c>
    </row>
    <row r="136" spans="1:14" ht="27" customHeight="1" x14ac:dyDescent="0.2">
      <c r="A136" s="5">
        <v>134</v>
      </c>
      <c r="B136" s="685"/>
      <c r="C136" s="295" t="s">
        <v>113</v>
      </c>
      <c r="D136" s="293" t="s">
        <v>117</v>
      </c>
      <c r="E136" s="291"/>
      <c r="F136" s="282"/>
      <c r="G136" s="282"/>
      <c r="H136" s="309">
        <v>23560656.07</v>
      </c>
      <c r="I136" s="310">
        <f t="shared" si="0"/>
        <v>1.7500005662441254E-2</v>
      </c>
      <c r="J136" s="325"/>
      <c r="K136" s="306">
        <v>78.400116855457341</v>
      </c>
      <c r="L136" s="279"/>
      <c r="M136" s="326">
        <f t="shared" si="3"/>
        <v>300518.12439817772</v>
      </c>
      <c r="N136" s="281">
        <f t="shared" si="4"/>
        <v>2.2321537835523486E-4</v>
      </c>
    </row>
    <row r="137" spans="1:14" ht="27" customHeight="1" x14ac:dyDescent="0.2">
      <c r="A137" s="5">
        <v>135</v>
      </c>
      <c r="B137" s="284"/>
      <c r="C137" s="6"/>
      <c r="D137" s="304"/>
      <c r="E137" s="282"/>
      <c r="F137" s="282"/>
      <c r="G137" s="282"/>
      <c r="H137" s="309"/>
      <c r="I137" s="310">
        <f t="shared" si="0"/>
        <v>1.7500005662441254E-2</v>
      </c>
      <c r="J137" s="325"/>
      <c r="K137" s="306"/>
      <c r="L137" s="279"/>
      <c r="M137" s="326"/>
      <c r="N137" s="281">
        <f t="shared" si="4"/>
        <v>2.2321537835523486E-4</v>
      </c>
    </row>
    <row r="138" spans="1:14" ht="27" customHeight="1" x14ac:dyDescent="0.2">
      <c r="A138" s="5">
        <v>136</v>
      </c>
      <c r="B138" s="683" t="s">
        <v>52</v>
      </c>
      <c r="C138" s="297">
        <v>46174</v>
      </c>
      <c r="D138" s="288" t="s">
        <v>56</v>
      </c>
      <c r="E138" s="290"/>
      <c r="F138" s="304"/>
      <c r="G138" s="310">
        <v>2676324.94</v>
      </c>
      <c r="H138" s="309"/>
      <c r="I138" s="310">
        <f t="shared" si="0"/>
        <v>2676324.9575000056</v>
      </c>
      <c r="J138" s="325"/>
      <c r="K138" s="306">
        <v>78.400000000000006</v>
      </c>
      <c r="L138" s="279">
        <f>G138/K138</f>
        <v>34136.797704081626</v>
      </c>
      <c r="M138" s="326"/>
      <c r="N138" s="281">
        <f t="shared" si="4"/>
        <v>34136.797927297004</v>
      </c>
    </row>
    <row r="139" spans="1:14" ht="27" customHeight="1" x14ac:dyDescent="0.2">
      <c r="A139" s="5">
        <v>137</v>
      </c>
      <c r="B139" s="684"/>
      <c r="C139" s="297">
        <v>46174</v>
      </c>
      <c r="D139" s="288" t="s">
        <v>57</v>
      </c>
      <c r="E139" s="289"/>
      <c r="F139" s="307"/>
      <c r="G139" s="310">
        <v>22785444.969999999</v>
      </c>
      <c r="H139" s="309"/>
      <c r="I139" s="310">
        <f t="shared" si="0"/>
        <v>25461769.927500006</v>
      </c>
      <c r="J139" s="325"/>
      <c r="K139" s="306">
        <v>78.400000000000006</v>
      </c>
      <c r="L139" s="279">
        <f t="shared" ref="L139:L142" si="5">G139/K139</f>
        <v>290630.67563775508</v>
      </c>
      <c r="M139" s="326"/>
      <c r="N139" s="281">
        <f t="shared" si="4"/>
        <v>324767.47356505209</v>
      </c>
    </row>
    <row r="140" spans="1:14" ht="27" customHeight="1" x14ac:dyDescent="0.2">
      <c r="A140" s="5">
        <v>138</v>
      </c>
      <c r="B140" s="684"/>
      <c r="C140" s="297">
        <v>46174</v>
      </c>
      <c r="D140" s="288" t="s">
        <v>57</v>
      </c>
      <c r="E140" s="289"/>
      <c r="F140" s="307"/>
      <c r="G140" s="310">
        <v>6890484.04</v>
      </c>
      <c r="H140" s="309"/>
      <c r="I140" s="310">
        <f t="shared" si="0"/>
        <v>32352253.967500005</v>
      </c>
      <c r="J140" s="325"/>
      <c r="K140" s="306">
        <v>78.400000000000006</v>
      </c>
      <c r="L140" s="279">
        <f t="shared" si="5"/>
        <v>87888.827040816323</v>
      </c>
      <c r="M140" s="326"/>
      <c r="N140" s="281">
        <f t="shared" si="4"/>
        <v>412656.3006058684</v>
      </c>
    </row>
    <row r="141" spans="1:14" ht="27" customHeight="1" x14ac:dyDescent="0.2">
      <c r="A141" s="5">
        <v>139</v>
      </c>
      <c r="B141" s="684"/>
      <c r="C141" s="297">
        <v>46174</v>
      </c>
      <c r="D141" s="288" t="s">
        <v>57</v>
      </c>
      <c r="E141" s="289"/>
      <c r="F141" s="307"/>
      <c r="G141" s="310">
        <v>6238180.8099999996</v>
      </c>
      <c r="H141" s="309"/>
      <c r="I141" s="310">
        <f t="shared" si="0"/>
        <v>38590434.777500004</v>
      </c>
      <c r="J141" s="325"/>
      <c r="K141" s="306">
        <v>78.400000000000006</v>
      </c>
      <c r="L141" s="279">
        <f t="shared" si="5"/>
        <v>79568.632780612228</v>
      </c>
      <c r="M141" s="326"/>
      <c r="N141" s="281">
        <f t="shared" si="4"/>
        <v>492224.93338648061</v>
      </c>
    </row>
    <row r="142" spans="1:14" ht="27" customHeight="1" x14ac:dyDescent="0.2">
      <c r="A142" s="5">
        <v>140</v>
      </c>
      <c r="B142" s="684"/>
      <c r="C142" s="297">
        <v>46174</v>
      </c>
      <c r="D142" s="288" t="s">
        <v>59</v>
      </c>
      <c r="E142" s="289"/>
      <c r="F142" s="307"/>
      <c r="G142" s="310">
        <v>2752469.48</v>
      </c>
      <c r="H142" s="309"/>
      <c r="I142" s="310">
        <f t="shared" si="0"/>
        <v>41342904.2575</v>
      </c>
      <c r="J142" s="325"/>
      <c r="K142" s="306">
        <v>78.400000000000006</v>
      </c>
      <c r="L142" s="279">
        <f t="shared" si="5"/>
        <v>35108.029081632652</v>
      </c>
      <c r="M142" s="326"/>
      <c r="N142" s="281">
        <f t="shared" si="4"/>
        <v>527332.96246811328</v>
      </c>
    </row>
    <row r="143" spans="1:14" ht="27" customHeight="1" x14ac:dyDescent="0.2">
      <c r="A143" s="5">
        <v>141</v>
      </c>
      <c r="B143" s="684"/>
      <c r="C143" s="297"/>
      <c r="D143" s="288" t="s">
        <v>51</v>
      </c>
      <c r="E143" s="289">
        <v>824.17100000000005</v>
      </c>
      <c r="F143" s="307">
        <v>41508.94</v>
      </c>
      <c r="G143" s="310"/>
      <c r="H143" s="309">
        <f>E143*F143</f>
        <v>34210464.588740006</v>
      </c>
      <c r="I143" s="310">
        <f t="shared" si="0"/>
        <v>7132439.6687599942</v>
      </c>
      <c r="J143" s="325"/>
      <c r="K143" s="306">
        <v>529.45000000000005</v>
      </c>
      <c r="L143" s="279"/>
      <c r="M143" s="326">
        <f>E143*K143</f>
        <v>436357.33595000004</v>
      </c>
      <c r="N143" s="281">
        <f t="shared" si="4"/>
        <v>90975.626518113248</v>
      </c>
    </row>
    <row r="144" spans="1:14" ht="27" customHeight="1" x14ac:dyDescent="0.2">
      <c r="A144" s="5">
        <v>142</v>
      </c>
      <c r="B144" s="684"/>
      <c r="C144" s="297"/>
      <c r="D144" s="288" t="s">
        <v>132</v>
      </c>
      <c r="E144" s="289"/>
      <c r="F144" s="307"/>
      <c r="G144" s="310"/>
      <c r="H144" s="309">
        <v>241955.61</v>
      </c>
      <c r="I144" s="310">
        <f t="shared" si="0"/>
        <v>6890484.0587599939</v>
      </c>
      <c r="J144" s="325"/>
      <c r="K144" s="306">
        <v>78.400000000000006</v>
      </c>
      <c r="L144" s="279"/>
      <c r="M144" s="326">
        <f>H144/K144</f>
        <v>3086.1684948979587</v>
      </c>
      <c r="N144" s="281">
        <f t="shared" si="4"/>
        <v>87889.458023215295</v>
      </c>
    </row>
    <row r="145" spans="1:20" ht="27" customHeight="1" x14ac:dyDescent="0.2">
      <c r="A145" s="5">
        <v>143</v>
      </c>
      <c r="B145" s="685"/>
      <c r="C145" s="297"/>
      <c r="D145" s="288" t="s">
        <v>117</v>
      </c>
      <c r="E145" s="289"/>
      <c r="F145" s="307"/>
      <c r="G145" s="310"/>
      <c r="H145" s="309">
        <v>6890484.04</v>
      </c>
      <c r="I145" s="310">
        <f t="shared" si="0"/>
        <v>1.8759993836283684E-2</v>
      </c>
      <c r="J145" s="325"/>
      <c r="K145" s="306">
        <v>78.400000000000006</v>
      </c>
      <c r="L145" s="279"/>
      <c r="M145" s="326">
        <v>87889.457799999858</v>
      </c>
      <c r="N145" s="281">
        <f t="shared" si="4"/>
        <v>2.2321543656289577E-4</v>
      </c>
    </row>
    <row r="146" spans="1:20" ht="27" customHeight="1" x14ac:dyDescent="0.2">
      <c r="A146" s="5">
        <v>144</v>
      </c>
      <c r="B146" s="284"/>
      <c r="C146" s="274"/>
      <c r="D146" s="275"/>
      <c r="E146" s="283"/>
      <c r="F146" s="307"/>
      <c r="G146" s="310"/>
      <c r="H146" s="309"/>
      <c r="I146" s="310">
        <f t="shared" si="0"/>
        <v>1.8759993836283684E-2</v>
      </c>
      <c r="J146" s="325"/>
      <c r="K146" s="306"/>
      <c r="L146" s="279"/>
      <c r="M146" s="326"/>
      <c r="N146" s="281">
        <f t="shared" si="4"/>
        <v>2.2321543656289577E-4</v>
      </c>
    </row>
    <row r="147" spans="1:20" ht="27" customHeight="1" x14ac:dyDescent="0.2">
      <c r="A147" s="5">
        <v>145</v>
      </c>
      <c r="B147" s="683" t="s">
        <v>54</v>
      </c>
      <c r="C147" s="295">
        <v>46357</v>
      </c>
      <c r="D147" s="293" t="s">
        <v>47</v>
      </c>
      <c r="E147" s="294"/>
      <c r="F147" s="308"/>
      <c r="G147" s="310">
        <v>500000000</v>
      </c>
      <c r="H147" s="309"/>
      <c r="I147" s="310">
        <f t="shared" si="0"/>
        <v>500000000.01875997</v>
      </c>
      <c r="J147" s="325"/>
      <c r="K147" s="306">
        <v>77.215565573980214</v>
      </c>
      <c r="L147" s="279">
        <f>G147/K147</f>
        <v>6475378.3292689882</v>
      </c>
      <c r="M147" s="326"/>
      <c r="N147" s="281">
        <f t="shared" si="4"/>
        <v>6475378.3294922039</v>
      </c>
      <c r="T147" s="599"/>
    </row>
    <row r="148" spans="1:20" ht="27" customHeight="1" x14ac:dyDescent="0.2">
      <c r="A148" s="5">
        <v>146</v>
      </c>
      <c r="B148" s="684"/>
      <c r="C148" s="295">
        <v>46357</v>
      </c>
      <c r="D148" s="293" t="s">
        <v>66</v>
      </c>
      <c r="E148" s="294"/>
      <c r="F148" s="308"/>
      <c r="G148" s="310">
        <v>75019405</v>
      </c>
      <c r="H148" s="309"/>
      <c r="I148" s="310">
        <f t="shared" si="0"/>
        <v>575019405.01875997</v>
      </c>
      <c r="J148" s="325"/>
      <c r="K148" s="306">
        <v>77.215565573980214</v>
      </c>
      <c r="L148" s="279">
        <f t="shared" ref="L148:L149" si="6">G148/K148</f>
        <v>971558.05882330716</v>
      </c>
      <c r="M148" s="326"/>
      <c r="N148" s="281">
        <f t="shared" si="4"/>
        <v>7446936.3883155109</v>
      </c>
      <c r="Q148" s="591"/>
    </row>
    <row r="149" spans="1:20" ht="27" customHeight="1" x14ac:dyDescent="0.2">
      <c r="A149" s="5">
        <v>147</v>
      </c>
      <c r="B149" s="684"/>
      <c r="C149" s="295" t="s">
        <v>46</v>
      </c>
      <c r="D149" s="293" t="s">
        <v>61</v>
      </c>
      <c r="E149" s="294"/>
      <c r="F149" s="308"/>
      <c r="G149" s="310">
        <v>254364075</v>
      </c>
      <c r="H149" s="309"/>
      <c r="I149" s="310">
        <f t="shared" si="0"/>
        <v>829383480.01875997</v>
      </c>
      <c r="J149" s="325"/>
      <c r="K149" s="306">
        <v>77.215565573980214</v>
      </c>
      <c r="L149" s="279">
        <f t="shared" si="6"/>
        <v>3294207.237999103</v>
      </c>
      <c r="M149" s="326"/>
      <c r="N149" s="281">
        <f t="shared" si="4"/>
        <v>10741143.626314614</v>
      </c>
      <c r="Q149" s="27"/>
    </row>
    <row r="150" spans="1:20" ht="27" customHeight="1" x14ac:dyDescent="0.2">
      <c r="A150" s="5">
        <v>148</v>
      </c>
      <c r="B150" s="684"/>
      <c r="C150" s="387" t="s">
        <v>69</v>
      </c>
      <c r="D150" s="293" t="s">
        <v>75</v>
      </c>
      <c r="E150" s="294">
        <v>14983.949999999997</v>
      </c>
      <c r="F150" s="307">
        <v>40241.370000000003</v>
      </c>
      <c r="G150" s="310"/>
      <c r="H150" s="309">
        <f>E150*F150</f>
        <v>602974676.01149988</v>
      </c>
      <c r="I150" s="310">
        <f t="shared" si="0"/>
        <v>226408804.00726008</v>
      </c>
      <c r="J150" s="325"/>
      <c r="K150" s="328">
        <v>521.15619047619043</v>
      </c>
      <c r="L150" s="279"/>
      <c r="M150" s="326">
        <f>E150*K150</f>
        <v>7808978.3002857119</v>
      </c>
      <c r="N150" s="281">
        <f t="shared" si="4"/>
        <v>2932165.3260289021</v>
      </c>
    </row>
    <row r="151" spans="1:20" ht="27" customHeight="1" x14ac:dyDescent="0.2">
      <c r="A151" s="5">
        <v>149</v>
      </c>
      <c r="B151" s="684"/>
      <c r="C151" s="295" t="s">
        <v>112</v>
      </c>
      <c r="D151" s="293" t="s">
        <v>132</v>
      </c>
      <c r="E151" s="294"/>
      <c r="F151" s="307"/>
      <c r="G151" s="310"/>
      <c r="H151" s="311">
        <v>88178223.980000004</v>
      </c>
      <c r="I151" s="310">
        <f t="shared" si="0"/>
        <v>138230580.02726007</v>
      </c>
      <c r="J151" s="325"/>
      <c r="K151" s="306">
        <f>F150/K150</f>
        <v>77.215565573980214</v>
      </c>
      <c r="L151" s="279"/>
      <c r="M151" s="326">
        <f>H151/K151</f>
        <v>1141974.7213470382</v>
      </c>
      <c r="N151" s="281">
        <f t="shared" si="4"/>
        <v>1790190.6046818639</v>
      </c>
    </row>
    <row r="152" spans="1:20" ht="27" customHeight="1" x14ac:dyDescent="0.2">
      <c r="A152" s="5">
        <v>150</v>
      </c>
      <c r="B152" s="685"/>
      <c r="C152" s="295" t="s">
        <v>113</v>
      </c>
      <c r="D152" s="293" t="s">
        <v>117</v>
      </c>
      <c r="E152" s="294"/>
      <c r="F152" s="307"/>
      <c r="G152" s="310"/>
      <c r="H152" s="309">
        <v>138230580</v>
      </c>
      <c r="I152" s="310">
        <f t="shared" si="0"/>
        <v>2.7260065078735352E-2</v>
      </c>
      <c r="J152" s="325"/>
      <c r="K152" s="306">
        <v>77.215565573980214</v>
      </c>
      <c r="L152" s="279"/>
      <c r="M152" s="326">
        <f>H152/K152</f>
        <v>1790190.6043485664</v>
      </c>
      <c r="N152" s="281">
        <f t="shared" si="4"/>
        <v>3.3329753205180168E-4</v>
      </c>
    </row>
    <row r="153" spans="1:20" ht="27" customHeight="1" x14ac:dyDescent="0.2">
      <c r="A153" s="5">
        <v>151</v>
      </c>
      <c r="B153" s="284"/>
      <c r="C153" s="274"/>
      <c r="D153" s="275"/>
      <c r="E153" s="283"/>
      <c r="F153" s="307"/>
      <c r="G153" s="310"/>
      <c r="H153" s="311"/>
      <c r="I153" s="310">
        <f t="shared" si="0"/>
        <v>2.7260065078735352E-2</v>
      </c>
      <c r="J153" s="325"/>
      <c r="K153" s="306"/>
      <c r="L153" s="279"/>
      <c r="M153" s="326"/>
      <c r="N153" s="281">
        <f t="shared" si="4"/>
        <v>3.3329753205180168E-4</v>
      </c>
    </row>
    <row r="154" spans="1:20" ht="27" customHeight="1" x14ac:dyDescent="0.2">
      <c r="A154" s="5">
        <v>152</v>
      </c>
      <c r="B154" s="683" t="s">
        <v>55</v>
      </c>
      <c r="C154" s="297" t="s">
        <v>46</v>
      </c>
      <c r="D154" s="288" t="s">
        <v>61</v>
      </c>
      <c r="E154" s="289"/>
      <c r="F154" s="310"/>
      <c r="G154" s="310">
        <v>47574775</v>
      </c>
      <c r="H154" s="311"/>
      <c r="I154" s="310">
        <f t="shared" si="0"/>
        <v>47574775.027260065</v>
      </c>
      <c r="J154" s="325"/>
      <c r="K154" s="306">
        <v>77.447766994445118</v>
      </c>
      <c r="L154" s="279">
        <f>G154/K154</f>
        <v>614282.07482615043</v>
      </c>
      <c r="M154" s="326"/>
      <c r="N154" s="281">
        <f t="shared" si="4"/>
        <v>614282.07515944797</v>
      </c>
    </row>
    <row r="155" spans="1:20" ht="27" customHeight="1" x14ac:dyDescent="0.2">
      <c r="A155" s="5">
        <v>153</v>
      </c>
      <c r="B155" s="684"/>
      <c r="C155" s="297" t="s">
        <v>49</v>
      </c>
      <c r="D155" s="288" t="s">
        <v>62</v>
      </c>
      <c r="E155" s="289"/>
      <c r="F155" s="310"/>
      <c r="G155" s="310">
        <v>261429281</v>
      </c>
      <c r="H155" s="311"/>
      <c r="I155" s="310">
        <f t="shared" si="0"/>
        <v>309004056.02726007</v>
      </c>
      <c r="J155" s="325"/>
      <c r="K155" s="306">
        <v>77.447766994445118</v>
      </c>
      <c r="L155" s="279">
        <f t="shared" ref="L155:L159" si="7">G155/K155</f>
        <v>3375556.0830921158</v>
      </c>
      <c r="M155" s="326"/>
      <c r="N155" s="281">
        <f t="shared" si="4"/>
        <v>3989838.158251564</v>
      </c>
    </row>
    <row r="156" spans="1:20" ht="27" customHeight="1" x14ac:dyDescent="0.2">
      <c r="A156" s="5">
        <v>154</v>
      </c>
      <c r="B156" s="684"/>
      <c r="C156" s="297" t="s">
        <v>48</v>
      </c>
      <c r="D156" s="288" t="s">
        <v>63</v>
      </c>
      <c r="E156" s="289"/>
      <c r="F156" s="307"/>
      <c r="G156" s="310">
        <v>88879865.590000004</v>
      </c>
      <c r="H156" s="311"/>
      <c r="I156" s="310">
        <f t="shared" si="0"/>
        <v>397883921.6172601</v>
      </c>
      <c r="J156" s="325"/>
      <c r="K156" s="306">
        <v>77.447766994445118</v>
      </c>
      <c r="L156" s="279">
        <f t="shared" si="7"/>
        <v>1147610.4352547033</v>
      </c>
      <c r="M156" s="326"/>
      <c r="N156" s="281">
        <f t="shared" si="4"/>
        <v>5137448.5935062673</v>
      </c>
    </row>
    <row r="157" spans="1:20" ht="27" customHeight="1" x14ac:dyDescent="0.2">
      <c r="A157" s="5">
        <v>155</v>
      </c>
      <c r="B157" s="684"/>
      <c r="C157" s="297" t="s">
        <v>110</v>
      </c>
      <c r="D157" s="288" t="s">
        <v>116</v>
      </c>
      <c r="E157" s="289"/>
      <c r="F157" s="307"/>
      <c r="G157" s="310">
        <v>114118634.77</v>
      </c>
      <c r="H157" s="311"/>
      <c r="I157" s="310">
        <f t="shared" si="0"/>
        <v>512002556.38726008</v>
      </c>
      <c r="J157" s="325"/>
      <c r="K157" s="306">
        <v>77.447766994445118</v>
      </c>
      <c r="L157" s="279">
        <f t="shared" si="7"/>
        <v>1473491.6085855009</v>
      </c>
      <c r="M157" s="326"/>
      <c r="N157" s="281">
        <f t="shared" si="4"/>
        <v>6610940.2020917684</v>
      </c>
    </row>
    <row r="158" spans="1:20" ht="27" customHeight="1" x14ac:dyDescent="0.2">
      <c r="A158" s="5">
        <v>156</v>
      </c>
      <c r="B158" s="684"/>
      <c r="C158" s="297">
        <v>46055</v>
      </c>
      <c r="D158" s="288" t="s">
        <v>123</v>
      </c>
      <c r="E158" s="289"/>
      <c r="F158" s="307"/>
      <c r="G158" s="310">
        <v>134129871.64</v>
      </c>
      <c r="H158" s="311"/>
      <c r="I158" s="310">
        <f t="shared" si="0"/>
        <v>646132428.02726007</v>
      </c>
      <c r="J158" s="325"/>
      <c r="K158" s="306">
        <v>77.447766994445118</v>
      </c>
      <c r="L158" s="279">
        <f t="shared" si="7"/>
        <v>1731875.2605174577</v>
      </c>
      <c r="M158" s="326"/>
      <c r="N158" s="281">
        <f t="shared" si="4"/>
        <v>8342815.4626092259</v>
      </c>
      <c r="P158" s="583"/>
    </row>
    <row r="159" spans="1:20" ht="27" customHeight="1" x14ac:dyDescent="0.2">
      <c r="A159" s="5">
        <v>157</v>
      </c>
      <c r="B159" s="684"/>
      <c r="C159" s="297">
        <v>46055</v>
      </c>
      <c r="D159" s="288" t="s">
        <v>68</v>
      </c>
      <c r="E159" s="289"/>
      <c r="F159" s="307"/>
      <c r="G159" s="310">
        <v>137302452</v>
      </c>
      <c r="H159" s="311"/>
      <c r="I159" s="310">
        <f t="shared" si="0"/>
        <v>783434880.02726007</v>
      </c>
      <c r="J159" s="325"/>
      <c r="K159" s="306">
        <v>77.447766994445118</v>
      </c>
      <c r="L159" s="279">
        <f t="shared" si="7"/>
        <v>1772839.3900607608</v>
      </c>
      <c r="M159" s="326"/>
      <c r="N159" s="281">
        <f t="shared" si="4"/>
        <v>10115654.852669986</v>
      </c>
      <c r="P159" s="583"/>
    </row>
    <row r="160" spans="1:20" ht="27" customHeight="1" x14ac:dyDescent="0.2">
      <c r="A160" s="5">
        <v>158</v>
      </c>
      <c r="B160" s="684"/>
      <c r="C160" s="580" t="s">
        <v>70</v>
      </c>
      <c r="D160" s="288" t="s">
        <v>76</v>
      </c>
      <c r="E160" s="289">
        <v>11117.65</v>
      </c>
      <c r="F160" s="307">
        <v>39494.699999999997</v>
      </c>
      <c r="G160" s="310"/>
      <c r="H160" s="309">
        <f>E160*F160</f>
        <v>439088251.45499992</v>
      </c>
      <c r="I160" s="310">
        <f t="shared" si="0"/>
        <v>344346628.57226014</v>
      </c>
      <c r="J160" s="325"/>
      <c r="K160" s="306">
        <v>509.95272727272726</v>
      </c>
      <c r="L160" s="279"/>
      <c r="M160" s="326">
        <f>E160*K160</f>
        <v>5669475.9383636359</v>
      </c>
      <c r="N160" s="281">
        <f t="shared" si="4"/>
        <v>4446178.9143063501</v>
      </c>
      <c r="P160" s="1">
        <v>82.5</v>
      </c>
    </row>
    <row r="161" spans="1:17" s="285" customFormat="1" ht="27" customHeight="1" x14ac:dyDescent="0.2">
      <c r="A161" s="5">
        <v>159</v>
      </c>
      <c r="B161" s="684"/>
      <c r="C161" s="580" t="s">
        <v>119</v>
      </c>
      <c r="D161" s="288" t="s">
        <v>121</v>
      </c>
      <c r="E161" s="581"/>
      <c r="F161" s="304"/>
      <c r="G161" s="310"/>
      <c r="H161" s="309">
        <v>213774148.50999999</v>
      </c>
      <c r="I161" s="310">
        <f t="shared" si="0"/>
        <v>130572480.06226015</v>
      </c>
      <c r="J161" s="325"/>
      <c r="K161" s="306">
        <v>77.447766994445118</v>
      </c>
      <c r="L161" s="279"/>
      <c r="M161" s="326">
        <f>H161/K161</f>
        <v>2760236.4381316868</v>
      </c>
      <c r="N161" s="281">
        <f t="shared" si="4"/>
        <v>1685942.4761746633</v>
      </c>
      <c r="P161" s="584"/>
    </row>
    <row r="162" spans="1:17" s="285" customFormat="1" ht="27" customHeight="1" x14ac:dyDescent="0.2">
      <c r="A162" s="5">
        <v>160</v>
      </c>
      <c r="B162" s="685"/>
      <c r="C162" s="580" t="s">
        <v>120</v>
      </c>
      <c r="D162" s="288" t="s">
        <v>121</v>
      </c>
      <c r="E162" s="582"/>
      <c r="F162" s="307"/>
      <c r="G162" s="310"/>
      <c r="H162" s="309">
        <v>84080821.489999995</v>
      </c>
      <c r="I162" s="310">
        <f t="shared" ref="I162:I197" si="8">G162-H162+I161</f>
        <v>46491658.572260156</v>
      </c>
      <c r="J162" s="325"/>
      <c r="K162" s="306">
        <v>77.447766994445118</v>
      </c>
      <c r="L162" s="279"/>
      <c r="M162" s="326">
        <f>H162/K162</f>
        <v>1085645.5228209565</v>
      </c>
      <c r="N162" s="281">
        <f t="shared" si="4"/>
        <v>600296.95335370675</v>
      </c>
    </row>
    <row r="163" spans="1:17" s="285" customFormat="1" ht="27" customHeight="1" x14ac:dyDescent="0.2">
      <c r="A163" s="5">
        <v>161</v>
      </c>
      <c r="B163" s="345"/>
      <c r="C163" s="576"/>
      <c r="D163" s="275"/>
      <c r="E163" s="577"/>
      <c r="F163" s="307"/>
      <c r="G163" s="310"/>
      <c r="H163" s="578">
        <v>46491658.574210301</v>
      </c>
      <c r="I163" s="310">
        <f t="shared" si="8"/>
        <v>-1.9501447677612305E-3</v>
      </c>
      <c r="J163" s="325"/>
      <c r="K163" s="306">
        <v>77.447766994445118</v>
      </c>
      <c r="L163" s="279"/>
      <c r="M163" s="326">
        <f>H163/K163</f>
        <v>600296.95339757029</v>
      </c>
      <c r="N163" s="281">
        <f t="shared" si="4"/>
        <v>-4.3863547034561634E-5</v>
      </c>
    </row>
    <row r="164" spans="1:17" s="285" customFormat="1" ht="27" customHeight="1" x14ac:dyDescent="0.2">
      <c r="A164" s="5">
        <v>162</v>
      </c>
      <c r="B164" s="345"/>
      <c r="C164" s="274"/>
      <c r="D164" s="275"/>
      <c r="E164" s="283"/>
      <c r="F164" s="307"/>
      <c r="G164" s="310"/>
      <c r="H164" s="311"/>
      <c r="I164" s="310">
        <f t="shared" si="8"/>
        <v>-1.9501447677612305E-3</v>
      </c>
      <c r="J164" s="325"/>
      <c r="K164" s="306"/>
      <c r="L164" s="279"/>
      <c r="M164" s="326"/>
      <c r="N164" s="281">
        <f t="shared" si="4"/>
        <v>-4.3863547034561634E-5</v>
      </c>
    </row>
    <row r="165" spans="1:17" s="285" customFormat="1" ht="27" customHeight="1" x14ac:dyDescent="0.2">
      <c r="A165" s="5">
        <v>163</v>
      </c>
      <c r="B165" s="680" t="s">
        <v>104</v>
      </c>
      <c r="C165" s="295" t="s">
        <v>107</v>
      </c>
      <c r="D165" s="293" t="s">
        <v>133</v>
      </c>
      <c r="E165" s="294">
        <v>14966.949999999999</v>
      </c>
      <c r="F165" s="307">
        <v>76198.559999999998</v>
      </c>
      <c r="G165" s="310"/>
      <c r="H165" s="309">
        <f>E165*F165</f>
        <v>1140460037.5919998</v>
      </c>
      <c r="I165" s="310">
        <f t="shared" si="8"/>
        <v>-1140460037.5939498</v>
      </c>
      <c r="J165" s="325"/>
      <c r="K165" s="328">
        <v>990.01</v>
      </c>
      <c r="L165" s="279"/>
      <c r="M165" s="326">
        <f>E165*K165</f>
        <v>14817430.169499999</v>
      </c>
      <c r="N165" s="281">
        <f t="shared" si="4"/>
        <v>-14817430.169543862</v>
      </c>
      <c r="P165" s="590">
        <v>1060.0125</v>
      </c>
      <c r="Q165" s="590"/>
    </row>
    <row r="166" spans="1:17" s="285" customFormat="1" ht="27" customHeight="1" x14ac:dyDescent="0.2">
      <c r="A166" s="5">
        <v>164</v>
      </c>
      <c r="B166" s="681"/>
      <c r="C166" s="295" t="s">
        <v>108</v>
      </c>
      <c r="D166" s="293" t="s">
        <v>109</v>
      </c>
      <c r="E166" s="294"/>
      <c r="F166" s="307"/>
      <c r="G166" s="310">
        <v>2375072.88</v>
      </c>
      <c r="H166" s="311"/>
      <c r="I166" s="310">
        <f t="shared" si="8"/>
        <v>-1138084964.7139497</v>
      </c>
      <c r="J166" s="325"/>
      <c r="K166" s="306">
        <v>76.967460000000003</v>
      </c>
      <c r="L166" s="279">
        <f>G166/K166</f>
        <v>30858.142908704533</v>
      </c>
      <c r="M166" s="326"/>
      <c r="N166" s="281">
        <f t="shared" si="4"/>
        <v>-14786572.026635157</v>
      </c>
      <c r="P166" s="590">
        <f>P165-70</f>
        <v>990.01250000000005</v>
      </c>
    </row>
    <row r="167" spans="1:17" s="285" customFormat="1" ht="27" customHeight="1" x14ac:dyDescent="0.2">
      <c r="A167" s="5">
        <v>165</v>
      </c>
      <c r="B167" s="681"/>
      <c r="C167" s="295" t="s">
        <v>113</v>
      </c>
      <c r="D167" s="293" t="s">
        <v>115</v>
      </c>
      <c r="E167" s="294"/>
      <c r="F167" s="307"/>
      <c r="G167" s="310">
        <v>23560656.07</v>
      </c>
      <c r="H167" s="311"/>
      <c r="I167" s="310">
        <f t="shared" si="8"/>
        <v>-1114524308.6439497</v>
      </c>
      <c r="J167" s="325"/>
      <c r="K167" s="306">
        <v>76.967460000000003</v>
      </c>
      <c r="L167" s="279">
        <f t="shared" ref="L167:L176" si="9">G167/K167</f>
        <v>306111.90846105613</v>
      </c>
      <c r="M167" s="326"/>
      <c r="N167" s="281">
        <f t="shared" si="4"/>
        <v>-14480460.1181741</v>
      </c>
      <c r="P167" s="285">
        <v>76.889772727272728</v>
      </c>
      <c r="Q167" s="590"/>
    </row>
    <row r="168" spans="1:17" s="285" customFormat="1" ht="27" customHeight="1" x14ac:dyDescent="0.2">
      <c r="A168" s="5">
        <v>166</v>
      </c>
      <c r="B168" s="681"/>
      <c r="C168" s="295"/>
      <c r="D168" s="293" t="s">
        <v>118</v>
      </c>
      <c r="E168" s="294"/>
      <c r="F168" s="307"/>
      <c r="G168" s="310">
        <v>6890484.04</v>
      </c>
      <c r="H168" s="311"/>
      <c r="I168" s="310">
        <f t="shared" si="8"/>
        <v>-1107633824.6039498</v>
      </c>
      <c r="J168" s="325"/>
      <c r="K168" s="306">
        <v>76.967460000000003</v>
      </c>
      <c r="L168" s="279">
        <f t="shared" si="9"/>
        <v>89524.638594024014</v>
      </c>
      <c r="M168" s="326"/>
      <c r="N168" s="281">
        <f t="shared" si="4"/>
        <v>-14390935.479580076</v>
      </c>
      <c r="P168" s="590">
        <f>P166*P167</f>
        <v>76121.836122159089</v>
      </c>
    </row>
    <row r="169" spans="1:17" s="285" customFormat="1" ht="27" customHeight="1" x14ac:dyDescent="0.2">
      <c r="A169" s="5">
        <v>167</v>
      </c>
      <c r="B169" s="681"/>
      <c r="C169" s="295" t="s">
        <v>113</v>
      </c>
      <c r="D169" s="293" t="s">
        <v>117</v>
      </c>
      <c r="E169" s="294"/>
      <c r="F169" s="307"/>
      <c r="G169" s="310">
        <v>138230580</v>
      </c>
      <c r="H169" s="311"/>
      <c r="I169" s="310">
        <f t="shared" si="8"/>
        <v>-969403244.60394979</v>
      </c>
      <c r="J169" s="325"/>
      <c r="K169" s="306">
        <v>76.967460000000003</v>
      </c>
      <c r="L169" s="279">
        <f t="shared" si="9"/>
        <v>1795961.3062455223</v>
      </c>
      <c r="M169" s="326"/>
      <c r="N169" s="281">
        <f t="shared" si="4"/>
        <v>-12594974.173334554</v>
      </c>
      <c r="P169" s="647"/>
    </row>
    <row r="170" spans="1:17" s="285" customFormat="1" ht="27" customHeight="1" x14ac:dyDescent="0.2">
      <c r="A170" s="5">
        <v>168</v>
      </c>
      <c r="B170" s="681"/>
      <c r="C170" s="295" t="s">
        <v>77</v>
      </c>
      <c r="D170" s="293" t="s">
        <v>79</v>
      </c>
      <c r="E170" s="294"/>
      <c r="F170" s="307"/>
      <c r="G170" s="310">
        <v>200000000</v>
      </c>
      <c r="H170" s="311"/>
      <c r="I170" s="310">
        <f t="shared" si="8"/>
        <v>-769403244.60394979</v>
      </c>
      <c r="J170" s="325"/>
      <c r="K170" s="306">
        <v>76.967460000000003</v>
      </c>
      <c r="L170" s="279">
        <f t="shared" si="9"/>
        <v>2598500.7170562726</v>
      </c>
      <c r="M170" s="326"/>
      <c r="N170" s="281">
        <f t="shared" si="4"/>
        <v>-9996473.4562782813</v>
      </c>
      <c r="P170" s="590"/>
    </row>
    <row r="171" spans="1:17" s="285" customFormat="1" ht="27" customHeight="1" x14ac:dyDescent="0.2">
      <c r="A171" s="5">
        <v>169</v>
      </c>
      <c r="B171" s="681"/>
      <c r="C171" s="295" t="s">
        <v>77</v>
      </c>
      <c r="D171" s="293" t="s">
        <v>80</v>
      </c>
      <c r="E171" s="294"/>
      <c r="F171" s="307"/>
      <c r="G171" s="310">
        <v>98500000</v>
      </c>
      <c r="H171" s="311"/>
      <c r="I171" s="310">
        <f t="shared" si="8"/>
        <v>-670903244.60394979</v>
      </c>
      <c r="J171" s="325"/>
      <c r="K171" s="306">
        <v>76.967460000000003</v>
      </c>
      <c r="L171" s="279">
        <f t="shared" si="9"/>
        <v>1279761.6031502143</v>
      </c>
      <c r="M171" s="326"/>
      <c r="N171" s="281">
        <f t="shared" si="4"/>
        <v>-8716711.8531280663</v>
      </c>
      <c r="P171" s="648"/>
    </row>
    <row r="172" spans="1:17" s="285" customFormat="1" ht="27" customHeight="1" x14ac:dyDescent="0.2">
      <c r="A172" s="5">
        <v>170</v>
      </c>
      <c r="B172" s="681"/>
      <c r="C172" s="295" t="s">
        <v>78</v>
      </c>
      <c r="D172" s="293" t="s">
        <v>81</v>
      </c>
      <c r="E172" s="294"/>
      <c r="F172" s="307"/>
      <c r="G172" s="310">
        <v>176426705</v>
      </c>
      <c r="H172" s="311"/>
      <c r="I172" s="310">
        <f t="shared" si="8"/>
        <v>-494476539.60394979</v>
      </c>
      <c r="J172" s="325"/>
      <c r="K172" s="306">
        <v>76.967460000000003</v>
      </c>
      <c r="L172" s="279">
        <f t="shared" si="9"/>
        <v>2292224.5972518777</v>
      </c>
      <c r="M172" s="326"/>
      <c r="N172" s="281">
        <f t="shared" si="4"/>
        <v>-6424487.2558761891</v>
      </c>
    </row>
    <row r="173" spans="1:17" s="285" customFormat="1" ht="27" customHeight="1" x14ac:dyDescent="0.2">
      <c r="A173" s="5">
        <v>171</v>
      </c>
      <c r="B173" s="681"/>
      <c r="C173" s="295" t="s">
        <v>82</v>
      </c>
      <c r="D173" s="293" t="s">
        <v>83</v>
      </c>
      <c r="E173" s="294"/>
      <c r="F173" s="307"/>
      <c r="G173" s="310">
        <v>300000000</v>
      </c>
      <c r="H173" s="311"/>
      <c r="I173" s="310">
        <f t="shared" si="8"/>
        <v>-194476539.60394979</v>
      </c>
      <c r="J173" s="325"/>
      <c r="K173" s="306">
        <v>76.967460000000003</v>
      </c>
      <c r="L173" s="279">
        <f t="shared" si="9"/>
        <v>3897751.0755844093</v>
      </c>
      <c r="M173" s="326"/>
      <c r="N173" s="281">
        <f t="shared" si="4"/>
        <v>-2526736.1802917798</v>
      </c>
    </row>
    <row r="174" spans="1:17" s="285" customFormat="1" ht="27" customHeight="1" x14ac:dyDescent="0.2">
      <c r="A174" s="5">
        <v>172</v>
      </c>
      <c r="B174" s="681"/>
      <c r="C174" s="295">
        <v>46085</v>
      </c>
      <c r="D174" s="293" t="s">
        <v>99</v>
      </c>
      <c r="E174" s="294"/>
      <c r="F174" s="307"/>
      <c r="G174" s="310">
        <v>300000000</v>
      </c>
      <c r="H174" s="311"/>
      <c r="I174" s="310">
        <f t="shared" si="8"/>
        <v>105523460.39605021</v>
      </c>
      <c r="J174" s="325"/>
      <c r="K174" s="306">
        <v>76.967460000000003</v>
      </c>
      <c r="L174" s="279">
        <f t="shared" si="9"/>
        <v>3897751.0755844093</v>
      </c>
      <c r="M174" s="326"/>
      <c r="N174" s="281">
        <f t="shared" si="4"/>
        <v>1371014.8952926295</v>
      </c>
    </row>
    <row r="175" spans="1:17" s="285" customFormat="1" ht="27" customHeight="1" x14ac:dyDescent="0.2">
      <c r="A175" s="5">
        <v>173</v>
      </c>
      <c r="B175" s="681"/>
      <c r="C175" s="295"/>
      <c r="D175" s="293" t="s">
        <v>64</v>
      </c>
      <c r="E175" s="294"/>
      <c r="F175" s="307"/>
      <c r="G175" s="310"/>
      <c r="H175" s="311">
        <v>96000000</v>
      </c>
      <c r="I175" s="310">
        <f t="shared" si="8"/>
        <v>9523460.3960502148</v>
      </c>
      <c r="J175" s="325"/>
      <c r="K175" s="306">
        <v>76.967460000000003</v>
      </c>
      <c r="L175" s="279">
        <f t="shared" si="9"/>
        <v>0</v>
      </c>
      <c r="M175" s="326">
        <f>H175/K175</f>
        <v>1247280.344187011</v>
      </c>
      <c r="N175" s="281">
        <f t="shared" si="4"/>
        <v>123734.55110561848</v>
      </c>
    </row>
    <row r="176" spans="1:17" s="285" customFormat="1" ht="27" customHeight="1" x14ac:dyDescent="0.2">
      <c r="A176" s="5">
        <v>174</v>
      </c>
      <c r="B176" s="682"/>
      <c r="C176" s="274"/>
      <c r="D176" s="275"/>
      <c r="E176" s="283"/>
      <c r="F176" s="307"/>
      <c r="G176" s="310"/>
      <c r="H176" s="579">
        <f>I175</f>
        <v>9523460.3960502148</v>
      </c>
      <c r="I176" s="310">
        <f t="shared" si="8"/>
        <v>0</v>
      </c>
      <c r="J176" s="325"/>
      <c r="K176" s="306">
        <v>76.967460000000003</v>
      </c>
      <c r="L176" s="279">
        <f t="shared" si="9"/>
        <v>0</v>
      </c>
      <c r="M176" s="326">
        <v>121861.22418651823</v>
      </c>
      <c r="N176" s="281">
        <f t="shared" si="4"/>
        <v>1873.3269191002473</v>
      </c>
    </row>
    <row r="177" spans="1:17" s="285" customFormat="1" ht="27" customHeight="1" x14ac:dyDescent="0.2">
      <c r="A177" s="5">
        <v>175</v>
      </c>
      <c r="B177" s="345"/>
      <c r="C177" s="274"/>
      <c r="D177" s="275"/>
      <c r="E177" s="283"/>
      <c r="F177" s="307"/>
      <c r="G177" s="310"/>
      <c r="H177" s="311"/>
      <c r="I177" s="310">
        <f t="shared" si="8"/>
        <v>0</v>
      </c>
      <c r="J177" s="325"/>
      <c r="K177" s="306"/>
      <c r="L177" s="279"/>
      <c r="M177" s="326">
        <v>1873</v>
      </c>
      <c r="N177" s="281">
        <f t="shared" si="4"/>
        <v>0.32691910024732351</v>
      </c>
    </row>
    <row r="178" spans="1:17" s="285" customFormat="1" ht="27" customHeight="1" x14ac:dyDescent="0.2">
      <c r="A178" s="5">
        <v>176</v>
      </c>
      <c r="B178" s="680" t="s">
        <v>105</v>
      </c>
      <c r="C178" s="297">
        <v>46116</v>
      </c>
      <c r="D178" s="288" t="s">
        <v>84</v>
      </c>
      <c r="E178" s="289"/>
      <c r="F178" s="307"/>
      <c r="G178" s="310">
        <v>200000000</v>
      </c>
      <c r="H178" s="311"/>
      <c r="I178" s="310">
        <f t="shared" si="8"/>
        <v>200000000</v>
      </c>
      <c r="J178" s="325"/>
      <c r="K178" s="306">
        <v>76.889804234210288</v>
      </c>
      <c r="L178" s="279">
        <f>G178/K178</f>
        <v>2601125.1035415535</v>
      </c>
      <c r="M178" s="326"/>
      <c r="N178" s="281">
        <f t="shared" si="4"/>
        <v>2601125.4304606537</v>
      </c>
    </row>
    <row r="179" spans="1:17" s="285" customFormat="1" ht="27" customHeight="1" x14ac:dyDescent="0.2">
      <c r="A179" s="5">
        <v>177</v>
      </c>
      <c r="B179" s="681"/>
      <c r="C179" s="296" t="s">
        <v>96</v>
      </c>
      <c r="D179" s="288" t="s">
        <v>97</v>
      </c>
      <c r="E179" s="289"/>
      <c r="F179" s="307"/>
      <c r="G179" s="310">
        <v>300000000</v>
      </c>
      <c r="H179" s="311"/>
      <c r="I179" s="310">
        <f t="shared" si="8"/>
        <v>500000000</v>
      </c>
      <c r="J179" s="325"/>
      <c r="K179" s="306">
        <v>76.889804234210288</v>
      </c>
      <c r="L179" s="279">
        <f t="shared" ref="L179:L180" si="10">G179/K179</f>
        <v>3901687.65531233</v>
      </c>
      <c r="M179" s="326"/>
      <c r="N179" s="281">
        <f t="shared" si="4"/>
        <v>6502813.0857729837</v>
      </c>
    </row>
    <row r="180" spans="1:17" s="285" customFormat="1" ht="27" customHeight="1" x14ac:dyDescent="0.2">
      <c r="A180" s="5">
        <v>178</v>
      </c>
      <c r="B180" s="681"/>
      <c r="C180" s="296" t="s">
        <v>96</v>
      </c>
      <c r="D180" s="288" t="s">
        <v>98</v>
      </c>
      <c r="E180" s="289"/>
      <c r="F180" s="307"/>
      <c r="G180" s="310">
        <v>110000000</v>
      </c>
      <c r="H180" s="311"/>
      <c r="I180" s="310">
        <f t="shared" si="8"/>
        <v>610000000</v>
      </c>
      <c r="J180" s="325"/>
      <c r="K180" s="306">
        <v>76.889804234210288</v>
      </c>
      <c r="L180" s="279">
        <f t="shared" si="10"/>
        <v>1430618.8069478543</v>
      </c>
      <c r="M180" s="326"/>
      <c r="N180" s="281">
        <f t="shared" si="4"/>
        <v>7933431.8927208381</v>
      </c>
      <c r="Q180" s="600"/>
    </row>
    <row r="181" spans="1:17" s="285" customFormat="1" ht="27" customHeight="1" x14ac:dyDescent="0.2">
      <c r="A181" s="5">
        <v>179</v>
      </c>
      <c r="B181" s="681"/>
      <c r="C181" s="297" t="s">
        <v>106</v>
      </c>
      <c r="D181" s="288" t="s">
        <v>134</v>
      </c>
      <c r="E181" s="289">
        <v>9982.7000000000007</v>
      </c>
      <c r="F181" s="307">
        <v>78120.81</v>
      </c>
      <c r="G181" s="310"/>
      <c r="H181" s="309">
        <f>E181*F181</f>
        <v>779856609.98699999</v>
      </c>
      <c r="I181" s="310">
        <f t="shared" si="8"/>
        <v>-169856609.98699999</v>
      </c>
      <c r="J181" s="325"/>
      <c r="K181" s="328">
        <v>1016.01</v>
      </c>
      <c r="L181" s="279"/>
      <c r="M181" s="326">
        <f>E181*K181</f>
        <v>10142523.027000001</v>
      </c>
      <c r="N181" s="281">
        <f t="shared" si="4"/>
        <v>-2209091.1342791626</v>
      </c>
      <c r="P181" s="285">
        <v>44</v>
      </c>
    </row>
    <row r="182" spans="1:17" s="285" customFormat="1" ht="27" customHeight="1" x14ac:dyDescent="0.2">
      <c r="A182" s="5">
        <v>180</v>
      </c>
      <c r="B182" s="681"/>
      <c r="C182" s="297" t="s">
        <v>119</v>
      </c>
      <c r="D182" s="288" t="s">
        <v>122</v>
      </c>
      <c r="E182" s="289"/>
      <c r="F182" s="307"/>
      <c r="G182" s="310">
        <v>213774148.50999999</v>
      </c>
      <c r="H182" s="311"/>
      <c r="I182" s="310">
        <f t="shared" si="8"/>
        <v>43917538.523000002</v>
      </c>
      <c r="J182" s="325"/>
      <c r="K182" s="306">
        <v>76.889804234210288</v>
      </c>
      <c r="L182" s="279">
        <f>G182/K182</f>
        <v>2780266.5208879057</v>
      </c>
      <c r="M182" s="326"/>
      <c r="N182" s="281">
        <f t="shared" si="4"/>
        <v>571175.38660874311</v>
      </c>
      <c r="P182" s="590">
        <f>F181/K181</f>
        <v>76.889804234210288</v>
      </c>
      <c r="Q182" s="590"/>
    </row>
    <row r="183" spans="1:17" s="285" customFormat="1" ht="27" customHeight="1" x14ac:dyDescent="0.2">
      <c r="A183" s="5">
        <v>181</v>
      </c>
      <c r="B183" s="681"/>
      <c r="C183" s="297" t="s">
        <v>120</v>
      </c>
      <c r="D183" s="288" t="s">
        <v>122</v>
      </c>
      <c r="E183" s="289"/>
      <c r="F183" s="307"/>
      <c r="G183" s="310">
        <v>84080821.489999995</v>
      </c>
      <c r="H183" s="311"/>
      <c r="I183" s="310">
        <f t="shared" si="8"/>
        <v>127998360.013</v>
      </c>
      <c r="J183" s="325"/>
      <c r="K183" s="306">
        <v>76.889804234210288</v>
      </c>
      <c r="L183" s="279">
        <f t="shared" ref="L183:L185" si="11">G183/K183</f>
        <v>1093523.6775201755</v>
      </c>
      <c r="M183" s="326"/>
      <c r="N183" s="281">
        <f t="shared" si="4"/>
        <v>1664699.0641289186</v>
      </c>
      <c r="Q183" s="590"/>
    </row>
    <row r="184" spans="1:17" s="285" customFormat="1" ht="27" customHeight="1" x14ac:dyDescent="0.2">
      <c r="A184" s="5">
        <v>182</v>
      </c>
      <c r="B184" s="681"/>
      <c r="C184" s="297"/>
      <c r="D184" s="288" t="s">
        <v>64</v>
      </c>
      <c r="E184" s="289"/>
      <c r="F184" s="307"/>
      <c r="G184" s="310"/>
      <c r="H184" s="311">
        <v>50000000</v>
      </c>
      <c r="I184" s="310">
        <f t="shared" si="8"/>
        <v>77998360.012999997</v>
      </c>
      <c r="J184" s="325"/>
      <c r="K184" s="306">
        <v>76.889804234210288</v>
      </c>
      <c r="L184" s="279">
        <f t="shared" si="11"/>
        <v>0</v>
      </c>
      <c r="M184" s="326">
        <f>H184/K184</f>
        <v>650281.27588538837</v>
      </c>
      <c r="N184" s="281">
        <f t="shared" si="4"/>
        <v>1014417.7882435302</v>
      </c>
    </row>
    <row r="185" spans="1:17" s="285" customFormat="1" ht="27" customHeight="1" x14ac:dyDescent="0.2">
      <c r="A185" s="5">
        <v>183</v>
      </c>
      <c r="B185" s="682"/>
      <c r="C185" s="274"/>
      <c r="D185" s="275"/>
      <c r="E185" s="283"/>
      <c r="F185" s="307"/>
      <c r="G185" s="310"/>
      <c r="H185" s="579">
        <v>77998360.012999997</v>
      </c>
      <c r="I185" s="310">
        <f t="shared" si="8"/>
        <v>0</v>
      </c>
      <c r="J185" s="325"/>
      <c r="K185" s="306">
        <v>76.889804234210288</v>
      </c>
      <c r="L185" s="279">
        <f t="shared" si="11"/>
        <v>0</v>
      </c>
      <c r="M185" s="326">
        <f>H185/K185</f>
        <v>1014417.4613244298</v>
      </c>
      <c r="N185" s="281">
        <f t="shared" si="4"/>
        <v>0.32691910036373883</v>
      </c>
    </row>
    <row r="186" spans="1:17" s="285" customFormat="1" ht="27" customHeight="1" x14ac:dyDescent="0.2">
      <c r="A186" s="5">
        <v>184</v>
      </c>
      <c r="B186" s="345"/>
      <c r="C186" s="274"/>
      <c r="D186" s="275"/>
      <c r="E186" s="283"/>
      <c r="F186" s="307"/>
      <c r="G186" s="310"/>
      <c r="H186" s="311"/>
      <c r="I186" s="310">
        <f t="shared" si="8"/>
        <v>0</v>
      </c>
      <c r="J186" s="325"/>
      <c r="K186" s="306"/>
      <c r="L186" s="279"/>
      <c r="M186" s="326"/>
      <c r="N186" s="281">
        <f t="shared" si="4"/>
        <v>0.32691910036373883</v>
      </c>
    </row>
    <row r="187" spans="1:17" s="285" customFormat="1" ht="27" customHeight="1" x14ac:dyDescent="0.2">
      <c r="A187" s="5">
        <v>185</v>
      </c>
      <c r="B187" s="345"/>
      <c r="C187" s="274"/>
      <c r="D187" s="275"/>
      <c r="E187" s="283"/>
      <c r="F187" s="307"/>
      <c r="G187" s="310"/>
      <c r="H187" s="311"/>
      <c r="I187" s="310">
        <f t="shared" si="8"/>
        <v>0</v>
      </c>
      <c r="J187" s="325"/>
      <c r="K187" s="306"/>
      <c r="L187" s="279"/>
      <c r="M187" s="326"/>
      <c r="N187" s="281">
        <f t="shared" si="4"/>
        <v>0.32691910036373883</v>
      </c>
      <c r="Q187" s="590"/>
    </row>
    <row r="188" spans="1:17" s="285" customFormat="1" ht="27" customHeight="1" x14ac:dyDescent="0.2">
      <c r="A188" s="5">
        <v>186</v>
      </c>
      <c r="B188" s="680" t="s">
        <v>140</v>
      </c>
      <c r="C188" s="274">
        <v>46147</v>
      </c>
      <c r="D188" s="275" t="s">
        <v>135</v>
      </c>
      <c r="E188" s="283"/>
      <c r="F188" s="307"/>
      <c r="G188" s="310">
        <v>200000000</v>
      </c>
      <c r="H188" s="311"/>
      <c r="I188" s="310">
        <f t="shared" si="8"/>
        <v>200000000</v>
      </c>
      <c r="J188" s="325"/>
      <c r="K188" s="306"/>
      <c r="L188" s="279"/>
      <c r="M188" s="326"/>
      <c r="N188" s="281">
        <f t="shared" si="4"/>
        <v>0.32691910036373883</v>
      </c>
    </row>
    <row r="189" spans="1:17" s="285" customFormat="1" ht="27" customHeight="1" x14ac:dyDescent="0.2">
      <c r="A189" s="5">
        <v>187</v>
      </c>
      <c r="B189" s="681"/>
      <c r="C189" s="274">
        <v>46147</v>
      </c>
      <c r="D189" s="275" t="s">
        <v>136</v>
      </c>
      <c r="E189" s="283"/>
      <c r="F189" s="307"/>
      <c r="G189" s="310">
        <v>160801267</v>
      </c>
      <c r="H189" s="311"/>
      <c r="I189" s="310">
        <f t="shared" si="8"/>
        <v>360801267</v>
      </c>
      <c r="J189" s="325"/>
      <c r="K189" s="306"/>
      <c r="L189" s="279"/>
      <c r="M189" s="326"/>
      <c r="N189" s="281">
        <f t="shared" si="4"/>
        <v>0.32691910036373883</v>
      </c>
    </row>
    <row r="190" spans="1:17" s="285" customFormat="1" ht="27" customHeight="1" x14ac:dyDescent="0.2">
      <c r="A190" s="5">
        <v>188</v>
      </c>
      <c r="B190" s="682"/>
      <c r="C190" s="274">
        <v>46178</v>
      </c>
      <c r="D190" s="275" t="s">
        <v>137</v>
      </c>
      <c r="E190" s="283"/>
      <c r="F190" s="307"/>
      <c r="G190" s="310">
        <v>158464294</v>
      </c>
      <c r="H190" s="311"/>
      <c r="I190" s="310">
        <f>G190-H190+I189</f>
        <v>519265561</v>
      </c>
      <c r="J190" s="325"/>
      <c r="K190" s="306"/>
      <c r="L190" s="279"/>
      <c r="M190" s="326"/>
      <c r="N190" s="281">
        <f t="shared" si="4"/>
        <v>0.32691910036373883</v>
      </c>
    </row>
    <row r="191" spans="1:17" s="285" customFormat="1" ht="27" customHeight="1" x14ac:dyDescent="0.2">
      <c r="A191" s="5">
        <v>189</v>
      </c>
      <c r="B191" s="345"/>
      <c r="C191" s="596" t="s">
        <v>150</v>
      </c>
      <c r="D191" s="275" t="s">
        <v>152</v>
      </c>
      <c r="E191" s="641"/>
      <c r="F191" s="642"/>
      <c r="G191" s="643">
        <v>80000000</v>
      </c>
      <c r="H191" s="644"/>
      <c r="I191" s="310">
        <f t="shared" si="8"/>
        <v>599265561</v>
      </c>
      <c r="J191" s="645">
        <v>1135557.1327182399</v>
      </c>
      <c r="K191" s="646"/>
      <c r="L191" s="598"/>
      <c r="M191" s="640"/>
      <c r="N191" s="281">
        <f t="shared" si="4"/>
        <v>0.32691910036373883</v>
      </c>
    </row>
    <row r="192" spans="1:17" s="285" customFormat="1" ht="27" customHeight="1" x14ac:dyDescent="0.2">
      <c r="A192" s="5">
        <v>190</v>
      </c>
      <c r="B192" s="345"/>
      <c r="C192" s="596" t="s">
        <v>153</v>
      </c>
      <c r="D192" s="275" t="s">
        <v>154</v>
      </c>
      <c r="E192" s="641"/>
      <c r="F192" s="642"/>
      <c r="G192" s="643">
        <v>130000000</v>
      </c>
      <c r="H192" s="644"/>
      <c r="I192" s="310">
        <f t="shared" si="8"/>
        <v>729265561</v>
      </c>
      <c r="J192" s="645"/>
      <c r="K192" s="646"/>
      <c r="L192" s="598"/>
      <c r="M192" s="640"/>
      <c r="N192" s="281">
        <f t="shared" si="4"/>
        <v>0.32691910036373883</v>
      </c>
    </row>
    <row r="193" spans="1:20" s="285" customFormat="1" ht="27" customHeight="1" x14ac:dyDescent="0.2">
      <c r="A193" s="5">
        <v>191</v>
      </c>
      <c r="B193" s="345"/>
      <c r="C193" s="596">
        <v>46301</v>
      </c>
      <c r="D193" s="275" t="s">
        <v>196</v>
      </c>
      <c r="E193" s="641"/>
      <c r="F193" s="642"/>
      <c r="G193" s="643">
        <v>250094096</v>
      </c>
      <c r="H193" s="644"/>
      <c r="I193" s="310">
        <f t="shared" si="8"/>
        <v>979359657</v>
      </c>
      <c r="J193" s="645"/>
      <c r="K193" s="646"/>
      <c r="L193" s="598"/>
      <c r="M193" s="640"/>
      <c r="N193" s="281">
        <f t="shared" si="4"/>
        <v>0.32691910036373883</v>
      </c>
    </row>
    <row r="194" spans="1:20" s="285" customFormat="1" ht="27" customHeight="1" x14ac:dyDescent="0.2">
      <c r="A194" s="5">
        <v>192</v>
      </c>
      <c r="B194" s="345"/>
      <c r="C194" s="596"/>
      <c r="D194" s="597" t="s">
        <v>141</v>
      </c>
      <c r="E194" s="641">
        <v>9985</v>
      </c>
      <c r="F194" s="642">
        <v>79355.426205523807</v>
      </c>
      <c r="G194" s="643"/>
      <c r="H194" s="659">
        <f>E194*F194</f>
        <v>792363930.66215527</v>
      </c>
      <c r="I194" s="310">
        <f t="shared" si="8"/>
        <v>186995726.33784473</v>
      </c>
      <c r="J194" s="645"/>
      <c r="K194" s="646"/>
      <c r="L194" s="598"/>
      <c r="M194" s="640"/>
      <c r="N194" s="281">
        <f t="shared" si="4"/>
        <v>0.32691910036373883</v>
      </c>
      <c r="P194" s="285">
        <v>1127.1447368421052</v>
      </c>
      <c r="Q194" s="285">
        <f>1127.14-41</f>
        <v>1086.1400000000001</v>
      </c>
    </row>
    <row r="195" spans="1:20" s="285" customFormat="1" ht="27" customHeight="1" x14ac:dyDescent="0.2">
      <c r="A195" s="5">
        <v>193</v>
      </c>
      <c r="B195" s="345"/>
      <c r="C195" s="596"/>
      <c r="D195" s="597"/>
      <c r="E195" s="641"/>
      <c r="F195" s="642"/>
      <c r="G195" s="643"/>
      <c r="H195" s="644"/>
      <c r="I195" s="310">
        <f t="shared" si="8"/>
        <v>186995726.33784473</v>
      </c>
      <c r="J195" s="645"/>
      <c r="K195" s="646"/>
      <c r="L195" s="598"/>
      <c r="M195" s="640"/>
      <c r="N195" s="281">
        <f t="shared" si="4"/>
        <v>0.32691910036373883</v>
      </c>
      <c r="P195" s="285">
        <v>73.061876190476184</v>
      </c>
      <c r="Q195" s="285">
        <f>Q194*P195</f>
        <v>79355.426205523807</v>
      </c>
    </row>
    <row r="196" spans="1:20" s="285" customFormat="1" ht="27" customHeight="1" x14ac:dyDescent="0.2">
      <c r="A196" s="5">
        <v>194</v>
      </c>
      <c r="B196" s="345"/>
      <c r="C196" s="596"/>
      <c r="D196" s="597"/>
      <c r="E196" s="641"/>
      <c r="F196" s="642"/>
      <c r="G196" s="643"/>
      <c r="H196" s="644"/>
      <c r="I196" s="310">
        <f t="shared" si="8"/>
        <v>186995726.33784473</v>
      </c>
      <c r="J196" s="645"/>
      <c r="K196" s="646"/>
      <c r="L196" s="598"/>
      <c r="M196" s="640"/>
      <c r="N196" s="281">
        <f t="shared" si="4"/>
        <v>0.32691910036373883</v>
      </c>
    </row>
    <row r="197" spans="1:20" s="285" customFormat="1" ht="27" customHeight="1" x14ac:dyDescent="0.2">
      <c r="A197" s="5">
        <v>195</v>
      </c>
      <c r="B197" s="345"/>
      <c r="C197" s="596"/>
      <c r="D197" s="597"/>
      <c r="E197" s="641"/>
      <c r="F197" s="642"/>
      <c r="G197" s="643"/>
      <c r="H197" s="644"/>
      <c r="I197" s="310">
        <f t="shared" si="8"/>
        <v>186995726.33784473</v>
      </c>
      <c r="J197" s="645"/>
      <c r="K197" s="646"/>
      <c r="L197" s="598"/>
      <c r="M197" s="640"/>
      <c r="N197" s="281">
        <f t="shared" si="4"/>
        <v>0.32691910036373883</v>
      </c>
    </row>
    <row r="198" spans="1:20" ht="27" customHeight="1" thickBot="1" x14ac:dyDescent="0.25">
      <c r="A198" s="8"/>
      <c r="B198" s="9"/>
      <c r="C198" s="9"/>
      <c r="D198" s="10"/>
      <c r="E198" s="11">
        <v>76006.171000000002</v>
      </c>
      <c r="F198" s="12"/>
      <c r="G198" s="13"/>
      <c r="H198" s="14"/>
      <c r="I198" s="343"/>
      <c r="J198" s="343"/>
      <c r="K198" s="25"/>
      <c r="L198" s="25"/>
      <c r="M198" s="25"/>
      <c r="N198" s="26"/>
    </row>
    <row r="199" spans="1:20" ht="62.25" customHeight="1" x14ac:dyDescent="0.2">
      <c r="F199" s="299"/>
    </row>
    <row r="200" spans="1:20" ht="24" customHeight="1" x14ac:dyDescent="0.2">
      <c r="D200" s="300" t="s">
        <v>138</v>
      </c>
      <c r="E200" s="301"/>
      <c r="F200" s="313">
        <v>46491658.574210301</v>
      </c>
    </row>
    <row r="201" spans="1:20" ht="30" customHeight="1" x14ac:dyDescent="0.2">
      <c r="D201" s="300" t="s">
        <v>139</v>
      </c>
      <c r="E201" s="301"/>
      <c r="F201" s="313">
        <v>9523460.3980002403</v>
      </c>
      <c r="M201" s="596" t="s">
        <v>150</v>
      </c>
      <c r="N201" s="636" t="s">
        <v>151</v>
      </c>
      <c r="O201" s="637">
        <v>80000000</v>
      </c>
      <c r="P201" s="610"/>
      <c r="Q201" s="638">
        <v>70.45</v>
      </c>
      <c r="R201" s="639"/>
      <c r="S201" s="598"/>
      <c r="T201" s="640">
        <f>O201/Q201</f>
        <v>1135557.1327182399</v>
      </c>
    </row>
    <row r="202" spans="1:20" ht="30" customHeight="1" x14ac:dyDescent="0.2">
      <c r="D202" s="300" t="s">
        <v>52</v>
      </c>
      <c r="E202" s="301"/>
      <c r="F202" s="313">
        <v>77998360.012999997</v>
      </c>
      <c r="M202" s="409"/>
      <c r="N202" s="409"/>
      <c r="O202" s="410"/>
      <c r="P202" s="411"/>
    </row>
    <row r="203" spans="1:20" ht="14.25" x14ac:dyDescent="0.2">
      <c r="D203" s="299"/>
      <c r="F203" s="312"/>
      <c r="M203" s="409"/>
      <c r="N203" s="409"/>
      <c r="O203" s="410"/>
      <c r="P203" s="411"/>
    </row>
    <row r="204" spans="1:20" ht="33" customHeight="1" x14ac:dyDescent="0.2">
      <c r="D204" s="586" t="s">
        <v>9</v>
      </c>
      <c r="F204" s="660">
        <f>SUM(F200:F203)</f>
        <v>134013478.98521054</v>
      </c>
      <c r="M204" s="409"/>
      <c r="N204" s="409"/>
      <c r="O204" s="410"/>
      <c r="P204" s="411"/>
    </row>
  </sheetData>
  <autoFilter ref="A2:N2" xr:uid="{00000000-0009-0000-0000-000000000000}"/>
  <mergeCells count="19">
    <mergeCell ref="B178:B185"/>
    <mergeCell ref="B165:B176"/>
    <mergeCell ref="B147:B152"/>
    <mergeCell ref="B188:B190"/>
    <mergeCell ref="B127:B136"/>
    <mergeCell ref="B138:B145"/>
    <mergeCell ref="B154:B162"/>
    <mergeCell ref="B60:B64"/>
    <mergeCell ref="B66:B69"/>
    <mergeCell ref="A1:N1"/>
    <mergeCell ref="B52:B59"/>
    <mergeCell ref="B4:B10"/>
    <mergeCell ref="B12:B17"/>
    <mergeCell ref="B42:B49"/>
    <mergeCell ref="B100:B106"/>
    <mergeCell ref="B108:B125"/>
    <mergeCell ref="B71:B84"/>
    <mergeCell ref="B86:B94"/>
    <mergeCell ref="B96:B98"/>
  </mergeCells>
  <pageMargins left="0" right="0" top="0" bottom="0" header="0.3" footer="0.3"/>
  <pageSetup scale="7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zoomScale="90" zoomScaleNormal="90" workbookViewId="0">
      <pane xSplit="10" ySplit="10" topLeftCell="K24" activePane="bottomRight" state="frozen"/>
      <selection pane="topRight" activeCell="K1" sqref="K1"/>
      <selection pane="bottomLeft" activeCell="A11" sqref="A11"/>
      <selection pane="bottomRight" activeCell="E38" sqref="E38"/>
    </sheetView>
  </sheetViews>
  <sheetFormatPr defaultRowHeight="12.75" x14ac:dyDescent="0.2"/>
  <cols>
    <col min="1" max="1" width="5.5703125" style="1" bestFit="1" customWidth="1"/>
    <col min="2" max="2" width="10.140625" style="1" customWidth="1"/>
    <col min="3" max="3" width="39.28515625" style="16" customWidth="1"/>
    <col min="4" max="4" width="12.28515625" style="17" customWidth="1"/>
    <col min="5" max="5" width="13.7109375" style="17" customWidth="1"/>
    <col min="6" max="6" width="16.140625" style="18" bestFit="1" customWidth="1"/>
    <col min="7" max="7" width="14.42578125" style="19" customWidth="1"/>
    <col min="8" max="8" width="16.85546875" style="20" bestFit="1" customWidth="1"/>
    <col min="9" max="9" width="0.7109375" style="20" customWidth="1"/>
    <col min="10" max="10" width="14.7109375" style="1" customWidth="1"/>
    <col min="11" max="11" width="14.42578125" style="1" customWidth="1"/>
    <col min="12" max="12" width="14.7109375" style="1" customWidth="1"/>
    <col min="13" max="13" width="14.42578125" style="1" customWidth="1"/>
    <col min="14" max="14" width="1.7109375" style="1" customWidth="1"/>
    <col min="15" max="249" width="8.85546875" style="1"/>
    <col min="250" max="250" width="5.5703125" style="1" bestFit="1" customWidth="1"/>
    <col min="251" max="251" width="9.28515625" style="1" customWidth="1"/>
    <col min="252" max="252" width="24.7109375" style="1" customWidth="1"/>
    <col min="253" max="253" width="11" style="1" bestFit="1" customWidth="1"/>
    <col min="254" max="254" width="7.5703125" style="1" bestFit="1" customWidth="1"/>
    <col min="255" max="255" width="13.5703125" style="1" customWidth="1"/>
    <col min="256" max="256" width="5.42578125" style="1" bestFit="1" customWidth="1"/>
    <col min="257" max="257" width="11.28515625" style="1" bestFit="1" customWidth="1"/>
    <col min="258" max="258" width="5.7109375" style="1" bestFit="1" customWidth="1"/>
    <col min="259" max="259" width="12" style="1" customWidth="1"/>
    <col min="260" max="260" width="15.42578125" style="1" bestFit="1" customWidth="1"/>
    <col min="261" max="262" width="15.140625" style="1" bestFit="1" customWidth="1"/>
    <col min="263" max="263" width="14.28515625" style="1" bestFit="1" customWidth="1"/>
    <col min="264" max="264" width="3.140625" style="1" customWidth="1"/>
    <col min="265" max="265" width="6.42578125" style="1" customWidth="1"/>
    <col min="266" max="505" width="8.85546875" style="1"/>
    <col min="506" max="506" width="5.5703125" style="1" bestFit="1" customWidth="1"/>
    <col min="507" max="507" width="9.28515625" style="1" customWidth="1"/>
    <col min="508" max="508" width="24.7109375" style="1" customWidth="1"/>
    <col min="509" max="509" width="11" style="1" bestFit="1" customWidth="1"/>
    <col min="510" max="510" width="7.5703125" style="1" bestFit="1" customWidth="1"/>
    <col min="511" max="511" width="13.5703125" style="1" customWidth="1"/>
    <col min="512" max="512" width="5.42578125" style="1" bestFit="1" customWidth="1"/>
    <col min="513" max="513" width="11.28515625" style="1" bestFit="1" customWidth="1"/>
    <col min="514" max="514" width="5.7109375" style="1" bestFit="1" customWidth="1"/>
    <col min="515" max="515" width="12" style="1" customWidth="1"/>
    <col min="516" max="516" width="15.42578125" style="1" bestFit="1" customWidth="1"/>
    <col min="517" max="518" width="15.140625" style="1" bestFit="1" customWidth="1"/>
    <col min="519" max="519" width="14.28515625" style="1" bestFit="1" customWidth="1"/>
    <col min="520" max="520" width="3.140625" style="1" customWidth="1"/>
    <col min="521" max="521" width="6.42578125" style="1" customWidth="1"/>
    <col min="522" max="761" width="8.85546875" style="1"/>
    <col min="762" max="762" width="5.5703125" style="1" bestFit="1" customWidth="1"/>
    <col min="763" max="763" width="9.28515625" style="1" customWidth="1"/>
    <col min="764" max="764" width="24.7109375" style="1" customWidth="1"/>
    <col min="765" max="765" width="11" style="1" bestFit="1" customWidth="1"/>
    <col min="766" max="766" width="7.5703125" style="1" bestFit="1" customWidth="1"/>
    <col min="767" max="767" width="13.5703125" style="1" customWidth="1"/>
    <col min="768" max="768" width="5.42578125" style="1" bestFit="1" customWidth="1"/>
    <col min="769" max="769" width="11.28515625" style="1" bestFit="1" customWidth="1"/>
    <col min="770" max="770" width="5.7109375" style="1" bestFit="1" customWidth="1"/>
    <col min="771" max="771" width="12" style="1" customWidth="1"/>
    <col min="772" max="772" width="15.42578125" style="1" bestFit="1" customWidth="1"/>
    <col min="773" max="774" width="15.140625" style="1" bestFit="1" customWidth="1"/>
    <col min="775" max="775" width="14.28515625" style="1" bestFit="1" customWidth="1"/>
    <col min="776" max="776" width="3.140625" style="1" customWidth="1"/>
    <col min="777" max="777" width="6.42578125" style="1" customWidth="1"/>
    <col min="778" max="1017" width="8.85546875" style="1"/>
    <col min="1018" max="1018" width="5.5703125" style="1" bestFit="1" customWidth="1"/>
    <col min="1019" max="1019" width="9.28515625" style="1" customWidth="1"/>
    <col min="1020" max="1020" width="24.7109375" style="1" customWidth="1"/>
    <col min="1021" max="1021" width="11" style="1" bestFit="1" customWidth="1"/>
    <col min="1022" max="1022" width="7.5703125" style="1" bestFit="1" customWidth="1"/>
    <col min="1023" max="1023" width="13.5703125" style="1" customWidth="1"/>
    <col min="1024" max="1024" width="5.42578125" style="1" bestFit="1" customWidth="1"/>
    <col min="1025" max="1025" width="11.28515625" style="1" bestFit="1" customWidth="1"/>
    <col min="1026" max="1026" width="5.7109375" style="1" bestFit="1" customWidth="1"/>
    <col min="1027" max="1027" width="12" style="1" customWidth="1"/>
    <col min="1028" max="1028" width="15.42578125" style="1" bestFit="1" customWidth="1"/>
    <col min="1029" max="1030" width="15.140625" style="1" bestFit="1" customWidth="1"/>
    <col min="1031" max="1031" width="14.28515625" style="1" bestFit="1" customWidth="1"/>
    <col min="1032" max="1032" width="3.140625" style="1" customWidth="1"/>
    <col min="1033" max="1033" width="6.42578125" style="1" customWidth="1"/>
    <col min="1034" max="1273" width="8.85546875" style="1"/>
    <col min="1274" max="1274" width="5.5703125" style="1" bestFit="1" customWidth="1"/>
    <col min="1275" max="1275" width="9.28515625" style="1" customWidth="1"/>
    <col min="1276" max="1276" width="24.7109375" style="1" customWidth="1"/>
    <col min="1277" max="1277" width="11" style="1" bestFit="1" customWidth="1"/>
    <col min="1278" max="1278" width="7.5703125" style="1" bestFit="1" customWidth="1"/>
    <col min="1279" max="1279" width="13.5703125" style="1" customWidth="1"/>
    <col min="1280" max="1280" width="5.42578125" style="1" bestFit="1" customWidth="1"/>
    <col min="1281" max="1281" width="11.28515625" style="1" bestFit="1" customWidth="1"/>
    <col min="1282" max="1282" width="5.7109375" style="1" bestFit="1" customWidth="1"/>
    <col min="1283" max="1283" width="12" style="1" customWidth="1"/>
    <col min="1284" max="1284" width="15.42578125" style="1" bestFit="1" customWidth="1"/>
    <col min="1285" max="1286" width="15.140625" style="1" bestFit="1" customWidth="1"/>
    <col min="1287" max="1287" width="14.28515625" style="1" bestFit="1" customWidth="1"/>
    <col min="1288" max="1288" width="3.140625" style="1" customWidth="1"/>
    <col min="1289" max="1289" width="6.42578125" style="1" customWidth="1"/>
    <col min="1290" max="1529" width="8.85546875" style="1"/>
    <col min="1530" max="1530" width="5.5703125" style="1" bestFit="1" customWidth="1"/>
    <col min="1531" max="1531" width="9.28515625" style="1" customWidth="1"/>
    <col min="1532" max="1532" width="24.7109375" style="1" customWidth="1"/>
    <col min="1533" max="1533" width="11" style="1" bestFit="1" customWidth="1"/>
    <col min="1534" max="1534" width="7.5703125" style="1" bestFit="1" customWidth="1"/>
    <col min="1535" max="1535" width="13.5703125" style="1" customWidth="1"/>
    <col min="1536" max="1536" width="5.42578125" style="1" bestFit="1" customWidth="1"/>
    <col min="1537" max="1537" width="11.28515625" style="1" bestFit="1" customWidth="1"/>
    <col min="1538" max="1538" width="5.7109375" style="1" bestFit="1" customWidth="1"/>
    <col min="1539" max="1539" width="12" style="1" customWidth="1"/>
    <col min="1540" max="1540" width="15.42578125" style="1" bestFit="1" customWidth="1"/>
    <col min="1541" max="1542" width="15.140625" style="1" bestFit="1" customWidth="1"/>
    <col min="1543" max="1543" width="14.28515625" style="1" bestFit="1" customWidth="1"/>
    <col min="1544" max="1544" width="3.140625" style="1" customWidth="1"/>
    <col min="1545" max="1545" width="6.42578125" style="1" customWidth="1"/>
    <col min="1546" max="1785" width="8.85546875" style="1"/>
    <col min="1786" max="1786" width="5.5703125" style="1" bestFit="1" customWidth="1"/>
    <col min="1787" max="1787" width="9.28515625" style="1" customWidth="1"/>
    <col min="1788" max="1788" width="24.7109375" style="1" customWidth="1"/>
    <col min="1789" max="1789" width="11" style="1" bestFit="1" customWidth="1"/>
    <col min="1790" max="1790" width="7.5703125" style="1" bestFit="1" customWidth="1"/>
    <col min="1791" max="1791" width="13.5703125" style="1" customWidth="1"/>
    <col min="1792" max="1792" width="5.42578125" style="1" bestFit="1" customWidth="1"/>
    <col min="1793" max="1793" width="11.28515625" style="1" bestFit="1" customWidth="1"/>
    <col min="1794" max="1794" width="5.7109375" style="1" bestFit="1" customWidth="1"/>
    <col min="1795" max="1795" width="12" style="1" customWidth="1"/>
    <col min="1796" max="1796" width="15.42578125" style="1" bestFit="1" customWidth="1"/>
    <col min="1797" max="1798" width="15.140625" style="1" bestFit="1" customWidth="1"/>
    <col min="1799" max="1799" width="14.28515625" style="1" bestFit="1" customWidth="1"/>
    <col min="1800" max="1800" width="3.140625" style="1" customWidth="1"/>
    <col min="1801" max="1801" width="6.42578125" style="1" customWidth="1"/>
    <col min="1802" max="2041" width="8.85546875" style="1"/>
    <col min="2042" max="2042" width="5.5703125" style="1" bestFit="1" customWidth="1"/>
    <col min="2043" max="2043" width="9.28515625" style="1" customWidth="1"/>
    <col min="2044" max="2044" width="24.7109375" style="1" customWidth="1"/>
    <col min="2045" max="2045" width="11" style="1" bestFit="1" customWidth="1"/>
    <col min="2046" max="2046" width="7.5703125" style="1" bestFit="1" customWidth="1"/>
    <col min="2047" max="2047" width="13.5703125" style="1" customWidth="1"/>
    <col min="2048" max="2048" width="5.42578125" style="1" bestFit="1" customWidth="1"/>
    <col min="2049" max="2049" width="11.28515625" style="1" bestFit="1" customWidth="1"/>
    <col min="2050" max="2050" width="5.7109375" style="1" bestFit="1" customWidth="1"/>
    <col min="2051" max="2051" width="12" style="1" customWidth="1"/>
    <col min="2052" max="2052" width="15.42578125" style="1" bestFit="1" customWidth="1"/>
    <col min="2053" max="2054" width="15.140625" style="1" bestFit="1" customWidth="1"/>
    <col min="2055" max="2055" width="14.28515625" style="1" bestFit="1" customWidth="1"/>
    <col min="2056" max="2056" width="3.140625" style="1" customWidth="1"/>
    <col min="2057" max="2057" width="6.42578125" style="1" customWidth="1"/>
    <col min="2058" max="2297" width="8.85546875" style="1"/>
    <col min="2298" max="2298" width="5.5703125" style="1" bestFit="1" customWidth="1"/>
    <col min="2299" max="2299" width="9.28515625" style="1" customWidth="1"/>
    <col min="2300" max="2300" width="24.7109375" style="1" customWidth="1"/>
    <col min="2301" max="2301" width="11" style="1" bestFit="1" customWidth="1"/>
    <col min="2302" max="2302" width="7.5703125" style="1" bestFit="1" customWidth="1"/>
    <col min="2303" max="2303" width="13.5703125" style="1" customWidth="1"/>
    <col min="2304" max="2304" width="5.42578125" style="1" bestFit="1" customWidth="1"/>
    <col min="2305" max="2305" width="11.28515625" style="1" bestFit="1" customWidth="1"/>
    <col min="2306" max="2306" width="5.7109375" style="1" bestFit="1" customWidth="1"/>
    <col min="2307" max="2307" width="12" style="1" customWidth="1"/>
    <col min="2308" max="2308" width="15.42578125" style="1" bestFit="1" customWidth="1"/>
    <col min="2309" max="2310" width="15.140625" style="1" bestFit="1" customWidth="1"/>
    <col min="2311" max="2311" width="14.28515625" style="1" bestFit="1" customWidth="1"/>
    <col min="2312" max="2312" width="3.140625" style="1" customWidth="1"/>
    <col min="2313" max="2313" width="6.42578125" style="1" customWidth="1"/>
    <col min="2314" max="2553" width="8.85546875" style="1"/>
    <col min="2554" max="2554" width="5.5703125" style="1" bestFit="1" customWidth="1"/>
    <col min="2555" max="2555" width="9.28515625" style="1" customWidth="1"/>
    <col min="2556" max="2556" width="24.7109375" style="1" customWidth="1"/>
    <col min="2557" max="2557" width="11" style="1" bestFit="1" customWidth="1"/>
    <col min="2558" max="2558" width="7.5703125" style="1" bestFit="1" customWidth="1"/>
    <col min="2559" max="2559" width="13.5703125" style="1" customWidth="1"/>
    <col min="2560" max="2560" width="5.42578125" style="1" bestFit="1" customWidth="1"/>
    <col min="2561" max="2561" width="11.28515625" style="1" bestFit="1" customWidth="1"/>
    <col min="2562" max="2562" width="5.7109375" style="1" bestFit="1" customWidth="1"/>
    <col min="2563" max="2563" width="12" style="1" customWidth="1"/>
    <col min="2564" max="2564" width="15.42578125" style="1" bestFit="1" customWidth="1"/>
    <col min="2565" max="2566" width="15.140625" style="1" bestFit="1" customWidth="1"/>
    <col min="2567" max="2567" width="14.28515625" style="1" bestFit="1" customWidth="1"/>
    <col min="2568" max="2568" width="3.140625" style="1" customWidth="1"/>
    <col min="2569" max="2569" width="6.42578125" style="1" customWidth="1"/>
    <col min="2570" max="2809" width="8.85546875" style="1"/>
    <col min="2810" max="2810" width="5.5703125" style="1" bestFit="1" customWidth="1"/>
    <col min="2811" max="2811" width="9.28515625" style="1" customWidth="1"/>
    <col min="2812" max="2812" width="24.7109375" style="1" customWidth="1"/>
    <col min="2813" max="2813" width="11" style="1" bestFit="1" customWidth="1"/>
    <col min="2814" max="2814" width="7.5703125" style="1" bestFit="1" customWidth="1"/>
    <col min="2815" max="2815" width="13.5703125" style="1" customWidth="1"/>
    <col min="2816" max="2816" width="5.42578125" style="1" bestFit="1" customWidth="1"/>
    <col min="2817" max="2817" width="11.28515625" style="1" bestFit="1" customWidth="1"/>
    <col min="2818" max="2818" width="5.7109375" style="1" bestFit="1" customWidth="1"/>
    <col min="2819" max="2819" width="12" style="1" customWidth="1"/>
    <col min="2820" max="2820" width="15.42578125" style="1" bestFit="1" customWidth="1"/>
    <col min="2821" max="2822" width="15.140625" style="1" bestFit="1" customWidth="1"/>
    <col min="2823" max="2823" width="14.28515625" style="1" bestFit="1" customWidth="1"/>
    <col min="2824" max="2824" width="3.140625" style="1" customWidth="1"/>
    <col min="2825" max="2825" width="6.42578125" style="1" customWidth="1"/>
    <col min="2826" max="3065" width="8.85546875" style="1"/>
    <col min="3066" max="3066" width="5.5703125" style="1" bestFit="1" customWidth="1"/>
    <col min="3067" max="3067" width="9.28515625" style="1" customWidth="1"/>
    <col min="3068" max="3068" width="24.7109375" style="1" customWidth="1"/>
    <col min="3069" max="3069" width="11" style="1" bestFit="1" customWidth="1"/>
    <col min="3070" max="3070" width="7.5703125" style="1" bestFit="1" customWidth="1"/>
    <col min="3071" max="3071" width="13.5703125" style="1" customWidth="1"/>
    <col min="3072" max="3072" width="5.42578125" style="1" bestFit="1" customWidth="1"/>
    <col min="3073" max="3073" width="11.28515625" style="1" bestFit="1" customWidth="1"/>
    <col min="3074" max="3074" width="5.7109375" style="1" bestFit="1" customWidth="1"/>
    <col min="3075" max="3075" width="12" style="1" customWidth="1"/>
    <col min="3076" max="3076" width="15.42578125" style="1" bestFit="1" customWidth="1"/>
    <col min="3077" max="3078" width="15.140625" style="1" bestFit="1" customWidth="1"/>
    <col min="3079" max="3079" width="14.28515625" style="1" bestFit="1" customWidth="1"/>
    <col min="3080" max="3080" width="3.140625" style="1" customWidth="1"/>
    <col min="3081" max="3081" width="6.42578125" style="1" customWidth="1"/>
    <col min="3082" max="3321" width="8.85546875" style="1"/>
    <col min="3322" max="3322" width="5.5703125" style="1" bestFit="1" customWidth="1"/>
    <col min="3323" max="3323" width="9.28515625" style="1" customWidth="1"/>
    <col min="3324" max="3324" width="24.7109375" style="1" customWidth="1"/>
    <col min="3325" max="3325" width="11" style="1" bestFit="1" customWidth="1"/>
    <col min="3326" max="3326" width="7.5703125" style="1" bestFit="1" customWidth="1"/>
    <col min="3327" max="3327" width="13.5703125" style="1" customWidth="1"/>
    <col min="3328" max="3328" width="5.42578125" style="1" bestFit="1" customWidth="1"/>
    <col min="3329" max="3329" width="11.28515625" style="1" bestFit="1" customWidth="1"/>
    <col min="3330" max="3330" width="5.7109375" style="1" bestFit="1" customWidth="1"/>
    <col min="3331" max="3331" width="12" style="1" customWidth="1"/>
    <col min="3332" max="3332" width="15.42578125" style="1" bestFit="1" customWidth="1"/>
    <col min="3333" max="3334" width="15.140625" style="1" bestFit="1" customWidth="1"/>
    <col min="3335" max="3335" width="14.28515625" style="1" bestFit="1" customWidth="1"/>
    <col min="3336" max="3336" width="3.140625" style="1" customWidth="1"/>
    <col min="3337" max="3337" width="6.42578125" style="1" customWidth="1"/>
    <col min="3338" max="3577" width="8.85546875" style="1"/>
    <col min="3578" max="3578" width="5.5703125" style="1" bestFit="1" customWidth="1"/>
    <col min="3579" max="3579" width="9.28515625" style="1" customWidth="1"/>
    <col min="3580" max="3580" width="24.7109375" style="1" customWidth="1"/>
    <col min="3581" max="3581" width="11" style="1" bestFit="1" customWidth="1"/>
    <col min="3582" max="3582" width="7.5703125" style="1" bestFit="1" customWidth="1"/>
    <col min="3583" max="3583" width="13.5703125" style="1" customWidth="1"/>
    <col min="3584" max="3584" width="5.42578125" style="1" bestFit="1" customWidth="1"/>
    <col min="3585" max="3585" width="11.28515625" style="1" bestFit="1" customWidth="1"/>
    <col min="3586" max="3586" width="5.7109375" style="1" bestFit="1" customWidth="1"/>
    <col min="3587" max="3587" width="12" style="1" customWidth="1"/>
    <col min="3588" max="3588" width="15.42578125" style="1" bestFit="1" customWidth="1"/>
    <col min="3589" max="3590" width="15.140625" style="1" bestFit="1" customWidth="1"/>
    <col min="3591" max="3591" width="14.28515625" style="1" bestFit="1" customWidth="1"/>
    <col min="3592" max="3592" width="3.140625" style="1" customWidth="1"/>
    <col min="3593" max="3593" width="6.42578125" style="1" customWidth="1"/>
    <col min="3594" max="3833" width="8.85546875" style="1"/>
    <col min="3834" max="3834" width="5.5703125" style="1" bestFit="1" customWidth="1"/>
    <col min="3835" max="3835" width="9.28515625" style="1" customWidth="1"/>
    <col min="3836" max="3836" width="24.7109375" style="1" customWidth="1"/>
    <col min="3837" max="3837" width="11" style="1" bestFit="1" customWidth="1"/>
    <col min="3838" max="3838" width="7.5703125" style="1" bestFit="1" customWidth="1"/>
    <col min="3839" max="3839" width="13.5703125" style="1" customWidth="1"/>
    <col min="3840" max="3840" width="5.42578125" style="1" bestFit="1" customWidth="1"/>
    <col min="3841" max="3841" width="11.28515625" style="1" bestFit="1" customWidth="1"/>
    <col min="3842" max="3842" width="5.7109375" style="1" bestFit="1" customWidth="1"/>
    <col min="3843" max="3843" width="12" style="1" customWidth="1"/>
    <col min="3844" max="3844" width="15.42578125" style="1" bestFit="1" customWidth="1"/>
    <col min="3845" max="3846" width="15.140625" style="1" bestFit="1" customWidth="1"/>
    <col min="3847" max="3847" width="14.28515625" style="1" bestFit="1" customWidth="1"/>
    <col min="3848" max="3848" width="3.140625" style="1" customWidth="1"/>
    <col min="3849" max="3849" width="6.42578125" style="1" customWidth="1"/>
    <col min="3850" max="4089" width="8.85546875" style="1"/>
    <col min="4090" max="4090" width="5.5703125" style="1" bestFit="1" customWidth="1"/>
    <col min="4091" max="4091" width="9.28515625" style="1" customWidth="1"/>
    <col min="4092" max="4092" width="24.7109375" style="1" customWidth="1"/>
    <col min="4093" max="4093" width="11" style="1" bestFit="1" customWidth="1"/>
    <col min="4094" max="4094" width="7.5703125" style="1" bestFit="1" customWidth="1"/>
    <col min="4095" max="4095" width="13.5703125" style="1" customWidth="1"/>
    <col min="4096" max="4096" width="5.42578125" style="1" bestFit="1" customWidth="1"/>
    <col min="4097" max="4097" width="11.28515625" style="1" bestFit="1" customWidth="1"/>
    <col min="4098" max="4098" width="5.7109375" style="1" bestFit="1" customWidth="1"/>
    <col min="4099" max="4099" width="12" style="1" customWidth="1"/>
    <col min="4100" max="4100" width="15.42578125" style="1" bestFit="1" customWidth="1"/>
    <col min="4101" max="4102" width="15.140625" style="1" bestFit="1" customWidth="1"/>
    <col min="4103" max="4103" width="14.28515625" style="1" bestFit="1" customWidth="1"/>
    <col min="4104" max="4104" width="3.140625" style="1" customWidth="1"/>
    <col min="4105" max="4105" width="6.42578125" style="1" customWidth="1"/>
    <col min="4106" max="4345" width="8.85546875" style="1"/>
    <col min="4346" max="4346" width="5.5703125" style="1" bestFit="1" customWidth="1"/>
    <col min="4347" max="4347" width="9.28515625" style="1" customWidth="1"/>
    <col min="4348" max="4348" width="24.7109375" style="1" customWidth="1"/>
    <col min="4349" max="4349" width="11" style="1" bestFit="1" customWidth="1"/>
    <col min="4350" max="4350" width="7.5703125" style="1" bestFit="1" customWidth="1"/>
    <col min="4351" max="4351" width="13.5703125" style="1" customWidth="1"/>
    <col min="4352" max="4352" width="5.42578125" style="1" bestFit="1" customWidth="1"/>
    <col min="4353" max="4353" width="11.28515625" style="1" bestFit="1" customWidth="1"/>
    <col min="4354" max="4354" width="5.7109375" style="1" bestFit="1" customWidth="1"/>
    <col min="4355" max="4355" width="12" style="1" customWidth="1"/>
    <col min="4356" max="4356" width="15.42578125" style="1" bestFit="1" customWidth="1"/>
    <col min="4357" max="4358" width="15.140625" style="1" bestFit="1" customWidth="1"/>
    <col min="4359" max="4359" width="14.28515625" style="1" bestFit="1" customWidth="1"/>
    <col min="4360" max="4360" width="3.140625" style="1" customWidth="1"/>
    <col min="4361" max="4361" width="6.42578125" style="1" customWidth="1"/>
    <col min="4362" max="4601" width="8.85546875" style="1"/>
    <col min="4602" max="4602" width="5.5703125" style="1" bestFit="1" customWidth="1"/>
    <col min="4603" max="4603" width="9.28515625" style="1" customWidth="1"/>
    <col min="4604" max="4604" width="24.7109375" style="1" customWidth="1"/>
    <col min="4605" max="4605" width="11" style="1" bestFit="1" customWidth="1"/>
    <col min="4606" max="4606" width="7.5703125" style="1" bestFit="1" customWidth="1"/>
    <col min="4607" max="4607" width="13.5703125" style="1" customWidth="1"/>
    <col min="4608" max="4608" width="5.42578125" style="1" bestFit="1" customWidth="1"/>
    <col min="4609" max="4609" width="11.28515625" style="1" bestFit="1" customWidth="1"/>
    <col min="4610" max="4610" width="5.7109375" style="1" bestFit="1" customWidth="1"/>
    <col min="4611" max="4611" width="12" style="1" customWidth="1"/>
    <col min="4612" max="4612" width="15.42578125" style="1" bestFit="1" customWidth="1"/>
    <col min="4613" max="4614" width="15.140625" style="1" bestFit="1" customWidth="1"/>
    <col min="4615" max="4615" width="14.28515625" style="1" bestFit="1" customWidth="1"/>
    <col min="4616" max="4616" width="3.140625" style="1" customWidth="1"/>
    <col min="4617" max="4617" width="6.42578125" style="1" customWidth="1"/>
    <col min="4618" max="4857" width="8.85546875" style="1"/>
    <col min="4858" max="4858" width="5.5703125" style="1" bestFit="1" customWidth="1"/>
    <col min="4859" max="4859" width="9.28515625" style="1" customWidth="1"/>
    <col min="4860" max="4860" width="24.7109375" style="1" customWidth="1"/>
    <col min="4861" max="4861" width="11" style="1" bestFit="1" customWidth="1"/>
    <col min="4862" max="4862" width="7.5703125" style="1" bestFit="1" customWidth="1"/>
    <col min="4863" max="4863" width="13.5703125" style="1" customWidth="1"/>
    <col min="4864" max="4864" width="5.42578125" style="1" bestFit="1" customWidth="1"/>
    <col min="4865" max="4865" width="11.28515625" style="1" bestFit="1" customWidth="1"/>
    <col min="4866" max="4866" width="5.7109375" style="1" bestFit="1" customWidth="1"/>
    <col min="4867" max="4867" width="12" style="1" customWidth="1"/>
    <col min="4868" max="4868" width="15.42578125" style="1" bestFit="1" customWidth="1"/>
    <col min="4869" max="4870" width="15.140625" style="1" bestFit="1" customWidth="1"/>
    <col min="4871" max="4871" width="14.28515625" style="1" bestFit="1" customWidth="1"/>
    <col min="4872" max="4872" width="3.140625" style="1" customWidth="1"/>
    <col min="4873" max="4873" width="6.42578125" style="1" customWidth="1"/>
    <col min="4874" max="5113" width="8.85546875" style="1"/>
    <col min="5114" max="5114" width="5.5703125" style="1" bestFit="1" customWidth="1"/>
    <col min="5115" max="5115" width="9.28515625" style="1" customWidth="1"/>
    <col min="5116" max="5116" width="24.7109375" style="1" customWidth="1"/>
    <col min="5117" max="5117" width="11" style="1" bestFit="1" customWidth="1"/>
    <col min="5118" max="5118" width="7.5703125" style="1" bestFit="1" customWidth="1"/>
    <col min="5119" max="5119" width="13.5703125" style="1" customWidth="1"/>
    <col min="5120" max="5120" width="5.42578125" style="1" bestFit="1" customWidth="1"/>
    <col min="5121" max="5121" width="11.28515625" style="1" bestFit="1" customWidth="1"/>
    <col min="5122" max="5122" width="5.7109375" style="1" bestFit="1" customWidth="1"/>
    <col min="5123" max="5123" width="12" style="1" customWidth="1"/>
    <col min="5124" max="5124" width="15.42578125" style="1" bestFit="1" customWidth="1"/>
    <col min="5125" max="5126" width="15.140625" style="1" bestFit="1" customWidth="1"/>
    <col min="5127" max="5127" width="14.28515625" style="1" bestFit="1" customWidth="1"/>
    <col min="5128" max="5128" width="3.140625" style="1" customWidth="1"/>
    <col min="5129" max="5129" width="6.42578125" style="1" customWidth="1"/>
    <col min="5130" max="5369" width="8.85546875" style="1"/>
    <col min="5370" max="5370" width="5.5703125" style="1" bestFit="1" customWidth="1"/>
    <col min="5371" max="5371" width="9.28515625" style="1" customWidth="1"/>
    <col min="5372" max="5372" width="24.7109375" style="1" customWidth="1"/>
    <col min="5373" max="5373" width="11" style="1" bestFit="1" customWidth="1"/>
    <col min="5374" max="5374" width="7.5703125" style="1" bestFit="1" customWidth="1"/>
    <col min="5375" max="5375" width="13.5703125" style="1" customWidth="1"/>
    <col min="5376" max="5376" width="5.42578125" style="1" bestFit="1" customWidth="1"/>
    <col min="5377" max="5377" width="11.28515625" style="1" bestFit="1" customWidth="1"/>
    <col min="5378" max="5378" width="5.7109375" style="1" bestFit="1" customWidth="1"/>
    <col min="5379" max="5379" width="12" style="1" customWidth="1"/>
    <col min="5380" max="5380" width="15.42578125" style="1" bestFit="1" customWidth="1"/>
    <col min="5381" max="5382" width="15.140625" style="1" bestFit="1" customWidth="1"/>
    <col min="5383" max="5383" width="14.28515625" style="1" bestFit="1" customWidth="1"/>
    <col min="5384" max="5384" width="3.140625" style="1" customWidth="1"/>
    <col min="5385" max="5385" width="6.42578125" style="1" customWidth="1"/>
    <col min="5386" max="5625" width="8.85546875" style="1"/>
    <col min="5626" max="5626" width="5.5703125" style="1" bestFit="1" customWidth="1"/>
    <col min="5627" max="5627" width="9.28515625" style="1" customWidth="1"/>
    <col min="5628" max="5628" width="24.7109375" style="1" customWidth="1"/>
    <col min="5629" max="5629" width="11" style="1" bestFit="1" customWidth="1"/>
    <col min="5630" max="5630" width="7.5703125" style="1" bestFit="1" customWidth="1"/>
    <col min="5631" max="5631" width="13.5703125" style="1" customWidth="1"/>
    <col min="5632" max="5632" width="5.42578125" style="1" bestFit="1" customWidth="1"/>
    <col min="5633" max="5633" width="11.28515625" style="1" bestFit="1" customWidth="1"/>
    <col min="5634" max="5634" width="5.7109375" style="1" bestFit="1" customWidth="1"/>
    <col min="5635" max="5635" width="12" style="1" customWidth="1"/>
    <col min="5636" max="5636" width="15.42578125" style="1" bestFit="1" customWidth="1"/>
    <col min="5637" max="5638" width="15.140625" style="1" bestFit="1" customWidth="1"/>
    <col min="5639" max="5639" width="14.28515625" style="1" bestFit="1" customWidth="1"/>
    <col min="5640" max="5640" width="3.140625" style="1" customWidth="1"/>
    <col min="5641" max="5641" width="6.42578125" style="1" customWidth="1"/>
    <col min="5642" max="5881" width="8.85546875" style="1"/>
    <col min="5882" max="5882" width="5.5703125" style="1" bestFit="1" customWidth="1"/>
    <col min="5883" max="5883" width="9.28515625" style="1" customWidth="1"/>
    <col min="5884" max="5884" width="24.7109375" style="1" customWidth="1"/>
    <col min="5885" max="5885" width="11" style="1" bestFit="1" customWidth="1"/>
    <col min="5886" max="5886" width="7.5703125" style="1" bestFit="1" customWidth="1"/>
    <col min="5887" max="5887" width="13.5703125" style="1" customWidth="1"/>
    <col min="5888" max="5888" width="5.42578125" style="1" bestFit="1" customWidth="1"/>
    <col min="5889" max="5889" width="11.28515625" style="1" bestFit="1" customWidth="1"/>
    <col min="5890" max="5890" width="5.7109375" style="1" bestFit="1" customWidth="1"/>
    <col min="5891" max="5891" width="12" style="1" customWidth="1"/>
    <col min="5892" max="5892" width="15.42578125" style="1" bestFit="1" customWidth="1"/>
    <col min="5893" max="5894" width="15.140625" style="1" bestFit="1" customWidth="1"/>
    <col min="5895" max="5895" width="14.28515625" style="1" bestFit="1" customWidth="1"/>
    <col min="5896" max="5896" width="3.140625" style="1" customWidth="1"/>
    <col min="5897" max="5897" width="6.42578125" style="1" customWidth="1"/>
    <col min="5898" max="6137" width="8.85546875" style="1"/>
    <col min="6138" max="6138" width="5.5703125" style="1" bestFit="1" customWidth="1"/>
    <col min="6139" max="6139" width="9.28515625" style="1" customWidth="1"/>
    <col min="6140" max="6140" width="24.7109375" style="1" customWidth="1"/>
    <col min="6141" max="6141" width="11" style="1" bestFit="1" customWidth="1"/>
    <col min="6142" max="6142" width="7.5703125" style="1" bestFit="1" customWidth="1"/>
    <col min="6143" max="6143" width="13.5703125" style="1" customWidth="1"/>
    <col min="6144" max="6144" width="5.42578125" style="1" bestFit="1" customWidth="1"/>
    <col min="6145" max="6145" width="11.28515625" style="1" bestFit="1" customWidth="1"/>
    <col min="6146" max="6146" width="5.7109375" style="1" bestFit="1" customWidth="1"/>
    <col min="6147" max="6147" width="12" style="1" customWidth="1"/>
    <col min="6148" max="6148" width="15.42578125" style="1" bestFit="1" customWidth="1"/>
    <col min="6149" max="6150" width="15.140625" style="1" bestFit="1" customWidth="1"/>
    <col min="6151" max="6151" width="14.28515625" style="1" bestFit="1" customWidth="1"/>
    <col min="6152" max="6152" width="3.140625" style="1" customWidth="1"/>
    <col min="6153" max="6153" width="6.42578125" style="1" customWidth="1"/>
    <col min="6154" max="6393" width="8.85546875" style="1"/>
    <col min="6394" max="6394" width="5.5703125" style="1" bestFit="1" customWidth="1"/>
    <col min="6395" max="6395" width="9.28515625" style="1" customWidth="1"/>
    <col min="6396" max="6396" width="24.7109375" style="1" customWidth="1"/>
    <col min="6397" max="6397" width="11" style="1" bestFit="1" customWidth="1"/>
    <col min="6398" max="6398" width="7.5703125" style="1" bestFit="1" customWidth="1"/>
    <col min="6399" max="6399" width="13.5703125" style="1" customWidth="1"/>
    <col min="6400" max="6400" width="5.42578125" style="1" bestFit="1" customWidth="1"/>
    <col min="6401" max="6401" width="11.28515625" style="1" bestFit="1" customWidth="1"/>
    <col min="6402" max="6402" width="5.7109375" style="1" bestFit="1" customWidth="1"/>
    <col min="6403" max="6403" width="12" style="1" customWidth="1"/>
    <col min="6404" max="6404" width="15.42578125" style="1" bestFit="1" customWidth="1"/>
    <col min="6405" max="6406" width="15.140625" style="1" bestFit="1" customWidth="1"/>
    <col min="6407" max="6407" width="14.28515625" style="1" bestFit="1" customWidth="1"/>
    <col min="6408" max="6408" width="3.140625" style="1" customWidth="1"/>
    <col min="6409" max="6409" width="6.42578125" style="1" customWidth="1"/>
    <col min="6410" max="6649" width="8.85546875" style="1"/>
    <col min="6650" max="6650" width="5.5703125" style="1" bestFit="1" customWidth="1"/>
    <col min="6651" max="6651" width="9.28515625" style="1" customWidth="1"/>
    <col min="6652" max="6652" width="24.7109375" style="1" customWidth="1"/>
    <col min="6653" max="6653" width="11" style="1" bestFit="1" customWidth="1"/>
    <col min="6654" max="6654" width="7.5703125" style="1" bestFit="1" customWidth="1"/>
    <col min="6655" max="6655" width="13.5703125" style="1" customWidth="1"/>
    <col min="6656" max="6656" width="5.42578125" style="1" bestFit="1" customWidth="1"/>
    <col min="6657" max="6657" width="11.28515625" style="1" bestFit="1" customWidth="1"/>
    <col min="6658" max="6658" width="5.7109375" style="1" bestFit="1" customWidth="1"/>
    <col min="6659" max="6659" width="12" style="1" customWidth="1"/>
    <col min="6660" max="6660" width="15.42578125" style="1" bestFit="1" customWidth="1"/>
    <col min="6661" max="6662" width="15.140625" style="1" bestFit="1" customWidth="1"/>
    <col min="6663" max="6663" width="14.28515625" style="1" bestFit="1" customWidth="1"/>
    <col min="6664" max="6664" width="3.140625" style="1" customWidth="1"/>
    <col min="6665" max="6665" width="6.42578125" style="1" customWidth="1"/>
    <col min="6666" max="6905" width="8.85546875" style="1"/>
    <col min="6906" max="6906" width="5.5703125" style="1" bestFit="1" customWidth="1"/>
    <col min="6907" max="6907" width="9.28515625" style="1" customWidth="1"/>
    <col min="6908" max="6908" width="24.7109375" style="1" customWidth="1"/>
    <col min="6909" max="6909" width="11" style="1" bestFit="1" customWidth="1"/>
    <col min="6910" max="6910" width="7.5703125" style="1" bestFit="1" customWidth="1"/>
    <col min="6911" max="6911" width="13.5703125" style="1" customWidth="1"/>
    <col min="6912" max="6912" width="5.42578125" style="1" bestFit="1" customWidth="1"/>
    <col min="6913" max="6913" width="11.28515625" style="1" bestFit="1" customWidth="1"/>
    <col min="6914" max="6914" width="5.7109375" style="1" bestFit="1" customWidth="1"/>
    <col min="6915" max="6915" width="12" style="1" customWidth="1"/>
    <col min="6916" max="6916" width="15.42578125" style="1" bestFit="1" customWidth="1"/>
    <col min="6917" max="6918" width="15.140625" style="1" bestFit="1" customWidth="1"/>
    <col min="6919" max="6919" width="14.28515625" style="1" bestFit="1" customWidth="1"/>
    <col min="6920" max="6920" width="3.140625" style="1" customWidth="1"/>
    <col min="6921" max="6921" width="6.42578125" style="1" customWidth="1"/>
    <col min="6922" max="7161" width="8.85546875" style="1"/>
    <col min="7162" max="7162" width="5.5703125" style="1" bestFit="1" customWidth="1"/>
    <col min="7163" max="7163" width="9.28515625" style="1" customWidth="1"/>
    <col min="7164" max="7164" width="24.7109375" style="1" customWidth="1"/>
    <col min="7165" max="7165" width="11" style="1" bestFit="1" customWidth="1"/>
    <col min="7166" max="7166" width="7.5703125" style="1" bestFit="1" customWidth="1"/>
    <col min="7167" max="7167" width="13.5703125" style="1" customWidth="1"/>
    <col min="7168" max="7168" width="5.42578125" style="1" bestFit="1" customWidth="1"/>
    <col min="7169" max="7169" width="11.28515625" style="1" bestFit="1" customWidth="1"/>
    <col min="7170" max="7170" width="5.7109375" style="1" bestFit="1" customWidth="1"/>
    <col min="7171" max="7171" width="12" style="1" customWidth="1"/>
    <col min="7172" max="7172" width="15.42578125" style="1" bestFit="1" customWidth="1"/>
    <col min="7173" max="7174" width="15.140625" style="1" bestFit="1" customWidth="1"/>
    <col min="7175" max="7175" width="14.28515625" style="1" bestFit="1" customWidth="1"/>
    <col min="7176" max="7176" width="3.140625" style="1" customWidth="1"/>
    <col min="7177" max="7177" width="6.42578125" style="1" customWidth="1"/>
    <col min="7178" max="7417" width="8.85546875" style="1"/>
    <col min="7418" max="7418" width="5.5703125" style="1" bestFit="1" customWidth="1"/>
    <col min="7419" max="7419" width="9.28515625" style="1" customWidth="1"/>
    <col min="7420" max="7420" width="24.7109375" style="1" customWidth="1"/>
    <col min="7421" max="7421" width="11" style="1" bestFit="1" customWidth="1"/>
    <col min="7422" max="7422" width="7.5703125" style="1" bestFit="1" customWidth="1"/>
    <col min="7423" max="7423" width="13.5703125" style="1" customWidth="1"/>
    <col min="7424" max="7424" width="5.42578125" style="1" bestFit="1" customWidth="1"/>
    <col min="7425" max="7425" width="11.28515625" style="1" bestFit="1" customWidth="1"/>
    <col min="7426" max="7426" width="5.7109375" style="1" bestFit="1" customWidth="1"/>
    <col min="7427" max="7427" width="12" style="1" customWidth="1"/>
    <col min="7428" max="7428" width="15.42578125" style="1" bestFit="1" customWidth="1"/>
    <col min="7429" max="7430" width="15.140625" style="1" bestFit="1" customWidth="1"/>
    <col min="7431" max="7431" width="14.28515625" style="1" bestFit="1" customWidth="1"/>
    <col min="7432" max="7432" width="3.140625" style="1" customWidth="1"/>
    <col min="7433" max="7433" width="6.42578125" style="1" customWidth="1"/>
    <col min="7434" max="7673" width="8.85546875" style="1"/>
    <col min="7674" max="7674" width="5.5703125" style="1" bestFit="1" customWidth="1"/>
    <col min="7675" max="7675" width="9.28515625" style="1" customWidth="1"/>
    <col min="7676" max="7676" width="24.7109375" style="1" customWidth="1"/>
    <col min="7677" max="7677" width="11" style="1" bestFit="1" customWidth="1"/>
    <col min="7678" max="7678" width="7.5703125" style="1" bestFit="1" customWidth="1"/>
    <col min="7679" max="7679" width="13.5703125" style="1" customWidth="1"/>
    <col min="7680" max="7680" width="5.42578125" style="1" bestFit="1" customWidth="1"/>
    <col min="7681" max="7681" width="11.28515625" style="1" bestFit="1" customWidth="1"/>
    <col min="7682" max="7682" width="5.7109375" style="1" bestFit="1" customWidth="1"/>
    <col min="7683" max="7683" width="12" style="1" customWidth="1"/>
    <col min="7684" max="7684" width="15.42578125" style="1" bestFit="1" customWidth="1"/>
    <col min="7685" max="7686" width="15.140625" style="1" bestFit="1" customWidth="1"/>
    <col min="7687" max="7687" width="14.28515625" style="1" bestFit="1" customWidth="1"/>
    <col min="7688" max="7688" width="3.140625" style="1" customWidth="1"/>
    <col min="7689" max="7689" width="6.42578125" style="1" customWidth="1"/>
    <col min="7690" max="7929" width="8.85546875" style="1"/>
    <col min="7930" max="7930" width="5.5703125" style="1" bestFit="1" customWidth="1"/>
    <col min="7931" max="7931" width="9.28515625" style="1" customWidth="1"/>
    <col min="7932" max="7932" width="24.7109375" style="1" customWidth="1"/>
    <col min="7933" max="7933" width="11" style="1" bestFit="1" customWidth="1"/>
    <col min="7934" max="7934" width="7.5703125" style="1" bestFit="1" customWidth="1"/>
    <col min="7935" max="7935" width="13.5703125" style="1" customWidth="1"/>
    <col min="7936" max="7936" width="5.42578125" style="1" bestFit="1" customWidth="1"/>
    <col min="7937" max="7937" width="11.28515625" style="1" bestFit="1" customWidth="1"/>
    <col min="7938" max="7938" width="5.7109375" style="1" bestFit="1" customWidth="1"/>
    <col min="7939" max="7939" width="12" style="1" customWidth="1"/>
    <col min="7940" max="7940" width="15.42578125" style="1" bestFit="1" customWidth="1"/>
    <col min="7941" max="7942" width="15.140625" style="1" bestFit="1" customWidth="1"/>
    <col min="7943" max="7943" width="14.28515625" style="1" bestFit="1" customWidth="1"/>
    <col min="7944" max="7944" width="3.140625" style="1" customWidth="1"/>
    <col min="7945" max="7945" width="6.42578125" style="1" customWidth="1"/>
    <col min="7946" max="8185" width="8.85546875" style="1"/>
    <col min="8186" max="8186" width="5.5703125" style="1" bestFit="1" customWidth="1"/>
    <col min="8187" max="8187" width="9.28515625" style="1" customWidth="1"/>
    <col min="8188" max="8188" width="24.7109375" style="1" customWidth="1"/>
    <col min="8189" max="8189" width="11" style="1" bestFit="1" customWidth="1"/>
    <col min="8190" max="8190" width="7.5703125" style="1" bestFit="1" customWidth="1"/>
    <col min="8191" max="8191" width="13.5703125" style="1" customWidth="1"/>
    <col min="8192" max="8192" width="5.42578125" style="1" bestFit="1" customWidth="1"/>
    <col min="8193" max="8193" width="11.28515625" style="1" bestFit="1" customWidth="1"/>
    <col min="8194" max="8194" width="5.7109375" style="1" bestFit="1" customWidth="1"/>
    <col min="8195" max="8195" width="12" style="1" customWidth="1"/>
    <col min="8196" max="8196" width="15.42578125" style="1" bestFit="1" customWidth="1"/>
    <col min="8197" max="8198" width="15.140625" style="1" bestFit="1" customWidth="1"/>
    <col min="8199" max="8199" width="14.28515625" style="1" bestFit="1" customWidth="1"/>
    <col min="8200" max="8200" width="3.140625" style="1" customWidth="1"/>
    <col min="8201" max="8201" width="6.42578125" style="1" customWidth="1"/>
    <col min="8202" max="8441" width="8.85546875" style="1"/>
    <col min="8442" max="8442" width="5.5703125" style="1" bestFit="1" customWidth="1"/>
    <col min="8443" max="8443" width="9.28515625" style="1" customWidth="1"/>
    <col min="8444" max="8444" width="24.7109375" style="1" customWidth="1"/>
    <col min="8445" max="8445" width="11" style="1" bestFit="1" customWidth="1"/>
    <col min="8446" max="8446" width="7.5703125" style="1" bestFit="1" customWidth="1"/>
    <col min="8447" max="8447" width="13.5703125" style="1" customWidth="1"/>
    <col min="8448" max="8448" width="5.42578125" style="1" bestFit="1" customWidth="1"/>
    <col min="8449" max="8449" width="11.28515625" style="1" bestFit="1" customWidth="1"/>
    <col min="8450" max="8450" width="5.7109375" style="1" bestFit="1" customWidth="1"/>
    <col min="8451" max="8451" width="12" style="1" customWidth="1"/>
    <col min="8452" max="8452" width="15.42578125" style="1" bestFit="1" customWidth="1"/>
    <col min="8453" max="8454" width="15.140625" style="1" bestFit="1" customWidth="1"/>
    <col min="8455" max="8455" width="14.28515625" style="1" bestFit="1" customWidth="1"/>
    <col min="8456" max="8456" width="3.140625" style="1" customWidth="1"/>
    <col min="8457" max="8457" width="6.42578125" style="1" customWidth="1"/>
    <col min="8458" max="8697" width="8.85546875" style="1"/>
    <col min="8698" max="8698" width="5.5703125" style="1" bestFit="1" customWidth="1"/>
    <col min="8699" max="8699" width="9.28515625" style="1" customWidth="1"/>
    <col min="8700" max="8700" width="24.7109375" style="1" customWidth="1"/>
    <col min="8701" max="8701" width="11" style="1" bestFit="1" customWidth="1"/>
    <col min="8702" max="8702" width="7.5703125" style="1" bestFit="1" customWidth="1"/>
    <col min="8703" max="8703" width="13.5703125" style="1" customWidth="1"/>
    <col min="8704" max="8704" width="5.42578125" style="1" bestFit="1" customWidth="1"/>
    <col min="8705" max="8705" width="11.28515625" style="1" bestFit="1" customWidth="1"/>
    <col min="8706" max="8706" width="5.7109375" style="1" bestFit="1" customWidth="1"/>
    <col min="8707" max="8707" width="12" style="1" customWidth="1"/>
    <col min="8708" max="8708" width="15.42578125" style="1" bestFit="1" customWidth="1"/>
    <col min="8709" max="8710" width="15.140625" style="1" bestFit="1" customWidth="1"/>
    <col min="8711" max="8711" width="14.28515625" style="1" bestFit="1" customWidth="1"/>
    <col min="8712" max="8712" width="3.140625" style="1" customWidth="1"/>
    <col min="8713" max="8713" width="6.42578125" style="1" customWidth="1"/>
    <col min="8714" max="8953" width="8.85546875" style="1"/>
    <col min="8954" max="8954" width="5.5703125" style="1" bestFit="1" customWidth="1"/>
    <col min="8955" max="8955" width="9.28515625" style="1" customWidth="1"/>
    <col min="8956" max="8956" width="24.7109375" style="1" customWidth="1"/>
    <col min="8957" max="8957" width="11" style="1" bestFit="1" customWidth="1"/>
    <col min="8958" max="8958" width="7.5703125" style="1" bestFit="1" customWidth="1"/>
    <col min="8959" max="8959" width="13.5703125" style="1" customWidth="1"/>
    <col min="8960" max="8960" width="5.42578125" style="1" bestFit="1" customWidth="1"/>
    <col min="8961" max="8961" width="11.28515625" style="1" bestFit="1" customWidth="1"/>
    <col min="8962" max="8962" width="5.7109375" style="1" bestFit="1" customWidth="1"/>
    <col min="8963" max="8963" width="12" style="1" customWidth="1"/>
    <col min="8964" max="8964" width="15.42578125" style="1" bestFit="1" customWidth="1"/>
    <col min="8965" max="8966" width="15.140625" style="1" bestFit="1" customWidth="1"/>
    <col min="8967" max="8967" width="14.28515625" style="1" bestFit="1" customWidth="1"/>
    <col min="8968" max="8968" width="3.140625" style="1" customWidth="1"/>
    <col min="8969" max="8969" width="6.42578125" style="1" customWidth="1"/>
    <col min="8970" max="9209" width="8.85546875" style="1"/>
    <col min="9210" max="9210" width="5.5703125" style="1" bestFit="1" customWidth="1"/>
    <col min="9211" max="9211" width="9.28515625" style="1" customWidth="1"/>
    <col min="9212" max="9212" width="24.7109375" style="1" customWidth="1"/>
    <col min="9213" max="9213" width="11" style="1" bestFit="1" customWidth="1"/>
    <col min="9214" max="9214" width="7.5703125" style="1" bestFit="1" customWidth="1"/>
    <col min="9215" max="9215" width="13.5703125" style="1" customWidth="1"/>
    <col min="9216" max="9216" width="5.42578125" style="1" bestFit="1" customWidth="1"/>
    <col min="9217" max="9217" width="11.28515625" style="1" bestFit="1" customWidth="1"/>
    <col min="9218" max="9218" width="5.7109375" style="1" bestFit="1" customWidth="1"/>
    <col min="9219" max="9219" width="12" style="1" customWidth="1"/>
    <col min="9220" max="9220" width="15.42578125" style="1" bestFit="1" customWidth="1"/>
    <col min="9221" max="9222" width="15.140625" style="1" bestFit="1" customWidth="1"/>
    <col min="9223" max="9223" width="14.28515625" style="1" bestFit="1" customWidth="1"/>
    <col min="9224" max="9224" width="3.140625" style="1" customWidth="1"/>
    <col min="9225" max="9225" width="6.42578125" style="1" customWidth="1"/>
    <col min="9226" max="9465" width="8.85546875" style="1"/>
    <col min="9466" max="9466" width="5.5703125" style="1" bestFit="1" customWidth="1"/>
    <col min="9467" max="9467" width="9.28515625" style="1" customWidth="1"/>
    <col min="9468" max="9468" width="24.7109375" style="1" customWidth="1"/>
    <col min="9469" max="9469" width="11" style="1" bestFit="1" customWidth="1"/>
    <col min="9470" max="9470" width="7.5703125" style="1" bestFit="1" customWidth="1"/>
    <col min="9471" max="9471" width="13.5703125" style="1" customWidth="1"/>
    <col min="9472" max="9472" width="5.42578125" style="1" bestFit="1" customWidth="1"/>
    <col min="9473" max="9473" width="11.28515625" style="1" bestFit="1" customWidth="1"/>
    <col min="9474" max="9474" width="5.7109375" style="1" bestFit="1" customWidth="1"/>
    <col min="9475" max="9475" width="12" style="1" customWidth="1"/>
    <col min="9476" max="9476" width="15.42578125" style="1" bestFit="1" customWidth="1"/>
    <col min="9477" max="9478" width="15.140625" style="1" bestFit="1" customWidth="1"/>
    <col min="9479" max="9479" width="14.28515625" style="1" bestFit="1" customWidth="1"/>
    <col min="9480" max="9480" width="3.140625" style="1" customWidth="1"/>
    <col min="9481" max="9481" width="6.42578125" style="1" customWidth="1"/>
    <col min="9482" max="9721" width="8.85546875" style="1"/>
    <col min="9722" max="9722" width="5.5703125" style="1" bestFit="1" customWidth="1"/>
    <col min="9723" max="9723" width="9.28515625" style="1" customWidth="1"/>
    <col min="9724" max="9724" width="24.7109375" style="1" customWidth="1"/>
    <col min="9725" max="9725" width="11" style="1" bestFit="1" customWidth="1"/>
    <col min="9726" max="9726" width="7.5703125" style="1" bestFit="1" customWidth="1"/>
    <col min="9727" max="9727" width="13.5703125" style="1" customWidth="1"/>
    <col min="9728" max="9728" width="5.42578125" style="1" bestFit="1" customWidth="1"/>
    <col min="9729" max="9729" width="11.28515625" style="1" bestFit="1" customWidth="1"/>
    <col min="9730" max="9730" width="5.7109375" style="1" bestFit="1" customWidth="1"/>
    <col min="9731" max="9731" width="12" style="1" customWidth="1"/>
    <col min="9732" max="9732" width="15.42578125" style="1" bestFit="1" customWidth="1"/>
    <col min="9733" max="9734" width="15.140625" style="1" bestFit="1" customWidth="1"/>
    <col min="9735" max="9735" width="14.28515625" style="1" bestFit="1" customWidth="1"/>
    <col min="9736" max="9736" width="3.140625" style="1" customWidth="1"/>
    <col min="9737" max="9737" width="6.42578125" style="1" customWidth="1"/>
    <col min="9738" max="9977" width="8.85546875" style="1"/>
    <col min="9978" max="9978" width="5.5703125" style="1" bestFit="1" customWidth="1"/>
    <col min="9979" max="9979" width="9.28515625" style="1" customWidth="1"/>
    <col min="9980" max="9980" width="24.7109375" style="1" customWidth="1"/>
    <col min="9981" max="9981" width="11" style="1" bestFit="1" customWidth="1"/>
    <col min="9982" max="9982" width="7.5703125" style="1" bestFit="1" customWidth="1"/>
    <col min="9983" max="9983" width="13.5703125" style="1" customWidth="1"/>
    <col min="9984" max="9984" width="5.42578125" style="1" bestFit="1" customWidth="1"/>
    <col min="9985" max="9985" width="11.28515625" style="1" bestFit="1" customWidth="1"/>
    <col min="9986" max="9986" width="5.7109375" style="1" bestFit="1" customWidth="1"/>
    <col min="9987" max="9987" width="12" style="1" customWidth="1"/>
    <col min="9988" max="9988" width="15.42578125" style="1" bestFit="1" customWidth="1"/>
    <col min="9989" max="9990" width="15.140625" style="1" bestFit="1" customWidth="1"/>
    <col min="9991" max="9991" width="14.28515625" style="1" bestFit="1" customWidth="1"/>
    <col min="9992" max="9992" width="3.140625" style="1" customWidth="1"/>
    <col min="9993" max="9993" width="6.42578125" style="1" customWidth="1"/>
    <col min="9994" max="10233" width="8.85546875" style="1"/>
    <col min="10234" max="10234" width="5.5703125" style="1" bestFit="1" customWidth="1"/>
    <col min="10235" max="10235" width="9.28515625" style="1" customWidth="1"/>
    <col min="10236" max="10236" width="24.7109375" style="1" customWidth="1"/>
    <col min="10237" max="10237" width="11" style="1" bestFit="1" customWidth="1"/>
    <col min="10238" max="10238" width="7.5703125" style="1" bestFit="1" customWidth="1"/>
    <col min="10239" max="10239" width="13.5703125" style="1" customWidth="1"/>
    <col min="10240" max="10240" width="5.42578125" style="1" bestFit="1" customWidth="1"/>
    <col min="10241" max="10241" width="11.28515625" style="1" bestFit="1" customWidth="1"/>
    <col min="10242" max="10242" width="5.7109375" style="1" bestFit="1" customWidth="1"/>
    <col min="10243" max="10243" width="12" style="1" customWidth="1"/>
    <col min="10244" max="10244" width="15.42578125" style="1" bestFit="1" customWidth="1"/>
    <col min="10245" max="10246" width="15.140625" style="1" bestFit="1" customWidth="1"/>
    <col min="10247" max="10247" width="14.28515625" style="1" bestFit="1" customWidth="1"/>
    <col min="10248" max="10248" width="3.140625" style="1" customWidth="1"/>
    <col min="10249" max="10249" width="6.42578125" style="1" customWidth="1"/>
    <col min="10250" max="10489" width="8.85546875" style="1"/>
    <col min="10490" max="10490" width="5.5703125" style="1" bestFit="1" customWidth="1"/>
    <col min="10491" max="10491" width="9.28515625" style="1" customWidth="1"/>
    <col min="10492" max="10492" width="24.7109375" style="1" customWidth="1"/>
    <col min="10493" max="10493" width="11" style="1" bestFit="1" customWidth="1"/>
    <col min="10494" max="10494" width="7.5703125" style="1" bestFit="1" customWidth="1"/>
    <col min="10495" max="10495" width="13.5703125" style="1" customWidth="1"/>
    <col min="10496" max="10496" width="5.42578125" style="1" bestFit="1" customWidth="1"/>
    <col min="10497" max="10497" width="11.28515625" style="1" bestFit="1" customWidth="1"/>
    <col min="10498" max="10498" width="5.7109375" style="1" bestFit="1" customWidth="1"/>
    <col min="10499" max="10499" width="12" style="1" customWidth="1"/>
    <col min="10500" max="10500" width="15.42578125" style="1" bestFit="1" customWidth="1"/>
    <col min="10501" max="10502" width="15.140625" style="1" bestFit="1" customWidth="1"/>
    <col min="10503" max="10503" width="14.28515625" style="1" bestFit="1" customWidth="1"/>
    <col min="10504" max="10504" width="3.140625" style="1" customWidth="1"/>
    <col min="10505" max="10505" width="6.42578125" style="1" customWidth="1"/>
    <col min="10506" max="10745" width="8.85546875" style="1"/>
    <col min="10746" max="10746" width="5.5703125" style="1" bestFit="1" customWidth="1"/>
    <col min="10747" max="10747" width="9.28515625" style="1" customWidth="1"/>
    <col min="10748" max="10748" width="24.7109375" style="1" customWidth="1"/>
    <col min="10749" max="10749" width="11" style="1" bestFit="1" customWidth="1"/>
    <col min="10750" max="10750" width="7.5703125" style="1" bestFit="1" customWidth="1"/>
    <col min="10751" max="10751" width="13.5703125" style="1" customWidth="1"/>
    <col min="10752" max="10752" width="5.42578125" style="1" bestFit="1" customWidth="1"/>
    <col min="10753" max="10753" width="11.28515625" style="1" bestFit="1" customWidth="1"/>
    <col min="10754" max="10754" width="5.7109375" style="1" bestFit="1" customWidth="1"/>
    <col min="10755" max="10755" width="12" style="1" customWidth="1"/>
    <col min="10756" max="10756" width="15.42578125" style="1" bestFit="1" customWidth="1"/>
    <col min="10757" max="10758" width="15.140625" style="1" bestFit="1" customWidth="1"/>
    <col min="10759" max="10759" width="14.28515625" style="1" bestFit="1" customWidth="1"/>
    <col min="10760" max="10760" width="3.140625" style="1" customWidth="1"/>
    <col min="10761" max="10761" width="6.42578125" style="1" customWidth="1"/>
    <col min="10762" max="11001" width="8.85546875" style="1"/>
    <col min="11002" max="11002" width="5.5703125" style="1" bestFit="1" customWidth="1"/>
    <col min="11003" max="11003" width="9.28515625" style="1" customWidth="1"/>
    <col min="11004" max="11004" width="24.7109375" style="1" customWidth="1"/>
    <col min="11005" max="11005" width="11" style="1" bestFit="1" customWidth="1"/>
    <col min="11006" max="11006" width="7.5703125" style="1" bestFit="1" customWidth="1"/>
    <col min="11007" max="11007" width="13.5703125" style="1" customWidth="1"/>
    <col min="11008" max="11008" width="5.42578125" style="1" bestFit="1" customWidth="1"/>
    <col min="11009" max="11009" width="11.28515625" style="1" bestFit="1" customWidth="1"/>
    <col min="11010" max="11010" width="5.7109375" style="1" bestFit="1" customWidth="1"/>
    <col min="11011" max="11011" width="12" style="1" customWidth="1"/>
    <col min="11012" max="11012" width="15.42578125" style="1" bestFit="1" customWidth="1"/>
    <col min="11013" max="11014" width="15.140625" style="1" bestFit="1" customWidth="1"/>
    <col min="11015" max="11015" width="14.28515625" style="1" bestFit="1" customWidth="1"/>
    <col min="11016" max="11016" width="3.140625" style="1" customWidth="1"/>
    <col min="11017" max="11017" width="6.42578125" style="1" customWidth="1"/>
    <col min="11018" max="11257" width="8.85546875" style="1"/>
    <col min="11258" max="11258" width="5.5703125" style="1" bestFit="1" customWidth="1"/>
    <col min="11259" max="11259" width="9.28515625" style="1" customWidth="1"/>
    <col min="11260" max="11260" width="24.7109375" style="1" customWidth="1"/>
    <col min="11261" max="11261" width="11" style="1" bestFit="1" customWidth="1"/>
    <col min="11262" max="11262" width="7.5703125" style="1" bestFit="1" customWidth="1"/>
    <col min="11263" max="11263" width="13.5703125" style="1" customWidth="1"/>
    <col min="11264" max="11264" width="5.42578125" style="1" bestFit="1" customWidth="1"/>
    <col min="11265" max="11265" width="11.28515625" style="1" bestFit="1" customWidth="1"/>
    <col min="11266" max="11266" width="5.7109375" style="1" bestFit="1" customWidth="1"/>
    <col min="11267" max="11267" width="12" style="1" customWidth="1"/>
    <col min="11268" max="11268" width="15.42578125" style="1" bestFit="1" customWidth="1"/>
    <col min="11269" max="11270" width="15.140625" style="1" bestFit="1" customWidth="1"/>
    <col min="11271" max="11271" width="14.28515625" style="1" bestFit="1" customWidth="1"/>
    <col min="11272" max="11272" width="3.140625" style="1" customWidth="1"/>
    <col min="11273" max="11273" width="6.42578125" style="1" customWidth="1"/>
    <col min="11274" max="11513" width="8.85546875" style="1"/>
    <col min="11514" max="11514" width="5.5703125" style="1" bestFit="1" customWidth="1"/>
    <col min="11515" max="11515" width="9.28515625" style="1" customWidth="1"/>
    <col min="11516" max="11516" width="24.7109375" style="1" customWidth="1"/>
    <col min="11517" max="11517" width="11" style="1" bestFit="1" customWidth="1"/>
    <col min="11518" max="11518" width="7.5703125" style="1" bestFit="1" customWidth="1"/>
    <col min="11519" max="11519" width="13.5703125" style="1" customWidth="1"/>
    <col min="11520" max="11520" width="5.42578125" style="1" bestFit="1" customWidth="1"/>
    <col min="11521" max="11521" width="11.28515625" style="1" bestFit="1" customWidth="1"/>
    <col min="11522" max="11522" width="5.7109375" style="1" bestFit="1" customWidth="1"/>
    <col min="11523" max="11523" width="12" style="1" customWidth="1"/>
    <col min="11524" max="11524" width="15.42578125" style="1" bestFit="1" customWidth="1"/>
    <col min="11525" max="11526" width="15.140625" style="1" bestFit="1" customWidth="1"/>
    <col min="11527" max="11527" width="14.28515625" style="1" bestFit="1" customWidth="1"/>
    <col min="11528" max="11528" width="3.140625" style="1" customWidth="1"/>
    <col min="11529" max="11529" width="6.42578125" style="1" customWidth="1"/>
    <col min="11530" max="11769" width="8.85546875" style="1"/>
    <col min="11770" max="11770" width="5.5703125" style="1" bestFit="1" customWidth="1"/>
    <col min="11771" max="11771" width="9.28515625" style="1" customWidth="1"/>
    <col min="11772" max="11772" width="24.7109375" style="1" customWidth="1"/>
    <col min="11773" max="11773" width="11" style="1" bestFit="1" customWidth="1"/>
    <col min="11774" max="11774" width="7.5703125" style="1" bestFit="1" customWidth="1"/>
    <col min="11775" max="11775" width="13.5703125" style="1" customWidth="1"/>
    <col min="11776" max="11776" width="5.42578125" style="1" bestFit="1" customWidth="1"/>
    <col min="11777" max="11777" width="11.28515625" style="1" bestFit="1" customWidth="1"/>
    <col min="11778" max="11778" width="5.7109375" style="1" bestFit="1" customWidth="1"/>
    <col min="11779" max="11779" width="12" style="1" customWidth="1"/>
    <col min="11780" max="11780" width="15.42578125" style="1" bestFit="1" customWidth="1"/>
    <col min="11781" max="11782" width="15.140625" style="1" bestFit="1" customWidth="1"/>
    <col min="11783" max="11783" width="14.28515625" style="1" bestFit="1" customWidth="1"/>
    <col min="11784" max="11784" width="3.140625" style="1" customWidth="1"/>
    <col min="11785" max="11785" width="6.42578125" style="1" customWidth="1"/>
    <col min="11786" max="12025" width="8.85546875" style="1"/>
    <col min="12026" max="12026" width="5.5703125" style="1" bestFit="1" customWidth="1"/>
    <col min="12027" max="12027" width="9.28515625" style="1" customWidth="1"/>
    <col min="12028" max="12028" width="24.7109375" style="1" customWidth="1"/>
    <col min="12029" max="12029" width="11" style="1" bestFit="1" customWidth="1"/>
    <col min="12030" max="12030" width="7.5703125" style="1" bestFit="1" customWidth="1"/>
    <col min="12031" max="12031" width="13.5703125" style="1" customWidth="1"/>
    <col min="12032" max="12032" width="5.42578125" style="1" bestFit="1" customWidth="1"/>
    <col min="12033" max="12033" width="11.28515625" style="1" bestFit="1" customWidth="1"/>
    <col min="12034" max="12034" width="5.7109375" style="1" bestFit="1" customWidth="1"/>
    <col min="12035" max="12035" width="12" style="1" customWidth="1"/>
    <col min="12036" max="12036" width="15.42578125" style="1" bestFit="1" customWidth="1"/>
    <col min="12037" max="12038" width="15.140625" style="1" bestFit="1" customWidth="1"/>
    <col min="12039" max="12039" width="14.28515625" style="1" bestFit="1" customWidth="1"/>
    <col min="12040" max="12040" width="3.140625" style="1" customWidth="1"/>
    <col min="12041" max="12041" width="6.42578125" style="1" customWidth="1"/>
    <col min="12042" max="12281" width="8.85546875" style="1"/>
    <col min="12282" max="12282" width="5.5703125" style="1" bestFit="1" customWidth="1"/>
    <col min="12283" max="12283" width="9.28515625" style="1" customWidth="1"/>
    <col min="12284" max="12284" width="24.7109375" style="1" customWidth="1"/>
    <col min="12285" max="12285" width="11" style="1" bestFit="1" customWidth="1"/>
    <col min="12286" max="12286" width="7.5703125" style="1" bestFit="1" customWidth="1"/>
    <col min="12287" max="12287" width="13.5703125" style="1" customWidth="1"/>
    <col min="12288" max="12288" width="5.42578125" style="1" bestFit="1" customWidth="1"/>
    <col min="12289" max="12289" width="11.28515625" style="1" bestFit="1" customWidth="1"/>
    <col min="12290" max="12290" width="5.7109375" style="1" bestFit="1" customWidth="1"/>
    <col min="12291" max="12291" width="12" style="1" customWidth="1"/>
    <col min="12292" max="12292" width="15.42578125" style="1" bestFit="1" customWidth="1"/>
    <col min="12293" max="12294" width="15.140625" style="1" bestFit="1" customWidth="1"/>
    <col min="12295" max="12295" width="14.28515625" style="1" bestFit="1" customWidth="1"/>
    <col min="12296" max="12296" width="3.140625" style="1" customWidth="1"/>
    <col min="12297" max="12297" width="6.42578125" style="1" customWidth="1"/>
    <col min="12298" max="12537" width="8.85546875" style="1"/>
    <col min="12538" max="12538" width="5.5703125" style="1" bestFit="1" customWidth="1"/>
    <col min="12539" max="12539" width="9.28515625" style="1" customWidth="1"/>
    <col min="12540" max="12540" width="24.7109375" style="1" customWidth="1"/>
    <col min="12541" max="12541" width="11" style="1" bestFit="1" customWidth="1"/>
    <col min="12542" max="12542" width="7.5703125" style="1" bestFit="1" customWidth="1"/>
    <col min="12543" max="12543" width="13.5703125" style="1" customWidth="1"/>
    <col min="12544" max="12544" width="5.42578125" style="1" bestFit="1" customWidth="1"/>
    <col min="12545" max="12545" width="11.28515625" style="1" bestFit="1" customWidth="1"/>
    <col min="12546" max="12546" width="5.7109375" style="1" bestFit="1" customWidth="1"/>
    <col min="12547" max="12547" width="12" style="1" customWidth="1"/>
    <col min="12548" max="12548" width="15.42578125" style="1" bestFit="1" customWidth="1"/>
    <col min="12549" max="12550" width="15.140625" style="1" bestFit="1" customWidth="1"/>
    <col min="12551" max="12551" width="14.28515625" style="1" bestFit="1" customWidth="1"/>
    <col min="12552" max="12552" width="3.140625" style="1" customWidth="1"/>
    <col min="12553" max="12553" width="6.42578125" style="1" customWidth="1"/>
    <col min="12554" max="12793" width="8.85546875" style="1"/>
    <col min="12794" max="12794" width="5.5703125" style="1" bestFit="1" customWidth="1"/>
    <col min="12795" max="12795" width="9.28515625" style="1" customWidth="1"/>
    <col min="12796" max="12796" width="24.7109375" style="1" customWidth="1"/>
    <col min="12797" max="12797" width="11" style="1" bestFit="1" customWidth="1"/>
    <col min="12798" max="12798" width="7.5703125" style="1" bestFit="1" customWidth="1"/>
    <col min="12799" max="12799" width="13.5703125" style="1" customWidth="1"/>
    <col min="12800" max="12800" width="5.42578125" style="1" bestFit="1" customWidth="1"/>
    <col min="12801" max="12801" width="11.28515625" style="1" bestFit="1" customWidth="1"/>
    <col min="12802" max="12802" width="5.7109375" style="1" bestFit="1" customWidth="1"/>
    <col min="12803" max="12803" width="12" style="1" customWidth="1"/>
    <col min="12804" max="12804" width="15.42578125" style="1" bestFit="1" customWidth="1"/>
    <col min="12805" max="12806" width="15.140625" style="1" bestFit="1" customWidth="1"/>
    <col min="12807" max="12807" width="14.28515625" style="1" bestFit="1" customWidth="1"/>
    <col min="12808" max="12808" width="3.140625" style="1" customWidth="1"/>
    <col min="12809" max="12809" width="6.42578125" style="1" customWidth="1"/>
    <col min="12810" max="13049" width="8.85546875" style="1"/>
    <col min="13050" max="13050" width="5.5703125" style="1" bestFit="1" customWidth="1"/>
    <col min="13051" max="13051" width="9.28515625" style="1" customWidth="1"/>
    <col min="13052" max="13052" width="24.7109375" style="1" customWidth="1"/>
    <col min="13053" max="13053" width="11" style="1" bestFit="1" customWidth="1"/>
    <col min="13054" max="13054" width="7.5703125" style="1" bestFit="1" customWidth="1"/>
    <col min="13055" max="13055" width="13.5703125" style="1" customWidth="1"/>
    <col min="13056" max="13056" width="5.42578125" style="1" bestFit="1" customWidth="1"/>
    <col min="13057" max="13057" width="11.28515625" style="1" bestFit="1" customWidth="1"/>
    <col min="13058" max="13058" width="5.7109375" style="1" bestFit="1" customWidth="1"/>
    <col min="13059" max="13059" width="12" style="1" customWidth="1"/>
    <col min="13060" max="13060" width="15.42578125" style="1" bestFit="1" customWidth="1"/>
    <col min="13061" max="13062" width="15.140625" style="1" bestFit="1" customWidth="1"/>
    <col min="13063" max="13063" width="14.28515625" style="1" bestFit="1" customWidth="1"/>
    <col min="13064" max="13064" width="3.140625" style="1" customWidth="1"/>
    <col min="13065" max="13065" width="6.42578125" style="1" customWidth="1"/>
    <col min="13066" max="13305" width="8.85546875" style="1"/>
    <col min="13306" max="13306" width="5.5703125" style="1" bestFit="1" customWidth="1"/>
    <col min="13307" max="13307" width="9.28515625" style="1" customWidth="1"/>
    <col min="13308" max="13308" width="24.7109375" style="1" customWidth="1"/>
    <col min="13309" max="13309" width="11" style="1" bestFit="1" customWidth="1"/>
    <col min="13310" max="13310" width="7.5703125" style="1" bestFit="1" customWidth="1"/>
    <col min="13311" max="13311" width="13.5703125" style="1" customWidth="1"/>
    <col min="13312" max="13312" width="5.42578125" style="1" bestFit="1" customWidth="1"/>
    <col min="13313" max="13313" width="11.28515625" style="1" bestFit="1" customWidth="1"/>
    <col min="13314" max="13314" width="5.7109375" style="1" bestFit="1" customWidth="1"/>
    <col min="13315" max="13315" width="12" style="1" customWidth="1"/>
    <col min="13316" max="13316" width="15.42578125" style="1" bestFit="1" customWidth="1"/>
    <col min="13317" max="13318" width="15.140625" style="1" bestFit="1" customWidth="1"/>
    <col min="13319" max="13319" width="14.28515625" style="1" bestFit="1" customWidth="1"/>
    <col min="13320" max="13320" width="3.140625" style="1" customWidth="1"/>
    <col min="13321" max="13321" width="6.42578125" style="1" customWidth="1"/>
    <col min="13322" max="13561" width="8.85546875" style="1"/>
    <col min="13562" max="13562" width="5.5703125" style="1" bestFit="1" customWidth="1"/>
    <col min="13563" max="13563" width="9.28515625" style="1" customWidth="1"/>
    <col min="13564" max="13564" width="24.7109375" style="1" customWidth="1"/>
    <col min="13565" max="13565" width="11" style="1" bestFit="1" customWidth="1"/>
    <col min="13566" max="13566" width="7.5703125" style="1" bestFit="1" customWidth="1"/>
    <col min="13567" max="13567" width="13.5703125" style="1" customWidth="1"/>
    <col min="13568" max="13568" width="5.42578125" style="1" bestFit="1" customWidth="1"/>
    <col min="13569" max="13569" width="11.28515625" style="1" bestFit="1" customWidth="1"/>
    <col min="13570" max="13570" width="5.7109375" style="1" bestFit="1" customWidth="1"/>
    <col min="13571" max="13571" width="12" style="1" customWidth="1"/>
    <col min="13572" max="13572" width="15.42578125" style="1" bestFit="1" customWidth="1"/>
    <col min="13573" max="13574" width="15.140625" style="1" bestFit="1" customWidth="1"/>
    <col min="13575" max="13575" width="14.28515625" style="1" bestFit="1" customWidth="1"/>
    <col min="13576" max="13576" width="3.140625" style="1" customWidth="1"/>
    <col min="13577" max="13577" width="6.42578125" style="1" customWidth="1"/>
    <col min="13578" max="13817" width="8.85546875" style="1"/>
    <col min="13818" max="13818" width="5.5703125" style="1" bestFit="1" customWidth="1"/>
    <col min="13819" max="13819" width="9.28515625" style="1" customWidth="1"/>
    <col min="13820" max="13820" width="24.7109375" style="1" customWidth="1"/>
    <col min="13821" max="13821" width="11" style="1" bestFit="1" customWidth="1"/>
    <col min="13822" max="13822" width="7.5703125" style="1" bestFit="1" customWidth="1"/>
    <col min="13823" max="13823" width="13.5703125" style="1" customWidth="1"/>
    <col min="13824" max="13824" width="5.42578125" style="1" bestFit="1" customWidth="1"/>
    <col min="13825" max="13825" width="11.28515625" style="1" bestFit="1" customWidth="1"/>
    <col min="13826" max="13826" width="5.7109375" style="1" bestFit="1" customWidth="1"/>
    <col min="13827" max="13827" width="12" style="1" customWidth="1"/>
    <col min="13828" max="13828" width="15.42578125" style="1" bestFit="1" customWidth="1"/>
    <col min="13829" max="13830" width="15.140625" style="1" bestFit="1" customWidth="1"/>
    <col min="13831" max="13831" width="14.28515625" style="1" bestFit="1" customWidth="1"/>
    <col min="13832" max="13832" width="3.140625" style="1" customWidth="1"/>
    <col min="13833" max="13833" width="6.42578125" style="1" customWidth="1"/>
    <col min="13834" max="14073" width="8.85546875" style="1"/>
    <col min="14074" max="14074" width="5.5703125" style="1" bestFit="1" customWidth="1"/>
    <col min="14075" max="14075" width="9.28515625" style="1" customWidth="1"/>
    <col min="14076" max="14076" width="24.7109375" style="1" customWidth="1"/>
    <col min="14077" max="14077" width="11" style="1" bestFit="1" customWidth="1"/>
    <col min="14078" max="14078" width="7.5703125" style="1" bestFit="1" customWidth="1"/>
    <col min="14079" max="14079" width="13.5703125" style="1" customWidth="1"/>
    <col min="14080" max="14080" width="5.42578125" style="1" bestFit="1" customWidth="1"/>
    <col min="14081" max="14081" width="11.28515625" style="1" bestFit="1" customWidth="1"/>
    <col min="14082" max="14082" width="5.7109375" style="1" bestFit="1" customWidth="1"/>
    <col min="14083" max="14083" width="12" style="1" customWidth="1"/>
    <col min="14084" max="14084" width="15.42578125" style="1" bestFit="1" customWidth="1"/>
    <col min="14085" max="14086" width="15.140625" style="1" bestFit="1" customWidth="1"/>
    <col min="14087" max="14087" width="14.28515625" style="1" bestFit="1" customWidth="1"/>
    <col min="14088" max="14088" width="3.140625" style="1" customWidth="1"/>
    <col min="14089" max="14089" width="6.42578125" style="1" customWidth="1"/>
    <col min="14090" max="14329" width="8.85546875" style="1"/>
    <col min="14330" max="14330" width="5.5703125" style="1" bestFit="1" customWidth="1"/>
    <col min="14331" max="14331" width="9.28515625" style="1" customWidth="1"/>
    <col min="14332" max="14332" width="24.7109375" style="1" customWidth="1"/>
    <col min="14333" max="14333" width="11" style="1" bestFit="1" customWidth="1"/>
    <col min="14334" max="14334" width="7.5703125" style="1" bestFit="1" customWidth="1"/>
    <col min="14335" max="14335" width="13.5703125" style="1" customWidth="1"/>
    <col min="14336" max="14336" width="5.42578125" style="1" bestFit="1" customWidth="1"/>
    <col min="14337" max="14337" width="11.28515625" style="1" bestFit="1" customWidth="1"/>
    <col min="14338" max="14338" width="5.7109375" style="1" bestFit="1" customWidth="1"/>
    <col min="14339" max="14339" width="12" style="1" customWidth="1"/>
    <col min="14340" max="14340" width="15.42578125" style="1" bestFit="1" customWidth="1"/>
    <col min="14341" max="14342" width="15.140625" style="1" bestFit="1" customWidth="1"/>
    <col min="14343" max="14343" width="14.28515625" style="1" bestFit="1" customWidth="1"/>
    <col min="14344" max="14344" width="3.140625" style="1" customWidth="1"/>
    <col min="14345" max="14345" width="6.42578125" style="1" customWidth="1"/>
    <col min="14346" max="14585" width="8.85546875" style="1"/>
    <col min="14586" max="14586" width="5.5703125" style="1" bestFit="1" customWidth="1"/>
    <col min="14587" max="14587" width="9.28515625" style="1" customWidth="1"/>
    <col min="14588" max="14588" width="24.7109375" style="1" customWidth="1"/>
    <col min="14589" max="14589" width="11" style="1" bestFit="1" customWidth="1"/>
    <col min="14590" max="14590" width="7.5703125" style="1" bestFit="1" customWidth="1"/>
    <col min="14591" max="14591" width="13.5703125" style="1" customWidth="1"/>
    <col min="14592" max="14592" width="5.42578125" style="1" bestFit="1" customWidth="1"/>
    <col min="14593" max="14593" width="11.28515625" style="1" bestFit="1" customWidth="1"/>
    <col min="14594" max="14594" width="5.7109375" style="1" bestFit="1" customWidth="1"/>
    <col min="14595" max="14595" width="12" style="1" customWidth="1"/>
    <col min="14596" max="14596" width="15.42578125" style="1" bestFit="1" customWidth="1"/>
    <col min="14597" max="14598" width="15.140625" style="1" bestFit="1" customWidth="1"/>
    <col min="14599" max="14599" width="14.28515625" style="1" bestFit="1" customWidth="1"/>
    <col min="14600" max="14600" width="3.140625" style="1" customWidth="1"/>
    <col min="14601" max="14601" width="6.42578125" style="1" customWidth="1"/>
    <col min="14602" max="14841" width="8.85546875" style="1"/>
    <col min="14842" max="14842" width="5.5703125" style="1" bestFit="1" customWidth="1"/>
    <col min="14843" max="14843" width="9.28515625" style="1" customWidth="1"/>
    <col min="14844" max="14844" width="24.7109375" style="1" customWidth="1"/>
    <col min="14845" max="14845" width="11" style="1" bestFit="1" customWidth="1"/>
    <col min="14846" max="14846" width="7.5703125" style="1" bestFit="1" customWidth="1"/>
    <col min="14847" max="14847" width="13.5703125" style="1" customWidth="1"/>
    <col min="14848" max="14848" width="5.42578125" style="1" bestFit="1" customWidth="1"/>
    <col min="14849" max="14849" width="11.28515625" style="1" bestFit="1" customWidth="1"/>
    <col min="14850" max="14850" width="5.7109375" style="1" bestFit="1" customWidth="1"/>
    <col min="14851" max="14851" width="12" style="1" customWidth="1"/>
    <col min="14852" max="14852" width="15.42578125" style="1" bestFit="1" customWidth="1"/>
    <col min="14853" max="14854" width="15.140625" style="1" bestFit="1" customWidth="1"/>
    <col min="14855" max="14855" width="14.28515625" style="1" bestFit="1" customWidth="1"/>
    <col min="14856" max="14856" width="3.140625" style="1" customWidth="1"/>
    <col min="14857" max="14857" width="6.42578125" style="1" customWidth="1"/>
    <col min="14858" max="15097" width="8.85546875" style="1"/>
    <col min="15098" max="15098" width="5.5703125" style="1" bestFit="1" customWidth="1"/>
    <col min="15099" max="15099" width="9.28515625" style="1" customWidth="1"/>
    <col min="15100" max="15100" width="24.7109375" style="1" customWidth="1"/>
    <col min="15101" max="15101" width="11" style="1" bestFit="1" customWidth="1"/>
    <col min="15102" max="15102" width="7.5703125" style="1" bestFit="1" customWidth="1"/>
    <col min="15103" max="15103" width="13.5703125" style="1" customWidth="1"/>
    <col min="15104" max="15104" width="5.42578125" style="1" bestFit="1" customWidth="1"/>
    <col min="15105" max="15105" width="11.28515625" style="1" bestFit="1" customWidth="1"/>
    <col min="15106" max="15106" width="5.7109375" style="1" bestFit="1" customWidth="1"/>
    <col min="15107" max="15107" width="12" style="1" customWidth="1"/>
    <col min="15108" max="15108" width="15.42578125" style="1" bestFit="1" customWidth="1"/>
    <col min="15109" max="15110" width="15.140625" style="1" bestFit="1" customWidth="1"/>
    <col min="15111" max="15111" width="14.28515625" style="1" bestFit="1" customWidth="1"/>
    <col min="15112" max="15112" width="3.140625" style="1" customWidth="1"/>
    <col min="15113" max="15113" width="6.42578125" style="1" customWidth="1"/>
    <col min="15114" max="15353" width="8.85546875" style="1"/>
    <col min="15354" max="15354" width="5.5703125" style="1" bestFit="1" customWidth="1"/>
    <col min="15355" max="15355" width="9.28515625" style="1" customWidth="1"/>
    <col min="15356" max="15356" width="24.7109375" style="1" customWidth="1"/>
    <col min="15357" max="15357" width="11" style="1" bestFit="1" customWidth="1"/>
    <col min="15358" max="15358" width="7.5703125" style="1" bestFit="1" customWidth="1"/>
    <col min="15359" max="15359" width="13.5703125" style="1" customWidth="1"/>
    <col min="15360" max="15360" width="5.42578125" style="1" bestFit="1" customWidth="1"/>
    <col min="15361" max="15361" width="11.28515625" style="1" bestFit="1" customWidth="1"/>
    <col min="15362" max="15362" width="5.7109375" style="1" bestFit="1" customWidth="1"/>
    <col min="15363" max="15363" width="12" style="1" customWidth="1"/>
    <col min="15364" max="15364" width="15.42578125" style="1" bestFit="1" customWidth="1"/>
    <col min="15365" max="15366" width="15.140625" style="1" bestFit="1" customWidth="1"/>
    <col min="15367" max="15367" width="14.28515625" style="1" bestFit="1" customWidth="1"/>
    <col min="15368" max="15368" width="3.140625" style="1" customWidth="1"/>
    <col min="15369" max="15369" width="6.42578125" style="1" customWidth="1"/>
    <col min="15370" max="15609" width="8.85546875" style="1"/>
    <col min="15610" max="15610" width="5.5703125" style="1" bestFit="1" customWidth="1"/>
    <col min="15611" max="15611" width="9.28515625" style="1" customWidth="1"/>
    <col min="15612" max="15612" width="24.7109375" style="1" customWidth="1"/>
    <col min="15613" max="15613" width="11" style="1" bestFit="1" customWidth="1"/>
    <col min="15614" max="15614" width="7.5703125" style="1" bestFit="1" customWidth="1"/>
    <col min="15615" max="15615" width="13.5703125" style="1" customWidth="1"/>
    <col min="15616" max="15616" width="5.42578125" style="1" bestFit="1" customWidth="1"/>
    <col min="15617" max="15617" width="11.28515625" style="1" bestFit="1" customWidth="1"/>
    <col min="15618" max="15618" width="5.7109375" style="1" bestFit="1" customWidth="1"/>
    <col min="15619" max="15619" width="12" style="1" customWidth="1"/>
    <col min="15620" max="15620" width="15.42578125" style="1" bestFit="1" customWidth="1"/>
    <col min="15621" max="15622" width="15.140625" style="1" bestFit="1" customWidth="1"/>
    <col min="15623" max="15623" width="14.28515625" style="1" bestFit="1" customWidth="1"/>
    <col min="15624" max="15624" width="3.140625" style="1" customWidth="1"/>
    <col min="15625" max="15625" width="6.42578125" style="1" customWidth="1"/>
    <col min="15626" max="15865" width="8.85546875" style="1"/>
    <col min="15866" max="15866" width="5.5703125" style="1" bestFit="1" customWidth="1"/>
    <col min="15867" max="15867" width="9.28515625" style="1" customWidth="1"/>
    <col min="15868" max="15868" width="24.7109375" style="1" customWidth="1"/>
    <col min="15869" max="15869" width="11" style="1" bestFit="1" customWidth="1"/>
    <col min="15870" max="15870" width="7.5703125" style="1" bestFit="1" customWidth="1"/>
    <col min="15871" max="15871" width="13.5703125" style="1" customWidth="1"/>
    <col min="15872" max="15872" width="5.42578125" style="1" bestFit="1" customWidth="1"/>
    <col min="15873" max="15873" width="11.28515625" style="1" bestFit="1" customWidth="1"/>
    <col min="15874" max="15874" width="5.7109375" style="1" bestFit="1" customWidth="1"/>
    <col min="15875" max="15875" width="12" style="1" customWidth="1"/>
    <col min="15876" max="15876" width="15.42578125" style="1" bestFit="1" customWidth="1"/>
    <col min="15877" max="15878" width="15.140625" style="1" bestFit="1" customWidth="1"/>
    <col min="15879" max="15879" width="14.28515625" style="1" bestFit="1" customWidth="1"/>
    <col min="15880" max="15880" width="3.140625" style="1" customWidth="1"/>
    <col min="15881" max="15881" width="6.42578125" style="1" customWidth="1"/>
    <col min="15882" max="16121" width="8.85546875" style="1"/>
    <col min="16122" max="16122" width="5.5703125" style="1" bestFit="1" customWidth="1"/>
    <col min="16123" max="16123" width="9.28515625" style="1" customWidth="1"/>
    <col min="16124" max="16124" width="24.7109375" style="1" customWidth="1"/>
    <col min="16125" max="16125" width="11" style="1" bestFit="1" customWidth="1"/>
    <col min="16126" max="16126" width="7.5703125" style="1" bestFit="1" customWidth="1"/>
    <col min="16127" max="16127" width="13.5703125" style="1" customWidth="1"/>
    <col min="16128" max="16128" width="5.42578125" style="1" bestFit="1" customWidth="1"/>
    <col min="16129" max="16129" width="11.28515625" style="1" bestFit="1" customWidth="1"/>
    <col min="16130" max="16130" width="5.7109375" style="1" bestFit="1" customWidth="1"/>
    <col min="16131" max="16131" width="12" style="1" customWidth="1"/>
    <col min="16132" max="16132" width="15.42578125" style="1" bestFit="1" customWidth="1"/>
    <col min="16133" max="16134" width="15.140625" style="1" bestFit="1" customWidth="1"/>
    <col min="16135" max="16135" width="14.28515625" style="1" bestFit="1" customWidth="1"/>
    <col min="16136" max="16136" width="3.140625" style="1" customWidth="1"/>
    <col min="16137" max="16137" width="6.42578125" style="1" customWidth="1"/>
    <col min="16138" max="16384" width="8.85546875" style="1"/>
  </cols>
  <sheetData>
    <row r="1" spans="1:15" ht="46.9" customHeight="1" thickBot="1" x14ac:dyDescent="0.25">
      <c r="A1" s="686" t="s">
        <v>144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</row>
    <row r="2" spans="1:15" ht="36.75" customHeight="1" thickBot="1" x14ac:dyDescent="0.25">
      <c r="A2" s="601" t="s">
        <v>0</v>
      </c>
      <c r="B2" s="602" t="s">
        <v>1</v>
      </c>
      <c r="C2" s="602" t="s">
        <v>7</v>
      </c>
      <c r="D2" s="603" t="s">
        <v>2</v>
      </c>
      <c r="E2" s="603" t="s">
        <v>3</v>
      </c>
      <c r="F2" s="604" t="s">
        <v>4</v>
      </c>
      <c r="G2" s="605" t="s">
        <v>5</v>
      </c>
      <c r="H2" s="606" t="s">
        <v>6</v>
      </c>
      <c r="I2" s="21"/>
      <c r="J2" s="22" t="s">
        <v>27</v>
      </c>
      <c r="K2" s="2" t="s">
        <v>4</v>
      </c>
      <c r="L2" s="3" t="s">
        <v>5</v>
      </c>
      <c r="M2" s="4" t="s">
        <v>6</v>
      </c>
    </row>
    <row r="3" spans="1:15" ht="0.75" customHeight="1" x14ac:dyDescent="0.2">
      <c r="A3" s="330"/>
      <c r="B3" s="332"/>
      <c r="C3" s="333"/>
      <c r="D3" s="334"/>
      <c r="E3" s="335"/>
      <c r="F3" s="336"/>
      <c r="G3" s="337"/>
      <c r="H3" s="609"/>
      <c r="I3" s="277"/>
      <c r="J3" s="594"/>
      <c r="K3" s="340"/>
      <c r="L3" s="341"/>
      <c r="M3" s="342"/>
    </row>
    <row r="4" spans="1:15" ht="30" hidden="1" customHeight="1" x14ac:dyDescent="0.2">
      <c r="A4" s="5"/>
      <c r="B4" s="274"/>
      <c r="C4" s="275"/>
      <c r="D4" s="283"/>
      <c r="E4" s="276"/>
      <c r="F4" s="595"/>
      <c r="G4" s="607"/>
      <c r="H4" s="593"/>
      <c r="I4" s="277"/>
      <c r="J4" s="278"/>
      <c r="K4" s="279"/>
      <c r="L4" s="280"/>
      <c r="M4" s="281"/>
    </row>
    <row r="5" spans="1:15" ht="30" hidden="1" customHeight="1" x14ac:dyDescent="0.2">
      <c r="A5" s="5"/>
      <c r="B5" s="274"/>
      <c r="C5" s="275"/>
      <c r="D5" s="283"/>
      <c r="E5" s="276"/>
      <c r="F5" s="595"/>
      <c r="G5" s="607"/>
      <c r="H5" s="593"/>
      <c r="I5" s="277"/>
      <c r="J5" s="278"/>
      <c r="K5" s="279"/>
      <c r="L5" s="280"/>
      <c r="M5" s="281"/>
    </row>
    <row r="6" spans="1:15" ht="30" hidden="1" customHeight="1" x14ac:dyDescent="0.2">
      <c r="A6" s="5"/>
      <c r="B6" s="274"/>
      <c r="C6" s="275"/>
      <c r="D6" s="283"/>
      <c r="E6" s="276"/>
      <c r="F6" s="595"/>
      <c r="G6" s="607"/>
      <c r="H6" s="593"/>
      <c r="I6" s="277"/>
      <c r="J6" s="278"/>
      <c r="K6" s="279"/>
      <c r="L6" s="280"/>
      <c r="M6" s="281"/>
    </row>
    <row r="7" spans="1:15" ht="30" hidden="1" customHeight="1" x14ac:dyDescent="0.2">
      <c r="A7" s="5"/>
      <c r="B7" s="274"/>
      <c r="C7" s="275"/>
      <c r="D7" s="283"/>
      <c r="E7" s="276"/>
      <c r="F7" s="595"/>
      <c r="G7" s="607"/>
      <c r="H7" s="593"/>
      <c r="I7" s="277"/>
      <c r="J7" s="278"/>
      <c r="K7" s="279"/>
      <c r="L7" s="280"/>
      <c r="M7" s="281"/>
    </row>
    <row r="8" spans="1:15" ht="30" hidden="1" customHeight="1" x14ac:dyDescent="0.2">
      <c r="A8" s="5"/>
      <c r="B8" s="274"/>
      <c r="C8" s="275"/>
      <c r="D8" s="283"/>
      <c r="E8" s="276"/>
      <c r="F8" s="595"/>
      <c r="G8" s="607"/>
      <c r="H8" s="593"/>
      <c r="I8" s="277"/>
      <c r="J8" s="278"/>
      <c r="K8" s="279"/>
      <c r="L8" s="280"/>
      <c r="M8" s="281"/>
    </row>
    <row r="9" spans="1:15" ht="30" hidden="1" customHeight="1" x14ac:dyDescent="0.2">
      <c r="A9" s="5"/>
      <c r="B9" s="274"/>
      <c r="C9" s="275"/>
      <c r="D9" s="283"/>
      <c r="E9" s="276"/>
      <c r="F9" s="595"/>
      <c r="G9" s="607"/>
      <c r="H9" s="593"/>
      <c r="I9" s="277"/>
      <c r="J9" s="278"/>
      <c r="K9" s="279"/>
      <c r="L9" s="280"/>
      <c r="M9" s="281"/>
    </row>
    <row r="10" spans="1:15" ht="30" hidden="1" customHeight="1" x14ac:dyDescent="0.2">
      <c r="A10" s="5"/>
      <c r="B10" s="274"/>
      <c r="C10" s="275"/>
      <c r="D10" s="282"/>
      <c r="E10" s="282"/>
      <c r="F10" s="595"/>
      <c r="G10" s="607"/>
      <c r="H10" s="593"/>
      <c r="I10" s="277"/>
      <c r="J10" s="278"/>
      <c r="K10" s="279"/>
      <c r="L10" s="280"/>
      <c r="M10" s="281"/>
    </row>
    <row r="11" spans="1:15" ht="30" customHeight="1" x14ac:dyDescent="0.2">
      <c r="A11" s="5"/>
      <c r="B11" s="274"/>
      <c r="C11" s="275"/>
      <c r="D11" s="282"/>
      <c r="E11" s="282"/>
      <c r="F11" s="595"/>
      <c r="G11" s="607"/>
      <c r="H11" s="593"/>
      <c r="I11" s="277"/>
      <c r="J11" s="278"/>
      <c r="K11" s="279"/>
      <c r="L11" s="280"/>
      <c r="M11" s="281"/>
    </row>
    <row r="12" spans="1:15" ht="30" customHeight="1" x14ac:dyDescent="0.2">
      <c r="A12" s="5"/>
      <c r="B12" s="274"/>
      <c r="C12" s="275"/>
      <c r="D12" s="283"/>
      <c r="E12" s="276"/>
      <c r="F12" s="595"/>
      <c r="G12" s="607"/>
      <c r="H12" s="593"/>
      <c r="I12" s="277"/>
      <c r="J12" s="278"/>
      <c r="K12" s="279"/>
      <c r="L12" s="280"/>
      <c r="M12" s="281"/>
    </row>
    <row r="13" spans="1:15" ht="30" customHeight="1" x14ac:dyDescent="0.2">
      <c r="A13" s="5"/>
      <c r="B13" s="274"/>
      <c r="C13" s="275"/>
      <c r="D13" s="283"/>
      <c r="E13" s="276"/>
      <c r="F13" s="595"/>
      <c r="G13" s="607"/>
      <c r="H13" s="593"/>
      <c r="I13" s="277"/>
      <c r="J13" s="278"/>
      <c r="K13" s="279"/>
      <c r="L13" s="280"/>
      <c r="M13" s="281"/>
    </row>
    <row r="14" spans="1:15" ht="30" customHeight="1" x14ac:dyDescent="0.2">
      <c r="A14" s="5"/>
      <c r="B14" s="274"/>
      <c r="C14" s="275"/>
      <c r="D14" s="283"/>
      <c r="E14" s="276"/>
      <c r="F14" s="595"/>
      <c r="G14" s="607"/>
      <c r="H14" s="593"/>
      <c r="I14" s="277"/>
      <c r="J14" s="278"/>
      <c r="K14" s="279"/>
      <c r="L14" s="280"/>
      <c r="M14" s="281"/>
    </row>
    <row r="15" spans="1:15" ht="30" customHeight="1" x14ac:dyDescent="0.2">
      <c r="A15" s="5"/>
      <c r="B15" s="274"/>
      <c r="C15" s="275"/>
      <c r="D15" s="283"/>
      <c r="E15" s="276"/>
      <c r="F15" s="595"/>
      <c r="G15" s="607"/>
      <c r="H15" s="593"/>
      <c r="I15" s="277"/>
      <c r="J15" s="278"/>
      <c r="K15" s="279"/>
      <c r="L15" s="280"/>
      <c r="M15" s="281"/>
    </row>
    <row r="16" spans="1:15" ht="30" customHeight="1" x14ac:dyDescent="0.2">
      <c r="A16" s="5"/>
      <c r="B16" s="274"/>
      <c r="C16" s="275"/>
      <c r="D16" s="283"/>
      <c r="E16" s="276"/>
      <c r="F16" s="595"/>
      <c r="G16" s="607"/>
      <c r="H16" s="593"/>
      <c r="I16" s="277"/>
      <c r="J16" s="278"/>
      <c r="K16" s="279"/>
      <c r="L16" s="280"/>
      <c r="M16" s="281"/>
      <c r="O16" s="589"/>
    </row>
    <row r="17" spans="1:13" ht="30" customHeight="1" x14ac:dyDescent="0.2">
      <c r="A17" s="5"/>
      <c r="B17" s="274"/>
      <c r="C17" s="275"/>
      <c r="D17" s="283"/>
      <c r="E17" s="276"/>
      <c r="F17" s="595"/>
      <c r="G17" s="607"/>
      <c r="H17" s="593"/>
      <c r="I17" s="277"/>
      <c r="J17" s="278"/>
      <c r="K17" s="279"/>
      <c r="L17" s="280"/>
      <c r="M17" s="281"/>
    </row>
    <row r="18" spans="1:13" ht="30" customHeight="1" x14ac:dyDescent="0.2">
      <c r="A18" s="5"/>
      <c r="B18" s="274"/>
      <c r="C18" s="275"/>
      <c r="D18" s="283"/>
      <c r="E18" s="276"/>
      <c r="F18" s="595"/>
      <c r="G18" s="607"/>
      <c r="H18" s="593"/>
      <c r="I18" s="277"/>
      <c r="J18" s="278"/>
      <c r="K18" s="279"/>
      <c r="L18" s="280"/>
      <c r="M18" s="281"/>
    </row>
    <row r="19" spans="1:13" ht="30" customHeight="1" x14ac:dyDescent="0.2">
      <c r="A19" s="5"/>
      <c r="B19" s="274"/>
      <c r="C19" s="275"/>
      <c r="D19" s="283"/>
      <c r="E19" s="276"/>
      <c r="F19" s="595"/>
      <c r="G19" s="607"/>
      <c r="H19" s="593"/>
      <c r="I19" s="277"/>
      <c r="J19" s="278"/>
      <c r="K19" s="279"/>
      <c r="L19" s="280"/>
      <c r="M19" s="281"/>
    </row>
    <row r="20" spans="1:13" ht="30" customHeight="1" x14ac:dyDescent="0.2">
      <c r="A20" s="5"/>
      <c r="B20" s="274"/>
      <c r="C20" s="275"/>
      <c r="D20" s="283"/>
      <c r="E20" s="276"/>
      <c r="F20" s="595"/>
      <c r="G20" s="607"/>
      <c r="H20" s="593"/>
      <c r="I20" s="277"/>
      <c r="J20" s="278"/>
      <c r="K20" s="279"/>
      <c r="L20" s="280"/>
      <c r="M20" s="281"/>
    </row>
    <row r="21" spans="1:13" ht="30" customHeight="1" x14ac:dyDescent="0.2">
      <c r="A21" s="5"/>
      <c r="B21" s="274"/>
      <c r="C21" s="275"/>
      <c r="D21" s="283"/>
      <c r="E21" s="276"/>
      <c r="F21" s="595"/>
      <c r="G21" s="607"/>
      <c r="H21" s="593"/>
      <c r="I21" s="277"/>
      <c r="J21" s="278"/>
      <c r="K21" s="279"/>
      <c r="L21" s="280"/>
      <c r="M21" s="281"/>
    </row>
    <row r="22" spans="1:13" ht="30" customHeight="1" x14ac:dyDescent="0.2">
      <c r="A22" s="5"/>
      <c r="B22" s="274"/>
      <c r="C22" s="275"/>
      <c r="D22" s="283"/>
      <c r="E22" s="276"/>
      <c r="F22" s="595"/>
      <c r="G22" s="607"/>
      <c r="H22" s="593"/>
      <c r="I22" s="277"/>
      <c r="J22" s="278"/>
      <c r="K22" s="279"/>
      <c r="L22" s="280"/>
      <c r="M22" s="281"/>
    </row>
    <row r="23" spans="1:13" ht="30" customHeight="1" x14ac:dyDescent="0.2">
      <c r="A23" s="5"/>
      <c r="B23" s="274"/>
      <c r="C23" s="275"/>
      <c r="D23" s="283"/>
      <c r="E23" s="276"/>
      <c r="F23" s="595"/>
      <c r="G23" s="607"/>
      <c r="H23" s="593"/>
      <c r="I23" s="277"/>
      <c r="J23" s="278"/>
      <c r="K23" s="279"/>
      <c r="L23" s="280"/>
      <c r="M23" s="281"/>
    </row>
    <row r="24" spans="1:13" ht="30" customHeight="1" x14ac:dyDescent="0.2">
      <c r="A24" s="5"/>
      <c r="B24" s="274"/>
      <c r="C24" s="275"/>
      <c r="D24" s="283"/>
      <c r="E24" s="276"/>
      <c r="F24" s="595"/>
      <c r="G24" s="607"/>
      <c r="H24" s="593"/>
      <c r="I24" s="277"/>
      <c r="J24" s="278"/>
      <c r="K24" s="279"/>
      <c r="L24" s="280"/>
      <c r="M24" s="281"/>
    </row>
    <row r="25" spans="1:13" ht="30" customHeight="1" x14ac:dyDescent="0.2">
      <c r="A25" s="5">
        <v>23</v>
      </c>
      <c r="B25" s="274"/>
      <c r="C25" s="275" t="s">
        <v>142</v>
      </c>
      <c r="D25" s="283">
        <v>14145.749999999996</v>
      </c>
      <c r="E25" s="344">
        <v>6537.9</v>
      </c>
      <c r="F25" s="595"/>
      <c r="G25" s="607">
        <f>D25*E25</f>
        <v>92483498.924999967</v>
      </c>
      <c r="H25" s="593">
        <f>F25-G25+H24</f>
        <v>-92483498.924999967</v>
      </c>
      <c r="I25" s="277"/>
      <c r="J25" s="278">
        <v>78.394100000000009</v>
      </c>
      <c r="K25" s="302"/>
      <c r="L25" s="280">
        <f>D25*J25</f>
        <v>1108943.3400749997</v>
      </c>
      <c r="M25" s="281">
        <f>K25-L25+M24</f>
        <v>-1108943.3400749997</v>
      </c>
    </row>
    <row r="26" spans="1:13" ht="30" customHeight="1" x14ac:dyDescent="0.2">
      <c r="A26" s="5">
        <v>24</v>
      </c>
      <c r="B26" s="274"/>
      <c r="C26" s="275" t="s">
        <v>143</v>
      </c>
      <c r="D26" s="283">
        <v>824.17100000000005</v>
      </c>
      <c r="E26" s="344">
        <v>6626.86</v>
      </c>
      <c r="F26" s="595"/>
      <c r="G26" s="607">
        <f>D26*E26</f>
        <v>5461665.8330600001</v>
      </c>
      <c r="H26" s="593">
        <f t="shared" ref="H26:H41" si="0">F26-G26+H25</f>
        <v>-97945164.758059964</v>
      </c>
      <c r="I26" s="277"/>
      <c r="J26" s="278">
        <v>78.394100000000009</v>
      </c>
      <c r="K26" s="279"/>
      <c r="L26" s="280">
        <f>D26*J26</f>
        <v>64610.14379110001</v>
      </c>
      <c r="M26" s="281">
        <f t="shared" ref="M26:M41" si="1">K26-L26+M25</f>
        <v>-1173553.4838660997</v>
      </c>
    </row>
    <row r="27" spans="1:13" ht="30" customHeight="1" x14ac:dyDescent="0.2">
      <c r="A27" s="5">
        <v>25</v>
      </c>
      <c r="B27" s="274" t="s">
        <v>46</v>
      </c>
      <c r="C27" s="275" t="s">
        <v>61</v>
      </c>
      <c r="D27" s="283"/>
      <c r="E27" s="276"/>
      <c r="F27" s="595">
        <v>98061150</v>
      </c>
      <c r="G27" s="607"/>
      <c r="H27" s="593">
        <f t="shared" si="0"/>
        <v>115985.24194003642</v>
      </c>
      <c r="I27" s="277"/>
      <c r="J27" s="278">
        <v>77.215565573980214</v>
      </c>
      <c r="K27" s="279">
        <f>F27/J27</f>
        <v>1269966.0913063912</v>
      </c>
      <c r="L27" s="280"/>
      <c r="M27" s="281">
        <f t="shared" si="1"/>
        <v>96412.607440291438</v>
      </c>
    </row>
    <row r="28" spans="1:13" ht="30" customHeight="1" x14ac:dyDescent="0.2">
      <c r="A28" s="5">
        <v>26</v>
      </c>
      <c r="B28" s="274" t="s">
        <v>49</v>
      </c>
      <c r="C28" s="275" t="s">
        <v>62</v>
      </c>
      <c r="D28" s="283"/>
      <c r="E28" s="276"/>
      <c r="F28" s="595">
        <v>38570719</v>
      </c>
      <c r="G28" s="607"/>
      <c r="H28" s="593">
        <f t="shared" si="0"/>
        <v>38686704.241940036</v>
      </c>
      <c r="I28" s="277"/>
      <c r="J28" s="278">
        <v>77.447766994445118</v>
      </c>
      <c r="K28" s="279">
        <f t="shared" ref="K28:K32" si="2">F28/J28</f>
        <v>498022.35102228908</v>
      </c>
      <c r="L28" s="280"/>
      <c r="M28" s="281">
        <f t="shared" si="1"/>
        <v>594434.95846258057</v>
      </c>
    </row>
    <row r="29" spans="1:13" ht="30" customHeight="1" x14ac:dyDescent="0.2">
      <c r="A29" s="5">
        <v>27</v>
      </c>
      <c r="B29" s="274" t="s">
        <v>48</v>
      </c>
      <c r="C29" s="275" t="s">
        <v>63</v>
      </c>
      <c r="D29" s="283"/>
      <c r="E29" s="276"/>
      <c r="F29" s="595">
        <v>11120134.41</v>
      </c>
      <c r="G29" s="607"/>
      <c r="H29" s="593">
        <f t="shared" si="0"/>
        <v>49806838.651940033</v>
      </c>
      <c r="I29" s="277"/>
      <c r="J29" s="278">
        <v>77.447766994445118</v>
      </c>
      <c r="K29" s="279">
        <f t="shared" si="2"/>
        <v>143582.37611676502</v>
      </c>
      <c r="L29" s="280"/>
      <c r="M29" s="281">
        <f t="shared" si="1"/>
        <v>738017.33457934554</v>
      </c>
    </row>
    <row r="30" spans="1:13" ht="30" customHeight="1" x14ac:dyDescent="0.2">
      <c r="A30" s="5">
        <v>28</v>
      </c>
      <c r="B30" s="274"/>
      <c r="C30" s="275" t="s">
        <v>128</v>
      </c>
      <c r="D30" s="283">
        <v>14983.949999999999</v>
      </c>
      <c r="E30" s="276">
        <v>6537.41</v>
      </c>
      <c r="F30" s="595"/>
      <c r="G30" s="607">
        <f>D30*E30</f>
        <v>97956224.569499984</v>
      </c>
      <c r="H30" s="593">
        <f t="shared" si="0"/>
        <v>-48149385.917559952</v>
      </c>
      <c r="I30" s="277"/>
      <c r="J30" s="278">
        <v>80</v>
      </c>
      <c r="K30" s="279"/>
      <c r="L30" s="280">
        <f>D30*J30</f>
        <v>1198716</v>
      </c>
      <c r="M30" s="281">
        <f t="shared" si="1"/>
        <v>-460698.66542065446</v>
      </c>
    </row>
    <row r="31" spans="1:13" ht="30" customHeight="1" x14ac:dyDescent="0.2">
      <c r="A31" s="5">
        <v>29</v>
      </c>
      <c r="B31" s="274" t="s">
        <v>111</v>
      </c>
      <c r="C31" s="275" t="s">
        <v>124</v>
      </c>
      <c r="D31" s="608"/>
      <c r="E31" s="276"/>
      <c r="F31" s="595">
        <v>32500168.23</v>
      </c>
      <c r="G31" s="607"/>
      <c r="H31" s="593">
        <f t="shared" si="0"/>
        <v>-15649217.687559951</v>
      </c>
      <c r="I31" s="277"/>
      <c r="J31" s="278">
        <v>78.400116855457341</v>
      </c>
      <c r="K31" s="279">
        <f t="shared" si="2"/>
        <v>414542.34424062213</v>
      </c>
      <c r="L31" s="280"/>
      <c r="M31" s="281">
        <f t="shared" si="1"/>
        <v>-46156.321180032333</v>
      </c>
    </row>
    <row r="32" spans="1:13" ht="30" customHeight="1" x14ac:dyDescent="0.2">
      <c r="A32" s="5">
        <v>30</v>
      </c>
      <c r="B32" s="274" t="s">
        <v>125</v>
      </c>
      <c r="C32" s="275" t="s">
        <v>123</v>
      </c>
      <c r="D32" s="608"/>
      <c r="E32" s="276"/>
      <c r="F32" s="595">
        <v>15870128.359999999</v>
      </c>
      <c r="G32" s="607"/>
      <c r="H32" s="593">
        <f t="shared" si="0"/>
        <v>220910.67244004831</v>
      </c>
      <c r="I32" s="277"/>
      <c r="J32" s="278">
        <v>77.447766994445118</v>
      </c>
      <c r="K32" s="279">
        <f t="shared" si="2"/>
        <v>204913.95653974469</v>
      </c>
      <c r="L32" s="280"/>
      <c r="M32" s="281">
        <f t="shared" si="1"/>
        <v>158757.63535971235</v>
      </c>
    </row>
    <row r="33" spans="1:16" ht="30" customHeight="1" x14ac:dyDescent="0.2">
      <c r="A33" s="5">
        <v>31</v>
      </c>
      <c r="B33" s="274"/>
      <c r="C33" s="275" t="s">
        <v>129</v>
      </c>
      <c r="D33" s="283">
        <v>11117.65</v>
      </c>
      <c r="E33" s="276">
        <v>6537.41</v>
      </c>
      <c r="F33" s="595"/>
      <c r="G33" s="607">
        <f>D33*E33</f>
        <v>72680636.286499992</v>
      </c>
      <c r="H33" s="593">
        <f t="shared" si="0"/>
        <v>-72459725.61405994</v>
      </c>
      <c r="I33" s="277"/>
      <c r="J33" s="278">
        <v>82.5</v>
      </c>
      <c r="K33" s="279"/>
      <c r="L33" s="280">
        <f>D33*J33</f>
        <v>917206.125</v>
      </c>
      <c r="M33" s="281">
        <f t="shared" si="1"/>
        <v>-758448.48964028759</v>
      </c>
    </row>
    <row r="34" spans="1:16" ht="30" customHeight="1" x14ac:dyDescent="0.2">
      <c r="A34" s="5">
        <v>32</v>
      </c>
      <c r="B34" s="274"/>
      <c r="C34" s="275" t="s">
        <v>126</v>
      </c>
      <c r="D34" s="283"/>
      <c r="E34" s="276"/>
      <c r="F34" s="595">
        <v>96000000</v>
      </c>
      <c r="G34" s="607"/>
      <c r="H34" s="593">
        <f t="shared" si="0"/>
        <v>23540274.38594006</v>
      </c>
      <c r="I34" s="277"/>
      <c r="J34" s="278">
        <v>76.96727061527001</v>
      </c>
      <c r="K34" s="279">
        <f>F34/J34</f>
        <v>1247283.4132298564</v>
      </c>
      <c r="L34" s="280"/>
      <c r="M34" s="281">
        <f t="shared" si="1"/>
        <v>488834.92358956882</v>
      </c>
    </row>
    <row r="35" spans="1:16" ht="30" customHeight="1" x14ac:dyDescent="0.2">
      <c r="A35" s="5">
        <v>33</v>
      </c>
      <c r="B35" s="274"/>
      <c r="C35" s="275" t="s">
        <v>130</v>
      </c>
      <c r="D35" s="283">
        <v>14966.949999999997</v>
      </c>
      <c r="E35" s="276">
        <v>6383.3909999999996</v>
      </c>
      <c r="F35" s="595"/>
      <c r="G35" s="607">
        <f t="shared" ref="G35" si="3">D35*E35</f>
        <v>95539893.927449971</v>
      </c>
      <c r="H35" s="593">
        <f t="shared" si="0"/>
        <v>-71999619.541509911</v>
      </c>
      <c r="I35" s="277"/>
      <c r="J35" s="278">
        <v>85</v>
      </c>
      <c r="K35" s="279"/>
      <c r="L35" s="280">
        <f>D35*J35</f>
        <v>1272190.7499999998</v>
      </c>
      <c r="M35" s="281">
        <f t="shared" si="1"/>
        <v>-783355.82641043095</v>
      </c>
    </row>
    <row r="36" spans="1:16" ht="30" customHeight="1" x14ac:dyDescent="0.2">
      <c r="A36" s="5">
        <v>34</v>
      </c>
      <c r="B36" s="274"/>
      <c r="C36" s="275" t="s">
        <v>127</v>
      </c>
      <c r="D36" s="283"/>
      <c r="E36" s="276"/>
      <c r="F36" s="595">
        <v>50000000</v>
      </c>
      <c r="G36" s="607"/>
      <c r="H36" s="593">
        <f t="shared" si="0"/>
        <v>-21999619.541509911</v>
      </c>
      <c r="I36" s="277"/>
      <c r="J36" s="278">
        <v>76.889615039185045</v>
      </c>
      <c r="K36" s="279">
        <f t="shared" ref="K36" si="4">F36/J36</f>
        <v>650282.87597120414</v>
      </c>
      <c r="L36" s="280"/>
      <c r="M36" s="281">
        <f t="shared" si="1"/>
        <v>-133072.95043922681</v>
      </c>
    </row>
    <row r="37" spans="1:16" ht="30" customHeight="1" x14ac:dyDescent="0.2">
      <c r="A37" s="5">
        <v>35</v>
      </c>
      <c r="B37" s="274"/>
      <c r="C37" s="275" t="s">
        <v>131</v>
      </c>
      <c r="D37" s="283">
        <v>9982.7000000000007</v>
      </c>
      <c r="E37" s="276">
        <v>6714.7860000000001</v>
      </c>
      <c r="F37" s="595"/>
      <c r="G37" s="607">
        <f>D37*E37</f>
        <v>67031694.202200003</v>
      </c>
      <c r="H37" s="593">
        <f t="shared" si="0"/>
        <v>-89031313.743709922</v>
      </c>
      <c r="I37" s="277"/>
      <c r="J37" s="278">
        <v>84</v>
      </c>
      <c r="K37" s="279"/>
      <c r="L37" s="280">
        <f>D37*J37</f>
        <v>838546.8</v>
      </c>
      <c r="M37" s="281">
        <f t="shared" si="1"/>
        <v>-971619.75043922686</v>
      </c>
    </row>
    <row r="38" spans="1:16" ht="30" customHeight="1" x14ac:dyDescent="0.2">
      <c r="A38" s="5">
        <v>36</v>
      </c>
      <c r="B38" s="274"/>
      <c r="C38" s="275"/>
      <c r="D38" s="283"/>
      <c r="E38" s="276"/>
      <c r="F38" s="595"/>
      <c r="G38" s="592"/>
      <c r="H38" s="593">
        <f t="shared" si="0"/>
        <v>-89031313.743709922</v>
      </c>
      <c r="I38" s="277"/>
      <c r="J38" s="278"/>
      <c r="K38" s="279"/>
      <c r="L38" s="280"/>
      <c r="M38" s="281">
        <f t="shared" si="1"/>
        <v>-971619.75043922686</v>
      </c>
      <c r="P38" s="591">
        <f>H38/M38</f>
        <v>91.631848471032782</v>
      </c>
    </row>
    <row r="39" spans="1:16" ht="30" customHeight="1" x14ac:dyDescent="0.2">
      <c r="A39" s="5">
        <v>37</v>
      </c>
      <c r="B39" s="274"/>
      <c r="C39" s="275"/>
      <c r="D39" s="283"/>
      <c r="E39" s="276"/>
      <c r="F39" s="595"/>
      <c r="G39" s="592"/>
      <c r="H39" s="593">
        <f t="shared" si="0"/>
        <v>-89031313.743709922</v>
      </c>
      <c r="I39" s="277"/>
      <c r="J39" s="278"/>
      <c r="K39" s="279"/>
      <c r="L39" s="280"/>
      <c r="M39" s="281">
        <f t="shared" si="1"/>
        <v>-971619.75043922686</v>
      </c>
    </row>
    <row r="40" spans="1:16" ht="30" customHeight="1" x14ac:dyDescent="0.2">
      <c r="A40" s="5">
        <v>38</v>
      </c>
      <c r="B40" s="274"/>
      <c r="C40" s="275"/>
      <c r="D40" s="283"/>
      <c r="E40" s="276"/>
      <c r="F40" s="595"/>
      <c r="G40" s="592"/>
      <c r="H40" s="593">
        <f t="shared" si="0"/>
        <v>-89031313.743709922</v>
      </c>
      <c r="I40" s="277"/>
      <c r="J40" s="278"/>
      <c r="K40" s="279"/>
      <c r="L40" s="280"/>
      <c r="M40" s="281">
        <f t="shared" si="1"/>
        <v>-971619.75043922686</v>
      </c>
    </row>
    <row r="41" spans="1:16" ht="30" customHeight="1" x14ac:dyDescent="0.2">
      <c r="A41" s="5">
        <v>39</v>
      </c>
      <c r="B41" s="274"/>
      <c r="C41" s="275"/>
      <c r="D41" s="283"/>
      <c r="E41" s="276"/>
      <c r="F41" s="595"/>
      <c r="G41" s="592"/>
      <c r="H41" s="593">
        <f t="shared" si="0"/>
        <v>-89031313.743709922</v>
      </c>
      <c r="I41" s="277"/>
      <c r="J41" s="278"/>
      <c r="K41" s="279"/>
      <c r="L41" s="280"/>
      <c r="M41" s="281">
        <f t="shared" si="1"/>
        <v>-971619.75043922686</v>
      </c>
    </row>
    <row r="42" spans="1:16" ht="30" customHeight="1" thickBot="1" x14ac:dyDescent="0.25">
      <c r="A42" s="8"/>
      <c r="B42" s="9"/>
      <c r="C42" s="10"/>
      <c r="D42" s="11"/>
      <c r="E42" s="12"/>
      <c r="F42" s="13"/>
      <c r="G42" s="14"/>
      <c r="H42" s="15"/>
      <c r="I42" s="23"/>
      <c r="J42" s="24"/>
      <c r="K42" s="25"/>
      <c r="L42" s="25"/>
      <c r="M42" s="26"/>
    </row>
  </sheetData>
  <mergeCells count="1">
    <mergeCell ref="A1:M1"/>
  </mergeCells>
  <phoneticPr fontId="38" type="noConversion"/>
  <pageMargins left="0" right="0" top="0" bottom="0" header="0.3" footer="0.3"/>
  <pageSetup scale="70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52"/>
  <sheetViews>
    <sheetView workbookViewId="0">
      <selection sqref="A1:K254"/>
    </sheetView>
  </sheetViews>
  <sheetFormatPr defaultColWidth="9.140625" defaultRowHeight="15" x14ac:dyDescent="0.25"/>
  <cols>
    <col min="1" max="1" width="9.140625" style="226"/>
    <col min="2" max="2" width="11.7109375" style="226" customWidth="1"/>
    <col min="3" max="3" width="10.7109375" style="226" customWidth="1"/>
    <col min="4" max="4" width="9.140625" style="226"/>
    <col min="5" max="5" width="12.7109375" style="226" customWidth="1"/>
    <col min="6" max="6" width="11.140625" style="226" customWidth="1"/>
    <col min="7" max="7" width="13.85546875" style="226" customWidth="1"/>
    <col min="8" max="8" width="10.7109375" style="226" bestFit="1" customWidth="1"/>
    <col min="9" max="9" width="18.5703125" style="226" customWidth="1"/>
    <col min="10" max="10" width="15.140625" style="226" customWidth="1"/>
    <col min="11" max="11" width="11.5703125" style="226" customWidth="1"/>
    <col min="12" max="12" width="0.7109375" style="226" customWidth="1"/>
    <col min="13" max="16" width="2.85546875" style="226" customWidth="1"/>
    <col min="17" max="16384" width="9.140625" style="226"/>
  </cols>
  <sheetData>
    <row r="1" spans="1:21" x14ac:dyDescent="0.25">
      <c r="A1" s="667" t="s">
        <v>11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224"/>
      <c r="M1" s="224"/>
      <c r="N1" s="224"/>
      <c r="O1" s="224"/>
      <c r="P1" s="224"/>
      <c r="T1" s="666" t="s">
        <v>29</v>
      </c>
      <c r="U1" s="666"/>
    </row>
    <row r="2" spans="1:21" x14ac:dyDescent="0.25">
      <c r="A2" s="667" t="s">
        <v>37</v>
      </c>
      <c r="B2" s="668"/>
      <c r="C2" s="668"/>
      <c r="D2" s="668"/>
      <c r="E2" s="668"/>
      <c r="F2" s="668"/>
      <c r="G2" s="668"/>
      <c r="H2" s="668"/>
      <c r="I2" s="668"/>
      <c r="J2" s="668"/>
      <c r="K2" s="668"/>
      <c r="L2" s="225"/>
      <c r="M2" s="225"/>
      <c r="N2" s="225"/>
      <c r="O2" s="225"/>
      <c r="P2" s="225"/>
      <c r="T2" s="666"/>
      <c r="U2" s="666"/>
    </row>
    <row r="3" spans="1:21" ht="15.75" thickBot="1" x14ac:dyDescent="0.3">
      <c r="F3" s="43" t="s">
        <v>30</v>
      </c>
      <c r="H3" s="44"/>
      <c r="I3" s="44"/>
      <c r="L3" s="28"/>
      <c r="M3" s="45"/>
      <c r="N3" s="45"/>
      <c r="O3" s="46"/>
      <c r="P3" s="46"/>
    </row>
    <row r="4" spans="1:21" ht="60.75" thickBot="1" x14ac:dyDescent="0.3">
      <c r="A4" s="47" t="s">
        <v>12</v>
      </c>
      <c r="B4" s="48" t="s">
        <v>1</v>
      </c>
      <c r="C4" s="49" t="s">
        <v>8</v>
      </c>
      <c r="D4" s="48" t="s">
        <v>13</v>
      </c>
      <c r="E4" s="48" t="s">
        <v>14</v>
      </c>
      <c r="F4" s="50" t="s">
        <v>31</v>
      </c>
      <c r="G4" s="50" t="s">
        <v>9</v>
      </c>
      <c r="H4" s="51" t="s">
        <v>15</v>
      </c>
      <c r="I4" s="51" t="s">
        <v>9</v>
      </c>
      <c r="J4" s="48" t="s">
        <v>10</v>
      </c>
      <c r="K4" s="52" t="s">
        <v>16</v>
      </c>
      <c r="L4" s="53"/>
      <c r="M4" s="669" t="s">
        <v>28</v>
      </c>
      <c r="N4" s="670"/>
      <c r="O4" s="670"/>
      <c r="P4" s="671"/>
      <c r="Q4" s="54" t="s">
        <v>17</v>
      </c>
      <c r="R4" s="55" t="s">
        <v>18</v>
      </c>
      <c r="S4" s="55" t="s">
        <v>19</v>
      </c>
      <c r="T4" s="55" t="s">
        <v>20</v>
      </c>
      <c r="U4" s="56" t="s">
        <v>21</v>
      </c>
    </row>
    <row r="5" spans="1:21" ht="17.25" customHeight="1" x14ac:dyDescent="0.25">
      <c r="A5" s="57">
        <v>1</v>
      </c>
      <c r="B5" s="58">
        <v>46019</v>
      </c>
      <c r="C5" s="59">
        <v>9109855</v>
      </c>
      <c r="D5" s="60">
        <v>50035534</v>
      </c>
      <c r="E5" s="61">
        <v>60.85</v>
      </c>
      <c r="F5" s="62">
        <f>[1]Platts2025!AD34-121.31</f>
        <v>530.57095238095235</v>
      </c>
      <c r="G5" s="30">
        <f>E5*F5</f>
        <v>32285.24245238095</v>
      </c>
      <c r="H5" s="63">
        <v>48581.26</v>
      </c>
      <c r="I5" s="64">
        <f>E5*H5</f>
        <v>2956169.6710000001</v>
      </c>
      <c r="J5" s="65" t="s">
        <v>22</v>
      </c>
      <c r="K5" s="66" t="s">
        <v>38</v>
      </c>
      <c r="L5" s="67"/>
      <c r="M5" s="57"/>
      <c r="N5" s="68"/>
      <c r="O5" s="68"/>
      <c r="P5" s="68"/>
      <c r="Q5" s="68"/>
      <c r="R5" s="58">
        <v>46026</v>
      </c>
      <c r="S5" s="68">
        <v>61.011000000000003</v>
      </c>
      <c r="T5" s="133">
        <f>S5-E5</f>
        <v>0.16100000000000136</v>
      </c>
      <c r="U5" s="69"/>
    </row>
    <row r="6" spans="1:21" ht="17.25" customHeight="1" x14ac:dyDescent="0.25">
      <c r="A6" s="70">
        <f>A5+1</f>
        <v>2</v>
      </c>
      <c r="B6" s="71">
        <v>46019</v>
      </c>
      <c r="C6" s="72">
        <v>9109855</v>
      </c>
      <c r="D6" s="73">
        <v>50393693</v>
      </c>
      <c r="E6" s="74">
        <v>61.05</v>
      </c>
      <c r="F6" s="75">
        <v>530.57000000000005</v>
      </c>
      <c r="G6" s="31">
        <f>E6*F6</f>
        <v>32391.298500000001</v>
      </c>
      <c r="H6" s="76">
        <v>48581.26</v>
      </c>
      <c r="I6" s="77">
        <f t="shared" ref="I6:I59" si="0">E6*H6</f>
        <v>2965885.923</v>
      </c>
      <c r="J6" s="65" t="s">
        <v>22</v>
      </c>
      <c r="K6" s="66" t="s">
        <v>38</v>
      </c>
      <c r="L6" s="78"/>
      <c r="M6" s="70"/>
      <c r="N6" s="75"/>
      <c r="O6" s="75"/>
      <c r="P6" s="75"/>
      <c r="Q6" s="75"/>
      <c r="R6" s="98">
        <v>46026</v>
      </c>
      <c r="S6" s="75">
        <v>60.817999999999998</v>
      </c>
      <c r="T6" s="133">
        <f>S6-E6</f>
        <v>-0.23199999999999932</v>
      </c>
      <c r="U6" s="79"/>
    </row>
    <row r="7" spans="1:21" ht="17.25" customHeight="1" x14ac:dyDescent="0.25">
      <c r="A7" s="70">
        <f t="shared" ref="A7:A59" si="1">A6+1</f>
        <v>3</v>
      </c>
      <c r="B7" s="71">
        <v>46019</v>
      </c>
      <c r="C7" s="72">
        <v>9109858</v>
      </c>
      <c r="D7" s="73">
        <v>50424894</v>
      </c>
      <c r="E7" s="74">
        <v>61.4</v>
      </c>
      <c r="F7" s="75">
        <v>530.57000000000005</v>
      </c>
      <c r="G7" s="31">
        <f t="shared" ref="G7:G59" si="2">E7*F7</f>
        <v>32576.998000000003</v>
      </c>
      <c r="H7" s="76">
        <v>48581.26</v>
      </c>
      <c r="I7" s="77">
        <f t="shared" si="0"/>
        <v>2982889.3640000001</v>
      </c>
      <c r="J7" s="65" t="s">
        <v>22</v>
      </c>
      <c r="K7" s="66" t="s">
        <v>38</v>
      </c>
      <c r="L7" s="78"/>
      <c r="M7" s="70"/>
      <c r="N7" s="75"/>
      <c r="O7" s="75"/>
      <c r="P7" s="75"/>
      <c r="Q7" s="75"/>
      <c r="R7" s="98">
        <v>46026</v>
      </c>
      <c r="S7" s="75">
        <v>61.704999999999998</v>
      </c>
      <c r="T7" s="133">
        <f>S7-E7</f>
        <v>0.30499999999999972</v>
      </c>
      <c r="U7" s="79"/>
    </row>
    <row r="8" spans="1:21" ht="17.25" customHeight="1" x14ac:dyDescent="0.25">
      <c r="A8" s="70">
        <f t="shared" si="1"/>
        <v>4</v>
      </c>
      <c r="B8" s="71">
        <v>46019</v>
      </c>
      <c r="C8" s="72">
        <v>9109855</v>
      </c>
      <c r="D8" s="73">
        <v>50428069</v>
      </c>
      <c r="E8" s="74">
        <v>61.05</v>
      </c>
      <c r="F8" s="75">
        <v>530.57000000000005</v>
      </c>
      <c r="G8" s="31">
        <f t="shared" si="2"/>
        <v>32391.298500000001</v>
      </c>
      <c r="H8" s="76">
        <v>48581.26</v>
      </c>
      <c r="I8" s="77">
        <f t="shared" si="0"/>
        <v>2965885.923</v>
      </c>
      <c r="J8" s="65" t="s">
        <v>22</v>
      </c>
      <c r="K8" s="66" t="s">
        <v>38</v>
      </c>
      <c r="L8" s="78"/>
      <c r="M8" s="70"/>
      <c r="N8" s="75"/>
      <c r="O8" s="75"/>
      <c r="P8" s="75"/>
      <c r="Q8" s="75"/>
      <c r="R8" s="98">
        <v>46026</v>
      </c>
      <c r="S8" s="75">
        <v>61.12</v>
      </c>
      <c r="T8" s="133">
        <f>S8-E8</f>
        <v>7.0000000000000284E-2</v>
      </c>
      <c r="U8" s="79"/>
    </row>
    <row r="9" spans="1:21" ht="17.25" customHeight="1" x14ac:dyDescent="0.25">
      <c r="A9" s="70">
        <f t="shared" si="1"/>
        <v>5</v>
      </c>
      <c r="B9" s="71">
        <v>46019</v>
      </c>
      <c r="C9" s="72">
        <v>9109859</v>
      </c>
      <c r="D9" s="73">
        <v>50464981</v>
      </c>
      <c r="E9" s="74">
        <v>53</v>
      </c>
      <c r="F9" s="75">
        <v>530.57000000000005</v>
      </c>
      <c r="G9" s="31">
        <f t="shared" si="2"/>
        <v>28120.210000000003</v>
      </c>
      <c r="H9" s="76">
        <v>48581.26</v>
      </c>
      <c r="I9" s="77">
        <f t="shared" si="0"/>
        <v>2574806.7800000003</v>
      </c>
      <c r="J9" s="65" t="s">
        <v>22</v>
      </c>
      <c r="K9" s="66" t="s">
        <v>38</v>
      </c>
      <c r="L9" s="78"/>
      <c r="M9" s="70"/>
      <c r="N9" s="75"/>
      <c r="O9" s="75"/>
      <c r="P9" s="75"/>
      <c r="Q9" s="75"/>
      <c r="R9" s="75"/>
      <c r="S9" s="75"/>
      <c r="T9" s="75"/>
      <c r="U9" s="79"/>
    </row>
    <row r="10" spans="1:21" ht="17.25" customHeight="1" x14ac:dyDescent="0.25">
      <c r="A10" s="70">
        <f t="shared" si="1"/>
        <v>6</v>
      </c>
      <c r="B10" s="71">
        <v>46019</v>
      </c>
      <c r="C10" s="72">
        <v>9109857</v>
      </c>
      <c r="D10" s="73">
        <v>50480961</v>
      </c>
      <c r="E10" s="74">
        <v>61</v>
      </c>
      <c r="F10" s="75">
        <v>530.57000000000005</v>
      </c>
      <c r="G10" s="31">
        <f t="shared" si="2"/>
        <v>32364.770000000004</v>
      </c>
      <c r="H10" s="76">
        <v>48581.26</v>
      </c>
      <c r="I10" s="77">
        <f t="shared" si="0"/>
        <v>2963456.8600000003</v>
      </c>
      <c r="J10" s="65" t="s">
        <v>22</v>
      </c>
      <c r="K10" s="66" t="s">
        <v>38</v>
      </c>
      <c r="L10" s="78"/>
      <c r="M10" s="70"/>
      <c r="N10" s="75"/>
      <c r="O10" s="75"/>
      <c r="P10" s="75"/>
      <c r="Q10" s="75"/>
      <c r="R10" s="98">
        <v>46026</v>
      </c>
      <c r="S10" s="75">
        <v>61.539000000000001</v>
      </c>
      <c r="T10" s="133">
        <f>S10-E10</f>
        <v>0.53900000000000148</v>
      </c>
      <c r="U10" s="79"/>
    </row>
    <row r="11" spans="1:21" ht="17.25" customHeight="1" x14ac:dyDescent="0.25">
      <c r="A11" s="70">
        <f t="shared" si="1"/>
        <v>7</v>
      </c>
      <c r="B11" s="71">
        <v>46019</v>
      </c>
      <c r="C11" s="72">
        <v>9109855</v>
      </c>
      <c r="D11" s="73">
        <v>50497171</v>
      </c>
      <c r="E11" s="74">
        <v>61</v>
      </c>
      <c r="F11" s="75">
        <v>530.57000000000005</v>
      </c>
      <c r="G11" s="31">
        <f t="shared" si="2"/>
        <v>32364.770000000004</v>
      </c>
      <c r="H11" s="76">
        <v>48581.26</v>
      </c>
      <c r="I11" s="77">
        <f t="shared" si="0"/>
        <v>2963456.8600000003</v>
      </c>
      <c r="J11" s="65" t="s">
        <v>22</v>
      </c>
      <c r="K11" s="66" t="s">
        <v>38</v>
      </c>
      <c r="L11" s="78"/>
      <c r="M11" s="70"/>
      <c r="N11" s="75"/>
      <c r="O11" s="75"/>
      <c r="P11" s="75"/>
      <c r="Q11" s="75"/>
      <c r="R11" s="98">
        <v>46026</v>
      </c>
      <c r="S11" s="75">
        <v>61.097999999999999</v>
      </c>
      <c r="T11" s="133">
        <f>S11-E11</f>
        <v>9.7999999999998977E-2</v>
      </c>
      <c r="U11" s="79"/>
    </row>
    <row r="12" spans="1:21" ht="17.25" customHeight="1" x14ac:dyDescent="0.25">
      <c r="A12" s="70">
        <f t="shared" si="1"/>
        <v>8</v>
      </c>
      <c r="B12" s="71">
        <v>46019</v>
      </c>
      <c r="C12" s="72">
        <v>9109858</v>
      </c>
      <c r="D12" s="73">
        <v>50723840</v>
      </c>
      <c r="E12" s="74">
        <v>60.85</v>
      </c>
      <c r="F12" s="75">
        <v>530.57000000000005</v>
      </c>
      <c r="G12" s="31">
        <f t="shared" si="2"/>
        <v>32285.184500000003</v>
      </c>
      <c r="H12" s="76">
        <v>48581.26</v>
      </c>
      <c r="I12" s="77">
        <f t="shared" si="0"/>
        <v>2956169.6710000001</v>
      </c>
      <c r="J12" s="65" t="s">
        <v>22</v>
      </c>
      <c r="K12" s="66" t="s">
        <v>38</v>
      </c>
      <c r="L12" s="78"/>
      <c r="M12" s="70"/>
      <c r="N12" s="75"/>
      <c r="O12" s="75"/>
      <c r="P12" s="75"/>
      <c r="Q12" s="75"/>
      <c r="R12" s="75"/>
      <c r="S12" s="75"/>
      <c r="T12" s="75"/>
      <c r="U12" s="79"/>
    </row>
    <row r="13" spans="1:21" ht="17.25" customHeight="1" x14ac:dyDescent="0.25">
      <c r="A13" s="70">
        <f t="shared" si="1"/>
        <v>9</v>
      </c>
      <c r="B13" s="71">
        <v>46019</v>
      </c>
      <c r="C13" s="72">
        <v>9109858</v>
      </c>
      <c r="D13" s="73">
        <v>50723907</v>
      </c>
      <c r="E13" s="74">
        <v>60.8</v>
      </c>
      <c r="F13" s="75">
        <v>530.57000000000005</v>
      </c>
      <c r="G13" s="31">
        <f t="shared" si="2"/>
        <v>32258.656000000003</v>
      </c>
      <c r="H13" s="76">
        <v>48581.26</v>
      </c>
      <c r="I13" s="77">
        <f t="shared" si="0"/>
        <v>2953740.608</v>
      </c>
      <c r="J13" s="65" t="s">
        <v>22</v>
      </c>
      <c r="K13" s="66" t="s">
        <v>38</v>
      </c>
      <c r="L13" s="78"/>
      <c r="M13" s="70"/>
      <c r="N13" s="75"/>
      <c r="O13" s="75"/>
      <c r="P13" s="75"/>
      <c r="Q13" s="75"/>
      <c r="R13" s="75"/>
      <c r="S13" s="75"/>
      <c r="T13" s="75"/>
      <c r="U13" s="79"/>
    </row>
    <row r="14" spans="1:21" ht="17.25" customHeight="1" x14ac:dyDescent="0.25">
      <c r="A14" s="70">
        <f t="shared" si="1"/>
        <v>10</v>
      </c>
      <c r="B14" s="71">
        <v>46019</v>
      </c>
      <c r="C14" s="72">
        <v>9109858</v>
      </c>
      <c r="D14" s="73">
        <v>50751890</v>
      </c>
      <c r="E14" s="74">
        <v>61.3</v>
      </c>
      <c r="F14" s="75">
        <v>530.57000000000005</v>
      </c>
      <c r="G14" s="31">
        <f t="shared" si="2"/>
        <v>32523.941000000003</v>
      </c>
      <c r="H14" s="76">
        <v>48581.26</v>
      </c>
      <c r="I14" s="77">
        <f t="shared" si="0"/>
        <v>2978031.2379999999</v>
      </c>
      <c r="J14" s="65" t="s">
        <v>22</v>
      </c>
      <c r="K14" s="66" t="s">
        <v>38</v>
      </c>
      <c r="L14" s="78"/>
      <c r="M14" s="70"/>
      <c r="N14" s="75"/>
      <c r="O14" s="75"/>
      <c r="P14" s="75"/>
      <c r="Q14" s="75"/>
      <c r="R14" s="98">
        <v>46026</v>
      </c>
      <c r="S14" s="75">
        <v>61.466999999999999</v>
      </c>
      <c r="T14" s="133">
        <f>S14-E14</f>
        <v>0.16700000000000159</v>
      </c>
      <c r="U14" s="79"/>
    </row>
    <row r="15" spans="1:21" ht="17.25" customHeight="1" x14ac:dyDescent="0.25">
      <c r="A15" s="70">
        <f t="shared" si="1"/>
        <v>11</v>
      </c>
      <c r="B15" s="71">
        <v>46019</v>
      </c>
      <c r="C15" s="72">
        <v>9109855</v>
      </c>
      <c r="D15" s="73">
        <v>51378982</v>
      </c>
      <c r="E15" s="74">
        <v>51.95</v>
      </c>
      <c r="F15" s="75">
        <v>530.57000000000005</v>
      </c>
      <c r="G15" s="31">
        <f t="shared" si="2"/>
        <v>27563.111500000003</v>
      </c>
      <c r="H15" s="76">
        <v>48581.26</v>
      </c>
      <c r="I15" s="77">
        <f t="shared" si="0"/>
        <v>2523796.4570000004</v>
      </c>
      <c r="J15" s="65" t="s">
        <v>22</v>
      </c>
      <c r="K15" s="66" t="s">
        <v>38</v>
      </c>
      <c r="L15" s="78"/>
      <c r="M15" s="70"/>
      <c r="N15" s="75"/>
      <c r="O15" s="75"/>
      <c r="P15" s="75"/>
      <c r="Q15" s="75"/>
      <c r="R15" s="98">
        <v>46029</v>
      </c>
      <c r="S15" s="75">
        <v>51.753</v>
      </c>
      <c r="T15" s="133">
        <f>S15-E15</f>
        <v>-0.19700000000000273</v>
      </c>
      <c r="U15" s="79"/>
    </row>
    <row r="16" spans="1:21" ht="17.25" customHeight="1" x14ac:dyDescent="0.25">
      <c r="A16" s="70">
        <f t="shared" si="1"/>
        <v>12</v>
      </c>
      <c r="B16" s="71">
        <v>46019</v>
      </c>
      <c r="C16" s="72">
        <v>9109858</v>
      </c>
      <c r="D16" s="73">
        <v>51411882</v>
      </c>
      <c r="E16" s="74">
        <v>60.65</v>
      </c>
      <c r="F16" s="75">
        <v>530.57000000000005</v>
      </c>
      <c r="G16" s="31">
        <f t="shared" si="2"/>
        <v>32179.070500000002</v>
      </c>
      <c r="H16" s="76">
        <v>48581.26</v>
      </c>
      <c r="I16" s="77">
        <f t="shared" si="0"/>
        <v>2946453.4190000002</v>
      </c>
      <c r="J16" s="65" t="s">
        <v>22</v>
      </c>
      <c r="K16" s="66" t="s">
        <v>38</v>
      </c>
      <c r="L16" s="78"/>
      <c r="M16" s="70"/>
      <c r="N16" s="75"/>
      <c r="O16" s="75"/>
      <c r="P16" s="75"/>
      <c r="Q16" s="75"/>
      <c r="R16" s="75"/>
      <c r="S16" s="75"/>
      <c r="T16" s="75"/>
      <c r="U16" s="79"/>
    </row>
    <row r="17" spans="1:21" ht="17.25" customHeight="1" x14ac:dyDescent="0.25">
      <c r="A17" s="70">
        <f t="shared" si="1"/>
        <v>13</v>
      </c>
      <c r="B17" s="71">
        <v>46019</v>
      </c>
      <c r="C17" s="72">
        <v>9109855</v>
      </c>
      <c r="D17" s="73">
        <v>51435709</v>
      </c>
      <c r="E17" s="74">
        <v>52.55</v>
      </c>
      <c r="F17" s="75">
        <v>530.57000000000005</v>
      </c>
      <c r="G17" s="31">
        <f t="shared" si="2"/>
        <v>27881.4535</v>
      </c>
      <c r="H17" s="76">
        <v>48581.26</v>
      </c>
      <c r="I17" s="77">
        <f t="shared" si="0"/>
        <v>2552945.213</v>
      </c>
      <c r="J17" s="65" t="s">
        <v>22</v>
      </c>
      <c r="K17" s="66" t="s">
        <v>38</v>
      </c>
      <c r="L17" s="78"/>
      <c r="M17" s="70"/>
      <c r="N17" s="75"/>
      <c r="O17" s="75"/>
      <c r="P17" s="75"/>
      <c r="Q17" s="75"/>
      <c r="R17" s="98">
        <v>46026</v>
      </c>
      <c r="S17" s="75">
        <v>52.637999999999998</v>
      </c>
      <c r="T17" s="133">
        <f>S17-E17</f>
        <v>8.8000000000000966E-2</v>
      </c>
      <c r="U17" s="79"/>
    </row>
    <row r="18" spans="1:21" ht="17.25" customHeight="1" x14ac:dyDescent="0.25">
      <c r="A18" s="70">
        <f t="shared" si="1"/>
        <v>14</v>
      </c>
      <c r="B18" s="71">
        <v>46019</v>
      </c>
      <c r="C18" s="72">
        <v>9109858</v>
      </c>
      <c r="D18" s="73">
        <v>51458354</v>
      </c>
      <c r="E18" s="74">
        <v>60.55</v>
      </c>
      <c r="F18" s="75">
        <v>530.57000000000005</v>
      </c>
      <c r="G18" s="31">
        <f t="shared" si="2"/>
        <v>32126.013500000001</v>
      </c>
      <c r="H18" s="76">
        <v>48581.26</v>
      </c>
      <c r="I18" s="77">
        <f t="shared" si="0"/>
        <v>2941595.2930000001</v>
      </c>
      <c r="J18" s="65" t="s">
        <v>22</v>
      </c>
      <c r="K18" s="66" t="s">
        <v>38</v>
      </c>
      <c r="L18" s="78"/>
      <c r="M18" s="70"/>
      <c r="N18" s="75"/>
      <c r="O18" s="75"/>
      <c r="P18" s="75"/>
      <c r="Q18" s="75"/>
      <c r="R18" s="98">
        <v>46026</v>
      </c>
      <c r="S18" s="75">
        <v>61.061</v>
      </c>
      <c r="T18" s="133">
        <f>S18-E18</f>
        <v>0.51100000000000279</v>
      </c>
      <c r="U18" s="79"/>
    </row>
    <row r="19" spans="1:21" ht="17.25" customHeight="1" x14ac:dyDescent="0.25">
      <c r="A19" s="70">
        <f t="shared" si="1"/>
        <v>15</v>
      </c>
      <c r="B19" s="71">
        <v>46019</v>
      </c>
      <c r="C19" s="72">
        <v>9109858</v>
      </c>
      <c r="D19" s="73">
        <v>51664332</v>
      </c>
      <c r="E19" s="74">
        <v>52.25</v>
      </c>
      <c r="F19" s="75">
        <v>530.57000000000005</v>
      </c>
      <c r="G19" s="31">
        <f t="shared" si="2"/>
        <v>27722.282500000001</v>
      </c>
      <c r="H19" s="76">
        <v>48581.26</v>
      </c>
      <c r="I19" s="77">
        <f t="shared" si="0"/>
        <v>2538370.835</v>
      </c>
      <c r="J19" s="65" t="s">
        <v>22</v>
      </c>
      <c r="K19" s="66" t="s">
        <v>38</v>
      </c>
      <c r="L19" s="78"/>
      <c r="M19" s="70"/>
      <c r="N19" s="75"/>
      <c r="O19" s="75"/>
      <c r="P19" s="75"/>
      <c r="Q19" s="75"/>
      <c r="R19" s="75"/>
      <c r="S19" s="75"/>
      <c r="T19" s="75"/>
      <c r="U19" s="79"/>
    </row>
    <row r="20" spans="1:21" ht="17.25" customHeight="1" x14ac:dyDescent="0.25">
      <c r="A20" s="70">
        <f t="shared" si="1"/>
        <v>16</v>
      </c>
      <c r="B20" s="71">
        <v>46019</v>
      </c>
      <c r="C20" s="72">
        <v>9109858</v>
      </c>
      <c r="D20" s="73">
        <v>51722726</v>
      </c>
      <c r="E20" s="74">
        <v>51.85</v>
      </c>
      <c r="F20" s="75">
        <v>530.57000000000005</v>
      </c>
      <c r="G20" s="31">
        <f t="shared" si="2"/>
        <v>27510.054500000002</v>
      </c>
      <c r="H20" s="76">
        <v>48581.26</v>
      </c>
      <c r="I20" s="77">
        <f t="shared" si="0"/>
        <v>2518938.3310000002</v>
      </c>
      <c r="J20" s="65" t="s">
        <v>22</v>
      </c>
      <c r="K20" s="66" t="s">
        <v>38</v>
      </c>
      <c r="L20" s="78"/>
      <c r="M20" s="70"/>
      <c r="N20" s="75"/>
      <c r="O20" s="75"/>
      <c r="P20" s="75"/>
      <c r="Q20" s="75"/>
      <c r="R20" s="98">
        <v>46026</v>
      </c>
      <c r="S20" s="75">
        <v>51.808</v>
      </c>
      <c r="T20" s="133">
        <f>S20-E20</f>
        <v>-4.2000000000001592E-2</v>
      </c>
      <c r="U20" s="79"/>
    </row>
    <row r="21" spans="1:21" ht="17.25" customHeight="1" x14ac:dyDescent="0.25">
      <c r="A21" s="70">
        <f t="shared" si="1"/>
        <v>17</v>
      </c>
      <c r="B21" s="71">
        <v>46019</v>
      </c>
      <c r="C21" s="72">
        <v>9109859</v>
      </c>
      <c r="D21" s="73">
        <v>51887388</v>
      </c>
      <c r="E21" s="74">
        <v>61.35</v>
      </c>
      <c r="F21" s="75">
        <v>530.57000000000005</v>
      </c>
      <c r="G21" s="31">
        <f t="shared" si="2"/>
        <v>32550.469500000003</v>
      </c>
      <c r="H21" s="76">
        <v>48581.26</v>
      </c>
      <c r="I21" s="77">
        <f t="shared" si="0"/>
        <v>2980460.301</v>
      </c>
      <c r="J21" s="65" t="s">
        <v>22</v>
      </c>
      <c r="K21" s="66" t="s">
        <v>38</v>
      </c>
      <c r="L21" s="78"/>
      <c r="M21" s="70"/>
      <c r="N21" s="75"/>
      <c r="O21" s="75"/>
      <c r="P21" s="75"/>
      <c r="Q21" s="75"/>
      <c r="R21" s="75"/>
      <c r="S21" s="75"/>
      <c r="T21" s="75"/>
      <c r="U21" s="79"/>
    </row>
    <row r="22" spans="1:21" ht="17.25" customHeight="1" x14ac:dyDescent="0.25">
      <c r="A22" s="70">
        <f t="shared" si="1"/>
        <v>18</v>
      </c>
      <c r="B22" s="71">
        <v>46019</v>
      </c>
      <c r="C22" s="72">
        <v>9109859</v>
      </c>
      <c r="D22" s="73">
        <v>53888053</v>
      </c>
      <c r="E22" s="74">
        <v>60.85</v>
      </c>
      <c r="F22" s="75">
        <v>530.57000000000005</v>
      </c>
      <c r="G22" s="31">
        <f t="shared" si="2"/>
        <v>32285.184500000003</v>
      </c>
      <c r="H22" s="76">
        <v>48581.26</v>
      </c>
      <c r="I22" s="77">
        <f t="shared" si="0"/>
        <v>2956169.6710000001</v>
      </c>
      <c r="J22" s="65" t="s">
        <v>22</v>
      </c>
      <c r="K22" s="66" t="s">
        <v>38</v>
      </c>
      <c r="L22" s="78"/>
      <c r="M22" s="70"/>
      <c r="N22" s="75"/>
      <c r="O22" s="75"/>
      <c r="P22" s="75"/>
      <c r="Q22" s="75"/>
      <c r="R22" s="75"/>
      <c r="S22" s="75"/>
      <c r="T22" s="75"/>
      <c r="U22" s="79"/>
    </row>
    <row r="23" spans="1:21" ht="17.25" customHeight="1" x14ac:dyDescent="0.25">
      <c r="A23" s="70">
        <f t="shared" si="1"/>
        <v>19</v>
      </c>
      <c r="B23" s="71">
        <v>46019</v>
      </c>
      <c r="C23" s="72">
        <v>9109859</v>
      </c>
      <c r="D23" s="73">
        <v>53974952</v>
      </c>
      <c r="E23" s="74">
        <v>51.5</v>
      </c>
      <c r="F23" s="75">
        <v>530.57000000000005</v>
      </c>
      <c r="G23" s="31">
        <f t="shared" si="2"/>
        <v>27324.355000000003</v>
      </c>
      <c r="H23" s="76">
        <v>48581.26</v>
      </c>
      <c r="I23" s="77">
        <f t="shared" si="0"/>
        <v>2501934.89</v>
      </c>
      <c r="J23" s="65" t="s">
        <v>22</v>
      </c>
      <c r="K23" s="66" t="s">
        <v>38</v>
      </c>
      <c r="L23" s="78"/>
      <c r="M23" s="70"/>
      <c r="N23" s="75"/>
      <c r="O23" s="75"/>
      <c r="P23" s="75"/>
      <c r="Q23" s="75"/>
      <c r="R23" s="75"/>
      <c r="S23" s="75"/>
      <c r="T23" s="75"/>
      <c r="U23" s="79"/>
    </row>
    <row r="24" spans="1:21" ht="17.25" customHeight="1" x14ac:dyDescent="0.25">
      <c r="A24" s="70">
        <f t="shared" si="1"/>
        <v>20</v>
      </c>
      <c r="B24" s="71">
        <v>46019</v>
      </c>
      <c r="C24" s="72">
        <v>9109859</v>
      </c>
      <c r="D24" s="73">
        <v>53985446</v>
      </c>
      <c r="E24" s="74">
        <v>52.5</v>
      </c>
      <c r="F24" s="75">
        <v>530.57000000000005</v>
      </c>
      <c r="G24" s="31">
        <f t="shared" si="2"/>
        <v>27854.925000000003</v>
      </c>
      <c r="H24" s="76">
        <v>48581.26</v>
      </c>
      <c r="I24" s="77">
        <f t="shared" si="0"/>
        <v>2550516.15</v>
      </c>
      <c r="J24" s="65" t="s">
        <v>22</v>
      </c>
      <c r="K24" s="66" t="s">
        <v>38</v>
      </c>
      <c r="L24" s="78"/>
      <c r="M24" s="70"/>
      <c r="N24" s="75"/>
      <c r="O24" s="75"/>
      <c r="P24" s="75"/>
      <c r="Q24" s="75"/>
      <c r="R24" s="75"/>
      <c r="S24" s="75"/>
      <c r="T24" s="75"/>
      <c r="U24" s="79"/>
    </row>
    <row r="25" spans="1:21" ht="17.25" customHeight="1" x14ac:dyDescent="0.25">
      <c r="A25" s="70">
        <f t="shared" si="1"/>
        <v>21</v>
      </c>
      <c r="B25" s="71">
        <v>46019</v>
      </c>
      <c r="C25" s="72">
        <v>9109855</v>
      </c>
      <c r="D25" s="73">
        <v>54070867</v>
      </c>
      <c r="E25" s="74">
        <v>60.8</v>
      </c>
      <c r="F25" s="75">
        <v>530.57000000000005</v>
      </c>
      <c r="G25" s="31">
        <f t="shared" si="2"/>
        <v>32258.656000000003</v>
      </c>
      <c r="H25" s="76">
        <v>48581.26</v>
      </c>
      <c r="I25" s="77">
        <f t="shared" si="0"/>
        <v>2953740.608</v>
      </c>
      <c r="J25" s="65" t="s">
        <v>22</v>
      </c>
      <c r="K25" s="66" t="s">
        <v>38</v>
      </c>
      <c r="L25" s="78"/>
      <c r="M25" s="70"/>
      <c r="N25" s="75"/>
      <c r="O25" s="75"/>
      <c r="P25" s="75"/>
      <c r="Q25" s="75"/>
      <c r="R25" s="98">
        <v>46026</v>
      </c>
      <c r="S25" s="75">
        <v>60.915999999999997</v>
      </c>
      <c r="T25" s="133">
        <f>S25-E25</f>
        <v>0.11599999999999966</v>
      </c>
      <c r="U25" s="79"/>
    </row>
    <row r="26" spans="1:21" ht="17.25" customHeight="1" x14ac:dyDescent="0.25">
      <c r="A26" s="70">
        <f t="shared" si="1"/>
        <v>22</v>
      </c>
      <c r="B26" s="71">
        <v>46019</v>
      </c>
      <c r="C26" s="72">
        <v>9109858</v>
      </c>
      <c r="D26" s="73">
        <v>54240213</v>
      </c>
      <c r="E26" s="74">
        <v>61.35</v>
      </c>
      <c r="F26" s="75">
        <v>530.57000000000005</v>
      </c>
      <c r="G26" s="31">
        <f t="shared" si="2"/>
        <v>32550.469500000003</v>
      </c>
      <c r="H26" s="76">
        <v>48581.26</v>
      </c>
      <c r="I26" s="77">
        <f t="shared" si="0"/>
        <v>2980460.301</v>
      </c>
      <c r="J26" s="65" t="s">
        <v>22</v>
      </c>
      <c r="K26" s="66" t="s">
        <v>38</v>
      </c>
      <c r="L26" s="78"/>
      <c r="M26" s="70"/>
      <c r="N26" s="75"/>
      <c r="O26" s="75"/>
      <c r="P26" s="75"/>
      <c r="Q26" s="75"/>
      <c r="R26" s="75"/>
      <c r="S26" s="75"/>
      <c r="T26" s="75"/>
      <c r="U26" s="79"/>
    </row>
    <row r="27" spans="1:21" ht="17.25" customHeight="1" x14ac:dyDescent="0.25">
      <c r="A27" s="70">
        <f t="shared" si="1"/>
        <v>23</v>
      </c>
      <c r="B27" s="71">
        <v>46019</v>
      </c>
      <c r="C27" s="72">
        <v>9109858</v>
      </c>
      <c r="D27" s="73">
        <v>54253109</v>
      </c>
      <c r="E27" s="74">
        <v>61.25</v>
      </c>
      <c r="F27" s="75">
        <v>530.57000000000005</v>
      </c>
      <c r="G27" s="31">
        <f t="shared" si="2"/>
        <v>32497.412500000002</v>
      </c>
      <c r="H27" s="76">
        <v>48581.26</v>
      </c>
      <c r="I27" s="77">
        <f t="shared" si="0"/>
        <v>2975602.1750000003</v>
      </c>
      <c r="J27" s="65" t="s">
        <v>22</v>
      </c>
      <c r="K27" s="66" t="s">
        <v>38</v>
      </c>
      <c r="L27" s="78"/>
      <c r="M27" s="70"/>
      <c r="N27" s="75"/>
      <c r="O27" s="75"/>
      <c r="P27" s="75"/>
      <c r="Q27" s="75"/>
      <c r="R27" s="98">
        <v>46026</v>
      </c>
      <c r="S27" s="75">
        <v>61.539000000000001</v>
      </c>
      <c r="T27" s="133">
        <f>S27-E27</f>
        <v>0.28900000000000148</v>
      </c>
      <c r="U27" s="79"/>
    </row>
    <row r="28" spans="1:21" ht="17.25" customHeight="1" x14ac:dyDescent="0.25">
      <c r="A28" s="70">
        <f t="shared" si="1"/>
        <v>24</v>
      </c>
      <c r="B28" s="71">
        <v>46019</v>
      </c>
      <c r="C28" s="72">
        <v>9109859</v>
      </c>
      <c r="D28" s="73">
        <v>55945927</v>
      </c>
      <c r="E28" s="74">
        <v>61.3</v>
      </c>
      <c r="F28" s="75">
        <v>530.57000000000005</v>
      </c>
      <c r="G28" s="31">
        <f t="shared" si="2"/>
        <v>32523.941000000003</v>
      </c>
      <c r="H28" s="76">
        <v>48581.26</v>
      </c>
      <c r="I28" s="77">
        <f t="shared" si="0"/>
        <v>2978031.2379999999</v>
      </c>
      <c r="J28" s="65" t="s">
        <v>22</v>
      </c>
      <c r="K28" s="66" t="s">
        <v>38</v>
      </c>
      <c r="L28" s="78"/>
      <c r="M28" s="70"/>
      <c r="N28" s="75"/>
      <c r="O28" s="75"/>
      <c r="P28" s="75"/>
      <c r="Q28" s="75"/>
      <c r="R28" s="75"/>
      <c r="S28" s="75"/>
      <c r="T28" s="75"/>
      <c r="U28" s="79"/>
    </row>
    <row r="29" spans="1:21" ht="17.25" customHeight="1" x14ac:dyDescent="0.25">
      <c r="A29" s="70">
        <f t="shared" si="1"/>
        <v>25</v>
      </c>
      <c r="B29" s="71">
        <v>46019</v>
      </c>
      <c r="C29" s="72">
        <v>9109859</v>
      </c>
      <c r="D29" s="73">
        <v>57227969</v>
      </c>
      <c r="E29" s="74">
        <v>61.25</v>
      </c>
      <c r="F29" s="75">
        <v>530.57000000000005</v>
      </c>
      <c r="G29" s="31">
        <f t="shared" si="2"/>
        <v>32497.412500000002</v>
      </c>
      <c r="H29" s="76">
        <v>48581.26</v>
      </c>
      <c r="I29" s="77">
        <f t="shared" si="0"/>
        <v>2975602.1750000003</v>
      </c>
      <c r="J29" s="65" t="s">
        <v>22</v>
      </c>
      <c r="K29" s="66" t="s">
        <v>38</v>
      </c>
      <c r="L29" s="78"/>
      <c r="M29" s="70"/>
      <c r="N29" s="75"/>
      <c r="O29" s="75"/>
      <c r="P29" s="75"/>
      <c r="Q29" s="75"/>
      <c r="R29" s="75"/>
      <c r="S29" s="75"/>
      <c r="T29" s="75"/>
      <c r="U29" s="79"/>
    </row>
    <row r="30" spans="1:21" ht="17.25" customHeight="1" x14ac:dyDescent="0.25">
      <c r="A30" s="70">
        <f t="shared" si="1"/>
        <v>26</v>
      </c>
      <c r="B30" s="71">
        <v>46019</v>
      </c>
      <c r="C30" s="72">
        <v>9109859</v>
      </c>
      <c r="D30" s="73">
        <v>57353153</v>
      </c>
      <c r="E30" s="74">
        <v>52.85</v>
      </c>
      <c r="F30" s="75">
        <v>530.57000000000005</v>
      </c>
      <c r="G30" s="31">
        <f t="shared" si="2"/>
        <v>28040.624500000002</v>
      </c>
      <c r="H30" s="76">
        <v>48581.26</v>
      </c>
      <c r="I30" s="77">
        <f t="shared" si="0"/>
        <v>2567519.591</v>
      </c>
      <c r="J30" s="65" t="s">
        <v>22</v>
      </c>
      <c r="K30" s="66" t="s">
        <v>38</v>
      </c>
      <c r="L30" s="78"/>
      <c r="M30" s="70"/>
      <c r="N30" s="75"/>
      <c r="O30" s="75"/>
      <c r="P30" s="75"/>
      <c r="Q30" s="75"/>
      <c r="R30" s="75"/>
      <c r="S30" s="75"/>
      <c r="T30" s="75"/>
      <c r="U30" s="79"/>
    </row>
    <row r="31" spans="1:21" ht="17.25" customHeight="1" x14ac:dyDescent="0.25">
      <c r="A31" s="70">
        <f t="shared" si="1"/>
        <v>27</v>
      </c>
      <c r="B31" s="71">
        <v>46019</v>
      </c>
      <c r="C31" s="72">
        <v>9109855</v>
      </c>
      <c r="D31" s="73">
        <v>57417883</v>
      </c>
      <c r="E31" s="74">
        <v>60.85</v>
      </c>
      <c r="F31" s="75">
        <v>530.57000000000005</v>
      </c>
      <c r="G31" s="31">
        <f t="shared" si="2"/>
        <v>32285.184500000003</v>
      </c>
      <c r="H31" s="76">
        <v>48581.26</v>
      </c>
      <c r="I31" s="77">
        <f t="shared" si="0"/>
        <v>2956169.6710000001</v>
      </c>
      <c r="J31" s="65" t="s">
        <v>22</v>
      </c>
      <c r="K31" s="66" t="s">
        <v>38</v>
      </c>
      <c r="L31" s="78"/>
      <c r="M31" s="70"/>
      <c r="N31" s="75"/>
      <c r="O31" s="75"/>
      <c r="P31" s="75"/>
      <c r="Q31" s="75"/>
      <c r="R31" s="98">
        <v>46026</v>
      </c>
      <c r="S31" s="75">
        <v>60.783000000000001</v>
      </c>
      <c r="T31" s="133">
        <f>S31-E31</f>
        <v>-6.7000000000000171E-2</v>
      </c>
      <c r="U31" s="79"/>
    </row>
    <row r="32" spans="1:21" ht="17.25" customHeight="1" x14ac:dyDescent="0.25">
      <c r="A32" s="70">
        <f t="shared" si="1"/>
        <v>28</v>
      </c>
      <c r="B32" s="71">
        <v>46019</v>
      </c>
      <c r="C32" s="72">
        <v>9109859</v>
      </c>
      <c r="D32" s="73">
        <v>57424491</v>
      </c>
      <c r="E32" s="74">
        <v>60.75</v>
      </c>
      <c r="F32" s="75">
        <v>530.57000000000005</v>
      </c>
      <c r="G32" s="31">
        <f t="shared" si="2"/>
        <v>32232.127500000002</v>
      </c>
      <c r="H32" s="76">
        <v>48581.26</v>
      </c>
      <c r="I32" s="77">
        <f t="shared" si="0"/>
        <v>2951311.5449999999</v>
      </c>
      <c r="J32" s="65" t="s">
        <v>22</v>
      </c>
      <c r="K32" s="66" t="s">
        <v>38</v>
      </c>
      <c r="L32" s="78"/>
      <c r="M32" s="70"/>
      <c r="N32" s="75"/>
      <c r="O32" s="75"/>
      <c r="P32" s="75"/>
      <c r="Q32" s="75"/>
      <c r="R32" s="75"/>
      <c r="S32" s="75"/>
      <c r="T32" s="75"/>
      <c r="U32" s="79"/>
    </row>
    <row r="33" spans="1:21" ht="17.25" customHeight="1" x14ac:dyDescent="0.25">
      <c r="A33" s="70">
        <f t="shared" si="1"/>
        <v>29</v>
      </c>
      <c r="B33" s="71">
        <v>46019</v>
      </c>
      <c r="C33" s="72">
        <v>9109857</v>
      </c>
      <c r="D33" s="73">
        <v>58345307</v>
      </c>
      <c r="E33" s="74">
        <v>60.85</v>
      </c>
      <c r="F33" s="75">
        <v>530.57000000000005</v>
      </c>
      <c r="G33" s="31">
        <f t="shared" si="2"/>
        <v>32285.184500000003</v>
      </c>
      <c r="H33" s="76">
        <v>48581.26</v>
      </c>
      <c r="I33" s="77">
        <f t="shared" si="0"/>
        <v>2956169.6710000001</v>
      </c>
      <c r="J33" s="65" t="s">
        <v>22</v>
      </c>
      <c r="K33" s="66" t="s">
        <v>38</v>
      </c>
      <c r="L33" s="78"/>
      <c r="M33" s="70"/>
      <c r="N33" s="75"/>
      <c r="O33" s="75"/>
      <c r="P33" s="75"/>
      <c r="Q33" s="75"/>
      <c r="R33" s="98">
        <v>46026</v>
      </c>
      <c r="S33" s="75">
        <v>60.567</v>
      </c>
      <c r="T33" s="133">
        <f>S33-E33</f>
        <v>-0.28300000000000125</v>
      </c>
      <c r="U33" s="79"/>
    </row>
    <row r="34" spans="1:21" ht="17.25" customHeight="1" x14ac:dyDescent="0.25">
      <c r="A34" s="70">
        <f t="shared" si="1"/>
        <v>30</v>
      </c>
      <c r="B34" s="71">
        <v>46019</v>
      </c>
      <c r="C34" s="72">
        <v>9109855</v>
      </c>
      <c r="D34" s="73">
        <v>73019945</v>
      </c>
      <c r="E34" s="74">
        <v>61.35</v>
      </c>
      <c r="F34" s="75">
        <v>530.57000000000005</v>
      </c>
      <c r="G34" s="31">
        <f t="shared" si="2"/>
        <v>32550.469500000003</v>
      </c>
      <c r="H34" s="76">
        <v>48581.26</v>
      </c>
      <c r="I34" s="77">
        <f t="shared" si="0"/>
        <v>2980460.301</v>
      </c>
      <c r="J34" s="65" t="s">
        <v>22</v>
      </c>
      <c r="K34" s="66" t="s">
        <v>38</v>
      </c>
      <c r="L34" s="78"/>
      <c r="M34" s="70"/>
      <c r="N34" s="75"/>
      <c r="O34" s="75"/>
      <c r="P34" s="75"/>
      <c r="Q34" s="75"/>
      <c r="R34" s="98">
        <v>46026</v>
      </c>
      <c r="S34" s="75">
        <v>59.936999999999998</v>
      </c>
      <c r="T34" s="133">
        <f>S34-E34</f>
        <v>-1.4130000000000038</v>
      </c>
      <c r="U34" s="79"/>
    </row>
    <row r="35" spans="1:21" ht="17.25" customHeight="1" x14ac:dyDescent="0.25">
      <c r="A35" s="70">
        <f t="shared" si="1"/>
        <v>31</v>
      </c>
      <c r="B35" s="71">
        <v>46019</v>
      </c>
      <c r="C35" s="72">
        <v>9109855</v>
      </c>
      <c r="D35" s="73">
        <v>73022477</v>
      </c>
      <c r="E35" s="74">
        <v>61.4</v>
      </c>
      <c r="F35" s="75">
        <v>530.57000000000005</v>
      </c>
      <c r="G35" s="31">
        <f t="shared" si="2"/>
        <v>32576.998000000003</v>
      </c>
      <c r="H35" s="76">
        <v>48581.26</v>
      </c>
      <c r="I35" s="77">
        <f t="shared" si="0"/>
        <v>2982889.3640000001</v>
      </c>
      <c r="J35" s="65" t="s">
        <v>22</v>
      </c>
      <c r="K35" s="66" t="s">
        <v>38</v>
      </c>
      <c r="L35" s="78"/>
      <c r="M35" s="70"/>
      <c r="N35" s="75"/>
      <c r="O35" s="75"/>
      <c r="P35" s="75"/>
      <c r="Q35" s="75"/>
      <c r="R35" s="98">
        <v>46029</v>
      </c>
      <c r="S35" s="75">
        <v>61.149000000000001</v>
      </c>
      <c r="T35" s="133">
        <f>S35-E35</f>
        <v>-0.25099999999999767</v>
      </c>
      <c r="U35" s="79"/>
    </row>
    <row r="36" spans="1:21" ht="17.25" customHeight="1" x14ac:dyDescent="0.25">
      <c r="A36" s="70">
        <f t="shared" si="1"/>
        <v>32</v>
      </c>
      <c r="B36" s="71">
        <v>46019</v>
      </c>
      <c r="C36" s="72">
        <v>9109857</v>
      </c>
      <c r="D36" s="73">
        <v>73072340</v>
      </c>
      <c r="E36" s="74">
        <v>61.35</v>
      </c>
      <c r="F36" s="75">
        <v>530.57000000000005</v>
      </c>
      <c r="G36" s="31">
        <f t="shared" si="2"/>
        <v>32550.469500000003</v>
      </c>
      <c r="H36" s="76">
        <v>48581.26</v>
      </c>
      <c r="I36" s="77">
        <f t="shared" si="0"/>
        <v>2980460.301</v>
      </c>
      <c r="J36" s="65" t="s">
        <v>22</v>
      </c>
      <c r="K36" s="66" t="s">
        <v>38</v>
      </c>
      <c r="L36" s="78"/>
      <c r="M36" s="70"/>
      <c r="N36" s="75"/>
      <c r="O36" s="75"/>
      <c r="P36" s="75"/>
      <c r="Q36" s="75"/>
      <c r="R36" s="98">
        <v>46026</v>
      </c>
      <c r="S36" s="75">
        <v>61.212000000000003</v>
      </c>
      <c r="T36" s="133">
        <f>S36-E36</f>
        <v>-0.13799999999999812</v>
      </c>
      <c r="U36" s="79"/>
    </row>
    <row r="37" spans="1:21" ht="17.25" customHeight="1" x14ac:dyDescent="0.25">
      <c r="A37" s="70">
        <f t="shared" si="1"/>
        <v>33</v>
      </c>
      <c r="B37" s="71">
        <v>46019</v>
      </c>
      <c r="C37" s="72">
        <v>9109857</v>
      </c>
      <c r="D37" s="73">
        <v>73081275</v>
      </c>
      <c r="E37" s="74">
        <v>61.55</v>
      </c>
      <c r="F37" s="75">
        <v>530.57000000000005</v>
      </c>
      <c r="G37" s="31">
        <f t="shared" si="2"/>
        <v>32656.583500000001</v>
      </c>
      <c r="H37" s="76">
        <v>48581.26</v>
      </c>
      <c r="I37" s="77">
        <f t="shared" si="0"/>
        <v>2990176.5529999998</v>
      </c>
      <c r="J37" s="65" t="s">
        <v>22</v>
      </c>
      <c r="K37" s="66" t="s">
        <v>38</v>
      </c>
      <c r="L37" s="78"/>
      <c r="M37" s="70"/>
      <c r="N37" s="75"/>
      <c r="O37" s="75"/>
      <c r="P37" s="75"/>
      <c r="Q37" s="75"/>
      <c r="R37" s="98">
        <v>46026</v>
      </c>
      <c r="S37" s="75">
        <v>61.402999999999999</v>
      </c>
      <c r="T37" s="133">
        <f>S37-E37</f>
        <v>-0.14699999999999847</v>
      </c>
      <c r="U37" s="79"/>
    </row>
    <row r="38" spans="1:21" ht="17.25" customHeight="1" x14ac:dyDescent="0.25">
      <c r="A38" s="70">
        <f t="shared" si="1"/>
        <v>34</v>
      </c>
      <c r="B38" s="71">
        <v>46019</v>
      </c>
      <c r="C38" s="72">
        <v>9109858</v>
      </c>
      <c r="D38" s="73">
        <v>73098600</v>
      </c>
      <c r="E38" s="74">
        <v>61.35</v>
      </c>
      <c r="F38" s="75">
        <v>530.57000000000005</v>
      </c>
      <c r="G38" s="31">
        <f t="shared" si="2"/>
        <v>32550.469500000003</v>
      </c>
      <c r="H38" s="76">
        <v>48581.26</v>
      </c>
      <c r="I38" s="77">
        <f t="shared" si="0"/>
        <v>2980460.301</v>
      </c>
      <c r="J38" s="65" t="s">
        <v>22</v>
      </c>
      <c r="K38" s="66" t="s">
        <v>38</v>
      </c>
      <c r="L38" s="78"/>
      <c r="M38" s="70"/>
      <c r="N38" s="75"/>
      <c r="O38" s="75"/>
      <c r="P38" s="75"/>
      <c r="Q38" s="75"/>
      <c r="R38" s="75"/>
      <c r="S38" s="75"/>
      <c r="T38" s="75"/>
      <c r="U38" s="79"/>
    </row>
    <row r="39" spans="1:21" ht="17.25" customHeight="1" x14ac:dyDescent="0.25">
      <c r="A39" s="70">
        <f t="shared" si="1"/>
        <v>35</v>
      </c>
      <c r="B39" s="71">
        <v>46019</v>
      </c>
      <c r="C39" s="72">
        <v>9109857</v>
      </c>
      <c r="D39" s="73">
        <v>73109662</v>
      </c>
      <c r="E39" s="74">
        <v>61.45</v>
      </c>
      <c r="F39" s="75">
        <v>530.57000000000005</v>
      </c>
      <c r="G39" s="31">
        <f t="shared" si="2"/>
        <v>32603.526500000004</v>
      </c>
      <c r="H39" s="76">
        <v>48581.26</v>
      </c>
      <c r="I39" s="77">
        <f t="shared" si="0"/>
        <v>2985318.4270000001</v>
      </c>
      <c r="J39" s="65" t="s">
        <v>22</v>
      </c>
      <c r="K39" s="66" t="s">
        <v>38</v>
      </c>
      <c r="L39" s="78"/>
      <c r="M39" s="70"/>
      <c r="N39" s="75"/>
      <c r="O39" s="75"/>
      <c r="P39" s="75"/>
      <c r="Q39" s="75"/>
      <c r="R39" s="98">
        <v>46026</v>
      </c>
      <c r="S39" s="75">
        <v>61.350999999999999</v>
      </c>
      <c r="T39" s="133">
        <f t="shared" ref="T39:T44" si="3">S39-E39</f>
        <v>-9.9000000000003752E-2</v>
      </c>
      <c r="U39" s="79"/>
    </row>
    <row r="40" spans="1:21" ht="17.25" customHeight="1" x14ac:dyDescent="0.25">
      <c r="A40" s="70">
        <f t="shared" si="1"/>
        <v>36</v>
      </c>
      <c r="B40" s="71">
        <v>46019</v>
      </c>
      <c r="C40" s="72">
        <v>9109855</v>
      </c>
      <c r="D40" s="73">
        <v>73117988</v>
      </c>
      <c r="E40" s="74">
        <v>61.3</v>
      </c>
      <c r="F40" s="75">
        <v>530.57000000000005</v>
      </c>
      <c r="G40" s="31">
        <f t="shared" si="2"/>
        <v>32523.941000000003</v>
      </c>
      <c r="H40" s="76">
        <v>48581.26</v>
      </c>
      <c r="I40" s="77">
        <f t="shared" si="0"/>
        <v>2978031.2379999999</v>
      </c>
      <c r="J40" s="65" t="s">
        <v>22</v>
      </c>
      <c r="K40" s="66" t="s">
        <v>38</v>
      </c>
      <c r="L40" s="78"/>
      <c r="M40" s="70"/>
      <c r="N40" s="75"/>
      <c r="O40" s="75"/>
      <c r="P40" s="75"/>
      <c r="Q40" s="75"/>
      <c r="R40" s="98">
        <v>46029</v>
      </c>
      <c r="S40" s="75">
        <v>61.427999999999997</v>
      </c>
      <c r="T40" s="133">
        <f t="shared" si="3"/>
        <v>0.12800000000000011</v>
      </c>
      <c r="U40" s="79"/>
    </row>
    <row r="41" spans="1:21" ht="17.25" customHeight="1" x14ac:dyDescent="0.25">
      <c r="A41" s="70">
        <f t="shared" si="1"/>
        <v>37</v>
      </c>
      <c r="B41" s="71">
        <v>46019</v>
      </c>
      <c r="C41" s="72">
        <v>9109855</v>
      </c>
      <c r="D41" s="73">
        <v>73118671</v>
      </c>
      <c r="E41" s="74">
        <v>61.45</v>
      </c>
      <c r="F41" s="75">
        <v>530.57000000000005</v>
      </c>
      <c r="G41" s="31">
        <f t="shared" si="2"/>
        <v>32603.526500000004</v>
      </c>
      <c r="H41" s="76">
        <v>48581.26</v>
      </c>
      <c r="I41" s="77">
        <f t="shared" si="0"/>
        <v>2985318.4270000001</v>
      </c>
      <c r="J41" s="65" t="s">
        <v>22</v>
      </c>
      <c r="K41" s="66" t="s">
        <v>38</v>
      </c>
      <c r="L41" s="78"/>
      <c r="M41" s="70"/>
      <c r="N41" s="75"/>
      <c r="O41" s="75"/>
      <c r="P41" s="75"/>
      <c r="Q41" s="75"/>
      <c r="R41" s="98">
        <v>46026</v>
      </c>
      <c r="S41" s="75">
        <v>61.472999999999999</v>
      </c>
      <c r="T41" s="75">
        <f t="shared" si="3"/>
        <v>2.2999999999996135E-2</v>
      </c>
      <c r="U41" s="79"/>
    </row>
    <row r="42" spans="1:21" ht="17.25" customHeight="1" x14ac:dyDescent="0.25">
      <c r="A42" s="70">
        <f t="shared" si="1"/>
        <v>38</v>
      </c>
      <c r="B42" s="71">
        <v>46019</v>
      </c>
      <c r="C42" s="72">
        <v>9109857</v>
      </c>
      <c r="D42" s="73">
        <v>73119653</v>
      </c>
      <c r="E42" s="74">
        <v>61.65</v>
      </c>
      <c r="F42" s="75">
        <v>530.57000000000005</v>
      </c>
      <c r="G42" s="31">
        <f t="shared" si="2"/>
        <v>32709.640500000001</v>
      </c>
      <c r="H42" s="76">
        <v>48581.26</v>
      </c>
      <c r="I42" s="77">
        <f t="shared" si="0"/>
        <v>2995034.679</v>
      </c>
      <c r="J42" s="65" t="s">
        <v>22</v>
      </c>
      <c r="K42" s="66" t="s">
        <v>38</v>
      </c>
      <c r="L42" s="78"/>
      <c r="M42" s="70"/>
      <c r="N42" s="75"/>
      <c r="O42" s="75"/>
      <c r="P42" s="75"/>
      <c r="Q42" s="75"/>
      <c r="R42" s="98">
        <v>46026</v>
      </c>
      <c r="S42" s="75">
        <v>61.481000000000002</v>
      </c>
      <c r="T42" s="133">
        <f t="shared" si="3"/>
        <v>-0.16899999999999693</v>
      </c>
      <c r="U42" s="79"/>
    </row>
    <row r="43" spans="1:21" ht="17.25" customHeight="1" x14ac:dyDescent="0.25">
      <c r="A43" s="70">
        <f t="shared" si="1"/>
        <v>39</v>
      </c>
      <c r="B43" s="71">
        <v>46019</v>
      </c>
      <c r="C43" s="72">
        <v>9109855</v>
      </c>
      <c r="D43" s="73">
        <v>73136004</v>
      </c>
      <c r="E43" s="74">
        <v>61.55</v>
      </c>
      <c r="F43" s="75">
        <v>530.57000000000005</v>
      </c>
      <c r="G43" s="31">
        <f t="shared" si="2"/>
        <v>32656.583500000001</v>
      </c>
      <c r="H43" s="76">
        <v>48581.26</v>
      </c>
      <c r="I43" s="77">
        <f t="shared" si="0"/>
        <v>2990176.5529999998</v>
      </c>
      <c r="J43" s="65" t="s">
        <v>22</v>
      </c>
      <c r="K43" s="66" t="s">
        <v>38</v>
      </c>
      <c r="L43" s="78"/>
      <c r="M43" s="70"/>
      <c r="N43" s="75"/>
      <c r="O43" s="75"/>
      <c r="P43" s="75"/>
      <c r="Q43" s="75"/>
      <c r="R43" s="98">
        <v>46029</v>
      </c>
      <c r="S43" s="75">
        <v>61.271000000000001</v>
      </c>
      <c r="T43" s="133">
        <f t="shared" si="3"/>
        <v>-0.27899999999999636</v>
      </c>
      <c r="U43" s="79"/>
    </row>
    <row r="44" spans="1:21" ht="17.25" customHeight="1" x14ac:dyDescent="0.25">
      <c r="A44" s="70">
        <f t="shared" si="1"/>
        <v>40</v>
      </c>
      <c r="B44" s="71">
        <v>46019</v>
      </c>
      <c r="C44" s="72">
        <v>9109855</v>
      </c>
      <c r="D44" s="73">
        <v>73221905</v>
      </c>
      <c r="E44" s="74">
        <v>61.55</v>
      </c>
      <c r="F44" s="75">
        <v>530.57000000000005</v>
      </c>
      <c r="G44" s="31">
        <f t="shared" si="2"/>
        <v>32656.583500000001</v>
      </c>
      <c r="H44" s="76">
        <v>48581.26</v>
      </c>
      <c r="I44" s="77">
        <f t="shared" si="0"/>
        <v>2990176.5529999998</v>
      </c>
      <c r="J44" s="65" t="s">
        <v>22</v>
      </c>
      <c r="K44" s="66" t="s">
        <v>38</v>
      </c>
      <c r="L44" s="78"/>
      <c r="M44" s="70"/>
      <c r="N44" s="75"/>
      <c r="O44" s="75"/>
      <c r="P44" s="75"/>
      <c r="Q44" s="75"/>
      <c r="R44" s="98">
        <v>46026</v>
      </c>
      <c r="S44" s="75">
        <v>61.472999999999999</v>
      </c>
      <c r="T44" s="75">
        <f t="shared" si="3"/>
        <v>-7.6999999999998181E-2</v>
      </c>
      <c r="U44" s="79"/>
    </row>
    <row r="45" spans="1:21" ht="17.25" customHeight="1" x14ac:dyDescent="0.25">
      <c r="A45" s="70">
        <f t="shared" si="1"/>
        <v>41</v>
      </c>
      <c r="B45" s="71">
        <v>46019</v>
      </c>
      <c r="C45" s="72">
        <v>9109859</v>
      </c>
      <c r="D45" s="73">
        <v>74905373</v>
      </c>
      <c r="E45" s="74">
        <v>61.25</v>
      </c>
      <c r="F45" s="75">
        <v>530.57000000000005</v>
      </c>
      <c r="G45" s="31">
        <f t="shared" si="2"/>
        <v>32497.412500000002</v>
      </c>
      <c r="H45" s="76">
        <v>48581.26</v>
      </c>
      <c r="I45" s="77">
        <f t="shared" si="0"/>
        <v>2975602.1750000003</v>
      </c>
      <c r="J45" s="65" t="s">
        <v>22</v>
      </c>
      <c r="K45" s="66" t="s">
        <v>38</v>
      </c>
      <c r="L45" s="78"/>
      <c r="M45" s="70"/>
      <c r="N45" s="75"/>
      <c r="O45" s="75"/>
      <c r="P45" s="75"/>
      <c r="Q45" s="75"/>
      <c r="R45" s="75"/>
      <c r="S45" s="75"/>
      <c r="T45" s="75"/>
      <c r="U45" s="79"/>
    </row>
    <row r="46" spans="1:21" ht="17.25" customHeight="1" x14ac:dyDescent="0.25">
      <c r="A46" s="70">
        <f t="shared" si="1"/>
        <v>42</v>
      </c>
      <c r="B46" s="71">
        <v>46019</v>
      </c>
      <c r="C46" s="72">
        <v>9109858</v>
      </c>
      <c r="D46" s="73">
        <v>75011528</v>
      </c>
      <c r="E46" s="74">
        <v>60.85</v>
      </c>
      <c r="F46" s="75">
        <v>530.57000000000005</v>
      </c>
      <c r="G46" s="31">
        <f t="shared" si="2"/>
        <v>32285.184500000003</v>
      </c>
      <c r="H46" s="76">
        <v>48581.26</v>
      </c>
      <c r="I46" s="77">
        <f t="shared" si="0"/>
        <v>2956169.6710000001</v>
      </c>
      <c r="J46" s="65" t="s">
        <v>22</v>
      </c>
      <c r="K46" s="66" t="s">
        <v>38</v>
      </c>
      <c r="L46" s="78"/>
      <c r="M46" s="70"/>
      <c r="N46" s="75"/>
      <c r="O46" s="75"/>
      <c r="P46" s="75"/>
      <c r="Q46" s="75"/>
      <c r="R46" s="75"/>
      <c r="S46" s="75"/>
      <c r="T46" s="75"/>
      <c r="U46" s="79"/>
    </row>
    <row r="47" spans="1:21" ht="17.25" customHeight="1" x14ac:dyDescent="0.25">
      <c r="A47" s="70">
        <f t="shared" si="1"/>
        <v>43</v>
      </c>
      <c r="B47" s="71">
        <v>46019</v>
      </c>
      <c r="C47" s="72">
        <v>9109859</v>
      </c>
      <c r="D47" s="73">
        <v>75062224</v>
      </c>
      <c r="E47" s="74">
        <v>61.2</v>
      </c>
      <c r="F47" s="75">
        <v>530.57000000000005</v>
      </c>
      <c r="G47" s="31">
        <f t="shared" si="2"/>
        <v>32470.884000000005</v>
      </c>
      <c r="H47" s="76">
        <v>48581.26</v>
      </c>
      <c r="I47" s="77">
        <f t="shared" si="0"/>
        <v>2973173.1120000002</v>
      </c>
      <c r="J47" s="65" t="s">
        <v>22</v>
      </c>
      <c r="K47" s="66" t="s">
        <v>38</v>
      </c>
      <c r="L47" s="78"/>
      <c r="M47" s="70"/>
      <c r="N47" s="75"/>
      <c r="O47" s="75"/>
      <c r="P47" s="75"/>
      <c r="Q47" s="75"/>
      <c r="R47" s="75"/>
      <c r="S47" s="75"/>
      <c r="T47" s="75"/>
      <c r="U47" s="79"/>
    </row>
    <row r="48" spans="1:21" ht="17.25" customHeight="1" x14ac:dyDescent="0.25">
      <c r="A48" s="70">
        <f t="shared" si="1"/>
        <v>44</v>
      </c>
      <c r="B48" s="71">
        <v>46019</v>
      </c>
      <c r="C48" s="72">
        <v>9109859</v>
      </c>
      <c r="D48" s="73">
        <v>75071811</v>
      </c>
      <c r="E48" s="74">
        <v>60.9</v>
      </c>
      <c r="F48" s="75">
        <v>530.57000000000005</v>
      </c>
      <c r="G48" s="31">
        <f t="shared" si="2"/>
        <v>32311.713000000003</v>
      </c>
      <c r="H48" s="76">
        <v>48581.26</v>
      </c>
      <c r="I48" s="77">
        <f t="shared" si="0"/>
        <v>2958598.7340000002</v>
      </c>
      <c r="J48" s="65" t="s">
        <v>22</v>
      </c>
      <c r="K48" s="66" t="s">
        <v>38</v>
      </c>
      <c r="L48" s="78"/>
      <c r="M48" s="70"/>
      <c r="N48" s="75"/>
      <c r="O48" s="75"/>
      <c r="P48" s="75"/>
      <c r="Q48" s="75"/>
      <c r="R48" s="75"/>
      <c r="S48" s="75"/>
      <c r="T48" s="75"/>
      <c r="U48" s="79"/>
    </row>
    <row r="49" spans="1:21" ht="17.25" customHeight="1" x14ac:dyDescent="0.25">
      <c r="A49" s="70">
        <f t="shared" si="1"/>
        <v>45</v>
      </c>
      <c r="B49" s="71">
        <v>46019</v>
      </c>
      <c r="C49" s="72">
        <v>9109858</v>
      </c>
      <c r="D49" s="73">
        <v>75072363</v>
      </c>
      <c r="E49" s="74">
        <v>61.3</v>
      </c>
      <c r="F49" s="75">
        <v>530.57000000000005</v>
      </c>
      <c r="G49" s="31">
        <f t="shared" si="2"/>
        <v>32523.941000000003</v>
      </c>
      <c r="H49" s="76">
        <v>48581.26</v>
      </c>
      <c r="I49" s="77">
        <f t="shared" si="0"/>
        <v>2978031.2379999999</v>
      </c>
      <c r="J49" s="65" t="s">
        <v>22</v>
      </c>
      <c r="K49" s="66" t="s">
        <v>38</v>
      </c>
      <c r="L49" s="78"/>
      <c r="M49" s="70"/>
      <c r="N49" s="75"/>
      <c r="O49" s="75"/>
      <c r="P49" s="75"/>
      <c r="Q49" s="75"/>
      <c r="R49" s="75"/>
      <c r="S49" s="75"/>
      <c r="T49" s="75"/>
      <c r="U49" s="79"/>
    </row>
    <row r="50" spans="1:21" ht="17.25" customHeight="1" x14ac:dyDescent="0.25">
      <c r="A50" s="70">
        <f t="shared" si="1"/>
        <v>46</v>
      </c>
      <c r="B50" s="71">
        <v>46019</v>
      </c>
      <c r="C50" s="72">
        <v>9109855</v>
      </c>
      <c r="D50" s="73">
        <v>75088104</v>
      </c>
      <c r="E50" s="74">
        <v>61.4</v>
      </c>
      <c r="F50" s="75">
        <v>530.57000000000005</v>
      </c>
      <c r="G50" s="31">
        <f t="shared" si="2"/>
        <v>32576.998000000003</v>
      </c>
      <c r="H50" s="76">
        <v>48581.26</v>
      </c>
      <c r="I50" s="77">
        <f t="shared" si="0"/>
        <v>2982889.3640000001</v>
      </c>
      <c r="J50" s="65" t="s">
        <v>22</v>
      </c>
      <c r="K50" s="66" t="s">
        <v>38</v>
      </c>
      <c r="L50" s="78"/>
      <c r="M50" s="70"/>
      <c r="N50" s="75"/>
      <c r="O50" s="75"/>
      <c r="P50" s="75"/>
      <c r="Q50" s="75"/>
      <c r="R50" s="98">
        <v>46026</v>
      </c>
      <c r="S50" s="75">
        <v>61.292999999999999</v>
      </c>
      <c r="T50" s="133">
        <f>S50-E50</f>
        <v>-0.10699999999999932</v>
      </c>
      <c r="U50" s="79"/>
    </row>
    <row r="51" spans="1:21" ht="17.25" customHeight="1" x14ac:dyDescent="0.25">
      <c r="A51" s="70">
        <f t="shared" si="1"/>
        <v>47</v>
      </c>
      <c r="B51" s="71">
        <v>46019</v>
      </c>
      <c r="C51" s="72">
        <v>9109859</v>
      </c>
      <c r="D51" s="73">
        <v>75089912</v>
      </c>
      <c r="E51" s="74">
        <v>61.65</v>
      </c>
      <c r="F51" s="75">
        <v>530.57000000000005</v>
      </c>
      <c r="G51" s="31">
        <f t="shared" si="2"/>
        <v>32709.640500000001</v>
      </c>
      <c r="H51" s="76">
        <v>48581.26</v>
      </c>
      <c r="I51" s="77">
        <f t="shared" si="0"/>
        <v>2995034.679</v>
      </c>
      <c r="J51" s="65" t="s">
        <v>22</v>
      </c>
      <c r="K51" s="66" t="s">
        <v>38</v>
      </c>
      <c r="L51" s="78"/>
      <c r="M51" s="70"/>
      <c r="N51" s="75"/>
      <c r="O51" s="75"/>
      <c r="P51" s="75"/>
      <c r="Q51" s="75"/>
      <c r="R51" s="75"/>
      <c r="S51" s="75"/>
      <c r="T51" s="75"/>
      <c r="U51" s="79"/>
    </row>
    <row r="52" spans="1:21" ht="17.25" customHeight="1" x14ac:dyDescent="0.25">
      <c r="A52" s="70">
        <f t="shared" si="1"/>
        <v>48</v>
      </c>
      <c r="B52" s="71">
        <v>46019</v>
      </c>
      <c r="C52" s="72">
        <v>9109858</v>
      </c>
      <c r="D52" s="73">
        <v>75123422</v>
      </c>
      <c r="E52" s="74">
        <v>61.25</v>
      </c>
      <c r="F52" s="75">
        <v>530.57000000000005</v>
      </c>
      <c r="G52" s="31">
        <f t="shared" si="2"/>
        <v>32497.412500000002</v>
      </c>
      <c r="H52" s="76">
        <v>48581.26</v>
      </c>
      <c r="I52" s="77">
        <f t="shared" si="0"/>
        <v>2975602.1750000003</v>
      </c>
      <c r="J52" s="65" t="s">
        <v>22</v>
      </c>
      <c r="K52" s="66" t="s">
        <v>38</v>
      </c>
      <c r="L52" s="78"/>
      <c r="M52" s="70"/>
      <c r="N52" s="75"/>
      <c r="O52" s="75"/>
      <c r="P52" s="75"/>
      <c r="Q52" s="75"/>
      <c r="R52" s="75"/>
      <c r="S52" s="75"/>
      <c r="T52" s="75"/>
      <c r="U52" s="79"/>
    </row>
    <row r="53" spans="1:21" ht="17.25" customHeight="1" x14ac:dyDescent="0.25">
      <c r="A53" s="70">
        <f t="shared" si="1"/>
        <v>49</v>
      </c>
      <c r="B53" s="71">
        <v>46019</v>
      </c>
      <c r="C53" s="72">
        <v>9109855</v>
      </c>
      <c r="D53" s="73">
        <v>75211607</v>
      </c>
      <c r="E53" s="74">
        <v>61.8</v>
      </c>
      <c r="F53" s="75">
        <v>530.57000000000005</v>
      </c>
      <c r="G53" s="31">
        <f t="shared" si="2"/>
        <v>32789.226000000002</v>
      </c>
      <c r="H53" s="76">
        <v>48581.26</v>
      </c>
      <c r="I53" s="77">
        <f t="shared" si="0"/>
        <v>3002321.8679999998</v>
      </c>
      <c r="J53" s="65" t="s">
        <v>22</v>
      </c>
      <c r="K53" s="66" t="s">
        <v>38</v>
      </c>
      <c r="L53" s="78"/>
      <c r="M53" s="70"/>
      <c r="N53" s="75"/>
      <c r="O53" s="75"/>
      <c r="P53" s="75"/>
      <c r="Q53" s="75"/>
      <c r="R53" s="98">
        <v>46026</v>
      </c>
      <c r="S53" s="75">
        <v>61.802</v>
      </c>
      <c r="T53" s="133">
        <f>S53-E53</f>
        <v>2.0000000000024443E-3</v>
      </c>
      <c r="U53" s="79"/>
    </row>
    <row r="54" spans="1:21" ht="17.25" customHeight="1" x14ac:dyDescent="0.25">
      <c r="A54" s="70">
        <f t="shared" si="1"/>
        <v>50</v>
      </c>
      <c r="B54" s="71">
        <v>46019</v>
      </c>
      <c r="C54" s="72">
        <v>9109855</v>
      </c>
      <c r="D54" s="73">
        <v>75261305</v>
      </c>
      <c r="E54" s="74">
        <v>61.8</v>
      </c>
      <c r="F54" s="75">
        <v>530.57000000000005</v>
      </c>
      <c r="G54" s="31">
        <f t="shared" si="2"/>
        <v>32789.226000000002</v>
      </c>
      <c r="H54" s="76">
        <v>48581.26</v>
      </c>
      <c r="I54" s="77">
        <f t="shared" si="0"/>
        <v>3002321.8679999998</v>
      </c>
      <c r="J54" s="65" t="s">
        <v>22</v>
      </c>
      <c r="K54" s="66" t="s">
        <v>38</v>
      </c>
      <c r="L54" s="78"/>
      <c r="M54" s="70"/>
      <c r="N54" s="75"/>
      <c r="O54" s="75"/>
      <c r="P54" s="75"/>
      <c r="Q54" s="75"/>
      <c r="R54" s="75"/>
      <c r="S54" s="75"/>
      <c r="T54" s="75"/>
      <c r="U54" s="79"/>
    </row>
    <row r="55" spans="1:21" ht="17.25" customHeight="1" x14ac:dyDescent="0.25">
      <c r="A55" s="70">
        <f t="shared" si="1"/>
        <v>51</v>
      </c>
      <c r="B55" s="71">
        <v>46019</v>
      </c>
      <c r="C55" s="72">
        <v>9109859</v>
      </c>
      <c r="D55" s="73">
        <v>75421297</v>
      </c>
      <c r="E55" s="74">
        <v>61.8</v>
      </c>
      <c r="F55" s="75">
        <v>530.57000000000005</v>
      </c>
      <c r="G55" s="31">
        <f t="shared" si="2"/>
        <v>32789.226000000002</v>
      </c>
      <c r="H55" s="76">
        <v>48581.26</v>
      </c>
      <c r="I55" s="77">
        <f t="shared" si="0"/>
        <v>3002321.8679999998</v>
      </c>
      <c r="J55" s="65" t="s">
        <v>22</v>
      </c>
      <c r="K55" s="66" t="s">
        <v>38</v>
      </c>
      <c r="L55" s="78"/>
      <c r="M55" s="70"/>
      <c r="N55" s="75"/>
      <c r="O55" s="75"/>
      <c r="P55" s="75"/>
      <c r="Q55" s="75"/>
      <c r="R55" s="75"/>
      <c r="S55" s="75"/>
      <c r="T55" s="75"/>
      <c r="U55" s="79"/>
    </row>
    <row r="56" spans="1:21" ht="17.25" customHeight="1" x14ac:dyDescent="0.25">
      <c r="A56" s="70">
        <f t="shared" si="1"/>
        <v>52</v>
      </c>
      <c r="B56" s="71">
        <v>46019</v>
      </c>
      <c r="C56" s="72">
        <v>9109859</v>
      </c>
      <c r="D56" s="73">
        <v>75488791</v>
      </c>
      <c r="E56" s="74">
        <v>61.9</v>
      </c>
      <c r="F56" s="75">
        <v>530.57000000000005</v>
      </c>
      <c r="G56" s="31">
        <f t="shared" si="2"/>
        <v>32842.283000000003</v>
      </c>
      <c r="H56" s="76">
        <v>48581.26</v>
      </c>
      <c r="I56" s="77">
        <f t="shared" si="0"/>
        <v>3007179.9939999999</v>
      </c>
      <c r="J56" s="65" t="s">
        <v>22</v>
      </c>
      <c r="K56" s="66" t="s">
        <v>38</v>
      </c>
      <c r="L56" s="78"/>
      <c r="M56" s="70"/>
      <c r="N56" s="75"/>
      <c r="O56" s="75"/>
      <c r="P56" s="75"/>
      <c r="Q56" s="75"/>
      <c r="R56" s="75"/>
      <c r="S56" s="75"/>
      <c r="T56" s="75"/>
      <c r="U56" s="79"/>
    </row>
    <row r="57" spans="1:21" ht="17.25" customHeight="1" x14ac:dyDescent="0.25">
      <c r="A57" s="70">
        <f t="shared" si="1"/>
        <v>53</v>
      </c>
      <c r="B57" s="71">
        <v>46019</v>
      </c>
      <c r="C57" s="72">
        <v>9109855</v>
      </c>
      <c r="D57" s="73">
        <v>76177195</v>
      </c>
      <c r="E57" s="74">
        <v>61.6</v>
      </c>
      <c r="F57" s="75">
        <v>530.57000000000005</v>
      </c>
      <c r="G57" s="31">
        <f t="shared" si="2"/>
        <v>32683.112000000005</v>
      </c>
      <c r="H57" s="76">
        <v>48581.26</v>
      </c>
      <c r="I57" s="77">
        <f t="shared" si="0"/>
        <v>2992605.6160000004</v>
      </c>
      <c r="J57" s="65" t="s">
        <v>22</v>
      </c>
      <c r="K57" s="66" t="s">
        <v>38</v>
      </c>
      <c r="L57" s="78"/>
      <c r="M57" s="70"/>
      <c r="N57" s="75"/>
      <c r="O57" s="75"/>
      <c r="P57" s="75"/>
      <c r="Q57" s="75"/>
      <c r="R57" s="98">
        <v>46026</v>
      </c>
      <c r="S57" s="75">
        <v>61.476999999999997</v>
      </c>
      <c r="T57" s="133">
        <f>S57-E57</f>
        <v>-0.12300000000000466</v>
      </c>
      <c r="U57" s="79"/>
    </row>
    <row r="58" spans="1:21" ht="17.25" customHeight="1" x14ac:dyDescent="0.25">
      <c r="A58" s="70">
        <f t="shared" si="1"/>
        <v>54</v>
      </c>
      <c r="B58" s="71">
        <v>46019</v>
      </c>
      <c r="C58" s="72">
        <v>9109857</v>
      </c>
      <c r="D58" s="73">
        <v>76507292</v>
      </c>
      <c r="E58" s="74">
        <v>61.65</v>
      </c>
      <c r="F58" s="75">
        <v>530.57000000000005</v>
      </c>
      <c r="G58" s="31">
        <f t="shared" si="2"/>
        <v>32709.640500000001</v>
      </c>
      <c r="H58" s="76">
        <v>48581.26</v>
      </c>
      <c r="I58" s="77">
        <f t="shared" si="0"/>
        <v>2995034.679</v>
      </c>
      <c r="J58" s="65" t="s">
        <v>22</v>
      </c>
      <c r="K58" s="66" t="s">
        <v>38</v>
      </c>
      <c r="L58" s="78"/>
      <c r="M58" s="70"/>
      <c r="N58" s="75"/>
      <c r="O58" s="75"/>
      <c r="P58" s="75"/>
      <c r="Q58" s="75"/>
      <c r="R58" s="98">
        <v>46026</v>
      </c>
      <c r="S58" s="75">
        <v>61.823</v>
      </c>
      <c r="T58" s="133">
        <f>S58-E58</f>
        <v>0.17300000000000182</v>
      </c>
      <c r="U58" s="79"/>
    </row>
    <row r="59" spans="1:21" ht="17.25" customHeight="1" thickBot="1" x14ac:dyDescent="0.3">
      <c r="A59" s="80">
        <f t="shared" si="1"/>
        <v>55</v>
      </c>
      <c r="B59" s="81">
        <v>46019</v>
      </c>
      <c r="C59" s="82">
        <v>9109858</v>
      </c>
      <c r="D59" s="83">
        <v>76609593</v>
      </c>
      <c r="E59" s="84">
        <v>61.8</v>
      </c>
      <c r="F59" s="75">
        <v>530.57000000000005</v>
      </c>
      <c r="G59" s="32">
        <f t="shared" si="2"/>
        <v>32789.226000000002</v>
      </c>
      <c r="H59" s="85">
        <v>48581.26</v>
      </c>
      <c r="I59" s="86">
        <f t="shared" si="0"/>
        <v>3002321.8679999998</v>
      </c>
      <c r="J59" s="65" t="s">
        <v>22</v>
      </c>
      <c r="K59" s="66" t="s">
        <v>38</v>
      </c>
      <c r="L59" s="87"/>
      <c r="M59" s="80"/>
      <c r="N59" s="88"/>
      <c r="O59" s="88"/>
      <c r="P59" s="88"/>
      <c r="Q59" s="88"/>
      <c r="R59" s="88"/>
      <c r="S59" s="88"/>
      <c r="T59" s="88"/>
      <c r="U59" s="89"/>
    </row>
    <row r="60" spans="1:21" x14ac:dyDescent="0.25">
      <c r="A60" s="57">
        <v>56</v>
      </c>
      <c r="B60" s="58">
        <v>46020</v>
      </c>
      <c r="C60" s="59">
        <v>9109865</v>
      </c>
      <c r="D60" s="60">
        <v>50409358</v>
      </c>
      <c r="E60" s="61">
        <v>61</v>
      </c>
      <c r="F60" s="75">
        <v>530.57000000000005</v>
      </c>
      <c r="G60" s="30">
        <f t="shared" ref="G60:G69" si="4">E60*F60</f>
        <v>32364.770000000004</v>
      </c>
      <c r="H60" s="63">
        <v>48581.26</v>
      </c>
      <c r="I60" s="64">
        <f t="shared" ref="I60:I69" si="5">E60*H60</f>
        <v>2963456.8600000003</v>
      </c>
      <c r="J60" s="65" t="s">
        <v>22</v>
      </c>
      <c r="K60" s="66" t="s">
        <v>38</v>
      </c>
      <c r="L60" s="67"/>
      <c r="M60" s="57"/>
      <c r="N60" s="68"/>
      <c r="O60" s="68"/>
      <c r="P60" s="68"/>
      <c r="Q60" s="68"/>
      <c r="R60" s="58">
        <v>46029</v>
      </c>
      <c r="S60" s="134">
        <v>60.55</v>
      </c>
      <c r="T60" s="133">
        <f>S60-E60</f>
        <v>-0.45000000000000284</v>
      </c>
      <c r="U60" s="69"/>
    </row>
    <row r="61" spans="1:21" x14ac:dyDescent="0.25">
      <c r="A61" s="70">
        <f>A60+1</f>
        <v>57</v>
      </c>
      <c r="B61" s="98">
        <v>46020</v>
      </c>
      <c r="C61" s="72">
        <v>9109865</v>
      </c>
      <c r="D61" s="73">
        <v>51200202</v>
      </c>
      <c r="E61" s="74">
        <v>61</v>
      </c>
      <c r="F61" s="75">
        <v>530.57000000000005</v>
      </c>
      <c r="G61" s="31">
        <f t="shared" si="4"/>
        <v>32364.770000000004</v>
      </c>
      <c r="H61" s="76">
        <v>48581.26</v>
      </c>
      <c r="I61" s="77">
        <f t="shared" si="5"/>
        <v>2963456.8600000003</v>
      </c>
      <c r="J61" s="65" t="s">
        <v>22</v>
      </c>
      <c r="K61" s="66" t="s">
        <v>38</v>
      </c>
      <c r="L61" s="78"/>
      <c r="M61" s="70"/>
      <c r="N61" s="75"/>
      <c r="O61" s="75"/>
      <c r="P61" s="75"/>
      <c r="Q61" s="75"/>
      <c r="R61" s="98">
        <v>46039</v>
      </c>
      <c r="S61" s="75">
        <v>60.610999999999997</v>
      </c>
      <c r="T61" s="133">
        <f>S61-E61</f>
        <v>-0.3890000000000029</v>
      </c>
      <c r="U61" s="79"/>
    </row>
    <row r="62" spans="1:21" x14ac:dyDescent="0.25">
      <c r="A62" s="70">
        <f t="shared" ref="A62:A69" si="6">A61+1</f>
        <v>58</v>
      </c>
      <c r="B62" s="98">
        <v>46020</v>
      </c>
      <c r="C62" s="72">
        <v>9109864</v>
      </c>
      <c r="D62" s="73">
        <v>51813731</v>
      </c>
      <c r="E62" s="74">
        <v>61.1</v>
      </c>
      <c r="F62" s="75">
        <v>530.57000000000005</v>
      </c>
      <c r="G62" s="31">
        <f t="shared" si="4"/>
        <v>32417.827000000005</v>
      </c>
      <c r="H62" s="76">
        <v>48581.26</v>
      </c>
      <c r="I62" s="77">
        <f t="shared" si="5"/>
        <v>2968314.986</v>
      </c>
      <c r="J62" s="65" t="s">
        <v>22</v>
      </c>
      <c r="K62" s="66" t="s">
        <v>38</v>
      </c>
      <c r="L62" s="78"/>
      <c r="M62" s="70"/>
      <c r="N62" s="75"/>
      <c r="O62" s="75"/>
      <c r="P62" s="75"/>
      <c r="Q62" s="75"/>
      <c r="R62" s="98">
        <v>46029</v>
      </c>
      <c r="S62" s="75">
        <v>61.064</v>
      </c>
      <c r="T62" s="133">
        <f>S62-E62</f>
        <v>-3.6000000000001364E-2</v>
      </c>
      <c r="U62" s="79"/>
    </row>
    <row r="63" spans="1:21" x14ac:dyDescent="0.25">
      <c r="A63" s="70">
        <f t="shared" si="6"/>
        <v>59</v>
      </c>
      <c r="B63" s="98">
        <v>46020</v>
      </c>
      <c r="C63" s="72">
        <v>9109861</v>
      </c>
      <c r="D63" s="73">
        <v>54046578</v>
      </c>
      <c r="E63" s="74">
        <v>60.9</v>
      </c>
      <c r="F63" s="75">
        <v>530.57000000000005</v>
      </c>
      <c r="G63" s="31">
        <f t="shared" si="4"/>
        <v>32311.713000000003</v>
      </c>
      <c r="H63" s="76">
        <v>48581.26</v>
      </c>
      <c r="I63" s="77">
        <f t="shared" si="5"/>
        <v>2958598.7340000002</v>
      </c>
      <c r="J63" s="65" t="s">
        <v>22</v>
      </c>
      <c r="K63" s="66" t="s">
        <v>38</v>
      </c>
      <c r="L63" s="78"/>
      <c r="M63" s="70"/>
      <c r="N63" s="75"/>
      <c r="O63" s="75"/>
      <c r="P63" s="75"/>
      <c r="Q63" s="75"/>
      <c r="R63" s="98">
        <v>46029</v>
      </c>
      <c r="S63" s="75">
        <v>51.088000000000001</v>
      </c>
      <c r="T63" s="133">
        <f>S63-E63</f>
        <v>-9.8119999999999976</v>
      </c>
      <c r="U63" s="79"/>
    </row>
    <row r="64" spans="1:21" x14ac:dyDescent="0.25">
      <c r="A64" s="70">
        <f t="shared" si="6"/>
        <v>60</v>
      </c>
      <c r="B64" s="98">
        <v>46020</v>
      </c>
      <c r="C64" s="72">
        <v>9109860</v>
      </c>
      <c r="D64" s="73">
        <v>54702162</v>
      </c>
      <c r="E64" s="74">
        <v>61.45</v>
      </c>
      <c r="F64" s="75">
        <v>530.57000000000005</v>
      </c>
      <c r="G64" s="31">
        <f t="shared" si="4"/>
        <v>32603.526500000004</v>
      </c>
      <c r="H64" s="76">
        <v>48581.26</v>
      </c>
      <c r="I64" s="77">
        <f t="shared" si="5"/>
        <v>2985318.4270000001</v>
      </c>
      <c r="J64" s="65" t="s">
        <v>22</v>
      </c>
      <c r="K64" s="66" t="s">
        <v>38</v>
      </c>
      <c r="L64" s="78"/>
      <c r="M64" s="70"/>
      <c r="N64" s="75"/>
      <c r="O64" s="75"/>
      <c r="P64" s="75"/>
      <c r="Q64" s="75"/>
      <c r="R64" s="75"/>
      <c r="S64" s="75"/>
      <c r="T64" s="133"/>
      <c r="U64" s="79"/>
    </row>
    <row r="65" spans="1:21" x14ac:dyDescent="0.25">
      <c r="A65" s="70">
        <f t="shared" si="6"/>
        <v>61</v>
      </c>
      <c r="B65" s="98">
        <v>46020</v>
      </c>
      <c r="C65" s="72">
        <v>9109863</v>
      </c>
      <c r="D65" s="73">
        <v>57464398</v>
      </c>
      <c r="E65" s="74">
        <v>60.9</v>
      </c>
      <c r="F65" s="75">
        <v>530.57000000000005</v>
      </c>
      <c r="G65" s="31">
        <f t="shared" si="4"/>
        <v>32311.713000000003</v>
      </c>
      <c r="H65" s="76">
        <v>48581.26</v>
      </c>
      <c r="I65" s="77">
        <f t="shared" si="5"/>
        <v>2958598.7340000002</v>
      </c>
      <c r="J65" s="65" t="s">
        <v>22</v>
      </c>
      <c r="K65" s="66" t="s">
        <v>38</v>
      </c>
      <c r="L65" s="78"/>
      <c r="M65" s="70"/>
      <c r="N65" s="75"/>
      <c r="O65" s="75"/>
      <c r="P65" s="75"/>
      <c r="Q65" s="75"/>
      <c r="R65" s="98">
        <v>46029</v>
      </c>
      <c r="S65" s="75">
        <v>60.966999999999999</v>
      </c>
      <c r="T65" s="133">
        <f>S65-E65</f>
        <v>6.7000000000000171E-2</v>
      </c>
      <c r="U65" s="79"/>
    </row>
    <row r="66" spans="1:21" x14ac:dyDescent="0.25">
      <c r="A66" s="70">
        <f t="shared" si="6"/>
        <v>62</v>
      </c>
      <c r="B66" s="98">
        <v>46020</v>
      </c>
      <c r="C66" s="72">
        <v>9109862</v>
      </c>
      <c r="D66" s="73">
        <v>57969149</v>
      </c>
      <c r="E66" s="74">
        <v>61.1</v>
      </c>
      <c r="F66" s="75">
        <v>530.57000000000005</v>
      </c>
      <c r="G66" s="31">
        <f t="shared" si="4"/>
        <v>32417.827000000005</v>
      </c>
      <c r="H66" s="76">
        <v>48581.26</v>
      </c>
      <c r="I66" s="77">
        <f t="shared" si="5"/>
        <v>2968314.986</v>
      </c>
      <c r="J66" s="65" t="s">
        <v>22</v>
      </c>
      <c r="K66" s="66" t="s">
        <v>38</v>
      </c>
      <c r="L66" s="78"/>
      <c r="M66" s="70"/>
      <c r="N66" s="75"/>
      <c r="O66" s="75"/>
      <c r="P66" s="75"/>
      <c r="Q66" s="75"/>
      <c r="R66" s="98">
        <v>46029</v>
      </c>
      <c r="S66" s="75">
        <v>60.658000000000001</v>
      </c>
      <c r="T66" s="133">
        <f>S66-E66</f>
        <v>-0.44200000000000017</v>
      </c>
      <c r="U66" s="79"/>
    </row>
    <row r="67" spans="1:21" x14ac:dyDescent="0.25">
      <c r="A67" s="70">
        <f t="shared" si="6"/>
        <v>63</v>
      </c>
      <c r="B67" s="98">
        <v>46020</v>
      </c>
      <c r="C67" s="72">
        <v>9109865</v>
      </c>
      <c r="D67" s="73">
        <v>58345158</v>
      </c>
      <c r="E67" s="74">
        <v>60.85</v>
      </c>
      <c r="F67" s="75">
        <v>530.57000000000005</v>
      </c>
      <c r="G67" s="31">
        <f t="shared" si="4"/>
        <v>32285.184500000003</v>
      </c>
      <c r="H67" s="76">
        <v>48581.26</v>
      </c>
      <c r="I67" s="77">
        <f t="shared" si="5"/>
        <v>2956169.6710000001</v>
      </c>
      <c r="J67" s="65" t="s">
        <v>22</v>
      </c>
      <c r="K67" s="66" t="s">
        <v>38</v>
      </c>
      <c r="L67" s="78"/>
      <c r="M67" s="70"/>
      <c r="N67" s="75"/>
      <c r="O67" s="75"/>
      <c r="P67" s="75"/>
      <c r="Q67" s="75"/>
      <c r="R67" s="98">
        <v>46029</v>
      </c>
      <c r="S67" s="75">
        <v>60.639000000000003</v>
      </c>
      <c r="T67" s="133">
        <f>S67-E67</f>
        <v>-0.21099999999999852</v>
      </c>
      <c r="U67" s="79"/>
    </row>
    <row r="68" spans="1:21" x14ac:dyDescent="0.25">
      <c r="A68" s="70">
        <f t="shared" si="6"/>
        <v>64</v>
      </c>
      <c r="B68" s="98">
        <v>46020</v>
      </c>
      <c r="C68" s="72">
        <v>9109865</v>
      </c>
      <c r="D68" s="73">
        <v>73001844</v>
      </c>
      <c r="E68" s="74">
        <v>61.4</v>
      </c>
      <c r="F68" s="75">
        <v>530.57000000000005</v>
      </c>
      <c r="G68" s="31">
        <f t="shared" si="4"/>
        <v>32576.998000000003</v>
      </c>
      <c r="H68" s="76">
        <v>48581.26</v>
      </c>
      <c r="I68" s="77">
        <f t="shared" si="5"/>
        <v>2982889.3640000001</v>
      </c>
      <c r="J68" s="65" t="s">
        <v>22</v>
      </c>
      <c r="K68" s="66" t="s">
        <v>38</v>
      </c>
      <c r="L68" s="78"/>
      <c r="M68" s="70"/>
      <c r="N68" s="75"/>
      <c r="O68" s="75"/>
      <c r="P68" s="75"/>
      <c r="Q68" s="75"/>
      <c r="R68" s="98">
        <v>46029</v>
      </c>
      <c r="S68" s="75">
        <v>61.101999999999997</v>
      </c>
      <c r="T68" s="133">
        <f>S68-E68</f>
        <v>-0.29800000000000182</v>
      </c>
      <c r="U68" s="79"/>
    </row>
    <row r="69" spans="1:21" ht="15.75" thickBot="1" x14ac:dyDescent="0.3">
      <c r="A69" s="80">
        <f t="shared" si="6"/>
        <v>65</v>
      </c>
      <c r="B69" s="99">
        <v>46020</v>
      </c>
      <c r="C69" s="82">
        <v>9109865</v>
      </c>
      <c r="D69" s="83">
        <v>76599091</v>
      </c>
      <c r="E69" s="84">
        <v>61.7</v>
      </c>
      <c r="F69" s="75">
        <v>530.57000000000005</v>
      </c>
      <c r="G69" s="32">
        <f t="shared" si="4"/>
        <v>32736.169000000005</v>
      </c>
      <c r="H69" s="85">
        <v>48581.26</v>
      </c>
      <c r="I69" s="86">
        <f t="shared" si="5"/>
        <v>2997463.7420000001</v>
      </c>
      <c r="J69" s="65" t="s">
        <v>22</v>
      </c>
      <c r="K69" s="66" t="s">
        <v>38</v>
      </c>
      <c r="L69" s="87"/>
      <c r="M69" s="80"/>
      <c r="N69" s="88"/>
      <c r="O69" s="88"/>
      <c r="P69" s="88"/>
      <c r="Q69" s="88"/>
      <c r="R69" s="98">
        <v>46029</v>
      </c>
      <c r="S69" s="88">
        <v>61.631</v>
      </c>
      <c r="T69" s="133">
        <f>S69-E69</f>
        <v>-6.9000000000002615E-2</v>
      </c>
      <c r="U69" s="89"/>
    </row>
    <row r="70" spans="1:21" x14ac:dyDescent="0.25">
      <c r="A70" s="207">
        <v>66</v>
      </c>
      <c r="B70" s="71">
        <v>46020</v>
      </c>
      <c r="C70" s="151">
        <v>9109866</v>
      </c>
      <c r="D70" s="152">
        <v>50041151</v>
      </c>
      <c r="E70" s="153">
        <v>61.05</v>
      </c>
      <c r="F70" s="75">
        <v>530.57000000000005</v>
      </c>
      <c r="G70" s="32">
        <f t="shared" ref="G70:G77" si="7">E70*F70</f>
        <v>32391.298500000001</v>
      </c>
      <c r="H70" s="190">
        <v>48581.26</v>
      </c>
      <c r="I70" s="77">
        <f t="shared" ref="I70:I77" si="8">E70*H70</f>
        <v>2965885.923</v>
      </c>
      <c r="J70" s="208" t="s">
        <v>22</v>
      </c>
      <c r="K70" s="209" t="s">
        <v>38</v>
      </c>
      <c r="L70" s="67"/>
      <c r="M70" s="207"/>
      <c r="N70" s="140"/>
      <c r="O70" s="140"/>
      <c r="P70" s="140"/>
      <c r="Q70" s="140"/>
      <c r="R70" s="140"/>
      <c r="S70" s="140"/>
      <c r="T70" s="140"/>
      <c r="U70" s="210"/>
    </row>
    <row r="71" spans="1:21" x14ac:dyDescent="0.25">
      <c r="A71" s="70">
        <f>A70+1</f>
        <v>67</v>
      </c>
      <c r="B71" s="98">
        <v>46020</v>
      </c>
      <c r="C71" s="72">
        <v>9109866</v>
      </c>
      <c r="D71" s="73">
        <v>73046732</v>
      </c>
      <c r="E71" s="74">
        <v>61.8</v>
      </c>
      <c r="F71" s="75">
        <v>530.57000000000005</v>
      </c>
      <c r="G71" s="31">
        <f t="shared" si="7"/>
        <v>32789.226000000002</v>
      </c>
      <c r="H71" s="76">
        <v>48581.26</v>
      </c>
      <c r="I71" s="77">
        <f t="shared" si="8"/>
        <v>3002321.8679999998</v>
      </c>
      <c r="J71" s="65" t="s">
        <v>22</v>
      </c>
      <c r="K71" s="66" t="s">
        <v>38</v>
      </c>
      <c r="L71" s="78"/>
      <c r="M71" s="70"/>
      <c r="N71" s="75"/>
      <c r="O71" s="75"/>
      <c r="P71" s="75"/>
      <c r="Q71" s="75"/>
      <c r="R71" s="75"/>
      <c r="S71" s="75"/>
      <c r="T71" s="75"/>
      <c r="U71" s="79"/>
    </row>
    <row r="72" spans="1:21" x14ac:dyDescent="0.25">
      <c r="A72" s="70">
        <f t="shared" ref="A72:A77" si="9">A71+1</f>
        <v>68</v>
      </c>
      <c r="B72" s="98">
        <v>46020</v>
      </c>
      <c r="C72" s="72">
        <v>9109866</v>
      </c>
      <c r="D72" s="73">
        <v>73081861</v>
      </c>
      <c r="E72" s="74">
        <v>61.5</v>
      </c>
      <c r="F72" s="75">
        <v>530.57000000000005</v>
      </c>
      <c r="G72" s="31">
        <f t="shared" si="7"/>
        <v>32630.055000000004</v>
      </c>
      <c r="H72" s="76">
        <v>48581.26</v>
      </c>
      <c r="I72" s="77">
        <f t="shared" si="8"/>
        <v>2987747.49</v>
      </c>
      <c r="J72" s="65" t="s">
        <v>22</v>
      </c>
      <c r="K72" s="66" t="s">
        <v>38</v>
      </c>
      <c r="L72" s="78"/>
      <c r="M72" s="70"/>
      <c r="N72" s="75"/>
      <c r="O72" s="75"/>
      <c r="P72" s="75"/>
      <c r="Q72" s="75"/>
      <c r="R72" s="75"/>
      <c r="S72" s="75"/>
      <c r="T72" s="75"/>
      <c r="U72" s="79"/>
    </row>
    <row r="73" spans="1:21" x14ac:dyDescent="0.25">
      <c r="A73" s="70">
        <f t="shared" si="9"/>
        <v>69</v>
      </c>
      <c r="B73" s="98">
        <v>46020</v>
      </c>
      <c r="C73" s="72">
        <v>9109866</v>
      </c>
      <c r="D73" s="73">
        <v>73106858</v>
      </c>
      <c r="E73" s="74">
        <v>61.85</v>
      </c>
      <c r="F73" s="75">
        <v>530.57000000000005</v>
      </c>
      <c r="G73" s="31">
        <f t="shared" si="7"/>
        <v>32815.754500000003</v>
      </c>
      <c r="H73" s="76">
        <v>48581.26</v>
      </c>
      <c r="I73" s="77">
        <f t="shared" si="8"/>
        <v>3004750.9310000003</v>
      </c>
      <c r="J73" s="65" t="s">
        <v>22</v>
      </c>
      <c r="K73" s="66" t="s">
        <v>38</v>
      </c>
      <c r="L73" s="78"/>
      <c r="M73" s="70"/>
      <c r="N73" s="75"/>
      <c r="O73" s="75"/>
      <c r="P73" s="75"/>
      <c r="Q73" s="75"/>
      <c r="R73" s="75"/>
      <c r="S73" s="75"/>
      <c r="T73" s="75"/>
      <c r="U73" s="79"/>
    </row>
    <row r="74" spans="1:21" x14ac:dyDescent="0.25">
      <c r="A74" s="70">
        <f t="shared" si="9"/>
        <v>70</v>
      </c>
      <c r="B74" s="98">
        <v>46020</v>
      </c>
      <c r="C74" s="72">
        <v>9109866</v>
      </c>
      <c r="D74" s="73">
        <v>73114639</v>
      </c>
      <c r="E74" s="74">
        <v>61.65</v>
      </c>
      <c r="F74" s="75">
        <v>530.57000000000005</v>
      </c>
      <c r="G74" s="31">
        <f t="shared" si="7"/>
        <v>32709.640500000001</v>
      </c>
      <c r="H74" s="76">
        <v>48581.26</v>
      </c>
      <c r="I74" s="77">
        <f t="shared" si="8"/>
        <v>2995034.679</v>
      </c>
      <c r="J74" s="65" t="s">
        <v>22</v>
      </c>
      <c r="K74" s="66" t="s">
        <v>38</v>
      </c>
      <c r="L74" s="78"/>
      <c r="M74" s="70"/>
      <c r="N74" s="75"/>
      <c r="O74" s="75"/>
      <c r="P74" s="75"/>
      <c r="Q74" s="75"/>
      <c r="R74" s="75"/>
      <c r="S74" s="75"/>
      <c r="T74" s="75"/>
      <c r="U74" s="79"/>
    </row>
    <row r="75" spans="1:21" x14ac:dyDescent="0.25">
      <c r="A75" s="70">
        <f t="shared" si="9"/>
        <v>71</v>
      </c>
      <c r="B75" s="98">
        <v>46020</v>
      </c>
      <c r="C75" s="72">
        <v>9109866</v>
      </c>
      <c r="D75" s="73">
        <v>73172256</v>
      </c>
      <c r="E75" s="74">
        <v>61.75</v>
      </c>
      <c r="F75" s="75">
        <v>530.57000000000005</v>
      </c>
      <c r="G75" s="31">
        <f t="shared" si="7"/>
        <v>32762.697500000002</v>
      </c>
      <c r="H75" s="76">
        <v>48581.26</v>
      </c>
      <c r="I75" s="77">
        <f t="shared" si="8"/>
        <v>2999892.8050000002</v>
      </c>
      <c r="J75" s="65" t="s">
        <v>22</v>
      </c>
      <c r="K75" s="66" t="s">
        <v>38</v>
      </c>
      <c r="L75" s="78"/>
      <c r="M75" s="70"/>
      <c r="N75" s="75"/>
      <c r="O75" s="75"/>
      <c r="P75" s="75"/>
      <c r="Q75" s="75"/>
      <c r="R75" s="75"/>
      <c r="S75" s="75"/>
      <c r="T75" s="75"/>
      <c r="U75" s="79"/>
    </row>
    <row r="76" spans="1:21" x14ac:dyDescent="0.25">
      <c r="A76" s="70">
        <f t="shared" si="9"/>
        <v>72</v>
      </c>
      <c r="B76" s="98">
        <v>46020</v>
      </c>
      <c r="C76" s="72">
        <v>9109866</v>
      </c>
      <c r="D76" s="73">
        <v>73172363</v>
      </c>
      <c r="E76" s="74">
        <v>61.6</v>
      </c>
      <c r="F76" s="75">
        <v>530.57000000000005</v>
      </c>
      <c r="G76" s="31">
        <f t="shared" si="7"/>
        <v>32683.112000000005</v>
      </c>
      <c r="H76" s="76">
        <v>48581.26</v>
      </c>
      <c r="I76" s="77">
        <f t="shared" si="8"/>
        <v>2992605.6160000004</v>
      </c>
      <c r="J76" s="65" t="s">
        <v>22</v>
      </c>
      <c r="K76" s="66" t="s">
        <v>38</v>
      </c>
      <c r="L76" s="78"/>
      <c r="M76" s="70"/>
      <c r="N76" s="75"/>
      <c r="O76" s="75"/>
      <c r="P76" s="75"/>
      <c r="Q76" s="75"/>
      <c r="R76" s="75"/>
      <c r="S76" s="75"/>
      <c r="T76" s="75"/>
      <c r="U76" s="79"/>
    </row>
    <row r="77" spans="1:21" ht="15.75" thickBot="1" x14ac:dyDescent="0.3">
      <c r="A77" s="101">
        <f t="shared" si="9"/>
        <v>73</v>
      </c>
      <c r="B77" s="98">
        <v>46020</v>
      </c>
      <c r="C77" s="102">
        <v>9109866</v>
      </c>
      <c r="D77" s="103">
        <v>75716696</v>
      </c>
      <c r="E77" s="104">
        <v>62.05</v>
      </c>
      <c r="F77" s="75">
        <v>530.57000000000005</v>
      </c>
      <c r="G77" s="106">
        <f t="shared" si="7"/>
        <v>32921.868500000004</v>
      </c>
      <c r="H77" s="107">
        <v>48581.26</v>
      </c>
      <c r="I77" s="108">
        <f t="shared" si="8"/>
        <v>3014467.1830000002</v>
      </c>
      <c r="J77" s="109" t="s">
        <v>22</v>
      </c>
      <c r="K77" s="66" t="s">
        <v>38</v>
      </c>
      <c r="L77" s="87"/>
      <c r="M77" s="80"/>
      <c r="N77" s="88"/>
      <c r="O77" s="88"/>
      <c r="P77" s="88"/>
      <c r="Q77" s="88"/>
      <c r="R77" s="88"/>
      <c r="S77" s="88"/>
      <c r="T77" s="88"/>
      <c r="U77" s="89"/>
    </row>
    <row r="78" spans="1:21" x14ac:dyDescent="0.25">
      <c r="A78" s="57">
        <v>74</v>
      </c>
      <c r="B78" s="58">
        <v>46020</v>
      </c>
      <c r="C78" s="59">
        <v>9109873</v>
      </c>
      <c r="D78" s="60">
        <v>50721208</v>
      </c>
      <c r="E78" s="61">
        <v>61.1</v>
      </c>
      <c r="F78" s="75">
        <v>530.57000000000005</v>
      </c>
      <c r="G78" s="29">
        <f t="shared" ref="G78:G141" si="10">E78*F78</f>
        <v>32417.827000000005</v>
      </c>
      <c r="H78" s="63">
        <v>48581.26</v>
      </c>
      <c r="I78" s="64">
        <f t="shared" ref="I78:I119" si="11">E78*H78</f>
        <v>2968314.986</v>
      </c>
      <c r="J78" s="100" t="s">
        <v>22</v>
      </c>
      <c r="K78" s="66" t="s">
        <v>38</v>
      </c>
      <c r="L78" s="67"/>
      <c r="M78" s="57"/>
      <c r="N78" s="68"/>
      <c r="O78" s="68"/>
      <c r="P78" s="68"/>
      <c r="Q78" s="68"/>
      <c r="R78" s="98">
        <v>46028</v>
      </c>
      <c r="S78" s="68">
        <v>61.183</v>
      </c>
      <c r="T78" s="133">
        <f>S78-E78</f>
        <v>8.2999999999998408E-2</v>
      </c>
      <c r="U78" s="69"/>
    </row>
    <row r="79" spans="1:21" x14ac:dyDescent="0.25">
      <c r="A79" s="70">
        <f>A78+1</f>
        <v>75</v>
      </c>
      <c r="B79" s="98">
        <v>46020</v>
      </c>
      <c r="C79" s="72">
        <v>9109872</v>
      </c>
      <c r="D79" s="73">
        <v>50788918</v>
      </c>
      <c r="E79" s="74">
        <v>51.8</v>
      </c>
      <c r="F79" s="75">
        <v>530.57000000000005</v>
      </c>
      <c r="G79" s="31">
        <f t="shared" si="10"/>
        <v>27483.526000000002</v>
      </c>
      <c r="H79" s="76">
        <v>48581.26</v>
      </c>
      <c r="I79" s="77">
        <f t="shared" si="11"/>
        <v>2516509.2680000002</v>
      </c>
      <c r="J79" s="65" t="s">
        <v>22</v>
      </c>
      <c r="K79" s="66" t="s">
        <v>38</v>
      </c>
      <c r="L79" s="78"/>
      <c r="M79" s="70"/>
      <c r="N79" s="75"/>
      <c r="O79" s="75"/>
      <c r="P79" s="75"/>
      <c r="Q79" s="75"/>
      <c r="R79" s="98">
        <v>46032</v>
      </c>
      <c r="S79" s="75">
        <v>53.728999999999999</v>
      </c>
      <c r="T79" s="133">
        <f>S79-E79</f>
        <v>1.929000000000002</v>
      </c>
      <c r="U79" s="79"/>
    </row>
    <row r="80" spans="1:21" x14ac:dyDescent="0.25">
      <c r="A80" s="70">
        <f t="shared" ref="A80:A119" si="12">A79+1</f>
        <v>76</v>
      </c>
      <c r="B80" s="98">
        <v>46020</v>
      </c>
      <c r="C80" s="72">
        <v>9109873</v>
      </c>
      <c r="D80" s="73">
        <v>51181485</v>
      </c>
      <c r="E80" s="74">
        <v>61.15</v>
      </c>
      <c r="F80" s="75">
        <v>530.57000000000005</v>
      </c>
      <c r="G80" s="31">
        <f t="shared" si="10"/>
        <v>32444.355500000001</v>
      </c>
      <c r="H80" s="76">
        <v>48581.26</v>
      </c>
      <c r="I80" s="77">
        <f t="shared" si="11"/>
        <v>2970744.0490000001</v>
      </c>
      <c r="J80" s="65" t="s">
        <v>22</v>
      </c>
      <c r="K80" s="66" t="s">
        <v>38</v>
      </c>
      <c r="L80" s="78"/>
      <c r="M80" s="70"/>
      <c r="N80" s="75"/>
      <c r="O80" s="75"/>
      <c r="P80" s="75"/>
      <c r="Q80" s="75"/>
      <c r="R80" s="98">
        <v>46028</v>
      </c>
      <c r="S80" s="75">
        <v>61.438000000000002</v>
      </c>
      <c r="T80" s="133">
        <f t="shared" ref="T80:T119" si="13">S80-E80</f>
        <v>0.28800000000000381</v>
      </c>
      <c r="U80" s="79"/>
    </row>
    <row r="81" spans="1:21" x14ac:dyDescent="0.25">
      <c r="A81" s="70">
        <f t="shared" si="12"/>
        <v>77</v>
      </c>
      <c r="B81" s="98">
        <v>46020</v>
      </c>
      <c r="C81" s="72">
        <v>9109873</v>
      </c>
      <c r="D81" s="73">
        <v>51230217</v>
      </c>
      <c r="E81" s="74">
        <v>61.15</v>
      </c>
      <c r="F81" s="75">
        <v>530.57000000000005</v>
      </c>
      <c r="G81" s="31">
        <f t="shared" si="10"/>
        <v>32444.355500000001</v>
      </c>
      <c r="H81" s="76">
        <v>48581.26</v>
      </c>
      <c r="I81" s="77">
        <f t="shared" si="11"/>
        <v>2970744.0490000001</v>
      </c>
      <c r="J81" s="65" t="s">
        <v>22</v>
      </c>
      <c r="K81" s="66" t="s">
        <v>38</v>
      </c>
      <c r="L81" s="78"/>
      <c r="M81" s="70"/>
      <c r="N81" s="75"/>
      <c r="O81" s="75"/>
      <c r="P81" s="75"/>
      <c r="Q81" s="75"/>
      <c r="R81" s="98">
        <v>46028</v>
      </c>
      <c r="S81" s="75">
        <v>61.363999999999997</v>
      </c>
      <c r="T81" s="133">
        <f t="shared" si="13"/>
        <v>0.21399999999999864</v>
      </c>
      <c r="U81" s="79"/>
    </row>
    <row r="82" spans="1:21" x14ac:dyDescent="0.25">
      <c r="A82" s="70">
        <f t="shared" si="12"/>
        <v>78</v>
      </c>
      <c r="B82" s="98">
        <v>46020</v>
      </c>
      <c r="C82" s="72">
        <v>9109872</v>
      </c>
      <c r="D82" s="73">
        <v>51412740</v>
      </c>
      <c r="E82" s="74">
        <v>60.85</v>
      </c>
      <c r="F82" s="75">
        <v>530.57000000000005</v>
      </c>
      <c r="G82" s="31">
        <f t="shared" si="10"/>
        <v>32285.184500000003</v>
      </c>
      <c r="H82" s="76">
        <v>48581.26</v>
      </c>
      <c r="I82" s="77">
        <f t="shared" si="11"/>
        <v>2956169.6710000001</v>
      </c>
      <c r="J82" s="65" t="s">
        <v>22</v>
      </c>
      <c r="K82" s="66" t="s">
        <v>38</v>
      </c>
      <c r="L82" s="78"/>
      <c r="M82" s="70"/>
      <c r="N82" s="75"/>
      <c r="O82" s="75"/>
      <c r="P82" s="75"/>
      <c r="Q82" s="75"/>
      <c r="R82" s="98">
        <v>46028</v>
      </c>
      <c r="S82" s="75">
        <v>60.875999999999998</v>
      </c>
      <c r="T82" s="133">
        <f t="shared" si="13"/>
        <v>2.5999999999996248E-2</v>
      </c>
      <c r="U82" s="79"/>
    </row>
    <row r="83" spans="1:21" x14ac:dyDescent="0.25">
      <c r="A83" s="70">
        <f t="shared" si="12"/>
        <v>79</v>
      </c>
      <c r="B83" s="98">
        <v>46020</v>
      </c>
      <c r="C83" s="72">
        <v>9109871</v>
      </c>
      <c r="D83" s="73">
        <v>51513356</v>
      </c>
      <c r="E83" s="74">
        <v>52.5</v>
      </c>
      <c r="F83" s="75">
        <v>530.57000000000005</v>
      </c>
      <c r="G83" s="31">
        <f t="shared" si="10"/>
        <v>27854.925000000003</v>
      </c>
      <c r="H83" s="76">
        <v>48581.26</v>
      </c>
      <c r="I83" s="77">
        <f t="shared" si="11"/>
        <v>2550516.15</v>
      </c>
      <c r="J83" s="65" t="s">
        <v>22</v>
      </c>
      <c r="K83" s="66" t="s">
        <v>38</v>
      </c>
      <c r="L83" s="78"/>
      <c r="M83" s="70"/>
      <c r="N83" s="75"/>
      <c r="O83" s="75"/>
      <c r="P83" s="75"/>
      <c r="Q83" s="75"/>
      <c r="R83" s="98">
        <v>46030</v>
      </c>
      <c r="S83" s="75">
        <v>51.828000000000003</v>
      </c>
      <c r="T83" s="75">
        <f t="shared" si="13"/>
        <v>-0.67199999999999704</v>
      </c>
      <c r="U83" s="79"/>
    </row>
    <row r="84" spans="1:21" x14ac:dyDescent="0.25">
      <c r="A84" s="70">
        <f t="shared" si="12"/>
        <v>80</v>
      </c>
      <c r="B84" s="98">
        <v>46020</v>
      </c>
      <c r="C84" s="72">
        <v>9109872</v>
      </c>
      <c r="D84" s="73">
        <v>51525921</v>
      </c>
      <c r="E84" s="74">
        <v>52.7</v>
      </c>
      <c r="F84" s="75">
        <v>530.57000000000005</v>
      </c>
      <c r="G84" s="31">
        <f t="shared" si="10"/>
        <v>27961.039000000004</v>
      </c>
      <c r="H84" s="76">
        <v>48581.26</v>
      </c>
      <c r="I84" s="77">
        <f t="shared" si="11"/>
        <v>2560232.4020000002</v>
      </c>
      <c r="J84" s="65" t="s">
        <v>22</v>
      </c>
      <c r="K84" s="66" t="s">
        <v>38</v>
      </c>
      <c r="L84" s="78"/>
      <c r="M84" s="70"/>
      <c r="N84" s="75"/>
      <c r="O84" s="75"/>
      <c r="P84" s="75"/>
      <c r="Q84" s="75"/>
      <c r="R84" s="98">
        <v>46028</v>
      </c>
      <c r="S84" s="75">
        <v>52.887</v>
      </c>
      <c r="T84" s="133">
        <f t="shared" si="13"/>
        <v>0.18699999999999761</v>
      </c>
      <c r="U84" s="79"/>
    </row>
    <row r="85" spans="1:21" x14ac:dyDescent="0.25">
      <c r="A85" s="70">
        <f t="shared" si="12"/>
        <v>81</v>
      </c>
      <c r="B85" s="98">
        <v>46020</v>
      </c>
      <c r="C85" s="72">
        <v>9109871</v>
      </c>
      <c r="D85" s="73">
        <v>51600005</v>
      </c>
      <c r="E85" s="74">
        <v>51.75</v>
      </c>
      <c r="F85" s="75">
        <v>530.57000000000005</v>
      </c>
      <c r="G85" s="31">
        <f t="shared" si="10"/>
        <v>27456.997500000001</v>
      </c>
      <c r="H85" s="76">
        <v>48581.26</v>
      </c>
      <c r="I85" s="77">
        <f t="shared" si="11"/>
        <v>2514080.2050000001</v>
      </c>
      <c r="J85" s="65" t="s">
        <v>22</v>
      </c>
      <c r="K85" s="66" t="s">
        <v>38</v>
      </c>
      <c r="L85" s="78"/>
      <c r="M85" s="70"/>
      <c r="N85" s="75"/>
      <c r="O85" s="75"/>
      <c r="P85" s="75"/>
      <c r="Q85" s="75"/>
      <c r="R85" s="98">
        <v>46030</v>
      </c>
      <c r="S85" s="75">
        <v>51.110999999999997</v>
      </c>
      <c r="T85" s="75">
        <f t="shared" si="13"/>
        <v>-0.6390000000000029</v>
      </c>
      <c r="U85" s="79"/>
    </row>
    <row r="86" spans="1:21" x14ac:dyDescent="0.25">
      <c r="A86" s="70">
        <f t="shared" si="12"/>
        <v>82</v>
      </c>
      <c r="B86" s="98">
        <v>46020</v>
      </c>
      <c r="C86" s="72">
        <v>9109872</v>
      </c>
      <c r="D86" s="73">
        <v>51634137</v>
      </c>
      <c r="E86" s="74">
        <v>51.75</v>
      </c>
      <c r="F86" s="75">
        <v>530.57000000000005</v>
      </c>
      <c r="G86" s="31">
        <f t="shared" si="10"/>
        <v>27456.997500000001</v>
      </c>
      <c r="H86" s="76">
        <v>48581.26</v>
      </c>
      <c r="I86" s="77">
        <f t="shared" si="11"/>
        <v>2514080.2050000001</v>
      </c>
      <c r="J86" s="65" t="s">
        <v>22</v>
      </c>
      <c r="K86" s="66" t="s">
        <v>38</v>
      </c>
      <c r="L86" s="78"/>
      <c r="M86" s="70"/>
      <c r="N86" s="75"/>
      <c r="O86" s="75"/>
      <c r="P86" s="75"/>
      <c r="Q86" s="75"/>
      <c r="R86" s="98">
        <v>46032</v>
      </c>
      <c r="S86" s="75">
        <v>51.984000000000002</v>
      </c>
      <c r="T86" s="133">
        <f t="shared" si="13"/>
        <v>0.23400000000000176</v>
      </c>
      <c r="U86" s="79"/>
    </row>
    <row r="87" spans="1:21" x14ac:dyDescent="0.25">
      <c r="A87" s="70">
        <f t="shared" si="12"/>
        <v>83</v>
      </c>
      <c r="B87" s="98">
        <v>46020</v>
      </c>
      <c r="C87" s="72">
        <v>9109871</v>
      </c>
      <c r="D87" s="73">
        <v>51769784</v>
      </c>
      <c r="E87" s="74">
        <v>53.35</v>
      </c>
      <c r="F87" s="75">
        <v>530.57000000000005</v>
      </c>
      <c r="G87" s="31">
        <f t="shared" si="10"/>
        <v>28305.909500000005</v>
      </c>
      <c r="H87" s="76">
        <v>48581.26</v>
      </c>
      <c r="I87" s="77">
        <f t="shared" si="11"/>
        <v>2591810.2210000004</v>
      </c>
      <c r="J87" s="65" t="s">
        <v>22</v>
      </c>
      <c r="K87" s="66" t="s">
        <v>38</v>
      </c>
      <c r="L87" s="78"/>
      <c r="M87" s="70"/>
      <c r="N87" s="75"/>
      <c r="O87" s="75"/>
      <c r="P87" s="75"/>
      <c r="Q87" s="75"/>
      <c r="R87" s="98">
        <v>46030</v>
      </c>
      <c r="S87" s="75">
        <v>53.383000000000003</v>
      </c>
      <c r="T87" s="75">
        <f t="shared" si="13"/>
        <v>3.3000000000001251E-2</v>
      </c>
      <c r="U87" s="79"/>
    </row>
    <row r="88" spans="1:21" x14ac:dyDescent="0.25">
      <c r="A88" s="70">
        <f t="shared" si="12"/>
        <v>84</v>
      </c>
      <c r="B88" s="98">
        <v>46020</v>
      </c>
      <c r="C88" s="72">
        <v>9109871</v>
      </c>
      <c r="D88" s="73">
        <v>53936779</v>
      </c>
      <c r="E88" s="74">
        <v>51.8</v>
      </c>
      <c r="F88" s="75">
        <v>530.57000000000005</v>
      </c>
      <c r="G88" s="31">
        <f t="shared" si="10"/>
        <v>27483.526000000002</v>
      </c>
      <c r="H88" s="76">
        <v>48581.26</v>
      </c>
      <c r="I88" s="77">
        <f t="shared" si="11"/>
        <v>2516509.2680000002</v>
      </c>
      <c r="J88" s="65" t="s">
        <v>22</v>
      </c>
      <c r="K88" s="66" t="s">
        <v>38</v>
      </c>
      <c r="L88" s="78"/>
      <c r="M88" s="70"/>
      <c r="N88" s="75"/>
      <c r="O88" s="75"/>
      <c r="P88" s="75"/>
      <c r="Q88" s="75"/>
      <c r="R88" s="98">
        <v>46030</v>
      </c>
      <c r="S88" s="75">
        <v>51.561</v>
      </c>
      <c r="T88" s="133">
        <f t="shared" si="13"/>
        <v>-0.23899999999999721</v>
      </c>
      <c r="U88" s="79"/>
    </row>
    <row r="89" spans="1:21" x14ac:dyDescent="0.25">
      <c r="A89" s="70">
        <f t="shared" si="12"/>
        <v>85</v>
      </c>
      <c r="B89" s="98">
        <v>46020</v>
      </c>
      <c r="C89" s="72">
        <v>9109872</v>
      </c>
      <c r="D89" s="73">
        <v>54692405</v>
      </c>
      <c r="E89" s="74">
        <v>61.5</v>
      </c>
      <c r="F89" s="75">
        <v>530.57000000000005</v>
      </c>
      <c r="G89" s="31">
        <f t="shared" si="10"/>
        <v>32630.055000000004</v>
      </c>
      <c r="H89" s="76">
        <v>48581.26</v>
      </c>
      <c r="I89" s="77">
        <f t="shared" si="11"/>
        <v>2987747.49</v>
      </c>
      <c r="J89" s="65" t="s">
        <v>22</v>
      </c>
      <c r="K89" s="66" t="s">
        <v>38</v>
      </c>
      <c r="L89" s="78"/>
      <c r="M89" s="70"/>
      <c r="N89" s="75"/>
      <c r="O89" s="75"/>
      <c r="P89" s="75"/>
      <c r="Q89" s="75"/>
      <c r="R89" s="98">
        <v>46028</v>
      </c>
      <c r="S89" s="75">
        <v>61.350999999999999</v>
      </c>
      <c r="T89" s="133">
        <f t="shared" si="13"/>
        <v>-0.14900000000000091</v>
      </c>
      <c r="U89" s="79"/>
    </row>
    <row r="90" spans="1:21" x14ac:dyDescent="0.25">
      <c r="A90" s="70">
        <f t="shared" si="12"/>
        <v>86</v>
      </c>
      <c r="B90" s="98">
        <v>46020</v>
      </c>
      <c r="C90" s="72">
        <v>9109871</v>
      </c>
      <c r="D90" s="73">
        <v>55655237</v>
      </c>
      <c r="E90" s="74">
        <v>61.3</v>
      </c>
      <c r="F90" s="75">
        <v>530.57000000000005</v>
      </c>
      <c r="G90" s="31">
        <f t="shared" si="10"/>
        <v>32523.941000000003</v>
      </c>
      <c r="H90" s="76">
        <v>48581.26</v>
      </c>
      <c r="I90" s="77">
        <f t="shared" si="11"/>
        <v>2978031.2379999999</v>
      </c>
      <c r="J90" s="65" t="s">
        <v>22</v>
      </c>
      <c r="K90" s="66" t="s">
        <v>38</v>
      </c>
      <c r="L90" s="78"/>
      <c r="M90" s="70"/>
      <c r="N90" s="75"/>
      <c r="O90" s="75"/>
      <c r="P90" s="75"/>
      <c r="Q90" s="75"/>
      <c r="R90" s="98">
        <v>46030</v>
      </c>
      <c r="S90" s="75">
        <v>60.566000000000003</v>
      </c>
      <c r="T90" s="75">
        <f t="shared" si="13"/>
        <v>-0.73399999999999466</v>
      </c>
      <c r="U90" s="79"/>
    </row>
    <row r="91" spans="1:21" x14ac:dyDescent="0.25">
      <c r="A91" s="70">
        <f t="shared" si="12"/>
        <v>87</v>
      </c>
      <c r="B91" s="98">
        <v>46020</v>
      </c>
      <c r="C91" s="72">
        <v>9109871</v>
      </c>
      <c r="D91" s="73">
        <v>55948715</v>
      </c>
      <c r="E91" s="74">
        <v>61.65</v>
      </c>
      <c r="F91" s="75">
        <v>530.57000000000005</v>
      </c>
      <c r="G91" s="31">
        <f t="shared" si="10"/>
        <v>32709.640500000001</v>
      </c>
      <c r="H91" s="76">
        <v>48581.26</v>
      </c>
      <c r="I91" s="77">
        <f t="shared" si="11"/>
        <v>2995034.679</v>
      </c>
      <c r="J91" s="65" t="s">
        <v>22</v>
      </c>
      <c r="K91" s="66" t="s">
        <v>38</v>
      </c>
      <c r="L91" s="78"/>
      <c r="M91" s="70"/>
      <c r="N91" s="75"/>
      <c r="O91" s="75"/>
      <c r="P91" s="75"/>
      <c r="Q91" s="75"/>
      <c r="R91" s="98">
        <v>46032</v>
      </c>
      <c r="S91" s="75">
        <v>61.433</v>
      </c>
      <c r="T91" s="133">
        <f t="shared" si="13"/>
        <v>-0.21699999999999875</v>
      </c>
      <c r="U91" s="79"/>
    </row>
    <row r="92" spans="1:21" x14ac:dyDescent="0.25">
      <c r="A92" s="70">
        <f t="shared" si="12"/>
        <v>88</v>
      </c>
      <c r="B92" s="98">
        <v>46020</v>
      </c>
      <c r="C92" s="72">
        <v>9109873</v>
      </c>
      <c r="D92" s="73">
        <v>57011124</v>
      </c>
      <c r="E92" s="74">
        <v>61.5</v>
      </c>
      <c r="F92" s="75">
        <v>530.57000000000005</v>
      </c>
      <c r="G92" s="31">
        <f t="shared" si="10"/>
        <v>32630.055000000004</v>
      </c>
      <c r="H92" s="76">
        <v>48581.26</v>
      </c>
      <c r="I92" s="77">
        <f t="shared" si="11"/>
        <v>2987747.49</v>
      </c>
      <c r="J92" s="65" t="s">
        <v>22</v>
      </c>
      <c r="K92" s="66" t="s">
        <v>38</v>
      </c>
      <c r="L92" s="78"/>
      <c r="M92" s="70"/>
      <c r="N92" s="75"/>
      <c r="O92" s="75"/>
      <c r="P92" s="75"/>
      <c r="Q92" s="75"/>
      <c r="R92" s="98">
        <v>46028</v>
      </c>
      <c r="S92" s="75">
        <v>61.325000000000003</v>
      </c>
      <c r="T92" s="133">
        <f t="shared" si="13"/>
        <v>-0.17499999999999716</v>
      </c>
      <c r="U92" s="79"/>
    </row>
    <row r="93" spans="1:21" x14ac:dyDescent="0.25">
      <c r="A93" s="70">
        <f t="shared" si="12"/>
        <v>89</v>
      </c>
      <c r="B93" s="98">
        <v>46020</v>
      </c>
      <c r="C93" s="72">
        <v>9109873</v>
      </c>
      <c r="D93" s="73">
        <v>57207656</v>
      </c>
      <c r="E93" s="74">
        <v>61.85</v>
      </c>
      <c r="F93" s="75">
        <v>530.57000000000005</v>
      </c>
      <c r="G93" s="31">
        <f t="shared" si="10"/>
        <v>32815.754500000003</v>
      </c>
      <c r="H93" s="76">
        <v>48581.26</v>
      </c>
      <c r="I93" s="77">
        <f t="shared" si="11"/>
        <v>3004750.9310000003</v>
      </c>
      <c r="J93" s="65" t="s">
        <v>22</v>
      </c>
      <c r="K93" s="66" t="s">
        <v>38</v>
      </c>
      <c r="L93" s="78"/>
      <c r="M93" s="70"/>
      <c r="N93" s="75"/>
      <c r="O93" s="75"/>
      <c r="P93" s="75"/>
      <c r="Q93" s="75"/>
      <c r="R93" s="98">
        <v>46028</v>
      </c>
      <c r="S93" s="75">
        <v>62.073999999999998</v>
      </c>
      <c r="T93" s="133">
        <f t="shared" si="13"/>
        <v>0.22399999999999665</v>
      </c>
      <c r="U93" s="79"/>
    </row>
    <row r="94" spans="1:21" x14ac:dyDescent="0.25">
      <c r="A94" s="70">
        <f t="shared" si="12"/>
        <v>90</v>
      </c>
      <c r="B94" s="98">
        <v>46020</v>
      </c>
      <c r="C94" s="72">
        <v>9109871</v>
      </c>
      <c r="D94" s="73">
        <v>57384067</v>
      </c>
      <c r="E94" s="74">
        <v>61.7</v>
      </c>
      <c r="F94" s="75">
        <v>530.57000000000005</v>
      </c>
      <c r="G94" s="31">
        <f t="shared" si="10"/>
        <v>32736.169000000005</v>
      </c>
      <c r="H94" s="76">
        <v>48581.26</v>
      </c>
      <c r="I94" s="77">
        <f t="shared" si="11"/>
        <v>2997463.7420000001</v>
      </c>
      <c r="J94" s="65" t="s">
        <v>22</v>
      </c>
      <c r="K94" s="66" t="s">
        <v>38</v>
      </c>
      <c r="L94" s="78"/>
      <c r="M94" s="70"/>
      <c r="N94" s="75"/>
      <c r="O94" s="75"/>
      <c r="P94" s="75"/>
      <c r="Q94" s="75"/>
      <c r="R94" s="98">
        <v>46030</v>
      </c>
      <c r="S94" s="75">
        <v>61.451999999999998</v>
      </c>
      <c r="T94" s="75">
        <f t="shared" si="13"/>
        <v>-0.24800000000000466</v>
      </c>
      <c r="U94" s="79"/>
    </row>
    <row r="95" spans="1:21" x14ac:dyDescent="0.25">
      <c r="A95" s="70">
        <f t="shared" si="12"/>
        <v>91</v>
      </c>
      <c r="B95" s="98">
        <v>46020</v>
      </c>
      <c r="C95" s="72">
        <v>9109871</v>
      </c>
      <c r="D95" s="73">
        <v>58640590</v>
      </c>
      <c r="E95" s="74">
        <v>61.75</v>
      </c>
      <c r="F95" s="75">
        <v>530.57000000000005</v>
      </c>
      <c r="G95" s="31">
        <f t="shared" si="10"/>
        <v>32762.697500000002</v>
      </c>
      <c r="H95" s="76">
        <v>48581.26</v>
      </c>
      <c r="I95" s="77">
        <f t="shared" si="11"/>
        <v>2999892.8050000002</v>
      </c>
      <c r="J95" s="65" t="s">
        <v>22</v>
      </c>
      <c r="K95" s="66" t="s">
        <v>38</v>
      </c>
      <c r="L95" s="78"/>
      <c r="M95" s="70"/>
      <c r="N95" s="75"/>
      <c r="O95" s="75"/>
      <c r="P95" s="75"/>
      <c r="Q95" s="75"/>
      <c r="R95" s="98">
        <v>46030</v>
      </c>
      <c r="S95" s="75">
        <v>61.534999999999997</v>
      </c>
      <c r="T95" s="133">
        <f t="shared" si="13"/>
        <v>-0.21500000000000341</v>
      </c>
      <c r="U95" s="79"/>
    </row>
    <row r="96" spans="1:21" x14ac:dyDescent="0.25">
      <c r="A96" s="70">
        <f t="shared" si="12"/>
        <v>92</v>
      </c>
      <c r="B96" s="98">
        <v>46020</v>
      </c>
      <c r="C96" s="72">
        <v>9109873</v>
      </c>
      <c r="D96" s="73">
        <v>58640731</v>
      </c>
      <c r="E96" s="74">
        <v>61.55</v>
      </c>
      <c r="F96" s="75">
        <v>530.57000000000005</v>
      </c>
      <c r="G96" s="31">
        <f t="shared" si="10"/>
        <v>32656.583500000001</v>
      </c>
      <c r="H96" s="76">
        <v>48581.26</v>
      </c>
      <c r="I96" s="77">
        <f t="shared" si="11"/>
        <v>2990176.5529999998</v>
      </c>
      <c r="J96" s="65" t="s">
        <v>22</v>
      </c>
      <c r="K96" s="66" t="s">
        <v>38</v>
      </c>
      <c r="L96" s="78"/>
      <c r="M96" s="70"/>
      <c r="N96" s="75"/>
      <c r="O96" s="75"/>
      <c r="P96" s="75"/>
      <c r="R96" s="98">
        <v>46028</v>
      </c>
      <c r="S96" s="75">
        <v>61.325000000000003</v>
      </c>
      <c r="T96" s="133">
        <f t="shared" si="13"/>
        <v>-0.22499999999999432</v>
      </c>
      <c r="U96" s="79"/>
    </row>
    <row r="97" spans="1:21" x14ac:dyDescent="0.25">
      <c r="A97" s="70">
        <f t="shared" si="12"/>
        <v>93</v>
      </c>
      <c r="B97" s="98">
        <v>46020</v>
      </c>
      <c r="C97" s="102">
        <v>9109873</v>
      </c>
      <c r="D97" s="103">
        <v>58644097</v>
      </c>
      <c r="E97" s="104">
        <v>61.7</v>
      </c>
      <c r="F97" s="75">
        <v>530.57000000000005</v>
      </c>
      <c r="G97" s="106">
        <f t="shared" si="10"/>
        <v>32736.169000000005</v>
      </c>
      <c r="H97" s="107">
        <v>48581.26</v>
      </c>
      <c r="I97" s="108">
        <f t="shared" si="11"/>
        <v>2997463.7420000001</v>
      </c>
      <c r="J97" s="109" t="s">
        <v>22</v>
      </c>
      <c r="K97" s="66" t="s">
        <v>38</v>
      </c>
      <c r="L97" s="87"/>
      <c r="M97" s="101"/>
      <c r="N97" s="105"/>
      <c r="O97" s="105"/>
      <c r="P97" s="105"/>
      <c r="Q97" s="105"/>
      <c r="R97" s="98">
        <v>46028</v>
      </c>
      <c r="S97" s="105">
        <v>61.587000000000003</v>
      </c>
      <c r="T97" s="133">
        <f t="shared" si="13"/>
        <v>-0.11299999999999955</v>
      </c>
      <c r="U97" s="112"/>
    </row>
    <row r="98" spans="1:21" x14ac:dyDescent="0.25">
      <c r="A98" s="70">
        <f t="shared" si="12"/>
        <v>94</v>
      </c>
      <c r="B98" s="98">
        <v>46020</v>
      </c>
      <c r="C98" s="72">
        <v>9109871</v>
      </c>
      <c r="D98" s="73">
        <v>73072076</v>
      </c>
      <c r="E98" s="74">
        <v>61.75</v>
      </c>
      <c r="F98" s="75">
        <v>530.57000000000005</v>
      </c>
      <c r="G98" s="31">
        <f t="shared" si="10"/>
        <v>32762.697500000002</v>
      </c>
      <c r="H98" s="76">
        <v>48581.26</v>
      </c>
      <c r="I98" s="113">
        <f t="shared" si="11"/>
        <v>2999892.8050000002</v>
      </c>
      <c r="J98" s="114" t="s">
        <v>22</v>
      </c>
      <c r="K98" s="66" t="s">
        <v>38</v>
      </c>
      <c r="L98" s="78"/>
      <c r="M98" s="70"/>
      <c r="N98" s="75"/>
      <c r="O98" s="75"/>
      <c r="P98" s="75"/>
      <c r="Q98" s="75"/>
      <c r="R98" s="98">
        <v>46030</v>
      </c>
      <c r="S98" s="75">
        <v>61.707000000000001</v>
      </c>
      <c r="T98" s="75">
        <f t="shared" si="13"/>
        <v>-4.2999999999999261E-2</v>
      </c>
      <c r="U98" s="79"/>
    </row>
    <row r="99" spans="1:21" x14ac:dyDescent="0.25">
      <c r="A99" s="70">
        <f t="shared" si="12"/>
        <v>95</v>
      </c>
      <c r="B99" s="98">
        <v>46020</v>
      </c>
      <c r="C99" s="72">
        <v>9109872</v>
      </c>
      <c r="D99" s="73">
        <v>73084469</v>
      </c>
      <c r="E99" s="74">
        <v>61.6</v>
      </c>
      <c r="F99" s="75">
        <v>530.57000000000005</v>
      </c>
      <c r="G99" s="31">
        <f t="shared" si="10"/>
        <v>32683.112000000005</v>
      </c>
      <c r="H99" s="76">
        <v>48581.26</v>
      </c>
      <c r="I99" s="113">
        <f t="shared" si="11"/>
        <v>2992605.6160000004</v>
      </c>
      <c r="J99" s="114" t="s">
        <v>22</v>
      </c>
      <c r="K99" s="66" t="s">
        <v>38</v>
      </c>
      <c r="L99" s="78"/>
      <c r="M99" s="70"/>
      <c r="N99" s="75"/>
      <c r="O99" s="75"/>
      <c r="P99" s="75"/>
      <c r="Q99" s="75"/>
      <c r="R99" s="98">
        <v>46032</v>
      </c>
      <c r="S99" s="75">
        <v>61.079000000000001</v>
      </c>
      <c r="T99" s="133">
        <f t="shared" si="13"/>
        <v>-0.5210000000000008</v>
      </c>
      <c r="U99" s="79"/>
    </row>
    <row r="100" spans="1:21" x14ac:dyDescent="0.25">
      <c r="A100" s="70">
        <f t="shared" si="12"/>
        <v>96</v>
      </c>
      <c r="B100" s="98">
        <v>46020</v>
      </c>
      <c r="C100" s="72">
        <v>9109872</v>
      </c>
      <c r="D100" s="73">
        <v>73103475</v>
      </c>
      <c r="E100" s="74">
        <v>61.5</v>
      </c>
      <c r="F100" s="75">
        <v>530.57000000000005</v>
      </c>
      <c r="G100" s="31">
        <f t="shared" si="10"/>
        <v>32630.055000000004</v>
      </c>
      <c r="H100" s="76">
        <v>48581.26</v>
      </c>
      <c r="I100" s="113">
        <f t="shared" si="11"/>
        <v>2987747.49</v>
      </c>
      <c r="J100" s="114" t="s">
        <v>22</v>
      </c>
      <c r="K100" s="66" t="s">
        <v>38</v>
      </c>
      <c r="L100" s="78"/>
      <c r="M100" s="70"/>
      <c r="N100" s="75"/>
      <c r="O100" s="75"/>
      <c r="P100" s="75"/>
      <c r="Q100" s="75"/>
      <c r="R100" s="98">
        <v>46032</v>
      </c>
      <c r="S100" s="75">
        <v>61.613999999999997</v>
      </c>
      <c r="T100" s="133">
        <f t="shared" si="13"/>
        <v>0.11399999999999721</v>
      </c>
      <c r="U100" s="79"/>
    </row>
    <row r="101" spans="1:21" x14ac:dyDescent="0.25">
      <c r="A101" s="70">
        <f t="shared" si="12"/>
        <v>97</v>
      </c>
      <c r="B101" s="98">
        <v>46020</v>
      </c>
      <c r="C101" s="72">
        <v>9109873</v>
      </c>
      <c r="D101" s="73">
        <v>73140352</v>
      </c>
      <c r="E101" s="74">
        <v>61.6</v>
      </c>
      <c r="F101" s="75">
        <v>530.57000000000005</v>
      </c>
      <c r="G101" s="31">
        <f t="shared" si="10"/>
        <v>32683.112000000005</v>
      </c>
      <c r="H101" s="76">
        <v>48581.26</v>
      </c>
      <c r="I101" s="113">
        <f t="shared" si="11"/>
        <v>2992605.6160000004</v>
      </c>
      <c r="J101" s="114" t="s">
        <v>22</v>
      </c>
      <c r="K101" s="66" t="s">
        <v>38</v>
      </c>
      <c r="L101" s="78"/>
      <c r="M101" s="70"/>
      <c r="N101" s="75"/>
      <c r="O101" s="75"/>
      <c r="P101" s="75"/>
      <c r="Q101" s="75"/>
      <c r="R101" s="98">
        <v>46028</v>
      </c>
      <c r="S101" s="75">
        <v>61.542999999999999</v>
      </c>
      <c r="T101" s="133">
        <f t="shared" si="13"/>
        <v>-5.700000000000216E-2</v>
      </c>
      <c r="U101" s="79"/>
    </row>
    <row r="102" spans="1:21" x14ac:dyDescent="0.25">
      <c r="A102" s="70">
        <f t="shared" si="12"/>
        <v>98</v>
      </c>
      <c r="B102" s="98">
        <v>46020</v>
      </c>
      <c r="C102" s="72">
        <v>9109872</v>
      </c>
      <c r="D102" s="73">
        <v>73189912</v>
      </c>
      <c r="E102" s="74">
        <v>61.6</v>
      </c>
      <c r="F102" s="75">
        <v>530.57000000000005</v>
      </c>
      <c r="G102" s="31">
        <f t="shared" si="10"/>
        <v>32683.112000000005</v>
      </c>
      <c r="H102" s="76">
        <v>48581.26</v>
      </c>
      <c r="I102" s="113">
        <f t="shared" si="11"/>
        <v>2992605.6160000004</v>
      </c>
      <c r="J102" s="114" t="s">
        <v>22</v>
      </c>
      <c r="K102" s="66" t="s">
        <v>38</v>
      </c>
      <c r="L102" s="78"/>
      <c r="M102" s="70"/>
      <c r="N102" s="75"/>
      <c r="O102" s="75"/>
      <c r="P102" s="75"/>
      <c r="Q102" s="75"/>
      <c r="R102" s="98">
        <v>46028</v>
      </c>
      <c r="S102" s="75">
        <v>61.747999999999998</v>
      </c>
      <c r="T102" s="133">
        <f t="shared" si="13"/>
        <v>0.14799999999999613</v>
      </c>
      <c r="U102" s="79"/>
    </row>
    <row r="103" spans="1:21" x14ac:dyDescent="0.25">
      <c r="A103" s="70">
        <f t="shared" si="12"/>
        <v>99</v>
      </c>
      <c r="B103" s="98">
        <v>46020</v>
      </c>
      <c r="C103" s="72">
        <v>9109872</v>
      </c>
      <c r="D103" s="73">
        <v>73191678</v>
      </c>
      <c r="E103" s="74">
        <v>61.55</v>
      </c>
      <c r="F103" s="75">
        <v>530.57000000000005</v>
      </c>
      <c r="G103" s="31">
        <f t="shared" si="10"/>
        <v>32656.583500000001</v>
      </c>
      <c r="H103" s="76">
        <v>48581.26</v>
      </c>
      <c r="I103" s="113">
        <f t="shared" si="11"/>
        <v>2990176.5529999998</v>
      </c>
      <c r="J103" s="114" t="s">
        <v>22</v>
      </c>
      <c r="K103" s="66" t="s">
        <v>38</v>
      </c>
      <c r="L103" s="78"/>
      <c r="M103" s="70"/>
      <c r="N103" s="75"/>
      <c r="O103" s="75"/>
      <c r="P103" s="75"/>
      <c r="Q103" s="75"/>
      <c r="R103" s="98">
        <v>46028</v>
      </c>
      <c r="S103" s="75">
        <v>61.529000000000003</v>
      </c>
      <c r="T103" s="133">
        <f t="shared" si="13"/>
        <v>-2.099999999999369E-2</v>
      </c>
      <c r="U103" s="79"/>
    </row>
    <row r="104" spans="1:21" x14ac:dyDescent="0.25">
      <c r="A104" s="70">
        <f t="shared" si="12"/>
        <v>100</v>
      </c>
      <c r="B104" s="98">
        <v>46020</v>
      </c>
      <c r="C104" s="72">
        <v>9109873</v>
      </c>
      <c r="D104" s="73">
        <v>73192783</v>
      </c>
      <c r="E104" s="74">
        <v>61.5</v>
      </c>
      <c r="F104" s="75">
        <v>530.57000000000005</v>
      </c>
      <c r="G104" s="31">
        <f t="shared" si="10"/>
        <v>32630.055000000004</v>
      </c>
      <c r="H104" s="76">
        <v>48581.26</v>
      </c>
      <c r="I104" s="113">
        <f t="shared" si="11"/>
        <v>2987747.49</v>
      </c>
      <c r="J104" s="114" t="s">
        <v>22</v>
      </c>
      <c r="K104" s="66" t="s">
        <v>38</v>
      </c>
      <c r="L104" s="78"/>
      <c r="M104" s="70"/>
      <c r="N104" s="75"/>
      <c r="O104" s="75"/>
      <c r="P104" s="75"/>
      <c r="Q104" s="75"/>
      <c r="R104" s="98">
        <v>46028</v>
      </c>
      <c r="S104" s="75">
        <v>61.363999999999997</v>
      </c>
      <c r="T104" s="133">
        <f t="shared" si="13"/>
        <v>-0.13600000000000279</v>
      </c>
      <c r="U104" s="79"/>
    </row>
    <row r="105" spans="1:21" x14ac:dyDescent="0.25">
      <c r="A105" s="70">
        <f t="shared" si="12"/>
        <v>101</v>
      </c>
      <c r="B105" s="98">
        <v>46020</v>
      </c>
      <c r="C105" s="72">
        <v>9109871</v>
      </c>
      <c r="D105" s="73">
        <v>73200545</v>
      </c>
      <c r="E105" s="74">
        <v>61.55</v>
      </c>
      <c r="F105" s="75">
        <v>530.57000000000005</v>
      </c>
      <c r="G105" s="31">
        <f t="shared" si="10"/>
        <v>32656.583500000001</v>
      </c>
      <c r="H105" s="76">
        <v>48581.26</v>
      </c>
      <c r="I105" s="113">
        <f t="shared" si="11"/>
        <v>2990176.5529999998</v>
      </c>
      <c r="J105" s="114" t="s">
        <v>22</v>
      </c>
      <c r="K105" s="66" t="s">
        <v>38</v>
      </c>
      <c r="L105" s="78"/>
      <c r="M105" s="70"/>
      <c r="N105" s="75"/>
      <c r="O105" s="75"/>
      <c r="P105" s="75"/>
      <c r="Q105" s="75"/>
      <c r="R105" s="98">
        <v>46030</v>
      </c>
      <c r="S105" s="75">
        <v>61.417999999999999</v>
      </c>
      <c r="T105" s="75">
        <f t="shared" si="13"/>
        <v>-0.1319999999999979</v>
      </c>
      <c r="U105" s="79"/>
    </row>
    <row r="106" spans="1:21" x14ac:dyDescent="0.25">
      <c r="A106" s="70">
        <f t="shared" si="12"/>
        <v>102</v>
      </c>
      <c r="B106" s="98">
        <v>46020</v>
      </c>
      <c r="C106" s="72">
        <v>9109873</v>
      </c>
      <c r="D106" s="73">
        <v>73505182</v>
      </c>
      <c r="E106" s="74">
        <v>61.5</v>
      </c>
      <c r="F106" s="75">
        <v>530.57000000000005</v>
      </c>
      <c r="G106" s="31">
        <f t="shared" si="10"/>
        <v>32630.055000000004</v>
      </c>
      <c r="H106" s="76">
        <v>48581.26</v>
      </c>
      <c r="I106" s="113">
        <f t="shared" si="11"/>
        <v>2987747.49</v>
      </c>
      <c r="J106" s="114" t="s">
        <v>22</v>
      </c>
      <c r="K106" s="66" t="s">
        <v>38</v>
      </c>
      <c r="L106" s="78"/>
      <c r="M106" s="70"/>
      <c r="N106" s="75"/>
      <c r="O106" s="75"/>
      <c r="P106" s="75"/>
      <c r="Q106" s="75"/>
      <c r="R106" s="98">
        <v>46028</v>
      </c>
      <c r="S106" s="75">
        <v>61.475999999999999</v>
      </c>
      <c r="T106" s="133">
        <f t="shared" si="13"/>
        <v>-2.4000000000000909E-2</v>
      </c>
      <c r="U106" s="79"/>
    </row>
    <row r="107" spans="1:21" x14ac:dyDescent="0.25">
      <c r="A107" s="70">
        <f t="shared" si="12"/>
        <v>103</v>
      </c>
      <c r="B107" s="98">
        <v>46020</v>
      </c>
      <c r="C107" s="72">
        <v>9109873</v>
      </c>
      <c r="D107" s="73">
        <v>73994873</v>
      </c>
      <c r="E107" s="74">
        <v>61</v>
      </c>
      <c r="F107" s="75">
        <v>530.57000000000005</v>
      </c>
      <c r="G107" s="31">
        <f t="shared" si="10"/>
        <v>32364.770000000004</v>
      </c>
      <c r="H107" s="76">
        <v>48581.26</v>
      </c>
      <c r="I107" s="113">
        <f t="shared" si="11"/>
        <v>2963456.8600000003</v>
      </c>
      <c r="J107" s="114" t="s">
        <v>22</v>
      </c>
      <c r="K107" s="66" t="s">
        <v>38</v>
      </c>
      <c r="L107" s="78"/>
      <c r="M107" s="70"/>
      <c r="N107" s="75"/>
      <c r="O107" s="75"/>
      <c r="P107" s="75"/>
      <c r="Q107" s="75"/>
      <c r="R107" s="98">
        <v>46028</v>
      </c>
      <c r="S107" s="75">
        <v>60.99</v>
      </c>
      <c r="T107" s="133">
        <f t="shared" si="13"/>
        <v>-9.9999999999980105E-3</v>
      </c>
      <c r="U107" s="79"/>
    </row>
    <row r="108" spans="1:21" x14ac:dyDescent="0.25">
      <c r="A108" s="70">
        <f t="shared" si="12"/>
        <v>104</v>
      </c>
      <c r="B108" s="98">
        <v>46020</v>
      </c>
      <c r="C108" s="72">
        <v>9109873</v>
      </c>
      <c r="D108" s="73">
        <v>75062976</v>
      </c>
      <c r="E108" s="74">
        <v>61.6</v>
      </c>
      <c r="F108" s="75">
        <v>530.57000000000005</v>
      </c>
      <c r="G108" s="31">
        <f t="shared" si="10"/>
        <v>32683.112000000005</v>
      </c>
      <c r="H108" s="76">
        <v>48581.26</v>
      </c>
      <c r="I108" s="113">
        <f t="shared" si="11"/>
        <v>2992605.6160000004</v>
      </c>
      <c r="J108" s="114" t="s">
        <v>22</v>
      </c>
      <c r="K108" s="66" t="s">
        <v>38</v>
      </c>
      <c r="L108" s="78"/>
      <c r="M108" s="70"/>
      <c r="N108" s="75"/>
      <c r="O108" s="75"/>
      <c r="P108" s="75"/>
      <c r="Q108" s="75"/>
      <c r="R108" s="98">
        <v>46028</v>
      </c>
      <c r="S108" s="75">
        <v>61.475000000000001</v>
      </c>
      <c r="T108" s="133">
        <f t="shared" si="13"/>
        <v>-0.125</v>
      </c>
      <c r="U108" s="79"/>
    </row>
    <row r="109" spans="1:21" x14ac:dyDescent="0.25">
      <c r="A109" s="70">
        <f t="shared" si="12"/>
        <v>105</v>
      </c>
      <c r="B109" s="98">
        <v>46020</v>
      </c>
      <c r="C109" s="72">
        <v>9109873</v>
      </c>
      <c r="D109" s="73">
        <v>75109322</v>
      </c>
      <c r="E109" s="74">
        <v>61.55</v>
      </c>
      <c r="F109" s="75">
        <v>530.57000000000005</v>
      </c>
      <c r="G109" s="31">
        <f t="shared" si="10"/>
        <v>32656.583500000001</v>
      </c>
      <c r="H109" s="76">
        <v>48581.26</v>
      </c>
      <c r="I109" s="113">
        <f t="shared" si="11"/>
        <v>2990176.5529999998</v>
      </c>
      <c r="J109" s="114" t="s">
        <v>22</v>
      </c>
      <c r="K109" s="66" t="s">
        <v>38</v>
      </c>
      <c r="L109" s="78"/>
      <c r="M109" s="70"/>
      <c r="N109" s="75"/>
      <c r="O109" s="75"/>
      <c r="P109" s="75"/>
      <c r="Q109" s="75"/>
      <c r="R109" s="98">
        <v>46028</v>
      </c>
      <c r="S109" s="75">
        <v>61.383000000000003</v>
      </c>
      <c r="T109" s="133">
        <f t="shared" si="13"/>
        <v>-0.16699999999999449</v>
      </c>
      <c r="U109" s="79"/>
    </row>
    <row r="110" spans="1:21" x14ac:dyDescent="0.25">
      <c r="A110" s="70">
        <f t="shared" si="12"/>
        <v>106</v>
      </c>
      <c r="B110" s="98">
        <v>46020</v>
      </c>
      <c r="C110" s="72">
        <v>9109872</v>
      </c>
      <c r="D110" s="73">
        <v>75237636</v>
      </c>
      <c r="E110" s="74">
        <v>62.1</v>
      </c>
      <c r="F110" s="75">
        <v>530.57000000000005</v>
      </c>
      <c r="G110" s="31">
        <f t="shared" si="10"/>
        <v>32948.397000000004</v>
      </c>
      <c r="H110" s="76">
        <v>48581.26</v>
      </c>
      <c r="I110" s="113">
        <f t="shared" si="11"/>
        <v>3016896.2460000003</v>
      </c>
      <c r="J110" s="114" t="s">
        <v>22</v>
      </c>
      <c r="K110" s="66" t="s">
        <v>38</v>
      </c>
      <c r="L110" s="78"/>
      <c r="M110" s="70"/>
      <c r="N110" s="75"/>
      <c r="O110" s="75"/>
      <c r="P110" s="75"/>
      <c r="Q110" s="75"/>
      <c r="R110" s="98">
        <v>46028</v>
      </c>
      <c r="S110" s="75">
        <v>62.292999999999999</v>
      </c>
      <c r="T110" s="133">
        <f t="shared" si="13"/>
        <v>0.19299999999999784</v>
      </c>
      <c r="U110" s="79"/>
    </row>
    <row r="111" spans="1:21" x14ac:dyDescent="0.25">
      <c r="A111" s="70">
        <f t="shared" si="12"/>
        <v>107</v>
      </c>
      <c r="B111" s="98">
        <v>46020</v>
      </c>
      <c r="C111" s="72">
        <v>9109871</v>
      </c>
      <c r="D111" s="73">
        <v>75279349</v>
      </c>
      <c r="E111" s="74">
        <v>62.05</v>
      </c>
      <c r="F111" s="75">
        <v>530.57000000000005</v>
      </c>
      <c r="G111" s="31">
        <f t="shared" si="10"/>
        <v>32921.868500000004</v>
      </c>
      <c r="H111" s="76">
        <v>48581.26</v>
      </c>
      <c r="I111" s="113">
        <f t="shared" si="11"/>
        <v>3014467.1830000002</v>
      </c>
      <c r="J111" s="114" t="s">
        <v>22</v>
      </c>
      <c r="K111" s="66" t="s">
        <v>38</v>
      </c>
      <c r="L111" s="78"/>
      <c r="M111" s="70"/>
      <c r="N111" s="75"/>
      <c r="O111" s="75"/>
      <c r="P111" s="75"/>
      <c r="Q111" s="75"/>
      <c r="R111" s="98">
        <v>46032</v>
      </c>
      <c r="S111" s="75">
        <v>61.87</v>
      </c>
      <c r="T111" s="133">
        <f t="shared" si="13"/>
        <v>-0.17999999999999972</v>
      </c>
      <c r="U111" s="79"/>
    </row>
    <row r="112" spans="1:21" x14ac:dyDescent="0.25">
      <c r="A112" s="70">
        <f t="shared" si="12"/>
        <v>108</v>
      </c>
      <c r="B112" s="98">
        <v>46020</v>
      </c>
      <c r="C112" s="72">
        <v>9109871</v>
      </c>
      <c r="D112" s="73">
        <v>75279406</v>
      </c>
      <c r="E112" s="74">
        <v>62</v>
      </c>
      <c r="F112" s="75">
        <v>530.57000000000005</v>
      </c>
      <c r="G112" s="31">
        <f t="shared" si="10"/>
        <v>32895.340000000004</v>
      </c>
      <c r="H112" s="76">
        <v>48581.26</v>
      </c>
      <c r="I112" s="113">
        <f t="shared" si="11"/>
        <v>3012038.12</v>
      </c>
      <c r="J112" s="114" t="s">
        <v>22</v>
      </c>
      <c r="K112" s="66" t="s">
        <v>38</v>
      </c>
      <c r="L112" s="78"/>
      <c r="M112" s="70"/>
      <c r="N112" s="75"/>
      <c r="O112" s="75"/>
      <c r="P112" s="75"/>
      <c r="Q112" s="75"/>
      <c r="R112" s="98">
        <v>46032</v>
      </c>
      <c r="S112" s="75">
        <v>61.823999999999998</v>
      </c>
      <c r="T112" s="75">
        <f t="shared" si="13"/>
        <v>-0.17600000000000193</v>
      </c>
      <c r="U112" s="79"/>
    </row>
    <row r="113" spans="1:21" x14ac:dyDescent="0.25">
      <c r="A113" s="70">
        <f t="shared" si="12"/>
        <v>109</v>
      </c>
      <c r="B113" s="98">
        <v>46020</v>
      </c>
      <c r="C113" s="72">
        <v>9109871</v>
      </c>
      <c r="D113" s="73">
        <v>75542696</v>
      </c>
      <c r="E113" s="74">
        <v>62.1</v>
      </c>
      <c r="F113" s="75">
        <v>530.57000000000005</v>
      </c>
      <c r="G113" s="31">
        <f t="shared" si="10"/>
        <v>32948.397000000004</v>
      </c>
      <c r="H113" s="76">
        <v>48581.26</v>
      </c>
      <c r="I113" s="113">
        <f t="shared" si="11"/>
        <v>3016896.2460000003</v>
      </c>
      <c r="J113" s="114" t="s">
        <v>22</v>
      </c>
      <c r="K113" s="66" t="s">
        <v>38</v>
      </c>
      <c r="L113" s="78"/>
      <c r="M113" s="70"/>
      <c r="N113" s="75"/>
      <c r="O113" s="75"/>
      <c r="P113" s="75"/>
      <c r="Q113" s="75"/>
      <c r="R113" s="98">
        <v>46030</v>
      </c>
      <c r="S113" s="75">
        <v>62.055999999999997</v>
      </c>
      <c r="T113" s="75">
        <f t="shared" si="13"/>
        <v>-4.4000000000004036E-2</v>
      </c>
      <c r="U113" s="79"/>
    </row>
    <row r="114" spans="1:21" x14ac:dyDescent="0.25">
      <c r="A114" s="70">
        <f t="shared" si="12"/>
        <v>110</v>
      </c>
      <c r="B114" s="98">
        <v>46020</v>
      </c>
      <c r="C114" s="72">
        <v>9109871</v>
      </c>
      <c r="D114" s="73">
        <v>75758896</v>
      </c>
      <c r="E114" s="74">
        <v>62.1</v>
      </c>
      <c r="F114" s="75">
        <v>530.57000000000005</v>
      </c>
      <c r="G114" s="31">
        <f t="shared" si="10"/>
        <v>32948.397000000004</v>
      </c>
      <c r="H114" s="76">
        <v>48581.26</v>
      </c>
      <c r="I114" s="113">
        <f t="shared" si="11"/>
        <v>3016896.2460000003</v>
      </c>
      <c r="J114" s="114" t="s">
        <v>22</v>
      </c>
      <c r="K114" s="66" t="s">
        <v>38</v>
      </c>
      <c r="L114" s="78"/>
      <c r="M114" s="70"/>
      <c r="N114" s="75"/>
      <c r="O114" s="75"/>
      <c r="P114" s="75"/>
      <c r="Q114" s="75"/>
      <c r="R114" s="98">
        <v>46030</v>
      </c>
      <c r="S114" s="75">
        <v>61.887</v>
      </c>
      <c r="T114" s="75">
        <f t="shared" si="13"/>
        <v>-0.21300000000000097</v>
      </c>
      <c r="U114" s="79"/>
    </row>
    <row r="115" spans="1:21" x14ac:dyDescent="0.25">
      <c r="A115" s="70">
        <f t="shared" si="12"/>
        <v>111</v>
      </c>
      <c r="B115" s="98">
        <v>46020</v>
      </c>
      <c r="C115" s="72">
        <v>9109872</v>
      </c>
      <c r="D115" s="73">
        <v>76635796</v>
      </c>
      <c r="E115" s="74">
        <v>62.05</v>
      </c>
      <c r="F115" s="75">
        <v>530.57000000000005</v>
      </c>
      <c r="G115" s="31">
        <f t="shared" si="10"/>
        <v>32921.868500000004</v>
      </c>
      <c r="H115" s="76">
        <v>48581.26</v>
      </c>
      <c r="I115" s="113">
        <f t="shared" si="11"/>
        <v>3014467.1830000002</v>
      </c>
      <c r="J115" s="114" t="s">
        <v>22</v>
      </c>
      <c r="K115" s="66" t="s">
        <v>38</v>
      </c>
      <c r="L115" s="78"/>
      <c r="M115" s="70"/>
      <c r="N115" s="75"/>
      <c r="O115" s="75"/>
      <c r="P115" s="75"/>
      <c r="Q115" s="75"/>
      <c r="R115" s="98">
        <v>46028</v>
      </c>
      <c r="S115" s="75">
        <v>60.063000000000002</v>
      </c>
      <c r="T115" s="133">
        <f t="shared" si="13"/>
        <v>-1.9869999999999948</v>
      </c>
      <c r="U115" s="79"/>
    </row>
    <row r="116" spans="1:21" x14ac:dyDescent="0.25">
      <c r="A116" s="70">
        <f t="shared" si="12"/>
        <v>112</v>
      </c>
      <c r="B116" s="98">
        <v>46020</v>
      </c>
      <c r="C116" s="72">
        <v>9109872</v>
      </c>
      <c r="D116" s="73">
        <v>76792290</v>
      </c>
      <c r="E116" s="74">
        <v>62.05</v>
      </c>
      <c r="F116" s="75">
        <v>530.57000000000005</v>
      </c>
      <c r="G116" s="31">
        <f t="shared" si="10"/>
        <v>32921.868500000004</v>
      </c>
      <c r="H116" s="76">
        <v>48581.26</v>
      </c>
      <c r="I116" s="113">
        <f t="shared" si="11"/>
        <v>3014467.1830000002</v>
      </c>
      <c r="J116" s="114" t="s">
        <v>22</v>
      </c>
      <c r="K116" s="66" t="s">
        <v>38</v>
      </c>
      <c r="L116" s="78"/>
      <c r="M116" s="70"/>
      <c r="N116" s="75"/>
      <c r="O116" s="75"/>
      <c r="P116" s="75"/>
      <c r="Q116" s="75"/>
      <c r="R116" s="98">
        <v>46028</v>
      </c>
      <c r="S116" s="75">
        <v>62.079000000000001</v>
      </c>
      <c r="T116" s="133">
        <f t="shared" si="13"/>
        <v>2.9000000000003467E-2</v>
      </c>
      <c r="U116" s="79"/>
    </row>
    <row r="117" spans="1:21" x14ac:dyDescent="0.25">
      <c r="A117" s="70">
        <f t="shared" si="12"/>
        <v>113</v>
      </c>
      <c r="B117" s="98">
        <v>46020</v>
      </c>
      <c r="C117" s="72">
        <v>9109872</v>
      </c>
      <c r="D117" s="73">
        <v>76832690</v>
      </c>
      <c r="E117" s="74">
        <v>62.05</v>
      </c>
      <c r="F117" s="75">
        <v>530.57000000000005</v>
      </c>
      <c r="G117" s="31">
        <f t="shared" si="10"/>
        <v>32921.868500000004</v>
      </c>
      <c r="H117" s="76">
        <v>48581.26</v>
      </c>
      <c r="I117" s="113">
        <f t="shared" si="11"/>
        <v>3014467.1830000002</v>
      </c>
      <c r="J117" s="114" t="s">
        <v>22</v>
      </c>
      <c r="K117" s="66" t="s">
        <v>38</v>
      </c>
      <c r="L117" s="78"/>
      <c r="M117" s="70"/>
      <c r="N117" s="75"/>
      <c r="O117" s="75"/>
      <c r="P117" s="75"/>
      <c r="Q117" s="75"/>
      <c r="R117" s="98">
        <v>46028</v>
      </c>
      <c r="S117" s="75">
        <v>62.191000000000003</v>
      </c>
      <c r="T117" s="133">
        <f t="shared" si="13"/>
        <v>0.14100000000000534</v>
      </c>
      <c r="U117" s="79"/>
    </row>
    <row r="118" spans="1:21" x14ac:dyDescent="0.25">
      <c r="A118" s="70">
        <f t="shared" si="12"/>
        <v>114</v>
      </c>
      <c r="B118" s="98">
        <v>46020</v>
      </c>
      <c r="C118" s="72">
        <v>9109873</v>
      </c>
      <c r="D118" s="73">
        <v>76909597</v>
      </c>
      <c r="E118" s="74">
        <v>61.85</v>
      </c>
      <c r="F118" s="75">
        <v>530.57000000000005</v>
      </c>
      <c r="G118" s="31">
        <f t="shared" si="10"/>
        <v>32815.754500000003</v>
      </c>
      <c r="H118" s="76">
        <v>48581.26</v>
      </c>
      <c r="I118" s="113">
        <f t="shared" si="11"/>
        <v>3004750.9310000003</v>
      </c>
      <c r="J118" s="114" t="s">
        <v>22</v>
      </c>
      <c r="K118" s="66" t="s">
        <v>38</v>
      </c>
      <c r="L118" s="78"/>
      <c r="M118" s="70"/>
      <c r="N118" s="75"/>
      <c r="O118" s="75"/>
      <c r="P118" s="75"/>
      <c r="Q118" s="75"/>
      <c r="R118" s="98">
        <v>46028</v>
      </c>
      <c r="S118" s="75">
        <v>61.781999999999996</v>
      </c>
      <c r="T118" s="133">
        <f t="shared" si="13"/>
        <v>-6.8000000000004945E-2</v>
      </c>
      <c r="U118" s="79"/>
    </row>
    <row r="119" spans="1:21" ht="15.75" thickBot="1" x14ac:dyDescent="0.3">
      <c r="A119" s="101">
        <f t="shared" si="12"/>
        <v>115</v>
      </c>
      <c r="B119" s="135">
        <v>46020</v>
      </c>
      <c r="C119" s="102">
        <v>9109872</v>
      </c>
      <c r="D119" s="103">
        <v>76911494</v>
      </c>
      <c r="E119" s="104">
        <v>62.05</v>
      </c>
      <c r="F119" s="75">
        <v>530.57000000000005</v>
      </c>
      <c r="G119" s="106">
        <f t="shared" si="10"/>
        <v>32921.868500000004</v>
      </c>
      <c r="H119" s="107">
        <v>48581.26</v>
      </c>
      <c r="I119" s="136">
        <f t="shared" si="11"/>
        <v>3014467.1830000002</v>
      </c>
      <c r="J119" s="137" t="s">
        <v>22</v>
      </c>
      <c r="K119" s="66" t="s">
        <v>38</v>
      </c>
      <c r="L119" s="87"/>
      <c r="M119" s="101"/>
      <c r="N119" s="105"/>
      <c r="O119" s="105"/>
      <c r="P119" s="105"/>
      <c r="Q119" s="105"/>
      <c r="R119" s="135">
        <v>46032</v>
      </c>
      <c r="S119" s="105">
        <v>61.835000000000001</v>
      </c>
      <c r="T119" s="105">
        <f t="shared" si="13"/>
        <v>-0.21499999999999631</v>
      </c>
      <c r="U119" s="112"/>
    </row>
    <row r="120" spans="1:21" ht="15.75" thickBot="1" x14ac:dyDescent="0.3">
      <c r="A120" s="90"/>
      <c r="B120" s="91"/>
      <c r="C120" s="91"/>
      <c r="D120" s="91"/>
      <c r="E120" s="92"/>
      <c r="F120" s="93"/>
      <c r="G120" s="94"/>
      <c r="H120" s="93"/>
      <c r="I120" s="95"/>
      <c r="J120" s="91"/>
      <c r="K120" s="96"/>
      <c r="L120" s="97"/>
      <c r="M120" s="138"/>
      <c r="N120" s="91"/>
      <c r="O120" s="91"/>
      <c r="P120" s="91"/>
      <c r="Q120" s="91"/>
      <c r="R120" s="91"/>
      <c r="S120" s="139"/>
      <c r="T120" s="110"/>
      <c r="U120" s="96"/>
    </row>
    <row r="121" spans="1:21" x14ac:dyDescent="0.25">
      <c r="A121" s="140">
        <v>116</v>
      </c>
      <c r="B121" s="71">
        <v>46021</v>
      </c>
      <c r="C121" s="141" t="s">
        <v>32</v>
      </c>
      <c r="D121" s="140">
        <v>54695697</v>
      </c>
      <c r="E121" s="142">
        <v>61.55</v>
      </c>
      <c r="F121" s="75">
        <v>530.57000000000005</v>
      </c>
      <c r="G121" s="31">
        <f t="shared" si="10"/>
        <v>32656.583500000001</v>
      </c>
      <c r="H121" s="76">
        <v>48581.26</v>
      </c>
      <c r="I121" s="113">
        <f t="shared" ref="I121:I150" si="14">E121*H121</f>
        <v>2990176.5529999998</v>
      </c>
      <c r="J121" s="114" t="s">
        <v>22</v>
      </c>
      <c r="K121" s="66" t="s">
        <v>38</v>
      </c>
      <c r="L121" s="143"/>
      <c r="M121" s="57"/>
      <c r="N121" s="68"/>
      <c r="O121" s="68"/>
      <c r="P121" s="68"/>
      <c r="Q121" s="68"/>
      <c r="R121" s="58">
        <v>46032</v>
      </c>
      <c r="S121" s="68">
        <v>61.206000000000003</v>
      </c>
      <c r="T121" s="133">
        <f t="shared" ref="T121:T150" si="15">S121-E121</f>
        <v>-0.34399999999999409</v>
      </c>
      <c r="U121" s="69"/>
    </row>
    <row r="122" spans="1:21" x14ac:dyDescent="0.25">
      <c r="A122" s="75">
        <f>A121+1</f>
        <v>117</v>
      </c>
      <c r="B122" s="98">
        <v>46021</v>
      </c>
      <c r="C122" s="144" t="s">
        <v>32</v>
      </c>
      <c r="D122" s="75">
        <v>55950380</v>
      </c>
      <c r="E122" s="145">
        <v>61.55</v>
      </c>
      <c r="F122" s="75">
        <v>530.57000000000005</v>
      </c>
      <c r="G122" s="31">
        <f t="shared" si="10"/>
        <v>32656.583500000001</v>
      </c>
      <c r="H122" s="76">
        <v>48581.26</v>
      </c>
      <c r="I122" s="113">
        <f t="shared" si="14"/>
        <v>2990176.5529999998</v>
      </c>
      <c r="J122" s="114" t="s">
        <v>22</v>
      </c>
      <c r="K122" s="66" t="s">
        <v>38</v>
      </c>
      <c r="L122" s="146"/>
      <c r="M122" s="70"/>
      <c r="N122" s="75"/>
      <c r="O122" s="75"/>
      <c r="P122" s="75"/>
      <c r="Q122" s="75"/>
      <c r="R122" s="71">
        <v>46032</v>
      </c>
      <c r="S122" s="75">
        <v>61.322000000000003</v>
      </c>
      <c r="T122" s="133">
        <f t="shared" si="15"/>
        <v>-0.22799999999999443</v>
      </c>
      <c r="U122" s="79"/>
    </row>
    <row r="123" spans="1:21" x14ac:dyDescent="0.25">
      <c r="A123" s="75">
        <f t="shared" ref="A123:A150" si="16">A122+1</f>
        <v>118</v>
      </c>
      <c r="B123" s="98">
        <v>46021</v>
      </c>
      <c r="C123" s="144" t="s">
        <v>32</v>
      </c>
      <c r="D123" s="75">
        <v>57423196</v>
      </c>
      <c r="E123" s="145">
        <v>61.15</v>
      </c>
      <c r="F123" s="75">
        <v>530.57000000000005</v>
      </c>
      <c r="G123" s="31">
        <f t="shared" si="10"/>
        <v>32444.355500000001</v>
      </c>
      <c r="H123" s="76">
        <v>48581.26</v>
      </c>
      <c r="I123" s="113">
        <f t="shared" si="14"/>
        <v>2970744.0490000001</v>
      </c>
      <c r="J123" s="114" t="s">
        <v>22</v>
      </c>
      <c r="K123" s="66" t="s">
        <v>38</v>
      </c>
      <c r="L123" s="146"/>
      <c r="M123" s="70"/>
      <c r="N123" s="75"/>
      <c r="O123" s="75"/>
      <c r="P123" s="75"/>
      <c r="Q123" s="75"/>
      <c r="R123" s="98">
        <v>46031</v>
      </c>
      <c r="S123" s="75">
        <v>61.305</v>
      </c>
      <c r="T123" s="133">
        <f t="shared" si="15"/>
        <v>0.15500000000000114</v>
      </c>
      <c r="U123" s="79"/>
    </row>
    <row r="124" spans="1:21" x14ac:dyDescent="0.25">
      <c r="A124" s="75">
        <f t="shared" si="16"/>
        <v>119</v>
      </c>
      <c r="B124" s="98">
        <v>46021</v>
      </c>
      <c r="C124" s="144" t="s">
        <v>32</v>
      </c>
      <c r="D124" s="75">
        <v>73023525</v>
      </c>
      <c r="E124" s="145">
        <v>61.5</v>
      </c>
      <c r="F124" s="75">
        <v>530.57000000000005</v>
      </c>
      <c r="G124" s="31">
        <f t="shared" si="10"/>
        <v>32630.055000000004</v>
      </c>
      <c r="H124" s="76">
        <v>48581.26</v>
      </c>
      <c r="I124" s="113">
        <f t="shared" si="14"/>
        <v>2987747.49</v>
      </c>
      <c r="J124" s="114" t="s">
        <v>22</v>
      </c>
      <c r="K124" s="66" t="s">
        <v>38</v>
      </c>
      <c r="L124" s="146"/>
      <c r="M124" s="70"/>
      <c r="N124" s="75"/>
      <c r="O124" s="75"/>
      <c r="P124" s="75"/>
      <c r="Q124" s="75"/>
      <c r="R124" s="71">
        <v>46032</v>
      </c>
      <c r="S124" s="75">
        <v>61.145000000000003</v>
      </c>
      <c r="T124" s="133">
        <f t="shared" si="15"/>
        <v>-0.35499999999999687</v>
      </c>
      <c r="U124" s="79"/>
    </row>
    <row r="125" spans="1:21" x14ac:dyDescent="0.25">
      <c r="A125" s="75">
        <f t="shared" si="16"/>
        <v>120</v>
      </c>
      <c r="B125" s="98">
        <v>46021</v>
      </c>
      <c r="C125" s="144" t="s">
        <v>32</v>
      </c>
      <c r="D125" s="75">
        <v>74998006</v>
      </c>
      <c r="E125" s="145">
        <v>62.8</v>
      </c>
      <c r="F125" s="75">
        <v>530.57000000000005</v>
      </c>
      <c r="G125" s="31">
        <f t="shared" si="10"/>
        <v>33319.796000000002</v>
      </c>
      <c r="H125" s="76">
        <v>48581.26</v>
      </c>
      <c r="I125" s="113">
        <f t="shared" si="14"/>
        <v>3050903.128</v>
      </c>
      <c r="J125" s="114" t="s">
        <v>22</v>
      </c>
      <c r="K125" s="66" t="s">
        <v>38</v>
      </c>
      <c r="L125" s="146"/>
      <c r="M125" s="70"/>
      <c r="N125" s="75"/>
      <c r="O125" s="75"/>
      <c r="P125" s="75"/>
      <c r="Q125" s="75"/>
      <c r="R125" s="71">
        <v>46032</v>
      </c>
      <c r="S125" s="75">
        <v>62.643999999999998</v>
      </c>
      <c r="T125" s="75">
        <f t="shared" si="15"/>
        <v>-0.15599999999999881</v>
      </c>
      <c r="U125" s="79"/>
    </row>
    <row r="126" spans="1:21" x14ac:dyDescent="0.25">
      <c r="A126" s="75">
        <f t="shared" si="16"/>
        <v>121</v>
      </c>
      <c r="B126" s="98">
        <v>46021</v>
      </c>
      <c r="C126" s="144" t="s">
        <v>32</v>
      </c>
      <c r="D126" s="75">
        <v>75053520</v>
      </c>
      <c r="E126" s="145">
        <v>61.55</v>
      </c>
      <c r="F126" s="75">
        <v>530.57000000000005</v>
      </c>
      <c r="G126" s="31">
        <f t="shared" si="10"/>
        <v>32656.583500000001</v>
      </c>
      <c r="H126" s="76">
        <v>48581.26</v>
      </c>
      <c r="I126" s="113">
        <f t="shared" si="14"/>
        <v>2990176.5529999998</v>
      </c>
      <c r="J126" s="114" t="s">
        <v>22</v>
      </c>
      <c r="K126" s="66" t="s">
        <v>38</v>
      </c>
      <c r="L126" s="146"/>
      <c r="M126" s="70"/>
      <c r="N126" s="75"/>
      <c r="O126" s="75"/>
      <c r="P126" s="75"/>
      <c r="Q126" s="75"/>
      <c r="R126" s="98">
        <v>46032</v>
      </c>
      <c r="S126" s="75">
        <v>61.401000000000003</v>
      </c>
      <c r="T126" s="133">
        <f t="shared" si="15"/>
        <v>-0.1489999999999938</v>
      </c>
      <c r="U126" s="79"/>
    </row>
    <row r="127" spans="1:21" x14ac:dyDescent="0.25">
      <c r="A127" s="75">
        <f t="shared" si="16"/>
        <v>122</v>
      </c>
      <c r="B127" s="98">
        <v>46021</v>
      </c>
      <c r="C127" s="144" t="s">
        <v>32</v>
      </c>
      <c r="D127" s="75">
        <v>75260646</v>
      </c>
      <c r="E127" s="145">
        <v>61.95</v>
      </c>
      <c r="F127" s="75">
        <v>530.57000000000005</v>
      </c>
      <c r="G127" s="31">
        <f t="shared" si="10"/>
        <v>32868.811500000003</v>
      </c>
      <c r="H127" s="76">
        <v>48581.26</v>
      </c>
      <c r="I127" s="113">
        <f t="shared" si="14"/>
        <v>3009609.0570000005</v>
      </c>
      <c r="J127" s="114" t="s">
        <v>22</v>
      </c>
      <c r="K127" s="66" t="s">
        <v>38</v>
      </c>
      <c r="L127" s="146"/>
      <c r="M127" s="70"/>
      <c r="N127" s="75"/>
      <c r="O127" s="75"/>
      <c r="P127" s="75"/>
      <c r="Q127" s="75"/>
      <c r="R127" s="98">
        <v>46032</v>
      </c>
      <c r="S127" s="75">
        <v>61.695</v>
      </c>
      <c r="T127" s="133">
        <f t="shared" si="15"/>
        <v>-0.25500000000000256</v>
      </c>
      <c r="U127" s="79"/>
    </row>
    <row r="128" spans="1:21" x14ac:dyDescent="0.25">
      <c r="A128" s="75">
        <f t="shared" si="16"/>
        <v>123</v>
      </c>
      <c r="B128" s="98">
        <v>46021</v>
      </c>
      <c r="C128" s="144" t="s">
        <v>32</v>
      </c>
      <c r="D128" s="75">
        <v>75261057</v>
      </c>
      <c r="E128" s="145">
        <v>62.1</v>
      </c>
      <c r="F128" s="75">
        <v>530.57000000000005</v>
      </c>
      <c r="G128" s="31">
        <f t="shared" si="10"/>
        <v>32948.397000000004</v>
      </c>
      <c r="H128" s="76">
        <v>48581.26</v>
      </c>
      <c r="I128" s="113">
        <f t="shared" si="14"/>
        <v>3016896.2460000003</v>
      </c>
      <c r="J128" s="114" t="s">
        <v>22</v>
      </c>
      <c r="K128" s="66" t="s">
        <v>38</v>
      </c>
      <c r="L128" s="146"/>
      <c r="M128" s="70"/>
      <c r="N128" s="75"/>
      <c r="O128" s="75"/>
      <c r="P128" s="75"/>
      <c r="Q128" s="75"/>
      <c r="R128" s="98">
        <v>46032</v>
      </c>
      <c r="S128" s="75">
        <v>61.817999999999998</v>
      </c>
      <c r="T128" s="133">
        <f t="shared" si="15"/>
        <v>-0.28200000000000358</v>
      </c>
      <c r="U128" s="79"/>
    </row>
    <row r="129" spans="1:21" x14ac:dyDescent="0.25">
      <c r="A129" s="75">
        <f t="shared" si="16"/>
        <v>124</v>
      </c>
      <c r="B129" s="98">
        <v>46021</v>
      </c>
      <c r="C129" s="144" t="s">
        <v>32</v>
      </c>
      <c r="D129" s="75">
        <v>75261347</v>
      </c>
      <c r="E129" s="145">
        <v>62.05</v>
      </c>
      <c r="F129" s="75">
        <v>530.57000000000005</v>
      </c>
      <c r="G129" s="31">
        <f t="shared" si="10"/>
        <v>32921.868500000004</v>
      </c>
      <c r="H129" s="76">
        <v>48581.26</v>
      </c>
      <c r="I129" s="113">
        <f t="shared" si="14"/>
        <v>3014467.1830000002</v>
      </c>
      <c r="J129" s="114" t="s">
        <v>22</v>
      </c>
      <c r="K129" s="66" t="s">
        <v>38</v>
      </c>
      <c r="L129" s="146"/>
      <c r="M129" s="70"/>
      <c r="N129" s="75"/>
      <c r="O129" s="75"/>
      <c r="P129" s="75"/>
      <c r="Q129" s="75"/>
      <c r="R129" s="98">
        <v>46032</v>
      </c>
      <c r="S129" s="75">
        <v>61.81</v>
      </c>
      <c r="T129" s="133">
        <f t="shared" si="15"/>
        <v>-0.23999999999999488</v>
      </c>
      <c r="U129" s="79"/>
    </row>
    <row r="130" spans="1:21" x14ac:dyDescent="0.25">
      <c r="A130" s="75">
        <f t="shared" si="16"/>
        <v>125</v>
      </c>
      <c r="B130" s="98">
        <v>46021</v>
      </c>
      <c r="C130" s="144" t="s">
        <v>32</v>
      </c>
      <c r="D130" s="75">
        <v>75261354</v>
      </c>
      <c r="E130" s="145">
        <v>62.05</v>
      </c>
      <c r="F130" s="75">
        <v>530.57000000000005</v>
      </c>
      <c r="G130" s="31">
        <f t="shared" si="10"/>
        <v>32921.868500000004</v>
      </c>
      <c r="H130" s="76">
        <v>48581.26</v>
      </c>
      <c r="I130" s="113">
        <f t="shared" si="14"/>
        <v>3014467.1830000002</v>
      </c>
      <c r="J130" s="114" t="s">
        <v>22</v>
      </c>
      <c r="K130" s="66" t="s">
        <v>38</v>
      </c>
      <c r="L130" s="146"/>
      <c r="M130" s="70"/>
      <c r="N130" s="75"/>
      <c r="O130" s="75"/>
      <c r="P130" s="75"/>
      <c r="Q130" s="75"/>
      <c r="R130" s="98">
        <v>46032</v>
      </c>
      <c r="S130" s="75">
        <v>62.012999999999998</v>
      </c>
      <c r="T130" s="133">
        <f t="shared" si="15"/>
        <v>-3.6999999999999034E-2</v>
      </c>
      <c r="U130" s="79"/>
    </row>
    <row r="131" spans="1:21" x14ac:dyDescent="0.25">
      <c r="A131" s="75">
        <f t="shared" si="16"/>
        <v>126</v>
      </c>
      <c r="B131" s="98">
        <v>46021</v>
      </c>
      <c r="C131" s="144" t="s">
        <v>32</v>
      </c>
      <c r="D131" s="75">
        <v>75263640</v>
      </c>
      <c r="E131" s="145">
        <v>62.05</v>
      </c>
      <c r="F131" s="75">
        <v>530.57000000000005</v>
      </c>
      <c r="G131" s="31">
        <f t="shared" si="10"/>
        <v>32921.868500000004</v>
      </c>
      <c r="H131" s="76">
        <v>48581.26</v>
      </c>
      <c r="I131" s="113">
        <f t="shared" si="14"/>
        <v>3014467.1830000002</v>
      </c>
      <c r="J131" s="114" t="s">
        <v>22</v>
      </c>
      <c r="K131" s="66" t="s">
        <v>38</v>
      </c>
      <c r="L131" s="146"/>
      <c r="M131" s="70"/>
      <c r="N131" s="75"/>
      <c r="O131" s="75"/>
      <c r="P131" s="75"/>
      <c r="Q131" s="75"/>
      <c r="R131" s="227">
        <v>46032</v>
      </c>
      <c r="S131" s="75">
        <v>61.811999999999998</v>
      </c>
      <c r="T131" s="133">
        <f t="shared" si="15"/>
        <v>-0.23799999999999955</v>
      </c>
      <c r="U131" s="79"/>
    </row>
    <row r="132" spans="1:21" x14ac:dyDescent="0.25">
      <c r="A132" s="75">
        <f t="shared" si="16"/>
        <v>127</v>
      </c>
      <c r="B132" s="98">
        <v>46021</v>
      </c>
      <c r="C132" s="144" t="s">
        <v>32</v>
      </c>
      <c r="D132" s="75">
        <v>75263772</v>
      </c>
      <c r="E132" s="145">
        <v>62.05</v>
      </c>
      <c r="F132" s="75">
        <v>530.57000000000005</v>
      </c>
      <c r="G132" s="31">
        <f t="shared" si="10"/>
        <v>32921.868500000004</v>
      </c>
      <c r="H132" s="76">
        <v>48581.26</v>
      </c>
      <c r="I132" s="113">
        <f t="shared" si="14"/>
        <v>3014467.1830000002</v>
      </c>
      <c r="J132" s="114" t="s">
        <v>22</v>
      </c>
      <c r="K132" s="66" t="s">
        <v>38</v>
      </c>
      <c r="L132" s="146"/>
      <c r="M132" s="70"/>
      <c r="N132" s="75"/>
      <c r="O132" s="75"/>
      <c r="P132" s="75"/>
      <c r="Q132" s="75"/>
      <c r="R132" s="98">
        <v>46032</v>
      </c>
      <c r="S132" s="75">
        <v>61.552</v>
      </c>
      <c r="T132" s="75">
        <f t="shared" si="15"/>
        <v>-0.49799999999999756</v>
      </c>
      <c r="U132" s="79"/>
    </row>
    <row r="133" spans="1:21" x14ac:dyDescent="0.25">
      <c r="A133" s="75">
        <f t="shared" si="16"/>
        <v>128</v>
      </c>
      <c r="B133" s="98">
        <v>46021</v>
      </c>
      <c r="C133" s="144" t="s">
        <v>32</v>
      </c>
      <c r="D133" s="75">
        <v>75263970</v>
      </c>
      <c r="E133" s="145">
        <v>62.05</v>
      </c>
      <c r="F133" s="75">
        <v>530.57000000000005</v>
      </c>
      <c r="G133" s="31">
        <f t="shared" si="10"/>
        <v>32921.868500000004</v>
      </c>
      <c r="H133" s="76">
        <v>48581.26</v>
      </c>
      <c r="I133" s="113">
        <f t="shared" si="14"/>
        <v>3014467.1830000002</v>
      </c>
      <c r="J133" s="114" t="s">
        <v>22</v>
      </c>
      <c r="K133" s="66" t="s">
        <v>38</v>
      </c>
      <c r="L133" s="146"/>
      <c r="M133" s="70"/>
      <c r="N133" s="75"/>
      <c r="O133" s="75"/>
      <c r="P133" s="75"/>
      <c r="Q133" s="75"/>
      <c r="R133" s="98">
        <v>46032</v>
      </c>
      <c r="S133" s="75">
        <v>61.802999999999997</v>
      </c>
      <c r="T133" s="133">
        <f t="shared" si="15"/>
        <v>-0.24699999999999989</v>
      </c>
      <c r="U133" s="79"/>
    </row>
    <row r="134" spans="1:21" x14ac:dyDescent="0.25">
      <c r="A134" s="75">
        <f t="shared" si="16"/>
        <v>129</v>
      </c>
      <c r="B134" s="98">
        <v>46021</v>
      </c>
      <c r="C134" s="144" t="s">
        <v>32</v>
      </c>
      <c r="D134" s="75">
        <v>76610997</v>
      </c>
      <c r="E134" s="145">
        <v>62</v>
      </c>
      <c r="F134" s="75">
        <v>530.57000000000005</v>
      </c>
      <c r="G134" s="31">
        <f t="shared" si="10"/>
        <v>32895.340000000004</v>
      </c>
      <c r="H134" s="76">
        <v>48581.26</v>
      </c>
      <c r="I134" s="113">
        <f t="shared" si="14"/>
        <v>3012038.12</v>
      </c>
      <c r="J134" s="114" t="s">
        <v>22</v>
      </c>
      <c r="K134" s="66" t="s">
        <v>38</v>
      </c>
      <c r="L134" s="146"/>
      <c r="M134" s="70"/>
      <c r="N134" s="75"/>
      <c r="O134" s="75"/>
      <c r="P134" s="75"/>
      <c r="Q134" s="75"/>
      <c r="R134" s="98">
        <v>46032</v>
      </c>
      <c r="S134" s="75">
        <v>61.881999999999998</v>
      </c>
      <c r="T134" s="75">
        <f t="shared" si="15"/>
        <v>-0.1180000000000021</v>
      </c>
      <c r="U134" s="79"/>
    </row>
    <row r="135" spans="1:21" x14ac:dyDescent="0.25">
      <c r="A135" s="75">
        <f t="shared" si="16"/>
        <v>130</v>
      </c>
      <c r="B135" s="98">
        <v>46021</v>
      </c>
      <c r="C135" s="144" t="s">
        <v>32</v>
      </c>
      <c r="D135" s="75">
        <v>76894195</v>
      </c>
      <c r="E135" s="145">
        <v>62.05</v>
      </c>
      <c r="F135" s="75">
        <v>530.57000000000005</v>
      </c>
      <c r="G135" s="31">
        <f t="shared" si="10"/>
        <v>32921.868500000004</v>
      </c>
      <c r="H135" s="76">
        <v>48581.26</v>
      </c>
      <c r="I135" s="113">
        <f t="shared" si="14"/>
        <v>3014467.1830000002</v>
      </c>
      <c r="J135" s="114" t="s">
        <v>22</v>
      </c>
      <c r="K135" s="66" t="s">
        <v>38</v>
      </c>
      <c r="L135" s="146"/>
      <c r="M135" s="70"/>
      <c r="N135" s="75"/>
      <c r="O135" s="75"/>
      <c r="P135" s="75"/>
      <c r="Q135" s="75"/>
      <c r="R135" s="98">
        <v>46031</v>
      </c>
      <c r="S135" s="75">
        <v>61.904000000000003</v>
      </c>
      <c r="T135" s="133">
        <f t="shared" si="15"/>
        <v>-0.14599999999999369</v>
      </c>
      <c r="U135" s="79"/>
    </row>
    <row r="136" spans="1:21" x14ac:dyDescent="0.25">
      <c r="A136" s="75">
        <f t="shared" si="16"/>
        <v>131</v>
      </c>
      <c r="B136" s="98">
        <v>46021</v>
      </c>
      <c r="C136" s="144" t="s">
        <v>33</v>
      </c>
      <c r="D136" s="75">
        <v>51411908</v>
      </c>
      <c r="E136" s="145">
        <v>60.9</v>
      </c>
      <c r="F136" s="75">
        <v>530.57000000000005</v>
      </c>
      <c r="G136" s="31">
        <f t="shared" si="10"/>
        <v>32311.713000000003</v>
      </c>
      <c r="H136" s="76">
        <v>48581.26</v>
      </c>
      <c r="I136" s="113">
        <f t="shared" si="14"/>
        <v>2958598.7340000002</v>
      </c>
      <c r="J136" s="114" t="s">
        <v>22</v>
      </c>
      <c r="K136" s="66" t="s">
        <v>38</v>
      </c>
      <c r="L136" s="146"/>
      <c r="M136" s="70"/>
      <c r="N136" s="75"/>
      <c r="O136" s="75"/>
      <c r="P136" s="75"/>
      <c r="Q136" s="75"/>
      <c r="R136" s="98">
        <v>46030</v>
      </c>
      <c r="S136" s="75">
        <v>61.252000000000002</v>
      </c>
      <c r="T136" s="75">
        <f t="shared" si="15"/>
        <v>0.35200000000000387</v>
      </c>
      <c r="U136" s="79"/>
    </row>
    <row r="137" spans="1:21" x14ac:dyDescent="0.25">
      <c r="A137" s="75">
        <f t="shared" si="16"/>
        <v>132</v>
      </c>
      <c r="B137" s="98">
        <v>46021</v>
      </c>
      <c r="C137" s="144" t="s">
        <v>33</v>
      </c>
      <c r="D137" s="75">
        <v>51703247</v>
      </c>
      <c r="E137" s="145">
        <v>52.7</v>
      </c>
      <c r="F137" s="75">
        <v>530.57000000000005</v>
      </c>
      <c r="G137" s="31">
        <f t="shared" si="10"/>
        <v>27961.039000000004</v>
      </c>
      <c r="H137" s="76">
        <v>48581.26</v>
      </c>
      <c r="I137" s="113">
        <f t="shared" si="14"/>
        <v>2560232.4020000002</v>
      </c>
      <c r="J137" s="114" t="s">
        <v>22</v>
      </c>
      <c r="K137" s="66" t="s">
        <v>38</v>
      </c>
      <c r="L137" s="146"/>
      <c r="M137" s="70"/>
      <c r="N137" s="75"/>
      <c r="O137" s="75"/>
      <c r="P137" s="75"/>
      <c r="Q137" s="75"/>
      <c r="R137" s="98">
        <v>46030</v>
      </c>
      <c r="S137" s="75">
        <v>52.765999999999998</v>
      </c>
      <c r="T137" s="75">
        <f t="shared" si="15"/>
        <v>6.5999999999995396E-2</v>
      </c>
      <c r="U137" s="79"/>
    </row>
    <row r="138" spans="1:21" x14ac:dyDescent="0.25">
      <c r="A138" s="75">
        <f t="shared" si="16"/>
        <v>133</v>
      </c>
      <c r="B138" s="98">
        <v>46021</v>
      </c>
      <c r="C138" s="144" t="s">
        <v>33</v>
      </c>
      <c r="D138" s="75">
        <v>54750054</v>
      </c>
      <c r="E138" s="145">
        <v>61.05</v>
      </c>
      <c r="F138" s="75">
        <v>530.57000000000005</v>
      </c>
      <c r="G138" s="31">
        <f t="shared" si="10"/>
        <v>32391.298500000001</v>
      </c>
      <c r="H138" s="76">
        <v>48581.26</v>
      </c>
      <c r="I138" s="113">
        <f t="shared" si="14"/>
        <v>2965885.923</v>
      </c>
      <c r="J138" s="114" t="s">
        <v>22</v>
      </c>
      <c r="K138" s="66" t="s">
        <v>38</v>
      </c>
      <c r="L138" s="146"/>
      <c r="M138" s="70"/>
      <c r="N138" s="75"/>
      <c r="O138" s="75"/>
      <c r="P138" s="75"/>
      <c r="Q138" s="75"/>
      <c r="R138" s="98">
        <v>46030</v>
      </c>
      <c r="S138" s="75">
        <v>61.23</v>
      </c>
      <c r="T138" s="133">
        <f t="shared" si="15"/>
        <v>0.17999999999999972</v>
      </c>
      <c r="U138" s="79"/>
    </row>
    <row r="139" spans="1:21" x14ac:dyDescent="0.25">
      <c r="A139" s="75">
        <f t="shared" si="16"/>
        <v>134</v>
      </c>
      <c r="B139" s="98">
        <v>46021</v>
      </c>
      <c r="C139" s="144" t="s">
        <v>33</v>
      </c>
      <c r="D139" s="75">
        <v>57414682</v>
      </c>
      <c r="E139" s="145">
        <v>61.55</v>
      </c>
      <c r="F139" s="75">
        <v>530.57000000000005</v>
      </c>
      <c r="G139" s="31">
        <f t="shared" si="10"/>
        <v>32656.583500000001</v>
      </c>
      <c r="H139" s="76">
        <v>48581.26</v>
      </c>
      <c r="I139" s="113">
        <f t="shared" si="14"/>
        <v>2990176.5529999998</v>
      </c>
      <c r="J139" s="114" t="s">
        <v>22</v>
      </c>
      <c r="K139" s="66" t="s">
        <v>38</v>
      </c>
      <c r="L139" s="146"/>
      <c r="M139" s="70"/>
      <c r="N139" s="75"/>
      <c r="O139" s="75"/>
      <c r="P139" s="75"/>
      <c r="Q139" s="75"/>
      <c r="R139" s="98">
        <v>46030</v>
      </c>
      <c r="S139" s="75">
        <v>61.268999999999998</v>
      </c>
      <c r="T139" s="133">
        <f t="shared" si="15"/>
        <v>-0.28099999999999881</v>
      </c>
      <c r="U139" s="79"/>
    </row>
    <row r="140" spans="1:21" x14ac:dyDescent="0.25">
      <c r="A140" s="75">
        <f t="shared" si="16"/>
        <v>135</v>
      </c>
      <c r="B140" s="98">
        <v>46021</v>
      </c>
      <c r="C140" s="144" t="s">
        <v>33</v>
      </c>
      <c r="D140" s="75">
        <v>58643438</v>
      </c>
      <c r="E140" s="145">
        <v>61.55</v>
      </c>
      <c r="F140" s="75">
        <v>530.57000000000005</v>
      </c>
      <c r="G140" s="31">
        <f t="shared" si="10"/>
        <v>32656.583500000001</v>
      </c>
      <c r="H140" s="76">
        <v>48581.26</v>
      </c>
      <c r="I140" s="113">
        <f t="shared" si="14"/>
        <v>2990176.5529999998</v>
      </c>
      <c r="J140" s="114" t="s">
        <v>22</v>
      </c>
      <c r="K140" s="66" t="s">
        <v>38</v>
      </c>
      <c r="L140" s="146"/>
      <c r="M140" s="70"/>
      <c r="N140" s="75"/>
      <c r="O140" s="75"/>
      <c r="P140" s="75"/>
      <c r="Q140" s="75"/>
      <c r="R140" s="98">
        <v>46030</v>
      </c>
      <c r="S140" s="75">
        <v>61.433999999999997</v>
      </c>
      <c r="T140" s="133">
        <f t="shared" si="15"/>
        <v>-0.11599999999999966</v>
      </c>
      <c r="U140" s="79"/>
    </row>
    <row r="141" spans="1:21" x14ac:dyDescent="0.25">
      <c r="A141" s="75">
        <f t="shared" si="16"/>
        <v>136</v>
      </c>
      <c r="B141" s="98">
        <v>46021</v>
      </c>
      <c r="C141" s="144" t="s">
        <v>33</v>
      </c>
      <c r="D141" s="75">
        <v>73055964</v>
      </c>
      <c r="E141" s="145">
        <v>61.6</v>
      </c>
      <c r="F141" s="75">
        <v>530.57000000000005</v>
      </c>
      <c r="G141" s="31">
        <f t="shared" si="10"/>
        <v>32683.112000000005</v>
      </c>
      <c r="H141" s="76">
        <v>48581.26</v>
      </c>
      <c r="I141" s="113">
        <f t="shared" si="14"/>
        <v>2992605.6160000004</v>
      </c>
      <c r="J141" s="114" t="s">
        <v>22</v>
      </c>
      <c r="K141" s="66" t="s">
        <v>38</v>
      </c>
      <c r="L141" s="146"/>
      <c r="M141" s="70"/>
      <c r="N141" s="75"/>
      <c r="O141" s="75"/>
      <c r="P141" s="75"/>
      <c r="Q141" s="75"/>
      <c r="R141" s="98">
        <v>46030</v>
      </c>
      <c r="S141" s="75">
        <v>61.261000000000003</v>
      </c>
      <c r="T141" s="75">
        <f t="shared" si="15"/>
        <v>-0.33899999999999864</v>
      </c>
      <c r="U141" s="79"/>
    </row>
    <row r="142" spans="1:21" x14ac:dyDescent="0.25">
      <c r="A142" s="75">
        <f t="shared" si="16"/>
        <v>137</v>
      </c>
      <c r="B142" s="98">
        <v>46021</v>
      </c>
      <c r="C142" s="144" t="s">
        <v>33</v>
      </c>
      <c r="D142" s="75">
        <v>73090631</v>
      </c>
      <c r="E142" s="145">
        <v>61.55</v>
      </c>
      <c r="F142" s="75">
        <v>530.57000000000005</v>
      </c>
      <c r="G142" s="31">
        <f t="shared" ref="G142:G150" si="17">E142*F142</f>
        <v>32656.583500000001</v>
      </c>
      <c r="H142" s="76">
        <v>48581.26</v>
      </c>
      <c r="I142" s="113">
        <f t="shared" si="14"/>
        <v>2990176.5529999998</v>
      </c>
      <c r="J142" s="114" t="s">
        <v>22</v>
      </c>
      <c r="K142" s="66" t="s">
        <v>38</v>
      </c>
      <c r="L142" s="146"/>
      <c r="M142" s="70"/>
      <c r="N142" s="75"/>
      <c r="O142" s="75"/>
      <c r="P142" s="75"/>
      <c r="Q142" s="75"/>
      <c r="R142" s="98">
        <v>46030</v>
      </c>
      <c r="S142" s="75">
        <v>61.12</v>
      </c>
      <c r="T142" s="75">
        <f t="shared" si="15"/>
        <v>-0.42999999999999972</v>
      </c>
      <c r="U142" s="79"/>
    </row>
    <row r="143" spans="1:21" x14ac:dyDescent="0.25">
      <c r="A143" s="75">
        <f t="shared" si="16"/>
        <v>138</v>
      </c>
      <c r="B143" s="98">
        <v>46021</v>
      </c>
      <c r="C143" s="144" t="s">
        <v>33</v>
      </c>
      <c r="D143" s="75">
        <v>73982621</v>
      </c>
      <c r="E143" s="145">
        <v>61.1</v>
      </c>
      <c r="F143" s="75">
        <v>530.57000000000005</v>
      </c>
      <c r="G143" s="31">
        <f t="shared" si="17"/>
        <v>32417.827000000005</v>
      </c>
      <c r="H143" s="76">
        <v>48581.26</v>
      </c>
      <c r="I143" s="113">
        <f t="shared" si="14"/>
        <v>2968314.986</v>
      </c>
      <c r="J143" s="114" t="s">
        <v>22</v>
      </c>
      <c r="K143" s="66" t="s">
        <v>38</v>
      </c>
      <c r="L143" s="146"/>
      <c r="M143" s="70"/>
      <c r="N143" s="75"/>
      <c r="O143" s="75"/>
      <c r="P143" s="75"/>
      <c r="Q143" s="75"/>
      <c r="R143" s="98">
        <v>46030</v>
      </c>
      <c r="S143" s="75">
        <v>60.811999999999998</v>
      </c>
      <c r="T143" s="133">
        <f t="shared" si="15"/>
        <v>-0.28800000000000381</v>
      </c>
      <c r="U143" s="79"/>
    </row>
    <row r="144" spans="1:21" x14ac:dyDescent="0.25">
      <c r="A144" s="75">
        <f t="shared" si="16"/>
        <v>139</v>
      </c>
      <c r="B144" s="98">
        <v>46021</v>
      </c>
      <c r="C144" s="144" t="s">
        <v>33</v>
      </c>
      <c r="D144" s="75">
        <v>75056820</v>
      </c>
      <c r="E144" s="145">
        <v>61.65</v>
      </c>
      <c r="F144" s="75">
        <v>530.57000000000005</v>
      </c>
      <c r="G144" s="31">
        <f t="shared" si="17"/>
        <v>32709.640500000001</v>
      </c>
      <c r="H144" s="76">
        <v>48581.26</v>
      </c>
      <c r="I144" s="113">
        <f t="shared" si="14"/>
        <v>2995034.679</v>
      </c>
      <c r="J144" s="114" t="s">
        <v>22</v>
      </c>
      <c r="K144" s="66" t="s">
        <v>38</v>
      </c>
      <c r="L144" s="146"/>
      <c r="M144" s="70"/>
      <c r="N144" s="75"/>
      <c r="O144" s="75"/>
      <c r="P144" s="75"/>
      <c r="Q144" s="75"/>
      <c r="R144" s="98">
        <v>46030</v>
      </c>
      <c r="S144" s="75">
        <v>61.555</v>
      </c>
      <c r="T144" s="75">
        <f t="shared" si="15"/>
        <v>-9.4999999999998863E-2</v>
      </c>
      <c r="U144" s="79"/>
    </row>
    <row r="145" spans="1:21" x14ac:dyDescent="0.25">
      <c r="A145" s="75">
        <f t="shared" si="16"/>
        <v>140</v>
      </c>
      <c r="B145" s="98">
        <v>46021</v>
      </c>
      <c r="C145" s="144" t="s">
        <v>33</v>
      </c>
      <c r="D145" s="75">
        <v>75107201</v>
      </c>
      <c r="E145" s="145">
        <v>61.55</v>
      </c>
      <c r="F145" s="75">
        <v>530.57000000000005</v>
      </c>
      <c r="G145" s="31">
        <f t="shared" si="17"/>
        <v>32656.583500000001</v>
      </c>
      <c r="H145" s="76">
        <v>48581.26</v>
      </c>
      <c r="I145" s="113">
        <f t="shared" si="14"/>
        <v>2990176.5529999998</v>
      </c>
      <c r="J145" s="114" t="s">
        <v>22</v>
      </c>
      <c r="K145" s="66" t="s">
        <v>38</v>
      </c>
      <c r="L145" s="146"/>
      <c r="M145" s="70"/>
      <c r="N145" s="75"/>
      <c r="O145" s="75"/>
      <c r="P145" s="75"/>
      <c r="Q145" s="75"/>
      <c r="R145" s="98">
        <v>46030</v>
      </c>
      <c r="S145" s="75">
        <v>61.262999999999998</v>
      </c>
      <c r="T145" s="133">
        <f t="shared" si="15"/>
        <v>-0.28699999999999903</v>
      </c>
      <c r="U145" s="79"/>
    </row>
    <row r="146" spans="1:21" x14ac:dyDescent="0.25">
      <c r="A146" s="75">
        <f t="shared" si="16"/>
        <v>141</v>
      </c>
      <c r="B146" s="98">
        <v>46021</v>
      </c>
      <c r="C146" s="144" t="s">
        <v>33</v>
      </c>
      <c r="D146" s="75">
        <v>75210724</v>
      </c>
      <c r="E146" s="145">
        <v>62.1</v>
      </c>
      <c r="F146" s="75">
        <v>530.57000000000005</v>
      </c>
      <c r="G146" s="31">
        <f t="shared" si="17"/>
        <v>32948.397000000004</v>
      </c>
      <c r="H146" s="76">
        <v>48581.26</v>
      </c>
      <c r="I146" s="113">
        <f t="shared" si="14"/>
        <v>3016896.2460000003</v>
      </c>
      <c r="J146" s="114" t="s">
        <v>22</v>
      </c>
      <c r="K146" s="66" t="s">
        <v>38</v>
      </c>
      <c r="L146" s="146"/>
      <c r="M146" s="70"/>
      <c r="N146" s="75"/>
      <c r="O146" s="75"/>
      <c r="P146" s="75"/>
      <c r="Q146" s="75"/>
      <c r="R146" s="98">
        <v>46030</v>
      </c>
      <c r="S146" s="75">
        <v>62.124000000000002</v>
      </c>
      <c r="T146" s="75">
        <f t="shared" si="15"/>
        <v>2.4000000000000909E-2</v>
      </c>
      <c r="U146" s="79"/>
    </row>
    <row r="147" spans="1:21" x14ac:dyDescent="0.25">
      <c r="A147" s="75">
        <f t="shared" si="16"/>
        <v>142</v>
      </c>
      <c r="B147" s="98">
        <v>46021</v>
      </c>
      <c r="C147" s="144" t="s">
        <v>33</v>
      </c>
      <c r="D147" s="75">
        <v>75419994</v>
      </c>
      <c r="E147" s="145">
        <v>62.1</v>
      </c>
      <c r="F147" s="75">
        <v>530.57000000000005</v>
      </c>
      <c r="G147" s="31">
        <f t="shared" si="17"/>
        <v>32948.397000000004</v>
      </c>
      <c r="H147" s="76">
        <v>48581.26</v>
      </c>
      <c r="I147" s="113">
        <f t="shared" si="14"/>
        <v>3016896.2460000003</v>
      </c>
      <c r="J147" s="114" t="s">
        <v>22</v>
      </c>
      <c r="K147" s="66" t="s">
        <v>38</v>
      </c>
      <c r="L147" s="146"/>
      <c r="M147" s="70"/>
      <c r="N147" s="75"/>
      <c r="O147" s="75"/>
      <c r="P147" s="75"/>
      <c r="Q147" s="75"/>
      <c r="R147" s="98">
        <v>46028</v>
      </c>
      <c r="S147" s="75">
        <v>61.718000000000004</v>
      </c>
      <c r="T147" s="133">
        <f t="shared" si="15"/>
        <v>-0.3819999999999979</v>
      </c>
      <c r="U147" s="79"/>
    </row>
    <row r="148" spans="1:21" x14ac:dyDescent="0.25">
      <c r="A148" s="75">
        <f t="shared" si="16"/>
        <v>143</v>
      </c>
      <c r="B148" s="98">
        <v>46021</v>
      </c>
      <c r="C148" s="144" t="s">
        <v>33</v>
      </c>
      <c r="D148" s="75">
        <v>75810598</v>
      </c>
      <c r="E148" s="145">
        <v>62.15</v>
      </c>
      <c r="F148" s="75">
        <v>530.57000000000005</v>
      </c>
      <c r="G148" s="31">
        <f t="shared" si="17"/>
        <v>32974.925500000005</v>
      </c>
      <c r="H148" s="76">
        <v>48581.26</v>
      </c>
      <c r="I148" s="113">
        <f t="shared" si="14"/>
        <v>3019325.3089999999</v>
      </c>
      <c r="J148" s="114" t="s">
        <v>22</v>
      </c>
      <c r="K148" s="66" t="s">
        <v>38</v>
      </c>
      <c r="L148" s="146"/>
      <c r="M148" s="70"/>
      <c r="N148" s="75"/>
      <c r="O148" s="75"/>
      <c r="P148" s="75"/>
      <c r="Q148" s="75"/>
      <c r="R148" s="98">
        <v>46030</v>
      </c>
      <c r="S148" s="75">
        <v>61.875999999999998</v>
      </c>
      <c r="T148" s="133">
        <f t="shared" si="15"/>
        <v>-0.27400000000000091</v>
      </c>
      <c r="U148" s="79"/>
    </row>
    <row r="149" spans="1:21" x14ac:dyDescent="0.25">
      <c r="A149" s="75">
        <f t="shared" si="16"/>
        <v>144</v>
      </c>
      <c r="B149" s="98">
        <v>46021</v>
      </c>
      <c r="C149" s="144" t="s">
        <v>33</v>
      </c>
      <c r="D149" s="75">
        <v>75811695</v>
      </c>
      <c r="E149" s="145">
        <v>62.05</v>
      </c>
      <c r="F149" s="75">
        <v>530.57000000000005</v>
      </c>
      <c r="G149" s="31">
        <f t="shared" si="17"/>
        <v>32921.868500000004</v>
      </c>
      <c r="H149" s="76">
        <v>48581.26</v>
      </c>
      <c r="I149" s="113">
        <f t="shared" si="14"/>
        <v>3014467.1830000002</v>
      </c>
      <c r="J149" s="114" t="s">
        <v>22</v>
      </c>
      <c r="K149" s="66" t="s">
        <v>38</v>
      </c>
      <c r="L149" s="146"/>
      <c r="M149" s="70"/>
      <c r="N149" s="75"/>
      <c r="O149" s="75"/>
      <c r="P149" s="75"/>
      <c r="Q149" s="75"/>
      <c r="R149" s="98">
        <v>46028</v>
      </c>
      <c r="S149" s="75">
        <v>62.085999999999999</v>
      </c>
      <c r="T149" s="133">
        <f t="shared" si="15"/>
        <v>3.6000000000001364E-2</v>
      </c>
      <c r="U149" s="79"/>
    </row>
    <row r="150" spans="1:21" ht="15.75" thickBot="1" x14ac:dyDescent="0.3">
      <c r="A150" s="105">
        <f t="shared" si="16"/>
        <v>145</v>
      </c>
      <c r="B150" s="135">
        <v>46021</v>
      </c>
      <c r="C150" s="147" t="s">
        <v>33</v>
      </c>
      <c r="D150" s="105">
        <v>76075795</v>
      </c>
      <c r="E150" s="148">
        <v>61.9</v>
      </c>
      <c r="F150" s="75">
        <v>530.57000000000005</v>
      </c>
      <c r="G150" s="31">
        <f t="shared" si="17"/>
        <v>32842.283000000003</v>
      </c>
      <c r="H150" s="76">
        <v>48581.26</v>
      </c>
      <c r="I150" s="113">
        <f t="shared" si="14"/>
        <v>3007179.9939999999</v>
      </c>
      <c r="J150" s="114" t="s">
        <v>22</v>
      </c>
      <c r="K150" s="66" t="s">
        <v>38</v>
      </c>
      <c r="L150" s="149"/>
      <c r="M150" s="80"/>
      <c r="N150" s="88"/>
      <c r="O150" s="88"/>
      <c r="P150" s="88"/>
      <c r="Q150" s="88"/>
      <c r="R150" s="99">
        <v>46030</v>
      </c>
      <c r="S150" s="88">
        <v>61.563000000000002</v>
      </c>
      <c r="T150" s="88">
        <f t="shared" si="15"/>
        <v>-0.33699999999999619</v>
      </c>
      <c r="U150" s="89"/>
    </row>
    <row r="151" spans="1:21" ht="15.75" thickBot="1" x14ac:dyDescent="0.3">
      <c r="A151" s="90"/>
      <c r="B151" s="91"/>
      <c r="C151" s="91"/>
      <c r="D151" s="91"/>
      <c r="E151" s="92"/>
      <c r="F151" s="93"/>
      <c r="G151" s="94"/>
      <c r="H151" s="93"/>
      <c r="I151" s="95"/>
      <c r="J151" s="91"/>
      <c r="K151" s="150"/>
      <c r="L151" s="97"/>
      <c r="M151" s="138"/>
      <c r="N151" s="91"/>
      <c r="O151" s="91"/>
      <c r="P151" s="91"/>
      <c r="Q151" s="91"/>
      <c r="R151" s="91"/>
      <c r="S151" s="93"/>
      <c r="T151" s="93"/>
      <c r="U151" s="96"/>
    </row>
    <row r="152" spans="1:21" x14ac:dyDescent="0.25">
      <c r="A152" s="140">
        <v>146</v>
      </c>
      <c r="B152" s="71">
        <v>46022</v>
      </c>
      <c r="C152" s="151">
        <v>9109879</v>
      </c>
      <c r="D152" s="152">
        <v>50143643</v>
      </c>
      <c r="E152" s="153">
        <v>60.75</v>
      </c>
      <c r="F152" s="75">
        <v>530.57000000000005</v>
      </c>
      <c r="G152" s="31">
        <f t="shared" ref="G152:G197" si="18">E152*F152</f>
        <v>32232.127500000002</v>
      </c>
      <c r="H152" s="76">
        <v>48581.26</v>
      </c>
      <c r="I152" s="113">
        <f t="shared" ref="I152:I197" si="19">E152*H152</f>
        <v>2951311.5449999999</v>
      </c>
      <c r="J152" s="114" t="s">
        <v>22</v>
      </c>
      <c r="K152" s="66" t="s">
        <v>38</v>
      </c>
      <c r="L152" s="143"/>
      <c r="M152" s="57"/>
      <c r="N152" s="68"/>
      <c r="O152" s="68"/>
      <c r="P152" s="68"/>
      <c r="Q152" s="68"/>
      <c r="R152" s="98">
        <v>46031</v>
      </c>
      <c r="S152" s="68">
        <v>61.064999999999998</v>
      </c>
      <c r="T152" s="133">
        <f t="shared" ref="T152:T165" si="20">S152-E152</f>
        <v>0.31499999999999773</v>
      </c>
      <c r="U152" s="69"/>
    </row>
    <row r="153" spans="1:21" x14ac:dyDescent="0.25">
      <c r="A153" s="75">
        <f>A152+1</f>
        <v>147</v>
      </c>
      <c r="B153" s="98">
        <v>46022</v>
      </c>
      <c r="C153" s="72">
        <v>9109879</v>
      </c>
      <c r="D153" s="73">
        <v>50619311</v>
      </c>
      <c r="E153" s="74">
        <v>61.3</v>
      </c>
      <c r="F153" s="75">
        <v>530.57000000000005</v>
      </c>
      <c r="G153" s="31">
        <f t="shared" si="18"/>
        <v>32523.941000000003</v>
      </c>
      <c r="H153" s="76">
        <v>48581.26</v>
      </c>
      <c r="I153" s="113">
        <f t="shared" si="19"/>
        <v>2978031.2379999999</v>
      </c>
      <c r="J153" s="114" t="s">
        <v>22</v>
      </c>
      <c r="K153" s="66" t="s">
        <v>38</v>
      </c>
      <c r="L153" s="146"/>
      <c r="M153" s="70"/>
      <c r="N153" s="75"/>
      <c r="O153" s="75"/>
      <c r="P153" s="75"/>
      <c r="Q153" s="75"/>
      <c r="R153" s="98">
        <v>46031</v>
      </c>
      <c r="S153" s="75">
        <v>60.866999999999997</v>
      </c>
      <c r="T153" s="133">
        <f t="shared" si="20"/>
        <v>-0.43299999999999983</v>
      </c>
      <c r="U153" s="79"/>
    </row>
    <row r="154" spans="1:21" x14ac:dyDescent="0.25">
      <c r="A154" s="75">
        <f t="shared" ref="A154:A197" si="21">A153+1</f>
        <v>148</v>
      </c>
      <c r="B154" s="98">
        <v>46022</v>
      </c>
      <c r="C154" s="72">
        <v>9109879</v>
      </c>
      <c r="D154" s="73">
        <v>51854891</v>
      </c>
      <c r="E154" s="74">
        <v>61.15</v>
      </c>
      <c r="F154" s="75">
        <v>530.57000000000005</v>
      </c>
      <c r="G154" s="31">
        <f t="shared" si="18"/>
        <v>32444.355500000001</v>
      </c>
      <c r="H154" s="76">
        <v>48581.26</v>
      </c>
      <c r="I154" s="113">
        <f t="shared" si="19"/>
        <v>2970744.0490000001</v>
      </c>
      <c r="J154" s="114" t="s">
        <v>22</v>
      </c>
      <c r="K154" s="66" t="s">
        <v>38</v>
      </c>
      <c r="L154" s="146"/>
      <c r="M154" s="70"/>
      <c r="N154" s="75"/>
      <c r="O154" s="75"/>
      <c r="P154" s="75"/>
      <c r="Q154" s="75"/>
      <c r="R154" s="98">
        <v>46031</v>
      </c>
      <c r="S154" s="75">
        <v>61.255000000000003</v>
      </c>
      <c r="T154" s="133">
        <f t="shared" si="20"/>
        <v>0.10500000000000398</v>
      </c>
      <c r="U154" s="79"/>
    </row>
    <row r="155" spans="1:21" x14ac:dyDescent="0.25">
      <c r="A155" s="75">
        <f t="shared" si="21"/>
        <v>149</v>
      </c>
      <c r="B155" s="98">
        <v>46022</v>
      </c>
      <c r="C155" s="72">
        <v>9109879</v>
      </c>
      <c r="D155" s="73">
        <v>57246530</v>
      </c>
      <c r="E155" s="74">
        <v>61.1</v>
      </c>
      <c r="F155" s="75">
        <v>530.57000000000005</v>
      </c>
      <c r="G155" s="31">
        <f t="shared" si="18"/>
        <v>32417.827000000005</v>
      </c>
      <c r="H155" s="76">
        <v>48581.26</v>
      </c>
      <c r="I155" s="113">
        <f t="shared" si="19"/>
        <v>2968314.986</v>
      </c>
      <c r="J155" s="114" t="s">
        <v>22</v>
      </c>
      <c r="K155" s="66" t="s">
        <v>38</v>
      </c>
      <c r="L155" s="146"/>
      <c r="M155" s="70"/>
      <c r="N155" s="75"/>
      <c r="O155" s="75"/>
      <c r="P155" s="75"/>
      <c r="Q155" s="75"/>
      <c r="R155" s="98">
        <v>46031</v>
      </c>
      <c r="S155" s="75">
        <v>61.287999999999997</v>
      </c>
      <c r="T155" s="133">
        <f t="shared" si="20"/>
        <v>0.18799999999999528</v>
      </c>
      <c r="U155" s="79"/>
    </row>
    <row r="156" spans="1:21" x14ac:dyDescent="0.25">
      <c r="A156" s="75">
        <f t="shared" si="21"/>
        <v>150</v>
      </c>
      <c r="B156" s="98">
        <v>46022</v>
      </c>
      <c r="C156" s="72">
        <v>9109879</v>
      </c>
      <c r="D156" s="73">
        <v>58644162</v>
      </c>
      <c r="E156" s="74">
        <v>61.15</v>
      </c>
      <c r="F156" s="75">
        <v>530.57000000000005</v>
      </c>
      <c r="G156" s="31">
        <f t="shared" si="18"/>
        <v>32444.355500000001</v>
      </c>
      <c r="H156" s="76">
        <v>48581.26</v>
      </c>
      <c r="I156" s="113">
        <f t="shared" si="19"/>
        <v>2970744.0490000001</v>
      </c>
      <c r="J156" s="114" t="s">
        <v>22</v>
      </c>
      <c r="K156" s="66" t="s">
        <v>38</v>
      </c>
      <c r="L156" s="146"/>
      <c r="M156" s="70"/>
      <c r="N156" s="75"/>
      <c r="O156" s="75"/>
      <c r="P156" s="75"/>
      <c r="Q156" s="75"/>
      <c r="R156" s="98">
        <v>46031</v>
      </c>
      <c r="S156" s="75">
        <v>61.179000000000002</v>
      </c>
      <c r="T156" s="75">
        <f t="shared" si="20"/>
        <v>2.9000000000003467E-2</v>
      </c>
      <c r="U156" s="79"/>
    </row>
    <row r="157" spans="1:21" x14ac:dyDescent="0.25">
      <c r="A157" s="75">
        <f t="shared" si="21"/>
        <v>151</v>
      </c>
      <c r="B157" s="98">
        <v>46022</v>
      </c>
      <c r="C157" s="72">
        <v>9109879</v>
      </c>
      <c r="D157" s="73">
        <v>73148967</v>
      </c>
      <c r="E157" s="74">
        <v>61.25</v>
      </c>
      <c r="F157" s="75">
        <v>530.57000000000005</v>
      </c>
      <c r="G157" s="31">
        <f t="shared" si="18"/>
        <v>32497.412500000002</v>
      </c>
      <c r="H157" s="76">
        <v>48581.26</v>
      </c>
      <c r="I157" s="113">
        <f t="shared" si="19"/>
        <v>2975602.1750000003</v>
      </c>
      <c r="J157" s="114" t="s">
        <v>22</v>
      </c>
      <c r="K157" s="66" t="s">
        <v>38</v>
      </c>
      <c r="L157" s="146"/>
      <c r="M157" s="70"/>
      <c r="N157" s="75"/>
      <c r="O157" s="75"/>
      <c r="P157" s="75"/>
      <c r="Q157" s="75"/>
      <c r="R157" s="98">
        <v>46031</v>
      </c>
      <c r="S157" s="75">
        <v>61.491</v>
      </c>
      <c r="T157" s="133">
        <f t="shared" si="20"/>
        <v>0.24099999999999966</v>
      </c>
      <c r="U157" s="79"/>
    </row>
    <row r="158" spans="1:21" x14ac:dyDescent="0.25">
      <c r="A158" s="75">
        <f t="shared" si="21"/>
        <v>152</v>
      </c>
      <c r="B158" s="98">
        <v>46022</v>
      </c>
      <c r="C158" s="72">
        <v>9109879</v>
      </c>
      <c r="D158" s="73">
        <v>73159436</v>
      </c>
      <c r="E158" s="74">
        <v>61.25</v>
      </c>
      <c r="F158" s="75">
        <v>530.57000000000005</v>
      </c>
      <c r="G158" s="31">
        <f t="shared" si="18"/>
        <v>32497.412500000002</v>
      </c>
      <c r="H158" s="76">
        <v>48581.26</v>
      </c>
      <c r="I158" s="113">
        <f t="shared" si="19"/>
        <v>2975602.1750000003</v>
      </c>
      <c r="J158" s="114" t="s">
        <v>22</v>
      </c>
      <c r="K158" s="66" t="s">
        <v>38</v>
      </c>
      <c r="L158" s="146"/>
      <c r="M158" s="70"/>
      <c r="N158" s="75"/>
      <c r="O158" s="75"/>
      <c r="P158" s="75"/>
      <c r="Q158" s="75"/>
      <c r="R158" s="98">
        <v>46031</v>
      </c>
      <c r="S158" s="75">
        <v>61.201000000000001</v>
      </c>
      <c r="T158" s="75">
        <f t="shared" si="20"/>
        <v>-4.8999999999999488E-2</v>
      </c>
      <c r="U158" s="79"/>
    </row>
    <row r="159" spans="1:21" x14ac:dyDescent="0.25">
      <c r="A159" s="75">
        <f t="shared" si="21"/>
        <v>153</v>
      </c>
      <c r="B159" s="98">
        <v>46022</v>
      </c>
      <c r="C159" s="72">
        <v>9109879</v>
      </c>
      <c r="D159" s="73">
        <v>73205114</v>
      </c>
      <c r="E159" s="74">
        <v>61.15</v>
      </c>
      <c r="F159" s="75">
        <v>530.57000000000005</v>
      </c>
      <c r="G159" s="31">
        <f t="shared" si="18"/>
        <v>32444.355500000001</v>
      </c>
      <c r="H159" s="76">
        <v>48581.26</v>
      </c>
      <c r="I159" s="113">
        <f t="shared" si="19"/>
        <v>2970744.0490000001</v>
      </c>
      <c r="J159" s="114" t="s">
        <v>22</v>
      </c>
      <c r="K159" s="66" t="s">
        <v>38</v>
      </c>
      <c r="L159" s="146"/>
      <c r="M159" s="70"/>
      <c r="N159" s="75"/>
      <c r="O159" s="75"/>
      <c r="P159" s="75"/>
      <c r="Q159" s="75"/>
      <c r="R159" s="98">
        <v>46031</v>
      </c>
      <c r="S159" s="75">
        <v>61.591999999999999</v>
      </c>
      <c r="T159" s="133">
        <f t="shared" si="20"/>
        <v>0.44200000000000017</v>
      </c>
      <c r="U159" s="79"/>
    </row>
    <row r="160" spans="1:21" x14ac:dyDescent="0.25">
      <c r="A160" s="75">
        <f t="shared" si="21"/>
        <v>154</v>
      </c>
      <c r="B160" s="98">
        <v>46022</v>
      </c>
      <c r="C160" s="72">
        <v>9109879</v>
      </c>
      <c r="D160" s="73">
        <v>73208464</v>
      </c>
      <c r="E160" s="74">
        <v>61.35</v>
      </c>
      <c r="F160" s="75">
        <v>530.57000000000005</v>
      </c>
      <c r="G160" s="31">
        <f t="shared" si="18"/>
        <v>32550.469500000003</v>
      </c>
      <c r="H160" s="76">
        <v>48581.26</v>
      </c>
      <c r="I160" s="113">
        <f t="shared" si="19"/>
        <v>2980460.301</v>
      </c>
      <c r="J160" s="114" t="s">
        <v>22</v>
      </c>
      <c r="K160" s="66" t="s">
        <v>38</v>
      </c>
      <c r="L160" s="146"/>
      <c r="M160" s="70"/>
      <c r="N160" s="75"/>
      <c r="O160" s="75"/>
      <c r="P160" s="75"/>
      <c r="Q160" s="75"/>
      <c r="R160" s="98">
        <v>46031</v>
      </c>
      <c r="S160" s="75">
        <v>61.564</v>
      </c>
      <c r="T160" s="133">
        <f t="shared" si="20"/>
        <v>0.21399999999999864</v>
      </c>
      <c r="U160" s="79"/>
    </row>
    <row r="161" spans="1:21" x14ac:dyDescent="0.25">
      <c r="A161" s="75">
        <f t="shared" si="21"/>
        <v>155</v>
      </c>
      <c r="B161" s="98">
        <v>46022</v>
      </c>
      <c r="C161" s="72">
        <v>9109879</v>
      </c>
      <c r="D161" s="73">
        <v>73982431</v>
      </c>
      <c r="E161" s="74">
        <v>60.9</v>
      </c>
      <c r="F161" s="75">
        <v>530.57000000000005</v>
      </c>
      <c r="G161" s="31">
        <f t="shared" si="18"/>
        <v>32311.713000000003</v>
      </c>
      <c r="H161" s="76">
        <v>48581.26</v>
      </c>
      <c r="I161" s="113">
        <f t="shared" si="19"/>
        <v>2958598.7340000002</v>
      </c>
      <c r="J161" s="114" t="s">
        <v>22</v>
      </c>
      <c r="K161" s="66" t="s">
        <v>38</v>
      </c>
      <c r="L161" s="146"/>
      <c r="M161" s="70"/>
      <c r="N161" s="75"/>
      <c r="O161" s="75"/>
      <c r="P161" s="75"/>
      <c r="Q161" s="75"/>
      <c r="R161" s="98">
        <v>46031</v>
      </c>
      <c r="S161" s="75">
        <v>60.473999999999997</v>
      </c>
      <c r="T161" s="133">
        <f t="shared" si="20"/>
        <v>-0.42600000000000193</v>
      </c>
      <c r="U161" s="79"/>
    </row>
    <row r="162" spans="1:21" x14ac:dyDescent="0.25">
      <c r="A162" s="75">
        <f t="shared" si="21"/>
        <v>156</v>
      </c>
      <c r="B162" s="98">
        <v>46022</v>
      </c>
      <c r="C162" s="72">
        <v>9109879</v>
      </c>
      <c r="D162" s="73">
        <v>75047480</v>
      </c>
      <c r="E162" s="74">
        <v>60.65</v>
      </c>
      <c r="F162" s="75">
        <v>530.57000000000005</v>
      </c>
      <c r="G162" s="31">
        <f t="shared" si="18"/>
        <v>32179.070500000002</v>
      </c>
      <c r="H162" s="76">
        <v>48581.26</v>
      </c>
      <c r="I162" s="113">
        <f t="shared" si="19"/>
        <v>2946453.4190000002</v>
      </c>
      <c r="J162" s="114" t="s">
        <v>22</v>
      </c>
      <c r="K162" s="66" t="s">
        <v>38</v>
      </c>
      <c r="L162" s="146"/>
      <c r="M162" s="70"/>
      <c r="N162" s="75"/>
      <c r="O162" s="75"/>
      <c r="P162" s="75"/>
      <c r="Q162" s="75"/>
      <c r="R162" s="98">
        <v>46031</v>
      </c>
      <c r="S162" s="75">
        <v>60.679000000000002</v>
      </c>
      <c r="T162" s="133">
        <f t="shared" si="20"/>
        <v>2.9000000000003467E-2</v>
      </c>
      <c r="U162" s="79"/>
    </row>
    <row r="163" spans="1:21" x14ac:dyDescent="0.25">
      <c r="A163" s="75">
        <f t="shared" si="21"/>
        <v>157</v>
      </c>
      <c r="B163" s="98">
        <v>46022</v>
      </c>
      <c r="C163" s="72">
        <v>9109879</v>
      </c>
      <c r="D163" s="73">
        <v>75407494</v>
      </c>
      <c r="E163" s="74">
        <v>62.05</v>
      </c>
      <c r="F163" s="75">
        <v>530.57000000000005</v>
      </c>
      <c r="G163" s="31">
        <f t="shared" si="18"/>
        <v>32921.868500000004</v>
      </c>
      <c r="H163" s="76">
        <v>48581.26</v>
      </c>
      <c r="I163" s="113">
        <f t="shared" si="19"/>
        <v>3014467.1830000002</v>
      </c>
      <c r="J163" s="114" t="s">
        <v>22</v>
      </c>
      <c r="K163" s="66" t="s">
        <v>38</v>
      </c>
      <c r="L163" s="146"/>
      <c r="M163" s="70"/>
      <c r="N163" s="75"/>
      <c r="O163" s="75"/>
      <c r="P163" s="75"/>
      <c r="Q163" s="75"/>
      <c r="R163" s="98">
        <v>46031</v>
      </c>
      <c r="S163" s="75">
        <v>62.353999999999999</v>
      </c>
      <c r="T163" s="75">
        <f t="shared" si="20"/>
        <v>0.30400000000000205</v>
      </c>
      <c r="U163" s="79"/>
    </row>
    <row r="164" spans="1:21" x14ac:dyDescent="0.25">
      <c r="A164" s="75">
        <f t="shared" si="21"/>
        <v>158</v>
      </c>
      <c r="B164" s="98">
        <v>46022</v>
      </c>
      <c r="C164" s="72">
        <v>9109879</v>
      </c>
      <c r="D164" s="73">
        <v>76876192</v>
      </c>
      <c r="E164" s="74">
        <v>61.6</v>
      </c>
      <c r="F164" s="75">
        <v>530.57000000000005</v>
      </c>
      <c r="G164" s="31">
        <f t="shared" si="18"/>
        <v>32683.112000000005</v>
      </c>
      <c r="H164" s="76">
        <v>48581.26</v>
      </c>
      <c r="I164" s="113">
        <f t="shared" si="19"/>
        <v>2992605.6160000004</v>
      </c>
      <c r="J164" s="114" t="s">
        <v>22</v>
      </c>
      <c r="K164" s="66" t="s">
        <v>38</v>
      </c>
      <c r="M164" s="154"/>
      <c r="N164" s="155"/>
      <c r="O164" s="155"/>
      <c r="P164" s="155"/>
      <c r="Q164" s="155"/>
      <c r="R164" s="98">
        <v>46031</v>
      </c>
      <c r="S164" s="155">
        <v>61.805</v>
      </c>
      <c r="T164" s="133">
        <f t="shared" si="20"/>
        <v>0.20499999999999829</v>
      </c>
      <c r="U164" s="156"/>
    </row>
    <row r="165" spans="1:21" x14ac:dyDescent="0.25">
      <c r="A165" s="75">
        <f t="shared" si="21"/>
        <v>159</v>
      </c>
      <c r="B165" s="98">
        <v>46022</v>
      </c>
      <c r="C165" s="72">
        <v>9109880</v>
      </c>
      <c r="D165" s="73">
        <v>50913078</v>
      </c>
      <c r="E165" s="74">
        <v>60.95</v>
      </c>
      <c r="F165" s="75">
        <v>530.57000000000005</v>
      </c>
      <c r="G165" s="31">
        <f t="shared" si="18"/>
        <v>32338.241500000004</v>
      </c>
      <c r="H165" s="76">
        <v>48581.26</v>
      </c>
      <c r="I165" s="113">
        <f t="shared" si="19"/>
        <v>2961027.7970000003</v>
      </c>
      <c r="J165" s="114" t="s">
        <v>22</v>
      </c>
      <c r="K165" s="66" t="s">
        <v>38</v>
      </c>
      <c r="L165" s="146"/>
      <c r="M165" s="70"/>
      <c r="N165" s="75"/>
      <c r="O165" s="75"/>
      <c r="P165" s="75"/>
      <c r="Q165" s="75"/>
      <c r="R165" s="98">
        <v>46030</v>
      </c>
      <c r="S165" s="75">
        <v>61.213999999999999</v>
      </c>
      <c r="T165" s="75">
        <f t="shared" si="20"/>
        <v>0.26399999999999579</v>
      </c>
      <c r="U165" s="79"/>
    </row>
    <row r="166" spans="1:21" x14ac:dyDescent="0.25">
      <c r="A166" s="75">
        <f t="shared" si="21"/>
        <v>160</v>
      </c>
      <c r="B166" s="98">
        <v>46022</v>
      </c>
      <c r="C166" s="72">
        <v>9109880</v>
      </c>
      <c r="D166" s="73">
        <v>51723005</v>
      </c>
      <c r="E166" s="74">
        <v>51.75</v>
      </c>
      <c r="F166" s="75">
        <v>530.57000000000005</v>
      </c>
      <c r="G166" s="31">
        <f t="shared" si="18"/>
        <v>27456.997500000001</v>
      </c>
      <c r="H166" s="76">
        <v>48581.26</v>
      </c>
      <c r="I166" s="113">
        <f t="shared" si="19"/>
        <v>2514080.2050000001</v>
      </c>
      <c r="J166" s="114" t="s">
        <v>22</v>
      </c>
      <c r="K166" s="66" t="s">
        <v>38</v>
      </c>
      <c r="L166" s="146"/>
      <c r="M166" s="70"/>
      <c r="N166" s="75"/>
      <c r="O166" s="75"/>
      <c r="P166" s="75"/>
      <c r="Q166" s="75"/>
      <c r="R166" s="75"/>
      <c r="S166" s="75"/>
      <c r="T166" s="75"/>
      <c r="U166" s="79"/>
    </row>
    <row r="167" spans="1:21" x14ac:dyDescent="0.25">
      <c r="A167" s="75">
        <f t="shared" si="21"/>
        <v>161</v>
      </c>
      <c r="B167" s="98">
        <v>46022</v>
      </c>
      <c r="C167" s="72">
        <v>9109880</v>
      </c>
      <c r="D167" s="73">
        <v>54241989</v>
      </c>
      <c r="E167" s="74">
        <v>60.9</v>
      </c>
      <c r="F167" s="75">
        <v>530.57000000000005</v>
      </c>
      <c r="G167" s="31">
        <f t="shared" si="18"/>
        <v>32311.713000000003</v>
      </c>
      <c r="H167" s="76">
        <v>48581.26</v>
      </c>
      <c r="I167" s="113">
        <f t="shared" si="19"/>
        <v>2958598.7340000002</v>
      </c>
      <c r="J167" s="114" t="s">
        <v>22</v>
      </c>
      <c r="K167" s="66" t="s">
        <v>38</v>
      </c>
      <c r="L167" s="146"/>
      <c r="M167" s="70"/>
      <c r="N167" s="75"/>
      <c r="O167" s="75"/>
      <c r="P167" s="75"/>
      <c r="Q167" s="75"/>
      <c r="R167" s="75"/>
      <c r="S167" s="75"/>
      <c r="T167" s="75"/>
      <c r="U167" s="79"/>
    </row>
    <row r="168" spans="1:21" x14ac:dyDescent="0.25">
      <c r="A168" s="75">
        <f t="shared" si="21"/>
        <v>162</v>
      </c>
      <c r="B168" s="98">
        <v>46022</v>
      </c>
      <c r="C168" s="72">
        <v>9109880</v>
      </c>
      <c r="D168" s="73">
        <v>55055545</v>
      </c>
      <c r="E168" s="74">
        <v>61.2</v>
      </c>
      <c r="F168" s="75">
        <v>530.57000000000005</v>
      </c>
      <c r="G168" s="31">
        <f t="shared" si="18"/>
        <v>32470.884000000005</v>
      </c>
      <c r="H168" s="76">
        <v>48581.26</v>
      </c>
      <c r="I168" s="113">
        <f t="shared" si="19"/>
        <v>2973173.1120000002</v>
      </c>
      <c r="J168" s="114" t="s">
        <v>22</v>
      </c>
      <c r="K168" s="66" t="s">
        <v>38</v>
      </c>
      <c r="L168" s="146"/>
      <c r="M168" s="70"/>
      <c r="N168" s="75"/>
      <c r="O168" s="75"/>
      <c r="P168" s="75"/>
      <c r="Q168" s="75"/>
      <c r="R168" s="98">
        <v>46030</v>
      </c>
      <c r="S168" s="75">
        <v>61.027000000000001</v>
      </c>
      <c r="T168" s="75">
        <f t="shared" ref="T168:T171" si="22">S168-E168</f>
        <v>-0.17300000000000182</v>
      </c>
      <c r="U168" s="79"/>
    </row>
    <row r="169" spans="1:21" x14ac:dyDescent="0.25">
      <c r="A169" s="75">
        <f t="shared" si="21"/>
        <v>163</v>
      </c>
      <c r="B169" s="98">
        <v>46022</v>
      </c>
      <c r="C169" s="72">
        <v>9109880</v>
      </c>
      <c r="D169" s="73">
        <v>57394017</v>
      </c>
      <c r="E169" s="74">
        <v>61.05</v>
      </c>
      <c r="F169" s="75">
        <v>530.57000000000005</v>
      </c>
      <c r="G169" s="31">
        <f t="shared" si="18"/>
        <v>32391.298500000001</v>
      </c>
      <c r="H169" s="76">
        <v>48581.26</v>
      </c>
      <c r="I169" s="113">
        <f t="shared" si="19"/>
        <v>2965885.923</v>
      </c>
      <c r="J169" s="114" t="s">
        <v>22</v>
      </c>
      <c r="K169" s="66" t="s">
        <v>38</v>
      </c>
      <c r="L169" s="146"/>
      <c r="M169" s="70"/>
      <c r="N169" s="75"/>
      <c r="O169" s="75"/>
      <c r="P169" s="75"/>
      <c r="Q169" s="75"/>
      <c r="R169" s="98">
        <v>42377</v>
      </c>
      <c r="S169" s="75">
        <v>61.042999999999999</v>
      </c>
      <c r="T169" s="75">
        <f t="shared" si="22"/>
        <v>-6.9999999999978968E-3</v>
      </c>
      <c r="U169" s="79"/>
    </row>
    <row r="170" spans="1:21" x14ac:dyDescent="0.25">
      <c r="A170" s="75">
        <f t="shared" si="21"/>
        <v>164</v>
      </c>
      <c r="B170" s="98">
        <v>46022</v>
      </c>
      <c r="C170" s="72">
        <v>9109880</v>
      </c>
      <c r="D170" s="73">
        <v>73106304</v>
      </c>
      <c r="E170" s="74">
        <v>61.3</v>
      </c>
      <c r="F170" s="75">
        <v>530.57000000000005</v>
      </c>
      <c r="G170" s="31">
        <f t="shared" si="18"/>
        <v>32523.941000000003</v>
      </c>
      <c r="H170" s="76">
        <v>48581.26</v>
      </c>
      <c r="I170" s="113">
        <f t="shared" si="19"/>
        <v>2978031.2379999999</v>
      </c>
      <c r="J170" s="114" t="s">
        <v>22</v>
      </c>
      <c r="K170" s="66" t="s">
        <v>38</v>
      </c>
      <c r="L170" s="146"/>
      <c r="M170" s="70"/>
      <c r="N170" s="75"/>
      <c r="O170" s="75"/>
      <c r="P170" s="75"/>
      <c r="Q170" s="75"/>
      <c r="R170" s="75"/>
      <c r="S170" s="75"/>
      <c r="T170" s="75"/>
      <c r="U170" s="79"/>
    </row>
    <row r="171" spans="1:21" x14ac:dyDescent="0.25">
      <c r="A171" s="75">
        <f t="shared" si="21"/>
        <v>165</v>
      </c>
      <c r="B171" s="98">
        <v>46022</v>
      </c>
      <c r="C171" s="72">
        <v>9109880</v>
      </c>
      <c r="D171" s="73">
        <v>73275281</v>
      </c>
      <c r="E171" s="74">
        <v>61.35</v>
      </c>
      <c r="F171" s="75">
        <v>530.57000000000005</v>
      </c>
      <c r="G171" s="31">
        <f t="shared" si="18"/>
        <v>32550.469500000003</v>
      </c>
      <c r="H171" s="76">
        <v>48581.26</v>
      </c>
      <c r="I171" s="113">
        <f t="shared" si="19"/>
        <v>2980460.301</v>
      </c>
      <c r="J171" s="114" t="s">
        <v>22</v>
      </c>
      <c r="K171" s="66" t="s">
        <v>38</v>
      </c>
      <c r="L171" s="146"/>
      <c r="M171" s="70"/>
      <c r="N171" s="75"/>
      <c r="O171" s="75"/>
      <c r="P171" s="75"/>
      <c r="Q171" s="75"/>
      <c r="R171" s="98">
        <v>46030</v>
      </c>
      <c r="S171" s="75">
        <v>61.207000000000001</v>
      </c>
      <c r="T171" s="75">
        <f t="shared" si="22"/>
        <v>-0.14300000000000068</v>
      </c>
      <c r="U171" s="79"/>
    </row>
    <row r="172" spans="1:21" x14ac:dyDescent="0.25">
      <c r="A172" s="75">
        <f t="shared" si="21"/>
        <v>166</v>
      </c>
      <c r="B172" s="98">
        <v>46022</v>
      </c>
      <c r="C172" s="72">
        <v>9109880</v>
      </c>
      <c r="D172" s="73">
        <v>73971483</v>
      </c>
      <c r="E172" s="74">
        <v>60.85</v>
      </c>
      <c r="F172" s="75">
        <v>530.57000000000005</v>
      </c>
      <c r="G172" s="31">
        <f t="shared" si="18"/>
        <v>32285.184500000003</v>
      </c>
      <c r="H172" s="76">
        <v>48581.26</v>
      </c>
      <c r="I172" s="113">
        <f t="shared" si="19"/>
        <v>2956169.6710000001</v>
      </c>
      <c r="J172" s="114" t="s">
        <v>22</v>
      </c>
      <c r="K172" s="66" t="s">
        <v>38</v>
      </c>
      <c r="L172" s="146"/>
      <c r="M172" s="70"/>
      <c r="N172" s="75"/>
      <c r="O172" s="75"/>
      <c r="P172" s="75"/>
      <c r="Q172" s="75"/>
      <c r="R172" s="75"/>
      <c r="S172" s="75"/>
      <c r="T172" s="75"/>
      <c r="U172" s="79"/>
    </row>
    <row r="173" spans="1:21" x14ac:dyDescent="0.25">
      <c r="A173" s="75">
        <f t="shared" si="21"/>
        <v>167</v>
      </c>
      <c r="B173" s="98">
        <v>46022</v>
      </c>
      <c r="C173" s="72">
        <v>9109880</v>
      </c>
      <c r="D173" s="73">
        <v>74936659</v>
      </c>
      <c r="E173" s="74">
        <v>61.65</v>
      </c>
      <c r="F173" s="75">
        <v>530.57000000000005</v>
      </c>
      <c r="G173" s="31">
        <f t="shared" si="18"/>
        <v>32709.640500000001</v>
      </c>
      <c r="H173" s="76">
        <v>48581.26</v>
      </c>
      <c r="I173" s="113">
        <f t="shared" si="19"/>
        <v>2995034.679</v>
      </c>
      <c r="J173" s="114" t="s">
        <v>22</v>
      </c>
      <c r="K173" s="66" t="s">
        <v>38</v>
      </c>
      <c r="L173" s="146"/>
      <c r="M173" s="70"/>
      <c r="N173" s="75"/>
      <c r="O173" s="75"/>
      <c r="P173" s="75"/>
      <c r="Q173" s="75"/>
      <c r="R173" s="75"/>
      <c r="S173" s="75"/>
      <c r="T173" s="75"/>
      <c r="U173" s="79"/>
    </row>
    <row r="174" spans="1:21" x14ac:dyDescent="0.25">
      <c r="A174" s="75">
        <f t="shared" si="21"/>
        <v>168</v>
      </c>
      <c r="B174" s="98">
        <v>46022</v>
      </c>
      <c r="C174" s="72">
        <v>9109880</v>
      </c>
      <c r="D174" s="73">
        <v>75207704</v>
      </c>
      <c r="E174" s="74">
        <v>61.6</v>
      </c>
      <c r="F174" s="75">
        <v>530.57000000000005</v>
      </c>
      <c r="G174" s="31">
        <f t="shared" si="18"/>
        <v>32683.112000000005</v>
      </c>
      <c r="H174" s="76">
        <v>48581.26</v>
      </c>
      <c r="I174" s="113">
        <f t="shared" si="19"/>
        <v>2992605.6160000004</v>
      </c>
      <c r="J174" s="114" t="s">
        <v>22</v>
      </c>
      <c r="K174" s="66" t="s">
        <v>38</v>
      </c>
      <c r="L174" s="146"/>
      <c r="M174" s="70"/>
      <c r="N174" s="75"/>
      <c r="O174" s="75"/>
      <c r="P174" s="75"/>
      <c r="Q174" s="75"/>
      <c r="R174" s="75"/>
      <c r="S174" s="75"/>
      <c r="T174" s="75"/>
      <c r="U174" s="79"/>
    </row>
    <row r="175" spans="1:21" x14ac:dyDescent="0.25">
      <c r="A175" s="75">
        <f t="shared" si="21"/>
        <v>169</v>
      </c>
      <c r="B175" s="98">
        <v>46022</v>
      </c>
      <c r="C175" s="72">
        <v>9109880</v>
      </c>
      <c r="D175" s="73">
        <v>75234658</v>
      </c>
      <c r="E175" s="74">
        <v>61.65</v>
      </c>
      <c r="F175" s="75">
        <v>530.57000000000005</v>
      </c>
      <c r="G175" s="31">
        <f t="shared" si="18"/>
        <v>32709.640500000001</v>
      </c>
      <c r="H175" s="76">
        <v>48581.26</v>
      </c>
      <c r="I175" s="113">
        <f t="shared" si="19"/>
        <v>2995034.679</v>
      </c>
      <c r="J175" s="114" t="s">
        <v>22</v>
      </c>
      <c r="K175" s="66" t="s">
        <v>38</v>
      </c>
      <c r="L175" s="146"/>
      <c r="M175" s="70"/>
      <c r="N175" s="75"/>
      <c r="O175" s="75"/>
      <c r="P175" s="75"/>
      <c r="Q175" s="75"/>
      <c r="R175" s="98">
        <v>46030</v>
      </c>
      <c r="S175" s="75">
        <v>61.780999999999999</v>
      </c>
      <c r="T175" s="133">
        <f t="shared" ref="T175:T197" si="23">S175-E175</f>
        <v>0.13100000000000023</v>
      </c>
      <c r="U175" s="79"/>
    </row>
    <row r="176" spans="1:21" x14ac:dyDescent="0.25">
      <c r="A176" s="75">
        <f t="shared" si="21"/>
        <v>170</v>
      </c>
      <c r="B176" s="98">
        <v>46022</v>
      </c>
      <c r="C176" s="72">
        <v>9109880</v>
      </c>
      <c r="D176" s="73">
        <v>75851394</v>
      </c>
      <c r="E176" s="74">
        <v>61.65</v>
      </c>
      <c r="F176" s="75">
        <v>530.57000000000005</v>
      </c>
      <c r="G176" s="31">
        <f t="shared" si="18"/>
        <v>32709.640500000001</v>
      </c>
      <c r="H176" s="76">
        <v>48581.26</v>
      </c>
      <c r="I176" s="113">
        <f t="shared" si="19"/>
        <v>2995034.679</v>
      </c>
      <c r="J176" s="114" t="s">
        <v>22</v>
      </c>
      <c r="K176" s="66" t="s">
        <v>38</v>
      </c>
      <c r="L176" s="146"/>
      <c r="M176" s="70"/>
      <c r="N176" s="75"/>
      <c r="O176" s="75"/>
      <c r="P176" s="75"/>
      <c r="Q176" s="75"/>
      <c r="R176" s="75"/>
      <c r="S176" s="75"/>
      <c r="T176" s="75"/>
      <c r="U176" s="79"/>
    </row>
    <row r="177" spans="1:21" x14ac:dyDescent="0.25">
      <c r="A177" s="75">
        <f t="shared" si="21"/>
        <v>171</v>
      </c>
      <c r="B177" s="98">
        <v>46022</v>
      </c>
      <c r="C177" s="72">
        <v>9109880</v>
      </c>
      <c r="D177" s="73">
        <v>76610591</v>
      </c>
      <c r="E177" s="74">
        <v>61.7</v>
      </c>
      <c r="F177" s="75">
        <v>530.57000000000005</v>
      </c>
      <c r="G177" s="31">
        <f t="shared" si="18"/>
        <v>32736.169000000005</v>
      </c>
      <c r="H177" s="76">
        <v>48581.26</v>
      </c>
      <c r="I177" s="113">
        <f t="shared" si="19"/>
        <v>2997463.7420000001</v>
      </c>
      <c r="J177" s="114" t="s">
        <v>22</v>
      </c>
      <c r="K177" s="66" t="s">
        <v>38</v>
      </c>
      <c r="L177" s="146"/>
      <c r="M177" s="70"/>
      <c r="N177" s="75"/>
      <c r="O177" s="75"/>
      <c r="P177" s="75"/>
      <c r="Q177" s="75"/>
      <c r="R177" s="98">
        <v>46030</v>
      </c>
      <c r="S177" s="75">
        <v>61.534999999999997</v>
      </c>
      <c r="T177" s="133">
        <f t="shared" si="23"/>
        <v>-0.16500000000000625</v>
      </c>
      <c r="U177" s="79"/>
    </row>
    <row r="178" spans="1:21" x14ac:dyDescent="0.25">
      <c r="A178" s="75">
        <f t="shared" si="21"/>
        <v>172</v>
      </c>
      <c r="B178" s="98">
        <v>46022</v>
      </c>
      <c r="C178" s="72">
        <v>9109881</v>
      </c>
      <c r="D178" s="73">
        <v>50053750</v>
      </c>
      <c r="E178" s="74">
        <v>60.6</v>
      </c>
      <c r="F178" s="75">
        <v>530.57000000000005</v>
      </c>
      <c r="G178" s="31">
        <f t="shared" si="18"/>
        <v>32152.542000000005</v>
      </c>
      <c r="H178" s="76">
        <v>48581.26</v>
      </c>
      <c r="I178" s="113">
        <f t="shared" si="19"/>
        <v>2944024.3560000001</v>
      </c>
      <c r="J178" s="114" t="s">
        <v>22</v>
      </c>
      <c r="K178" s="66" t="s">
        <v>38</v>
      </c>
      <c r="L178" s="146"/>
      <c r="M178" s="70"/>
      <c r="N178" s="75"/>
      <c r="O178" s="75"/>
      <c r="P178" s="75"/>
      <c r="Q178" s="75"/>
      <c r="R178" s="98">
        <v>46030</v>
      </c>
      <c r="S178" s="75">
        <v>60.529000000000003</v>
      </c>
      <c r="T178" s="133">
        <f t="shared" si="23"/>
        <v>-7.0999999999997954E-2</v>
      </c>
      <c r="U178" s="79"/>
    </row>
    <row r="179" spans="1:21" x14ac:dyDescent="0.25">
      <c r="A179" s="75">
        <f t="shared" si="21"/>
        <v>173</v>
      </c>
      <c r="B179" s="98">
        <v>46022</v>
      </c>
      <c r="C179" s="72">
        <v>9109881</v>
      </c>
      <c r="D179" s="73">
        <v>51248003</v>
      </c>
      <c r="E179" s="74">
        <v>60.7</v>
      </c>
      <c r="F179" s="75">
        <v>530.57000000000005</v>
      </c>
      <c r="G179" s="31">
        <f t="shared" si="18"/>
        <v>32205.599000000006</v>
      </c>
      <c r="H179" s="76">
        <v>48581.26</v>
      </c>
      <c r="I179" s="113">
        <f t="shared" si="19"/>
        <v>2948882.4820000003</v>
      </c>
      <c r="J179" s="114" t="s">
        <v>22</v>
      </c>
      <c r="K179" s="66" t="s">
        <v>38</v>
      </c>
      <c r="L179" s="146"/>
      <c r="M179" s="70"/>
      <c r="N179" s="75"/>
      <c r="O179" s="75"/>
      <c r="P179" s="75"/>
      <c r="Q179" s="75"/>
      <c r="R179" s="98">
        <v>46030</v>
      </c>
      <c r="S179" s="75">
        <v>61.064999999999998</v>
      </c>
      <c r="T179" s="133">
        <f t="shared" si="23"/>
        <v>0.36499999999999488</v>
      </c>
      <c r="U179" s="79"/>
    </row>
    <row r="180" spans="1:21" x14ac:dyDescent="0.25">
      <c r="A180" s="75">
        <f t="shared" si="21"/>
        <v>174</v>
      </c>
      <c r="B180" s="98">
        <v>46022</v>
      </c>
      <c r="C180" s="72">
        <v>9109881</v>
      </c>
      <c r="D180" s="73">
        <v>51302305</v>
      </c>
      <c r="E180" s="74">
        <v>51.7</v>
      </c>
      <c r="F180" s="75">
        <v>530.57000000000005</v>
      </c>
      <c r="G180" s="31">
        <f t="shared" si="18"/>
        <v>27430.469000000005</v>
      </c>
      <c r="H180" s="76">
        <v>48581.26</v>
      </c>
      <c r="I180" s="113">
        <f t="shared" si="19"/>
        <v>2511651.1420000005</v>
      </c>
      <c r="J180" s="114" t="s">
        <v>22</v>
      </c>
      <c r="K180" s="66" t="s">
        <v>38</v>
      </c>
      <c r="L180" s="146"/>
      <c r="M180" s="70"/>
      <c r="N180" s="75"/>
      <c r="O180" s="75"/>
      <c r="P180" s="75"/>
      <c r="Q180" s="75"/>
      <c r="R180" s="98">
        <v>46030</v>
      </c>
      <c r="S180" s="75">
        <v>51.725999999999999</v>
      </c>
      <c r="T180" s="133">
        <f t="shared" si="23"/>
        <v>2.5999999999996248E-2</v>
      </c>
      <c r="U180" s="79"/>
    </row>
    <row r="181" spans="1:21" x14ac:dyDescent="0.25">
      <c r="A181" s="75">
        <f t="shared" si="21"/>
        <v>175</v>
      </c>
      <c r="B181" s="98">
        <v>46022</v>
      </c>
      <c r="C181" s="72">
        <v>9109881</v>
      </c>
      <c r="D181" s="73">
        <v>51487700</v>
      </c>
      <c r="E181" s="74">
        <v>60.5</v>
      </c>
      <c r="F181" s="75">
        <v>530.57000000000005</v>
      </c>
      <c r="G181" s="31">
        <f t="shared" si="18"/>
        <v>32099.485000000004</v>
      </c>
      <c r="H181" s="76">
        <v>48581.26</v>
      </c>
      <c r="I181" s="113">
        <f t="shared" si="19"/>
        <v>2939166.23</v>
      </c>
      <c r="J181" s="114" t="s">
        <v>22</v>
      </c>
      <c r="K181" s="66" t="s">
        <v>38</v>
      </c>
      <c r="L181" s="146"/>
      <c r="M181" s="70"/>
      <c r="N181" s="75"/>
      <c r="O181" s="75"/>
      <c r="P181" s="75"/>
      <c r="Q181" s="75"/>
      <c r="R181" s="98">
        <v>46030</v>
      </c>
      <c r="S181" s="75">
        <v>60.982999999999997</v>
      </c>
      <c r="T181" s="75">
        <f t="shared" si="23"/>
        <v>0.48299999999999699</v>
      </c>
      <c r="U181" s="79"/>
    </row>
    <row r="182" spans="1:21" x14ac:dyDescent="0.25">
      <c r="A182" s="75">
        <f t="shared" si="21"/>
        <v>176</v>
      </c>
      <c r="B182" s="98">
        <v>46022</v>
      </c>
      <c r="C182" s="72">
        <v>9109881</v>
      </c>
      <c r="D182" s="73">
        <v>51631026</v>
      </c>
      <c r="E182" s="74">
        <v>51.4</v>
      </c>
      <c r="F182" s="75">
        <v>530.57000000000005</v>
      </c>
      <c r="G182" s="31">
        <f t="shared" si="18"/>
        <v>27271.298000000003</v>
      </c>
      <c r="H182" s="76">
        <v>48581.26</v>
      </c>
      <c r="I182" s="113">
        <f t="shared" si="19"/>
        <v>2497076.764</v>
      </c>
      <c r="J182" s="114" t="s">
        <v>22</v>
      </c>
      <c r="K182" s="66" t="s">
        <v>38</v>
      </c>
      <c r="L182" s="146"/>
      <c r="M182" s="70"/>
      <c r="N182" s="75"/>
      <c r="O182" s="75"/>
      <c r="P182" s="75"/>
      <c r="Q182" s="75"/>
      <c r="R182" s="98">
        <v>46030</v>
      </c>
      <c r="S182" s="75">
        <v>51.34</v>
      </c>
      <c r="T182" s="75">
        <f t="shared" si="23"/>
        <v>-5.9999999999995168E-2</v>
      </c>
      <c r="U182" s="79"/>
    </row>
    <row r="183" spans="1:21" x14ac:dyDescent="0.25">
      <c r="A183" s="75">
        <f t="shared" si="21"/>
        <v>177</v>
      </c>
      <c r="B183" s="98">
        <v>46022</v>
      </c>
      <c r="C183" s="72">
        <v>9109881</v>
      </c>
      <c r="D183" s="73">
        <v>51671485</v>
      </c>
      <c r="E183" s="74">
        <v>51.45</v>
      </c>
      <c r="F183" s="75">
        <v>530.57000000000005</v>
      </c>
      <c r="G183" s="31">
        <f t="shared" si="18"/>
        <v>27297.826500000003</v>
      </c>
      <c r="H183" s="76">
        <v>48581.26</v>
      </c>
      <c r="I183" s="113">
        <f t="shared" si="19"/>
        <v>2499505.827</v>
      </c>
      <c r="J183" s="114" t="s">
        <v>22</v>
      </c>
      <c r="K183" s="66" t="s">
        <v>38</v>
      </c>
      <c r="L183" s="146"/>
      <c r="M183" s="70"/>
      <c r="N183" s="75"/>
      <c r="O183" s="75"/>
      <c r="P183" s="75"/>
      <c r="Q183" s="75"/>
      <c r="R183" s="98">
        <v>46030</v>
      </c>
      <c r="S183" s="75">
        <v>51.203000000000003</v>
      </c>
      <c r="T183" s="133">
        <f t="shared" si="23"/>
        <v>-0.24699999999999989</v>
      </c>
      <c r="U183" s="79"/>
    </row>
    <row r="184" spans="1:21" x14ac:dyDescent="0.25">
      <c r="A184" s="75">
        <f t="shared" si="21"/>
        <v>178</v>
      </c>
      <c r="B184" s="98">
        <v>46022</v>
      </c>
      <c r="C184" s="72">
        <v>9109881</v>
      </c>
      <c r="D184" s="73">
        <v>53870952</v>
      </c>
      <c r="E184" s="74">
        <v>60.7</v>
      </c>
      <c r="F184" s="75">
        <v>530.57000000000005</v>
      </c>
      <c r="G184" s="31">
        <f t="shared" si="18"/>
        <v>32205.599000000006</v>
      </c>
      <c r="H184" s="76">
        <v>48581.26</v>
      </c>
      <c r="I184" s="113">
        <f t="shared" si="19"/>
        <v>2948882.4820000003</v>
      </c>
      <c r="J184" s="114" t="s">
        <v>22</v>
      </c>
      <c r="K184" s="66" t="s">
        <v>38</v>
      </c>
      <c r="L184" s="146"/>
      <c r="M184" s="70"/>
      <c r="N184" s="75"/>
      <c r="O184" s="75"/>
      <c r="P184" s="75"/>
      <c r="Q184" s="75"/>
      <c r="R184" s="98">
        <v>46030</v>
      </c>
      <c r="S184" s="133">
        <v>60.91</v>
      </c>
      <c r="T184" s="133">
        <f t="shared" si="23"/>
        <v>0.20999999999999375</v>
      </c>
      <c r="U184" s="79"/>
    </row>
    <row r="185" spans="1:21" x14ac:dyDescent="0.25">
      <c r="A185" s="75">
        <f t="shared" si="21"/>
        <v>179</v>
      </c>
      <c r="B185" s="98">
        <v>46022</v>
      </c>
      <c r="C185" s="72">
        <v>9109881</v>
      </c>
      <c r="D185" s="73">
        <v>53961603</v>
      </c>
      <c r="E185" s="74">
        <v>52.4</v>
      </c>
      <c r="F185" s="75">
        <v>530.57000000000005</v>
      </c>
      <c r="G185" s="31">
        <f t="shared" si="18"/>
        <v>27801.868000000002</v>
      </c>
      <c r="H185" s="76">
        <v>48581.26</v>
      </c>
      <c r="I185" s="113">
        <f t="shared" si="19"/>
        <v>2545658.0240000002</v>
      </c>
      <c r="J185" s="114" t="s">
        <v>22</v>
      </c>
      <c r="K185" s="66" t="s">
        <v>38</v>
      </c>
      <c r="L185" s="146"/>
      <c r="M185" s="70"/>
      <c r="N185" s="75"/>
      <c r="O185" s="75"/>
      <c r="P185" s="75"/>
      <c r="Q185" s="75"/>
      <c r="R185" s="98">
        <v>46030</v>
      </c>
      <c r="S185" s="75">
        <v>52.62</v>
      </c>
      <c r="T185" s="75">
        <f t="shared" si="23"/>
        <v>0.21999999999999886</v>
      </c>
      <c r="U185" s="79"/>
    </row>
    <row r="186" spans="1:21" x14ac:dyDescent="0.25">
      <c r="A186" s="75">
        <f t="shared" si="21"/>
        <v>180</v>
      </c>
      <c r="B186" s="98">
        <v>46022</v>
      </c>
      <c r="C186" s="72">
        <v>9109881</v>
      </c>
      <c r="D186" s="73">
        <v>54046669</v>
      </c>
      <c r="E186" s="74">
        <v>60.75</v>
      </c>
      <c r="F186" s="75">
        <v>530.57000000000005</v>
      </c>
      <c r="G186" s="31">
        <f t="shared" si="18"/>
        <v>32232.127500000002</v>
      </c>
      <c r="H186" s="76">
        <v>48581.26</v>
      </c>
      <c r="I186" s="113">
        <f t="shared" si="19"/>
        <v>2951311.5449999999</v>
      </c>
      <c r="J186" s="114" t="s">
        <v>22</v>
      </c>
      <c r="K186" s="66" t="s">
        <v>38</v>
      </c>
      <c r="L186" s="146"/>
      <c r="M186" s="70"/>
      <c r="N186" s="75"/>
      <c r="O186" s="75"/>
      <c r="P186" s="75"/>
      <c r="Q186" s="75"/>
      <c r="R186" s="98">
        <v>46030</v>
      </c>
      <c r="S186" s="75">
        <v>60.500999999999998</v>
      </c>
      <c r="T186" s="75">
        <f t="shared" si="23"/>
        <v>-0.24900000000000233</v>
      </c>
      <c r="U186" s="79"/>
    </row>
    <row r="187" spans="1:21" x14ac:dyDescent="0.25">
      <c r="A187" s="75">
        <f t="shared" si="21"/>
        <v>181</v>
      </c>
      <c r="B187" s="98">
        <v>46022</v>
      </c>
      <c r="C187" s="72">
        <v>9109881</v>
      </c>
      <c r="D187" s="73">
        <v>54258215</v>
      </c>
      <c r="E187" s="74">
        <v>60.7</v>
      </c>
      <c r="F187" s="75">
        <v>530.57000000000005</v>
      </c>
      <c r="G187" s="31">
        <f t="shared" si="18"/>
        <v>32205.599000000006</v>
      </c>
      <c r="H187" s="76">
        <v>48581.26</v>
      </c>
      <c r="I187" s="113">
        <f t="shared" si="19"/>
        <v>2948882.4820000003</v>
      </c>
      <c r="J187" s="114" t="s">
        <v>22</v>
      </c>
      <c r="K187" s="66" t="s">
        <v>38</v>
      </c>
      <c r="L187" s="146"/>
      <c r="M187" s="70"/>
      <c r="N187" s="75"/>
      <c r="O187" s="75"/>
      <c r="P187" s="75"/>
      <c r="Q187" s="75"/>
      <c r="R187" s="98">
        <v>46030</v>
      </c>
      <c r="S187" s="133">
        <v>61.26</v>
      </c>
      <c r="T187" s="133">
        <f t="shared" si="23"/>
        <v>0.55999999999999517</v>
      </c>
      <c r="U187" s="79"/>
    </row>
    <row r="188" spans="1:21" x14ac:dyDescent="0.25">
      <c r="A188" s="75">
        <f t="shared" si="21"/>
        <v>182</v>
      </c>
      <c r="B188" s="98">
        <v>46022</v>
      </c>
      <c r="C188" s="72">
        <v>9109881</v>
      </c>
      <c r="D188" s="73">
        <v>57135626</v>
      </c>
      <c r="E188" s="74">
        <v>60.65</v>
      </c>
      <c r="F188" s="75">
        <v>530.57000000000005</v>
      </c>
      <c r="G188" s="31">
        <f t="shared" si="18"/>
        <v>32179.070500000002</v>
      </c>
      <c r="H188" s="76">
        <v>48581.26</v>
      </c>
      <c r="I188" s="113">
        <f t="shared" si="19"/>
        <v>2946453.4190000002</v>
      </c>
      <c r="J188" s="114" t="s">
        <v>22</v>
      </c>
      <c r="K188" s="66" t="s">
        <v>38</v>
      </c>
      <c r="L188" s="146"/>
      <c r="M188" s="70"/>
      <c r="N188" s="75"/>
      <c r="O188" s="75"/>
      <c r="P188" s="75"/>
      <c r="Q188" s="75"/>
      <c r="R188" s="98">
        <v>46030</v>
      </c>
      <c r="S188" s="133">
        <v>60.500999999999998</v>
      </c>
      <c r="T188" s="133">
        <f t="shared" si="23"/>
        <v>-0.14900000000000091</v>
      </c>
      <c r="U188" s="79"/>
    </row>
    <row r="189" spans="1:21" x14ac:dyDescent="0.25">
      <c r="A189" s="75">
        <f t="shared" si="21"/>
        <v>183</v>
      </c>
      <c r="B189" s="98">
        <v>46022</v>
      </c>
      <c r="C189" s="72">
        <v>9109881</v>
      </c>
      <c r="D189" s="73">
        <v>57378192</v>
      </c>
      <c r="E189" s="74">
        <v>51.95</v>
      </c>
      <c r="F189" s="75">
        <v>530.57000000000005</v>
      </c>
      <c r="G189" s="31">
        <f t="shared" si="18"/>
        <v>27563.111500000003</v>
      </c>
      <c r="H189" s="76">
        <v>48581.26</v>
      </c>
      <c r="I189" s="113">
        <f t="shared" si="19"/>
        <v>2523796.4570000004</v>
      </c>
      <c r="J189" s="114" t="s">
        <v>22</v>
      </c>
      <c r="K189" s="66" t="s">
        <v>38</v>
      </c>
      <c r="L189" s="146"/>
      <c r="M189" s="70"/>
      <c r="N189" s="75"/>
      <c r="O189" s="75"/>
      <c r="P189" s="75"/>
      <c r="Q189" s="75"/>
      <c r="R189" s="98">
        <v>46030</v>
      </c>
      <c r="S189" s="133">
        <v>51.37</v>
      </c>
      <c r="T189" s="133">
        <f t="shared" si="23"/>
        <v>-0.5800000000000054</v>
      </c>
      <c r="U189" s="79"/>
    </row>
    <row r="190" spans="1:21" x14ac:dyDescent="0.25">
      <c r="A190" s="75">
        <f t="shared" si="21"/>
        <v>184</v>
      </c>
      <c r="B190" s="98">
        <v>46022</v>
      </c>
      <c r="C190" s="72">
        <v>9109881</v>
      </c>
      <c r="D190" s="73">
        <v>57935116</v>
      </c>
      <c r="E190" s="74">
        <v>60.8</v>
      </c>
      <c r="F190" s="75">
        <v>530.57000000000005</v>
      </c>
      <c r="G190" s="31">
        <f t="shared" si="18"/>
        <v>32258.656000000003</v>
      </c>
      <c r="H190" s="76">
        <v>48581.26</v>
      </c>
      <c r="I190" s="113">
        <f t="shared" si="19"/>
        <v>2953740.608</v>
      </c>
      <c r="J190" s="114" t="s">
        <v>22</v>
      </c>
      <c r="K190" s="66" t="s">
        <v>38</v>
      </c>
      <c r="L190" s="146"/>
      <c r="M190" s="70"/>
      <c r="N190" s="75"/>
      <c r="O190" s="75"/>
      <c r="P190" s="75"/>
      <c r="Q190" s="75"/>
      <c r="R190" s="98">
        <v>46030</v>
      </c>
      <c r="S190" s="75">
        <v>60.311</v>
      </c>
      <c r="T190" s="133">
        <f t="shared" si="23"/>
        <v>-0.48899999999999721</v>
      </c>
      <c r="U190" s="79"/>
    </row>
    <row r="191" spans="1:21" x14ac:dyDescent="0.25">
      <c r="A191" s="75">
        <f t="shared" si="21"/>
        <v>185</v>
      </c>
      <c r="B191" s="98">
        <v>46022</v>
      </c>
      <c r="C191" s="72">
        <v>9109881</v>
      </c>
      <c r="D191" s="73">
        <v>58348996</v>
      </c>
      <c r="E191" s="74">
        <v>60.85</v>
      </c>
      <c r="F191" s="75">
        <v>530.57000000000005</v>
      </c>
      <c r="G191" s="31">
        <f t="shared" si="18"/>
        <v>32285.184500000003</v>
      </c>
      <c r="H191" s="76">
        <v>48581.26</v>
      </c>
      <c r="I191" s="113">
        <f t="shared" si="19"/>
        <v>2956169.6710000001</v>
      </c>
      <c r="J191" s="114" t="s">
        <v>22</v>
      </c>
      <c r="K191" s="66" t="s">
        <v>38</v>
      </c>
      <c r="L191" s="146"/>
      <c r="M191" s="70"/>
      <c r="N191" s="75"/>
      <c r="O191" s="75"/>
      <c r="P191" s="75"/>
      <c r="Q191" s="75"/>
      <c r="R191" s="98">
        <v>46030</v>
      </c>
      <c r="S191" s="75">
        <v>60.357999999999997</v>
      </c>
      <c r="T191" s="133">
        <f t="shared" si="23"/>
        <v>-0.49200000000000443</v>
      </c>
      <c r="U191" s="79"/>
    </row>
    <row r="192" spans="1:21" x14ac:dyDescent="0.25">
      <c r="A192" s="75">
        <f t="shared" si="21"/>
        <v>186</v>
      </c>
      <c r="B192" s="98">
        <v>46022</v>
      </c>
      <c r="C192" s="72">
        <v>9109881</v>
      </c>
      <c r="D192" s="73">
        <v>74996828</v>
      </c>
      <c r="E192" s="74">
        <v>61.5</v>
      </c>
      <c r="F192" s="75">
        <v>530.57000000000005</v>
      </c>
      <c r="G192" s="31">
        <f t="shared" si="18"/>
        <v>32630.055000000004</v>
      </c>
      <c r="H192" s="76">
        <v>48581.26</v>
      </c>
      <c r="I192" s="113">
        <f t="shared" si="19"/>
        <v>2987747.49</v>
      </c>
      <c r="J192" s="114" t="s">
        <v>22</v>
      </c>
      <c r="K192" s="66" t="s">
        <v>38</v>
      </c>
      <c r="L192" s="146"/>
      <c r="M192" s="70"/>
      <c r="N192" s="75"/>
      <c r="O192" s="75"/>
      <c r="P192" s="75"/>
      <c r="Q192" s="75"/>
      <c r="R192" s="98">
        <v>46030</v>
      </c>
      <c r="S192" s="75">
        <v>61.661000000000001</v>
      </c>
      <c r="T192" s="75">
        <f t="shared" si="23"/>
        <v>0.16100000000000136</v>
      </c>
      <c r="U192" s="79"/>
    </row>
    <row r="193" spans="1:21" x14ac:dyDescent="0.25">
      <c r="A193" s="75">
        <f t="shared" si="21"/>
        <v>187</v>
      </c>
      <c r="B193" s="98">
        <v>46022</v>
      </c>
      <c r="C193" s="72">
        <v>9109881</v>
      </c>
      <c r="D193" s="73">
        <v>75000760</v>
      </c>
      <c r="E193" s="74">
        <v>60.8</v>
      </c>
      <c r="F193" s="75">
        <v>530.57000000000005</v>
      </c>
      <c r="G193" s="31">
        <f t="shared" si="18"/>
        <v>32258.656000000003</v>
      </c>
      <c r="H193" s="76">
        <v>48581.26</v>
      </c>
      <c r="I193" s="113">
        <f t="shared" si="19"/>
        <v>2953740.608</v>
      </c>
      <c r="J193" s="114" t="s">
        <v>22</v>
      </c>
      <c r="K193" s="66" t="s">
        <v>38</v>
      </c>
      <c r="L193" s="146"/>
      <c r="M193" s="70"/>
      <c r="N193" s="75"/>
      <c r="O193" s="75"/>
      <c r="P193" s="75"/>
      <c r="Q193" s="75"/>
      <c r="R193" s="98">
        <v>46030</v>
      </c>
      <c r="S193" s="75">
        <v>60.767000000000003</v>
      </c>
      <c r="T193" s="75">
        <f t="shared" si="23"/>
        <v>-3.2999999999994145E-2</v>
      </c>
      <c r="U193" s="79"/>
    </row>
    <row r="194" spans="1:21" x14ac:dyDescent="0.25">
      <c r="A194" s="75">
        <f t="shared" si="21"/>
        <v>188</v>
      </c>
      <c r="B194" s="98">
        <v>46022</v>
      </c>
      <c r="C194" s="72">
        <v>9109881</v>
      </c>
      <c r="D194" s="73">
        <v>75007336</v>
      </c>
      <c r="E194" s="74">
        <v>60.7</v>
      </c>
      <c r="F194" s="75">
        <v>530.57000000000005</v>
      </c>
      <c r="G194" s="31">
        <f t="shared" si="18"/>
        <v>32205.599000000006</v>
      </c>
      <c r="H194" s="76">
        <v>48581.26</v>
      </c>
      <c r="I194" s="113">
        <f t="shared" si="19"/>
        <v>2948882.4820000003</v>
      </c>
      <c r="J194" s="114" t="s">
        <v>22</v>
      </c>
      <c r="K194" s="66" t="s">
        <v>38</v>
      </c>
      <c r="L194" s="146"/>
      <c r="M194" s="70"/>
      <c r="N194" s="75"/>
      <c r="O194" s="75"/>
      <c r="P194" s="75"/>
      <c r="Q194" s="75"/>
      <c r="R194" s="98">
        <v>46030</v>
      </c>
      <c r="S194" s="75">
        <v>60.665999999999997</v>
      </c>
      <c r="T194" s="75">
        <f t="shared" si="23"/>
        <v>-3.4000000000006025E-2</v>
      </c>
      <c r="U194" s="79"/>
    </row>
    <row r="195" spans="1:21" x14ac:dyDescent="0.25">
      <c r="A195" s="75">
        <f t="shared" si="21"/>
        <v>189</v>
      </c>
      <c r="B195" s="98">
        <v>46022</v>
      </c>
      <c r="C195" s="72">
        <v>9109881</v>
      </c>
      <c r="D195" s="73">
        <v>75055764</v>
      </c>
      <c r="E195" s="74">
        <v>61.5</v>
      </c>
      <c r="F195" s="75">
        <v>530.57000000000005</v>
      </c>
      <c r="G195" s="31">
        <f t="shared" si="18"/>
        <v>32630.055000000004</v>
      </c>
      <c r="H195" s="76">
        <v>48581.26</v>
      </c>
      <c r="I195" s="113">
        <f t="shared" si="19"/>
        <v>2987747.49</v>
      </c>
      <c r="J195" s="114" t="s">
        <v>22</v>
      </c>
      <c r="K195" s="66" t="s">
        <v>38</v>
      </c>
      <c r="L195" s="146"/>
      <c r="M195" s="70"/>
      <c r="N195" s="75"/>
      <c r="O195" s="75"/>
      <c r="P195" s="75"/>
      <c r="Q195" s="75"/>
      <c r="R195" s="98">
        <v>46030</v>
      </c>
      <c r="S195" s="75">
        <v>61.677</v>
      </c>
      <c r="T195" s="75">
        <f t="shared" si="23"/>
        <v>0.1769999999999996</v>
      </c>
      <c r="U195" s="79"/>
    </row>
    <row r="196" spans="1:21" x14ac:dyDescent="0.25">
      <c r="A196" s="75">
        <f t="shared" si="21"/>
        <v>190</v>
      </c>
      <c r="B196" s="98">
        <v>46022</v>
      </c>
      <c r="C196" s="72">
        <v>9109881</v>
      </c>
      <c r="D196" s="73">
        <v>76742683</v>
      </c>
      <c r="E196" s="74">
        <v>61.2</v>
      </c>
      <c r="F196" s="75">
        <v>530.57000000000005</v>
      </c>
      <c r="G196" s="31">
        <f t="shared" si="18"/>
        <v>32470.884000000005</v>
      </c>
      <c r="H196" s="76">
        <v>48581.26</v>
      </c>
      <c r="I196" s="113">
        <f t="shared" si="19"/>
        <v>2973173.1120000002</v>
      </c>
      <c r="J196" s="114" t="s">
        <v>22</v>
      </c>
      <c r="K196" s="66" t="s">
        <v>38</v>
      </c>
      <c r="L196" s="146"/>
      <c r="M196" s="70"/>
      <c r="N196" s="75"/>
      <c r="O196" s="75"/>
      <c r="P196" s="75"/>
      <c r="Q196" s="75"/>
      <c r="R196" s="98">
        <v>46030</v>
      </c>
      <c r="S196" s="75">
        <v>59.86</v>
      </c>
      <c r="T196" s="75">
        <f t="shared" si="23"/>
        <v>-1.3400000000000034</v>
      </c>
      <c r="U196" s="79"/>
    </row>
    <row r="197" spans="1:21" ht="15.75" thickBot="1" x14ac:dyDescent="0.3">
      <c r="A197" s="75">
        <f t="shared" si="21"/>
        <v>191</v>
      </c>
      <c r="B197" s="135">
        <v>46022</v>
      </c>
      <c r="C197" s="102">
        <v>9109881</v>
      </c>
      <c r="D197" s="103">
        <v>76914035</v>
      </c>
      <c r="E197" s="104">
        <v>61.1</v>
      </c>
      <c r="F197" s="75">
        <v>530.57000000000005</v>
      </c>
      <c r="G197" s="31">
        <f t="shared" si="18"/>
        <v>32417.827000000005</v>
      </c>
      <c r="H197" s="76">
        <v>48581.26</v>
      </c>
      <c r="I197" s="113">
        <f t="shared" si="19"/>
        <v>2968314.986</v>
      </c>
      <c r="J197" s="114" t="s">
        <v>22</v>
      </c>
      <c r="K197" s="66" t="s">
        <v>38</v>
      </c>
      <c r="L197" s="149"/>
      <c r="M197" s="80"/>
      <c r="N197" s="88"/>
      <c r="O197" s="88"/>
      <c r="P197" s="88"/>
      <c r="Q197" s="88"/>
      <c r="R197" s="99">
        <v>46030</v>
      </c>
      <c r="S197" s="88">
        <v>61.747999999999998</v>
      </c>
      <c r="T197" s="75">
        <f t="shared" si="23"/>
        <v>0.64799999999999613</v>
      </c>
      <c r="U197" s="89"/>
    </row>
    <row r="198" spans="1:21" ht="15.75" thickBot="1" x14ac:dyDescent="0.3">
      <c r="A198" s="90"/>
      <c r="B198" s="91"/>
      <c r="C198" s="91"/>
      <c r="D198" s="91"/>
      <c r="E198" s="92"/>
      <c r="F198" s="93"/>
      <c r="G198" s="94"/>
      <c r="H198" s="93"/>
      <c r="I198" s="95"/>
      <c r="J198" s="91"/>
      <c r="K198" s="150"/>
      <c r="L198" s="97"/>
      <c r="M198" s="138"/>
      <c r="N198" s="91"/>
      <c r="O198" s="91"/>
      <c r="P198" s="91"/>
      <c r="Q198" s="91"/>
      <c r="R198" s="91"/>
      <c r="S198" s="93"/>
      <c r="T198" s="110"/>
      <c r="U198" s="96"/>
    </row>
    <row r="199" spans="1:21" x14ac:dyDescent="0.25">
      <c r="A199" s="140">
        <v>192</v>
      </c>
      <c r="B199" s="98">
        <v>46022</v>
      </c>
      <c r="C199" s="72">
        <v>9109882</v>
      </c>
      <c r="D199" s="73">
        <v>51519940</v>
      </c>
      <c r="E199" s="74">
        <v>52.1</v>
      </c>
      <c r="F199" s="75">
        <v>530.57000000000005</v>
      </c>
      <c r="G199" s="31">
        <f t="shared" ref="G199:G206" si="24">E199*F199</f>
        <v>27642.697000000004</v>
      </c>
      <c r="H199" s="76">
        <v>48581.26</v>
      </c>
      <c r="I199" s="113">
        <f t="shared" ref="I199:I206" si="25">E199*H199</f>
        <v>2531083.6460000002</v>
      </c>
      <c r="J199" s="114" t="s">
        <v>22</v>
      </c>
      <c r="K199" s="66" t="s">
        <v>38</v>
      </c>
      <c r="L199" s="143"/>
      <c r="M199" s="57"/>
      <c r="N199" s="68"/>
      <c r="O199" s="68"/>
      <c r="P199" s="68"/>
      <c r="Q199" s="68"/>
      <c r="R199" s="68"/>
      <c r="S199" s="68"/>
      <c r="T199" s="68"/>
      <c r="U199" s="69"/>
    </row>
    <row r="200" spans="1:21" x14ac:dyDescent="0.25">
      <c r="A200" s="75">
        <f>A199+1</f>
        <v>193</v>
      </c>
      <c r="B200" s="98">
        <v>46022</v>
      </c>
      <c r="C200" s="72">
        <v>9109882</v>
      </c>
      <c r="D200" s="73">
        <v>54072269</v>
      </c>
      <c r="E200" s="74">
        <v>61.1</v>
      </c>
      <c r="F200" s="75">
        <v>530.57000000000005</v>
      </c>
      <c r="G200" s="31">
        <f t="shared" si="24"/>
        <v>32417.827000000005</v>
      </c>
      <c r="H200" s="76">
        <v>48581.26</v>
      </c>
      <c r="I200" s="113">
        <f t="shared" si="25"/>
        <v>2968314.986</v>
      </c>
      <c r="J200" s="114" t="s">
        <v>22</v>
      </c>
      <c r="K200" s="66" t="s">
        <v>38</v>
      </c>
      <c r="L200" s="146"/>
      <c r="M200" s="70"/>
      <c r="N200" s="75"/>
      <c r="O200" s="75"/>
      <c r="P200" s="75"/>
      <c r="Q200" s="75"/>
      <c r="R200" s="75"/>
      <c r="S200" s="75"/>
      <c r="T200" s="75"/>
      <c r="U200" s="79"/>
    </row>
    <row r="201" spans="1:21" x14ac:dyDescent="0.25">
      <c r="A201" s="75">
        <f t="shared" ref="A201:A206" si="26">A200+1</f>
        <v>194</v>
      </c>
      <c r="B201" s="98">
        <v>46022</v>
      </c>
      <c r="C201" s="72">
        <v>9109882</v>
      </c>
      <c r="D201" s="73">
        <v>73015125</v>
      </c>
      <c r="E201" s="74">
        <v>61.3</v>
      </c>
      <c r="F201" s="75">
        <v>530.57000000000005</v>
      </c>
      <c r="G201" s="31">
        <f t="shared" si="24"/>
        <v>32523.941000000003</v>
      </c>
      <c r="H201" s="76">
        <v>48581.26</v>
      </c>
      <c r="I201" s="113">
        <f t="shared" si="25"/>
        <v>2978031.2379999999</v>
      </c>
      <c r="J201" s="114" t="s">
        <v>22</v>
      </c>
      <c r="K201" s="66" t="s">
        <v>38</v>
      </c>
      <c r="L201" s="146"/>
      <c r="M201" s="70"/>
      <c r="N201" s="75"/>
      <c r="O201" s="75"/>
      <c r="P201" s="75"/>
      <c r="Q201" s="75"/>
      <c r="R201" s="75"/>
      <c r="S201" s="75"/>
      <c r="T201" s="75"/>
      <c r="U201" s="79"/>
    </row>
    <row r="202" spans="1:21" x14ac:dyDescent="0.25">
      <c r="A202" s="75">
        <f t="shared" si="26"/>
        <v>195</v>
      </c>
      <c r="B202" s="98">
        <v>46022</v>
      </c>
      <c r="C202" s="72">
        <v>9109882</v>
      </c>
      <c r="D202" s="73">
        <v>73037137</v>
      </c>
      <c r="E202" s="74">
        <v>61.55</v>
      </c>
      <c r="F202" s="75">
        <v>530.57000000000005</v>
      </c>
      <c r="G202" s="31">
        <f t="shared" si="24"/>
        <v>32656.583500000001</v>
      </c>
      <c r="H202" s="76">
        <v>48581.26</v>
      </c>
      <c r="I202" s="113">
        <f t="shared" si="25"/>
        <v>2990176.5529999998</v>
      </c>
      <c r="J202" s="114" t="s">
        <v>22</v>
      </c>
      <c r="K202" s="66" t="s">
        <v>38</v>
      </c>
      <c r="L202" s="146"/>
      <c r="M202" s="70"/>
      <c r="N202" s="75"/>
      <c r="O202" s="75"/>
      <c r="P202" s="75"/>
      <c r="Q202" s="75"/>
      <c r="R202" s="75"/>
      <c r="S202" s="75"/>
      <c r="T202" s="75"/>
      <c r="U202" s="79"/>
    </row>
    <row r="203" spans="1:21" x14ac:dyDescent="0.25">
      <c r="A203" s="75">
        <f t="shared" si="26"/>
        <v>196</v>
      </c>
      <c r="B203" s="98">
        <v>46022</v>
      </c>
      <c r="C203" s="72">
        <v>9109882</v>
      </c>
      <c r="D203" s="73">
        <v>73106635</v>
      </c>
      <c r="E203" s="74">
        <v>61.55</v>
      </c>
      <c r="F203" s="75">
        <v>530.57000000000005</v>
      </c>
      <c r="G203" s="31">
        <f t="shared" si="24"/>
        <v>32656.583500000001</v>
      </c>
      <c r="H203" s="76">
        <v>48581.26</v>
      </c>
      <c r="I203" s="113">
        <f t="shared" si="25"/>
        <v>2990176.5529999998</v>
      </c>
      <c r="J203" s="114" t="s">
        <v>22</v>
      </c>
      <c r="K203" s="66" t="s">
        <v>38</v>
      </c>
      <c r="L203" s="146"/>
      <c r="M203" s="70"/>
      <c r="N203" s="75"/>
      <c r="O203" s="75"/>
      <c r="P203" s="75"/>
      <c r="Q203" s="75"/>
      <c r="R203" s="75"/>
      <c r="S203" s="75"/>
      <c r="T203" s="75"/>
      <c r="U203" s="79"/>
    </row>
    <row r="204" spans="1:21" x14ac:dyDescent="0.25">
      <c r="A204" s="75">
        <f t="shared" si="26"/>
        <v>197</v>
      </c>
      <c r="B204" s="98">
        <v>46022</v>
      </c>
      <c r="C204" s="72">
        <v>9109882</v>
      </c>
      <c r="D204" s="73">
        <v>73140907</v>
      </c>
      <c r="E204" s="74">
        <v>61.4</v>
      </c>
      <c r="F204" s="75">
        <v>530.57000000000005</v>
      </c>
      <c r="G204" s="31">
        <f t="shared" si="24"/>
        <v>32576.998000000003</v>
      </c>
      <c r="H204" s="76">
        <v>48581.26</v>
      </c>
      <c r="I204" s="113">
        <f t="shared" si="25"/>
        <v>2982889.3640000001</v>
      </c>
      <c r="J204" s="114" t="s">
        <v>22</v>
      </c>
      <c r="K204" s="66" t="s">
        <v>38</v>
      </c>
      <c r="L204" s="146"/>
      <c r="M204" s="70"/>
      <c r="N204" s="75"/>
      <c r="O204" s="75"/>
      <c r="P204" s="75"/>
      <c r="Q204" s="75"/>
      <c r="R204" s="75"/>
      <c r="S204" s="75"/>
      <c r="T204" s="75"/>
      <c r="U204" s="79"/>
    </row>
    <row r="205" spans="1:21" x14ac:dyDescent="0.25">
      <c r="A205" s="75">
        <f t="shared" si="26"/>
        <v>198</v>
      </c>
      <c r="B205" s="98">
        <v>46022</v>
      </c>
      <c r="C205" s="72">
        <v>9109882</v>
      </c>
      <c r="D205" s="73">
        <v>73141640</v>
      </c>
      <c r="E205" s="74">
        <v>61.5</v>
      </c>
      <c r="F205" s="75">
        <v>530.57000000000005</v>
      </c>
      <c r="G205" s="31">
        <f t="shared" si="24"/>
        <v>32630.055000000004</v>
      </c>
      <c r="H205" s="76">
        <v>48581.26</v>
      </c>
      <c r="I205" s="113">
        <f t="shared" si="25"/>
        <v>2987747.49</v>
      </c>
      <c r="J205" s="114" t="s">
        <v>22</v>
      </c>
      <c r="K205" s="66" t="s">
        <v>38</v>
      </c>
      <c r="L205" s="146"/>
      <c r="M205" s="70"/>
      <c r="N205" s="75"/>
      <c r="O205" s="75"/>
      <c r="P205" s="75"/>
      <c r="Q205" s="75"/>
      <c r="R205" s="75"/>
      <c r="S205" s="75"/>
      <c r="T205" s="75"/>
      <c r="U205" s="79"/>
    </row>
    <row r="206" spans="1:21" ht="15.75" thickBot="1" x14ac:dyDescent="0.3">
      <c r="A206" s="105">
        <f t="shared" si="26"/>
        <v>199</v>
      </c>
      <c r="B206" s="135">
        <v>46022</v>
      </c>
      <c r="C206" s="102">
        <v>9109882</v>
      </c>
      <c r="D206" s="103">
        <v>73176661</v>
      </c>
      <c r="E206" s="104">
        <v>61.35</v>
      </c>
      <c r="F206" s="75">
        <v>530.57000000000005</v>
      </c>
      <c r="G206" s="31">
        <f t="shared" si="24"/>
        <v>32550.469500000003</v>
      </c>
      <c r="H206" s="76">
        <v>48581.26</v>
      </c>
      <c r="I206" s="113">
        <f t="shared" si="25"/>
        <v>2980460.301</v>
      </c>
      <c r="J206" s="114" t="s">
        <v>22</v>
      </c>
      <c r="K206" s="66" t="s">
        <v>38</v>
      </c>
      <c r="L206" s="149"/>
      <c r="M206" s="80"/>
      <c r="N206" s="88"/>
      <c r="O206" s="88"/>
      <c r="P206" s="88"/>
      <c r="Q206" s="88"/>
      <c r="R206" s="88"/>
      <c r="S206" s="88"/>
      <c r="T206" s="88"/>
      <c r="U206" s="89"/>
    </row>
    <row r="207" spans="1:21" ht="15.75" thickBot="1" x14ac:dyDescent="0.3">
      <c r="A207" s="90"/>
      <c r="B207" s="91"/>
      <c r="C207" s="91"/>
      <c r="D207" s="91"/>
      <c r="E207" s="92"/>
      <c r="F207" s="93"/>
      <c r="G207" s="94"/>
      <c r="H207" s="93"/>
      <c r="I207" s="95"/>
      <c r="J207" s="91"/>
      <c r="K207" s="96"/>
      <c r="L207" s="97"/>
      <c r="M207" s="138"/>
      <c r="N207" s="91"/>
      <c r="O207" s="91"/>
      <c r="P207" s="91"/>
      <c r="Q207" s="91"/>
      <c r="R207" s="91"/>
      <c r="S207" s="91"/>
      <c r="T207" s="91"/>
      <c r="U207" s="96"/>
    </row>
    <row r="208" spans="1:21" ht="15.75" thickBot="1" x14ac:dyDescent="0.3">
      <c r="A208" s="672"/>
      <c r="B208" s="673"/>
      <c r="C208" s="673"/>
      <c r="D208" s="674"/>
      <c r="E208" s="116"/>
      <c r="F208" s="117"/>
      <c r="G208" s="118"/>
      <c r="H208" s="117"/>
      <c r="I208" s="119"/>
      <c r="J208" s="115"/>
      <c r="K208" s="120"/>
      <c r="L208" s="121"/>
      <c r="M208" s="122"/>
      <c r="N208" s="115"/>
      <c r="O208" s="115"/>
      <c r="P208" s="115"/>
      <c r="Q208" s="115"/>
      <c r="R208" s="115"/>
      <c r="S208" s="157"/>
      <c r="T208" s="158"/>
      <c r="U208" s="120"/>
    </row>
    <row r="209" spans="1:21" x14ac:dyDescent="0.25">
      <c r="A209" s="75">
        <v>200</v>
      </c>
      <c r="B209" s="98">
        <v>46027</v>
      </c>
      <c r="C209" s="72">
        <v>9109899</v>
      </c>
      <c r="D209" s="73">
        <v>53948162</v>
      </c>
      <c r="E209" s="74">
        <v>52.9</v>
      </c>
      <c r="F209" s="75">
        <v>498.94</v>
      </c>
      <c r="G209" s="31">
        <f t="shared" ref="G209:G224" si="27">E209*F209</f>
        <v>26393.925999999999</v>
      </c>
      <c r="H209" s="76">
        <v>48581.26</v>
      </c>
      <c r="I209" s="113">
        <f t="shared" ref="I209:I224" si="28">E209*H209</f>
        <v>2569948.6540000001</v>
      </c>
      <c r="J209" s="114" t="s">
        <v>22</v>
      </c>
      <c r="K209" s="66" t="s">
        <v>38</v>
      </c>
      <c r="L209" s="146"/>
      <c r="M209" s="57"/>
      <c r="N209" s="68"/>
      <c r="O209" s="68"/>
      <c r="P209" s="68"/>
      <c r="Q209" s="68"/>
      <c r="R209" s="68"/>
      <c r="S209" s="68"/>
      <c r="T209" s="68"/>
      <c r="U209" s="69"/>
    </row>
    <row r="210" spans="1:21" x14ac:dyDescent="0.25">
      <c r="A210" s="75">
        <f>A209+1</f>
        <v>201</v>
      </c>
      <c r="B210" s="98">
        <v>46027</v>
      </c>
      <c r="C210" s="72">
        <v>9109899</v>
      </c>
      <c r="D210" s="73">
        <v>56796493</v>
      </c>
      <c r="E210" s="74">
        <v>61.25</v>
      </c>
      <c r="F210" s="75">
        <v>498.94</v>
      </c>
      <c r="G210" s="31">
        <f t="shared" si="27"/>
        <v>30560.075000000001</v>
      </c>
      <c r="H210" s="76">
        <v>48581.26</v>
      </c>
      <c r="I210" s="113">
        <f t="shared" si="28"/>
        <v>2975602.1750000003</v>
      </c>
      <c r="J210" s="114" t="s">
        <v>22</v>
      </c>
      <c r="K210" s="66" t="s">
        <v>38</v>
      </c>
      <c r="L210" s="146"/>
      <c r="M210" s="70"/>
      <c r="N210" s="75"/>
      <c r="O210" s="75"/>
      <c r="P210" s="75"/>
      <c r="Q210" s="75"/>
      <c r="R210" s="75"/>
      <c r="S210" s="75"/>
      <c r="T210" s="75"/>
      <c r="U210" s="79"/>
    </row>
    <row r="211" spans="1:21" x14ac:dyDescent="0.25">
      <c r="A211" s="75">
        <f t="shared" ref="A211:A224" si="29">A210+1</f>
        <v>202</v>
      </c>
      <c r="B211" s="98">
        <v>46027</v>
      </c>
      <c r="C211" s="72">
        <v>9109899</v>
      </c>
      <c r="D211" s="73">
        <v>73012981</v>
      </c>
      <c r="E211" s="74">
        <v>61.75</v>
      </c>
      <c r="F211" s="75">
        <v>498.94</v>
      </c>
      <c r="G211" s="31">
        <f t="shared" si="27"/>
        <v>30809.544999999998</v>
      </c>
      <c r="H211" s="76">
        <v>48581.26</v>
      </c>
      <c r="I211" s="113">
        <f t="shared" si="28"/>
        <v>2999892.8050000002</v>
      </c>
      <c r="J211" s="114" t="s">
        <v>22</v>
      </c>
      <c r="K211" s="66" t="s">
        <v>38</v>
      </c>
      <c r="L211" s="146"/>
      <c r="M211" s="70"/>
      <c r="N211" s="75"/>
      <c r="O211" s="75"/>
      <c r="P211" s="75"/>
      <c r="Q211" s="75"/>
      <c r="R211" s="75"/>
      <c r="S211" s="75"/>
      <c r="T211" s="75"/>
      <c r="U211" s="79"/>
    </row>
    <row r="212" spans="1:21" x14ac:dyDescent="0.25">
      <c r="A212" s="75">
        <f t="shared" si="29"/>
        <v>203</v>
      </c>
      <c r="B212" s="98">
        <v>46027</v>
      </c>
      <c r="C212" s="72">
        <v>9109899</v>
      </c>
      <c r="D212" s="73">
        <v>73057077</v>
      </c>
      <c r="E212" s="74">
        <v>61.65</v>
      </c>
      <c r="F212" s="75">
        <v>498.94</v>
      </c>
      <c r="G212" s="31">
        <f t="shared" si="27"/>
        <v>30759.650999999998</v>
      </c>
      <c r="H212" s="76">
        <v>48581.26</v>
      </c>
      <c r="I212" s="113">
        <f t="shared" si="28"/>
        <v>2995034.679</v>
      </c>
      <c r="J212" s="114" t="s">
        <v>22</v>
      </c>
      <c r="K212" s="66" t="s">
        <v>38</v>
      </c>
      <c r="L212" s="146"/>
      <c r="M212" s="70"/>
      <c r="N212" s="75"/>
      <c r="O212" s="75"/>
      <c r="P212" s="75"/>
      <c r="Q212" s="75"/>
      <c r="R212" s="75"/>
      <c r="S212" s="75"/>
      <c r="T212" s="75"/>
      <c r="U212" s="79"/>
    </row>
    <row r="213" spans="1:21" x14ac:dyDescent="0.25">
      <c r="A213" s="75">
        <f t="shared" si="29"/>
        <v>204</v>
      </c>
      <c r="B213" s="98">
        <v>46027</v>
      </c>
      <c r="C213" s="72">
        <v>9109899</v>
      </c>
      <c r="D213" s="73">
        <v>73086837</v>
      </c>
      <c r="E213" s="74">
        <v>61.7</v>
      </c>
      <c r="F213" s="75">
        <v>498.94</v>
      </c>
      <c r="G213" s="31">
        <f t="shared" si="27"/>
        <v>30784.598000000002</v>
      </c>
      <c r="H213" s="76">
        <v>48581.26</v>
      </c>
      <c r="I213" s="113">
        <f t="shared" si="28"/>
        <v>2997463.7420000001</v>
      </c>
      <c r="J213" s="114" t="s">
        <v>22</v>
      </c>
      <c r="K213" s="66" t="s">
        <v>38</v>
      </c>
      <c r="L213" s="146"/>
      <c r="M213" s="70"/>
      <c r="N213" s="75"/>
      <c r="O213" s="75"/>
      <c r="P213" s="75"/>
      <c r="Q213" s="75"/>
      <c r="R213" s="75"/>
      <c r="S213" s="75"/>
      <c r="T213" s="75"/>
      <c r="U213" s="79"/>
    </row>
    <row r="214" spans="1:21" x14ac:dyDescent="0.25">
      <c r="A214" s="75">
        <f t="shared" si="29"/>
        <v>205</v>
      </c>
      <c r="B214" s="98">
        <v>46027</v>
      </c>
      <c r="C214" s="72">
        <v>9109899</v>
      </c>
      <c r="D214" s="73">
        <v>73116808</v>
      </c>
      <c r="E214" s="74">
        <v>61.95</v>
      </c>
      <c r="F214" s="75">
        <v>498.94</v>
      </c>
      <c r="G214" s="31">
        <f t="shared" si="27"/>
        <v>30909.333000000002</v>
      </c>
      <c r="H214" s="76">
        <v>48581.26</v>
      </c>
      <c r="I214" s="113">
        <f t="shared" si="28"/>
        <v>3009609.0570000005</v>
      </c>
      <c r="J214" s="114" t="s">
        <v>22</v>
      </c>
      <c r="K214" s="66" t="s">
        <v>38</v>
      </c>
      <c r="L214" s="146"/>
      <c r="M214" s="70"/>
      <c r="N214" s="75"/>
      <c r="O214" s="75"/>
      <c r="P214" s="75"/>
      <c r="Q214" s="75"/>
      <c r="R214" s="75"/>
      <c r="S214" s="75"/>
      <c r="T214" s="75"/>
      <c r="U214" s="79"/>
    </row>
    <row r="215" spans="1:21" x14ac:dyDescent="0.25">
      <c r="A215" s="75">
        <f t="shared" si="29"/>
        <v>206</v>
      </c>
      <c r="B215" s="98">
        <v>46027</v>
      </c>
      <c r="C215" s="72">
        <v>9109899</v>
      </c>
      <c r="D215" s="73">
        <v>73127581</v>
      </c>
      <c r="E215" s="74">
        <v>61.6</v>
      </c>
      <c r="F215" s="75">
        <v>498.94</v>
      </c>
      <c r="G215" s="31">
        <f t="shared" si="27"/>
        <v>30734.704000000002</v>
      </c>
      <c r="H215" s="76">
        <v>48581.26</v>
      </c>
      <c r="I215" s="113">
        <f t="shared" si="28"/>
        <v>2992605.6160000004</v>
      </c>
      <c r="J215" s="114" t="s">
        <v>22</v>
      </c>
      <c r="K215" s="66" t="s">
        <v>38</v>
      </c>
      <c r="L215" s="146"/>
      <c r="M215" s="70"/>
      <c r="N215" s="75"/>
      <c r="O215" s="75"/>
      <c r="P215" s="75"/>
      <c r="Q215" s="75"/>
      <c r="R215" s="75"/>
      <c r="S215" s="75"/>
      <c r="T215" s="75"/>
      <c r="U215" s="79"/>
    </row>
    <row r="216" spans="1:21" x14ac:dyDescent="0.25">
      <c r="A216" s="75">
        <f t="shared" si="29"/>
        <v>207</v>
      </c>
      <c r="B216" s="98">
        <v>46027</v>
      </c>
      <c r="C216" s="72">
        <v>9109899</v>
      </c>
      <c r="D216" s="73">
        <v>73157331</v>
      </c>
      <c r="E216" s="74">
        <v>61.65</v>
      </c>
      <c r="F216" s="75">
        <v>498.94</v>
      </c>
      <c r="G216" s="31">
        <f t="shared" si="27"/>
        <v>30759.650999999998</v>
      </c>
      <c r="H216" s="76">
        <v>48581.26</v>
      </c>
      <c r="I216" s="113">
        <f t="shared" si="28"/>
        <v>2995034.679</v>
      </c>
      <c r="J216" s="114" t="s">
        <v>22</v>
      </c>
      <c r="K216" s="66" t="s">
        <v>38</v>
      </c>
      <c r="L216" s="146"/>
      <c r="M216" s="70"/>
      <c r="N216" s="75"/>
      <c r="O216" s="75"/>
      <c r="P216" s="75"/>
      <c r="Q216" s="75"/>
      <c r="R216" s="75"/>
      <c r="S216" s="75"/>
      <c r="T216" s="75"/>
      <c r="U216" s="79"/>
    </row>
    <row r="217" spans="1:21" x14ac:dyDescent="0.25">
      <c r="A217" s="75">
        <f t="shared" si="29"/>
        <v>208</v>
      </c>
      <c r="B217" s="98">
        <v>46027</v>
      </c>
      <c r="C217" s="72">
        <v>9109899</v>
      </c>
      <c r="D217" s="73">
        <v>73161721</v>
      </c>
      <c r="E217" s="74">
        <v>61.7</v>
      </c>
      <c r="F217" s="75">
        <v>498.94</v>
      </c>
      <c r="G217" s="31">
        <f t="shared" si="27"/>
        <v>30784.598000000002</v>
      </c>
      <c r="H217" s="76">
        <v>48581.26</v>
      </c>
      <c r="I217" s="113">
        <f t="shared" si="28"/>
        <v>2997463.7420000001</v>
      </c>
      <c r="J217" s="114" t="s">
        <v>22</v>
      </c>
      <c r="K217" s="66" t="s">
        <v>38</v>
      </c>
      <c r="L217" s="146"/>
      <c r="M217" s="70"/>
      <c r="N217" s="75"/>
      <c r="O217" s="75"/>
      <c r="P217" s="75"/>
      <c r="Q217" s="75"/>
      <c r="R217" s="75"/>
      <c r="S217" s="75"/>
      <c r="T217" s="75"/>
      <c r="U217" s="79"/>
    </row>
    <row r="218" spans="1:21" x14ac:dyDescent="0.25">
      <c r="A218" s="75">
        <f t="shared" si="29"/>
        <v>209</v>
      </c>
      <c r="B218" s="98">
        <v>46027</v>
      </c>
      <c r="C218" s="72">
        <v>9109899</v>
      </c>
      <c r="D218" s="73">
        <v>73166720</v>
      </c>
      <c r="E218" s="74">
        <v>61.75</v>
      </c>
      <c r="F218" s="75">
        <v>498.94</v>
      </c>
      <c r="G218" s="31">
        <f t="shared" si="27"/>
        <v>30809.544999999998</v>
      </c>
      <c r="H218" s="76">
        <v>48581.26</v>
      </c>
      <c r="I218" s="113">
        <f t="shared" si="28"/>
        <v>2999892.8050000002</v>
      </c>
      <c r="J218" s="114" t="s">
        <v>22</v>
      </c>
      <c r="K218" s="66" t="s">
        <v>38</v>
      </c>
      <c r="L218" s="146"/>
      <c r="M218" s="70"/>
      <c r="N218" s="75"/>
      <c r="O218" s="75"/>
      <c r="P218" s="75"/>
      <c r="Q218" s="75"/>
      <c r="R218" s="75"/>
      <c r="S218" s="75"/>
      <c r="T218" s="75"/>
      <c r="U218" s="79"/>
    </row>
    <row r="219" spans="1:21" x14ac:dyDescent="0.25">
      <c r="A219" s="75">
        <f t="shared" si="29"/>
        <v>210</v>
      </c>
      <c r="B219" s="98">
        <v>46027</v>
      </c>
      <c r="C219" s="72">
        <v>9109899</v>
      </c>
      <c r="D219" s="73">
        <v>73167868</v>
      </c>
      <c r="E219" s="74">
        <v>61.7</v>
      </c>
      <c r="F219" s="75">
        <v>498.94</v>
      </c>
      <c r="G219" s="31">
        <f t="shared" si="27"/>
        <v>30784.598000000002</v>
      </c>
      <c r="H219" s="76">
        <v>48581.26</v>
      </c>
      <c r="I219" s="113">
        <f t="shared" si="28"/>
        <v>2997463.7420000001</v>
      </c>
      <c r="J219" s="114" t="s">
        <v>22</v>
      </c>
      <c r="K219" s="66" t="s">
        <v>38</v>
      </c>
      <c r="L219" s="146"/>
      <c r="M219" s="70"/>
      <c r="N219" s="75"/>
      <c r="O219" s="75"/>
      <c r="P219" s="75"/>
      <c r="Q219" s="75"/>
      <c r="R219" s="75"/>
      <c r="S219" s="75"/>
      <c r="T219" s="75"/>
      <c r="U219" s="79"/>
    </row>
    <row r="220" spans="1:21" x14ac:dyDescent="0.25">
      <c r="A220" s="75">
        <f t="shared" si="29"/>
        <v>211</v>
      </c>
      <c r="B220" s="98">
        <v>46027</v>
      </c>
      <c r="C220" s="72">
        <v>9109899</v>
      </c>
      <c r="D220" s="73">
        <v>73169203</v>
      </c>
      <c r="E220" s="74">
        <v>61.7</v>
      </c>
      <c r="F220" s="75">
        <v>498.94</v>
      </c>
      <c r="G220" s="31">
        <f t="shared" si="27"/>
        <v>30784.598000000002</v>
      </c>
      <c r="H220" s="76">
        <v>48581.26</v>
      </c>
      <c r="I220" s="113">
        <f t="shared" si="28"/>
        <v>2997463.7420000001</v>
      </c>
      <c r="J220" s="114" t="s">
        <v>22</v>
      </c>
      <c r="K220" s="66" t="s">
        <v>38</v>
      </c>
      <c r="L220" s="146"/>
      <c r="M220" s="70"/>
      <c r="N220" s="75"/>
      <c r="O220" s="75"/>
      <c r="P220" s="75"/>
      <c r="Q220" s="75"/>
      <c r="R220" s="75"/>
      <c r="S220" s="75"/>
      <c r="T220" s="75"/>
      <c r="U220" s="79"/>
    </row>
    <row r="221" spans="1:21" x14ac:dyDescent="0.25">
      <c r="A221" s="75">
        <f t="shared" si="29"/>
        <v>212</v>
      </c>
      <c r="B221" s="98">
        <v>46027</v>
      </c>
      <c r="C221" s="72">
        <v>9109899</v>
      </c>
      <c r="D221" s="73">
        <v>73173627</v>
      </c>
      <c r="E221" s="74">
        <v>61.65</v>
      </c>
      <c r="F221" s="75">
        <v>498.94</v>
      </c>
      <c r="G221" s="31">
        <f t="shared" si="27"/>
        <v>30759.650999999998</v>
      </c>
      <c r="H221" s="76">
        <v>48581.26</v>
      </c>
      <c r="I221" s="113">
        <f t="shared" si="28"/>
        <v>2995034.679</v>
      </c>
      <c r="J221" s="114" t="s">
        <v>22</v>
      </c>
      <c r="K221" s="66" t="s">
        <v>38</v>
      </c>
      <c r="L221" s="146"/>
      <c r="M221" s="70"/>
      <c r="N221" s="75"/>
      <c r="O221" s="75"/>
      <c r="P221" s="75"/>
      <c r="Q221" s="75"/>
      <c r="R221" s="75"/>
      <c r="S221" s="75"/>
      <c r="T221" s="75"/>
      <c r="U221" s="79"/>
    </row>
    <row r="222" spans="1:21" x14ac:dyDescent="0.25">
      <c r="A222" s="75">
        <f t="shared" si="29"/>
        <v>213</v>
      </c>
      <c r="B222" s="98">
        <v>46027</v>
      </c>
      <c r="C222" s="72">
        <v>9109899</v>
      </c>
      <c r="D222" s="73">
        <v>75200246</v>
      </c>
      <c r="E222" s="74">
        <v>62.05</v>
      </c>
      <c r="F222" s="75">
        <v>498.94</v>
      </c>
      <c r="G222" s="31">
        <f t="shared" si="27"/>
        <v>30959.226999999999</v>
      </c>
      <c r="H222" s="76">
        <v>48581.26</v>
      </c>
      <c r="I222" s="113">
        <f t="shared" si="28"/>
        <v>3014467.1830000002</v>
      </c>
      <c r="J222" s="114" t="s">
        <v>22</v>
      </c>
      <c r="K222" s="66" t="s">
        <v>38</v>
      </c>
      <c r="L222" s="146"/>
      <c r="M222" s="70"/>
      <c r="N222" s="75"/>
      <c r="O222" s="75"/>
      <c r="P222" s="75"/>
      <c r="Q222" s="75"/>
      <c r="R222" s="75"/>
      <c r="S222" s="75"/>
      <c r="T222" s="75"/>
      <c r="U222" s="79"/>
    </row>
    <row r="223" spans="1:21" x14ac:dyDescent="0.25">
      <c r="A223" s="75">
        <f t="shared" si="29"/>
        <v>214</v>
      </c>
      <c r="B223" s="98">
        <v>46027</v>
      </c>
      <c r="C223" s="72">
        <v>9109899</v>
      </c>
      <c r="D223" s="73">
        <v>75214510</v>
      </c>
      <c r="E223" s="74">
        <v>62</v>
      </c>
      <c r="F223" s="75">
        <v>498.94</v>
      </c>
      <c r="G223" s="31">
        <f t="shared" si="27"/>
        <v>30934.28</v>
      </c>
      <c r="H223" s="76">
        <v>48581.26</v>
      </c>
      <c r="I223" s="113">
        <f t="shared" si="28"/>
        <v>3012038.12</v>
      </c>
      <c r="J223" s="114" t="s">
        <v>22</v>
      </c>
      <c r="K223" s="66" t="s">
        <v>38</v>
      </c>
      <c r="L223" s="146"/>
      <c r="M223" s="70"/>
      <c r="N223" s="75"/>
      <c r="O223" s="75"/>
      <c r="P223" s="75"/>
      <c r="Q223" s="75"/>
      <c r="R223" s="75"/>
      <c r="S223" s="75"/>
      <c r="T223" s="75"/>
      <c r="U223" s="79"/>
    </row>
    <row r="224" spans="1:21" ht="15.75" thickBot="1" x14ac:dyDescent="0.3">
      <c r="A224" s="105">
        <f t="shared" si="29"/>
        <v>215</v>
      </c>
      <c r="B224" s="135">
        <v>46027</v>
      </c>
      <c r="C224" s="102">
        <v>9109899</v>
      </c>
      <c r="D224" s="103">
        <v>76405497</v>
      </c>
      <c r="E224" s="104">
        <v>62.05</v>
      </c>
      <c r="F224" s="75">
        <v>498.94</v>
      </c>
      <c r="G224" s="31">
        <f t="shared" si="27"/>
        <v>30959.226999999999</v>
      </c>
      <c r="H224" s="76">
        <v>48581.26</v>
      </c>
      <c r="I224" s="113">
        <f t="shared" si="28"/>
        <v>3014467.1830000002</v>
      </c>
      <c r="J224" s="114" t="s">
        <v>22</v>
      </c>
      <c r="K224" s="66" t="s">
        <v>38</v>
      </c>
      <c r="L224" s="149"/>
      <c r="M224" s="80"/>
      <c r="N224" s="88"/>
      <c r="O224" s="88"/>
      <c r="P224" s="88"/>
      <c r="Q224" s="88"/>
      <c r="R224" s="88"/>
      <c r="S224" s="88"/>
      <c r="T224" s="88"/>
      <c r="U224" s="89"/>
    </row>
    <row r="225" spans="1:21" ht="15.75" thickBot="1" x14ac:dyDescent="0.3">
      <c r="A225" s="90"/>
      <c r="B225" s="91"/>
      <c r="C225" s="91"/>
      <c r="D225" s="91"/>
      <c r="E225" s="92"/>
      <c r="F225" s="93"/>
      <c r="G225" s="94"/>
      <c r="H225" s="93"/>
      <c r="I225" s="95"/>
      <c r="J225" s="91"/>
      <c r="K225" s="96"/>
      <c r="L225" s="97"/>
      <c r="M225" s="138"/>
      <c r="N225" s="91"/>
      <c r="O225" s="91"/>
      <c r="P225" s="91"/>
      <c r="Q225" s="91"/>
      <c r="R225" s="91"/>
      <c r="S225" s="91"/>
      <c r="T225" s="93"/>
      <c r="U225" s="96"/>
    </row>
    <row r="226" spans="1:21" x14ac:dyDescent="0.25">
      <c r="A226" s="207">
        <v>216</v>
      </c>
      <c r="B226" s="71">
        <v>46035</v>
      </c>
      <c r="C226" s="151">
        <v>8594861</v>
      </c>
      <c r="D226" s="211">
        <v>75264812</v>
      </c>
      <c r="E226" s="153">
        <v>61.45</v>
      </c>
      <c r="F226" s="140">
        <v>498.94</v>
      </c>
      <c r="G226" s="32">
        <f t="shared" ref="G226:G244" si="30">E226*F226</f>
        <v>30659.863000000001</v>
      </c>
      <c r="H226" s="190">
        <v>48581.26</v>
      </c>
      <c r="I226" s="77">
        <f t="shared" ref="I226:I244" si="31">E226*H226</f>
        <v>2985318.4270000001</v>
      </c>
      <c r="J226" s="212" t="s">
        <v>22</v>
      </c>
      <c r="K226" s="209" t="s">
        <v>38</v>
      </c>
      <c r="L226" s="143"/>
      <c r="M226" s="207"/>
      <c r="N226" s="140"/>
      <c r="O226" s="140"/>
      <c r="P226" s="140"/>
      <c r="Q226" s="140"/>
      <c r="R226" s="140"/>
      <c r="S226" s="140"/>
      <c r="T226" s="213"/>
      <c r="U226" s="210"/>
    </row>
    <row r="227" spans="1:21" x14ac:dyDescent="0.25">
      <c r="A227" s="70">
        <f>A226+1</f>
        <v>217</v>
      </c>
      <c r="B227" s="98">
        <v>46035</v>
      </c>
      <c r="C227" s="72">
        <v>8594860</v>
      </c>
      <c r="D227" s="214">
        <v>50417187</v>
      </c>
      <c r="E227" s="74">
        <v>60.6</v>
      </c>
      <c r="F227" s="75">
        <v>498.94</v>
      </c>
      <c r="G227" s="31">
        <f t="shared" si="30"/>
        <v>30235.763999999999</v>
      </c>
      <c r="H227" s="76">
        <v>48581.26</v>
      </c>
      <c r="I227" s="113">
        <f t="shared" si="31"/>
        <v>2944024.3560000001</v>
      </c>
      <c r="J227" s="114" t="s">
        <v>22</v>
      </c>
      <c r="K227" s="66" t="s">
        <v>38</v>
      </c>
      <c r="L227" s="146"/>
      <c r="M227" s="70"/>
      <c r="N227" s="75"/>
      <c r="O227" s="75"/>
      <c r="P227" s="75"/>
      <c r="Q227" s="75"/>
      <c r="R227" s="75"/>
      <c r="S227" s="75"/>
      <c r="T227" s="215"/>
      <c r="U227" s="79"/>
    </row>
    <row r="228" spans="1:21" x14ac:dyDescent="0.25">
      <c r="A228" s="70">
        <f t="shared" ref="A228:A244" si="32">A227+1</f>
        <v>218</v>
      </c>
      <c r="B228" s="98">
        <v>46035</v>
      </c>
      <c r="C228" s="72">
        <v>8594860</v>
      </c>
      <c r="D228" s="214">
        <v>54095682</v>
      </c>
      <c r="E228" s="74">
        <v>60.55</v>
      </c>
      <c r="F228" s="75">
        <v>498.94</v>
      </c>
      <c r="G228" s="31">
        <f t="shared" si="30"/>
        <v>30210.816999999999</v>
      </c>
      <c r="H228" s="76">
        <v>48581.26</v>
      </c>
      <c r="I228" s="113">
        <f t="shared" si="31"/>
        <v>2941595.2930000001</v>
      </c>
      <c r="J228" s="114" t="s">
        <v>22</v>
      </c>
      <c r="K228" s="66" t="s">
        <v>38</v>
      </c>
      <c r="L228" s="146"/>
      <c r="M228" s="70"/>
      <c r="N228" s="75"/>
      <c r="O228" s="75"/>
      <c r="P228" s="75"/>
      <c r="Q228" s="75"/>
      <c r="R228" s="75"/>
      <c r="S228" s="75"/>
      <c r="T228" s="215"/>
      <c r="U228" s="79"/>
    </row>
    <row r="229" spans="1:21" x14ac:dyDescent="0.25">
      <c r="A229" s="70">
        <f t="shared" si="32"/>
        <v>219</v>
      </c>
      <c r="B229" s="98">
        <v>46035</v>
      </c>
      <c r="C229" s="72">
        <v>8594860</v>
      </c>
      <c r="D229" s="214">
        <v>54596960</v>
      </c>
      <c r="E229" s="74">
        <v>60.65</v>
      </c>
      <c r="F229" s="75">
        <v>498.94</v>
      </c>
      <c r="G229" s="31">
        <f t="shared" si="30"/>
        <v>30260.710999999999</v>
      </c>
      <c r="H229" s="76">
        <v>48581.26</v>
      </c>
      <c r="I229" s="113">
        <f t="shared" si="31"/>
        <v>2946453.4190000002</v>
      </c>
      <c r="J229" s="114" t="s">
        <v>22</v>
      </c>
      <c r="K229" s="66" t="s">
        <v>38</v>
      </c>
      <c r="L229" s="146"/>
      <c r="M229" s="70"/>
      <c r="N229" s="75"/>
      <c r="O229" s="75"/>
      <c r="P229" s="75"/>
      <c r="Q229" s="75"/>
      <c r="R229" s="75"/>
      <c r="S229" s="75"/>
      <c r="T229" s="215"/>
      <c r="U229" s="79"/>
    </row>
    <row r="230" spans="1:21" x14ac:dyDescent="0.25">
      <c r="A230" s="70">
        <f t="shared" si="32"/>
        <v>220</v>
      </c>
      <c r="B230" s="98">
        <v>46035</v>
      </c>
      <c r="C230" s="72">
        <v>8594860</v>
      </c>
      <c r="D230" s="214">
        <v>55923213</v>
      </c>
      <c r="E230" s="74">
        <v>61.1</v>
      </c>
      <c r="F230" s="75">
        <v>498.94</v>
      </c>
      <c r="G230" s="31">
        <f t="shared" si="30"/>
        <v>30485.234</v>
      </c>
      <c r="H230" s="76">
        <v>48581.26</v>
      </c>
      <c r="I230" s="113">
        <f t="shared" si="31"/>
        <v>2968314.986</v>
      </c>
      <c r="J230" s="114" t="s">
        <v>22</v>
      </c>
      <c r="K230" s="66" t="s">
        <v>38</v>
      </c>
      <c r="L230" s="146"/>
      <c r="M230" s="70"/>
      <c r="N230" s="75"/>
      <c r="O230" s="75"/>
      <c r="P230" s="75"/>
      <c r="Q230" s="75"/>
      <c r="R230" s="75"/>
      <c r="S230" s="75"/>
      <c r="T230" s="215"/>
      <c r="U230" s="79"/>
    </row>
    <row r="231" spans="1:21" x14ac:dyDescent="0.25">
      <c r="A231" s="70">
        <f t="shared" si="32"/>
        <v>221</v>
      </c>
      <c r="B231" s="98">
        <v>46035</v>
      </c>
      <c r="C231" s="72">
        <v>8594860</v>
      </c>
      <c r="D231" s="214">
        <v>58344276</v>
      </c>
      <c r="E231" s="74">
        <v>60.65</v>
      </c>
      <c r="F231" s="75">
        <v>498.94</v>
      </c>
      <c r="G231" s="31">
        <f t="shared" si="30"/>
        <v>30260.710999999999</v>
      </c>
      <c r="H231" s="76">
        <v>48581.26</v>
      </c>
      <c r="I231" s="113">
        <f t="shared" si="31"/>
        <v>2946453.4190000002</v>
      </c>
      <c r="J231" s="114" t="s">
        <v>22</v>
      </c>
      <c r="K231" s="66" t="s">
        <v>38</v>
      </c>
      <c r="L231" s="146"/>
      <c r="M231" s="70"/>
      <c r="N231" s="75"/>
      <c r="O231" s="75"/>
      <c r="P231" s="75"/>
      <c r="Q231" s="75"/>
      <c r="R231" s="75"/>
      <c r="S231" s="75"/>
      <c r="T231" s="215"/>
      <c r="U231" s="79"/>
    </row>
    <row r="232" spans="1:21" x14ac:dyDescent="0.25">
      <c r="A232" s="70">
        <f t="shared" si="32"/>
        <v>222</v>
      </c>
      <c r="B232" s="98">
        <v>46035</v>
      </c>
      <c r="C232" s="72">
        <v>8594860</v>
      </c>
      <c r="D232" s="214">
        <v>73002438</v>
      </c>
      <c r="E232" s="74">
        <v>61.1</v>
      </c>
      <c r="F232" s="75">
        <v>498.94</v>
      </c>
      <c r="G232" s="31">
        <f t="shared" si="30"/>
        <v>30485.234</v>
      </c>
      <c r="H232" s="76">
        <v>48581.26</v>
      </c>
      <c r="I232" s="113">
        <f t="shared" si="31"/>
        <v>2968314.986</v>
      </c>
      <c r="J232" s="114" t="s">
        <v>22</v>
      </c>
      <c r="K232" s="66" t="s">
        <v>38</v>
      </c>
      <c r="L232" s="146"/>
      <c r="M232" s="70"/>
      <c r="N232" s="75"/>
      <c r="O232" s="75"/>
      <c r="P232" s="75"/>
      <c r="Q232" s="75"/>
      <c r="R232" s="75"/>
      <c r="S232" s="75"/>
      <c r="T232" s="215"/>
      <c r="U232" s="79"/>
    </row>
    <row r="233" spans="1:21" x14ac:dyDescent="0.25">
      <c r="A233" s="70">
        <f t="shared" si="32"/>
        <v>223</v>
      </c>
      <c r="B233" s="98">
        <v>46035</v>
      </c>
      <c r="C233" s="72">
        <v>8594860</v>
      </c>
      <c r="D233" s="214">
        <v>73119414</v>
      </c>
      <c r="E233" s="74">
        <v>61.1</v>
      </c>
      <c r="F233" s="75">
        <v>498.94</v>
      </c>
      <c r="G233" s="31">
        <f t="shared" si="30"/>
        <v>30485.234</v>
      </c>
      <c r="H233" s="76">
        <v>48581.26</v>
      </c>
      <c r="I233" s="113">
        <f t="shared" si="31"/>
        <v>2968314.986</v>
      </c>
      <c r="J233" s="114" t="s">
        <v>22</v>
      </c>
      <c r="K233" s="66" t="s">
        <v>38</v>
      </c>
      <c r="L233" s="146"/>
      <c r="M233" s="70"/>
      <c r="N233" s="75"/>
      <c r="O233" s="75"/>
      <c r="P233" s="75"/>
      <c r="Q233" s="75"/>
      <c r="R233" s="75"/>
      <c r="S233" s="75"/>
      <c r="T233" s="215"/>
      <c r="U233" s="79"/>
    </row>
    <row r="234" spans="1:21" x14ac:dyDescent="0.25">
      <c r="A234" s="70">
        <f t="shared" si="32"/>
        <v>224</v>
      </c>
      <c r="B234" s="98">
        <v>46035</v>
      </c>
      <c r="C234" s="72">
        <v>8594860</v>
      </c>
      <c r="D234" s="214">
        <v>73135667</v>
      </c>
      <c r="E234" s="74">
        <v>61.1</v>
      </c>
      <c r="F234" s="75">
        <v>498.94</v>
      </c>
      <c r="G234" s="31">
        <f t="shared" si="30"/>
        <v>30485.234</v>
      </c>
      <c r="H234" s="76">
        <v>48581.26</v>
      </c>
      <c r="I234" s="113">
        <f t="shared" si="31"/>
        <v>2968314.986</v>
      </c>
      <c r="J234" s="114" t="s">
        <v>22</v>
      </c>
      <c r="K234" s="66" t="s">
        <v>38</v>
      </c>
      <c r="L234" s="146"/>
      <c r="M234" s="70"/>
      <c r="N234" s="75"/>
      <c r="O234" s="75"/>
      <c r="P234" s="75"/>
      <c r="Q234" s="75"/>
      <c r="R234" s="75"/>
      <c r="S234" s="75"/>
      <c r="T234" s="215"/>
      <c r="U234" s="79"/>
    </row>
    <row r="235" spans="1:21" x14ac:dyDescent="0.25">
      <c r="A235" s="70">
        <f t="shared" si="32"/>
        <v>225</v>
      </c>
      <c r="B235" s="98">
        <v>46035</v>
      </c>
      <c r="C235" s="72">
        <v>8594860</v>
      </c>
      <c r="D235" s="214">
        <v>73162232</v>
      </c>
      <c r="E235" s="74">
        <v>61.15</v>
      </c>
      <c r="F235" s="75">
        <v>498.94</v>
      </c>
      <c r="G235" s="31">
        <f t="shared" si="30"/>
        <v>30510.181</v>
      </c>
      <c r="H235" s="76">
        <v>48581.26</v>
      </c>
      <c r="I235" s="113">
        <f t="shared" si="31"/>
        <v>2970744.0490000001</v>
      </c>
      <c r="J235" s="114" t="s">
        <v>22</v>
      </c>
      <c r="K235" s="66" t="s">
        <v>38</v>
      </c>
      <c r="L235" s="146"/>
      <c r="M235" s="70"/>
      <c r="N235" s="75"/>
      <c r="O235" s="75"/>
      <c r="P235" s="75"/>
      <c r="Q235" s="75"/>
      <c r="R235" s="75"/>
      <c r="S235" s="75"/>
      <c r="T235" s="215"/>
      <c r="U235" s="79"/>
    </row>
    <row r="236" spans="1:21" x14ac:dyDescent="0.25">
      <c r="A236" s="70">
        <f t="shared" si="32"/>
        <v>226</v>
      </c>
      <c r="B236" s="98">
        <v>46035</v>
      </c>
      <c r="C236" s="72">
        <v>8594860</v>
      </c>
      <c r="D236" s="214">
        <v>73177537</v>
      </c>
      <c r="E236" s="74">
        <v>61.1</v>
      </c>
      <c r="F236" s="75">
        <v>498.94</v>
      </c>
      <c r="G236" s="31">
        <f t="shared" si="30"/>
        <v>30485.234</v>
      </c>
      <c r="H236" s="76">
        <v>48581.26</v>
      </c>
      <c r="I236" s="113">
        <f t="shared" si="31"/>
        <v>2968314.986</v>
      </c>
      <c r="J236" s="114" t="s">
        <v>22</v>
      </c>
      <c r="K236" s="66" t="s">
        <v>38</v>
      </c>
      <c r="L236" s="146"/>
      <c r="M236" s="70"/>
      <c r="N236" s="75"/>
      <c r="O236" s="75"/>
      <c r="P236" s="75"/>
      <c r="Q236" s="75"/>
      <c r="R236" s="75"/>
      <c r="S236" s="75"/>
      <c r="T236" s="215"/>
      <c r="U236" s="79"/>
    </row>
    <row r="237" spans="1:21" x14ac:dyDescent="0.25">
      <c r="A237" s="70">
        <f t="shared" si="32"/>
        <v>227</v>
      </c>
      <c r="B237" s="98">
        <v>46035</v>
      </c>
      <c r="C237" s="72">
        <v>8594860</v>
      </c>
      <c r="D237" s="214">
        <v>73178303</v>
      </c>
      <c r="E237" s="74">
        <v>61.15</v>
      </c>
      <c r="F237" s="75">
        <v>498.94</v>
      </c>
      <c r="G237" s="31">
        <f t="shared" si="30"/>
        <v>30510.181</v>
      </c>
      <c r="H237" s="76">
        <v>48581.26</v>
      </c>
      <c r="I237" s="113">
        <f t="shared" si="31"/>
        <v>2970744.0490000001</v>
      </c>
      <c r="J237" s="114" t="s">
        <v>22</v>
      </c>
      <c r="K237" s="66" t="s">
        <v>38</v>
      </c>
      <c r="L237" s="146"/>
      <c r="M237" s="70"/>
      <c r="N237" s="75"/>
      <c r="O237" s="75"/>
      <c r="P237" s="75"/>
      <c r="Q237" s="75"/>
      <c r="R237" s="75"/>
      <c r="S237" s="75"/>
      <c r="T237" s="215"/>
      <c r="U237" s="79"/>
    </row>
    <row r="238" spans="1:21" x14ac:dyDescent="0.25">
      <c r="A238" s="70">
        <f t="shared" si="32"/>
        <v>228</v>
      </c>
      <c r="B238" s="98">
        <v>46035</v>
      </c>
      <c r="C238" s="72">
        <v>8594860</v>
      </c>
      <c r="D238" s="214">
        <v>73222150</v>
      </c>
      <c r="E238" s="74">
        <v>61.05</v>
      </c>
      <c r="F238" s="75">
        <v>498.94</v>
      </c>
      <c r="G238" s="31">
        <f t="shared" si="30"/>
        <v>30460.286999999997</v>
      </c>
      <c r="H238" s="76">
        <v>48581.26</v>
      </c>
      <c r="I238" s="113">
        <f t="shared" si="31"/>
        <v>2965885.923</v>
      </c>
      <c r="J238" s="114" t="s">
        <v>22</v>
      </c>
      <c r="K238" s="66" t="s">
        <v>38</v>
      </c>
      <c r="L238" s="146"/>
      <c r="M238" s="70"/>
      <c r="N238" s="75"/>
      <c r="O238" s="75"/>
      <c r="P238" s="75"/>
      <c r="Q238" s="75"/>
      <c r="R238" s="75"/>
      <c r="S238" s="75"/>
      <c r="T238" s="215"/>
      <c r="U238" s="79"/>
    </row>
    <row r="239" spans="1:21" x14ac:dyDescent="0.25">
      <c r="A239" s="70">
        <f t="shared" si="32"/>
        <v>229</v>
      </c>
      <c r="B239" s="98">
        <v>46035</v>
      </c>
      <c r="C239" s="72">
        <v>8594860</v>
      </c>
      <c r="D239" s="214">
        <v>73222622</v>
      </c>
      <c r="E239" s="74">
        <v>61.1</v>
      </c>
      <c r="F239" s="75">
        <v>498.94</v>
      </c>
      <c r="G239" s="31">
        <f t="shared" si="30"/>
        <v>30485.234</v>
      </c>
      <c r="H239" s="76">
        <v>48581.26</v>
      </c>
      <c r="I239" s="113">
        <f t="shared" si="31"/>
        <v>2968314.986</v>
      </c>
      <c r="J239" s="114" t="s">
        <v>22</v>
      </c>
      <c r="K239" s="66" t="s">
        <v>38</v>
      </c>
      <c r="L239" s="146"/>
      <c r="M239" s="70"/>
      <c r="N239" s="75"/>
      <c r="O239" s="75"/>
      <c r="P239" s="75"/>
      <c r="Q239" s="75"/>
      <c r="R239" s="75"/>
      <c r="S239" s="75"/>
      <c r="T239" s="215"/>
      <c r="U239" s="79"/>
    </row>
    <row r="240" spans="1:21" x14ac:dyDescent="0.25">
      <c r="A240" s="70">
        <f t="shared" si="32"/>
        <v>230</v>
      </c>
      <c r="B240" s="98">
        <v>46035</v>
      </c>
      <c r="C240" s="72">
        <v>8594860</v>
      </c>
      <c r="D240" s="214">
        <v>73224776</v>
      </c>
      <c r="E240" s="74">
        <v>61.15</v>
      </c>
      <c r="F240" s="75">
        <v>498.94</v>
      </c>
      <c r="G240" s="31">
        <f t="shared" si="30"/>
        <v>30510.181</v>
      </c>
      <c r="H240" s="76">
        <v>48581.26</v>
      </c>
      <c r="I240" s="113">
        <f t="shared" si="31"/>
        <v>2970744.0490000001</v>
      </c>
      <c r="J240" s="114" t="s">
        <v>22</v>
      </c>
      <c r="K240" s="66" t="s">
        <v>38</v>
      </c>
      <c r="L240" s="146"/>
      <c r="M240" s="70"/>
      <c r="N240" s="75"/>
      <c r="O240" s="75"/>
      <c r="P240" s="75"/>
      <c r="Q240" s="75"/>
      <c r="R240" s="75"/>
      <c r="S240" s="75"/>
      <c r="T240" s="215"/>
      <c r="U240" s="79"/>
    </row>
    <row r="241" spans="1:21" x14ac:dyDescent="0.25">
      <c r="A241" s="70">
        <f t="shared" si="32"/>
        <v>231</v>
      </c>
      <c r="B241" s="98">
        <v>46035</v>
      </c>
      <c r="C241" s="72">
        <v>8594860</v>
      </c>
      <c r="D241" s="214">
        <v>73228660</v>
      </c>
      <c r="E241" s="74">
        <v>61.2</v>
      </c>
      <c r="F241" s="75">
        <v>498.94</v>
      </c>
      <c r="G241" s="31">
        <f t="shared" si="30"/>
        <v>30535.128000000001</v>
      </c>
      <c r="H241" s="76">
        <v>48581.26</v>
      </c>
      <c r="I241" s="113">
        <f t="shared" si="31"/>
        <v>2973173.1120000002</v>
      </c>
      <c r="J241" s="114" t="s">
        <v>22</v>
      </c>
      <c r="K241" s="66" t="s">
        <v>38</v>
      </c>
      <c r="L241" s="146"/>
      <c r="M241" s="70"/>
      <c r="N241" s="75"/>
      <c r="O241" s="75"/>
      <c r="P241" s="75"/>
      <c r="Q241" s="75"/>
      <c r="R241" s="75"/>
      <c r="S241" s="75"/>
      <c r="T241" s="215"/>
      <c r="U241" s="79"/>
    </row>
    <row r="242" spans="1:21" x14ac:dyDescent="0.25">
      <c r="A242" s="70">
        <f t="shared" si="32"/>
        <v>232</v>
      </c>
      <c r="B242" s="98">
        <v>46035</v>
      </c>
      <c r="C242" s="72">
        <v>8594860</v>
      </c>
      <c r="D242" s="214">
        <v>73230070</v>
      </c>
      <c r="E242" s="74">
        <v>61.15</v>
      </c>
      <c r="F242" s="75">
        <v>498.94</v>
      </c>
      <c r="G242" s="31">
        <f t="shared" si="30"/>
        <v>30510.181</v>
      </c>
      <c r="H242" s="76">
        <v>48581.26</v>
      </c>
      <c r="I242" s="113">
        <f t="shared" si="31"/>
        <v>2970744.0490000001</v>
      </c>
      <c r="J242" s="114" t="s">
        <v>22</v>
      </c>
      <c r="K242" s="66" t="s">
        <v>38</v>
      </c>
      <c r="L242" s="146"/>
      <c r="M242" s="70"/>
      <c r="N242" s="75"/>
      <c r="O242" s="75"/>
      <c r="P242" s="75"/>
      <c r="Q242" s="75"/>
      <c r="R242" s="75"/>
      <c r="S242" s="75"/>
      <c r="T242" s="215"/>
      <c r="U242" s="79"/>
    </row>
    <row r="243" spans="1:21" x14ac:dyDescent="0.25">
      <c r="A243" s="70">
        <f t="shared" si="32"/>
        <v>233</v>
      </c>
      <c r="B243" s="98">
        <v>46035</v>
      </c>
      <c r="C243" s="72">
        <v>8594860</v>
      </c>
      <c r="D243" s="214">
        <v>75266080</v>
      </c>
      <c r="E243" s="74">
        <v>61.45</v>
      </c>
      <c r="F243" s="75">
        <v>498.94</v>
      </c>
      <c r="G243" s="31">
        <f t="shared" si="30"/>
        <v>30659.863000000001</v>
      </c>
      <c r="H243" s="76">
        <v>48581.26</v>
      </c>
      <c r="I243" s="113">
        <f t="shared" si="31"/>
        <v>2985318.4270000001</v>
      </c>
      <c r="J243" s="114" t="s">
        <v>22</v>
      </c>
      <c r="K243" s="66" t="s">
        <v>38</v>
      </c>
      <c r="L243" s="146"/>
      <c r="M243" s="70"/>
      <c r="N243" s="75"/>
      <c r="O243" s="75"/>
      <c r="P243" s="75"/>
      <c r="Q243" s="75"/>
      <c r="R243" s="75"/>
      <c r="S243" s="75"/>
      <c r="T243" s="215"/>
      <c r="U243" s="79"/>
    </row>
    <row r="244" spans="1:21" ht="15.75" thickBot="1" x14ac:dyDescent="0.3">
      <c r="A244" s="80">
        <f t="shared" si="32"/>
        <v>234</v>
      </c>
      <c r="B244" s="99">
        <v>46035</v>
      </c>
      <c r="C244" s="82">
        <v>8594860</v>
      </c>
      <c r="D244" s="216">
        <v>76409093</v>
      </c>
      <c r="E244" s="84">
        <v>61.5</v>
      </c>
      <c r="F244" s="75">
        <v>498.94</v>
      </c>
      <c r="G244" s="217">
        <f t="shared" si="30"/>
        <v>30684.81</v>
      </c>
      <c r="H244" s="85">
        <v>48581.26</v>
      </c>
      <c r="I244" s="218">
        <f t="shared" si="31"/>
        <v>2987747.49</v>
      </c>
      <c r="J244" s="219" t="s">
        <v>22</v>
      </c>
      <c r="K244" s="220" t="s">
        <v>38</v>
      </c>
      <c r="L244" s="221"/>
      <c r="M244" s="80"/>
      <c r="N244" s="88"/>
      <c r="O244" s="88"/>
      <c r="P244" s="88"/>
      <c r="Q244" s="88"/>
      <c r="R244" s="88"/>
      <c r="S244" s="88"/>
      <c r="T244" s="222"/>
      <c r="U244" s="89"/>
    </row>
    <row r="245" spans="1:21" ht="15.75" thickBot="1" x14ac:dyDescent="0.3">
      <c r="A245" s="223"/>
      <c r="B245" s="111"/>
      <c r="C245" s="111"/>
      <c r="D245" s="138"/>
      <c r="E245" s="92"/>
      <c r="F245" s="93"/>
      <c r="G245" s="94"/>
      <c r="H245" s="93"/>
      <c r="I245" s="95"/>
      <c r="J245" s="91"/>
      <c r="K245" s="150"/>
      <c r="L245" s="97"/>
      <c r="M245" s="138"/>
      <c r="N245" s="91"/>
      <c r="O245" s="91"/>
      <c r="P245" s="91"/>
      <c r="Q245" s="91"/>
      <c r="R245" s="91"/>
      <c r="S245" s="91"/>
      <c r="T245" s="93"/>
      <c r="U245" s="96"/>
    </row>
    <row r="246" spans="1:21" ht="15.75" thickBot="1" x14ac:dyDescent="0.3">
      <c r="A246" s="675"/>
      <c r="B246" s="676"/>
      <c r="C246" s="676"/>
      <c r="D246" s="677"/>
      <c r="E246" s="159"/>
      <c r="F246" s="160"/>
      <c r="G246" s="161"/>
      <c r="H246" s="160"/>
      <c r="I246" s="162"/>
      <c r="J246" s="160"/>
      <c r="K246" s="163"/>
      <c r="L246" s="121"/>
      <c r="M246" s="164"/>
      <c r="N246" s="160"/>
      <c r="O246" s="160"/>
      <c r="P246" s="160"/>
      <c r="Q246" s="160"/>
      <c r="R246" s="160"/>
      <c r="S246" s="165"/>
      <c r="T246" s="165"/>
      <c r="U246" s="166"/>
    </row>
    <row r="247" spans="1:21" ht="15.75" thickBot="1" x14ac:dyDescent="0.3">
      <c r="A247" s="661"/>
      <c r="B247" s="662"/>
      <c r="C247" s="662"/>
      <c r="D247" s="663"/>
      <c r="E247" s="167"/>
      <c r="F247" s="168"/>
      <c r="G247" s="169"/>
      <c r="H247" s="168"/>
      <c r="I247" s="170"/>
      <c r="J247" s="168"/>
      <c r="K247" s="171"/>
      <c r="L247" s="172"/>
      <c r="M247" s="173"/>
      <c r="N247" s="168"/>
      <c r="O247" s="168"/>
      <c r="P247" s="168"/>
      <c r="Q247" s="168"/>
      <c r="R247" s="168"/>
      <c r="S247" s="174"/>
      <c r="T247" s="175"/>
      <c r="U247" s="176"/>
    </row>
    <row r="249" spans="1:21" ht="15.75" thickBot="1" x14ac:dyDescent="0.3"/>
    <row r="250" spans="1:21" x14ac:dyDescent="0.25">
      <c r="B250" s="664" t="s">
        <v>24</v>
      </c>
      <c r="C250" s="665"/>
      <c r="D250" s="123"/>
      <c r="E250" s="124">
        <v>14170</v>
      </c>
    </row>
    <row r="251" spans="1:21" x14ac:dyDescent="0.25">
      <c r="B251" s="125" t="s">
        <v>25</v>
      </c>
      <c r="C251" s="126"/>
      <c r="D251" s="127"/>
      <c r="E251" s="128">
        <f>E208+E246</f>
        <v>0</v>
      </c>
    </row>
    <row r="252" spans="1:21" ht="15.75" thickBot="1" x14ac:dyDescent="0.3">
      <c r="B252" s="129" t="s">
        <v>26</v>
      </c>
      <c r="C252" s="130"/>
      <c r="D252" s="131"/>
      <c r="E252" s="132">
        <f>E250-E251</f>
        <v>14170</v>
      </c>
    </row>
  </sheetData>
  <autoFilter ref="A4:U219" xr:uid="{00000000-0009-0000-0000-000002000000}">
    <filterColumn colId="12" showButton="0"/>
    <filterColumn colId="13" showButton="0"/>
    <filterColumn colId="14" showButton="0"/>
  </autoFilter>
  <mergeCells count="8">
    <mergeCell ref="A247:D247"/>
    <mergeCell ref="B250:C250"/>
    <mergeCell ref="T1:U2"/>
    <mergeCell ref="A2:K2"/>
    <mergeCell ref="M4:P4"/>
    <mergeCell ref="A208:D208"/>
    <mergeCell ref="A246:D246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4"/>
  <sheetViews>
    <sheetView topLeftCell="A7" workbookViewId="0">
      <selection sqref="A1:K25"/>
    </sheetView>
  </sheetViews>
  <sheetFormatPr defaultColWidth="9.140625" defaultRowHeight="15" x14ac:dyDescent="0.25"/>
  <cols>
    <col min="1" max="1" width="6.140625" style="226" customWidth="1"/>
    <col min="2" max="2" width="11.85546875" style="226" customWidth="1"/>
    <col min="3" max="4" width="9.140625" style="226"/>
    <col min="5" max="5" width="11.28515625" style="226" customWidth="1"/>
    <col min="6" max="6" width="11.140625" style="226" customWidth="1"/>
    <col min="7" max="8" width="12.28515625" style="226" customWidth="1"/>
    <col min="9" max="9" width="17.140625" style="226" customWidth="1"/>
    <col min="10" max="10" width="14.85546875" style="226" customWidth="1"/>
    <col min="11" max="11" width="13.28515625" style="226" customWidth="1"/>
    <col min="12" max="12" width="1" style="226" customWidth="1"/>
    <col min="13" max="16" width="2.7109375" style="226" customWidth="1"/>
    <col min="17" max="17" width="9.140625" style="226"/>
    <col min="18" max="18" width="10.28515625" style="226" customWidth="1"/>
    <col min="19" max="16384" width="9.140625" style="226"/>
  </cols>
  <sheetData>
    <row r="1" spans="1:21" x14ac:dyDescent="0.25">
      <c r="A1" s="667" t="s">
        <v>11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224"/>
      <c r="M1" s="224"/>
      <c r="N1" s="224"/>
      <c r="O1" s="224"/>
      <c r="P1" s="224"/>
      <c r="T1" s="666" t="s">
        <v>29</v>
      </c>
      <c r="U1" s="666"/>
    </row>
    <row r="2" spans="1:21" x14ac:dyDescent="0.25">
      <c r="A2" s="667" t="s">
        <v>34</v>
      </c>
      <c r="B2" s="668"/>
      <c r="C2" s="668"/>
      <c r="D2" s="668"/>
      <c r="E2" s="668"/>
      <c r="F2" s="668"/>
      <c r="G2" s="668"/>
      <c r="H2" s="668"/>
      <c r="I2" s="668"/>
      <c r="J2" s="668"/>
      <c r="K2" s="668"/>
      <c r="L2" s="225"/>
      <c r="M2" s="225"/>
      <c r="N2" s="225"/>
      <c r="O2" s="225"/>
      <c r="P2" s="225"/>
      <c r="T2" s="666"/>
      <c r="U2" s="666"/>
    </row>
    <row r="3" spans="1:21" ht="15.75" thickBot="1" x14ac:dyDescent="0.3">
      <c r="F3" s="43" t="s">
        <v>35</v>
      </c>
      <c r="H3" s="44"/>
      <c r="I3" s="44"/>
      <c r="L3" s="28"/>
      <c r="M3" s="45"/>
      <c r="N3" s="45"/>
      <c r="O3" s="46"/>
      <c r="P3" s="46"/>
    </row>
    <row r="4" spans="1:21" ht="58.15" customHeight="1" thickBot="1" x14ac:dyDescent="0.3">
      <c r="A4" s="47" t="s">
        <v>12</v>
      </c>
      <c r="B4" s="48" t="s">
        <v>1</v>
      </c>
      <c r="C4" s="49" t="s">
        <v>8</v>
      </c>
      <c r="D4" s="48" t="s">
        <v>13</v>
      </c>
      <c r="E4" s="48" t="s">
        <v>14</v>
      </c>
      <c r="F4" s="50" t="s">
        <v>31</v>
      </c>
      <c r="G4" s="50" t="s">
        <v>9</v>
      </c>
      <c r="H4" s="51" t="s">
        <v>15</v>
      </c>
      <c r="I4" s="51" t="s">
        <v>9</v>
      </c>
      <c r="J4" s="48" t="s">
        <v>10</v>
      </c>
      <c r="K4" s="52" t="s">
        <v>16</v>
      </c>
      <c r="L4" s="53"/>
      <c r="M4" s="669" t="s">
        <v>28</v>
      </c>
      <c r="N4" s="670"/>
      <c r="O4" s="670"/>
      <c r="P4" s="671"/>
      <c r="Q4" s="54" t="s">
        <v>17</v>
      </c>
      <c r="R4" s="55" t="s">
        <v>18</v>
      </c>
      <c r="S4" s="55" t="s">
        <v>19</v>
      </c>
      <c r="T4" s="55" t="s">
        <v>20</v>
      </c>
      <c r="U4" s="56" t="s">
        <v>21</v>
      </c>
    </row>
    <row r="5" spans="1:21" ht="30" x14ac:dyDescent="0.25">
      <c r="A5" s="177">
        <v>1</v>
      </c>
      <c r="B5" s="178">
        <v>46031</v>
      </c>
      <c r="C5" s="179">
        <v>9983074</v>
      </c>
      <c r="D5" s="180">
        <v>50197284</v>
      </c>
      <c r="E5" s="181">
        <v>56.243000000000002</v>
      </c>
      <c r="F5" s="182">
        <f>[1]Platts2025!AH34-122.43</f>
        <v>512.33470588235286</v>
      </c>
      <c r="G5" s="29">
        <f>E5*F5</f>
        <v>28815.240862941173</v>
      </c>
      <c r="H5" s="183">
        <v>41508.94</v>
      </c>
      <c r="I5" s="184">
        <f>E5*H5</f>
        <v>2334587.3124200003</v>
      </c>
      <c r="J5" s="109" t="s">
        <v>22</v>
      </c>
      <c r="K5" s="185" t="s">
        <v>36</v>
      </c>
      <c r="M5" s="177"/>
      <c r="N5" s="186"/>
      <c r="O5" s="186"/>
      <c r="P5" s="187"/>
      <c r="Q5" s="177"/>
      <c r="R5" s="98">
        <v>46040</v>
      </c>
      <c r="S5" s="186">
        <v>56.646999999999998</v>
      </c>
      <c r="T5" s="133">
        <f>S5-E5</f>
        <v>0.40399999999999636</v>
      </c>
      <c r="U5" s="187"/>
    </row>
    <row r="6" spans="1:21" ht="30" x14ac:dyDescent="0.25">
      <c r="A6" s="75">
        <f>A5+1</f>
        <v>2</v>
      </c>
      <c r="B6" s="188">
        <v>46031</v>
      </c>
      <c r="C6" s="72">
        <v>9983074</v>
      </c>
      <c r="D6" s="73">
        <v>51147684</v>
      </c>
      <c r="E6" s="74">
        <v>57.545999999999999</v>
      </c>
      <c r="F6" s="33">
        <v>488.82</v>
      </c>
      <c r="G6" s="33">
        <f t="shared" ref="G6:G18" si="0">E6*F6</f>
        <v>28129.635719999998</v>
      </c>
      <c r="H6" s="76">
        <v>41508.94</v>
      </c>
      <c r="I6" s="108">
        <f t="shared" ref="I6:I18" si="1">E6*H6</f>
        <v>2388673.4612400001</v>
      </c>
      <c r="J6" s="109" t="s">
        <v>22</v>
      </c>
      <c r="K6" s="185" t="s">
        <v>36</v>
      </c>
      <c r="L6" s="146"/>
      <c r="M6" s="70"/>
      <c r="N6" s="75"/>
      <c r="O6" s="75"/>
      <c r="P6" s="79"/>
      <c r="Q6" s="70"/>
      <c r="R6" s="98">
        <v>46040</v>
      </c>
      <c r="S6" s="75">
        <v>57.753999999999998</v>
      </c>
      <c r="T6" s="133">
        <f>S6-E6</f>
        <v>0.20799999999999841</v>
      </c>
      <c r="U6" s="79"/>
    </row>
    <row r="7" spans="1:21" ht="30" x14ac:dyDescent="0.25">
      <c r="A7" s="75">
        <f t="shared" ref="A7:A18" si="2">A6+1</f>
        <v>3</v>
      </c>
      <c r="B7" s="98">
        <v>46031</v>
      </c>
      <c r="C7" s="72">
        <v>9983074</v>
      </c>
      <c r="D7" s="73">
        <v>51867471</v>
      </c>
      <c r="E7" s="74">
        <v>57.445</v>
      </c>
      <c r="F7" s="31">
        <v>488.82</v>
      </c>
      <c r="G7" s="31">
        <f t="shared" si="0"/>
        <v>28080.264899999998</v>
      </c>
      <c r="H7" s="76">
        <v>41508.94</v>
      </c>
      <c r="I7" s="113">
        <f t="shared" si="1"/>
        <v>2384481.0583000001</v>
      </c>
      <c r="J7" s="189" t="s">
        <v>22</v>
      </c>
      <c r="K7" s="185" t="s">
        <v>36</v>
      </c>
      <c r="L7" s="146"/>
      <c r="M7" s="70"/>
      <c r="N7" s="75"/>
      <c r="O7" s="75"/>
      <c r="P7" s="79"/>
      <c r="Q7" s="70"/>
      <c r="R7" s="98">
        <v>46040</v>
      </c>
      <c r="S7" s="133">
        <v>57.59</v>
      </c>
      <c r="T7" s="133">
        <f>S7-E7</f>
        <v>0.14500000000000313</v>
      </c>
      <c r="U7" s="79"/>
    </row>
    <row r="8" spans="1:21" ht="30" x14ac:dyDescent="0.25">
      <c r="A8" s="75">
        <f t="shared" si="2"/>
        <v>4</v>
      </c>
      <c r="B8" s="98">
        <v>46031</v>
      </c>
      <c r="C8" s="72">
        <v>9983074</v>
      </c>
      <c r="D8" s="73">
        <v>57190753</v>
      </c>
      <c r="E8" s="74">
        <v>58.948</v>
      </c>
      <c r="F8" s="31">
        <v>488.82</v>
      </c>
      <c r="G8" s="31">
        <f t="shared" si="0"/>
        <v>28814.961360000001</v>
      </c>
      <c r="H8" s="76">
        <v>41508.94</v>
      </c>
      <c r="I8" s="113">
        <f t="shared" si="1"/>
        <v>2446868.9951200001</v>
      </c>
      <c r="J8" s="189" t="s">
        <v>22</v>
      </c>
      <c r="K8" s="185" t="s">
        <v>36</v>
      </c>
      <c r="L8" s="146"/>
      <c r="M8" s="70"/>
      <c r="N8" s="75"/>
      <c r="O8" s="75"/>
      <c r="P8" s="79"/>
      <c r="Q8" s="70"/>
      <c r="R8" s="98">
        <v>46040</v>
      </c>
      <c r="S8" s="75">
        <v>58.134999999999998</v>
      </c>
      <c r="T8" s="133">
        <f t="shared" ref="T8:T16" si="3">S8-E8</f>
        <v>-0.81300000000000239</v>
      </c>
      <c r="U8" s="79"/>
    </row>
    <row r="9" spans="1:21" ht="30" x14ac:dyDescent="0.25">
      <c r="A9" s="75">
        <f t="shared" si="2"/>
        <v>5</v>
      </c>
      <c r="B9" s="98">
        <v>46031</v>
      </c>
      <c r="C9" s="72">
        <v>9983074</v>
      </c>
      <c r="D9" s="73">
        <v>73901266</v>
      </c>
      <c r="E9" s="74">
        <v>57.344999999999999</v>
      </c>
      <c r="F9" s="31">
        <v>488.82</v>
      </c>
      <c r="G9" s="31">
        <f t="shared" si="0"/>
        <v>28031.382900000001</v>
      </c>
      <c r="H9" s="76">
        <v>41508.94</v>
      </c>
      <c r="I9" s="113">
        <f t="shared" si="1"/>
        <v>2380330.1643000003</v>
      </c>
      <c r="J9" s="189" t="s">
        <v>22</v>
      </c>
      <c r="K9" s="185" t="s">
        <v>36</v>
      </c>
      <c r="L9" s="146"/>
      <c r="M9" s="70"/>
      <c r="N9" s="75"/>
      <c r="O9" s="75"/>
      <c r="P9" s="79"/>
      <c r="Q9" s="70"/>
      <c r="R9" s="98">
        <v>46040</v>
      </c>
      <c r="S9" s="75">
        <v>56.932000000000002</v>
      </c>
      <c r="T9" s="133">
        <f t="shared" si="3"/>
        <v>-0.4129999999999967</v>
      </c>
      <c r="U9" s="79"/>
    </row>
    <row r="10" spans="1:21" ht="30" x14ac:dyDescent="0.25">
      <c r="A10" s="75">
        <f t="shared" si="2"/>
        <v>6</v>
      </c>
      <c r="B10" s="98">
        <v>46031</v>
      </c>
      <c r="C10" s="72">
        <v>9983074</v>
      </c>
      <c r="D10" s="73">
        <v>75004127</v>
      </c>
      <c r="E10" s="74">
        <v>58.296999999999997</v>
      </c>
      <c r="F10" s="31">
        <v>488.82</v>
      </c>
      <c r="G10" s="31">
        <f t="shared" si="0"/>
        <v>28496.739539999999</v>
      </c>
      <c r="H10" s="76">
        <v>41508.94</v>
      </c>
      <c r="I10" s="113">
        <f t="shared" si="1"/>
        <v>2419846.6751799998</v>
      </c>
      <c r="J10" s="189" t="s">
        <v>22</v>
      </c>
      <c r="K10" s="185" t="s">
        <v>36</v>
      </c>
      <c r="L10" s="146"/>
      <c r="M10" s="70"/>
      <c r="N10" s="75"/>
      <c r="O10" s="75"/>
      <c r="P10" s="79"/>
      <c r="Q10" s="70"/>
      <c r="R10" s="98">
        <v>46040</v>
      </c>
      <c r="S10" s="75">
        <v>57.902000000000001</v>
      </c>
      <c r="T10" s="75">
        <f t="shared" si="3"/>
        <v>-0.39499999999999602</v>
      </c>
      <c r="U10" s="79"/>
    </row>
    <row r="11" spans="1:21" ht="30" x14ac:dyDescent="0.25">
      <c r="A11" s="75">
        <f t="shared" si="2"/>
        <v>7</v>
      </c>
      <c r="B11" s="98">
        <v>46031</v>
      </c>
      <c r="C11" s="72">
        <v>9983074</v>
      </c>
      <c r="D11" s="73">
        <v>75671792</v>
      </c>
      <c r="E11" s="74">
        <v>60.600999999999999</v>
      </c>
      <c r="F11" s="31">
        <v>488.82</v>
      </c>
      <c r="G11" s="31">
        <f t="shared" si="0"/>
        <v>29622.980820000001</v>
      </c>
      <c r="H11" s="76">
        <v>41508.94</v>
      </c>
      <c r="I11" s="113">
        <f t="shared" si="1"/>
        <v>2515483.2729400001</v>
      </c>
      <c r="J11" s="189" t="s">
        <v>22</v>
      </c>
      <c r="K11" s="185" t="s">
        <v>36</v>
      </c>
      <c r="L11" s="146"/>
      <c r="M11" s="70"/>
      <c r="N11" s="75"/>
      <c r="O11" s="75"/>
      <c r="P11" s="79"/>
      <c r="Q11" s="70"/>
      <c r="R11" s="98">
        <v>46040</v>
      </c>
      <c r="S11" s="75">
        <v>60.649000000000001</v>
      </c>
      <c r="T11" s="75">
        <f t="shared" si="3"/>
        <v>4.8000000000001819E-2</v>
      </c>
      <c r="U11" s="79"/>
    </row>
    <row r="12" spans="1:21" ht="30" x14ac:dyDescent="0.25">
      <c r="A12" s="75">
        <f t="shared" si="2"/>
        <v>8</v>
      </c>
      <c r="B12" s="98">
        <v>46031</v>
      </c>
      <c r="C12" s="72">
        <v>9983074</v>
      </c>
      <c r="D12" s="73">
        <v>75671990</v>
      </c>
      <c r="E12" s="74">
        <v>60</v>
      </c>
      <c r="F12" s="31">
        <v>488.82</v>
      </c>
      <c r="G12" s="31">
        <f t="shared" si="0"/>
        <v>29329.200000000001</v>
      </c>
      <c r="H12" s="76">
        <v>41508.94</v>
      </c>
      <c r="I12" s="113">
        <f t="shared" si="1"/>
        <v>2490536.4000000004</v>
      </c>
      <c r="J12" s="189" t="s">
        <v>22</v>
      </c>
      <c r="K12" s="185" t="s">
        <v>36</v>
      </c>
      <c r="L12" s="146"/>
      <c r="M12" s="70"/>
      <c r="N12" s="75"/>
      <c r="O12" s="75"/>
      <c r="P12" s="79"/>
      <c r="Q12" s="70"/>
      <c r="R12" s="98">
        <v>46040</v>
      </c>
      <c r="S12" s="75">
        <v>60.173999999999999</v>
      </c>
      <c r="T12" s="75">
        <f t="shared" si="3"/>
        <v>0.17399999999999949</v>
      </c>
      <c r="U12" s="79"/>
    </row>
    <row r="13" spans="1:21" ht="30" x14ac:dyDescent="0.25">
      <c r="A13" s="75">
        <f t="shared" si="2"/>
        <v>9</v>
      </c>
      <c r="B13" s="98">
        <v>46031</v>
      </c>
      <c r="C13" s="72">
        <v>9983074</v>
      </c>
      <c r="D13" s="73">
        <v>75672097</v>
      </c>
      <c r="E13" s="74">
        <v>60.600999999999999</v>
      </c>
      <c r="F13" s="31">
        <v>488.82</v>
      </c>
      <c r="G13" s="31">
        <f t="shared" si="0"/>
        <v>29622.980820000001</v>
      </c>
      <c r="H13" s="76">
        <v>41508.94</v>
      </c>
      <c r="I13" s="113">
        <f t="shared" si="1"/>
        <v>2515483.2729400001</v>
      </c>
      <c r="J13" s="189" t="s">
        <v>22</v>
      </c>
      <c r="K13" s="185" t="s">
        <v>36</v>
      </c>
      <c r="L13" s="146"/>
      <c r="M13" s="70"/>
      <c r="N13" s="75"/>
      <c r="O13" s="75"/>
      <c r="P13" s="79"/>
      <c r="Q13" s="70"/>
      <c r="R13" s="98">
        <v>46040</v>
      </c>
      <c r="S13" s="75">
        <v>60.747999999999998</v>
      </c>
      <c r="T13" s="75">
        <f t="shared" si="3"/>
        <v>0.14699999999999847</v>
      </c>
      <c r="U13" s="79"/>
    </row>
    <row r="14" spans="1:21" ht="30" x14ac:dyDescent="0.25">
      <c r="A14" s="75">
        <f t="shared" si="2"/>
        <v>10</v>
      </c>
      <c r="B14" s="98">
        <v>46031</v>
      </c>
      <c r="C14" s="72">
        <v>9983074</v>
      </c>
      <c r="D14" s="73">
        <v>75673293</v>
      </c>
      <c r="E14" s="74">
        <v>60.15</v>
      </c>
      <c r="F14" s="31">
        <v>488.82</v>
      </c>
      <c r="G14" s="31">
        <f t="shared" si="0"/>
        <v>29402.522999999997</v>
      </c>
      <c r="H14" s="76">
        <v>41508.94</v>
      </c>
      <c r="I14" s="113">
        <f t="shared" si="1"/>
        <v>2496762.7409999999</v>
      </c>
      <c r="J14" s="189" t="s">
        <v>22</v>
      </c>
      <c r="K14" s="185" t="s">
        <v>36</v>
      </c>
      <c r="L14" s="146"/>
      <c r="M14" s="70"/>
      <c r="N14" s="75"/>
      <c r="O14" s="75"/>
      <c r="P14" s="79"/>
      <c r="Q14" s="70"/>
      <c r="R14" s="98">
        <v>46040</v>
      </c>
      <c r="S14" s="75">
        <v>59.793999999999997</v>
      </c>
      <c r="T14" s="75">
        <f t="shared" si="3"/>
        <v>-0.35600000000000165</v>
      </c>
      <c r="U14" s="79"/>
    </row>
    <row r="15" spans="1:21" ht="30" x14ac:dyDescent="0.25">
      <c r="A15" s="75">
        <f t="shared" si="2"/>
        <v>11</v>
      </c>
      <c r="B15" s="98">
        <v>46031</v>
      </c>
      <c r="C15" s="72">
        <v>9983074</v>
      </c>
      <c r="D15" s="73">
        <v>75673491</v>
      </c>
      <c r="E15" s="74">
        <v>60.551000000000002</v>
      </c>
      <c r="F15" s="31">
        <v>488.82</v>
      </c>
      <c r="G15" s="31">
        <f t="shared" si="0"/>
        <v>29598.539820000002</v>
      </c>
      <c r="H15" s="76">
        <v>41508.94</v>
      </c>
      <c r="I15" s="113">
        <f t="shared" si="1"/>
        <v>2513407.8259400004</v>
      </c>
      <c r="J15" s="189" t="s">
        <v>22</v>
      </c>
      <c r="K15" s="185" t="s">
        <v>36</v>
      </c>
      <c r="L15" s="146"/>
      <c r="M15" s="70"/>
      <c r="N15" s="75"/>
      <c r="O15" s="75"/>
      <c r="P15" s="79"/>
      <c r="Q15" s="70"/>
      <c r="R15" s="98">
        <v>46040</v>
      </c>
      <c r="S15" s="75">
        <v>60.597000000000001</v>
      </c>
      <c r="T15" s="75">
        <f t="shared" si="3"/>
        <v>4.5999999999999375E-2</v>
      </c>
      <c r="U15" s="79"/>
    </row>
    <row r="16" spans="1:21" ht="30" x14ac:dyDescent="0.25">
      <c r="A16" s="75">
        <f t="shared" si="2"/>
        <v>12</v>
      </c>
      <c r="B16" s="98">
        <v>46031</v>
      </c>
      <c r="C16" s="72">
        <v>9983074</v>
      </c>
      <c r="D16" s="73">
        <v>75673590</v>
      </c>
      <c r="E16" s="74">
        <v>60.05</v>
      </c>
      <c r="F16" s="31">
        <v>488.82</v>
      </c>
      <c r="G16" s="31">
        <f t="shared" si="0"/>
        <v>29353.641</v>
      </c>
      <c r="H16" s="76">
        <v>41508.94</v>
      </c>
      <c r="I16" s="113">
        <f t="shared" si="1"/>
        <v>2492611.8470000001</v>
      </c>
      <c r="J16" s="189" t="s">
        <v>22</v>
      </c>
      <c r="K16" s="185" t="s">
        <v>36</v>
      </c>
      <c r="L16" s="146"/>
      <c r="M16" s="70"/>
      <c r="N16" s="75"/>
      <c r="O16" s="75"/>
      <c r="P16" s="79"/>
      <c r="Q16" s="70"/>
      <c r="R16" s="98">
        <v>46040</v>
      </c>
      <c r="S16" s="75">
        <v>60.261000000000003</v>
      </c>
      <c r="T16" s="75">
        <f t="shared" si="3"/>
        <v>0.21100000000000563</v>
      </c>
      <c r="U16" s="79"/>
    </row>
    <row r="17" spans="1:21" ht="30" x14ac:dyDescent="0.25">
      <c r="A17" s="75">
        <f t="shared" si="2"/>
        <v>13</v>
      </c>
      <c r="B17" s="98">
        <v>46031</v>
      </c>
      <c r="C17" s="72">
        <v>9983074</v>
      </c>
      <c r="D17" s="73">
        <v>75674390</v>
      </c>
      <c r="E17" s="74">
        <v>58.146999999999998</v>
      </c>
      <c r="F17" s="31">
        <v>488.82</v>
      </c>
      <c r="G17" s="31">
        <f t="shared" si="0"/>
        <v>28423.416539999998</v>
      </c>
      <c r="H17" s="76">
        <v>41508.94</v>
      </c>
      <c r="I17" s="113">
        <f t="shared" si="1"/>
        <v>2413620.3341800002</v>
      </c>
      <c r="J17" s="189" t="s">
        <v>22</v>
      </c>
      <c r="K17" s="185" t="s">
        <v>36</v>
      </c>
      <c r="L17" s="146"/>
      <c r="M17" s="70"/>
      <c r="N17" s="75"/>
      <c r="O17" s="75"/>
      <c r="P17" s="79"/>
      <c r="Q17" s="70"/>
      <c r="R17" s="75"/>
      <c r="S17" s="75"/>
      <c r="T17" s="75"/>
      <c r="U17" s="79"/>
    </row>
    <row r="18" spans="1:21" ht="30.75" thickBot="1" x14ac:dyDescent="0.3">
      <c r="A18" s="75">
        <f t="shared" si="2"/>
        <v>14</v>
      </c>
      <c r="B18" s="188">
        <v>46031</v>
      </c>
      <c r="C18" s="102">
        <v>9983074</v>
      </c>
      <c r="D18" s="103">
        <v>75675298</v>
      </c>
      <c r="E18" s="104">
        <v>58.247</v>
      </c>
      <c r="F18" s="33">
        <v>488.82</v>
      </c>
      <c r="G18" s="33">
        <f t="shared" si="0"/>
        <v>28472.29854</v>
      </c>
      <c r="H18" s="190">
        <v>41508.94</v>
      </c>
      <c r="I18" s="108">
        <f t="shared" si="1"/>
        <v>2417771.2281800001</v>
      </c>
      <c r="J18" s="109" t="s">
        <v>22</v>
      </c>
      <c r="K18" s="185" t="s">
        <v>36</v>
      </c>
      <c r="L18" s="149"/>
      <c r="M18" s="80"/>
      <c r="N18" s="88"/>
      <c r="O18" s="88"/>
      <c r="P18" s="89"/>
      <c r="Q18" s="80"/>
      <c r="R18" s="88"/>
      <c r="S18" s="88"/>
      <c r="T18" s="88"/>
      <c r="U18" s="89"/>
    </row>
    <row r="19" spans="1:21" ht="15.75" thickBot="1" x14ac:dyDescent="0.3">
      <c r="A19" s="191"/>
      <c r="B19" s="192"/>
      <c r="C19" s="192"/>
      <c r="D19" s="192"/>
      <c r="E19" s="193">
        <f>SUM(E5:E18)</f>
        <v>824.17100000000005</v>
      </c>
      <c r="F19" s="192"/>
      <c r="G19" s="194">
        <f>SUM(G5:G18)</f>
        <v>404193.80582294118</v>
      </c>
      <c r="H19" s="195"/>
      <c r="I19" s="196">
        <f>SUM(I5:I18)</f>
        <v>34210464.588740006</v>
      </c>
      <c r="J19" s="192"/>
      <c r="K19" s="197"/>
      <c r="L19" s="198"/>
      <c r="M19" s="191"/>
      <c r="N19" s="192"/>
      <c r="O19" s="192"/>
      <c r="P19" s="199"/>
      <c r="Q19" s="200"/>
      <c r="R19" s="192"/>
      <c r="S19" s="195">
        <f>SUM(S5:S18)</f>
        <v>707.18299999999988</v>
      </c>
      <c r="T19" s="193">
        <f>SUM(T5:T18)</f>
        <v>-0.59399999999999409</v>
      </c>
      <c r="U19" s="199"/>
    </row>
    <row r="20" spans="1:21" ht="15.75" thickBot="1" x14ac:dyDescent="0.3">
      <c r="A20" s="201"/>
      <c r="B20" s="115"/>
      <c r="C20" s="115"/>
      <c r="D20" s="115"/>
      <c r="E20" s="158">
        <f>E19</f>
        <v>824.17100000000005</v>
      </c>
      <c r="F20" s="115"/>
      <c r="G20" s="118">
        <f>G19</f>
        <v>404193.80582294118</v>
      </c>
      <c r="H20" s="117"/>
      <c r="I20" s="119">
        <f>I19</f>
        <v>34210464.588740006</v>
      </c>
      <c r="J20" s="115"/>
      <c r="K20" s="202"/>
      <c r="L20" s="203"/>
      <c r="M20" s="201"/>
      <c r="N20" s="115"/>
      <c r="O20" s="115"/>
      <c r="P20" s="120"/>
      <c r="Q20" s="122"/>
      <c r="R20" s="115"/>
      <c r="S20" s="117">
        <f>S19</f>
        <v>707.18299999999988</v>
      </c>
      <c r="T20" s="158">
        <f>T19</f>
        <v>-0.59399999999999409</v>
      </c>
      <c r="U20" s="120"/>
    </row>
    <row r="21" spans="1:21" ht="15.75" thickBot="1" x14ac:dyDescent="0.3"/>
    <row r="22" spans="1:21" x14ac:dyDescent="0.25">
      <c r="B22" s="664" t="s">
        <v>24</v>
      </c>
      <c r="C22" s="665"/>
      <c r="D22" s="123"/>
      <c r="E22" s="204">
        <v>830</v>
      </c>
    </row>
    <row r="23" spans="1:21" x14ac:dyDescent="0.25">
      <c r="B23" s="125" t="s">
        <v>25</v>
      </c>
      <c r="C23" s="126"/>
      <c r="D23" s="127"/>
      <c r="E23" s="205">
        <f>E20</f>
        <v>824.17100000000005</v>
      </c>
    </row>
    <row r="24" spans="1:21" ht="15.75" thickBot="1" x14ac:dyDescent="0.3">
      <c r="B24" s="129" t="s">
        <v>26</v>
      </c>
      <c r="C24" s="130"/>
      <c r="D24" s="131"/>
      <c r="E24" s="206">
        <f>E22-E23</f>
        <v>5.8289999999999509</v>
      </c>
      <c r="G24" s="226">
        <v>78.394100000000009</v>
      </c>
    </row>
  </sheetData>
  <mergeCells count="5">
    <mergeCell ref="A1:K1"/>
    <mergeCell ref="T1:U2"/>
    <mergeCell ref="A2:K2"/>
    <mergeCell ref="M4:P4"/>
    <mergeCell ref="B22:C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78"/>
  <sheetViews>
    <sheetView topLeftCell="A257" workbookViewId="0">
      <selection sqref="A1:K281"/>
    </sheetView>
  </sheetViews>
  <sheetFormatPr defaultColWidth="11.5703125" defaultRowHeight="15" x14ac:dyDescent="0.25"/>
  <cols>
    <col min="1" max="1" width="7.7109375" style="226" customWidth="1"/>
    <col min="2" max="4" width="11.7109375" style="226" bestFit="1" customWidth="1"/>
    <col min="5" max="5" width="11.85546875" style="226" bestFit="1" customWidth="1"/>
    <col min="6" max="6" width="11.7109375" style="226" bestFit="1" customWidth="1"/>
    <col min="7" max="7" width="15.28515625" style="226" customWidth="1"/>
    <col min="8" max="8" width="11.7109375" style="226" bestFit="1" customWidth="1"/>
    <col min="9" max="9" width="17.85546875" style="226" customWidth="1"/>
    <col min="10" max="10" width="16.85546875" style="226" customWidth="1"/>
    <col min="11" max="11" width="11.5703125" style="226"/>
    <col min="12" max="12" width="0.85546875" style="226" customWidth="1"/>
    <col min="13" max="16" width="2.85546875" style="226" customWidth="1"/>
    <col min="17" max="18" width="8" style="226" customWidth="1"/>
    <col min="19" max="19" width="8.85546875" style="226" customWidth="1"/>
    <col min="20" max="20" width="11" style="226" customWidth="1"/>
    <col min="21" max="21" width="9.42578125" style="226" customWidth="1"/>
    <col min="22" max="22" width="11.5703125" style="226"/>
    <col min="23" max="23" width="11.7109375" style="226" bestFit="1" customWidth="1"/>
    <col min="24" max="16384" width="11.5703125" style="226"/>
  </cols>
  <sheetData>
    <row r="1" spans="1:23" ht="13.9" customHeight="1" x14ac:dyDescent="0.25">
      <c r="A1" s="667" t="s">
        <v>11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224"/>
      <c r="M1" s="224"/>
      <c r="N1" s="224"/>
      <c r="O1" s="224"/>
      <c r="P1" s="224"/>
      <c r="T1" s="666" t="s">
        <v>29</v>
      </c>
      <c r="U1" s="666"/>
    </row>
    <row r="2" spans="1:23" ht="13.9" customHeight="1" x14ac:dyDescent="0.25">
      <c r="A2" s="667" t="s">
        <v>40</v>
      </c>
      <c r="B2" s="668"/>
      <c r="C2" s="668"/>
      <c r="D2" s="668"/>
      <c r="E2" s="668"/>
      <c r="F2" s="668"/>
      <c r="G2" s="668"/>
      <c r="H2" s="668"/>
      <c r="I2" s="668"/>
      <c r="J2" s="668"/>
      <c r="K2" s="668"/>
      <c r="L2" s="225"/>
      <c r="M2" s="225"/>
      <c r="N2" s="225"/>
      <c r="O2" s="225"/>
      <c r="P2" s="225"/>
      <c r="T2" s="666"/>
      <c r="U2" s="666"/>
    </row>
    <row r="3" spans="1:23" ht="15.75" thickBot="1" x14ac:dyDescent="0.3">
      <c r="F3" s="43" t="s">
        <v>41</v>
      </c>
      <c r="H3" s="44"/>
      <c r="I3" s="44"/>
      <c r="L3" s="28"/>
      <c r="M3" s="45"/>
      <c r="N3" s="45"/>
      <c r="O3" s="46"/>
      <c r="P3" s="46"/>
      <c r="W3" s="226">
        <v>46076.86</v>
      </c>
    </row>
    <row r="4" spans="1:23" ht="58.15" customHeight="1" thickBot="1" x14ac:dyDescent="0.3">
      <c r="A4" s="47" t="s">
        <v>12</v>
      </c>
      <c r="B4" s="48" t="s">
        <v>1</v>
      </c>
      <c r="C4" s="49" t="s">
        <v>8</v>
      </c>
      <c r="D4" s="48" t="s">
        <v>13</v>
      </c>
      <c r="E4" s="48" t="s">
        <v>14</v>
      </c>
      <c r="F4" s="50" t="s">
        <v>42</v>
      </c>
      <c r="G4" s="50" t="s">
        <v>9</v>
      </c>
      <c r="H4" s="51" t="s">
        <v>15</v>
      </c>
      <c r="I4" s="51" t="s">
        <v>9</v>
      </c>
      <c r="J4" s="48" t="s">
        <v>10</v>
      </c>
      <c r="K4" s="52" t="s">
        <v>16</v>
      </c>
      <c r="L4" s="53"/>
      <c r="M4" s="669" t="s">
        <v>28</v>
      </c>
      <c r="N4" s="670"/>
      <c r="O4" s="670"/>
      <c r="P4" s="671"/>
      <c r="Q4" s="54" t="s">
        <v>17</v>
      </c>
      <c r="R4" s="55" t="s">
        <v>18</v>
      </c>
      <c r="S4" s="55" t="s">
        <v>19</v>
      </c>
      <c r="T4" s="55" t="s">
        <v>20</v>
      </c>
      <c r="U4" s="56" t="s">
        <v>21</v>
      </c>
    </row>
    <row r="5" spans="1:23" ht="15.75" customHeight="1" x14ac:dyDescent="0.25">
      <c r="A5" s="140">
        <v>1</v>
      </c>
      <c r="B5" s="71">
        <v>46045</v>
      </c>
      <c r="C5" s="151">
        <v>8610245</v>
      </c>
      <c r="D5" s="152">
        <v>50220904</v>
      </c>
      <c r="E5" s="153">
        <v>61</v>
      </c>
      <c r="F5" s="32">
        <f>'[2]Platt''s 2026'!B34-121.57</f>
        <v>520.11181818181808</v>
      </c>
      <c r="G5" s="228">
        <f>E5*F5</f>
        <v>31726.820909090904</v>
      </c>
      <c r="H5" s="229">
        <v>46076.86</v>
      </c>
      <c r="I5" s="35">
        <f>E5*H5</f>
        <v>2810688.46</v>
      </c>
      <c r="J5" s="189" t="s">
        <v>22</v>
      </c>
      <c r="K5" s="66" t="s">
        <v>38</v>
      </c>
      <c r="L5" s="230"/>
      <c r="M5" s="57"/>
      <c r="N5" s="68"/>
      <c r="O5" s="68"/>
      <c r="P5" s="69"/>
      <c r="Q5" s="57"/>
      <c r="R5" s="68"/>
      <c r="S5" s="68"/>
      <c r="T5" s="68"/>
      <c r="U5" s="69"/>
    </row>
    <row r="6" spans="1:23" ht="15.75" customHeight="1" x14ac:dyDescent="0.25">
      <c r="A6" s="75">
        <f>A5+1</f>
        <v>2</v>
      </c>
      <c r="B6" s="98">
        <v>46045</v>
      </c>
      <c r="C6" s="72">
        <v>8610246</v>
      </c>
      <c r="D6" s="73">
        <v>50413400</v>
      </c>
      <c r="E6" s="74">
        <v>60.95</v>
      </c>
      <c r="F6" s="31">
        <v>520.11</v>
      </c>
      <c r="G6" s="228">
        <f t="shared" ref="G6:G34" si="0">E6*F6</f>
        <v>31700.704500000003</v>
      </c>
      <c r="H6" s="229">
        <v>46076.86</v>
      </c>
      <c r="I6" s="35">
        <f t="shared" ref="I6:I34" si="1">E6*H6</f>
        <v>2808384.6170000001</v>
      </c>
      <c r="J6" s="189" t="s">
        <v>22</v>
      </c>
      <c r="K6" s="66" t="s">
        <v>38</v>
      </c>
      <c r="L6" s="231"/>
      <c r="M6" s="70"/>
      <c r="N6" s="75"/>
      <c r="O6" s="75"/>
      <c r="P6" s="79"/>
      <c r="Q6" s="70"/>
      <c r="R6" s="98">
        <v>46054</v>
      </c>
      <c r="S6" s="75">
        <v>60.851999999999997</v>
      </c>
      <c r="T6" s="133">
        <f>S6-E6</f>
        <v>-9.8000000000006082E-2</v>
      </c>
      <c r="U6" s="79"/>
    </row>
    <row r="7" spans="1:23" ht="15.75" customHeight="1" x14ac:dyDescent="0.25">
      <c r="A7" s="75">
        <f t="shared" ref="A7:A34" si="2">A6+1</f>
        <v>3</v>
      </c>
      <c r="B7" s="98">
        <v>46045</v>
      </c>
      <c r="C7" s="72">
        <v>8610246</v>
      </c>
      <c r="D7" s="73">
        <v>51833374</v>
      </c>
      <c r="E7" s="74">
        <v>61.1</v>
      </c>
      <c r="F7" s="31">
        <v>520.11</v>
      </c>
      <c r="G7" s="228">
        <f t="shared" si="0"/>
        <v>31778.721000000001</v>
      </c>
      <c r="H7" s="229">
        <v>46076.86</v>
      </c>
      <c r="I7" s="35">
        <f t="shared" si="1"/>
        <v>2815296.1460000002</v>
      </c>
      <c r="J7" s="189" t="s">
        <v>22</v>
      </c>
      <c r="K7" s="66" t="s">
        <v>38</v>
      </c>
      <c r="L7" s="231"/>
      <c r="M7" s="70"/>
      <c r="N7" s="75"/>
      <c r="O7" s="75"/>
      <c r="P7" s="79"/>
      <c r="Q7" s="70"/>
      <c r="R7" s="98">
        <v>46054</v>
      </c>
      <c r="S7" s="75">
        <v>60.874000000000002</v>
      </c>
      <c r="T7" s="133">
        <f>S7-E7</f>
        <v>-0.22599999999999909</v>
      </c>
      <c r="U7" s="79"/>
    </row>
    <row r="8" spans="1:23" ht="15.75" customHeight="1" x14ac:dyDescent="0.25">
      <c r="A8" s="75">
        <f t="shared" si="2"/>
        <v>4</v>
      </c>
      <c r="B8" s="98">
        <v>46045</v>
      </c>
      <c r="C8" s="72">
        <v>8610245</v>
      </c>
      <c r="D8" s="73">
        <v>54026836</v>
      </c>
      <c r="E8" s="74">
        <v>60.95</v>
      </c>
      <c r="F8" s="31">
        <v>520.11</v>
      </c>
      <c r="G8" s="228">
        <f t="shared" si="0"/>
        <v>31700.704500000003</v>
      </c>
      <c r="H8" s="229">
        <v>46076.86</v>
      </c>
      <c r="I8" s="35">
        <f t="shared" si="1"/>
        <v>2808384.6170000001</v>
      </c>
      <c r="J8" s="189" t="s">
        <v>22</v>
      </c>
      <c r="K8" s="66" t="s">
        <v>38</v>
      </c>
      <c r="L8" s="231"/>
      <c r="M8" s="70"/>
      <c r="N8" s="75"/>
      <c r="O8" s="75"/>
      <c r="P8" s="79"/>
      <c r="Q8" s="70"/>
      <c r="R8" s="75"/>
      <c r="S8" s="75"/>
      <c r="T8" s="75"/>
      <c r="U8" s="79"/>
    </row>
    <row r="9" spans="1:23" ht="15.75" customHeight="1" x14ac:dyDescent="0.25">
      <c r="A9" s="75">
        <f t="shared" si="2"/>
        <v>5</v>
      </c>
      <c r="B9" s="98">
        <v>46045</v>
      </c>
      <c r="C9" s="72">
        <v>8610245</v>
      </c>
      <c r="D9" s="73">
        <v>54721329</v>
      </c>
      <c r="E9" s="74">
        <v>61.2</v>
      </c>
      <c r="F9" s="31">
        <v>520.11</v>
      </c>
      <c r="G9" s="228">
        <f t="shared" si="0"/>
        <v>31830.732000000004</v>
      </c>
      <c r="H9" s="229">
        <v>46076.86</v>
      </c>
      <c r="I9" s="35">
        <f t="shared" si="1"/>
        <v>2819903.8319999999</v>
      </c>
      <c r="J9" s="189" t="s">
        <v>22</v>
      </c>
      <c r="K9" s="66" t="s">
        <v>38</v>
      </c>
      <c r="L9" s="231"/>
      <c r="M9" s="70"/>
      <c r="N9" s="75"/>
      <c r="O9" s="75"/>
      <c r="P9" s="79"/>
      <c r="Q9" s="70"/>
      <c r="R9" s="75"/>
      <c r="S9" s="75"/>
      <c r="T9" s="75"/>
      <c r="U9" s="79"/>
    </row>
    <row r="10" spans="1:23" ht="15.75" customHeight="1" x14ac:dyDescent="0.25">
      <c r="A10" s="75">
        <f t="shared" si="2"/>
        <v>6</v>
      </c>
      <c r="B10" s="98">
        <v>46045</v>
      </c>
      <c r="C10" s="72">
        <v>8610246</v>
      </c>
      <c r="D10" s="73">
        <v>57429383</v>
      </c>
      <c r="E10" s="74">
        <v>60.9</v>
      </c>
      <c r="F10" s="31">
        <v>520.11</v>
      </c>
      <c r="G10" s="228">
        <f t="shared" si="0"/>
        <v>31674.699000000001</v>
      </c>
      <c r="H10" s="229">
        <v>46076.86</v>
      </c>
      <c r="I10" s="35">
        <f t="shared" si="1"/>
        <v>2806080.7739999997</v>
      </c>
      <c r="J10" s="189" t="s">
        <v>22</v>
      </c>
      <c r="K10" s="66" t="s">
        <v>38</v>
      </c>
      <c r="L10" s="231"/>
      <c r="M10" s="70"/>
      <c r="N10" s="75"/>
      <c r="O10" s="75"/>
      <c r="P10" s="79"/>
      <c r="Q10" s="70"/>
      <c r="R10" s="98">
        <v>46054</v>
      </c>
      <c r="S10" s="75">
        <v>60.859000000000002</v>
      </c>
      <c r="T10" s="133">
        <f>S10-E10</f>
        <v>-4.0999999999996817E-2</v>
      </c>
      <c r="U10" s="79"/>
    </row>
    <row r="11" spans="1:23" ht="15.75" customHeight="1" x14ac:dyDescent="0.25">
      <c r="A11" s="75">
        <f t="shared" si="2"/>
        <v>7</v>
      </c>
      <c r="B11" s="98">
        <v>46045</v>
      </c>
      <c r="C11" s="72">
        <v>8610245</v>
      </c>
      <c r="D11" s="73">
        <v>57434193</v>
      </c>
      <c r="E11" s="74">
        <v>60.95</v>
      </c>
      <c r="F11" s="31">
        <v>520.11</v>
      </c>
      <c r="G11" s="228">
        <f t="shared" si="0"/>
        <v>31700.704500000003</v>
      </c>
      <c r="H11" s="229">
        <v>46076.86</v>
      </c>
      <c r="I11" s="35">
        <f t="shared" si="1"/>
        <v>2808384.6170000001</v>
      </c>
      <c r="J11" s="189" t="s">
        <v>22</v>
      </c>
      <c r="K11" s="66" t="s">
        <v>38</v>
      </c>
      <c r="L11" s="231"/>
      <c r="M11" s="70"/>
      <c r="N11" s="75"/>
      <c r="O11" s="75"/>
      <c r="P11" s="79"/>
      <c r="Q11" s="70"/>
      <c r="R11" s="75"/>
      <c r="S11" s="75"/>
      <c r="T11" s="75"/>
      <c r="U11" s="79"/>
    </row>
    <row r="12" spans="1:23" ht="15.75" customHeight="1" x14ac:dyDescent="0.25">
      <c r="A12" s="75">
        <f t="shared" si="2"/>
        <v>8</v>
      </c>
      <c r="B12" s="98">
        <v>46045</v>
      </c>
      <c r="C12" s="72">
        <v>8610245</v>
      </c>
      <c r="D12" s="73">
        <v>73021644</v>
      </c>
      <c r="E12" s="74">
        <v>61.5</v>
      </c>
      <c r="F12" s="31">
        <v>520.11</v>
      </c>
      <c r="G12" s="228">
        <f t="shared" si="0"/>
        <v>31986.764999999999</v>
      </c>
      <c r="H12" s="229">
        <v>46076.86</v>
      </c>
      <c r="I12" s="35">
        <f t="shared" si="1"/>
        <v>2833726.89</v>
      </c>
      <c r="J12" s="189" t="s">
        <v>22</v>
      </c>
      <c r="K12" s="66" t="s">
        <v>38</v>
      </c>
      <c r="L12" s="231"/>
      <c r="M12" s="70"/>
      <c r="N12" s="75"/>
      <c r="O12" s="75"/>
      <c r="P12" s="79"/>
      <c r="Q12" s="70"/>
      <c r="R12" s="75"/>
      <c r="S12" s="75"/>
      <c r="T12" s="75"/>
      <c r="U12" s="79"/>
    </row>
    <row r="13" spans="1:23" ht="15.75" customHeight="1" x14ac:dyDescent="0.25">
      <c r="A13" s="75">
        <f t="shared" si="2"/>
        <v>9</v>
      </c>
      <c r="B13" s="98">
        <v>46045</v>
      </c>
      <c r="C13" s="72">
        <v>8610245</v>
      </c>
      <c r="D13" s="73">
        <v>73049454</v>
      </c>
      <c r="E13" s="74">
        <v>61.5</v>
      </c>
      <c r="F13" s="31">
        <v>520.11</v>
      </c>
      <c r="G13" s="228">
        <f t="shared" si="0"/>
        <v>31986.764999999999</v>
      </c>
      <c r="H13" s="229">
        <v>46076.86</v>
      </c>
      <c r="I13" s="35">
        <f t="shared" si="1"/>
        <v>2833726.89</v>
      </c>
      <c r="J13" s="189" t="s">
        <v>22</v>
      </c>
      <c r="K13" s="66" t="s">
        <v>38</v>
      </c>
      <c r="L13" s="231"/>
      <c r="M13" s="70"/>
      <c r="N13" s="75"/>
      <c r="O13" s="75"/>
      <c r="P13" s="79"/>
      <c r="Q13" s="70"/>
      <c r="R13" s="75"/>
      <c r="S13" s="75"/>
      <c r="T13" s="75"/>
      <c r="U13" s="79"/>
    </row>
    <row r="14" spans="1:23" ht="15.75" customHeight="1" x14ac:dyDescent="0.25">
      <c r="A14" s="75">
        <f t="shared" si="2"/>
        <v>10</v>
      </c>
      <c r="B14" s="98">
        <v>46045</v>
      </c>
      <c r="C14" s="72">
        <v>8610245</v>
      </c>
      <c r="D14" s="73">
        <v>73062325</v>
      </c>
      <c r="E14" s="74">
        <v>61.55</v>
      </c>
      <c r="F14" s="31">
        <v>520.11</v>
      </c>
      <c r="G14" s="228">
        <f t="shared" si="0"/>
        <v>32012.770499999999</v>
      </c>
      <c r="H14" s="229">
        <v>46076.86</v>
      </c>
      <c r="I14" s="35">
        <f t="shared" si="1"/>
        <v>2836030.733</v>
      </c>
      <c r="J14" s="189" t="s">
        <v>22</v>
      </c>
      <c r="K14" s="66" t="s">
        <v>38</v>
      </c>
      <c r="L14" s="231"/>
      <c r="M14" s="70"/>
      <c r="N14" s="75"/>
      <c r="O14" s="75"/>
      <c r="P14" s="79"/>
      <c r="Q14" s="70"/>
      <c r="R14" s="75"/>
      <c r="S14" s="75"/>
      <c r="T14" s="75"/>
      <c r="U14" s="79"/>
    </row>
    <row r="15" spans="1:23" ht="15.75" customHeight="1" x14ac:dyDescent="0.25">
      <c r="A15" s="75">
        <f t="shared" si="2"/>
        <v>11</v>
      </c>
      <c r="B15" s="98">
        <v>46045</v>
      </c>
      <c r="C15" s="72">
        <v>8610246</v>
      </c>
      <c r="D15" s="73">
        <v>73069189</v>
      </c>
      <c r="E15" s="74">
        <v>61.7</v>
      </c>
      <c r="F15" s="31">
        <v>520.11</v>
      </c>
      <c r="G15" s="228">
        <f t="shared" si="0"/>
        <v>32090.787000000004</v>
      </c>
      <c r="H15" s="229">
        <v>46076.86</v>
      </c>
      <c r="I15" s="35">
        <f t="shared" si="1"/>
        <v>2842942.2620000001</v>
      </c>
      <c r="J15" s="189" t="s">
        <v>22</v>
      </c>
      <c r="K15" s="66" t="s">
        <v>38</v>
      </c>
      <c r="L15" s="231"/>
      <c r="M15" s="70"/>
      <c r="N15" s="75"/>
      <c r="O15" s="75"/>
      <c r="P15" s="79"/>
      <c r="Q15" s="70"/>
      <c r="R15" s="98">
        <v>46054</v>
      </c>
      <c r="S15" s="75">
        <v>61.542999999999999</v>
      </c>
      <c r="T15" s="133">
        <f>S15-E15</f>
        <v>-0.15700000000000358</v>
      </c>
      <c r="U15" s="79"/>
    </row>
    <row r="16" spans="1:23" ht="15.75" customHeight="1" x14ac:dyDescent="0.25">
      <c r="A16" s="75">
        <f t="shared" si="2"/>
        <v>12</v>
      </c>
      <c r="B16" s="98">
        <v>46045</v>
      </c>
      <c r="C16" s="72">
        <v>8610246</v>
      </c>
      <c r="D16" s="73">
        <v>73071086</v>
      </c>
      <c r="E16" s="74">
        <v>61.5</v>
      </c>
      <c r="F16" s="31">
        <v>520.11</v>
      </c>
      <c r="G16" s="228">
        <f t="shared" si="0"/>
        <v>31986.764999999999</v>
      </c>
      <c r="H16" s="229">
        <v>46076.86</v>
      </c>
      <c r="I16" s="35">
        <f t="shared" si="1"/>
        <v>2833726.89</v>
      </c>
      <c r="J16" s="189" t="s">
        <v>22</v>
      </c>
      <c r="K16" s="66" t="s">
        <v>38</v>
      </c>
      <c r="L16" s="231"/>
      <c r="M16" s="70"/>
      <c r="N16" s="75"/>
      <c r="O16" s="75"/>
      <c r="P16" s="79"/>
      <c r="Q16" s="70"/>
      <c r="R16" s="98">
        <v>46054</v>
      </c>
      <c r="S16" s="75">
        <v>61.284999999999997</v>
      </c>
      <c r="T16" s="133">
        <f>S16-E16</f>
        <v>-0.21500000000000341</v>
      </c>
      <c r="U16" s="79"/>
    </row>
    <row r="17" spans="1:21" x14ac:dyDescent="0.25">
      <c r="A17" s="75">
        <f t="shared" si="2"/>
        <v>13</v>
      </c>
      <c r="B17" s="98">
        <v>46045</v>
      </c>
      <c r="C17" s="72">
        <v>8610245</v>
      </c>
      <c r="D17" s="73">
        <v>73084485</v>
      </c>
      <c r="E17" s="74">
        <v>61.7</v>
      </c>
      <c r="F17" s="31">
        <v>520.11</v>
      </c>
      <c r="G17" s="228">
        <f t="shared" si="0"/>
        <v>32090.787000000004</v>
      </c>
      <c r="H17" s="229">
        <v>46076.86</v>
      </c>
      <c r="I17" s="35">
        <f t="shared" si="1"/>
        <v>2842942.2620000001</v>
      </c>
      <c r="J17" s="189" t="s">
        <v>22</v>
      </c>
      <c r="K17" s="66" t="s">
        <v>38</v>
      </c>
      <c r="L17" s="231"/>
      <c r="M17" s="70"/>
      <c r="N17" s="75"/>
      <c r="O17" s="75"/>
      <c r="P17" s="79"/>
      <c r="Q17" s="70"/>
      <c r="R17" s="75"/>
      <c r="S17" s="75"/>
      <c r="T17" s="75"/>
      <c r="U17" s="79"/>
    </row>
    <row r="18" spans="1:21" x14ac:dyDescent="0.25">
      <c r="A18" s="75">
        <f t="shared" si="2"/>
        <v>14</v>
      </c>
      <c r="B18" s="98">
        <v>46045</v>
      </c>
      <c r="C18" s="72">
        <v>8610245</v>
      </c>
      <c r="D18" s="73">
        <v>73090466</v>
      </c>
      <c r="E18" s="74">
        <v>61.55</v>
      </c>
      <c r="F18" s="31">
        <v>520.11</v>
      </c>
      <c r="G18" s="228">
        <f t="shared" si="0"/>
        <v>32012.770499999999</v>
      </c>
      <c r="H18" s="229">
        <v>46076.86</v>
      </c>
      <c r="I18" s="35">
        <f t="shared" si="1"/>
        <v>2836030.733</v>
      </c>
      <c r="J18" s="189" t="s">
        <v>22</v>
      </c>
      <c r="K18" s="66" t="s">
        <v>38</v>
      </c>
      <c r="L18" s="231"/>
      <c r="M18" s="70"/>
      <c r="N18" s="75"/>
      <c r="O18" s="75"/>
      <c r="P18" s="79"/>
      <c r="Q18" s="70"/>
      <c r="R18" s="75"/>
      <c r="S18" s="75"/>
      <c r="T18" s="75"/>
      <c r="U18" s="79"/>
    </row>
    <row r="19" spans="1:21" x14ac:dyDescent="0.25">
      <c r="A19" s="75">
        <f t="shared" si="2"/>
        <v>15</v>
      </c>
      <c r="B19" s="98">
        <v>46045</v>
      </c>
      <c r="C19" s="72">
        <v>8610245</v>
      </c>
      <c r="D19" s="73">
        <v>73115867</v>
      </c>
      <c r="E19" s="74">
        <v>61.75</v>
      </c>
      <c r="F19" s="31">
        <v>520.11</v>
      </c>
      <c r="G19" s="228">
        <f t="shared" si="0"/>
        <v>32116.7925</v>
      </c>
      <c r="H19" s="229">
        <v>46076.86</v>
      </c>
      <c r="I19" s="35">
        <f t="shared" si="1"/>
        <v>2845246.105</v>
      </c>
      <c r="J19" s="189" t="s">
        <v>22</v>
      </c>
      <c r="K19" s="66" t="s">
        <v>38</v>
      </c>
      <c r="L19" s="231"/>
      <c r="M19" s="70"/>
      <c r="N19" s="75"/>
      <c r="O19" s="75"/>
      <c r="P19" s="79"/>
      <c r="Q19" s="70"/>
      <c r="R19" s="75"/>
      <c r="S19" s="75"/>
      <c r="T19" s="75"/>
      <c r="U19" s="79"/>
    </row>
    <row r="20" spans="1:21" x14ac:dyDescent="0.25">
      <c r="A20" s="75">
        <f t="shared" si="2"/>
        <v>16</v>
      </c>
      <c r="B20" s="98">
        <v>46045</v>
      </c>
      <c r="C20" s="72">
        <v>8610245</v>
      </c>
      <c r="D20" s="73">
        <v>73173700</v>
      </c>
      <c r="E20" s="74">
        <v>61.55</v>
      </c>
      <c r="F20" s="31">
        <v>520.11</v>
      </c>
      <c r="G20" s="228">
        <f t="shared" si="0"/>
        <v>32012.770499999999</v>
      </c>
      <c r="H20" s="229">
        <v>46076.86</v>
      </c>
      <c r="I20" s="35">
        <f t="shared" si="1"/>
        <v>2836030.733</v>
      </c>
      <c r="J20" s="189" t="s">
        <v>22</v>
      </c>
      <c r="K20" s="66" t="s">
        <v>38</v>
      </c>
      <c r="L20" s="231"/>
      <c r="M20" s="70"/>
      <c r="N20" s="75"/>
      <c r="O20" s="75"/>
      <c r="P20" s="79"/>
      <c r="Q20" s="70"/>
      <c r="R20" s="75"/>
      <c r="S20" s="75"/>
      <c r="T20" s="75"/>
      <c r="U20" s="79"/>
    </row>
    <row r="21" spans="1:21" x14ac:dyDescent="0.25">
      <c r="A21" s="75">
        <f t="shared" si="2"/>
        <v>17</v>
      </c>
      <c r="B21" s="98">
        <v>46045</v>
      </c>
      <c r="C21" s="72">
        <v>8610246</v>
      </c>
      <c r="D21" s="73">
        <v>73183527</v>
      </c>
      <c r="E21" s="74">
        <v>61.55</v>
      </c>
      <c r="F21" s="31">
        <v>520.11</v>
      </c>
      <c r="G21" s="228">
        <f t="shared" si="0"/>
        <v>32012.770499999999</v>
      </c>
      <c r="H21" s="229">
        <v>46076.86</v>
      </c>
      <c r="I21" s="35">
        <f t="shared" si="1"/>
        <v>2836030.733</v>
      </c>
      <c r="J21" s="189" t="s">
        <v>22</v>
      </c>
      <c r="K21" s="66" t="s">
        <v>38</v>
      </c>
      <c r="L21" s="231"/>
      <c r="M21" s="70"/>
      <c r="N21" s="75"/>
      <c r="O21" s="75"/>
      <c r="P21" s="79"/>
      <c r="Q21" s="70"/>
      <c r="R21" s="98">
        <v>46054</v>
      </c>
      <c r="S21" s="75">
        <v>61.462000000000003</v>
      </c>
      <c r="T21" s="133">
        <f>S21-E21</f>
        <v>-8.7999999999993861E-2</v>
      </c>
      <c r="U21" s="79"/>
    </row>
    <row r="22" spans="1:21" x14ac:dyDescent="0.25">
      <c r="A22" s="75">
        <f t="shared" si="2"/>
        <v>18</v>
      </c>
      <c r="B22" s="98">
        <v>46045</v>
      </c>
      <c r="C22" s="72">
        <v>8610246</v>
      </c>
      <c r="D22" s="73">
        <v>73187023</v>
      </c>
      <c r="E22" s="74">
        <v>61.55</v>
      </c>
      <c r="F22" s="31">
        <v>520.11</v>
      </c>
      <c r="G22" s="228">
        <f t="shared" si="0"/>
        <v>32012.770499999999</v>
      </c>
      <c r="H22" s="229">
        <v>46076.86</v>
      </c>
      <c r="I22" s="35">
        <f t="shared" si="1"/>
        <v>2836030.733</v>
      </c>
      <c r="J22" s="189" t="s">
        <v>22</v>
      </c>
      <c r="K22" s="66" t="s">
        <v>38</v>
      </c>
      <c r="L22" s="231"/>
      <c r="M22" s="70"/>
      <c r="N22" s="75"/>
      <c r="O22" s="75"/>
      <c r="P22" s="79"/>
      <c r="Q22" s="70"/>
      <c r="R22" s="98">
        <v>46054</v>
      </c>
      <c r="S22" s="75">
        <v>61.686999999999998</v>
      </c>
      <c r="T22" s="133">
        <f>S22-E22</f>
        <v>0.13700000000000045</v>
      </c>
      <c r="U22" s="79"/>
    </row>
    <row r="23" spans="1:21" x14ac:dyDescent="0.25">
      <c r="A23" s="75">
        <f t="shared" si="2"/>
        <v>19</v>
      </c>
      <c r="B23" s="98">
        <v>46045</v>
      </c>
      <c r="C23" s="72">
        <v>8610246</v>
      </c>
      <c r="D23" s="73">
        <v>73205858</v>
      </c>
      <c r="E23" s="74">
        <v>61.35</v>
      </c>
      <c r="F23" s="31">
        <v>520.11</v>
      </c>
      <c r="G23" s="228">
        <f t="shared" si="0"/>
        <v>31908.748500000002</v>
      </c>
      <c r="H23" s="229">
        <v>46076.86</v>
      </c>
      <c r="I23" s="35">
        <f t="shared" si="1"/>
        <v>2826815.361</v>
      </c>
      <c r="J23" s="189" t="s">
        <v>22</v>
      </c>
      <c r="K23" s="66" t="s">
        <v>38</v>
      </c>
      <c r="L23" s="231"/>
      <c r="M23" s="70"/>
      <c r="N23" s="75"/>
      <c r="O23" s="75"/>
      <c r="P23" s="79"/>
      <c r="Q23" s="70"/>
      <c r="R23" s="98">
        <v>46054</v>
      </c>
      <c r="S23" s="75">
        <v>61.433999999999997</v>
      </c>
      <c r="T23" s="133">
        <f>S23-E23</f>
        <v>8.3999999999996078E-2</v>
      </c>
      <c r="U23" s="79"/>
    </row>
    <row r="24" spans="1:21" x14ac:dyDescent="0.25">
      <c r="A24" s="75">
        <f t="shared" si="2"/>
        <v>20</v>
      </c>
      <c r="B24" s="98">
        <v>46045</v>
      </c>
      <c r="C24" s="72">
        <v>8610245</v>
      </c>
      <c r="D24" s="73">
        <v>73220600</v>
      </c>
      <c r="E24" s="74">
        <v>61.5</v>
      </c>
      <c r="F24" s="31">
        <v>520.11</v>
      </c>
      <c r="G24" s="228">
        <f t="shared" si="0"/>
        <v>31986.764999999999</v>
      </c>
      <c r="H24" s="229">
        <v>46076.86</v>
      </c>
      <c r="I24" s="35">
        <f t="shared" si="1"/>
        <v>2833726.89</v>
      </c>
      <c r="J24" s="189" t="s">
        <v>22</v>
      </c>
      <c r="K24" s="66" t="s">
        <v>38</v>
      </c>
      <c r="L24" s="231"/>
      <c r="M24" s="70"/>
      <c r="N24" s="75"/>
      <c r="O24" s="75"/>
      <c r="P24" s="79"/>
      <c r="Q24" s="70"/>
      <c r="R24" s="75"/>
      <c r="S24" s="75"/>
      <c r="T24" s="75"/>
      <c r="U24" s="79"/>
    </row>
    <row r="25" spans="1:21" x14ac:dyDescent="0.25">
      <c r="A25" s="75">
        <f t="shared" si="2"/>
        <v>21</v>
      </c>
      <c r="B25" s="98">
        <v>46045</v>
      </c>
      <c r="C25" s="72">
        <v>8610245</v>
      </c>
      <c r="D25" s="73">
        <v>73230336</v>
      </c>
      <c r="E25" s="74">
        <v>61.7</v>
      </c>
      <c r="F25" s="31">
        <v>520.11</v>
      </c>
      <c r="G25" s="228">
        <f t="shared" si="0"/>
        <v>32090.787000000004</v>
      </c>
      <c r="H25" s="229">
        <v>46076.86</v>
      </c>
      <c r="I25" s="35">
        <f t="shared" si="1"/>
        <v>2842942.2620000001</v>
      </c>
      <c r="J25" s="189" t="s">
        <v>22</v>
      </c>
      <c r="K25" s="66" t="s">
        <v>38</v>
      </c>
      <c r="L25" s="231"/>
      <c r="M25" s="70"/>
      <c r="N25" s="75"/>
      <c r="O25" s="75"/>
      <c r="P25" s="79"/>
      <c r="Q25" s="70"/>
      <c r="R25" s="75"/>
      <c r="S25" s="75"/>
      <c r="T25" s="75"/>
      <c r="U25" s="79"/>
    </row>
    <row r="26" spans="1:21" x14ac:dyDescent="0.25">
      <c r="A26" s="75">
        <f t="shared" si="2"/>
        <v>22</v>
      </c>
      <c r="B26" s="98">
        <v>46045</v>
      </c>
      <c r="C26" s="72">
        <v>8610245</v>
      </c>
      <c r="D26" s="73">
        <v>73230377</v>
      </c>
      <c r="E26" s="74">
        <v>61.45</v>
      </c>
      <c r="F26" s="31">
        <v>520.11</v>
      </c>
      <c r="G26" s="228">
        <f t="shared" si="0"/>
        <v>31960.759500000004</v>
      </c>
      <c r="H26" s="229">
        <v>46076.86</v>
      </c>
      <c r="I26" s="35">
        <f t="shared" si="1"/>
        <v>2831423.0470000003</v>
      </c>
      <c r="J26" s="189" t="s">
        <v>22</v>
      </c>
      <c r="K26" s="66" t="s">
        <v>38</v>
      </c>
      <c r="L26" s="231"/>
      <c r="M26" s="70"/>
      <c r="N26" s="75"/>
      <c r="O26" s="75"/>
      <c r="P26" s="79"/>
      <c r="Q26" s="70"/>
      <c r="R26" s="75"/>
      <c r="S26" s="75"/>
      <c r="T26" s="75"/>
      <c r="U26" s="79"/>
    </row>
    <row r="27" spans="1:21" x14ac:dyDescent="0.25">
      <c r="A27" s="75">
        <f t="shared" si="2"/>
        <v>23</v>
      </c>
      <c r="B27" s="98">
        <v>46045</v>
      </c>
      <c r="C27" s="72">
        <v>8610245</v>
      </c>
      <c r="D27" s="73">
        <v>73230930</v>
      </c>
      <c r="E27" s="74">
        <v>61.5</v>
      </c>
      <c r="F27" s="31">
        <v>520.11</v>
      </c>
      <c r="G27" s="228">
        <f t="shared" si="0"/>
        <v>31986.764999999999</v>
      </c>
      <c r="H27" s="229">
        <v>46076.86</v>
      </c>
      <c r="I27" s="35">
        <f t="shared" si="1"/>
        <v>2833726.89</v>
      </c>
      <c r="J27" s="189" t="s">
        <v>22</v>
      </c>
      <c r="K27" s="66" t="s">
        <v>38</v>
      </c>
      <c r="L27" s="231"/>
      <c r="M27" s="70"/>
      <c r="N27" s="75"/>
      <c r="O27" s="75"/>
      <c r="P27" s="79"/>
      <c r="Q27" s="70"/>
      <c r="R27" s="75"/>
      <c r="S27" s="75"/>
      <c r="T27" s="75"/>
      <c r="U27" s="79"/>
    </row>
    <row r="28" spans="1:21" x14ac:dyDescent="0.25">
      <c r="A28" s="75">
        <f t="shared" si="2"/>
        <v>24</v>
      </c>
      <c r="B28" s="98">
        <v>46045</v>
      </c>
      <c r="C28" s="72">
        <v>8610246</v>
      </c>
      <c r="D28" s="73">
        <v>73231938</v>
      </c>
      <c r="E28" s="74">
        <v>61.35</v>
      </c>
      <c r="F28" s="31">
        <v>520.11</v>
      </c>
      <c r="G28" s="228">
        <f t="shared" si="0"/>
        <v>31908.748500000002</v>
      </c>
      <c r="H28" s="229">
        <v>46076.86</v>
      </c>
      <c r="I28" s="35">
        <f t="shared" si="1"/>
        <v>2826815.361</v>
      </c>
      <c r="J28" s="189" t="s">
        <v>22</v>
      </c>
      <c r="K28" s="66" t="s">
        <v>38</v>
      </c>
      <c r="L28" s="231"/>
      <c r="M28" s="70"/>
      <c r="N28" s="75"/>
      <c r="O28" s="75"/>
      <c r="P28" s="79"/>
      <c r="Q28" s="70"/>
      <c r="R28" s="98">
        <v>46054</v>
      </c>
      <c r="S28" s="75">
        <v>61.411000000000001</v>
      </c>
      <c r="T28" s="133">
        <f>S28-E28</f>
        <v>6.0999999999999943E-2</v>
      </c>
      <c r="U28" s="79"/>
    </row>
    <row r="29" spans="1:21" x14ac:dyDescent="0.25">
      <c r="A29" s="75">
        <f t="shared" si="2"/>
        <v>25</v>
      </c>
      <c r="B29" s="98">
        <v>46045</v>
      </c>
      <c r="C29" s="72">
        <v>8610246</v>
      </c>
      <c r="D29" s="73">
        <v>75229518</v>
      </c>
      <c r="E29" s="74">
        <v>61.65</v>
      </c>
      <c r="F29" s="31">
        <v>520.11</v>
      </c>
      <c r="G29" s="228">
        <f t="shared" si="0"/>
        <v>32064.781500000001</v>
      </c>
      <c r="H29" s="229">
        <v>46076.86</v>
      </c>
      <c r="I29" s="35">
        <f t="shared" si="1"/>
        <v>2840638.4189999998</v>
      </c>
      <c r="J29" s="189" t="s">
        <v>22</v>
      </c>
      <c r="K29" s="66" t="s">
        <v>38</v>
      </c>
      <c r="L29" s="231"/>
      <c r="M29" s="70"/>
      <c r="N29" s="75"/>
      <c r="O29" s="75"/>
      <c r="P29" s="79"/>
      <c r="Q29" s="70"/>
      <c r="R29" s="98">
        <v>46054</v>
      </c>
      <c r="S29" s="75">
        <v>61.658000000000001</v>
      </c>
      <c r="T29" s="133">
        <f>S29-E29</f>
        <v>8.0000000000026716E-3</v>
      </c>
      <c r="U29" s="79"/>
    </row>
    <row r="30" spans="1:21" x14ac:dyDescent="0.25">
      <c r="A30" s="75">
        <f t="shared" si="2"/>
        <v>26</v>
      </c>
      <c r="B30" s="98">
        <v>46045</v>
      </c>
      <c r="C30" s="72">
        <v>8610246</v>
      </c>
      <c r="D30" s="73">
        <v>75256750</v>
      </c>
      <c r="E30" s="74">
        <v>61.6</v>
      </c>
      <c r="F30" s="31">
        <v>520.11</v>
      </c>
      <c r="G30" s="228">
        <f t="shared" si="0"/>
        <v>32038.776000000002</v>
      </c>
      <c r="H30" s="229">
        <v>46076.86</v>
      </c>
      <c r="I30" s="35">
        <f t="shared" si="1"/>
        <v>2838334.5759999999</v>
      </c>
      <c r="J30" s="189" t="s">
        <v>22</v>
      </c>
      <c r="K30" s="66" t="s">
        <v>38</v>
      </c>
      <c r="L30" s="231"/>
      <c r="M30" s="70"/>
      <c r="N30" s="75"/>
      <c r="O30" s="75"/>
      <c r="P30" s="79"/>
      <c r="Q30" s="70"/>
      <c r="R30" s="98">
        <v>46054</v>
      </c>
      <c r="S30" s="75">
        <v>61.622</v>
      </c>
      <c r="T30" s="133">
        <f>S30-E30</f>
        <v>2.1999999999998465E-2</v>
      </c>
      <c r="U30" s="79"/>
    </row>
    <row r="31" spans="1:21" x14ac:dyDescent="0.25">
      <c r="A31" s="75">
        <f t="shared" si="2"/>
        <v>27</v>
      </c>
      <c r="B31" s="98">
        <v>46045</v>
      </c>
      <c r="C31" s="72">
        <v>8610246</v>
      </c>
      <c r="D31" s="73">
        <v>76322494</v>
      </c>
      <c r="E31" s="74">
        <v>61.65</v>
      </c>
      <c r="F31" s="31">
        <v>520.11</v>
      </c>
      <c r="G31" s="228">
        <f t="shared" si="0"/>
        <v>32064.781500000001</v>
      </c>
      <c r="H31" s="229">
        <v>46076.86</v>
      </c>
      <c r="I31" s="35">
        <f t="shared" si="1"/>
        <v>2840638.4189999998</v>
      </c>
      <c r="J31" s="189" t="s">
        <v>22</v>
      </c>
      <c r="K31" s="66" t="s">
        <v>38</v>
      </c>
      <c r="L31" s="231"/>
      <c r="M31" s="70"/>
      <c r="N31" s="75"/>
      <c r="O31" s="75"/>
      <c r="P31" s="79"/>
      <c r="Q31" s="70"/>
      <c r="R31" s="98">
        <v>46054</v>
      </c>
      <c r="S31" s="75">
        <v>61.914999999999999</v>
      </c>
      <c r="T31" s="133">
        <f>S31-E31</f>
        <v>0.26500000000000057</v>
      </c>
      <c r="U31" s="79"/>
    </row>
    <row r="32" spans="1:21" x14ac:dyDescent="0.25">
      <c r="A32" s="75">
        <f t="shared" si="2"/>
        <v>28</v>
      </c>
      <c r="B32" s="98">
        <v>46045</v>
      </c>
      <c r="C32" s="72">
        <v>8610245</v>
      </c>
      <c r="D32" s="73">
        <v>76351998</v>
      </c>
      <c r="E32" s="74">
        <v>61.75</v>
      </c>
      <c r="F32" s="31">
        <v>520.11</v>
      </c>
      <c r="G32" s="228">
        <f t="shared" si="0"/>
        <v>32116.7925</v>
      </c>
      <c r="H32" s="229">
        <v>46076.86</v>
      </c>
      <c r="I32" s="35">
        <f t="shared" si="1"/>
        <v>2845246.105</v>
      </c>
      <c r="J32" s="189" t="s">
        <v>22</v>
      </c>
      <c r="K32" s="66" t="s">
        <v>38</v>
      </c>
      <c r="L32" s="231"/>
      <c r="M32" s="70"/>
      <c r="N32" s="75"/>
      <c r="O32" s="75"/>
      <c r="P32" s="79"/>
      <c r="Q32" s="70"/>
      <c r="R32" s="75"/>
      <c r="S32" s="75"/>
      <c r="T32" s="75"/>
      <c r="U32" s="79"/>
    </row>
    <row r="33" spans="1:21" x14ac:dyDescent="0.25">
      <c r="A33" s="75">
        <f t="shared" si="2"/>
        <v>29</v>
      </c>
      <c r="B33" s="98">
        <v>46045</v>
      </c>
      <c r="C33" s="72">
        <v>8610245</v>
      </c>
      <c r="D33" s="73">
        <v>76352194</v>
      </c>
      <c r="E33" s="74">
        <v>62.1</v>
      </c>
      <c r="F33" s="31">
        <v>520.11</v>
      </c>
      <c r="G33" s="228">
        <f t="shared" si="0"/>
        <v>32298.831000000002</v>
      </c>
      <c r="H33" s="229">
        <v>46076.86</v>
      </c>
      <c r="I33" s="35">
        <f t="shared" si="1"/>
        <v>2861373.0060000001</v>
      </c>
      <c r="J33" s="189" t="s">
        <v>22</v>
      </c>
      <c r="K33" s="66" t="s">
        <v>38</v>
      </c>
      <c r="L33" s="231"/>
      <c r="M33" s="70"/>
      <c r="N33" s="75"/>
      <c r="O33" s="75"/>
      <c r="P33" s="79"/>
      <c r="Q33" s="70"/>
      <c r="R33" s="75"/>
      <c r="S33" s="75"/>
      <c r="T33" s="75"/>
      <c r="U33" s="79"/>
    </row>
    <row r="34" spans="1:21" ht="15.75" thickBot="1" x14ac:dyDescent="0.3">
      <c r="A34" s="75">
        <f t="shared" si="2"/>
        <v>30</v>
      </c>
      <c r="B34" s="135">
        <v>46045</v>
      </c>
      <c r="C34" s="102">
        <v>8610246</v>
      </c>
      <c r="D34" s="103">
        <v>76427996</v>
      </c>
      <c r="E34" s="104">
        <v>61.85</v>
      </c>
      <c r="F34" s="31">
        <v>520.11</v>
      </c>
      <c r="G34" s="228">
        <f t="shared" si="0"/>
        <v>32168.803500000002</v>
      </c>
      <c r="H34" s="229">
        <v>46076.86</v>
      </c>
      <c r="I34" s="35">
        <f t="shared" si="1"/>
        <v>2849853.7910000002</v>
      </c>
      <c r="J34" s="189" t="s">
        <v>22</v>
      </c>
      <c r="K34" s="66" t="s">
        <v>38</v>
      </c>
      <c r="L34" s="232"/>
      <c r="M34" s="101"/>
      <c r="N34" s="105"/>
      <c r="O34" s="105"/>
      <c r="P34" s="112"/>
      <c r="Q34" s="101"/>
      <c r="R34" s="135">
        <v>46054</v>
      </c>
      <c r="S34" s="105">
        <v>61.845999999999997</v>
      </c>
      <c r="T34" s="133">
        <f>S34-E34</f>
        <v>-4.0000000000048885E-3</v>
      </c>
      <c r="U34" s="112"/>
    </row>
    <row r="35" spans="1:21" ht="15.75" thickBot="1" x14ac:dyDescent="0.3">
      <c r="A35" s="233"/>
      <c r="B35" s="234"/>
      <c r="C35" s="234"/>
      <c r="D35" s="234"/>
      <c r="E35" s="235">
        <f>SUM(E5:E34)</f>
        <v>1843.8999999999996</v>
      </c>
      <c r="F35" s="236"/>
      <c r="G35" s="237">
        <f>SUM(G5:G34)</f>
        <v>959030.93990909099</v>
      </c>
      <c r="H35" s="234"/>
      <c r="I35" s="238">
        <f>SUM(I5:I34)</f>
        <v>84961122.154000014</v>
      </c>
      <c r="J35" s="234"/>
      <c r="K35" s="239"/>
      <c r="L35" s="240"/>
      <c r="M35" s="241"/>
      <c r="N35" s="242"/>
      <c r="O35" s="242"/>
      <c r="P35" s="243"/>
      <c r="Q35" s="241"/>
      <c r="R35" s="242"/>
      <c r="S35" s="242"/>
      <c r="T35" s="242"/>
      <c r="U35" s="243"/>
    </row>
    <row r="36" spans="1:21" x14ac:dyDescent="0.25">
      <c r="A36" s="207">
        <v>31</v>
      </c>
      <c r="B36" s="188">
        <v>46046</v>
      </c>
      <c r="C36" s="151">
        <v>8610247</v>
      </c>
      <c r="D36" s="152">
        <v>58344888</v>
      </c>
      <c r="E36" s="153">
        <v>61.05</v>
      </c>
      <c r="F36" s="31">
        <v>520.11</v>
      </c>
      <c r="G36" s="228">
        <f t="shared" ref="G36:G44" si="3">E36*F36</f>
        <v>31752.715499999998</v>
      </c>
      <c r="H36" s="229">
        <v>46076.86</v>
      </c>
      <c r="I36" s="35">
        <f t="shared" ref="I36:I44" si="4">E36*H36</f>
        <v>2812992.3029999998</v>
      </c>
      <c r="J36" s="189" t="s">
        <v>22</v>
      </c>
      <c r="K36" s="66" t="s">
        <v>38</v>
      </c>
      <c r="L36" s="244"/>
      <c r="M36" s="57"/>
      <c r="N36" s="68"/>
      <c r="O36" s="68"/>
      <c r="P36" s="69"/>
      <c r="Q36" s="245"/>
      <c r="R36" s="68"/>
      <c r="S36" s="68"/>
      <c r="T36" s="68"/>
      <c r="U36" s="69"/>
    </row>
    <row r="37" spans="1:21" x14ac:dyDescent="0.25">
      <c r="A37" s="246">
        <f>A36+1</f>
        <v>32</v>
      </c>
      <c r="B37" s="98">
        <v>46046</v>
      </c>
      <c r="C37" s="346">
        <v>8610247</v>
      </c>
      <c r="D37" s="73">
        <v>73047516</v>
      </c>
      <c r="E37" s="74">
        <v>61.5</v>
      </c>
      <c r="F37" s="31">
        <v>520.11</v>
      </c>
      <c r="G37" s="228">
        <f t="shared" si="3"/>
        <v>31986.764999999999</v>
      </c>
      <c r="H37" s="229">
        <v>46076.86</v>
      </c>
      <c r="I37" s="35">
        <f t="shared" si="4"/>
        <v>2833726.89</v>
      </c>
      <c r="J37" s="189" t="s">
        <v>22</v>
      </c>
      <c r="K37" s="66" t="s">
        <v>38</v>
      </c>
      <c r="L37" s="78"/>
      <c r="M37" s="70"/>
      <c r="N37" s="75"/>
      <c r="O37" s="75"/>
      <c r="P37" s="79"/>
      <c r="Q37" s="247"/>
      <c r="R37" s="75"/>
      <c r="S37" s="75"/>
      <c r="T37" s="75"/>
      <c r="U37" s="79"/>
    </row>
    <row r="38" spans="1:21" x14ac:dyDescent="0.25">
      <c r="A38" s="246">
        <f t="shared" ref="A38:A44" si="5">A37+1</f>
        <v>33</v>
      </c>
      <c r="B38" s="98">
        <v>46046</v>
      </c>
      <c r="C38" s="346">
        <v>8610247</v>
      </c>
      <c r="D38" s="73">
        <v>73080210</v>
      </c>
      <c r="E38" s="74">
        <v>61.55</v>
      </c>
      <c r="F38" s="31">
        <v>520.11</v>
      </c>
      <c r="G38" s="228">
        <f t="shared" si="3"/>
        <v>32012.770499999999</v>
      </c>
      <c r="H38" s="229">
        <v>46076.86</v>
      </c>
      <c r="I38" s="35">
        <f t="shared" si="4"/>
        <v>2836030.733</v>
      </c>
      <c r="J38" s="189" t="s">
        <v>22</v>
      </c>
      <c r="K38" s="66" t="s">
        <v>38</v>
      </c>
      <c r="L38" s="78"/>
      <c r="M38" s="70"/>
      <c r="N38" s="75"/>
      <c r="O38" s="75"/>
      <c r="P38" s="79"/>
      <c r="Q38" s="247"/>
      <c r="R38" s="75"/>
      <c r="S38" s="75"/>
      <c r="T38" s="75"/>
      <c r="U38" s="79"/>
    </row>
    <row r="39" spans="1:21" x14ac:dyDescent="0.25">
      <c r="A39" s="246">
        <f t="shared" si="5"/>
        <v>34</v>
      </c>
      <c r="B39" s="98">
        <v>46046</v>
      </c>
      <c r="C39" s="346">
        <v>8610247</v>
      </c>
      <c r="D39" s="73">
        <v>73084477</v>
      </c>
      <c r="E39" s="74">
        <v>61.65</v>
      </c>
      <c r="F39" s="31">
        <v>520.11</v>
      </c>
      <c r="G39" s="228">
        <f t="shared" si="3"/>
        <v>32064.781500000001</v>
      </c>
      <c r="H39" s="229">
        <v>46076.86</v>
      </c>
      <c r="I39" s="35">
        <f t="shared" si="4"/>
        <v>2840638.4189999998</v>
      </c>
      <c r="J39" s="189" t="s">
        <v>22</v>
      </c>
      <c r="K39" s="66" t="s">
        <v>38</v>
      </c>
      <c r="L39" s="78"/>
      <c r="M39" s="70"/>
      <c r="N39" s="75"/>
      <c r="O39" s="75"/>
      <c r="P39" s="79"/>
      <c r="Q39" s="247"/>
      <c r="R39" s="75"/>
      <c r="S39" s="75"/>
      <c r="T39" s="75"/>
      <c r="U39" s="79"/>
    </row>
    <row r="40" spans="1:21" x14ac:dyDescent="0.25">
      <c r="A40" s="246">
        <f t="shared" si="5"/>
        <v>35</v>
      </c>
      <c r="B40" s="98">
        <v>46046</v>
      </c>
      <c r="C40" s="346">
        <v>8610247</v>
      </c>
      <c r="D40" s="73">
        <v>73086019</v>
      </c>
      <c r="E40" s="74">
        <v>61.7</v>
      </c>
      <c r="F40" s="31">
        <v>520.11</v>
      </c>
      <c r="G40" s="228">
        <f t="shared" si="3"/>
        <v>32090.787000000004</v>
      </c>
      <c r="H40" s="229">
        <v>46076.86</v>
      </c>
      <c r="I40" s="35">
        <f t="shared" si="4"/>
        <v>2842942.2620000001</v>
      </c>
      <c r="J40" s="189" t="s">
        <v>22</v>
      </c>
      <c r="K40" s="66" t="s">
        <v>38</v>
      </c>
      <c r="L40" s="78"/>
      <c r="M40" s="70"/>
      <c r="N40" s="75"/>
      <c r="O40" s="75"/>
      <c r="P40" s="79"/>
      <c r="Q40" s="247"/>
      <c r="R40" s="75"/>
      <c r="S40" s="75"/>
      <c r="T40" s="75"/>
      <c r="U40" s="79"/>
    </row>
    <row r="41" spans="1:21" x14ac:dyDescent="0.25">
      <c r="A41" s="246">
        <f t="shared" si="5"/>
        <v>36</v>
      </c>
      <c r="B41" s="98">
        <v>46046</v>
      </c>
      <c r="C41" s="346">
        <v>8610247</v>
      </c>
      <c r="D41" s="73">
        <v>73156507</v>
      </c>
      <c r="E41" s="74">
        <v>61.75</v>
      </c>
      <c r="F41" s="31">
        <v>520.11</v>
      </c>
      <c r="G41" s="228">
        <f t="shared" si="3"/>
        <v>32116.7925</v>
      </c>
      <c r="H41" s="229">
        <v>46076.86</v>
      </c>
      <c r="I41" s="35">
        <f t="shared" si="4"/>
        <v>2845246.105</v>
      </c>
      <c r="J41" s="189" t="s">
        <v>22</v>
      </c>
      <c r="K41" s="66" t="s">
        <v>38</v>
      </c>
      <c r="L41" s="78"/>
      <c r="M41" s="70"/>
      <c r="N41" s="75"/>
      <c r="O41" s="75"/>
      <c r="P41" s="79"/>
      <c r="Q41" s="247"/>
      <c r="R41" s="75"/>
      <c r="S41" s="75"/>
      <c r="T41" s="75"/>
      <c r="U41" s="79"/>
    </row>
    <row r="42" spans="1:21" x14ac:dyDescent="0.25">
      <c r="A42" s="246">
        <f t="shared" si="5"/>
        <v>37</v>
      </c>
      <c r="B42" s="98">
        <v>46046</v>
      </c>
      <c r="C42" s="346">
        <v>8610247</v>
      </c>
      <c r="D42" s="73">
        <v>73163081</v>
      </c>
      <c r="E42" s="74">
        <v>61.5</v>
      </c>
      <c r="F42" s="31">
        <v>520.11</v>
      </c>
      <c r="G42" s="228">
        <f t="shared" si="3"/>
        <v>31986.764999999999</v>
      </c>
      <c r="H42" s="229">
        <v>46076.86</v>
      </c>
      <c r="I42" s="35">
        <f t="shared" si="4"/>
        <v>2833726.89</v>
      </c>
      <c r="J42" s="189" t="s">
        <v>22</v>
      </c>
      <c r="K42" s="66" t="s">
        <v>38</v>
      </c>
      <c r="L42" s="78"/>
      <c r="M42" s="70"/>
      <c r="N42" s="75"/>
      <c r="O42" s="75"/>
      <c r="P42" s="79"/>
      <c r="Q42" s="247"/>
      <c r="R42" s="75"/>
      <c r="S42" s="75"/>
      <c r="T42" s="75"/>
      <c r="U42" s="79"/>
    </row>
    <row r="43" spans="1:21" x14ac:dyDescent="0.25">
      <c r="A43" s="246">
        <f t="shared" si="5"/>
        <v>38</v>
      </c>
      <c r="B43" s="98">
        <v>46046</v>
      </c>
      <c r="C43" s="346">
        <v>8610247</v>
      </c>
      <c r="D43" s="73">
        <v>73224172</v>
      </c>
      <c r="E43" s="74">
        <v>61.6</v>
      </c>
      <c r="F43" s="31">
        <v>520.11</v>
      </c>
      <c r="G43" s="228">
        <f t="shared" si="3"/>
        <v>32038.776000000002</v>
      </c>
      <c r="H43" s="229">
        <v>46076.86</v>
      </c>
      <c r="I43" s="35">
        <f t="shared" si="4"/>
        <v>2838334.5759999999</v>
      </c>
      <c r="J43" s="189" t="s">
        <v>22</v>
      </c>
      <c r="K43" s="66" t="s">
        <v>38</v>
      </c>
      <c r="L43" s="78"/>
      <c r="M43" s="70"/>
      <c r="N43" s="75"/>
      <c r="O43" s="75"/>
      <c r="P43" s="79"/>
      <c r="Q43" s="247"/>
      <c r="R43" s="75"/>
      <c r="S43" s="75"/>
      <c r="T43" s="75"/>
      <c r="U43" s="79"/>
    </row>
    <row r="44" spans="1:21" ht="15.75" thickBot="1" x14ac:dyDescent="0.3">
      <c r="A44" s="101">
        <f t="shared" si="5"/>
        <v>39</v>
      </c>
      <c r="B44" s="188">
        <v>46046</v>
      </c>
      <c r="C44" s="102">
        <v>8610247</v>
      </c>
      <c r="D44" s="103">
        <v>73235731</v>
      </c>
      <c r="E44" s="104">
        <v>61.55</v>
      </c>
      <c r="F44" s="31">
        <v>520.11</v>
      </c>
      <c r="G44" s="248">
        <f t="shared" si="3"/>
        <v>32012.770499999999</v>
      </c>
      <c r="H44" s="229">
        <v>46076.86</v>
      </c>
      <c r="I44" s="35">
        <f t="shared" si="4"/>
        <v>2836030.733</v>
      </c>
      <c r="J44" s="189" t="s">
        <v>22</v>
      </c>
      <c r="K44" s="66" t="s">
        <v>38</v>
      </c>
      <c r="L44" s="249"/>
      <c r="M44" s="80"/>
      <c r="N44" s="88"/>
      <c r="O44" s="88"/>
      <c r="P44" s="89"/>
      <c r="Q44" s="250"/>
      <c r="R44" s="88"/>
      <c r="S44" s="88"/>
      <c r="T44" s="88"/>
      <c r="U44" s="89"/>
    </row>
    <row r="45" spans="1:21" ht="15.75" thickBot="1" x14ac:dyDescent="0.3">
      <c r="A45" s="233"/>
      <c r="B45" s="234"/>
      <c r="C45" s="234"/>
      <c r="D45" s="234"/>
      <c r="E45" s="251">
        <f>SUM(E36:E44)</f>
        <v>553.85</v>
      </c>
      <c r="F45" s="236"/>
      <c r="G45" s="237">
        <f>SUM(G36:G44)</f>
        <v>288062.92349999998</v>
      </c>
      <c r="H45" s="234"/>
      <c r="I45" s="238">
        <f>SUM(I36:I44)</f>
        <v>25519668.910999998</v>
      </c>
      <c r="J45" s="234"/>
      <c r="K45" s="239"/>
      <c r="L45" s="252"/>
      <c r="M45" s="253"/>
      <c r="N45" s="254"/>
      <c r="O45" s="254"/>
      <c r="P45" s="255"/>
      <c r="Q45" s="256"/>
      <c r="R45" s="254"/>
      <c r="S45" s="254"/>
      <c r="T45" s="254"/>
      <c r="U45" s="255"/>
    </row>
    <row r="46" spans="1:21" x14ac:dyDescent="0.25">
      <c r="A46" s="207">
        <v>40</v>
      </c>
      <c r="B46" s="71">
        <v>46046</v>
      </c>
      <c r="C46" s="151">
        <v>8610312</v>
      </c>
      <c r="D46" s="152">
        <v>54256235</v>
      </c>
      <c r="E46" s="153">
        <v>60.9</v>
      </c>
      <c r="F46" s="31">
        <v>520.11</v>
      </c>
      <c r="G46" s="228">
        <f t="shared" ref="G46:G51" si="6">E46*F46</f>
        <v>31674.699000000001</v>
      </c>
      <c r="H46" s="229">
        <v>46076.86</v>
      </c>
      <c r="I46" s="35">
        <f t="shared" ref="I46:I51" si="7">E46*H46</f>
        <v>2806080.7739999997</v>
      </c>
      <c r="J46" s="189" t="s">
        <v>22</v>
      </c>
      <c r="K46" s="66" t="s">
        <v>38</v>
      </c>
      <c r="L46" s="230"/>
      <c r="M46" s="57"/>
      <c r="N46" s="68"/>
      <c r="O46" s="68"/>
      <c r="P46" s="69"/>
      <c r="Q46" s="57"/>
      <c r="R46" s="68"/>
      <c r="S46" s="68"/>
      <c r="T46" s="68"/>
      <c r="U46" s="69"/>
    </row>
    <row r="47" spans="1:21" x14ac:dyDescent="0.25">
      <c r="A47" s="70">
        <f>A46+1</f>
        <v>41</v>
      </c>
      <c r="B47" s="98">
        <v>46046</v>
      </c>
      <c r="C47" s="72">
        <v>8610312</v>
      </c>
      <c r="D47" s="73">
        <v>73087058</v>
      </c>
      <c r="E47" s="74">
        <v>61.4</v>
      </c>
      <c r="F47" s="31">
        <v>520.11</v>
      </c>
      <c r="G47" s="228">
        <f t="shared" si="6"/>
        <v>31934.754000000001</v>
      </c>
      <c r="H47" s="229">
        <v>46076.86</v>
      </c>
      <c r="I47" s="35">
        <f t="shared" si="7"/>
        <v>2829119.2039999999</v>
      </c>
      <c r="J47" s="189" t="s">
        <v>22</v>
      </c>
      <c r="K47" s="66" t="s">
        <v>38</v>
      </c>
      <c r="L47" s="231"/>
      <c r="M47" s="70"/>
      <c r="N47" s="75"/>
      <c r="O47" s="75"/>
      <c r="P47" s="79"/>
      <c r="Q47" s="70"/>
      <c r="R47" s="75"/>
      <c r="S47" s="75"/>
      <c r="T47" s="75"/>
      <c r="U47" s="79"/>
    </row>
    <row r="48" spans="1:21" x14ac:dyDescent="0.25">
      <c r="A48" s="70">
        <f t="shared" ref="A48:A51" si="8">A47+1</f>
        <v>42</v>
      </c>
      <c r="B48" s="98">
        <v>46046</v>
      </c>
      <c r="C48" s="72">
        <v>8610312</v>
      </c>
      <c r="D48" s="73">
        <v>73090839</v>
      </c>
      <c r="E48" s="74">
        <v>61.4</v>
      </c>
      <c r="F48" s="31">
        <v>520.11</v>
      </c>
      <c r="G48" s="228">
        <f t="shared" si="6"/>
        <v>31934.754000000001</v>
      </c>
      <c r="H48" s="229">
        <v>46076.86</v>
      </c>
      <c r="I48" s="35">
        <f t="shared" si="7"/>
        <v>2829119.2039999999</v>
      </c>
      <c r="J48" s="189" t="s">
        <v>22</v>
      </c>
      <c r="K48" s="66" t="s">
        <v>38</v>
      </c>
      <c r="L48" s="231"/>
      <c r="M48" s="70"/>
      <c r="N48" s="75"/>
      <c r="O48" s="75"/>
      <c r="P48" s="79"/>
      <c r="Q48" s="70"/>
      <c r="R48" s="75"/>
      <c r="S48" s="75"/>
      <c r="T48" s="75"/>
      <c r="U48" s="79"/>
    </row>
    <row r="49" spans="1:21" x14ac:dyDescent="0.25">
      <c r="A49" s="70">
        <f t="shared" si="8"/>
        <v>43</v>
      </c>
      <c r="B49" s="98">
        <v>46046</v>
      </c>
      <c r="C49" s="72">
        <v>8610312</v>
      </c>
      <c r="D49" s="73">
        <v>73228025</v>
      </c>
      <c r="E49" s="74">
        <v>61.55</v>
      </c>
      <c r="F49" s="31">
        <v>520.11</v>
      </c>
      <c r="G49" s="228">
        <f t="shared" si="6"/>
        <v>32012.770499999999</v>
      </c>
      <c r="H49" s="229">
        <v>46076.86</v>
      </c>
      <c r="I49" s="35">
        <f t="shared" si="7"/>
        <v>2836030.733</v>
      </c>
      <c r="J49" s="189" t="s">
        <v>22</v>
      </c>
      <c r="K49" s="66" t="s">
        <v>38</v>
      </c>
      <c r="L49" s="231"/>
      <c r="M49" s="70"/>
      <c r="N49" s="75"/>
      <c r="O49" s="75"/>
      <c r="P49" s="79"/>
      <c r="Q49" s="70"/>
      <c r="R49" s="75"/>
      <c r="S49" s="75"/>
      <c r="T49" s="75"/>
      <c r="U49" s="79"/>
    </row>
    <row r="50" spans="1:21" x14ac:dyDescent="0.25">
      <c r="A50" s="70">
        <f t="shared" si="8"/>
        <v>44</v>
      </c>
      <c r="B50" s="98">
        <v>46046</v>
      </c>
      <c r="C50" s="72">
        <v>8610312</v>
      </c>
      <c r="D50" s="73">
        <v>73228702</v>
      </c>
      <c r="E50" s="74">
        <v>61.45</v>
      </c>
      <c r="F50" s="31">
        <v>520.11</v>
      </c>
      <c r="G50" s="228">
        <f t="shared" si="6"/>
        <v>31960.759500000004</v>
      </c>
      <c r="H50" s="229">
        <v>46076.86</v>
      </c>
      <c r="I50" s="35">
        <f t="shared" si="7"/>
        <v>2831423.0470000003</v>
      </c>
      <c r="J50" s="189" t="s">
        <v>22</v>
      </c>
      <c r="K50" s="66" t="s">
        <v>38</v>
      </c>
      <c r="L50" s="231"/>
      <c r="M50" s="70"/>
      <c r="N50" s="75"/>
      <c r="O50" s="75"/>
      <c r="P50" s="79"/>
      <c r="Q50" s="70"/>
      <c r="R50" s="75"/>
      <c r="S50" s="75"/>
      <c r="T50" s="75"/>
      <c r="U50" s="79"/>
    </row>
    <row r="51" spans="1:21" ht="15.75" thickBot="1" x14ac:dyDescent="0.3">
      <c r="A51" s="101">
        <f t="shared" si="8"/>
        <v>45</v>
      </c>
      <c r="B51" s="135">
        <v>46046</v>
      </c>
      <c r="C51" s="102">
        <v>8610312</v>
      </c>
      <c r="D51" s="103">
        <v>76163096</v>
      </c>
      <c r="E51" s="104">
        <v>61.65</v>
      </c>
      <c r="F51" s="31">
        <v>520.11</v>
      </c>
      <c r="G51" s="248">
        <f t="shared" si="6"/>
        <v>32064.781500000001</v>
      </c>
      <c r="H51" s="257">
        <v>46076.86</v>
      </c>
      <c r="I51" s="40">
        <f t="shared" si="7"/>
        <v>2840638.4189999998</v>
      </c>
      <c r="J51" s="189" t="s">
        <v>22</v>
      </c>
      <c r="K51" s="66" t="s">
        <v>38</v>
      </c>
      <c r="L51" s="258"/>
      <c r="M51" s="80"/>
      <c r="N51" s="88"/>
      <c r="O51" s="88"/>
      <c r="P51" s="89"/>
      <c r="Q51" s="80"/>
      <c r="R51" s="88"/>
      <c r="S51" s="88"/>
      <c r="T51" s="88"/>
      <c r="U51" s="89"/>
    </row>
    <row r="52" spans="1:21" ht="15.75" thickBot="1" x14ac:dyDescent="0.3">
      <c r="A52" s="233"/>
      <c r="B52" s="234"/>
      <c r="C52" s="234"/>
      <c r="D52" s="234"/>
      <c r="E52" s="251">
        <f>SUM(E46:E51)</f>
        <v>368.34999999999997</v>
      </c>
      <c r="F52" s="236"/>
      <c r="G52" s="237">
        <f>SUM(G46:G51)</f>
        <v>191582.51850000001</v>
      </c>
      <c r="H52" s="234"/>
      <c r="I52" s="238">
        <f>SUM(I46:I51)</f>
        <v>16972411.380999997</v>
      </c>
      <c r="J52" s="234"/>
      <c r="K52" s="239"/>
      <c r="L52" s="252"/>
      <c r="M52" s="253"/>
      <c r="N52" s="254"/>
      <c r="O52" s="254"/>
      <c r="P52" s="255"/>
      <c r="Q52" s="256"/>
      <c r="R52" s="254"/>
      <c r="S52" s="254"/>
      <c r="T52" s="254"/>
      <c r="U52" s="255"/>
    </row>
    <row r="53" spans="1:21" x14ac:dyDescent="0.25">
      <c r="A53" s="207">
        <v>46</v>
      </c>
      <c r="B53" s="71">
        <v>46047</v>
      </c>
      <c r="C53" s="151">
        <v>8610366</v>
      </c>
      <c r="D53" s="152">
        <v>73109258</v>
      </c>
      <c r="E53" s="153">
        <v>61.05</v>
      </c>
      <c r="F53" s="31">
        <v>520.11</v>
      </c>
      <c r="G53" s="228">
        <f t="shared" ref="G53:G55" si="9">E53*F53</f>
        <v>31752.715499999998</v>
      </c>
      <c r="H53" s="229">
        <v>46076.86</v>
      </c>
      <c r="I53" s="35">
        <f t="shared" ref="I53:I55" si="10">E53*H53</f>
        <v>2812992.3029999998</v>
      </c>
      <c r="J53" s="189" t="s">
        <v>22</v>
      </c>
      <c r="K53" s="66" t="s">
        <v>38</v>
      </c>
      <c r="L53" s="230"/>
      <c r="M53" s="245"/>
      <c r="N53" s="68"/>
      <c r="O53" s="68"/>
      <c r="P53" s="69"/>
      <c r="Q53" s="57"/>
      <c r="R53" s="68"/>
      <c r="S53" s="68"/>
      <c r="T53" s="68"/>
      <c r="U53" s="69"/>
    </row>
    <row r="54" spans="1:21" x14ac:dyDescent="0.25">
      <c r="A54" s="70">
        <f>A53+1</f>
        <v>47</v>
      </c>
      <c r="B54" s="98">
        <v>46047</v>
      </c>
      <c r="C54" s="72">
        <v>8610368</v>
      </c>
      <c r="D54" s="73">
        <v>75004267</v>
      </c>
      <c r="E54" s="74">
        <v>61.55</v>
      </c>
      <c r="F54" s="31">
        <v>520.11</v>
      </c>
      <c r="G54" s="228">
        <f t="shared" si="9"/>
        <v>32012.770499999999</v>
      </c>
      <c r="H54" s="229">
        <v>46076.86</v>
      </c>
      <c r="I54" s="35">
        <f t="shared" si="10"/>
        <v>2836030.733</v>
      </c>
      <c r="J54" s="189" t="s">
        <v>22</v>
      </c>
      <c r="K54" s="66" t="s">
        <v>38</v>
      </c>
      <c r="L54" s="231"/>
      <c r="M54" s="247"/>
      <c r="N54" s="75"/>
      <c r="O54" s="75"/>
      <c r="P54" s="79"/>
      <c r="Q54" s="70"/>
      <c r="R54" s="75"/>
      <c r="S54" s="75"/>
      <c r="T54" s="75"/>
      <c r="U54" s="79"/>
    </row>
    <row r="55" spans="1:21" ht="15.75" thickBot="1" x14ac:dyDescent="0.3">
      <c r="A55" s="101">
        <f>A54+1</f>
        <v>48</v>
      </c>
      <c r="B55" s="135">
        <v>46047</v>
      </c>
      <c r="C55" s="102">
        <v>8610367</v>
      </c>
      <c r="D55" s="103">
        <v>75788695</v>
      </c>
      <c r="E55" s="104">
        <v>61.1</v>
      </c>
      <c r="F55" s="31">
        <v>520.11</v>
      </c>
      <c r="G55" s="248">
        <f t="shared" si="9"/>
        <v>31778.721000000001</v>
      </c>
      <c r="H55" s="257">
        <v>46076.86</v>
      </c>
      <c r="I55" s="40">
        <f t="shared" si="10"/>
        <v>2815296.1460000002</v>
      </c>
      <c r="J55" s="189" t="s">
        <v>22</v>
      </c>
      <c r="K55" s="66" t="s">
        <v>38</v>
      </c>
      <c r="L55" s="258"/>
      <c r="M55" s="250"/>
      <c r="N55" s="88"/>
      <c r="O55" s="88"/>
      <c r="P55" s="89"/>
      <c r="Q55" s="80"/>
      <c r="R55" s="88"/>
      <c r="S55" s="88"/>
      <c r="T55" s="88"/>
      <c r="U55" s="89"/>
    </row>
    <row r="56" spans="1:21" ht="15.75" thickBot="1" x14ac:dyDescent="0.3">
      <c r="A56" s="233"/>
      <c r="B56" s="234"/>
      <c r="C56" s="234"/>
      <c r="D56" s="234"/>
      <c r="E56" s="251">
        <f>SUM(E53:E55)</f>
        <v>183.7</v>
      </c>
      <c r="F56" s="236"/>
      <c r="G56" s="237">
        <f>SUM(G53:G55)</f>
        <v>95544.206999999995</v>
      </c>
      <c r="H56" s="234"/>
      <c r="I56" s="238">
        <f>SUM(I53:I55)</f>
        <v>8464319.182</v>
      </c>
      <c r="J56" s="234"/>
      <c r="K56" s="239"/>
      <c r="L56" s="252"/>
      <c r="M56" s="253"/>
      <c r="N56" s="254"/>
      <c r="O56" s="254"/>
      <c r="P56" s="255"/>
      <c r="Q56" s="256"/>
      <c r="R56" s="254"/>
      <c r="S56" s="254"/>
      <c r="T56" s="254"/>
      <c r="U56" s="255"/>
    </row>
    <row r="57" spans="1:21" x14ac:dyDescent="0.25">
      <c r="A57" s="207">
        <v>49</v>
      </c>
      <c r="B57" s="71">
        <v>46048</v>
      </c>
      <c r="C57" s="151">
        <v>8610402</v>
      </c>
      <c r="D57" s="152">
        <v>73010704</v>
      </c>
      <c r="E57" s="153">
        <v>61.4</v>
      </c>
      <c r="F57" s="31">
        <v>520.11</v>
      </c>
      <c r="G57" s="228">
        <f t="shared" ref="G57:G61" si="11">E57*F57</f>
        <v>31934.754000000001</v>
      </c>
      <c r="H57" s="229">
        <v>46076.86</v>
      </c>
      <c r="I57" s="35">
        <f t="shared" ref="I57:I61" si="12">E57*H57</f>
        <v>2829119.2039999999</v>
      </c>
      <c r="J57" s="189" t="s">
        <v>22</v>
      </c>
      <c r="K57" s="66" t="s">
        <v>38</v>
      </c>
      <c r="L57" s="230"/>
      <c r="M57" s="57"/>
      <c r="N57" s="68"/>
      <c r="O57" s="68"/>
      <c r="P57" s="69"/>
      <c r="Q57" s="57"/>
      <c r="R57" s="68"/>
      <c r="S57" s="68"/>
      <c r="T57" s="68"/>
      <c r="U57" s="69"/>
    </row>
    <row r="58" spans="1:21" x14ac:dyDescent="0.25">
      <c r="A58" s="70">
        <f>A57+1</f>
        <v>50</v>
      </c>
      <c r="B58" s="98">
        <v>46048</v>
      </c>
      <c r="C58" s="72">
        <v>8610402</v>
      </c>
      <c r="D58" s="73">
        <v>73098402</v>
      </c>
      <c r="E58" s="74">
        <v>61.45</v>
      </c>
      <c r="F58" s="31">
        <v>520.11</v>
      </c>
      <c r="G58" s="228">
        <f t="shared" si="11"/>
        <v>31960.759500000004</v>
      </c>
      <c r="H58" s="229">
        <v>46076.86</v>
      </c>
      <c r="I58" s="35">
        <f t="shared" si="12"/>
        <v>2831423.0470000003</v>
      </c>
      <c r="J58" s="189" t="s">
        <v>22</v>
      </c>
      <c r="K58" s="66" t="s">
        <v>38</v>
      </c>
      <c r="L58" s="231"/>
      <c r="M58" s="70"/>
      <c r="N58" s="75"/>
      <c r="O58" s="75"/>
      <c r="P58" s="79"/>
      <c r="Q58" s="70"/>
      <c r="R58" s="75"/>
      <c r="S58" s="75"/>
      <c r="T58" s="75"/>
      <c r="U58" s="79"/>
    </row>
    <row r="59" spans="1:21" x14ac:dyDescent="0.25">
      <c r="A59" s="70">
        <f t="shared" ref="A59:A61" si="13">A58+1</f>
        <v>51</v>
      </c>
      <c r="B59" s="98">
        <v>46048</v>
      </c>
      <c r="C59" s="72">
        <v>8610402</v>
      </c>
      <c r="D59" s="73">
        <v>73157604</v>
      </c>
      <c r="E59" s="74">
        <v>61.4</v>
      </c>
      <c r="F59" s="31">
        <v>520.11</v>
      </c>
      <c r="G59" s="228">
        <f t="shared" si="11"/>
        <v>31934.754000000001</v>
      </c>
      <c r="H59" s="229">
        <v>46076.86</v>
      </c>
      <c r="I59" s="35">
        <f t="shared" si="12"/>
        <v>2829119.2039999999</v>
      </c>
      <c r="J59" s="189" t="s">
        <v>22</v>
      </c>
      <c r="K59" s="66" t="s">
        <v>38</v>
      </c>
      <c r="L59" s="231"/>
      <c r="M59" s="70"/>
      <c r="N59" s="75"/>
      <c r="O59" s="75"/>
      <c r="P59" s="79"/>
      <c r="Q59" s="70"/>
      <c r="R59" s="75"/>
      <c r="S59" s="75"/>
      <c r="T59" s="75"/>
      <c r="U59" s="79"/>
    </row>
    <row r="60" spans="1:21" x14ac:dyDescent="0.25">
      <c r="A60" s="70">
        <f t="shared" si="13"/>
        <v>52</v>
      </c>
      <c r="B60" s="98">
        <v>46048</v>
      </c>
      <c r="C60" s="72">
        <v>8610402</v>
      </c>
      <c r="D60" s="73">
        <v>73228207</v>
      </c>
      <c r="E60" s="74">
        <v>61.4</v>
      </c>
      <c r="F60" s="31">
        <v>520.11</v>
      </c>
      <c r="G60" s="228">
        <f t="shared" si="11"/>
        <v>31934.754000000001</v>
      </c>
      <c r="H60" s="229">
        <v>46076.86</v>
      </c>
      <c r="I60" s="35">
        <f t="shared" si="12"/>
        <v>2829119.2039999999</v>
      </c>
      <c r="J60" s="189" t="s">
        <v>22</v>
      </c>
      <c r="K60" s="66" t="s">
        <v>38</v>
      </c>
      <c r="L60" s="231"/>
      <c r="M60" s="70"/>
      <c r="N60" s="75"/>
      <c r="O60" s="75"/>
      <c r="P60" s="79"/>
      <c r="Q60" s="70"/>
      <c r="R60" s="75"/>
      <c r="S60" s="75"/>
      <c r="T60" s="75"/>
      <c r="U60" s="79"/>
    </row>
    <row r="61" spans="1:21" ht="15.75" thickBot="1" x14ac:dyDescent="0.3">
      <c r="A61" s="101">
        <f t="shared" si="13"/>
        <v>53</v>
      </c>
      <c r="B61" s="135">
        <v>46048</v>
      </c>
      <c r="C61" s="102">
        <v>8610402</v>
      </c>
      <c r="D61" s="103">
        <v>73228454</v>
      </c>
      <c r="E61" s="104">
        <v>61.35</v>
      </c>
      <c r="F61" s="31">
        <v>520.11</v>
      </c>
      <c r="G61" s="248">
        <f t="shared" si="11"/>
        <v>31908.748500000002</v>
      </c>
      <c r="H61" s="257">
        <v>46076.86</v>
      </c>
      <c r="I61" s="40">
        <f t="shared" si="12"/>
        <v>2826815.361</v>
      </c>
      <c r="J61" s="189" t="s">
        <v>22</v>
      </c>
      <c r="K61" s="66" t="s">
        <v>38</v>
      </c>
      <c r="L61" s="258"/>
      <c r="M61" s="80"/>
      <c r="N61" s="88"/>
      <c r="O61" s="88"/>
      <c r="P61" s="89"/>
      <c r="Q61" s="80"/>
      <c r="R61" s="88"/>
      <c r="S61" s="88"/>
      <c r="T61" s="88"/>
      <c r="U61" s="89"/>
    </row>
    <row r="62" spans="1:21" ht="15.75" thickBot="1" x14ac:dyDescent="0.3">
      <c r="A62" s="233"/>
      <c r="B62" s="234"/>
      <c r="C62" s="234"/>
      <c r="D62" s="234"/>
      <c r="E62" s="251">
        <f>SUM(E57:E61)</f>
        <v>307</v>
      </c>
      <c r="F62" s="236"/>
      <c r="G62" s="237">
        <f>SUM(G57:G61)</f>
        <v>159673.77000000002</v>
      </c>
      <c r="H62" s="234"/>
      <c r="I62" s="238">
        <f>SUM(I57:I61)</f>
        <v>14145596.02</v>
      </c>
      <c r="J62" s="234"/>
      <c r="K62" s="239"/>
      <c r="L62" s="259"/>
      <c r="M62" s="260"/>
      <c r="N62" s="261"/>
      <c r="O62" s="261"/>
      <c r="P62" s="262"/>
      <c r="Q62" s="263"/>
      <c r="R62" s="261"/>
      <c r="S62" s="261"/>
      <c r="T62" s="261"/>
      <c r="U62" s="262"/>
    </row>
    <row r="63" spans="1:21" ht="15.75" thickBot="1" x14ac:dyDescent="0.3">
      <c r="A63" s="347">
        <v>54</v>
      </c>
      <c r="B63" s="348">
        <v>46050</v>
      </c>
      <c r="C63" s="72">
        <v>8610487</v>
      </c>
      <c r="D63" s="73">
        <v>73227845</v>
      </c>
      <c r="E63" s="74">
        <v>60.65</v>
      </c>
      <c r="F63" s="31">
        <v>520.11</v>
      </c>
      <c r="G63" s="228">
        <f t="shared" ref="G63" si="14">E63*F63</f>
        <v>31544.6715</v>
      </c>
      <c r="H63" s="229">
        <v>46076.86</v>
      </c>
      <c r="I63" s="35">
        <f t="shared" ref="I63" si="15">E63*H63</f>
        <v>2794561.5589999999</v>
      </c>
      <c r="J63" s="189" t="s">
        <v>22</v>
      </c>
      <c r="K63" s="66" t="s">
        <v>38</v>
      </c>
      <c r="L63" s="349"/>
      <c r="M63" s="350"/>
      <c r="N63" s="351"/>
      <c r="O63" s="351"/>
      <c r="P63" s="352"/>
      <c r="Q63" s="353"/>
      <c r="R63" s="351"/>
      <c r="S63" s="351"/>
      <c r="T63" s="351"/>
      <c r="U63" s="352"/>
    </row>
    <row r="64" spans="1:21" ht="15.75" thickBot="1" x14ac:dyDescent="0.3">
      <c r="A64" s="233"/>
      <c r="B64" s="234"/>
      <c r="C64" s="234"/>
      <c r="D64" s="234"/>
      <c r="E64" s="251">
        <f>E63</f>
        <v>60.65</v>
      </c>
      <c r="F64" s="236"/>
      <c r="G64" s="237">
        <f>G63</f>
        <v>31544.6715</v>
      </c>
      <c r="H64" s="234"/>
      <c r="I64" s="238">
        <f>I63</f>
        <v>2794561.5589999999</v>
      </c>
      <c r="J64" s="234"/>
      <c r="K64" s="239"/>
      <c r="L64" s="252"/>
      <c r="M64" s="253"/>
      <c r="N64" s="254"/>
      <c r="O64" s="254"/>
      <c r="P64" s="255"/>
      <c r="Q64" s="256"/>
      <c r="R64" s="254"/>
      <c r="S64" s="254"/>
      <c r="T64" s="254"/>
      <c r="U64" s="255"/>
    </row>
    <row r="65" spans="1:21" x14ac:dyDescent="0.25">
      <c r="A65" s="207">
        <v>55</v>
      </c>
      <c r="B65" s="71">
        <v>46052</v>
      </c>
      <c r="C65" s="151">
        <v>8610564</v>
      </c>
      <c r="D65" s="152">
        <v>50409713</v>
      </c>
      <c r="E65" s="153">
        <v>61.35</v>
      </c>
      <c r="F65" s="31">
        <v>520.11</v>
      </c>
      <c r="G65" s="228">
        <f t="shared" ref="G65:G78" si="16">E65*F65</f>
        <v>31908.748500000002</v>
      </c>
      <c r="H65" s="229">
        <v>46076.86</v>
      </c>
      <c r="I65" s="35">
        <f t="shared" ref="I65:I78" si="17">E65*H65</f>
        <v>2826815.361</v>
      </c>
      <c r="J65" s="354" t="s">
        <v>22</v>
      </c>
      <c r="K65" s="355" t="s">
        <v>38</v>
      </c>
      <c r="L65" s="230"/>
      <c r="M65" s="57"/>
      <c r="N65" s="68"/>
      <c r="O65" s="68"/>
      <c r="P65" s="69"/>
      <c r="Q65" s="57"/>
      <c r="R65" s="68"/>
      <c r="S65" s="68"/>
      <c r="T65" s="68"/>
      <c r="U65" s="69"/>
    </row>
    <row r="66" spans="1:21" x14ac:dyDescent="0.25">
      <c r="A66" s="70">
        <f>A65+1</f>
        <v>56</v>
      </c>
      <c r="B66" s="98">
        <v>46052</v>
      </c>
      <c r="C66" s="72">
        <v>8610565</v>
      </c>
      <c r="D66" s="73">
        <v>50774330</v>
      </c>
      <c r="E66" s="74">
        <v>52.95</v>
      </c>
      <c r="F66" s="31">
        <v>520.11</v>
      </c>
      <c r="G66" s="228">
        <f t="shared" si="16"/>
        <v>27539.824500000002</v>
      </c>
      <c r="H66" s="229">
        <v>46076.86</v>
      </c>
      <c r="I66" s="35">
        <f t="shared" si="17"/>
        <v>2439769.7370000002</v>
      </c>
      <c r="J66" s="189" t="s">
        <v>22</v>
      </c>
      <c r="K66" s="356" t="s">
        <v>38</v>
      </c>
      <c r="L66" s="231"/>
      <c r="M66" s="70"/>
      <c r="N66" s="75"/>
      <c r="O66" s="75"/>
      <c r="P66" s="79"/>
      <c r="Q66" s="70"/>
      <c r="R66" s="75"/>
      <c r="S66" s="75"/>
      <c r="T66" s="75"/>
      <c r="U66" s="79"/>
    </row>
    <row r="67" spans="1:21" x14ac:dyDescent="0.25">
      <c r="A67" s="70">
        <f t="shared" ref="A67:A78" si="18">A66+1</f>
        <v>57</v>
      </c>
      <c r="B67" s="98">
        <v>46052</v>
      </c>
      <c r="C67" s="72">
        <v>8610565</v>
      </c>
      <c r="D67" s="73">
        <v>53901732</v>
      </c>
      <c r="E67" s="74">
        <v>51.95</v>
      </c>
      <c r="F67" s="31">
        <v>520.11</v>
      </c>
      <c r="G67" s="228">
        <f t="shared" si="16"/>
        <v>27019.714500000002</v>
      </c>
      <c r="H67" s="229">
        <v>46076.86</v>
      </c>
      <c r="I67" s="35">
        <f t="shared" si="17"/>
        <v>2393692.8770000003</v>
      </c>
      <c r="J67" s="189" t="s">
        <v>22</v>
      </c>
      <c r="K67" s="356" t="s">
        <v>38</v>
      </c>
      <c r="L67" s="231"/>
      <c r="M67" s="70"/>
      <c r="N67" s="75"/>
      <c r="O67" s="75"/>
      <c r="P67" s="79"/>
      <c r="Q67" s="70"/>
      <c r="R67" s="75"/>
      <c r="S67" s="75"/>
      <c r="T67" s="75"/>
      <c r="U67" s="79"/>
    </row>
    <row r="68" spans="1:21" x14ac:dyDescent="0.25">
      <c r="A68" s="70">
        <f t="shared" si="18"/>
        <v>58</v>
      </c>
      <c r="B68" s="98">
        <v>46052</v>
      </c>
      <c r="C68" s="72">
        <v>8610565</v>
      </c>
      <c r="D68" s="73">
        <v>54244066</v>
      </c>
      <c r="E68" s="74">
        <v>61.7</v>
      </c>
      <c r="F68" s="31">
        <v>520.11</v>
      </c>
      <c r="G68" s="228">
        <f t="shared" si="16"/>
        <v>32090.787000000004</v>
      </c>
      <c r="H68" s="229">
        <v>46076.86</v>
      </c>
      <c r="I68" s="35">
        <f t="shared" si="17"/>
        <v>2842942.2620000001</v>
      </c>
      <c r="J68" s="189" t="s">
        <v>22</v>
      </c>
      <c r="K68" s="356" t="s">
        <v>38</v>
      </c>
      <c r="L68" s="231"/>
      <c r="M68" s="70"/>
      <c r="N68" s="75"/>
      <c r="O68" s="75"/>
      <c r="P68" s="79"/>
      <c r="Q68" s="70"/>
      <c r="R68" s="75"/>
      <c r="S68" s="75"/>
      <c r="T68" s="75"/>
      <c r="U68" s="79"/>
    </row>
    <row r="69" spans="1:21" x14ac:dyDescent="0.25">
      <c r="A69" s="70">
        <f t="shared" si="18"/>
        <v>59</v>
      </c>
      <c r="B69" s="98">
        <v>46052</v>
      </c>
      <c r="C69" s="72">
        <v>8610565</v>
      </c>
      <c r="D69" s="73">
        <v>54259098</v>
      </c>
      <c r="E69" s="74">
        <v>61.55</v>
      </c>
      <c r="F69" s="31">
        <v>520.11</v>
      </c>
      <c r="G69" s="228">
        <f t="shared" si="16"/>
        <v>32012.770499999999</v>
      </c>
      <c r="H69" s="229">
        <v>46076.86</v>
      </c>
      <c r="I69" s="35">
        <f t="shared" si="17"/>
        <v>2836030.733</v>
      </c>
      <c r="J69" s="189" t="s">
        <v>22</v>
      </c>
      <c r="K69" s="356" t="s">
        <v>38</v>
      </c>
      <c r="L69" s="231"/>
      <c r="M69" s="70"/>
      <c r="N69" s="75"/>
      <c r="O69" s="75"/>
      <c r="P69" s="79"/>
      <c r="Q69" s="70"/>
      <c r="R69" s="75"/>
      <c r="S69" s="75"/>
      <c r="T69" s="75"/>
      <c r="U69" s="79"/>
    </row>
    <row r="70" spans="1:21" x14ac:dyDescent="0.25">
      <c r="A70" s="70">
        <f t="shared" si="18"/>
        <v>60</v>
      </c>
      <c r="B70" s="98">
        <v>46052</v>
      </c>
      <c r="C70" s="72">
        <v>8610564</v>
      </c>
      <c r="D70" s="73">
        <v>73087017</v>
      </c>
      <c r="E70" s="74">
        <v>61.8</v>
      </c>
      <c r="F70" s="31">
        <v>520.11</v>
      </c>
      <c r="G70" s="228">
        <f t="shared" si="16"/>
        <v>32142.797999999999</v>
      </c>
      <c r="H70" s="229">
        <v>46076.86</v>
      </c>
      <c r="I70" s="35">
        <f t="shared" si="17"/>
        <v>2847549.9479999999</v>
      </c>
      <c r="J70" s="189" t="s">
        <v>22</v>
      </c>
      <c r="K70" s="356" t="s">
        <v>38</v>
      </c>
      <c r="L70" s="231"/>
      <c r="M70" s="70"/>
      <c r="N70" s="75"/>
      <c r="O70" s="75"/>
      <c r="P70" s="79"/>
      <c r="Q70" s="70"/>
      <c r="R70" s="75"/>
      <c r="S70" s="75"/>
      <c r="T70" s="75"/>
      <c r="U70" s="79"/>
    </row>
    <row r="71" spans="1:21" x14ac:dyDescent="0.25">
      <c r="A71" s="70">
        <f t="shared" si="18"/>
        <v>61</v>
      </c>
      <c r="B71" s="98">
        <v>46052</v>
      </c>
      <c r="C71" s="72">
        <v>8610564</v>
      </c>
      <c r="D71" s="73">
        <v>73206641</v>
      </c>
      <c r="E71" s="74">
        <v>61.8</v>
      </c>
      <c r="F71" s="31">
        <v>520.11</v>
      </c>
      <c r="G71" s="228">
        <f t="shared" si="16"/>
        <v>32142.797999999999</v>
      </c>
      <c r="H71" s="229">
        <v>46076.86</v>
      </c>
      <c r="I71" s="35">
        <f t="shared" si="17"/>
        <v>2847549.9479999999</v>
      </c>
      <c r="J71" s="189" t="s">
        <v>22</v>
      </c>
      <c r="K71" s="356" t="s">
        <v>38</v>
      </c>
      <c r="L71" s="231"/>
      <c r="M71" s="70"/>
      <c r="N71" s="75"/>
      <c r="O71" s="75"/>
      <c r="P71" s="79"/>
      <c r="Q71" s="70"/>
      <c r="R71" s="75"/>
      <c r="S71" s="75"/>
      <c r="T71" s="75"/>
      <c r="U71" s="79"/>
    </row>
    <row r="72" spans="1:21" x14ac:dyDescent="0.25">
      <c r="A72" s="70">
        <f t="shared" si="18"/>
        <v>62</v>
      </c>
      <c r="B72" s="98">
        <v>46052</v>
      </c>
      <c r="C72" s="72">
        <v>8610564</v>
      </c>
      <c r="D72" s="73">
        <v>73216830</v>
      </c>
      <c r="E72" s="74">
        <v>61.8</v>
      </c>
      <c r="F72" s="31">
        <v>520.11</v>
      </c>
      <c r="G72" s="228">
        <f t="shared" si="16"/>
        <v>32142.797999999999</v>
      </c>
      <c r="H72" s="229">
        <v>46076.86</v>
      </c>
      <c r="I72" s="35">
        <f t="shared" si="17"/>
        <v>2847549.9479999999</v>
      </c>
      <c r="J72" s="189" t="s">
        <v>22</v>
      </c>
      <c r="K72" s="356" t="s">
        <v>38</v>
      </c>
      <c r="L72" s="231"/>
      <c r="M72" s="70"/>
      <c r="N72" s="75"/>
      <c r="O72" s="75"/>
      <c r="P72" s="79"/>
      <c r="Q72" s="70"/>
      <c r="R72" s="75"/>
      <c r="S72" s="75"/>
      <c r="T72" s="75"/>
      <c r="U72" s="79"/>
    </row>
    <row r="73" spans="1:21" x14ac:dyDescent="0.25">
      <c r="A73" s="70">
        <f t="shared" si="18"/>
        <v>63</v>
      </c>
      <c r="B73" s="98">
        <v>46052</v>
      </c>
      <c r="C73" s="72">
        <v>8610564</v>
      </c>
      <c r="D73" s="73">
        <v>73219008</v>
      </c>
      <c r="E73" s="74">
        <v>61.8</v>
      </c>
      <c r="F73" s="31">
        <v>520.11</v>
      </c>
      <c r="G73" s="228">
        <f t="shared" si="16"/>
        <v>32142.797999999999</v>
      </c>
      <c r="H73" s="229">
        <v>46076.86</v>
      </c>
      <c r="I73" s="35">
        <f t="shared" si="17"/>
        <v>2847549.9479999999</v>
      </c>
      <c r="J73" s="189" t="s">
        <v>22</v>
      </c>
      <c r="K73" s="356" t="s">
        <v>38</v>
      </c>
      <c r="L73" s="231"/>
      <c r="M73" s="70"/>
      <c r="N73" s="75"/>
      <c r="O73" s="75"/>
      <c r="P73" s="79"/>
      <c r="Q73" s="70"/>
      <c r="R73" s="75"/>
      <c r="S73" s="75"/>
      <c r="T73" s="75"/>
      <c r="U73" s="79"/>
    </row>
    <row r="74" spans="1:21" x14ac:dyDescent="0.25">
      <c r="A74" s="70">
        <f t="shared" si="18"/>
        <v>64</v>
      </c>
      <c r="B74" s="98">
        <v>46052</v>
      </c>
      <c r="C74" s="72">
        <v>8610564</v>
      </c>
      <c r="D74" s="73">
        <v>73225187</v>
      </c>
      <c r="E74" s="74">
        <v>61.8</v>
      </c>
      <c r="F74" s="31">
        <v>520.11</v>
      </c>
      <c r="G74" s="228">
        <f t="shared" si="16"/>
        <v>32142.797999999999</v>
      </c>
      <c r="H74" s="229">
        <v>46076.86</v>
      </c>
      <c r="I74" s="35">
        <f t="shared" si="17"/>
        <v>2847549.9479999999</v>
      </c>
      <c r="J74" s="189" t="s">
        <v>22</v>
      </c>
      <c r="K74" s="356" t="s">
        <v>38</v>
      </c>
      <c r="L74" s="231"/>
      <c r="M74" s="70"/>
      <c r="N74" s="75"/>
      <c r="O74" s="75"/>
      <c r="P74" s="79"/>
      <c r="Q74" s="70"/>
      <c r="R74" s="75"/>
      <c r="S74" s="75"/>
      <c r="T74" s="75"/>
      <c r="U74" s="79"/>
    </row>
    <row r="75" spans="1:21" x14ac:dyDescent="0.25">
      <c r="A75" s="70">
        <f t="shared" si="18"/>
        <v>65</v>
      </c>
      <c r="B75" s="98">
        <v>46052</v>
      </c>
      <c r="C75" s="72">
        <v>8610565</v>
      </c>
      <c r="D75" s="73">
        <v>75046714</v>
      </c>
      <c r="E75" s="74">
        <v>61.3</v>
      </c>
      <c r="F75" s="31">
        <v>520.11</v>
      </c>
      <c r="G75" s="228">
        <f t="shared" si="16"/>
        <v>31882.742999999999</v>
      </c>
      <c r="H75" s="229">
        <v>46076.86</v>
      </c>
      <c r="I75" s="35">
        <f t="shared" si="17"/>
        <v>2824511.5179999997</v>
      </c>
      <c r="J75" s="189" t="s">
        <v>22</v>
      </c>
      <c r="K75" s="356" t="s">
        <v>38</v>
      </c>
      <c r="L75" s="231"/>
      <c r="M75" s="70"/>
      <c r="N75" s="75"/>
      <c r="O75" s="75"/>
      <c r="P75" s="79"/>
      <c r="Q75" s="70"/>
      <c r="R75" s="75"/>
      <c r="S75" s="75"/>
      <c r="T75" s="75"/>
      <c r="U75" s="79"/>
    </row>
    <row r="76" spans="1:21" x14ac:dyDescent="0.25">
      <c r="A76" s="70">
        <f t="shared" si="18"/>
        <v>66</v>
      </c>
      <c r="B76" s="98">
        <v>46052</v>
      </c>
      <c r="C76" s="72">
        <v>8610564</v>
      </c>
      <c r="D76" s="73">
        <v>75211615</v>
      </c>
      <c r="E76" s="74">
        <v>62.25</v>
      </c>
      <c r="F76" s="31">
        <v>520.11</v>
      </c>
      <c r="G76" s="228">
        <f t="shared" si="16"/>
        <v>32376.8475</v>
      </c>
      <c r="H76" s="229">
        <v>46076.86</v>
      </c>
      <c r="I76" s="35">
        <f t="shared" si="17"/>
        <v>2868284.5350000001</v>
      </c>
      <c r="J76" s="189" t="s">
        <v>22</v>
      </c>
      <c r="K76" s="356" t="s">
        <v>38</v>
      </c>
      <c r="L76" s="231"/>
      <c r="M76" s="70"/>
      <c r="N76" s="75"/>
      <c r="O76" s="75"/>
      <c r="P76" s="79"/>
      <c r="Q76" s="70"/>
      <c r="R76" s="75"/>
      <c r="S76" s="75"/>
      <c r="T76" s="75"/>
      <c r="U76" s="79"/>
    </row>
    <row r="77" spans="1:21" x14ac:dyDescent="0.25">
      <c r="A77" s="70">
        <f t="shared" si="18"/>
        <v>67</v>
      </c>
      <c r="B77" s="98">
        <v>46052</v>
      </c>
      <c r="C77" s="72">
        <v>8610564</v>
      </c>
      <c r="D77" s="73">
        <v>75282400</v>
      </c>
      <c r="E77" s="74">
        <v>62.05</v>
      </c>
      <c r="F77" s="31">
        <v>520.11</v>
      </c>
      <c r="G77" s="228">
        <f t="shared" si="16"/>
        <v>32272.825499999999</v>
      </c>
      <c r="H77" s="229">
        <v>46076.86</v>
      </c>
      <c r="I77" s="35">
        <f t="shared" si="17"/>
        <v>2859069.1629999997</v>
      </c>
      <c r="J77" s="189" t="s">
        <v>22</v>
      </c>
      <c r="K77" s="356" t="s">
        <v>38</v>
      </c>
      <c r="L77" s="231"/>
      <c r="M77" s="70"/>
      <c r="N77" s="75"/>
      <c r="O77" s="75"/>
      <c r="P77" s="79"/>
      <c r="Q77" s="70"/>
      <c r="R77" s="75"/>
      <c r="S77" s="75"/>
      <c r="T77" s="75"/>
      <c r="U77" s="79"/>
    </row>
    <row r="78" spans="1:21" ht="15.75" thickBot="1" x14ac:dyDescent="0.3">
      <c r="A78" s="101">
        <f t="shared" si="18"/>
        <v>68</v>
      </c>
      <c r="B78" s="135">
        <v>46052</v>
      </c>
      <c r="C78" s="102">
        <v>8610564</v>
      </c>
      <c r="D78" s="103">
        <v>76441393</v>
      </c>
      <c r="E78" s="104">
        <v>62.2</v>
      </c>
      <c r="F78" s="31">
        <v>520.11</v>
      </c>
      <c r="G78" s="248">
        <f t="shared" si="16"/>
        <v>32350.842000000001</v>
      </c>
      <c r="H78" s="257">
        <v>46076.86</v>
      </c>
      <c r="I78" s="40">
        <f t="shared" si="17"/>
        <v>2865980.6920000003</v>
      </c>
      <c r="J78" s="189" t="s">
        <v>22</v>
      </c>
      <c r="K78" s="357" t="s">
        <v>38</v>
      </c>
      <c r="L78" s="258"/>
      <c r="M78" s="80"/>
      <c r="N78" s="88"/>
      <c r="O78" s="88"/>
      <c r="P78" s="89"/>
      <c r="Q78" s="80"/>
      <c r="R78" s="88"/>
      <c r="S78" s="88"/>
      <c r="T78" s="88"/>
      <c r="U78" s="89"/>
    </row>
    <row r="79" spans="1:21" ht="15.75" thickBot="1" x14ac:dyDescent="0.3">
      <c r="A79" s="233"/>
      <c r="B79" s="234"/>
      <c r="C79" s="234"/>
      <c r="D79" s="234"/>
      <c r="E79" s="251">
        <f>SUM(E65:E78)</f>
        <v>846.3</v>
      </c>
      <c r="F79" s="236"/>
      <c r="G79" s="237">
        <f>SUM(G65:G78)</f>
        <v>440169.09300000005</v>
      </c>
      <c r="H79" s="234"/>
      <c r="I79" s="238">
        <f>SUM(I65:I78)</f>
        <v>38994846.617999993</v>
      </c>
      <c r="J79" s="234"/>
      <c r="K79" s="239"/>
      <c r="L79" s="252"/>
      <c r="M79" s="253"/>
      <c r="N79" s="254"/>
      <c r="O79" s="254"/>
      <c r="P79" s="255"/>
      <c r="Q79" s="256"/>
      <c r="R79" s="254"/>
      <c r="S79" s="254"/>
      <c r="T79" s="254"/>
      <c r="U79" s="255"/>
    </row>
    <row r="80" spans="1:21" x14ac:dyDescent="0.25">
      <c r="A80" s="207">
        <v>69</v>
      </c>
      <c r="B80" s="71">
        <v>46053</v>
      </c>
      <c r="C80" s="151">
        <v>8610619</v>
      </c>
      <c r="D80" s="152">
        <v>57040339</v>
      </c>
      <c r="E80" s="153">
        <v>60.9</v>
      </c>
      <c r="F80" s="32">
        <v>520.11</v>
      </c>
      <c r="G80" s="228">
        <f t="shared" ref="G80:G82" si="19">E80*F80</f>
        <v>31674.699000000001</v>
      </c>
      <c r="H80" s="229">
        <v>46076.86</v>
      </c>
      <c r="I80" s="35">
        <f t="shared" ref="I80:I82" si="20">E80*H80</f>
        <v>2806080.7739999997</v>
      </c>
      <c r="J80" s="354" t="s">
        <v>22</v>
      </c>
      <c r="K80" s="355" t="s">
        <v>38</v>
      </c>
      <c r="L80" s="363"/>
      <c r="M80" s="57"/>
      <c r="N80" s="68"/>
      <c r="O80" s="68"/>
      <c r="P80" s="69"/>
      <c r="Q80" s="245"/>
      <c r="R80" s="68"/>
      <c r="S80" s="68"/>
      <c r="T80" s="68"/>
      <c r="U80" s="69"/>
    </row>
    <row r="81" spans="1:24" x14ac:dyDescent="0.25">
      <c r="A81" s="70">
        <f>A80+1</f>
        <v>70</v>
      </c>
      <c r="B81" s="98">
        <v>46053</v>
      </c>
      <c r="C81" s="72">
        <v>8610618</v>
      </c>
      <c r="D81" s="73">
        <v>75191841</v>
      </c>
      <c r="E81" s="74">
        <v>61.6</v>
      </c>
      <c r="F81" s="31">
        <v>520.11</v>
      </c>
      <c r="G81" s="228">
        <f t="shared" si="19"/>
        <v>32038.776000000002</v>
      </c>
      <c r="H81" s="229">
        <v>46076.86</v>
      </c>
      <c r="I81" s="35">
        <f t="shared" si="20"/>
        <v>2838334.5759999999</v>
      </c>
      <c r="J81" s="189" t="s">
        <v>22</v>
      </c>
      <c r="K81" s="356" t="s">
        <v>38</v>
      </c>
      <c r="L81" s="146"/>
      <c r="M81" s="70"/>
      <c r="N81" s="75"/>
      <c r="O81" s="75"/>
      <c r="P81" s="79"/>
      <c r="Q81" s="247"/>
      <c r="R81" s="75"/>
      <c r="S81" s="75"/>
      <c r="T81" s="75"/>
      <c r="U81" s="79"/>
    </row>
    <row r="82" spans="1:24" ht="15.75" thickBot="1" x14ac:dyDescent="0.3">
      <c r="A82" s="80">
        <f>A81+1</f>
        <v>71</v>
      </c>
      <c r="B82" s="99">
        <v>46053</v>
      </c>
      <c r="C82" s="82">
        <v>8610620</v>
      </c>
      <c r="D82" s="83">
        <v>75241729</v>
      </c>
      <c r="E82" s="84">
        <v>61.65</v>
      </c>
      <c r="F82" s="31">
        <v>520.11</v>
      </c>
      <c r="G82" s="364">
        <f t="shared" si="19"/>
        <v>32064.781500000001</v>
      </c>
      <c r="H82" s="365">
        <v>46076.86</v>
      </c>
      <c r="I82" s="366">
        <f t="shared" si="20"/>
        <v>2840638.4189999998</v>
      </c>
      <c r="J82" s="367" t="s">
        <v>22</v>
      </c>
      <c r="K82" s="368" t="s">
        <v>38</v>
      </c>
      <c r="L82" s="221"/>
      <c r="M82" s="80"/>
      <c r="N82" s="88"/>
      <c r="O82" s="88"/>
      <c r="P82" s="89"/>
      <c r="Q82" s="250"/>
      <c r="R82" s="88"/>
      <c r="S82" s="88"/>
      <c r="T82" s="88"/>
      <c r="U82" s="89"/>
    </row>
    <row r="83" spans="1:24" ht="15.75" thickBot="1" x14ac:dyDescent="0.3">
      <c r="A83" s="233"/>
      <c r="B83" s="234"/>
      <c r="C83" s="234"/>
      <c r="D83" s="234"/>
      <c r="E83" s="251">
        <f>SUM(E80:E82)</f>
        <v>184.15</v>
      </c>
      <c r="F83" s="236"/>
      <c r="G83" s="237">
        <f>SUM(G80:G82)</f>
        <v>95778.256500000003</v>
      </c>
      <c r="H83" s="234"/>
      <c r="I83" s="238">
        <f>SUM(I80:I82)</f>
        <v>8485053.7689999994</v>
      </c>
      <c r="J83" s="234"/>
      <c r="K83" s="369"/>
      <c r="L83" s="370"/>
      <c r="M83" s="233"/>
      <c r="N83" s="234"/>
      <c r="O83" s="234"/>
      <c r="P83" s="239"/>
      <c r="Q83" s="371"/>
      <c r="R83" s="234"/>
      <c r="S83" s="234"/>
      <c r="T83" s="234"/>
      <c r="U83" s="239"/>
    </row>
    <row r="84" spans="1:24" x14ac:dyDescent="0.25">
      <c r="A84" s="140">
        <v>72</v>
      </c>
      <c r="B84" s="98">
        <v>46053</v>
      </c>
      <c r="C84" s="72">
        <v>8610628</v>
      </c>
      <c r="D84" s="73">
        <v>50214980</v>
      </c>
      <c r="E84" s="74">
        <v>61.2</v>
      </c>
      <c r="F84" s="31">
        <v>520.11</v>
      </c>
      <c r="G84" s="228">
        <f t="shared" ref="G84:G97" si="21">E84*F84</f>
        <v>31830.732000000004</v>
      </c>
      <c r="H84" s="229">
        <v>46076.86</v>
      </c>
      <c r="I84" s="35">
        <f t="shared" ref="I84:I97" si="22">E84*H84</f>
        <v>2819903.8319999999</v>
      </c>
      <c r="J84" s="189" t="s">
        <v>22</v>
      </c>
      <c r="K84" s="356" t="s">
        <v>38</v>
      </c>
      <c r="L84" s="143"/>
      <c r="M84" s="57"/>
      <c r="N84" s="68"/>
      <c r="O84" s="68"/>
      <c r="P84" s="69"/>
      <c r="Q84" s="57"/>
      <c r="R84" s="68"/>
      <c r="S84" s="68"/>
      <c r="T84" s="68"/>
      <c r="U84" s="69"/>
    </row>
    <row r="85" spans="1:24" x14ac:dyDescent="0.25">
      <c r="A85" s="75">
        <f>A84+1</f>
        <v>73</v>
      </c>
      <c r="B85" s="98">
        <v>46053</v>
      </c>
      <c r="C85" s="72">
        <v>8610628</v>
      </c>
      <c r="D85" s="73">
        <v>51812824</v>
      </c>
      <c r="E85" s="74">
        <v>60.95</v>
      </c>
      <c r="F85" s="31">
        <v>520.11</v>
      </c>
      <c r="G85" s="228">
        <f t="shared" si="21"/>
        <v>31700.704500000003</v>
      </c>
      <c r="H85" s="229">
        <v>46076.86</v>
      </c>
      <c r="I85" s="35">
        <f t="shared" si="22"/>
        <v>2808384.6170000001</v>
      </c>
      <c r="J85" s="189" t="s">
        <v>22</v>
      </c>
      <c r="K85" s="356" t="s">
        <v>38</v>
      </c>
      <c r="L85" s="146"/>
      <c r="M85" s="70"/>
      <c r="N85" s="75"/>
      <c r="O85" s="75"/>
      <c r="P85" s="79"/>
      <c r="Q85" s="70"/>
      <c r="R85" s="75"/>
      <c r="S85" s="75"/>
      <c r="T85" s="75"/>
      <c r="U85" s="79"/>
    </row>
    <row r="86" spans="1:24" x14ac:dyDescent="0.25">
      <c r="A86" s="75">
        <f t="shared" ref="A86:A97" si="23">A85+1</f>
        <v>74</v>
      </c>
      <c r="B86" s="98">
        <v>46053</v>
      </c>
      <c r="C86" s="72">
        <v>8610628</v>
      </c>
      <c r="D86" s="73">
        <v>51891505</v>
      </c>
      <c r="E86" s="74">
        <v>61.45</v>
      </c>
      <c r="F86" s="31">
        <v>520.11</v>
      </c>
      <c r="G86" s="228">
        <f t="shared" si="21"/>
        <v>31960.759500000004</v>
      </c>
      <c r="H86" s="229">
        <v>46076.86</v>
      </c>
      <c r="I86" s="35">
        <f t="shared" si="22"/>
        <v>2831423.0470000003</v>
      </c>
      <c r="J86" s="189" t="s">
        <v>22</v>
      </c>
      <c r="K86" s="356" t="s">
        <v>38</v>
      </c>
      <c r="L86" s="146"/>
      <c r="M86" s="70"/>
      <c r="N86" s="75"/>
      <c r="O86" s="75"/>
      <c r="P86" s="79"/>
      <c r="Q86" s="70"/>
      <c r="R86" s="75"/>
      <c r="S86" s="75"/>
      <c r="T86" s="75"/>
      <c r="U86" s="79"/>
    </row>
    <row r="87" spans="1:24" x14ac:dyDescent="0.25">
      <c r="A87" s="75">
        <f t="shared" si="23"/>
        <v>75</v>
      </c>
      <c r="B87" s="98">
        <v>46053</v>
      </c>
      <c r="C87" s="72">
        <v>8610629</v>
      </c>
      <c r="D87" s="73">
        <v>53914461</v>
      </c>
      <c r="E87" s="74">
        <v>52.65</v>
      </c>
      <c r="F87" s="31">
        <v>520.11</v>
      </c>
      <c r="G87" s="228">
        <f t="shared" si="21"/>
        <v>27383.791499999999</v>
      </c>
      <c r="H87" s="229">
        <v>46076.86</v>
      </c>
      <c r="I87" s="35">
        <f t="shared" si="22"/>
        <v>2425946.679</v>
      </c>
      <c r="J87" s="189" t="s">
        <v>22</v>
      </c>
      <c r="K87" s="356" t="s">
        <v>38</v>
      </c>
      <c r="L87" s="146"/>
      <c r="M87" s="70"/>
      <c r="N87" s="75"/>
      <c r="O87" s="75"/>
      <c r="P87" s="79"/>
      <c r="Q87" s="70"/>
      <c r="R87" s="75"/>
      <c r="S87" s="75"/>
      <c r="T87" s="75"/>
      <c r="U87" s="79"/>
    </row>
    <row r="88" spans="1:24" x14ac:dyDescent="0.25">
      <c r="A88" s="75">
        <f t="shared" si="23"/>
        <v>76</v>
      </c>
      <c r="B88" s="98">
        <v>46053</v>
      </c>
      <c r="C88" s="72">
        <v>8610628</v>
      </c>
      <c r="D88" s="73">
        <v>54067178</v>
      </c>
      <c r="E88" s="74">
        <v>61.1</v>
      </c>
      <c r="F88" s="31">
        <v>520.11</v>
      </c>
      <c r="G88" s="228">
        <f t="shared" si="21"/>
        <v>31778.721000000001</v>
      </c>
      <c r="H88" s="229">
        <v>46076.86</v>
      </c>
      <c r="I88" s="35">
        <f t="shared" si="22"/>
        <v>2815296.1460000002</v>
      </c>
      <c r="J88" s="189" t="s">
        <v>22</v>
      </c>
      <c r="K88" s="356" t="s">
        <v>38</v>
      </c>
      <c r="L88" s="146"/>
      <c r="M88" s="70"/>
      <c r="N88" s="75"/>
      <c r="O88" s="75"/>
      <c r="P88" s="79"/>
      <c r="Q88" s="70"/>
      <c r="R88" s="75"/>
      <c r="S88" s="75"/>
      <c r="T88" s="75"/>
      <c r="U88" s="79"/>
    </row>
    <row r="89" spans="1:24" x14ac:dyDescent="0.25">
      <c r="A89" s="75">
        <f t="shared" si="23"/>
        <v>77</v>
      </c>
      <c r="B89" s="98">
        <v>46053</v>
      </c>
      <c r="C89" s="72">
        <v>8610629</v>
      </c>
      <c r="D89" s="73">
        <v>73010746</v>
      </c>
      <c r="E89" s="74">
        <v>61.45</v>
      </c>
      <c r="F89" s="31">
        <v>520.11</v>
      </c>
      <c r="G89" s="228">
        <f t="shared" si="21"/>
        <v>31960.759500000004</v>
      </c>
      <c r="H89" s="229">
        <v>46076.86</v>
      </c>
      <c r="I89" s="35">
        <f t="shared" si="22"/>
        <v>2831423.0470000003</v>
      </c>
      <c r="J89" s="189" t="s">
        <v>22</v>
      </c>
      <c r="K89" s="356" t="s">
        <v>38</v>
      </c>
      <c r="L89" s="146"/>
      <c r="M89" s="70"/>
      <c r="N89" s="75"/>
      <c r="O89" s="75"/>
      <c r="P89" s="79"/>
      <c r="Q89" s="70"/>
      <c r="R89" s="75"/>
      <c r="S89" s="75"/>
      <c r="T89" s="75"/>
      <c r="U89" s="79"/>
    </row>
    <row r="90" spans="1:24" x14ac:dyDescent="0.25">
      <c r="A90" s="75">
        <f t="shared" si="23"/>
        <v>78</v>
      </c>
      <c r="B90" s="98">
        <v>46053</v>
      </c>
      <c r="C90" s="72">
        <v>8610629</v>
      </c>
      <c r="D90" s="73">
        <v>73127037</v>
      </c>
      <c r="E90" s="74">
        <v>61.5</v>
      </c>
      <c r="F90" s="31">
        <v>520.11</v>
      </c>
      <c r="G90" s="228">
        <f t="shared" si="21"/>
        <v>31986.764999999999</v>
      </c>
      <c r="H90" s="229">
        <v>46076.86</v>
      </c>
      <c r="I90" s="35">
        <f t="shared" si="22"/>
        <v>2833726.89</v>
      </c>
      <c r="J90" s="189" t="s">
        <v>22</v>
      </c>
      <c r="K90" s="356" t="s">
        <v>38</v>
      </c>
      <c r="L90" s="146"/>
      <c r="M90" s="70"/>
      <c r="N90" s="75"/>
      <c r="O90" s="75"/>
      <c r="P90" s="79"/>
      <c r="Q90" s="70"/>
      <c r="R90" s="75"/>
      <c r="S90" s="75"/>
      <c r="T90" s="75"/>
      <c r="U90" s="79"/>
    </row>
    <row r="91" spans="1:24" x14ac:dyDescent="0.25">
      <c r="A91" s="75">
        <f t="shared" si="23"/>
        <v>79</v>
      </c>
      <c r="B91" s="98">
        <v>46053</v>
      </c>
      <c r="C91" s="72">
        <v>8610629</v>
      </c>
      <c r="D91" s="73">
        <v>73173411</v>
      </c>
      <c r="E91" s="74">
        <v>61.5</v>
      </c>
      <c r="F91" s="31">
        <v>520.11</v>
      </c>
      <c r="G91" s="228">
        <f t="shared" si="21"/>
        <v>31986.764999999999</v>
      </c>
      <c r="H91" s="229">
        <v>46076.86</v>
      </c>
      <c r="I91" s="35">
        <f t="shared" si="22"/>
        <v>2833726.89</v>
      </c>
      <c r="J91" s="189" t="s">
        <v>22</v>
      </c>
      <c r="K91" s="356" t="s">
        <v>38</v>
      </c>
      <c r="L91" s="146"/>
      <c r="M91" s="70"/>
      <c r="N91" s="75"/>
      <c r="O91" s="75"/>
      <c r="P91" s="79"/>
      <c r="Q91" s="70"/>
      <c r="R91" s="75"/>
      <c r="S91" s="75"/>
      <c r="T91" s="75"/>
      <c r="U91" s="79"/>
      <c r="X91" s="388"/>
    </row>
    <row r="92" spans="1:24" x14ac:dyDescent="0.25">
      <c r="A92" s="75">
        <f t="shared" si="23"/>
        <v>80</v>
      </c>
      <c r="B92" s="98">
        <v>46053</v>
      </c>
      <c r="C92" s="72">
        <v>8610629</v>
      </c>
      <c r="D92" s="73">
        <v>73173445</v>
      </c>
      <c r="E92" s="74">
        <v>61.6</v>
      </c>
      <c r="F92" s="31">
        <v>520.11</v>
      </c>
      <c r="G92" s="228">
        <f t="shared" si="21"/>
        <v>32038.776000000002</v>
      </c>
      <c r="H92" s="229">
        <v>46076.86</v>
      </c>
      <c r="I92" s="35">
        <f t="shared" si="22"/>
        <v>2838334.5759999999</v>
      </c>
      <c r="J92" s="189" t="s">
        <v>22</v>
      </c>
      <c r="K92" s="356" t="s">
        <v>38</v>
      </c>
      <c r="L92" s="146"/>
      <c r="M92" s="70"/>
      <c r="N92" s="75"/>
      <c r="O92" s="75"/>
      <c r="P92" s="79"/>
      <c r="Q92" s="70"/>
      <c r="R92" s="75"/>
      <c r="S92" s="75"/>
      <c r="T92" s="75"/>
      <c r="U92" s="79"/>
    </row>
    <row r="93" spans="1:24" x14ac:dyDescent="0.25">
      <c r="A93" s="75">
        <f t="shared" si="23"/>
        <v>81</v>
      </c>
      <c r="B93" s="98">
        <v>46053</v>
      </c>
      <c r="C93" s="72">
        <v>8610629</v>
      </c>
      <c r="D93" s="73">
        <v>73173940</v>
      </c>
      <c r="E93" s="74">
        <v>61.5</v>
      </c>
      <c r="F93" s="31">
        <v>520.11</v>
      </c>
      <c r="G93" s="228">
        <f t="shared" si="21"/>
        <v>31986.764999999999</v>
      </c>
      <c r="H93" s="229">
        <v>46076.86</v>
      </c>
      <c r="I93" s="35">
        <f t="shared" si="22"/>
        <v>2833726.89</v>
      </c>
      <c r="J93" s="189" t="s">
        <v>22</v>
      </c>
      <c r="K93" s="356" t="s">
        <v>38</v>
      </c>
      <c r="L93" s="146"/>
      <c r="M93" s="70"/>
      <c r="N93" s="75"/>
      <c r="O93" s="75"/>
      <c r="P93" s="79"/>
      <c r="Q93" s="70"/>
      <c r="R93" s="75"/>
      <c r="S93" s="75"/>
      <c r="T93" s="75"/>
      <c r="U93" s="79"/>
    </row>
    <row r="94" spans="1:24" x14ac:dyDescent="0.25">
      <c r="A94" s="75">
        <f t="shared" si="23"/>
        <v>82</v>
      </c>
      <c r="B94" s="98">
        <v>46053</v>
      </c>
      <c r="C94" s="72">
        <v>8610629</v>
      </c>
      <c r="D94" s="73">
        <v>73174013</v>
      </c>
      <c r="E94" s="74">
        <v>61.5</v>
      </c>
      <c r="F94" s="31">
        <v>520.11</v>
      </c>
      <c r="G94" s="228">
        <f t="shared" si="21"/>
        <v>31986.764999999999</v>
      </c>
      <c r="H94" s="229">
        <v>46076.86</v>
      </c>
      <c r="I94" s="35">
        <f t="shared" si="22"/>
        <v>2833726.89</v>
      </c>
      <c r="J94" s="189" t="s">
        <v>22</v>
      </c>
      <c r="K94" s="356" t="s">
        <v>38</v>
      </c>
      <c r="L94" s="146"/>
      <c r="M94" s="70"/>
      <c r="N94" s="75"/>
      <c r="O94" s="75"/>
      <c r="P94" s="79"/>
      <c r="Q94" s="70"/>
      <c r="R94" s="75"/>
      <c r="S94" s="75"/>
      <c r="T94" s="75"/>
      <c r="U94" s="79"/>
    </row>
    <row r="95" spans="1:24" x14ac:dyDescent="0.25">
      <c r="A95" s="75">
        <f t="shared" si="23"/>
        <v>83</v>
      </c>
      <c r="B95" s="98">
        <v>46053</v>
      </c>
      <c r="C95" s="72">
        <v>8610629</v>
      </c>
      <c r="D95" s="73">
        <v>73178337</v>
      </c>
      <c r="E95" s="74">
        <v>61.75</v>
      </c>
      <c r="F95" s="31">
        <v>520.11</v>
      </c>
      <c r="G95" s="228">
        <f t="shared" si="21"/>
        <v>32116.7925</v>
      </c>
      <c r="H95" s="229">
        <v>46076.86</v>
      </c>
      <c r="I95" s="35">
        <f t="shared" si="22"/>
        <v>2845246.105</v>
      </c>
      <c r="J95" s="189" t="s">
        <v>22</v>
      </c>
      <c r="K95" s="356" t="s">
        <v>38</v>
      </c>
      <c r="L95" s="146"/>
      <c r="M95" s="70"/>
      <c r="N95" s="75"/>
      <c r="O95" s="75"/>
      <c r="P95" s="79"/>
      <c r="Q95" s="70"/>
      <c r="R95" s="75"/>
      <c r="S95" s="75"/>
      <c r="T95" s="75"/>
      <c r="U95" s="79"/>
    </row>
    <row r="96" spans="1:24" x14ac:dyDescent="0.25">
      <c r="A96" s="75">
        <f t="shared" si="23"/>
        <v>84</v>
      </c>
      <c r="B96" s="98">
        <v>46053</v>
      </c>
      <c r="C96" s="72">
        <v>8610629</v>
      </c>
      <c r="D96" s="73">
        <v>73221533</v>
      </c>
      <c r="E96" s="74">
        <v>61.65</v>
      </c>
      <c r="F96" s="31">
        <v>520.11</v>
      </c>
      <c r="G96" s="228">
        <f t="shared" si="21"/>
        <v>32064.781500000001</v>
      </c>
      <c r="H96" s="229">
        <v>46076.86</v>
      </c>
      <c r="I96" s="35">
        <f t="shared" si="22"/>
        <v>2840638.4189999998</v>
      </c>
      <c r="J96" s="189" t="s">
        <v>22</v>
      </c>
      <c r="K96" s="356" t="s">
        <v>38</v>
      </c>
      <c r="L96" s="146"/>
      <c r="M96" s="70"/>
      <c r="N96" s="75"/>
      <c r="O96" s="75"/>
      <c r="P96" s="79"/>
      <c r="Q96" s="70"/>
      <c r="R96" s="75"/>
      <c r="S96" s="75"/>
      <c r="T96" s="75"/>
      <c r="U96" s="79"/>
    </row>
    <row r="97" spans="1:23" ht="15.75" thickBot="1" x14ac:dyDescent="0.3">
      <c r="A97" s="105">
        <f t="shared" si="23"/>
        <v>85</v>
      </c>
      <c r="B97" s="135">
        <v>46053</v>
      </c>
      <c r="C97" s="102">
        <v>8610628</v>
      </c>
      <c r="D97" s="103">
        <v>75102475</v>
      </c>
      <c r="E97" s="74">
        <v>61.8</v>
      </c>
      <c r="F97" s="31">
        <v>520.11</v>
      </c>
      <c r="G97" s="228">
        <f t="shared" si="21"/>
        <v>32142.797999999999</v>
      </c>
      <c r="H97" s="229">
        <v>46076.86</v>
      </c>
      <c r="I97" s="35">
        <f t="shared" si="22"/>
        <v>2847549.9479999999</v>
      </c>
      <c r="J97" s="189" t="s">
        <v>22</v>
      </c>
      <c r="K97" s="356" t="s">
        <v>38</v>
      </c>
      <c r="L97" s="149"/>
      <c r="M97" s="101"/>
      <c r="N97" s="105"/>
      <c r="O97" s="105"/>
      <c r="P97" s="112"/>
      <c r="Q97" s="101"/>
      <c r="R97" s="105"/>
      <c r="S97" s="105"/>
      <c r="T97" s="105"/>
      <c r="U97" s="112"/>
      <c r="W97" s="388"/>
    </row>
    <row r="98" spans="1:23" ht="15.75" thickBot="1" x14ac:dyDescent="0.3">
      <c r="A98" s="233"/>
      <c r="B98" s="234"/>
      <c r="C98" s="234"/>
      <c r="D98" s="234"/>
      <c r="E98" s="251">
        <f>SUM(E84:E97)</f>
        <v>851.59999999999991</v>
      </c>
      <c r="F98" s="236"/>
      <c r="G98" s="237">
        <f>SUM(G84:G97)</f>
        <v>442925.67600000004</v>
      </c>
      <c r="H98" s="234"/>
      <c r="I98" s="238">
        <f>SUM(I84:I97)</f>
        <v>39239053.975999996</v>
      </c>
      <c r="J98" s="234"/>
      <c r="K98" s="239"/>
      <c r="L98" s="389"/>
      <c r="M98" s="241"/>
      <c r="N98" s="242"/>
      <c r="O98" s="242"/>
      <c r="P98" s="243"/>
      <c r="Q98" s="241"/>
      <c r="R98" s="242"/>
      <c r="S98" s="242"/>
      <c r="T98" s="242"/>
      <c r="U98" s="243"/>
    </row>
    <row r="99" spans="1:23" ht="15.75" thickBot="1" x14ac:dyDescent="0.3">
      <c r="A99" s="687" t="s">
        <v>71</v>
      </c>
      <c r="B99" s="688"/>
      <c r="C99" s="688"/>
      <c r="D99" s="689"/>
      <c r="E99" s="390">
        <f>E35+E45+E52+E56+E62+E64+E79+E83+E98</f>
        <v>5199.4999999999982</v>
      </c>
      <c r="F99" s="391"/>
      <c r="G99" s="392">
        <f>G35+G45+G52+G56+G62+G64+G79+G83+G98</f>
        <v>2704312.0559090911</v>
      </c>
      <c r="H99" s="393"/>
      <c r="I99" s="394">
        <f>I35+I45+I52+I56+I62+I64+I79+I83+I98</f>
        <v>239576633.56999999</v>
      </c>
      <c r="J99" s="395"/>
      <c r="K99" s="396"/>
      <c r="L99" s="395"/>
      <c r="M99" s="397"/>
      <c r="N99" s="393"/>
      <c r="O99" s="393"/>
      <c r="P99" s="398"/>
      <c r="Q99" s="399"/>
      <c r="R99" s="393"/>
      <c r="S99" s="393"/>
      <c r="T99" s="393"/>
      <c r="U99" s="398"/>
    </row>
    <row r="100" spans="1:23" x14ac:dyDescent="0.25">
      <c r="A100" s="207">
        <v>86</v>
      </c>
      <c r="B100" s="71">
        <v>46056</v>
      </c>
      <c r="C100" s="151">
        <v>8610685</v>
      </c>
      <c r="D100" s="152">
        <v>50464833</v>
      </c>
      <c r="E100" s="153">
        <v>53.15</v>
      </c>
      <c r="F100" s="32">
        <v>564.96</v>
      </c>
      <c r="G100" s="228">
        <f t="shared" ref="G100:G110" si="24">E100*F100</f>
        <v>30027.624</v>
      </c>
      <c r="H100" s="229">
        <v>46076.86</v>
      </c>
      <c r="I100" s="35">
        <f t="shared" ref="I100:I110" si="25">E100*H100</f>
        <v>2448985.1090000002</v>
      </c>
      <c r="J100" s="354" t="s">
        <v>22</v>
      </c>
      <c r="K100" s="355" t="s">
        <v>38</v>
      </c>
      <c r="L100" s="143"/>
      <c r="M100" s="207"/>
      <c r="N100" s="140"/>
      <c r="O100" s="140"/>
      <c r="P100" s="210"/>
      <c r="Q100" s="377"/>
      <c r="R100" s="140"/>
      <c r="S100" s="140"/>
      <c r="T100" s="140"/>
      <c r="U100" s="210"/>
    </row>
    <row r="101" spans="1:23" x14ac:dyDescent="0.25">
      <c r="A101" s="70">
        <f>A100+1</f>
        <v>87</v>
      </c>
      <c r="B101" s="98">
        <v>46056</v>
      </c>
      <c r="C101" s="72">
        <v>8610685</v>
      </c>
      <c r="D101" s="73">
        <v>50745082</v>
      </c>
      <c r="E101" s="74">
        <v>52.1</v>
      </c>
      <c r="F101" s="32">
        <v>564.96</v>
      </c>
      <c r="G101" s="228">
        <f t="shared" si="24"/>
        <v>29434.416000000001</v>
      </c>
      <c r="H101" s="229">
        <v>46076.86</v>
      </c>
      <c r="I101" s="35">
        <f t="shared" si="25"/>
        <v>2400604.406</v>
      </c>
      <c r="J101" s="189" t="s">
        <v>22</v>
      </c>
      <c r="K101" s="356" t="s">
        <v>38</v>
      </c>
      <c r="L101" s="146"/>
      <c r="M101" s="70"/>
      <c r="N101" s="75"/>
      <c r="O101" s="75"/>
      <c r="P101" s="79"/>
      <c r="Q101" s="247"/>
      <c r="R101" s="75"/>
      <c r="S101" s="75"/>
      <c r="T101" s="75"/>
      <c r="U101" s="79"/>
    </row>
    <row r="102" spans="1:23" x14ac:dyDescent="0.25">
      <c r="A102" s="70">
        <f t="shared" ref="A102:A110" si="26">A101+1</f>
        <v>88</v>
      </c>
      <c r="B102" s="98">
        <v>46056</v>
      </c>
      <c r="C102" s="72">
        <v>8610687</v>
      </c>
      <c r="D102" s="73">
        <v>50786201</v>
      </c>
      <c r="E102" s="74">
        <v>52.15</v>
      </c>
      <c r="F102" s="32">
        <v>564.96</v>
      </c>
      <c r="G102" s="228">
        <f t="shared" si="24"/>
        <v>29462.664000000001</v>
      </c>
      <c r="H102" s="229">
        <v>46076.86</v>
      </c>
      <c r="I102" s="35">
        <f t="shared" si="25"/>
        <v>2402908.2489999998</v>
      </c>
      <c r="J102" s="189" t="s">
        <v>22</v>
      </c>
      <c r="K102" s="356" t="s">
        <v>38</v>
      </c>
      <c r="L102" s="146"/>
      <c r="M102" s="70"/>
      <c r="N102" s="75"/>
      <c r="O102" s="75"/>
      <c r="P102" s="79"/>
      <c r="Q102" s="247"/>
      <c r="R102" s="75"/>
      <c r="S102" s="75"/>
      <c r="T102" s="75"/>
      <c r="U102" s="79"/>
    </row>
    <row r="103" spans="1:23" x14ac:dyDescent="0.25">
      <c r="A103" s="70">
        <f t="shared" si="26"/>
        <v>89</v>
      </c>
      <c r="B103" s="98">
        <v>46056</v>
      </c>
      <c r="C103" s="72">
        <v>8610688</v>
      </c>
      <c r="D103" s="73">
        <v>50978568</v>
      </c>
      <c r="E103" s="74">
        <v>53.25</v>
      </c>
      <c r="F103" s="32">
        <v>564.96</v>
      </c>
      <c r="G103" s="228">
        <f t="shared" si="24"/>
        <v>30084.120000000003</v>
      </c>
      <c r="H103" s="229">
        <v>46076.86</v>
      </c>
      <c r="I103" s="35">
        <f t="shared" si="25"/>
        <v>2453592.7949999999</v>
      </c>
      <c r="J103" s="189" t="s">
        <v>22</v>
      </c>
      <c r="K103" s="356" t="s">
        <v>38</v>
      </c>
      <c r="L103" s="146"/>
      <c r="M103" s="70"/>
      <c r="N103" s="75"/>
      <c r="O103" s="75"/>
      <c r="P103" s="79"/>
      <c r="Q103" s="247"/>
      <c r="R103" s="75"/>
      <c r="S103" s="75"/>
      <c r="T103" s="75"/>
      <c r="U103" s="79"/>
    </row>
    <row r="104" spans="1:23" x14ac:dyDescent="0.25">
      <c r="A104" s="70">
        <f t="shared" si="26"/>
        <v>90</v>
      </c>
      <c r="B104" s="98">
        <v>46056</v>
      </c>
      <c r="C104" s="72">
        <v>8610685</v>
      </c>
      <c r="D104" s="73">
        <v>53920807</v>
      </c>
      <c r="E104" s="74">
        <v>52.65</v>
      </c>
      <c r="F104" s="32">
        <v>564.96</v>
      </c>
      <c r="G104" s="228">
        <f t="shared" si="24"/>
        <v>29745.144</v>
      </c>
      <c r="H104" s="229">
        <v>46076.86</v>
      </c>
      <c r="I104" s="35">
        <f t="shared" si="25"/>
        <v>2425946.679</v>
      </c>
      <c r="J104" s="189" t="s">
        <v>22</v>
      </c>
      <c r="K104" s="356" t="s">
        <v>38</v>
      </c>
      <c r="L104" s="146"/>
      <c r="M104" s="70"/>
      <c r="N104" s="75"/>
      <c r="O104" s="75"/>
      <c r="P104" s="79"/>
      <c r="Q104" s="247"/>
      <c r="R104" s="75"/>
      <c r="S104" s="75"/>
      <c r="T104" s="75"/>
      <c r="U104" s="79"/>
    </row>
    <row r="105" spans="1:23" x14ac:dyDescent="0.25">
      <c r="A105" s="70">
        <f t="shared" si="26"/>
        <v>91</v>
      </c>
      <c r="B105" s="98">
        <v>46056</v>
      </c>
      <c r="C105" s="72">
        <v>8610684</v>
      </c>
      <c r="D105" s="73">
        <v>57133423</v>
      </c>
      <c r="E105" s="74">
        <v>61</v>
      </c>
      <c r="F105" s="32">
        <v>564.96</v>
      </c>
      <c r="G105" s="228">
        <f t="shared" si="24"/>
        <v>34462.560000000005</v>
      </c>
      <c r="H105" s="229">
        <v>46076.86</v>
      </c>
      <c r="I105" s="35">
        <f t="shared" si="25"/>
        <v>2810688.46</v>
      </c>
      <c r="J105" s="189" t="s">
        <v>22</v>
      </c>
      <c r="K105" s="356" t="s">
        <v>38</v>
      </c>
      <c r="L105" s="146"/>
      <c r="M105" s="70"/>
      <c r="N105" s="75"/>
      <c r="O105" s="75"/>
      <c r="P105" s="79"/>
      <c r="Q105" s="247"/>
      <c r="R105" s="75"/>
      <c r="S105" s="75"/>
      <c r="T105" s="75"/>
      <c r="U105" s="79"/>
    </row>
    <row r="106" spans="1:23" x14ac:dyDescent="0.25">
      <c r="A106" s="70">
        <f t="shared" si="26"/>
        <v>92</v>
      </c>
      <c r="B106" s="98">
        <v>46056</v>
      </c>
      <c r="C106" s="72">
        <v>8610689</v>
      </c>
      <c r="D106" s="73">
        <v>73139669</v>
      </c>
      <c r="E106" s="74">
        <v>61.55</v>
      </c>
      <c r="F106" s="32">
        <v>564.96</v>
      </c>
      <c r="G106" s="228">
        <f t="shared" si="24"/>
        <v>34773.288</v>
      </c>
      <c r="H106" s="229">
        <v>46076.86</v>
      </c>
      <c r="I106" s="35">
        <f t="shared" si="25"/>
        <v>2836030.733</v>
      </c>
      <c r="J106" s="189" t="s">
        <v>22</v>
      </c>
      <c r="K106" s="356" t="s">
        <v>38</v>
      </c>
      <c r="L106" s="146"/>
      <c r="M106" s="70"/>
      <c r="N106" s="75"/>
      <c r="O106" s="75"/>
      <c r="P106" s="79"/>
      <c r="Q106" s="247"/>
      <c r="R106" s="75"/>
      <c r="S106" s="75"/>
      <c r="T106" s="75"/>
      <c r="U106" s="79"/>
    </row>
    <row r="107" spans="1:23" x14ac:dyDescent="0.25">
      <c r="A107" s="70">
        <f t="shared" si="26"/>
        <v>93</v>
      </c>
      <c r="B107" s="98">
        <v>46056</v>
      </c>
      <c r="C107" s="72">
        <v>8610685</v>
      </c>
      <c r="D107" s="73">
        <v>73212102</v>
      </c>
      <c r="E107" s="74">
        <v>61.55</v>
      </c>
      <c r="F107" s="32">
        <v>564.96</v>
      </c>
      <c r="G107" s="228">
        <f t="shared" si="24"/>
        <v>34773.288</v>
      </c>
      <c r="H107" s="229">
        <v>46076.86</v>
      </c>
      <c r="I107" s="35">
        <f t="shared" si="25"/>
        <v>2836030.733</v>
      </c>
      <c r="J107" s="189" t="s">
        <v>22</v>
      </c>
      <c r="K107" s="356" t="s">
        <v>38</v>
      </c>
      <c r="L107" s="146"/>
      <c r="M107" s="70"/>
      <c r="N107" s="75"/>
      <c r="O107" s="75"/>
      <c r="P107" s="79"/>
      <c r="Q107" s="247"/>
      <c r="R107" s="75"/>
      <c r="S107" s="75"/>
      <c r="T107" s="75"/>
      <c r="U107" s="79"/>
    </row>
    <row r="108" spans="1:23" x14ac:dyDescent="0.25">
      <c r="A108" s="70">
        <f t="shared" si="26"/>
        <v>94</v>
      </c>
      <c r="B108" s="98">
        <v>46056</v>
      </c>
      <c r="C108" s="72">
        <v>8610685</v>
      </c>
      <c r="D108" s="73">
        <v>73607483</v>
      </c>
      <c r="E108" s="74">
        <v>61.45</v>
      </c>
      <c r="F108" s="32">
        <v>564.96</v>
      </c>
      <c r="G108" s="228">
        <f t="shared" si="24"/>
        <v>34716.792000000001</v>
      </c>
      <c r="H108" s="229">
        <v>46076.86</v>
      </c>
      <c r="I108" s="35">
        <f t="shared" si="25"/>
        <v>2831423.0470000003</v>
      </c>
      <c r="J108" s="189" t="s">
        <v>22</v>
      </c>
      <c r="K108" s="356" t="s">
        <v>38</v>
      </c>
      <c r="L108" s="146"/>
      <c r="M108" s="70"/>
      <c r="N108" s="75"/>
      <c r="O108" s="75"/>
      <c r="P108" s="79"/>
      <c r="Q108" s="247"/>
      <c r="R108" s="75"/>
      <c r="S108" s="75"/>
      <c r="T108" s="75"/>
      <c r="U108" s="79"/>
    </row>
    <row r="109" spans="1:23" x14ac:dyDescent="0.25">
      <c r="A109" s="70">
        <f t="shared" si="26"/>
        <v>95</v>
      </c>
      <c r="B109" s="98">
        <v>46056</v>
      </c>
      <c r="C109" s="72">
        <v>8610685</v>
      </c>
      <c r="D109" s="73">
        <v>75052522</v>
      </c>
      <c r="E109" s="74">
        <v>61.45</v>
      </c>
      <c r="F109" s="32">
        <v>564.96</v>
      </c>
      <c r="G109" s="228">
        <f t="shared" si="24"/>
        <v>34716.792000000001</v>
      </c>
      <c r="H109" s="229">
        <v>46076.86</v>
      </c>
      <c r="I109" s="35">
        <f t="shared" si="25"/>
        <v>2831423.0470000003</v>
      </c>
      <c r="J109" s="189" t="s">
        <v>22</v>
      </c>
      <c r="K109" s="356" t="s">
        <v>38</v>
      </c>
      <c r="L109" s="146"/>
      <c r="M109" s="70"/>
      <c r="N109" s="75"/>
      <c r="O109" s="75"/>
      <c r="P109" s="79"/>
      <c r="Q109" s="247"/>
      <c r="R109" s="75"/>
      <c r="S109" s="75"/>
      <c r="T109" s="75"/>
      <c r="U109" s="79"/>
    </row>
    <row r="110" spans="1:23" ht="15.75" thickBot="1" x14ac:dyDescent="0.3">
      <c r="A110" s="101">
        <f t="shared" si="26"/>
        <v>96</v>
      </c>
      <c r="B110" s="135">
        <v>46056</v>
      </c>
      <c r="C110" s="102">
        <v>8610685</v>
      </c>
      <c r="D110" s="103">
        <v>76079193</v>
      </c>
      <c r="E110" s="104">
        <v>61.95</v>
      </c>
      <c r="F110" s="33">
        <v>564.96</v>
      </c>
      <c r="G110" s="248">
        <f t="shared" si="24"/>
        <v>34999.272000000004</v>
      </c>
      <c r="H110" s="257">
        <v>46076.86</v>
      </c>
      <c r="I110" s="40">
        <f t="shared" si="25"/>
        <v>2854461.477</v>
      </c>
      <c r="J110" s="189" t="s">
        <v>22</v>
      </c>
      <c r="K110" s="357" t="s">
        <v>38</v>
      </c>
      <c r="L110" s="221"/>
      <c r="M110" s="80"/>
      <c r="N110" s="88"/>
      <c r="O110" s="88"/>
      <c r="P110" s="89"/>
      <c r="Q110" s="250"/>
      <c r="R110" s="88"/>
      <c r="S110" s="88"/>
      <c r="T110" s="88"/>
      <c r="U110" s="89"/>
    </row>
    <row r="111" spans="1:23" ht="15.75" thickBot="1" x14ac:dyDescent="0.3">
      <c r="A111" s="233"/>
      <c r="B111" s="234"/>
      <c r="C111" s="234"/>
      <c r="D111" s="234"/>
      <c r="E111" s="251">
        <f>SUM(E100:E110)</f>
        <v>632.25000000000011</v>
      </c>
      <c r="F111" s="236"/>
      <c r="G111" s="237">
        <f>SUM(G100:G110)</f>
        <v>357195.96</v>
      </c>
      <c r="H111" s="234"/>
      <c r="I111" s="238">
        <f>SUM(I100:I110)</f>
        <v>29132094.734999992</v>
      </c>
      <c r="J111" s="234"/>
      <c r="K111" s="400"/>
      <c r="L111" s="401"/>
      <c r="M111" s="253"/>
      <c r="N111" s="254"/>
      <c r="O111" s="254"/>
      <c r="P111" s="255"/>
      <c r="Q111" s="253"/>
      <c r="R111" s="254"/>
      <c r="S111" s="254"/>
      <c r="T111" s="254"/>
      <c r="U111" s="255"/>
    </row>
    <row r="112" spans="1:23" x14ac:dyDescent="0.25">
      <c r="A112" s="140">
        <v>97</v>
      </c>
      <c r="B112" s="71">
        <v>46057</v>
      </c>
      <c r="C112" s="141" t="s">
        <v>72</v>
      </c>
      <c r="D112" s="140">
        <v>73119653</v>
      </c>
      <c r="E112" s="402">
        <v>61.15</v>
      </c>
      <c r="F112" s="32">
        <v>564.96</v>
      </c>
      <c r="G112" s="228">
        <f t="shared" ref="G112:G127" si="27">E112*F112</f>
        <v>34547.304000000004</v>
      </c>
      <c r="H112" s="229">
        <v>46076.86</v>
      </c>
      <c r="I112" s="35">
        <f t="shared" ref="I112:I127" si="28">E112*H112</f>
        <v>2817599.9890000001</v>
      </c>
      <c r="J112" s="189" t="s">
        <v>22</v>
      </c>
      <c r="K112" s="356" t="s">
        <v>38</v>
      </c>
      <c r="L112" s="143"/>
      <c r="M112" s="57"/>
      <c r="N112" s="68"/>
      <c r="O112" s="68"/>
      <c r="P112" s="69"/>
      <c r="Q112" s="57"/>
      <c r="R112" s="68"/>
      <c r="S112" s="68"/>
      <c r="T112" s="68"/>
      <c r="U112" s="69"/>
    </row>
    <row r="113" spans="1:21" x14ac:dyDescent="0.25">
      <c r="A113" s="75">
        <f>A112+1</f>
        <v>98</v>
      </c>
      <c r="B113" s="98">
        <v>46057</v>
      </c>
      <c r="C113" s="144" t="s">
        <v>72</v>
      </c>
      <c r="D113" s="75">
        <v>54071782</v>
      </c>
      <c r="E113" s="133">
        <v>61</v>
      </c>
      <c r="F113" s="32">
        <v>564.96</v>
      </c>
      <c r="G113" s="228">
        <f t="shared" si="27"/>
        <v>34462.560000000005</v>
      </c>
      <c r="H113" s="229">
        <v>46076.86</v>
      </c>
      <c r="I113" s="35">
        <f t="shared" si="28"/>
        <v>2810688.46</v>
      </c>
      <c r="J113" s="189" t="s">
        <v>22</v>
      </c>
      <c r="K113" s="356" t="s">
        <v>38</v>
      </c>
      <c r="L113" s="146"/>
      <c r="M113" s="70"/>
      <c r="N113" s="75"/>
      <c r="O113" s="75"/>
      <c r="P113" s="79"/>
      <c r="Q113" s="70"/>
      <c r="R113" s="75"/>
      <c r="S113" s="75"/>
      <c r="T113" s="75"/>
      <c r="U113" s="79"/>
    </row>
    <row r="114" spans="1:21" x14ac:dyDescent="0.25">
      <c r="A114" s="75">
        <f t="shared" ref="A114:A127" si="29">A113+1</f>
        <v>99</v>
      </c>
      <c r="B114" s="98">
        <v>46057</v>
      </c>
      <c r="C114" s="144" t="s">
        <v>72</v>
      </c>
      <c r="D114" s="75">
        <v>54256441</v>
      </c>
      <c r="E114" s="133">
        <v>60.55</v>
      </c>
      <c r="F114" s="32">
        <v>564.96</v>
      </c>
      <c r="G114" s="228">
        <f t="shared" si="27"/>
        <v>34208.328000000001</v>
      </c>
      <c r="H114" s="229">
        <v>46076.86</v>
      </c>
      <c r="I114" s="35">
        <f t="shared" si="28"/>
        <v>2789953.8729999997</v>
      </c>
      <c r="J114" s="189" t="s">
        <v>22</v>
      </c>
      <c r="K114" s="356" t="s">
        <v>38</v>
      </c>
      <c r="L114" s="146"/>
      <c r="M114" s="70"/>
      <c r="N114" s="75"/>
      <c r="O114" s="75"/>
      <c r="P114" s="79"/>
      <c r="Q114" s="70"/>
      <c r="R114" s="75"/>
      <c r="S114" s="75"/>
      <c r="T114" s="75"/>
      <c r="U114" s="79"/>
    </row>
    <row r="115" spans="1:21" x14ac:dyDescent="0.25">
      <c r="A115" s="75">
        <f t="shared" si="29"/>
        <v>100</v>
      </c>
      <c r="B115" s="98">
        <v>46057</v>
      </c>
      <c r="C115" s="144" t="s">
        <v>72</v>
      </c>
      <c r="D115" s="75">
        <v>76982594</v>
      </c>
      <c r="E115" s="133">
        <v>60.7</v>
      </c>
      <c r="F115" s="32">
        <v>564.96</v>
      </c>
      <c r="G115" s="228">
        <f t="shared" si="27"/>
        <v>34293.072000000007</v>
      </c>
      <c r="H115" s="229">
        <v>46076.86</v>
      </c>
      <c r="I115" s="35">
        <f t="shared" si="28"/>
        <v>2796865.4020000002</v>
      </c>
      <c r="J115" s="189" t="s">
        <v>22</v>
      </c>
      <c r="K115" s="356" t="s">
        <v>38</v>
      </c>
      <c r="L115" s="146"/>
      <c r="M115" s="70"/>
      <c r="N115" s="75"/>
      <c r="O115" s="75"/>
      <c r="P115" s="79"/>
      <c r="Q115" s="70"/>
      <c r="R115" s="75"/>
      <c r="S115" s="75"/>
      <c r="T115" s="75"/>
      <c r="U115" s="79"/>
    </row>
    <row r="116" spans="1:21" x14ac:dyDescent="0.25">
      <c r="A116" s="75">
        <f t="shared" si="29"/>
        <v>101</v>
      </c>
      <c r="B116" s="98">
        <v>46057</v>
      </c>
      <c r="C116" s="144" t="s">
        <v>72</v>
      </c>
      <c r="D116" s="75">
        <v>51957496</v>
      </c>
      <c r="E116" s="133">
        <v>60.5</v>
      </c>
      <c r="F116" s="32">
        <v>564.96</v>
      </c>
      <c r="G116" s="228">
        <f t="shared" si="27"/>
        <v>34180.080000000002</v>
      </c>
      <c r="H116" s="229">
        <v>46076.86</v>
      </c>
      <c r="I116" s="35">
        <f t="shared" si="28"/>
        <v>2787650.0300000003</v>
      </c>
      <c r="J116" s="189" t="s">
        <v>22</v>
      </c>
      <c r="K116" s="356" t="s">
        <v>38</v>
      </c>
      <c r="L116" s="146"/>
      <c r="M116" s="70"/>
      <c r="N116" s="75"/>
      <c r="O116" s="75"/>
      <c r="P116" s="79"/>
      <c r="Q116" s="70"/>
      <c r="R116" s="75"/>
      <c r="S116" s="75"/>
      <c r="T116" s="75"/>
      <c r="U116" s="79"/>
    </row>
    <row r="117" spans="1:21" x14ac:dyDescent="0.25">
      <c r="A117" s="75">
        <f t="shared" si="29"/>
        <v>102</v>
      </c>
      <c r="B117" s="98">
        <v>46057</v>
      </c>
      <c r="C117" s="144" t="s">
        <v>72</v>
      </c>
      <c r="D117" s="75">
        <v>73991762</v>
      </c>
      <c r="E117" s="133">
        <v>60.1</v>
      </c>
      <c r="F117" s="32">
        <v>564.96</v>
      </c>
      <c r="G117" s="228">
        <f t="shared" si="27"/>
        <v>33954.096000000005</v>
      </c>
      <c r="H117" s="229">
        <v>46076.86</v>
      </c>
      <c r="I117" s="35">
        <f t="shared" si="28"/>
        <v>2769219.2860000003</v>
      </c>
      <c r="J117" s="189" t="s">
        <v>22</v>
      </c>
      <c r="K117" s="356" t="s">
        <v>38</v>
      </c>
      <c r="L117" s="146"/>
      <c r="M117" s="70"/>
      <c r="N117" s="75"/>
      <c r="O117" s="75"/>
      <c r="P117" s="79"/>
      <c r="Q117" s="70"/>
      <c r="R117" s="75"/>
      <c r="S117" s="75"/>
      <c r="T117" s="75"/>
      <c r="U117" s="79"/>
    </row>
    <row r="118" spans="1:21" x14ac:dyDescent="0.25">
      <c r="A118" s="75">
        <f t="shared" si="29"/>
        <v>103</v>
      </c>
      <c r="B118" s="98">
        <v>46057</v>
      </c>
      <c r="C118" s="144" t="s">
        <v>72</v>
      </c>
      <c r="D118" s="75">
        <v>50717149</v>
      </c>
      <c r="E118" s="133">
        <v>52.4</v>
      </c>
      <c r="F118" s="32">
        <v>564.96</v>
      </c>
      <c r="G118" s="228">
        <f t="shared" si="27"/>
        <v>29603.904000000002</v>
      </c>
      <c r="H118" s="229">
        <v>46076.86</v>
      </c>
      <c r="I118" s="35">
        <f t="shared" si="28"/>
        <v>2414427.4640000002</v>
      </c>
      <c r="J118" s="189" t="s">
        <v>22</v>
      </c>
      <c r="K118" s="356" t="s">
        <v>38</v>
      </c>
      <c r="L118" s="146"/>
      <c r="M118" s="70"/>
      <c r="N118" s="75"/>
      <c r="O118" s="75"/>
      <c r="P118" s="79"/>
      <c r="Q118" s="70"/>
      <c r="R118" s="75"/>
      <c r="S118" s="75"/>
      <c r="T118" s="75"/>
      <c r="U118" s="79"/>
    </row>
    <row r="119" spans="1:21" x14ac:dyDescent="0.25">
      <c r="A119" s="75">
        <f t="shared" si="29"/>
        <v>104</v>
      </c>
      <c r="B119" s="98">
        <v>46057</v>
      </c>
      <c r="C119" s="144" t="s">
        <v>72</v>
      </c>
      <c r="D119" s="75">
        <v>73219321</v>
      </c>
      <c r="E119" s="133">
        <v>60.5</v>
      </c>
      <c r="F119" s="32">
        <v>564.96</v>
      </c>
      <c r="G119" s="228">
        <f t="shared" si="27"/>
        <v>34180.080000000002</v>
      </c>
      <c r="H119" s="229">
        <v>46076.86</v>
      </c>
      <c r="I119" s="35">
        <f t="shared" si="28"/>
        <v>2787650.0300000003</v>
      </c>
      <c r="J119" s="189" t="s">
        <v>22</v>
      </c>
      <c r="K119" s="356" t="s">
        <v>38</v>
      </c>
      <c r="L119" s="146"/>
      <c r="M119" s="70"/>
      <c r="N119" s="75"/>
      <c r="O119" s="75"/>
      <c r="P119" s="79"/>
      <c r="Q119" s="70"/>
      <c r="R119" s="75"/>
      <c r="S119" s="75"/>
      <c r="T119" s="75"/>
      <c r="U119" s="79"/>
    </row>
    <row r="120" spans="1:21" x14ac:dyDescent="0.25">
      <c r="A120" s="75">
        <f t="shared" si="29"/>
        <v>105</v>
      </c>
      <c r="B120" s="98">
        <v>46057</v>
      </c>
      <c r="C120" s="144" t="s">
        <v>72</v>
      </c>
      <c r="D120" s="75">
        <v>51823391</v>
      </c>
      <c r="E120" s="133">
        <v>61.05</v>
      </c>
      <c r="F120" s="32">
        <v>564.96</v>
      </c>
      <c r="G120" s="228">
        <f t="shared" si="27"/>
        <v>34490.807999999997</v>
      </c>
      <c r="H120" s="229">
        <v>46076.86</v>
      </c>
      <c r="I120" s="35">
        <f t="shared" si="28"/>
        <v>2812992.3029999998</v>
      </c>
      <c r="J120" s="189" t="s">
        <v>22</v>
      </c>
      <c r="K120" s="356" t="s">
        <v>38</v>
      </c>
      <c r="L120" s="146"/>
      <c r="M120" s="70"/>
      <c r="N120" s="75"/>
      <c r="O120" s="75"/>
      <c r="P120" s="79"/>
      <c r="Q120" s="70"/>
      <c r="R120" s="75"/>
      <c r="S120" s="75"/>
      <c r="T120" s="75"/>
      <c r="U120" s="79"/>
    </row>
    <row r="121" spans="1:21" x14ac:dyDescent="0.25">
      <c r="A121" s="75">
        <f t="shared" si="29"/>
        <v>106</v>
      </c>
      <c r="B121" s="98">
        <v>46057</v>
      </c>
      <c r="C121" s="144" t="s">
        <v>72</v>
      </c>
      <c r="D121" s="75">
        <v>51713402</v>
      </c>
      <c r="E121" s="133">
        <v>51.3</v>
      </c>
      <c r="F121" s="32">
        <v>564.96</v>
      </c>
      <c r="G121" s="228">
        <f t="shared" si="27"/>
        <v>28982.448</v>
      </c>
      <c r="H121" s="229">
        <v>46076.86</v>
      </c>
      <c r="I121" s="35">
        <f t="shared" si="28"/>
        <v>2363742.9180000001</v>
      </c>
      <c r="J121" s="189" t="s">
        <v>22</v>
      </c>
      <c r="K121" s="356" t="s">
        <v>38</v>
      </c>
      <c r="L121" s="146"/>
      <c r="M121" s="70"/>
      <c r="N121" s="75"/>
      <c r="O121" s="75"/>
      <c r="P121" s="79"/>
      <c r="Q121" s="70"/>
      <c r="R121" s="75"/>
      <c r="S121" s="75"/>
      <c r="T121" s="75"/>
      <c r="U121" s="79"/>
    </row>
    <row r="122" spans="1:21" x14ac:dyDescent="0.25">
      <c r="A122" s="75">
        <f t="shared" si="29"/>
        <v>107</v>
      </c>
      <c r="B122" s="98">
        <v>46057</v>
      </c>
      <c r="C122" s="144" t="s">
        <v>72</v>
      </c>
      <c r="D122" s="75">
        <v>53961421</v>
      </c>
      <c r="E122" s="133">
        <v>59</v>
      </c>
      <c r="F122" s="32">
        <v>564.96</v>
      </c>
      <c r="G122" s="228">
        <f t="shared" si="27"/>
        <v>33332.639999999999</v>
      </c>
      <c r="H122" s="229">
        <v>46076.86</v>
      </c>
      <c r="I122" s="35">
        <f t="shared" si="28"/>
        <v>2718534.74</v>
      </c>
      <c r="J122" s="189" t="s">
        <v>22</v>
      </c>
      <c r="K122" s="356" t="s">
        <v>38</v>
      </c>
      <c r="L122" s="146"/>
      <c r="M122" s="70"/>
      <c r="N122" s="75"/>
      <c r="O122" s="75"/>
      <c r="P122" s="79"/>
      <c r="Q122" s="70"/>
      <c r="R122" s="75"/>
      <c r="S122" s="75"/>
      <c r="T122" s="75"/>
      <c r="U122" s="79"/>
    </row>
    <row r="123" spans="1:21" x14ac:dyDescent="0.25">
      <c r="A123" s="75">
        <f t="shared" si="29"/>
        <v>108</v>
      </c>
      <c r="B123" s="98">
        <v>46057</v>
      </c>
      <c r="C123" s="144" t="s">
        <v>72</v>
      </c>
      <c r="D123" s="75">
        <v>73117947</v>
      </c>
      <c r="E123" s="133">
        <v>60.5</v>
      </c>
      <c r="F123" s="32">
        <v>564.96</v>
      </c>
      <c r="G123" s="228">
        <f t="shared" si="27"/>
        <v>34180.080000000002</v>
      </c>
      <c r="H123" s="229">
        <v>46076.86</v>
      </c>
      <c r="I123" s="35">
        <f t="shared" si="28"/>
        <v>2787650.0300000003</v>
      </c>
      <c r="J123" s="189" t="s">
        <v>22</v>
      </c>
      <c r="K123" s="356" t="s">
        <v>38</v>
      </c>
      <c r="L123" s="146"/>
      <c r="M123" s="70"/>
      <c r="N123" s="75"/>
      <c r="O123" s="75"/>
      <c r="P123" s="79"/>
      <c r="Q123" s="70"/>
      <c r="R123" s="75"/>
      <c r="S123" s="75"/>
      <c r="T123" s="75"/>
      <c r="U123" s="79"/>
    </row>
    <row r="124" spans="1:21" x14ac:dyDescent="0.25">
      <c r="A124" s="75">
        <f t="shared" si="29"/>
        <v>109</v>
      </c>
      <c r="B124" s="98">
        <v>46057</v>
      </c>
      <c r="C124" s="144" t="s">
        <v>72</v>
      </c>
      <c r="D124" s="75">
        <v>73082372</v>
      </c>
      <c r="E124" s="133">
        <v>59.6</v>
      </c>
      <c r="F124" s="32">
        <v>564.96</v>
      </c>
      <c r="G124" s="228">
        <f t="shared" si="27"/>
        <v>33671.616000000002</v>
      </c>
      <c r="H124" s="229">
        <v>46076.86</v>
      </c>
      <c r="I124" s="35">
        <f t="shared" si="28"/>
        <v>2746180.8560000001</v>
      </c>
      <c r="J124" s="189" t="s">
        <v>22</v>
      </c>
      <c r="K124" s="356" t="s">
        <v>38</v>
      </c>
      <c r="L124" s="146"/>
      <c r="M124" s="70"/>
      <c r="N124" s="75"/>
      <c r="O124" s="75"/>
      <c r="P124" s="79"/>
      <c r="Q124" s="70"/>
      <c r="R124" s="75"/>
      <c r="S124" s="75"/>
      <c r="T124" s="75"/>
      <c r="U124" s="79"/>
    </row>
    <row r="125" spans="1:21" x14ac:dyDescent="0.25">
      <c r="A125" s="75">
        <f t="shared" si="29"/>
        <v>110</v>
      </c>
      <c r="B125" s="98">
        <v>46057</v>
      </c>
      <c r="C125" s="144" t="s">
        <v>72</v>
      </c>
      <c r="D125" s="75">
        <v>73176745</v>
      </c>
      <c r="E125" s="133">
        <v>61.6</v>
      </c>
      <c r="F125" s="32">
        <v>564.96</v>
      </c>
      <c r="G125" s="228">
        <f t="shared" si="27"/>
        <v>34801.536</v>
      </c>
      <c r="H125" s="229">
        <v>46076.86</v>
      </c>
      <c r="I125" s="35">
        <f t="shared" si="28"/>
        <v>2838334.5759999999</v>
      </c>
      <c r="J125" s="189" t="s">
        <v>22</v>
      </c>
      <c r="K125" s="356" t="s">
        <v>38</v>
      </c>
      <c r="L125" s="146"/>
      <c r="M125" s="70"/>
      <c r="N125" s="75"/>
      <c r="O125" s="75"/>
      <c r="P125" s="79"/>
      <c r="Q125" s="70"/>
      <c r="R125" s="75"/>
      <c r="S125" s="75"/>
      <c r="T125" s="75"/>
      <c r="U125" s="79"/>
    </row>
    <row r="126" spans="1:21" x14ac:dyDescent="0.25">
      <c r="A126" s="75">
        <f t="shared" si="29"/>
        <v>111</v>
      </c>
      <c r="B126" s="98">
        <v>46057</v>
      </c>
      <c r="C126" s="144" t="s">
        <v>72</v>
      </c>
      <c r="D126" s="75">
        <v>73050650</v>
      </c>
      <c r="E126" s="133">
        <v>60.75</v>
      </c>
      <c r="F126" s="32">
        <v>564.96</v>
      </c>
      <c r="G126" s="228">
        <f t="shared" si="27"/>
        <v>34321.32</v>
      </c>
      <c r="H126" s="229">
        <v>46076.86</v>
      </c>
      <c r="I126" s="35">
        <f t="shared" si="28"/>
        <v>2799169.2450000001</v>
      </c>
      <c r="J126" s="189" t="s">
        <v>22</v>
      </c>
      <c r="K126" s="356" t="s">
        <v>38</v>
      </c>
      <c r="L126" s="146"/>
      <c r="M126" s="70"/>
      <c r="N126" s="75"/>
      <c r="O126" s="75"/>
      <c r="P126" s="79"/>
      <c r="Q126" s="70"/>
      <c r="R126" s="75"/>
      <c r="S126" s="75"/>
      <c r="T126" s="75"/>
      <c r="U126" s="79"/>
    </row>
    <row r="127" spans="1:21" ht="15.75" thickBot="1" x14ac:dyDescent="0.3">
      <c r="A127" s="105">
        <f t="shared" si="29"/>
        <v>112</v>
      </c>
      <c r="B127" s="135">
        <v>46057</v>
      </c>
      <c r="C127" s="147" t="s">
        <v>73</v>
      </c>
      <c r="D127" s="105">
        <v>54244405</v>
      </c>
      <c r="E127" s="403">
        <v>61.1</v>
      </c>
      <c r="F127" s="32">
        <v>564.96</v>
      </c>
      <c r="G127" s="228">
        <f t="shared" si="27"/>
        <v>34519.056000000004</v>
      </c>
      <c r="H127" s="229">
        <v>46076.86</v>
      </c>
      <c r="I127" s="35">
        <f t="shared" si="28"/>
        <v>2815296.1460000002</v>
      </c>
      <c r="J127" s="189" t="s">
        <v>22</v>
      </c>
      <c r="K127" s="356" t="s">
        <v>38</v>
      </c>
      <c r="L127" s="149"/>
      <c r="M127" s="80"/>
      <c r="N127" s="88"/>
      <c r="O127" s="88"/>
      <c r="P127" s="89"/>
      <c r="Q127" s="80"/>
      <c r="R127" s="88"/>
      <c r="S127" s="88"/>
      <c r="T127" s="88"/>
      <c r="U127" s="89"/>
    </row>
    <row r="128" spans="1:21" ht="15.75" thickBot="1" x14ac:dyDescent="0.3">
      <c r="A128" s="233"/>
      <c r="B128" s="234"/>
      <c r="C128" s="234"/>
      <c r="D128" s="234"/>
      <c r="E128" s="251">
        <f>SUM(E112:E127)</f>
        <v>951.8</v>
      </c>
      <c r="F128" s="236"/>
      <c r="G128" s="237">
        <f>SUM(G112:G127)</f>
        <v>537728.92800000007</v>
      </c>
      <c r="H128" s="234"/>
      <c r="I128" s="238">
        <f>SUM(I112:I127)</f>
        <v>43855955.347999997</v>
      </c>
      <c r="J128" s="234"/>
      <c r="K128" s="400"/>
      <c r="L128" s="372"/>
      <c r="M128" s="233"/>
      <c r="N128" s="234"/>
      <c r="O128" s="234"/>
      <c r="P128" s="239"/>
      <c r="Q128" s="233"/>
      <c r="R128" s="234"/>
      <c r="S128" s="234"/>
      <c r="T128" s="234"/>
      <c r="U128" s="239"/>
    </row>
    <row r="129" spans="1:21" x14ac:dyDescent="0.25">
      <c r="A129" s="207">
        <v>113</v>
      </c>
      <c r="B129" s="188">
        <v>46058</v>
      </c>
      <c r="C129" s="151">
        <v>8610735</v>
      </c>
      <c r="D129" s="152">
        <v>50033265</v>
      </c>
      <c r="E129" s="153">
        <v>60.85</v>
      </c>
      <c r="F129" s="32">
        <v>564.96</v>
      </c>
      <c r="G129" s="228">
        <f t="shared" ref="G129:G141" si="30">E129*F129</f>
        <v>34377.816000000006</v>
      </c>
      <c r="H129" s="229">
        <v>46076.86</v>
      </c>
      <c r="I129" s="35">
        <f t="shared" ref="I129:I141" si="31">E129*H129</f>
        <v>2803776.9310000003</v>
      </c>
      <c r="J129" s="354" t="s">
        <v>22</v>
      </c>
      <c r="K129" s="355" t="s">
        <v>38</v>
      </c>
      <c r="L129" s="373"/>
      <c r="M129" s="57"/>
      <c r="N129" s="68"/>
      <c r="O129" s="68"/>
      <c r="P129" s="69"/>
      <c r="Q129" s="57"/>
      <c r="R129" s="68"/>
      <c r="S129" s="68"/>
      <c r="T129" s="68"/>
      <c r="U129" s="69"/>
    </row>
    <row r="130" spans="1:21" x14ac:dyDescent="0.25">
      <c r="A130" s="70">
        <f>A129+1</f>
        <v>114</v>
      </c>
      <c r="B130" s="98">
        <v>46058</v>
      </c>
      <c r="C130" s="72">
        <v>8610734</v>
      </c>
      <c r="D130" s="73">
        <v>50772003</v>
      </c>
      <c r="E130" s="74">
        <v>52.05</v>
      </c>
      <c r="F130" s="32">
        <v>564.96</v>
      </c>
      <c r="G130" s="228">
        <f t="shared" si="30"/>
        <v>29406.168000000001</v>
      </c>
      <c r="H130" s="229">
        <v>46076.86</v>
      </c>
      <c r="I130" s="35">
        <f t="shared" si="31"/>
        <v>2398300.5630000001</v>
      </c>
      <c r="J130" s="189" t="s">
        <v>22</v>
      </c>
      <c r="K130" s="356" t="s">
        <v>38</v>
      </c>
      <c r="L130" s="246"/>
      <c r="M130" s="70"/>
      <c r="N130" s="75"/>
      <c r="O130" s="75"/>
      <c r="P130" s="79"/>
      <c r="Q130" s="70"/>
      <c r="R130" s="75"/>
      <c r="S130" s="75"/>
      <c r="T130" s="75"/>
      <c r="U130" s="79"/>
    </row>
    <row r="131" spans="1:21" x14ac:dyDescent="0.25">
      <c r="A131" s="70">
        <f t="shared" ref="A131:A141" si="32">A130+1</f>
        <v>115</v>
      </c>
      <c r="B131" s="98">
        <v>46058</v>
      </c>
      <c r="C131" s="72">
        <v>8610736</v>
      </c>
      <c r="D131" s="73">
        <v>53950663</v>
      </c>
      <c r="E131" s="74">
        <v>52.7</v>
      </c>
      <c r="F131" s="32">
        <v>564.96</v>
      </c>
      <c r="G131" s="228">
        <f t="shared" si="30"/>
        <v>29773.392000000003</v>
      </c>
      <c r="H131" s="229">
        <v>46076.86</v>
      </c>
      <c r="I131" s="35">
        <f t="shared" si="31"/>
        <v>2428250.5220000003</v>
      </c>
      <c r="J131" s="189" t="s">
        <v>22</v>
      </c>
      <c r="K131" s="356" t="s">
        <v>38</v>
      </c>
      <c r="L131" s="374"/>
      <c r="M131" s="101"/>
      <c r="N131" s="105"/>
      <c r="O131" s="105"/>
      <c r="P131" s="112"/>
      <c r="Q131" s="101"/>
      <c r="R131" s="105"/>
      <c r="S131" s="105"/>
      <c r="T131" s="105"/>
      <c r="U131" s="112"/>
    </row>
    <row r="132" spans="1:21" x14ac:dyDescent="0.25">
      <c r="A132" s="70">
        <f t="shared" si="32"/>
        <v>116</v>
      </c>
      <c r="B132" s="98">
        <v>46058</v>
      </c>
      <c r="C132" s="72">
        <v>8610737</v>
      </c>
      <c r="D132" s="73">
        <v>54046412</v>
      </c>
      <c r="E132" s="74">
        <v>61</v>
      </c>
      <c r="F132" s="32">
        <v>564.96</v>
      </c>
      <c r="G132" s="228">
        <f t="shared" si="30"/>
        <v>34462.560000000005</v>
      </c>
      <c r="H132" s="229">
        <v>46076.86</v>
      </c>
      <c r="I132" s="35">
        <f t="shared" si="31"/>
        <v>2810688.46</v>
      </c>
      <c r="J132" s="189" t="s">
        <v>22</v>
      </c>
      <c r="K132" s="356" t="s">
        <v>38</v>
      </c>
      <c r="L132" s="146"/>
      <c r="M132" s="70"/>
      <c r="N132" s="75"/>
      <c r="O132" s="75"/>
      <c r="P132" s="79"/>
      <c r="Q132" s="70"/>
      <c r="R132" s="75"/>
      <c r="S132" s="75"/>
      <c r="T132" s="75"/>
      <c r="U132" s="79"/>
    </row>
    <row r="133" spans="1:21" x14ac:dyDescent="0.25">
      <c r="A133" s="70">
        <f t="shared" si="32"/>
        <v>117</v>
      </c>
      <c r="B133" s="98">
        <v>46058</v>
      </c>
      <c r="C133" s="72">
        <v>8610736</v>
      </c>
      <c r="D133" s="73">
        <v>57905663</v>
      </c>
      <c r="E133" s="74">
        <v>61</v>
      </c>
      <c r="F133" s="32">
        <v>564.96</v>
      </c>
      <c r="G133" s="228">
        <f t="shared" si="30"/>
        <v>34462.560000000005</v>
      </c>
      <c r="H133" s="229">
        <v>46076.86</v>
      </c>
      <c r="I133" s="35">
        <f t="shared" si="31"/>
        <v>2810688.46</v>
      </c>
      <c r="J133" s="189" t="s">
        <v>22</v>
      </c>
      <c r="K133" s="356" t="s">
        <v>38</v>
      </c>
      <c r="L133" s="146"/>
      <c r="M133" s="70"/>
      <c r="N133" s="75"/>
      <c r="O133" s="75"/>
      <c r="P133" s="79"/>
      <c r="Q133" s="70"/>
      <c r="R133" s="75"/>
      <c r="S133" s="75"/>
      <c r="T133" s="75"/>
      <c r="U133" s="79"/>
    </row>
    <row r="134" spans="1:21" x14ac:dyDescent="0.25">
      <c r="A134" s="70">
        <f t="shared" si="32"/>
        <v>118</v>
      </c>
      <c r="B134" s="98">
        <v>46058</v>
      </c>
      <c r="C134" s="72">
        <v>8610736</v>
      </c>
      <c r="D134" s="73">
        <v>73111817</v>
      </c>
      <c r="E134" s="74">
        <v>61.5</v>
      </c>
      <c r="F134" s="32">
        <v>564.96</v>
      </c>
      <c r="G134" s="228">
        <f t="shared" si="30"/>
        <v>34745.040000000001</v>
      </c>
      <c r="H134" s="229">
        <v>46076.86</v>
      </c>
      <c r="I134" s="35">
        <f t="shared" si="31"/>
        <v>2833726.89</v>
      </c>
      <c r="J134" s="189" t="s">
        <v>22</v>
      </c>
      <c r="K134" s="356" t="s">
        <v>38</v>
      </c>
      <c r="L134" s="146"/>
      <c r="M134" s="70"/>
      <c r="N134" s="75"/>
      <c r="O134" s="75"/>
      <c r="P134" s="79"/>
      <c r="Q134" s="70"/>
      <c r="R134" s="75"/>
      <c r="S134" s="75"/>
      <c r="T134" s="75"/>
      <c r="U134" s="79"/>
    </row>
    <row r="135" spans="1:21" x14ac:dyDescent="0.25">
      <c r="A135" s="70">
        <f t="shared" si="32"/>
        <v>119</v>
      </c>
      <c r="B135" s="98">
        <v>46058</v>
      </c>
      <c r="C135" s="72">
        <v>8610736</v>
      </c>
      <c r="D135" s="73">
        <v>73159055</v>
      </c>
      <c r="E135" s="74">
        <v>61.55</v>
      </c>
      <c r="F135" s="32">
        <v>564.96</v>
      </c>
      <c r="G135" s="228">
        <f t="shared" si="30"/>
        <v>34773.288</v>
      </c>
      <c r="H135" s="229">
        <v>46076.86</v>
      </c>
      <c r="I135" s="35">
        <f t="shared" si="31"/>
        <v>2836030.733</v>
      </c>
      <c r="J135" s="189" t="s">
        <v>22</v>
      </c>
      <c r="K135" s="356" t="s">
        <v>38</v>
      </c>
      <c r="L135" s="146"/>
      <c r="M135" s="70"/>
      <c r="N135" s="75"/>
      <c r="O135" s="75"/>
      <c r="P135" s="79"/>
      <c r="Q135" s="70"/>
      <c r="R135" s="75"/>
      <c r="S135" s="75"/>
      <c r="T135" s="75"/>
      <c r="U135" s="79"/>
    </row>
    <row r="136" spans="1:21" x14ac:dyDescent="0.25">
      <c r="A136" s="70">
        <f t="shared" si="32"/>
        <v>120</v>
      </c>
      <c r="B136" s="98">
        <v>46058</v>
      </c>
      <c r="C136" s="72">
        <v>8610736</v>
      </c>
      <c r="D136" s="73">
        <v>73166522</v>
      </c>
      <c r="E136" s="74">
        <v>61.4</v>
      </c>
      <c r="F136" s="32">
        <v>564.96</v>
      </c>
      <c r="G136" s="228">
        <f t="shared" si="30"/>
        <v>34688.544000000002</v>
      </c>
      <c r="H136" s="229">
        <v>46076.86</v>
      </c>
      <c r="I136" s="35">
        <f t="shared" si="31"/>
        <v>2829119.2039999999</v>
      </c>
      <c r="J136" s="189" t="s">
        <v>22</v>
      </c>
      <c r="K136" s="356" t="s">
        <v>38</v>
      </c>
      <c r="L136" s="146"/>
      <c r="M136" s="70"/>
      <c r="N136" s="75"/>
      <c r="O136" s="75"/>
      <c r="P136" s="79"/>
      <c r="Q136" s="70"/>
      <c r="R136" s="75"/>
      <c r="S136" s="75"/>
      <c r="T136" s="75"/>
      <c r="U136" s="79"/>
    </row>
    <row r="137" spans="1:21" x14ac:dyDescent="0.25">
      <c r="A137" s="70">
        <f t="shared" si="32"/>
        <v>121</v>
      </c>
      <c r="B137" s="98">
        <v>46058</v>
      </c>
      <c r="C137" s="72">
        <v>8610736</v>
      </c>
      <c r="D137" s="73">
        <v>73177438</v>
      </c>
      <c r="E137" s="74">
        <v>61.55</v>
      </c>
      <c r="F137" s="32">
        <v>564.96</v>
      </c>
      <c r="G137" s="228">
        <f t="shared" si="30"/>
        <v>34773.288</v>
      </c>
      <c r="H137" s="229">
        <v>46076.86</v>
      </c>
      <c r="I137" s="35">
        <f t="shared" si="31"/>
        <v>2836030.733</v>
      </c>
      <c r="J137" s="189" t="s">
        <v>22</v>
      </c>
      <c r="K137" s="356" t="s">
        <v>38</v>
      </c>
      <c r="L137" s="146"/>
      <c r="M137" s="70"/>
      <c r="N137" s="75"/>
      <c r="O137" s="75"/>
      <c r="P137" s="79"/>
      <c r="Q137" s="70"/>
      <c r="R137" s="75"/>
      <c r="S137" s="75"/>
      <c r="T137" s="75"/>
      <c r="U137" s="79"/>
    </row>
    <row r="138" spans="1:21" x14ac:dyDescent="0.25">
      <c r="A138" s="70">
        <f t="shared" si="32"/>
        <v>122</v>
      </c>
      <c r="B138" s="98">
        <v>46058</v>
      </c>
      <c r="C138" s="72">
        <v>8610736</v>
      </c>
      <c r="D138" s="73">
        <v>73185142</v>
      </c>
      <c r="E138" s="74">
        <v>61.5</v>
      </c>
      <c r="F138" s="32">
        <v>564.96</v>
      </c>
      <c r="G138" s="228">
        <f t="shared" si="30"/>
        <v>34745.040000000001</v>
      </c>
      <c r="H138" s="229">
        <v>46076.86</v>
      </c>
      <c r="I138" s="35">
        <f t="shared" si="31"/>
        <v>2833726.89</v>
      </c>
      <c r="J138" s="189" t="s">
        <v>22</v>
      </c>
      <c r="K138" s="356" t="s">
        <v>38</v>
      </c>
      <c r="L138" s="146"/>
      <c r="M138" s="70"/>
      <c r="N138" s="75"/>
      <c r="O138" s="75"/>
      <c r="P138" s="79"/>
      <c r="Q138" s="70"/>
      <c r="R138" s="75"/>
      <c r="S138" s="75"/>
      <c r="T138" s="75"/>
      <c r="U138" s="79"/>
    </row>
    <row r="139" spans="1:21" x14ac:dyDescent="0.25">
      <c r="A139" s="70">
        <f t="shared" si="32"/>
        <v>123</v>
      </c>
      <c r="B139" s="98">
        <v>46058</v>
      </c>
      <c r="C139" s="72">
        <v>8610736</v>
      </c>
      <c r="D139" s="73">
        <v>73227852</v>
      </c>
      <c r="E139" s="74">
        <v>61.4</v>
      </c>
      <c r="F139" s="32">
        <v>564.96</v>
      </c>
      <c r="G139" s="228">
        <f t="shared" si="30"/>
        <v>34688.544000000002</v>
      </c>
      <c r="H139" s="229">
        <v>46076.86</v>
      </c>
      <c r="I139" s="35">
        <f t="shared" si="31"/>
        <v>2829119.2039999999</v>
      </c>
      <c r="J139" s="189" t="s">
        <v>22</v>
      </c>
      <c r="K139" s="356" t="s">
        <v>38</v>
      </c>
      <c r="L139" s="146"/>
      <c r="M139" s="70"/>
      <c r="N139" s="75"/>
      <c r="O139" s="75"/>
      <c r="P139" s="79"/>
      <c r="Q139" s="70"/>
      <c r="R139" s="75"/>
      <c r="S139" s="75"/>
      <c r="T139" s="75"/>
      <c r="U139" s="79"/>
    </row>
    <row r="140" spans="1:21" x14ac:dyDescent="0.25">
      <c r="A140" s="70">
        <f t="shared" si="32"/>
        <v>124</v>
      </c>
      <c r="B140" s="98">
        <v>46058</v>
      </c>
      <c r="C140" s="72">
        <v>8610736</v>
      </c>
      <c r="D140" s="73">
        <v>73227928</v>
      </c>
      <c r="E140" s="74">
        <v>61.5</v>
      </c>
      <c r="F140" s="32">
        <v>564.96</v>
      </c>
      <c r="G140" s="228">
        <f t="shared" si="30"/>
        <v>34745.040000000001</v>
      </c>
      <c r="H140" s="229">
        <v>46076.86</v>
      </c>
      <c r="I140" s="35">
        <f t="shared" si="31"/>
        <v>2833726.89</v>
      </c>
      <c r="J140" s="189" t="s">
        <v>22</v>
      </c>
      <c r="K140" s="356" t="s">
        <v>38</v>
      </c>
      <c r="L140" s="146"/>
      <c r="M140" s="70"/>
      <c r="N140" s="75"/>
      <c r="O140" s="75"/>
      <c r="P140" s="79"/>
      <c r="Q140" s="70"/>
      <c r="R140" s="75"/>
      <c r="S140" s="75"/>
      <c r="T140" s="75"/>
      <c r="U140" s="79"/>
    </row>
    <row r="141" spans="1:21" ht="15.75" thickBot="1" x14ac:dyDescent="0.3">
      <c r="A141" s="101">
        <f t="shared" si="32"/>
        <v>125</v>
      </c>
      <c r="B141" s="188">
        <v>46058</v>
      </c>
      <c r="C141" s="102">
        <v>8610736</v>
      </c>
      <c r="D141" s="103">
        <v>75288126</v>
      </c>
      <c r="E141" s="104">
        <v>61.8</v>
      </c>
      <c r="F141" s="32">
        <v>564.96</v>
      </c>
      <c r="G141" s="248">
        <f t="shared" si="30"/>
        <v>34914.527999999998</v>
      </c>
      <c r="H141" s="257">
        <v>46076.86</v>
      </c>
      <c r="I141" s="40">
        <f t="shared" si="31"/>
        <v>2847549.9479999999</v>
      </c>
      <c r="J141" s="189" t="s">
        <v>22</v>
      </c>
      <c r="K141" s="357" t="s">
        <v>38</v>
      </c>
      <c r="L141" s="149"/>
      <c r="M141" s="80"/>
      <c r="N141" s="88"/>
      <c r="O141" s="88"/>
      <c r="P141" s="89"/>
      <c r="Q141" s="80"/>
      <c r="R141" s="88"/>
      <c r="S141" s="88"/>
      <c r="T141" s="88"/>
      <c r="U141" s="89"/>
    </row>
    <row r="142" spans="1:21" ht="15.75" thickBot="1" x14ac:dyDescent="0.3">
      <c r="A142" s="233"/>
      <c r="B142" s="234"/>
      <c r="C142" s="234"/>
      <c r="D142" s="234"/>
      <c r="E142" s="251">
        <f>SUM(E129:E141)</f>
        <v>779.8</v>
      </c>
      <c r="F142" s="236"/>
      <c r="G142" s="237">
        <f>SUM(G129:G141)</f>
        <v>440555.80799999996</v>
      </c>
      <c r="H142" s="234"/>
      <c r="I142" s="238">
        <f>SUM(I129:I141)</f>
        <v>35930735.428000003</v>
      </c>
      <c r="J142" s="234"/>
      <c r="K142" s="369"/>
      <c r="L142" s="370"/>
      <c r="M142" s="233"/>
      <c r="N142" s="234"/>
      <c r="O142" s="234"/>
      <c r="P142" s="239"/>
      <c r="Q142" s="371"/>
      <c r="R142" s="234"/>
      <c r="S142" s="234"/>
      <c r="T142" s="234"/>
      <c r="U142" s="239"/>
    </row>
    <row r="143" spans="1:21" x14ac:dyDescent="0.25">
      <c r="A143" s="140">
        <v>126</v>
      </c>
      <c r="B143" s="71">
        <v>46058</v>
      </c>
      <c r="C143" s="151">
        <v>8610751</v>
      </c>
      <c r="D143" s="152">
        <v>50042977</v>
      </c>
      <c r="E143" s="153">
        <v>61.45</v>
      </c>
      <c r="F143" s="32">
        <v>564.96</v>
      </c>
      <c r="G143" s="228">
        <f t="shared" ref="G143:G173" si="33">E143*F143</f>
        <v>34716.792000000001</v>
      </c>
      <c r="H143" s="229">
        <v>46076.86</v>
      </c>
      <c r="I143" s="35">
        <f t="shared" ref="I143:I173" si="34">E143*H143</f>
        <v>2831423.0470000003</v>
      </c>
      <c r="J143" s="354" t="s">
        <v>22</v>
      </c>
      <c r="K143" s="375" t="s">
        <v>38</v>
      </c>
      <c r="L143" s="376"/>
      <c r="M143" s="57"/>
      <c r="N143" s="68"/>
      <c r="O143" s="68"/>
      <c r="P143" s="69"/>
      <c r="Q143" s="377"/>
      <c r="R143" s="140"/>
      <c r="S143" s="140"/>
      <c r="T143" s="140"/>
      <c r="U143" s="210"/>
    </row>
    <row r="144" spans="1:21" x14ac:dyDescent="0.25">
      <c r="A144" s="75">
        <f>A143+1</f>
        <v>127</v>
      </c>
      <c r="B144" s="98">
        <v>46058</v>
      </c>
      <c r="C144" s="72">
        <v>8610751</v>
      </c>
      <c r="D144" s="73">
        <v>50175504</v>
      </c>
      <c r="E144" s="74">
        <v>61.55</v>
      </c>
      <c r="F144" s="32">
        <v>564.96</v>
      </c>
      <c r="G144" s="228">
        <f t="shared" si="33"/>
        <v>34773.288</v>
      </c>
      <c r="H144" s="229">
        <v>46076.86</v>
      </c>
      <c r="I144" s="35">
        <f t="shared" si="34"/>
        <v>2836030.733</v>
      </c>
      <c r="J144" s="189" t="s">
        <v>22</v>
      </c>
      <c r="K144" s="378" t="s">
        <v>38</v>
      </c>
      <c r="L144" s="246"/>
      <c r="M144" s="70"/>
      <c r="N144" s="75"/>
      <c r="O144" s="75"/>
      <c r="P144" s="79"/>
      <c r="Q144" s="247"/>
      <c r="R144" s="75"/>
      <c r="S144" s="75"/>
      <c r="T144" s="75"/>
      <c r="U144" s="79"/>
    </row>
    <row r="145" spans="1:21" x14ac:dyDescent="0.25">
      <c r="A145" s="75">
        <f t="shared" ref="A145:A173" si="35">A144+1</f>
        <v>128</v>
      </c>
      <c r="B145" s="98">
        <v>46058</v>
      </c>
      <c r="C145" s="72">
        <v>8610751</v>
      </c>
      <c r="D145" s="73">
        <v>50355502</v>
      </c>
      <c r="E145" s="74">
        <v>51.4</v>
      </c>
      <c r="F145" s="32">
        <v>564.96</v>
      </c>
      <c r="G145" s="228">
        <f t="shared" si="33"/>
        <v>29038.944</v>
      </c>
      <c r="H145" s="229">
        <v>46076.86</v>
      </c>
      <c r="I145" s="35">
        <f t="shared" si="34"/>
        <v>2368350.6039999998</v>
      </c>
      <c r="J145" s="189" t="s">
        <v>22</v>
      </c>
      <c r="K145" s="378" t="s">
        <v>38</v>
      </c>
      <c r="L145" s="246"/>
      <c r="M145" s="70"/>
      <c r="N145" s="75"/>
      <c r="O145" s="75"/>
      <c r="P145" s="79"/>
      <c r="Q145" s="247"/>
      <c r="R145" s="75"/>
      <c r="S145" s="75"/>
      <c r="T145" s="75"/>
      <c r="U145" s="79"/>
    </row>
    <row r="146" spans="1:21" x14ac:dyDescent="0.25">
      <c r="A146" s="75">
        <f t="shared" si="35"/>
        <v>129</v>
      </c>
      <c r="B146" s="98">
        <v>46058</v>
      </c>
      <c r="C146" s="72">
        <v>8610752</v>
      </c>
      <c r="D146" s="73">
        <v>50357672</v>
      </c>
      <c r="E146" s="74">
        <v>53.35</v>
      </c>
      <c r="F146" s="32">
        <v>564.96</v>
      </c>
      <c r="G146" s="228">
        <f t="shared" si="33"/>
        <v>30140.616000000002</v>
      </c>
      <c r="H146" s="229">
        <v>46076.86</v>
      </c>
      <c r="I146" s="35">
        <f t="shared" si="34"/>
        <v>2458200.4810000001</v>
      </c>
      <c r="J146" s="189" t="s">
        <v>22</v>
      </c>
      <c r="K146" s="378" t="s">
        <v>38</v>
      </c>
      <c r="L146" s="246"/>
      <c r="M146" s="70"/>
      <c r="N146" s="75"/>
      <c r="O146" s="75"/>
      <c r="P146" s="79"/>
      <c r="Q146" s="247"/>
      <c r="R146" s="75"/>
      <c r="S146" s="75"/>
      <c r="T146" s="75"/>
      <c r="U146" s="79"/>
    </row>
    <row r="147" spans="1:21" x14ac:dyDescent="0.25">
      <c r="A147" s="75">
        <f t="shared" si="35"/>
        <v>130</v>
      </c>
      <c r="B147" s="98">
        <v>46058</v>
      </c>
      <c r="C147" s="72">
        <v>8610751</v>
      </c>
      <c r="D147" s="73">
        <v>50408194</v>
      </c>
      <c r="E147" s="74">
        <v>61.65</v>
      </c>
      <c r="F147" s="32">
        <v>564.96</v>
      </c>
      <c r="G147" s="228">
        <f t="shared" si="33"/>
        <v>34829.784</v>
      </c>
      <c r="H147" s="229">
        <v>46076.86</v>
      </c>
      <c r="I147" s="35">
        <f t="shared" si="34"/>
        <v>2840638.4189999998</v>
      </c>
      <c r="J147" s="189" t="s">
        <v>22</v>
      </c>
      <c r="K147" s="378" t="s">
        <v>38</v>
      </c>
      <c r="L147" s="246"/>
      <c r="M147" s="70"/>
      <c r="N147" s="75"/>
      <c r="O147" s="75"/>
      <c r="P147" s="79"/>
      <c r="Q147" s="247"/>
      <c r="R147" s="75"/>
      <c r="S147" s="75"/>
      <c r="T147" s="75"/>
      <c r="U147" s="79"/>
    </row>
    <row r="148" spans="1:21" x14ac:dyDescent="0.25">
      <c r="A148" s="75">
        <f t="shared" si="35"/>
        <v>131</v>
      </c>
      <c r="B148" s="98">
        <v>46058</v>
      </c>
      <c r="C148" s="72">
        <v>8610751</v>
      </c>
      <c r="D148" s="73">
        <v>51468148</v>
      </c>
      <c r="E148" s="74">
        <v>51.7</v>
      </c>
      <c r="F148" s="32">
        <v>564.96</v>
      </c>
      <c r="G148" s="228">
        <f t="shared" si="33"/>
        <v>29208.432000000004</v>
      </c>
      <c r="H148" s="229">
        <v>46076.86</v>
      </c>
      <c r="I148" s="35">
        <f t="shared" si="34"/>
        <v>2382173.662</v>
      </c>
      <c r="J148" s="189" t="s">
        <v>22</v>
      </c>
      <c r="K148" s="378" t="s">
        <v>38</v>
      </c>
      <c r="L148" s="246"/>
      <c r="M148" s="70"/>
      <c r="N148" s="75"/>
      <c r="O148" s="75"/>
      <c r="P148" s="79"/>
      <c r="Q148" s="247"/>
      <c r="R148" s="75"/>
      <c r="S148" s="75"/>
      <c r="T148" s="75"/>
      <c r="U148" s="79"/>
    </row>
    <row r="149" spans="1:21" x14ac:dyDescent="0.25">
      <c r="A149" s="75">
        <f t="shared" si="35"/>
        <v>132</v>
      </c>
      <c r="B149" s="98">
        <v>46058</v>
      </c>
      <c r="C149" s="72">
        <v>8610752</v>
      </c>
      <c r="D149" s="73">
        <v>51487247</v>
      </c>
      <c r="E149" s="74">
        <v>52.05</v>
      </c>
      <c r="F149" s="32">
        <v>564.96</v>
      </c>
      <c r="G149" s="228">
        <f t="shared" si="33"/>
        <v>29406.168000000001</v>
      </c>
      <c r="H149" s="229">
        <v>46076.86</v>
      </c>
      <c r="I149" s="35">
        <f t="shared" si="34"/>
        <v>2398300.5630000001</v>
      </c>
      <c r="J149" s="189" t="s">
        <v>22</v>
      </c>
      <c r="K149" s="378" t="s">
        <v>38</v>
      </c>
      <c r="L149" s="246"/>
      <c r="M149" s="70"/>
      <c r="N149" s="75"/>
      <c r="O149" s="75"/>
      <c r="P149" s="79"/>
      <c r="Q149" s="247"/>
      <c r="R149" s="75"/>
      <c r="S149" s="75"/>
      <c r="T149" s="75"/>
      <c r="U149" s="79"/>
    </row>
    <row r="150" spans="1:21" x14ac:dyDescent="0.25">
      <c r="A150" s="75">
        <f t="shared" si="35"/>
        <v>133</v>
      </c>
      <c r="B150" s="98">
        <v>46058</v>
      </c>
      <c r="C150" s="72">
        <v>8610752</v>
      </c>
      <c r="D150" s="73">
        <v>51514693</v>
      </c>
      <c r="E150" s="74">
        <v>60.85</v>
      </c>
      <c r="F150" s="32">
        <v>564.96</v>
      </c>
      <c r="G150" s="228">
        <f t="shared" si="33"/>
        <v>34377.816000000006</v>
      </c>
      <c r="H150" s="229">
        <v>46076.86</v>
      </c>
      <c r="I150" s="35">
        <f t="shared" si="34"/>
        <v>2803776.9310000003</v>
      </c>
      <c r="J150" s="189" t="s">
        <v>22</v>
      </c>
      <c r="K150" s="378" t="s">
        <v>38</v>
      </c>
      <c r="L150" s="246"/>
      <c r="M150" s="70"/>
      <c r="N150" s="75"/>
      <c r="O150" s="75"/>
      <c r="P150" s="79"/>
      <c r="Q150" s="247"/>
      <c r="R150" s="75"/>
      <c r="S150" s="75"/>
      <c r="T150" s="75"/>
      <c r="U150" s="79"/>
    </row>
    <row r="151" spans="1:21" x14ac:dyDescent="0.25">
      <c r="A151" s="75">
        <f t="shared" si="35"/>
        <v>134</v>
      </c>
      <c r="B151" s="98">
        <v>46058</v>
      </c>
      <c r="C151" s="72">
        <v>8610751</v>
      </c>
      <c r="D151" s="73">
        <v>51835858</v>
      </c>
      <c r="E151" s="74">
        <v>61.15</v>
      </c>
      <c r="F151" s="32">
        <v>564.96</v>
      </c>
      <c r="G151" s="228">
        <f t="shared" si="33"/>
        <v>34547.304000000004</v>
      </c>
      <c r="H151" s="229">
        <v>46076.86</v>
      </c>
      <c r="I151" s="35">
        <f t="shared" si="34"/>
        <v>2817599.9890000001</v>
      </c>
      <c r="J151" s="189" t="s">
        <v>22</v>
      </c>
      <c r="K151" s="378" t="s">
        <v>38</v>
      </c>
      <c r="L151" s="246"/>
      <c r="M151" s="70"/>
      <c r="N151" s="75"/>
      <c r="O151" s="75"/>
      <c r="P151" s="79"/>
      <c r="Q151" s="247"/>
      <c r="R151" s="75"/>
      <c r="S151" s="75"/>
      <c r="T151" s="75"/>
      <c r="U151" s="79"/>
    </row>
    <row r="152" spans="1:21" x14ac:dyDescent="0.25">
      <c r="A152" s="75">
        <f t="shared" si="35"/>
        <v>135</v>
      </c>
      <c r="B152" s="98">
        <v>46058</v>
      </c>
      <c r="C152" s="72">
        <v>8610751</v>
      </c>
      <c r="D152" s="73">
        <v>53995361</v>
      </c>
      <c r="E152" s="74">
        <v>51.75</v>
      </c>
      <c r="F152" s="32">
        <v>564.96</v>
      </c>
      <c r="G152" s="228">
        <f t="shared" si="33"/>
        <v>29236.68</v>
      </c>
      <c r="H152" s="229">
        <v>46076.86</v>
      </c>
      <c r="I152" s="35">
        <f t="shared" si="34"/>
        <v>2384477.5049999999</v>
      </c>
      <c r="J152" s="189" t="s">
        <v>22</v>
      </c>
      <c r="K152" s="378" t="s">
        <v>38</v>
      </c>
      <c r="L152" s="246"/>
      <c r="M152" s="70"/>
      <c r="N152" s="75"/>
      <c r="O152" s="75"/>
      <c r="P152" s="79"/>
      <c r="Q152" s="247"/>
      <c r="R152" s="75"/>
      <c r="S152" s="75"/>
      <c r="T152" s="75"/>
      <c r="U152" s="79"/>
    </row>
    <row r="153" spans="1:21" x14ac:dyDescent="0.25">
      <c r="A153" s="75">
        <f t="shared" si="35"/>
        <v>136</v>
      </c>
      <c r="B153" s="98">
        <v>46058</v>
      </c>
      <c r="C153" s="72">
        <v>8610751</v>
      </c>
      <c r="D153" s="73">
        <v>54074679</v>
      </c>
      <c r="E153" s="74">
        <v>61.6</v>
      </c>
      <c r="F153" s="32">
        <v>564.96</v>
      </c>
      <c r="G153" s="228">
        <f t="shared" si="33"/>
        <v>34801.536</v>
      </c>
      <c r="H153" s="229">
        <v>46076.86</v>
      </c>
      <c r="I153" s="35">
        <f t="shared" si="34"/>
        <v>2838334.5759999999</v>
      </c>
      <c r="J153" s="189" t="s">
        <v>22</v>
      </c>
      <c r="K153" s="378" t="s">
        <v>38</v>
      </c>
      <c r="L153" s="246"/>
      <c r="M153" s="70"/>
      <c r="N153" s="75"/>
      <c r="O153" s="75"/>
      <c r="P153" s="79"/>
      <c r="Q153" s="247"/>
      <c r="R153" s="75"/>
      <c r="S153" s="75"/>
      <c r="T153" s="75"/>
      <c r="U153" s="79"/>
    </row>
    <row r="154" spans="1:21" x14ac:dyDescent="0.25">
      <c r="A154" s="75">
        <f t="shared" si="35"/>
        <v>137</v>
      </c>
      <c r="B154" s="98">
        <v>46058</v>
      </c>
      <c r="C154" s="72">
        <v>8610752</v>
      </c>
      <c r="D154" s="73">
        <v>54099551</v>
      </c>
      <c r="E154" s="74">
        <v>61.25</v>
      </c>
      <c r="F154" s="32">
        <v>564.96</v>
      </c>
      <c r="G154" s="228">
        <f t="shared" si="33"/>
        <v>34603.800000000003</v>
      </c>
      <c r="H154" s="229">
        <v>46076.86</v>
      </c>
      <c r="I154" s="35">
        <f t="shared" si="34"/>
        <v>2822207.6749999998</v>
      </c>
      <c r="J154" s="189" t="s">
        <v>22</v>
      </c>
      <c r="K154" s="378" t="s">
        <v>38</v>
      </c>
      <c r="L154" s="246"/>
      <c r="M154" s="70"/>
      <c r="N154" s="75"/>
      <c r="O154" s="75"/>
      <c r="P154" s="79"/>
      <c r="Q154" s="247"/>
      <c r="R154" s="75"/>
      <c r="S154" s="75"/>
      <c r="T154" s="75"/>
      <c r="U154" s="79"/>
    </row>
    <row r="155" spans="1:21" x14ac:dyDescent="0.25">
      <c r="A155" s="75">
        <f t="shared" si="35"/>
        <v>138</v>
      </c>
      <c r="B155" s="98">
        <v>46058</v>
      </c>
      <c r="C155" s="72">
        <v>8610751</v>
      </c>
      <c r="D155" s="73">
        <v>55948368</v>
      </c>
      <c r="E155" s="74">
        <v>61.65</v>
      </c>
      <c r="F155" s="32">
        <v>564.96</v>
      </c>
      <c r="G155" s="228">
        <f t="shared" si="33"/>
        <v>34829.784</v>
      </c>
      <c r="H155" s="229">
        <v>46076.86</v>
      </c>
      <c r="I155" s="35">
        <f t="shared" si="34"/>
        <v>2840638.4189999998</v>
      </c>
      <c r="J155" s="189" t="s">
        <v>22</v>
      </c>
      <c r="K155" s="378" t="s">
        <v>38</v>
      </c>
      <c r="L155" s="246"/>
      <c r="M155" s="70"/>
      <c r="N155" s="75"/>
      <c r="O155" s="75"/>
      <c r="P155" s="79"/>
      <c r="Q155" s="247"/>
      <c r="R155" s="75"/>
      <c r="S155" s="75"/>
      <c r="T155" s="75"/>
      <c r="U155" s="79"/>
    </row>
    <row r="156" spans="1:21" x14ac:dyDescent="0.25">
      <c r="A156" s="75">
        <f t="shared" si="35"/>
        <v>139</v>
      </c>
      <c r="B156" s="98">
        <v>46058</v>
      </c>
      <c r="C156" s="72">
        <v>8610752</v>
      </c>
      <c r="D156" s="73">
        <v>56908015</v>
      </c>
      <c r="E156" s="74">
        <v>61.3</v>
      </c>
      <c r="F156" s="32">
        <v>564.96</v>
      </c>
      <c r="G156" s="228">
        <f t="shared" si="33"/>
        <v>34632.048000000003</v>
      </c>
      <c r="H156" s="229">
        <v>46076.86</v>
      </c>
      <c r="I156" s="35">
        <f t="shared" si="34"/>
        <v>2824511.5179999997</v>
      </c>
      <c r="J156" s="189" t="s">
        <v>22</v>
      </c>
      <c r="K156" s="378" t="s">
        <v>38</v>
      </c>
      <c r="L156" s="246"/>
      <c r="M156" s="70"/>
      <c r="N156" s="75"/>
      <c r="O156" s="75"/>
      <c r="P156" s="79"/>
      <c r="Q156" s="247"/>
      <c r="R156" s="75"/>
      <c r="S156" s="75"/>
      <c r="T156" s="75"/>
      <c r="U156" s="79"/>
    </row>
    <row r="157" spans="1:21" x14ac:dyDescent="0.25">
      <c r="A157" s="75">
        <f t="shared" si="35"/>
        <v>140</v>
      </c>
      <c r="B157" s="98">
        <v>46058</v>
      </c>
      <c r="C157" s="72">
        <v>8610751</v>
      </c>
      <c r="D157" s="73">
        <v>57118283</v>
      </c>
      <c r="E157" s="74">
        <v>61.45</v>
      </c>
      <c r="F157" s="32">
        <v>564.96</v>
      </c>
      <c r="G157" s="228">
        <f t="shared" si="33"/>
        <v>34716.792000000001</v>
      </c>
      <c r="H157" s="229">
        <v>46076.86</v>
      </c>
      <c r="I157" s="35">
        <f t="shared" si="34"/>
        <v>2831423.0470000003</v>
      </c>
      <c r="J157" s="189" t="s">
        <v>22</v>
      </c>
      <c r="K157" s="378" t="s">
        <v>38</v>
      </c>
      <c r="L157" s="246"/>
      <c r="M157" s="70"/>
      <c r="N157" s="75"/>
      <c r="O157" s="75"/>
      <c r="P157" s="79"/>
      <c r="Q157" s="247"/>
      <c r="R157" s="75"/>
      <c r="S157" s="75"/>
      <c r="T157" s="75"/>
      <c r="U157" s="79"/>
    </row>
    <row r="158" spans="1:21" x14ac:dyDescent="0.25">
      <c r="A158" s="75">
        <f t="shared" si="35"/>
        <v>141</v>
      </c>
      <c r="B158" s="98">
        <v>46058</v>
      </c>
      <c r="C158" s="72">
        <v>8610752</v>
      </c>
      <c r="D158" s="73">
        <v>57341505</v>
      </c>
      <c r="E158" s="74">
        <v>61.25</v>
      </c>
      <c r="F158" s="32">
        <v>564.96</v>
      </c>
      <c r="G158" s="228">
        <f t="shared" si="33"/>
        <v>34603.800000000003</v>
      </c>
      <c r="H158" s="229">
        <v>46076.86</v>
      </c>
      <c r="I158" s="35">
        <f t="shared" si="34"/>
        <v>2822207.6749999998</v>
      </c>
      <c r="J158" s="189" t="s">
        <v>22</v>
      </c>
      <c r="K158" s="378" t="s">
        <v>38</v>
      </c>
      <c r="L158" s="246"/>
      <c r="M158" s="70"/>
      <c r="N158" s="75"/>
      <c r="O158" s="75"/>
      <c r="P158" s="79"/>
      <c r="Q158" s="247"/>
      <c r="R158" s="75"/>
      <c r="S158" s="75"/>
      <c r="T158" s="75"/>
      <c r="U158" s="79"/>
    </row>
    <row r="159" spans="1:21" x14ac:dyDescent="0.25">
      <c r="A159" s="75">
        <f t="shared" si="35"/>
        <v>142</v>
      </c>
      <c r="B159" s="98">
        <v>46058</v>
      </c>
      <c r="C159" s="72">
        <v>8610752</v>
      </c>
      <c r="D159" s="73">
        <v>58644303</v>
      </c>
      <c r="E159" s="74">
        <v>61.65</v>
      </c>
      <c r="F159" s="32">
        <v>564.96</v>
      </c>
      <c r="G159" s="228">
        <f t="shared" si="33"/>
        <v>34829.784</v>
      </c>
      <c r="H159" s="229">
        <v>46076.86</v>
      </c>
      <c r="I159" s="35">
        <f t="shared" si="34"/>
        <v>2840638.4189999998</v>
      </c>
      <c r="J159" s="189" t="s">
        <v>22</v>
      </c>
      <c r="K159" s="378" t="s">
        <v>38</v>
      </c>
      <c r="L159" s="246"/>
      <c r="M159" s="70"/>
      <c r="N159" s="75"/>
      <c r="O159" s="75"/>
      <c r="P159" s="79"/>
      <c r="Q159" s="247"/>
      <c r="R159" s="75"/>
      <c r="S159" s="75"/>
      <c r="T159" s="75"/>
      <c r="U159" s="79"/>
    </row>
    <row r="160" spans="1:21" x14ac:dyDescent="0.25">
      <c r="A160" s="75">
        <f t="shared" si="35"/>
        <v>143</v>
      </c>
      <c r="B160" s="98">
        <v>46058</v>
      </c>
      <c r="C160" s="72">
        <v>8610752</v>
      </c>
      <c r="D160" s="73">
        <v>71046734</v>
      </c>
      <c r="E160" s="74">
        <v>60.65</v>
      </c>
      <c r="F160" s="32">
        <v>564.96</v>
      </c>
      <c r="G160" s="228">
        <f t="shared" si="33"/>
        <v>34264.824000000001</v>
      </c>
      <c r="H160" s="229">
        <v>46076.86</v>
      </c>
      <c r="I160" s="35">
        <f t="shared" si="34"/>
        <v>2794561.5589999999</v>
      </c>
      <c r="J160" s="189" t="s">
        <v>22</v>
      </c>
      <c r="K160" s="378" t="s">
        <v>38</v>
      </c>
      <c r="L160" s="246"/>
      <c r="M160" s="70"/>
      <c r="N160" s="75"/>
      <c r="O160" s="75"/>
      <c r="P160" s="79"/>
      <c r="Q160" s="247"/>
      <c r="R160" s="75"/>
      <c r="S160" s="75"/>
      <c r="T160" s="75"/>
      <c r="U160" s="79"/>
    </row>
    <row r="161" spans="1:21" x14ac:dyDescent="0.25">
      <c r="A161" s="75">
        <f t="shared" si="35"/>
        <v>144</v>
      </c>
      <c r="B161" s="98">
        <v>46058</v>
      </c>
      <c r="C161" s="72">
        <v>8610751</v>
      </c>
      <c r="D161" s="73">
        <v>73000911</v>
      </c>
      <c r="E161" s="74">
        <v>61.55</v>
      </c>
      <c r="F161" s="32">
        <v>564.96</v>
      </c>
      <c r="G161" s="228">
        <f t="shared" si="33"/>
        <v>34773.288</v>
      </c>
      <c r="H161" s="229">
        <v>46076.86</v>
      </c>
      <c r="I161" s="35">
        <f t="shared" si="34"/>
        <v>2836030.733</v>
      </c>
      <c r="J161" s="189" t="s">
        <v>22</v>
      </c>
      <c r="K161" s="378" t="s">
        <v>38</v>
      </c>
      <c r="L161" s="246"/>
      <c r="M161" s="70"/>
      <c r="N161" s="75"/>
      <c r="O161" s="75"/>
      <c r="P161" s="79"/>
      <c r="Q161" s="247"/>
      <c r="R161" s="75"/>
      <c r="S161" s="75"/>
      <c r="T161" s="75"/>
      <c r="U161" s="79"/>
    </row>
    <row r="162" spans="1:21" x14ac:dyDescent="0.25">
      <c r="A162" s="75">
        <f t="shared" si="35"/>
        <v>145</v>
      </c>
      <c r="B162" s="98">
        <v>46058</v>
      </c>
      <c r="C162" s="72">
        <v>8610751</v>
      </c>
      <c r="D162" s="73">
        <v>73059545</v>
      </c>
      <c r="E162" s="74">
        <v>61.65</v>
      </c>
      <c r="F162" s="32">
        <v>564.96</v>
      </c>
      <c r="G162" s="228">
        <f t="shared" si="33"/>
        <v>34829.784</v>
      </c>
      <c r="H162" s="229">
        <v>46076.86</v>
      </c>
      <c r="I162" s="35">
        <f t="shared" si="34"/>
        <v>2840638.4189999998</v>
      </c>
      <c r="J162" s="189" t="s">
        <v>22</v>
      </c>
      <c r="K162" s="378" t="s">
        <v>38</v>
      </c>
      <c r="L162" s="246"/>
      <c r="M162" s="70"/>
      <c r="N162" s="75"/>
      <c r="O162" s="75"/>
      <c r="P162" s="79"/>
      <c r="Q162" s="247"/>
      <c r="R162" s="75"/>
      <c r="S162" s="75"/>
      <c r="T162" s="75"/>
      <c r="U162" s="79"/>
    </row>
    <row r="163" spans="1:21" x14ac:dyDescent="0.25">
      <c r="A163" s="75">
        <f t="shared" si="35"/>
        <v>146</v>
      </c>
      <c r="B163" s="98">
        <v>46058</v>
      </c>
      <c r="C163" s="72">
        <v>8610752</v>
      </c>
      <c r="D163" s="73">
        <v>73196453</v>
      </c>
      <c r="E163" s="74">
        <v>61.7</v>
      </c>
      <c r="F163" s="32">
        <v>564.96</v>
      </c>
      <c r="G163" s="228">
        <f t="shared" si="33"/>
        <v>34858.032000000007</v>
      </c>
      <c r="H163" s="229">
        <v>46076.86</v>
      </c>
      <c r="I163" s="35">
        <f t="shared" si="34"/>
        <v>2842942.2620000001</v>
      </c>
      <c r="J163" s="189" t="s">
        <v>22</v>
      </c>
      <c r="K163" s="378" t="s">
        <v>38</v>
      </c>
      <c r="L163" s="246"/>
      <c r="M163" s="70"/>
      <c r="N163" s="75"/>
      <c r="O163" s="75"/>
      <c r="P163" s="79"/>
      <c r="Q163" s="247"/>
      <c r="R163" s="75"/>
      <c r="S163" s="75"/>
      <c r="T163" s="75"/>
      <c r="U163" s="79"/>
    </row>
    <row r="164" spans="1:21" x14ac:dyDescent="0.25">
      <c r="A164" s="75">
        <f t="shared" si="35"/>
        <v>147</v>
      </c>
      <c r="B164" s="98">
        <v>46058</v>
      </c>
      <c r="C164" s="72">
        <v>8610752</v>
      </c>
      <c r="D164" s="73">
        <v>73652281</v>
      </c>
      <c r="E164" s="74">
        <v>61.55</v>
      </c>
      <c r="F164" s="32">
        <v>564.96</v>
      </c>
      <c r="G164" s="228">
        <f t="shared" si="33"/>
        <v>34773.288</v>
      </c>
      <c r="H164" s="229">
        <v>46076.86</v>
      </c>
      <c r="I164" s="35">
        <f t="shared" si="34"/>
        <v>2836030.733</v>
      </c>
      <c r="J164" s="189" t="s">
        <v>22</v>
      </c>
      <c r="K164" s="378" t="s">
        <v>38</v>
      </c>
      <c r="L164" s="246"/>
      <c r="M164" s="70"/>
      <c r="N164" s="75"/>
      <c r="O164" s="75"/>
      <c r="P164" s="79"/>
      <c r="Q164" s="247"/>
      <c r="R164" s="75"/>
      <c r="S164" s="75"/>
      <c r="T164" s="75"/>
      <c r="U164" s="79"/>
    </row>
    <row r="165" spans="1:21" x14ac:dyDescent="0.25">
      <c r="A165" s="75">
        <f t="shared" si="35"/>
        <v>148</v>
      </c>
      <c r="B165" s="98">
        <v>46058</v>
      </c>
      <c r="C165" s="72">
        <v>8610752</v>
      </c>
      <c r="D165" s="73">
        <v>73965584</v>
      </c>
      <c r="E165" s="74">
        <v>61.55</v>
      </c>
      <c r="F165" s="32">
        <v>564.96</v>
      </c>
      <c r="G165" s="228">
        <f t="shared" si="33"/>
        <v>34773.288</v>
      </c>
      <c r="H165" s="229">
        <v>46076.86</v>
      </c>
      <c r="I165" s="35">
        <f t="shared" si="34"/>
        <v>2836030.733</v>
      </c>
      <c r="J165" s="189" t="s">
        <v>22</v>
      </c>
      <c r="K165" s="378" t="s">
        <v>38</v>
      </c>
      <c r="L165" s="246"/>
      <c r="M165" s="70"/>
      <c r="N165" s="75"/>
      <c r="O165" s="75"/>
      <c r="P165" s="79"/>
      <c r="Q165" s="247"/>
      <c r="R165" s="75"/>
      <c r="S165" s="75"/>
      <c r="T165" s="75"/>
      <c r="U165" s="79"/>
    </row>
    <row r="166" spans="1:21" x14ac:dyDescent="0.25">
      <c r="A166" s="75">
        <f t="shared" si="35"/>
        <v>149</v>
      </c>
      <c r="B166" s="98">
        <v>46058</v>
      </c>
      <c r="C166" s="72">
        <v>8610751</v>
      </c>
      <c r="D166" s="73">
        <v>73966764</v>
      </c>
      <c r="E166" s="74">
        <v>61.55</v>
      </c>
      <c r="F166" s="32">
        <v>564.96</v>
      </c>
      <c r="G166" s="228">
        <f t="shared" si="33"/>
        <v>34773.288</v>
      </c>
      <c r="H166" s="229">
        <v>46076.86</v>
      </c>
      <c r="I166" s="35">
        <f t="shared" si="34"/>
        <v>2836030.733</v>
      </c>
      <c r="J166" s="189" t="s">
        <v>22</v>
      </c>
      <c r="K166" s="378" t="s">
        <v>38</v>
      </c>
      <c r="L166" s="246"/>
      <c r="M166" s="70"/>
      <c r="N166" s="75"/>
      <c r="O166" s="75"/>
      <c r="P166" s="79"/>
      <c r="Q166" s="247"/>
      <c r="R166" s="75"/>
      <c r="S166" s="75"/>
      <c r="T166" s="75"/>
      <c r="U166" s="79"/>
    </row>
    <row r="167" spans="1:21" x14ac:dyDescent="0.25">
      <c r="A167" s="75">
        <f t="shared" si="35"/>
        <v>150</v>
      </c>
      <c r="B167" s="98">
        <v>46058</v>
      </c>
      <c r="C167" s="72">
        <v>8610752</v>
      </c>
      <c r="D167" s="73">
        <v>73989964</v>
      </c>
      <c r="E167" s="74">
        <v>61.6</v>
      </c>
      <c r="F167" s="32">
        <v>564.96</v>
      </c>
      <c r="G167" s="228">
        <f t="shared" si="33"/>
        <v>34801.536</v>
      </c>
      <c r="H167" s="229">
        <v>46076.86</v>
      </c>
      <c r="I167" s="35">
        <f t="shared" si="34"/>
        <v>2838334.5759999999</v>
      </c>
      <c r="J167" s="189" t="s">
        <v>22</v>
      </c>
      <c r="K167" s="378" t="s">
        <v>38</v>
      </c>
      <c r="L167" s="246"/>
      <c r="M167" s="70"/>
      <c r="N167" s="75"/>
      <c r="O167" s="75"/>
      <c r="P167" s="79"/>
      <c r="Q167" s="247"/>
      <c r="R167" s="75"/>
      <c r="S167" s="75"/>
      <c r="T167" s="75"/>
      <c r="U167" s="79"/>
    </row>
    <row r="168" spans="1:21" x14ac:dyDescent="0.25">
      <c r="A168" s="75">
        <f t="shared" si="35"/>
        <v>151</v>
      </c>
      <c r="B168" s="98">
        <v>46058</v>
      </c>
      <c r="C168" s="72">
        <v>8610751</v>
      </c>
      <c r="D168" s="73">
        <v>75009159</v>
      </c>
      <c r="E168" s="74">
        <v>61.65</v>
      </c>
      <c r="F168" s="32">
        <v>564.96</v>
      </c>
      <c r="G168" s="228">
        <f t="shared" si="33"/>
        <v>34829.784</v>
      </c>
      <c r="H168" s="229">
        <v>46076.86</v>
      </c>
      <c r="I168" s="35">
        <f t="shared" si="34"/>
        <v>2840638.4189999998</v>
      </c>
      <c r="J168" s="189" t="s">
        <v>22</v>
      </c>
      <c r="K168" s="378" t="s">
        <v>38</v>
      </c>
      <c r="L168" s="246"/>
      <c r="M168" s="70"/>
      <c r="N168" s="75"/>
      <c r="O168" s="75"/>
      <c r="P168" s="79"/>
      <c r="Q168" s="247"/>
      <c r="R168" s="75"/>
      <c r="S168" s="75"/>
      <c r="T168" s="75"/>
      <c r="U168" s="79"/>
    </row>
    <row r="169" spans="1:21" x14ac:dyDescent="0.25">
      <c r="A169" s="75">
        <f t="shared" si="35"/>
        <v>152</v>
      </c>
      <c r="B169" s="98">
        <v>46058</v>
      </c>
      <c r="C169" s="72">
        <v>8610751</v>
      </c>
      <c r="D169" s="73">
        <v>75009811</v>
      </c>
      <c r="E169" s="74">
        <v>61.5</v>
      </c>
      <c r="F169" s="32">
        <v>564.96</v>
      </c>
      <c r="G169" s="228">
        <f t="shared" si="33"/>
        <v>34745.040000000001</v>
      </c>
      <c r="H169" s="229">
        <v>46076.86</v>
      </c>
      <c r="I169" s="35">
        <f t="shared" si="34"/>
        <v>2833726.89</v>
      </c>
      <c r="J169" s="189" t="s">
        <v>22</v>
      </c>
      <c r="K169" s="378" t="s">
        <v>38</v>
      </c>
      <c r="L169" s="246"/>
      <c r="M169" s="70"/>
      <c r="N169" s="75"/>
      <c r="O169" s="75"/>
      <c r="P169" s="79"/>
      <c r="Q169" s="247"/>
      <c r="R169" s="75"/>
      <c r="S169" s="75"/>
      <c r="T169" s="75"/>
      <c r="U169" s="79"/>
    </row>
    <row r="170" spans="1:21" x14ac:dyDescent="0.25">
      <c r="A170" s="75">
        <f t="shared" si="35"/>
        <v>153</v>
      </c>
      <c r="B170" s="98">
        <v>46058</v>
      </c>
      <c r="C170" s="72">
        <v>8610752</v>
      </c>
      <c r="D170" s="73">
        <v>75242537</v>
      </c>
      <c r="E170" s="74">
        <v>62.05</v>
      </c>
      <c r="F170" s="32">
        <v>564.96</v>
      </c>
      <c r="G170" s="228">
        <f t="shared" si="33"/>
        <v>35055.768000000004</v>
      </c>
      <c r="H170" s="229">
        <v>46076.86</v>
      </c>
      <c r="I170" s="35">
        <f t="shared" si="34"/>
        <v>2859069.1629999997</v>
      </c>
      <c r="J170" s="189" t="s">
        <v>22</v>
      </c>
      <c r="K170" s="378" t="s">
        <v>38</v>
      </c>
      <c r="L170" s="246"/>
      <c r="M170" s="70"/>
      <c r="N170" s="75"/>
      <c r="O170" s="75"/>
      <c r="P170" s="79"/>
      <c r="Q170" s="247"/>
      <c r="R170" s="75"/>
      <c r="S170" s="75"/>
      <c r="T170" s="75"/>
      <c r="U170" s="79"/>
    </row>
    <row r="171" spans="1:21" x14ac:dyDescent="0.25">
      <c r="A171" s="75">
        <f t="shared" si="35"/>
        <v>154</v>
      </c>
      <c r="B171" s="98">
        <v>46058</v>
      </c>
      <c r="C171" s="72">
        <v>8610752</v>
      </c>
      <c r="D171" s="73">
        <v>75292706</v>
      </c>
      <c r="E171" s="74">
        <v>62.25</v>
      </c>
      <c r="F171" s="32">
        <v>564.96</v>
      </c>
      <c r="G171" s="228">
        <f t="shared" si="33"/>
        <v>35168.76</v>
      </c>
      <c r="H171" s="229">
        <v>46076.86</v>
      </c>
      <c r="I171" s="35">
        <f t="shared" si="34"/>
        <v>2868284.5350000001</v>
      </c>
      <c r="J171" s="189" t="s">
        <v>22</v>
      </c>
      <c r="K171" s="378" t="s">
        <v>38</v>
      </c>
      <c r="L171" s="246"/>
      <c r="M171" s="70"/>
      <c r="N171" s="75"/>
      <c r="O171" s="75"/>
      <c r="P171" s="79"/>
      <c r="Q171" s="247"/>
      <c r="R171" s="75"/>
      <c r="S171" s="75"/>
      <c r="T171" s="75"/>
      <c r="U171" s="79"/>
    </row>
    <row r="172" spans="1:21" x14ac:dyDescent="0.25">
      <c r="A172" s="75">
        <f t="shared" si="35"/>
        <v>155</v>
      </c>
      <c r="B172" s="98">
        <v>46058</v>
      </c>
      <c r="C172" s="72">
        <v>8610752</v>
      </c>
      <c r="D172" s="73">
        <v>75807099</v>
      </c>
      <c r="E172" s="74">
        <v>62.25</v>
      </c>
      <c r="F172" s="32">
        <v>564.96</v>
      </c>
      <c r="G172" s="228">
        <f t="shared" si="33"/>
        <v>35168.76</v>
      </c>
      <c r="H172" s="229">
        <v>46076.86</v>
      </c>
      <c r="I172" s="35">
        <f t="shared" si="34"/>
        <v>2868284.5350000001</v>
      </c>
      <c r="J172" s="189" t="s">
        <v>22</v>
      </c>
      <c r="K172" s="378" t="s">
        <v>38</v>
      </c>
      <c r="L172" s="246"/>
      <c r="M172" s="70"/>
      <c r="N172" s="75"/>
      <c r="O172" s="75"/>
      <c r="P172" s="79"/>
      <c r="Q172" s="247"/>
      <c r="R172" s="75"/>
      <c r="S172" s="75"/>
      <c r="T172" s="75"/>
      <c r="U172" s="79"/>
    </row>
    <row r="173" spans="1:21" ht="15.75" thickBot="1" x14ac:dyDescent="0.3">
      <c r="A173" s="105">
        <f t="shared" si="35"/>
        <v>156</v>
      </c>
      <c r="B173" s="135">
        <v>46058</v>
      </c>
      <c r="C173" s="102">
        <v>8610752</v>
      </c>
      <c r="D173" s="103">
        <v>76069392</v>
      </c>
      <c r="E173" s="104">
        <v>61.85</v>
      </c>
      <c r="F173" s="32">
        <v>564.96</v>
      </c>
      <c r="G173" s="248">
        <f t="shared" si="33"/>
        <v>34942.776000000005</v>
      </c>
      <c r="H173" s="257">
        <v>46076.86</v>
      </c>
      <c r="I173" s="40">
        <f t="shared" si="34"/>
        <v>2849853.7910000002</v>
      </c>
      <c r="J173" s="189" t="s">
        <v>22</v>
      </c>
      <c r="K173" s="379" t="s">
        <v>38</v>
      </c>
      <c r="L173" s="380"/>
      <c r="M173" s="80"/>
      <c r="N173" s="88"/>
      <c r="O173" s="88"/>
      <c r="P173" s="89"/>
      <c r="Q173" s="250"/>
      <c r="R173" s="88"/>
      <c r="S173" s="88"/>
      <c r="T173" s="88"/>
      <c r="U173" s="89"/>
    </row>
    <row r="174" spans="1:21" ht="15.75" thickBot="1" x14ac:dyDescent="0.3">
      <c r="A174" s="233"/>
      <c r="B174" s="234"/>
      <c r="C174" s="234"/>
      <c r="D174" s="234"/>
      <c r="E174" s="235">
        <f>SUM(E143:E173)</f>
        <v>1860.3999999999999</v>
      </c>
      <c r="F174" s="236"/>
      <c r="G174" s="237">
        <f>SUM(G143:G173)</f>
        <v>1051051.584</v>
      </c>
      <c r="H174" s="234"/>
      <c r="I174" s="238">
        <f>SUM(I143:I173)</f>
        <v>85721390.343999997</v>
      </c>
      <c r="J174" s="234"/>
      <c r="K174" s="369"/>
      <c r="L174" s="370"/>
      <c r="M174" s="233"/>
      <c r="N174" s="234"/>
      <c r="O174" s="234"/>
      <c r="P174" s="239"/>
      <c r="Q174" s="371"/>
      <c r="R174" s="234"/>
      <c r="S174" s="234"/>
      <c r="T174" s="234"/>
      <c r="U174" s="239"/>
    </row>
    <row r="175" spans="1:21" x14ac:dyDescent="0.25">
      <c r="A175" s="57">
        <v>157</v>
      </c>
      <c r="B175" s="58">
        <v>46059</v>
      </c>
      <c r="C175" s="59">
        <v>8610806</v>
      </c>
      <c r="D175" s="60">
        <v>51608834</v>
      </c>
      <c r="E175" s="61">
        <v>61.05</v>
      </c>
      <c r="F175" s="32">
        <v>564.96</v>
      </c>
      <c r="G175" s="358">
        <f t="shared" ref="G175:G184" si="36">E175*F175</f>
        <v>34490.807999999997</v>
      </c>
      <c r="H175" s="359">
        <v>46076.86</v>
      </c>
      <c r="I175" s="360">
        <f t="shared" ref="I175:I184" si="37">E175*H175</f>
        <v>2812992.3029999998</v>
      </c>
      <c r="J175" s="361" t="s">
        <v>22</v>
      </c>
      <c r="K175" s="362" t="s">
        <v>38</v>
      </c>
      <c r="L175" s="363"/>
      <c r="M175" s="57"/>
      <c r="N175" s="68"/>
      <c r="O175" s="68"/>
      <c r="P175" s="69"/>
      <c r="Q175" s="245"/>
      <c r="R175" s="68"/>
      <c r="S175" s="68"/>
      <c r="T175" s="68"/>
      <c r="U175" s="69"/>
    </row>
    <row r="176" spans="1:21" x14ac:dyDescent="0.25">
      <c r="A176" s="70">
        <f>A175+1</f>
        <v>158</v>
      </c>
      <c r="B176" s="98">
        <v>46059</v>
      </c>
      <c r="C176" s="72">
        <v>8610806</v>
      </c>
      <c r="D176" s="73">
        <v>73009870</v>
      </c>
      <c r="E176" s="74">
        <v>61.75</v>
      </c>
      <c r="F176" s="32">
        <v>564.96</v>
      </c>
      <c r="G176" s="228">
        <f t="shared" si="36"/>
        <v>34886.28</v>
      </c>
      <c r="H176" s="229">
        <v>46076.86</v>
      </c>
      <c r="I176" s="35">
        <f t="shared" si="37"/>
        <v>2845246.105</v>
      </c>
      <c r="J176" s="189" t="s">
        <v>22</v>
      </c>
      <c r="K176" s="356" t="s">
        <v>38</v>
      </c>
      <c r="L176" s="146"/>
      <c r="M176" s="70"/>
      <c r="N176" s="75"/>
      <c r="O176" s="75"/>
      <c r="P176" s="79"/>
      <c r="Q176" s="247"/>
      <c r="R176" s="75"/>
      <c r="S176" s="75"/>
      <c r="T176" s="75"/>
      <c r="U176" s="79"/>
    </row>
    <row r="177" spans="1:21" x14ac:dyDescent="0.25">
      <c r="A177" s="70">
        <f t="shared" ref="A177:A184" si="38">A176+1</f>
        <v>159</v>
      </c>
      <c r="B177" s="98">
        <v>46059</v>
      </c>
      <c r="C177" s="72">
        <v>8610806</v>
      </c>
      <c r="D177" s="73">
        <v>73092470</v>
      </c>
      <c r="E177" s="74">
        <v>61.65</v>
      </c>
      <c r="F177" s="32">
        <v>564.96</v>
      </c>
      <c r="G177" s="228">
        <f t="shared" si="36"/>
        <v>34829.784</v>
      </c>
      <c r="H177" s="229">
        <v>46076.86</v>
      </c>
      <c r="I177" s="35">
        <f t="shared" si="37"/>
        <v>2840638.4189999998</v>
      </c>
      <c r="J177" s="189" t="s">
        <v>22</v>
      </c>
      <c r="K177" s="356" t="s">
        <v>38</v>
      </c>
      <c r="L177" s="146"/>
      <c r="M177" s="70"/>
      <c r="N177" s="75"/>
      <c r="O177" s="75"/>
      <c r="P177" s="79"/>
      <c r="Q177" s="247"/>
      <c r="R177" s="75"/>
      <c r="S177" s="75"/>
      <c r="T177" s="75"/>
      <c r="U177" s="79"/>
    </row>
    <row r="178" spans="1:21" x14ac:dyDescent="0.25">
      <c r="A178" s="70">
        <f t="shared" si="38"/>
        <v>160</v>
      </c>
      <c r="B178" s="98">
        <v>46059</v>
      </c>
      <c r="C178" s="72">
        <v>8610806</v>
      </c>
      <c r="D178" s="73">
        <v>73106007</v>
      </c>
      <c r="E178" s="74">
        <v>61.7</v>
      </c>
      <c r="F178" s="32">
        <v>564.96</v>
      </c>
      <c r="G178" s="228">
        <f t="shared" si="36"/>
        <v>34858.032000000007</v>
      </c>
      <c r="H178" s="229">
        <v>46076.86</v>
      </c>
      <c r="I178" s="35">
        <f t="shared" si="37"/>
        <v>2842942.2620000001</v>
      </c>
      <c r="J178" s="189" t="s">
        <v>22</v>
      </c>
      <c r="K178" s="356" t="s">
        <v>38</v>
      </c>
      <c r="L178" s="146"/>
      <c r="M178" s="70"/>
      <c r="N178" s="75"/>
      <c r="O178" s="75"/>
      <c r="P178" s="79"/>
      <c r="Q178" s="247"/>
      <c r="R178" s="75"/>
      <c r="S178" s="75"/>
      <c r="T178" s="75"/>
      <c r="U178" s="79"/>
    </row>
    <row r="179" spans="1:21" x14ac:dyDescent="0.25">
      <c r="A179" s="70">
        <f t="shared" si="38"/>
        <v>161</v>
      </c>
      <c r="B179" s="98">
        <v>46059</v>
      </c>
      <c r="C179" s="72">
        <v>8610806</v>
      </c>
      <c r="D179" s="73">
        <v>73107765</v>
      </c>
      <c r="E179" s="74">
        <v>61.7</v>
      </c>
      <c r="F179" s="32">
        <v>564.96</v>
      </c>
      <c r="G179" s="228">
        <f t="shared" si="36"/>
        <v>34858.032000000007</v>
      </c>
      <c r="H179" s="229">
        <v>46076.86</v>
      </c>
      <c r="I179" s="35">
        <f t="shared" si="37"/>
        <v>2842942.2620000001</v>
      </c>
      <c r="J179" s="189" t="s">
        <v>22</v>
      </c>
      <c r="K179" s="356" t="s">
        <v>38</v>
      </c>
      <c r="L179" s="146"/>
      <c r="M179" s="70"/>
      <c r="N179" s="75"/>
      <c r="O179" s="75"/>
      <c r="P179" s="79"/>
      <c r="Q179" s="247"/>
      <c r="R179" s="75"/>
      <c r="S179" s="75"/>
      <c r="T179" s="75"/>
      <c r="U179" s="79"/>
    </row>
    <row r="180" spans="1:21" x14ac:dyDescent="0.25">
      <c r="A180" s="70">
        <f t="shared" si="38"/>
        <v>162</v>
      </c>
      <c r="B180" s="98">
        <v>46059</v>
      </c>
      <c r="C180" s="72">
        <v>8610806</v>
      </c>
      <c r="D180" s="73">
        <v>73110959</v>
      </c>
      <c r="E180" s="74">
        <v>61.6</v>
      </c>
      <c r="F180" s="32">
        <v>564.96</v>
      </c>
      <c r="G180" s="228">
        <f t="shared" si="36"/>
        <v>34801.536</v>
      </c>
      <c r="H180" s="229">
        <v>46076.86</v>
      </c>
      <c r="I180" s="35">
        <f t="shared" si="37"/>
        <v>2838334.5759999999</v>
      </c>
      <c r="J180" s="189" t="s">
        <v>22</v>
      </c>
      <c r="K180" s="356" t="s">
        <v>38</v>
      </c>
      <c r="L180" s="146"/>
      <c r="M180" s="70"/>
      <c r="N180" s="75"/>
      <c r="O180" s="75"/>
      <c r="P180" s="79"/>
      <c r="Q180" s="247"/>
      <c r="R180" s="75"/>
      <c r="S180" s="75"/>
      <c r="T180" s="75"/>
      <c r="U180" s="79"/>
    </row>
    <row r="181" spans="1:21" x14ac:dyDescent="0.25">
      <c r="A181" s="70">
        <f t="shared" si="38"/>
        <v>163</v>
      </c>
      <c r="B181" s="98">
        <v>46059</v>
      </c>
      <c r="C181" s="72">
        <v>8610806</v>
      </c>
      <c r="D181" s="73">
        <v>73112641</v>
      </c>
      <c r="E181" s="74">
        <v>61.7</v>
      </c>
      <c r="F181" s="32">
        <v>564.96</v>
      </c>
      <c r="G181" s="228">
        <f t="shared" si="36"/>
        <v>34858.032000000007</v>
      </c>
      <c r="H181" s="229">
        <v>46076.86</v>
      </c>
      <c r="I181" s="35">
        <f t="shared" si="37"/>
        <v>2842942.2620000001</v>
      </c>
      <c r="J181" s="189" t="s">
        <v>22</v>
      </c>
      <c r="K181" s="356" t="s">
        <v>38</v>
      </c>
      <c r="L181" s="146"/>
      <c r="M181" s="70"/>
      <c r="N181" s="75"/>
      <c r="O181" s="75"/>
      <c r="P181" s="79"/>
      <c r="Q181" s="247"/>
      <c r="R181" s="75"/>
      <c r="S181" s="75"/>
      <c r="T181" s="75"/>
      <c r="U181" s="79"/>
    </row>
    <row r="182" spans="1:21" x14ac:dyDescent="0.25">
      <c r="A182" s="70">
        <f t="shared" si="38"/>
        <v>164</v>
      </c>
      <c r="B182" s="98">
        <v>46059</v>
      </c>
      <c r="C182" s="72">
        <v>8610806</v>
      </c>
      <c r="D182" s="73">
        <v>73125221</v>
      </c>
      <c r="E182" s="74">
        <v>61.65</v>
      </c>
      <c r="F182" s="32">
        <v>564.96</v>
      </c>
      <c r="G182" s="228">
        <f t="shared" si="36"/>
        <v>34829.784</v>
      </c>
      <c r="H182" s="229">
        <v>46076.86</v>
      </c>
      <c r="I182" s="35">
        <f t="shared" si="37"/>
        <v>2840638.4189999998</v>
      </c>
      <c r="J182" s="189" t="s">
        <v>22</v>
      </c>
      <c r="K182" s="356" t="s">
        <v>38</v>
      </c>
      <c r="L182" s="146"/>
      <c r="M182" s="70"/>
      <c r="N182" s="75"/>
      <c r="O182" s="75"/>
      <c r="P182" s="79"/>
      <c r="Q182" s="247"/>
      <c r="R182" s="75"/>
      <c r="S182" s="75"/>
      <c r="T182" s="75"/>
      <c r="U182" s="79"/>
    </row>
    <row r="183" spans="1:21" x14ac:dyDescent="0.25">
      <c r="A183" s="70">
        <f t="shared" si="38"/>
        <v>165</v>
      </c>
      <c r="B183" s="98">
        <v>46059</v>
      </c>
      <c r="C183" s="72">
        <v>8610806</v>
      </c>
      <c r="D183" s="73">
        <v>73159170</v>
      </c>
      <c r="E183" s="74">
        <v>61.7</v>
      </c>
      <c r="F183" s="32">
        <v>564.96</v>
      </c>
      <c r="G183" s="228">
        <f t="shared" si="36"/>
        <v>34858.032000000007</v>
      </c>
      <c r="H183" s="229">
        <v>46076.86</v>
      </c>
      <c r="I183" s="35">
        <f t="shared" si="37"/>
        <v>2842942.2620000001</v>
      </c>
      <c r="J183" s="189" t="s">
        <v>22</v>
      </c>
      <c r="K183" s="356" t="s">
        <v>38</v>
      </c>
      <c r="L183" s="146"/>
      <c r="M183" s="70"/>
      <c r="N183" s="75"/>
      <c r="O183" s="75"/>
      <c r="P183" s="79"/>
      <c r="Q183" s="247"/>
      <c r="R183" s="75"/>
      <c r="S183" s="75"/>
      <c r="T183" s="75"/>
      <c r="U183" s="79"/>
    </row>
    <row r="184" spans="1:21" ht="15.75" thickBot="1" x14ac:dyDescent="0.3">
      <c r="A184" s="80">
        <f t="shared" si="38"/>
        <v>166</v>
      </c>
      <c r="B184" s="99">
        <v>46059</v>
      </c>
      <c r="C184" s="82">
        <v>8610806</v>
      </c>
      <c r="D184" s="83">
        <v>73170201</v>
      </c>
      <c r="E184" s="84">
        <v>61.6</v>
      </c>
      <c r="F184" s="32">
        <v>564.96</v>
      </c>
      <c r="G184" s="364">
        <f t="shared" si="36"/>
        <v>34801.536</v>
      </c>
      <c r="H184" s="365">
        <v>46076.86</v>
      </c>
      <c r="I184" s="366">
        <f t="shared" si="37"/>
        <v>2838334.5759999999</v>
      </c>
      <c r="J184" s="367" t="s">
        <v>22</v>
      </c>
      <c r="K184" s="368" t="s">
        <v>38</v>
      </c>
      <c r="L184" s="221"/>
      <c r="M184" s="80"/>
      <c r="N184" s="88"/>
      <c r="O184" s="88"/>
      <c r="P184" s="89"/>
      <c r="Q184" s="250"/>
      <c r="R184" s="88"/>
      <c r="S184" s="88"/>
      <c r="T184" s="88"/>
      <c r="U184" s="89"/>
    </row>
    <row r="185" spans="1:21" ht="15.75" thickBot="1" x14ac:dyDescent="0.3">
      <c r="A185" s="233"/>
      <c r="B185" s="234"/>
      <c r="C185" s="234"/>
      <c r="D185" s="234"/>
      <c r="E185" s="235">
        <f>SUM(E175:E184)</f>
        <v>616.1</v>
      </c>
      <c r="F185" s="236"/>
      <c r="G185" s="237">
        <f>SUM(G175:G184)</f>
        <v>348071.85600000003</v>
      </c>
      <c r="H185" s="234"/>
      <c r="I185" s="238">
        <f>SUM(I175:I184)</f>
        <v>28387953.446000006</v>
      </c>
      <c r="J185" s="234"/>
      <c r="K185" s="369"/>
      <c r="L185" s="370"/>
      <c r="M185" s="253"/>
      <c r="N185" s="254"/>
      <c r="O185" s="254"/>
      <c r="P185" s="255"/>
      <c r="Q185" s="256"/>
      <c r="R185" s="254"/>
      <c r="S185" s="254"/>
      <c r="T185" s="254"/>
      <c r="U185" s="255"/>
    </row>
    <row r="186" spans="1:21" x14ac:dyDescent="0.25">
      <c r="A186" s="140">
        <v>167</v>
      </c>
      <c r="B186" s="71">
        <v>46060</v>
      </c>
      <c r="C186" s="151">
        <v>8610822</v>
      </c>
      <c r="D186" s="152">
        <v>50034370</v>
      </c>
      <c r="E186" s="153">
        <v>60.95</v>
      </c>
      <c r="F186" s="32">
        <v>564.96</v>
      </c>
      <c r="G186" s="228">
        <f t="shared" ref="G186:G229" si="39">E186*F186</f>
        <v>34434.312000000005</v>
      </c>
      <c r="H186" s="229">
        <v>46076.86</v>
      </c>
      <c r="I186" s="35">
        <f t="shared" ref="I186:I229" si="40">E186*H186</f>
        <v>2808384.6170000001</v>
      </c>
      <c r="J186" s="354" t="s">
        <v>22</v>
      </c>
      <c r="K186" s="355" t="s">
        <v>38</v>
      </c>
      <c r="L186" s="143"/>
      <c r="M186" s="57"/>
      <c r="N186" s="68"/>
      <c r="O186" s="68"/>
      <c r="P186" s="363"/>
      <c r="Q186" s="57"/>
      <c r="R186" s="68"/>
      <c r="S186" s="68"/>
      <c r="T186" s="68"/>
      <c r="U186" s="69"/>
    </row>
    <row r="187" spans="1:21" x14ac:dyDescent="0.25">
      <c r="A187" s="75">
        <f>A186+1</f>
        <v>168</v>
      </c>
      <c r="B187" s="98">
        <v>46060</v>
      </c>
      <c r="C187" s="72">
        <v>8610822</v>
      </c>
      <c r="D187" s="73">
        <v>50133438</v>
      </c>
      <c r="E187" s="74">
        <v>61.2</v>
      </c>
      <c r="F187" s="32">
        <v>564.96</v>
      </c>
      <c r="G187" s="228">
        <f t="shared" si="39"/>
        <v>34575.552000000003</v>
      </c>
      <c r="H187" s="229">
        <v>46076.86</v>
      </c>
      <c r="I187" s="35">
        <f t="shared" si="40"/>
        <v>2819903.8319999999</v>
      </c>
      <c r="J187" s="189" t="s">
        <v>22</v>
      </c>
      <c r="K187" s="356" t="s">
        <v>38</v>
      </c>
      <c r="L187" s="146"/>
      <c r="M187" s="70"/>
      <c r="N187" s="75"/>
      <c r="O187" s="75"/>
      <c r="P187" s="146"/>
      <c r="Q187" s="70"/>
      <c r="R187" s="75"/>
      <c r="S187" s="75"/>
      <c r="T187" s="75"/>
      <c r="U187" s="79"/>
    </row>
    <row r="188" spans="1:21" x14ac:dyDescent="0.25">
      <c r="A188" s="75">
        <f t="shared" ref="A188:A229" si="41">A187+1</f>
        <v>169</v>
      </c>
      <c r="B188" s="98">
        <v>46060</v>
      </c>
      <c r="C188" s="72">
        <v>8610822</v>
      </c>
      <c r="D188" s="73">
        <v>50214477</v>
      </c>
      <c r="E188" s="74">
        <v>61.25</v>
      </c>
      <c r="F188" s="32">
        <v>564.96</v>
      </c>
      <c r="G188" s="228">
        <f t="shared" si="39"/>
        <v>34603.800000000003</v>
      </c>
      <c r="H188" s="229">
        <v>46076.86</v>
      </c>
      <c r="I188" s="35">
        <f t="shared" si="40"/>
        <v>2822207.6749999998</v>
      </c>
      <c r="J188" s="189" t="s">
        <v>22</v>
      </c>
      <c r="K188" s="356" t="s">
        <v>38</v>
      </c>
      <c r="L188" s="146"/>
      <c r="M188" s="70"/>
      <c r="N188" s="75"/>
      <c r="O188" s="75"/>
      <c r="P188" s="146"/>
      <c r="Q188" s="70"/>
      <c r="R188" s="75"/>
      <c r="S188" s="75"/>
      <c r="T188" s="75"/>
      <c r="U188" s="79"/>
    </row>
    <row r="189" spans="1:21" x14ac:dyDescent="0.25">
      <c r="A189" s="75">
        <f t="shared" si="41"/>
        <v>170</v>
      </c>
      <c r="B189" s="98">
        <v>46060</v>
      </c>
      <c r="C189" s="72">
        <v>8610820</v>
      </c>
      <c r="D189" s="73">
        <v>50292465</v>
      </c>
      <c r="E189" s="74">
        <v>61.2</v>
      </c>
      <c r="F189" s="32">
        <v>564.96</v>
      </c>
      <c r="G189" s="228">
        <f t="shared" si="39"/>
        <v>34575.552000000003</v>
      </c>
      <c r="H189" s="229">
        <v>46076.86</v>
      </c>
      <c r="I189" s="35">
        <f t="shared" si="40"/>
        <v>2819903.8319999999</v>
      </c>
      <c r="J189" s="189" t="s">
        <v>22</v>
      </c>
      <c r="K189" s="356" t="s">
        <v>38</v>
      </c>
      <c r="L189" s="146"/>
      <c r="M189" s="70"/>
      <c r="N189" s="75"/>
      <c r="O189" s="75"/>
      <c r="P189" s="146"/>
      <c r="Q189" s="70"/>
      <c r="R189" s="75"/>
      <c r="S189" s="75"/>
      <c r="T189" s="75"/>
      <c r="U189" s="79"/>
    </row>
    <row r="190" spans="1:21" x14ac:dyDescent="0.25">
      <c r="A190" s="75">
        <f t="shared" si="41"/>
        <v>171</v>
      </c>
      <c r="B190" s="98">
        <v>46060</v>
      </c>
      <c r="C190" s="72">
        <v>8610821</v>
      </c>
      <c r="D190" s="73">
        <v>50417401</v>
      </c>
      <c r="E190" s="74">
        <v>61.15</v>
      </c>
      <c r="F190" s="32">
        <v>564.96</v>
      </c>
      <c r="G190" s="228">
        <f t="shared" si="39"/>
        <v>34547.304000000004</v>
      </c>
      <c r="H190" s="229">
        <v>46076.86</v>
      </c>
      <c r="I190" s="35">
        <f t="shared" si="40"/>
        <v>2817599.9890000001</v>
      </c>
      <c r="J190" s="189" t="s">
        <v>22</v>
      </c>
      <c r="K190" s="356" t="s">
        <v>38</v>
      </c>
      <c r="L190" s="146"/>
      <c r="M190" s="70"/>
      <c r="N190" s="75"/>
      <c r="O190" s="75"/>
      <c r="P190" s="146"/>
      <c r="Q190" s="70"/>
      <c r="R190" s="75"/>
      <c r="S190" s="75"/>
      <c r="T190" s="75"/>
      <c r="U190" s="79"/>
    </row>
    <row r="191" spans="1:21" x14ac:dyDescent="0.25">
      <c r="A191" s="75">
        <f t="shared" si="41"/>
        <v>172</v>
      </c>
      <c r="B191" s="98">
        <v>46060</v>
      </c>
      <c r="C191" s="72">
        <v>8610821</v>
      </c>
      <c r="D191" s="73">
        <v>50487636</v>
      </c>
      <c r="E191" s="74">
        <v>61.15</v>
      </c>
      <c r="F191" s="32">
        <v>564.96</v>
      </c>
      <c r="G191" s="228">
        <f t="shared" si="39"/>
        <v>34547.304000000004</v>
      </c>
      <c r="H191" s="229">
        <v>46076.86</v>
      </c>
      <c r="I191" s="35">
        <f t="shared" si="40"/>
        <v>2817599.9890000001</v>
      </c>
      <c r="J191" s="189" t="s">
        <v>22</v>
      </c>
      <c r="K191" s="356" t="s">
        <v>38</v>
      </c>
      <c r="L191" s="146"/>
      <c r="M191" s="70"/>
      <c r="N191" s="75"/>
      <c r="O191" s="75"/>
      <c r="P191" s="146"/>
      <c r="Q191" s="70"/>
      <c r="R191" s="75"/>
      <c r="S191" s="75"/>
      <c r="T191" s="75"/>
      <c r="U191" s="79"/>
    </row>
    <row r="192" spans="1:21" x14ac:dyDescent="0.25">
      <c r="A192" s="75">
        <f t="shared" si="41"/>
        <v>173</v>
      </c>
      <c r="B192" s="98">
        <v>46060</v>
      </c>
      <c r="C192" s="72">
        <v>8610820</v>
      </c>
      <c r="D192" s="73">
        <v>50765809</v>
      </c>
      <c r="E192" s="74">
        <v>52.7</v>
      </c>
      <c r="F192" s="32">
        <v>564.96</v>
      </c>
      <c r="G192" s="228">
        <f t="shared" si="39"/>
        <v>29773.392000000003</v>
      </c>
      <c r="H192" s="229">
        <v>46076.86</v>
      </c>
      <c r="I192" s="35">
        <f t="shared" si="40"/>
        <v>2428250.5220000003</v>
      </c>
      <c r="J192" s="189" t="s">
        <v>22</v>
      </c>
      <c r="K192" s="356" t="s">
        <v>38</v>
      </c>
      <c r="L192" s="146"/>
      <c r="M192" s="70"/>
      <c r="N192" s="75"/>
      <c r="O192" s="75"/>
      <c r="P192" s="146"/>
      <c r="Q192" s="70"/>
      <c r="R192" s="75"/>
      <c r="S192" s="75"/>
      <c r="T192" s="75"/>
      <c r="U192" s="79"/>
    </row>
    <row r="193" spans="1:21" x14ac:dyDescent="0.25">
      <c r="A193" s="75">
        <f t="shared" si="41"/>
        <v>174</v>
      </c>
      <c r="B193" s="98">
        <v>46060</v>
      </c>
      <c r="C193" s="72">
        <v>8610821</v>
      </c>
      <c r="D193" s="73">
        <v>51224608</v>
      </c>
      <c r="E193" s="74">
        <v>61.55</v>
      </c>
      <c r="F193" s="32">
        <v>564.96</v>
      </c>
      <c r="G193" s="228">
        <f t="shared" si="39"/>
        <v>34773.288</v>
      </c>
      <c r="H193" s="229">
        <v>46076.86</v>
      </c>
      <c r="I193" s="35">
        <f t="shared" si="40"/>
        <v>2836030.733</v>
      </c>
      <c r="J193" s="189" t="s">
        <v>22</v>
      </c>
      <c r="K193" s="356" t="s">
        <v>38</v>
      </c>
      <c r="L193" s="146"/>
      <c r="M193" s="70"/>
      <c r="N193" s="75"/>
      <c r="O193" s="75"/>
      <c r="P193" s="146"/>
      <c r="Q193" s="70"/>
      <c r="R193" s="75"/>
      <c r="S193" s="75"/>
      <c r="T193" s="75"/>
      <c r="U193" s="79"/>
    </row>
    <row r="194" spans="1:21" x14ac:dyDescent="0.25">
      <c r="A194" s="75">
        <f t="shared" si="41"/>
        <v>175</v>
      </c>
      <c r="B194" s="98">
        <v>46060</v>
      </c>
      <c r="C194" s="72">
        <v>8610821</v>
      </c>
      <c r="D194" s="73">
        <v>51368181</v>
      </c>
      <c r="E194" s="74">
        <v>52.6</v>
      </c>
      <c r="F194" s="32">
        <v>564.96</v>
      </c>
      <c r="G194" s="228">
        <f t="shared" si="39"/>
        <v>29716.896000000004</v>
      </c>
      <c r="H194" s="229">
        <v>46076.86</v>
      </c>
      <c r="I194" s="35">
        <f t="shared" si="40"/>
        <v>2423642.8360000001</v>
      </c>
      <c r="J194" s="189" t="s">
        <v>22</v>
      </c>
      <c r="K194" s="356" t="s">
        <v>38</v>
      </c>
      <c r="L194" s="146"/>
      <c r="M194" s="70"/>
      <c r="N194" s="75"/>
      <c r="O194" s="75"/>
      <c r="P194" s="146"/>
      <c r="Q194" s="70"/>
      <c r="R194" s="75"/>
      <c r="S194" s="75"/>
      <c r="T194" s="75"/>
      <c r="U194" s="79"/>
    </row>
    <row r="195" spans="1:21" x14ac:dyDescent="0.25">
      <c r="A195" s="75">
        <f t="shared" si="41"/>
        <v>176</v>
      </c>
      <c r="B195" s="98">
        <v>46060</v>
      </c>
      <c r="C195" s="72">
        <v>8610821</v>
      </c>
      <c r="D195" s="73">
        <v>51405488</v>
      </c>
      <c r="E195" s="74">
        <v>51.75</v>
      </c>
      <c r="F195" s="32">
        <v>564.96</v>
      </c>
      <c r="G195" s="228">
        <f t="shared" si="39"/>
        <v>29236.68</v>
      </c>
      <c r="H195" s="229">
        <v>46076.86</v>
      </c>
      <c r="I195" s="35">
        <f t="shared" si="40"/>
        <v>2384477.5049999999</v>
      </c>
      <c r="J195" s="189" t="s">
        <v>22</v>
      </c>
      <c r="K195" s="356" t="s">
        <v>38</v>
      </c>
      <c r="L195" s="146"/>
      <c r="M195" s="70"/>
      <c r="N195" s="75"/>
      <c r="O195" s="75"/>
      <c r="P195" s="146"/>
      <c r="Q195" s="70"/>
      <c r="R195" s="75"/>
      <c r="S195" s="75"/>
      <c r="T195" s="75"/>
      <c r="U195" s="79"/>
    </row>
    <row r="196" spans="1:21" x14ac:dyDescent="0.25">
      <c r="A196" s="75">
        <f t="shared" si="41"/>
        <v>177</v>
      </c>
      <c r="B196" s="98">
        <v>46060</v>
      </c>
      <c r="C196" s="72">
        <v>8610820</v>
      </c>
      <c r="D196" s="73">
        <v>51609642</v>
      </c>
      <c r="E196" s="74">
        <v>61.1</v>
      </c>
      <c r="F196" s="32">
        <v>564.96</v>
      </c>
      <c r="G196" s="228">
        <f t="shared" si="39"/>
        <v>34519.056000000004</v>
      </c>
      <c r="H196" s="229">
        <v>46076.86</v>
      </c>
      <c r="I196" s="35">
        <f t="shared" si="40"/>
        <v>2815296.1460000002</v>
      </c>
      <c r="J196" s="189" t="s">
        <v>22</v>
      </c>
      <c r="K196" s="356" t="s">
        <v>38</v>
      </c>
      <c r="L196" s="146"/>
      <c r="M196" s="70"/>
      <c r="N196" s="75"/>
      <c r="O196" s="75"/>
      <c r="P196" s="146"/>
      <c r="Q196" s="70"/>
      <c r="R196" s="75"/>
      <c r="S196" s="75"/>
      <c r="T196" s="75"/>
      <c r="U196" s="79"/>
    </row>
    <row r="197" spans="1:21" x14ac:dyDescent="0.25">
      <c r="A197" s="75">
        <f t="shared" si="41"/>
        <v>178</v>
      </c>
      <c r="B197" s="98">
        <v>46060</v>
      </c>
      <c r="C197" s="72">
        <v>8610821</v>
      </c>
      <c r="D197" s="73">
        <v>51680031</v>
      </c>
      <c r="E197" s="74">
        <v>53.2</v>
      </c>
      <c r="F197" s="32">
        <v>564.96</v>
      </c>
      <c r="G197" s="228">
        <f t="shared" si="39"/>
        <v>30055.872000000003</v>
      </c>
      <c r="H197" s="229">
        <v>46076.86</v>
      </c>
      <c r="I197" s="35">
        <f t="shared" si="40"/>
        <v>2451288.952</v>
      </c>
      <c r="J197" s="189" t="s">
        <v>22</v>
      </c>
      <c r="K197" s="356" t="s">
        <v>38</v>
      </c>
      <c r="L197" s="146"/>
      <c r="M197" s="70"/>
      <c r="N197" s="75"/>
      <c r="O197" s="75"/>
      <c r="P197" s="146"/>
      <c r="Q197" s="70"/>
      <c r="R197" s="75"/>
      <c r="S197" s="75"/>
      <c r="T197" s="75"/>
      <c r="U197" s="79"/>
    </row>
    <row r="198" spans="1:21" x14ac:dyDescent="0.25">
      <c r="A198" s="75">
        <f t="shared" si="41"/>
        <v>179</v>
      </c>
      <c r="B198" s="98">
        <v>46060</v>
      </c>
      <c r="C198" s="72">
        <v>8610821</v>
      </c>
      <c r="D198" s="73">
        <v>54072459</v>
      </c>
      <c r="E198" s="74">
        <v>61.1</v>
      </c>
      <c r="F198" s="32">
        <v>564.96</v>
      </c>
      <c r="G198" s="228">
        <f t="shared" si="39"/>
        <v>34519.056000000004</v>
      </c>
      <c r="H198" s="229">
        <v>46076.86</v>
      </c>
      <c r="I198" s="35">
        <f t="shared" si="40"/>
        <v>2815296.1460000002</v>
      </c>
      <c r="J198" s="189" t="s">
        <v>22</v>
      </c>
      <c r="K198" s="356" t="s">
        <v>38</v>
      </c>
      <c r="L198" s="146"/>
      <c r="M198" s="70"/>
      <c r="N198" s="75"/>
      <c r="O198" s="75"/>
      <c r="P198" s="146"/>
      <c r="Q198" s="70"/>
      <c r="R198" s="75"/>
      <c r="S198" s="75"/>
      <c r="T198" s="75"/>
      <c r="U198" s="79"/>
    </row>
    <row r="199" spans="1:21" x14ac:dyDescent="0.25">
      <c r="A199" s="75">
        <f t="shared" si="41"/>
        <v>180</v>
      </c>
      <c r="B199" s="98">
        <v>46060</v>
      </c>
      <c r="C199" s="72">
        <v>8610822</v>
      </c>
      <c r="D199" s="73">
        <v>54097522</v>
      </c>
      <c r="E199" s="74">
        <v>61.1</v>
      </c>
      <c r="F199" s="32">
        <v>564.96</v>
      </c>
      <c r="G199" s="228">
        <f t="shared" si="39"/>
        <v>34519.056000000004</v>
      </c>
      <c r="H199" s="229">
        <v>46076.86</v>
      </c>
      <c r="I199" s="35">
        <f t="shared" si="40"/>
        <v>2815296.1460000002</v>
      </c>
      <c r="J199" s="189" t="s">
        <v>22</v>
      </c>
      <c r="K199" s="356" t="s">
        <v>38</v>
      </c>
      <c r="L199" s="146"/>
      <c r="M199" s="70"/>
      <c r="N199" s="75"/>
      <c r="O199" s="75"/>
      <c r="P199" s="146"/>
      <c r="Q199" s="70"/>
      <c r="R199" s="75"/>
      <c r="S199" s="75"/>
      <c r="T199" s="75"/>
      <c r="U199" s="79"/>
    </row>
    <row r="200" spans="1:21" x14ac:dyDescent="0.25">
      <c r="A200" s="75">
        <f t="shared" si="41"/>
        <v>181</v>
      </c>
      <c r="B200" s="98">
        <v>46060</v>
      </c>
      <c r="C200" s="72">
        <v>8610820</v>
      </c>
      <c r="D200" s="73">
        <v>54255328</v>
      </c>
      <c r="E200" s="74">
        <v>61.15</v>
      </c>
      <c r="F200" s="32">
        <v>564.96</v>
      </c>
      <c r="G200" s="228">
        <f t="shared" si="39"/>
        <v>34547.304000000004</v>
      </c>
      <c r="H200" s="229">
        <v>46076.86</v>
      </c>
      <c r="I200" s="35">
        <f t="shared" si="40"/>
        <v>2817599.9890000001</v>
      </c>
      <c r="J200" s="189" t="s">
        <v>22</v>
      </c>
      <c r="K200" s="356" t="s">
        <v>38</v>
      </c>
      <c r="L200" s="146"/>
      <c r="M200" s="70"/>
      <c r="N200" s="75"/>
      <c r="O200" s="75"/>
      <c r="P200" s="146"/>
      <c r="Q200" s="70"/>
      <c r="R200" s="75"/>
      <c r="S200" s="75"/>
      <c r="T200" s="75"/>
      <c r="U200" s="79"/>
    </row>
    <row r="201" spans="1:21" x14ac:dyDescent="0.25">
      <c r="A201" s="75">
        <f t="shared" si="41"/>
        <v>182</v>
      </c>
      <c r="B201" s="98">
        <v>46060</v>
      </c>
      <c r="C201" s="72">
        <v>8610822</v>
      </c>
      <c r="D201" s="73">
        <v>54258199</v>
      </c>
      <c r="E201" s="74">
        <v>61.15</v>
      </c>
      <c r="F201" s="32">
        <v>564.96</v>
      </c>
      <c r="G201" s="228">
        <f t="shared" si="39"/>
        <v>34547.304000000004</v>
      </c>
      <c r="H201" s="229">
        <v>46076.86</v>
      </c>
      <c r="I201" s="35">
        <f t="shared" si="40"/>
        <v>2817599.9890000001</v>
      </c>
      <c r="J201" s="189" t="s">
        <v>22</v>
      </c>
      <c r="K201" s="356" t="s">
        <v>38</v>
      </c>
      <c r="L201" s="146"/>
      <c r="M201" s="70"/>
      <c r="N201" s="75"/>
      <c r="O201" s="75"/>
      <c r="P201" s="146"/>
      <c r="Q201" s="70"/>
      <c r="R201" s="75"/>
      <c r="S201" s="75"/>
      <c r="T201" s="75"/>
      <c r="U201" s="79"/>
    </row>
    <row r="202" spans="1:21" x14ac:dyDescent="0.25">
      <c r="A202" s="75">
        <f t="shared" si="41"/>
        <v>183</v>
      </c>
      <c r="B202" s="98">
        <v>46060</v>
      </c>
      <c r="C202" s="72">
        <v>8610822</v>
      </c>
      <c r="D202" s="73">
        <v>54643473</v>
      </c>
      <c r="E202" s="74">
        <v>61.35</v>
      </c>
      <c r="F202" s="32">
        <v>564.96</v>
      </c>
      <c r="G202" s="228">
        <f t="shared" si="39"/>
        <v>34660.296000000002</v>
      </c>
      <c r="H202" s="229">
        <v>46076.86</v>
      </c>
      <c r="I202" s="35">
        <f t="shared" si="40"/>
        <v>2826815.361</v>
      </c>
      <c r="J202" s="189" t="s">
        <v>22</v>
      </c>
      <c r="K202" s="356" t="s">
        <v>38</v>
      </c>
      <c r="L202" s="146"/>
      <c r="M202" s="70"/>
      <c r="N202" s="75"/>
      <c r="O202" s="75"/>
      <c r="P202" s="146"/>
      <c r="Q202" s="70"/>
      <c r="R202" s="75"/>
      <c r="S202" s="75"/>
      <c r="T202" s="75"/>
      <c r="U202" s="79"/>
    </row>
    <row r="203" spans="1:21" x14ac:dyDescent="0.25">
      <c r="A203" s="75">
        <f t="shared" si="41"/>
        <v>184</v>
      </c>
      <c r="B203" s="98">
        <v>46060</v>
      </c>
      <c r="C203" s="72">
        <v>8610822</v>
      </c>
      <c r="D203" s="73">
        <v>54643952</v>
      </c>
      <c r="E203" s="74">
        <v>61.2</v>
      </c>
      <c r="F203" s="32">
        <v>564.96</v>
      </c>
      <c r="G203" s="228">
        <f t="shared" si="39"/>
        <v>34575.552000000003</v>
      </c>
      <c r="H203" s="229">
        <v>46076.86</v>
      </c>
      <c r="I203" s="35">
        <f t="shared" si="40"/>
        <v>2819903.8319999999</v>
      </c>
      <c r="J203" s="189" t="s">
        <v>22</v>
      </c>
      <c r="K203" s="356" t="s">
        <v>38</v>
      </c>
      <c r="L203" s="146"/>
      <c r="M203" s="70"/>
      <c r="N203" s="75"/>
      <c r="O203" s="75"/>
      <c r="P203" s="146"/>
      <c r="Q203" s="70"/>
      <c r="R203" s="75"/>
      <c r="S203" s="75"/>
      <c r="T203" s="75"/>
      <c r="U203" s="79"/>
    </row>
    <row r="204" spans="1:21" x14ac:dyDescent="0.25">
      <c r="A204" s="75">
        <f t="shared" si="41"/>
        <v>185</v>
      </c>
      <c r="B204" s="98">
        <v>46060</v>
      </c>
      <c r="C204" s="72">
        <v>8610820</v>
      </c>
      <c r="D204" s="73">
        <v>55837603</v>
      </c>
      <c r="E204" s="74">
        <v>61.8</v>
      </c>
      <c r="F204" s="32">
        <v>564.96</v>
      </c>
      <c r="G204" s="228">
        <f t="shared" si="39"/>
        <v>34914.527999999998</v>
      </c>
      <c r="H204" s="229">
        <v>46076.86</v>
      </c>
      <c r="I204" s="35">
        <f t="shared" si="40"/>
        <v>2847549.9479999999</v>
      </c>
      <c r="J204" s="189" t="s">
        <v>22</v>
      </c>
      <c r="K204" s="356" t="s">
        <v>38</v>
      </c>
      <c r="L204" s="146"/>
      <c r="M204" s="70"/>
      <c r="N204" s="75"/>
      <c r="O204" s="75"/>
      <c r="P204" s="146"/>
      <c r="Q204" s="70"/>
      <c r="R204" s="75"/>
      <c r="S204" s="75"/>
      <c r="T204" s="75"/>
      <c r="U204" s="79"/>
    </row>
    <row r="205" spans="1:21" x14ac:dyDescent="0.25">
      <c r="A205" s="75">
        <f t="shared" si="41"/>
        <v>186</v>
      </c>
      <c r="B205" s="98">
        <v>46060</v>
      </c>
      <c r="C205" s="72">
        <v>8610821</v>
      </c>
      <c r="D205" s="73">
        <v>57438897</v>
      </c>
      <c r="E205" s="74">
        <v>61.25</v>
      </c>
      <c r="F205" s="32">
        <v>564.96</v>
      </c>
      <c r="G205" s="228">
        <f t="shared" si="39"/>
        <v>34603.800000000003</v>
      </c>
      <c r="H205" s="229">
        <v>46076.86</v>
      </c>
      <c r="I205" s="35">
        <f t="shared" si="40"/>
        <v>2822207.6749999998</v>
      </c>
      <c r="J205" s="189" t="s">
        <v>22</v>
      </c>
      <c r="K205" s="356" t="s">
        <v>38</v>
      </c>
      <c r="L205" s="146"/>
      <c r="M205" s="70"/>
      <c r="N205" s="75"/>
      <c r="O205" s="75"/>
      <c r="P205" s="146"/>
      <c r="Q205" s="70"/>
      <c r="R205" s="75"/>
      <c r="S205" s="75"/>
      <c r="T205" s="75"/>
      <c r="U205" s="79"/>
    </row>
    <row r="206" spans="1:21" x14ac:dyDescent="0.25">
      <c r="A206" s="75">
        <f t="shared" si="41"/>
        <v>187</v>
      </c>
      <c r="B206" s="98">
        <v>46060</v>
      </c>
      <c r="C206" s="72">
        <v>8610821</v>
      </c>
      <c r="D206" s="73">
        <v>58345562</v>
      </c>
      <c r="E206" s="74">
        <v>61.15</v>
      </c>
      <c r="F206" s="32">
        <v>564.96</v>
      </c>
      <c r="G206" s="228">
        <f t="shared" si="39"/>
        <v>34547.304000000004</v>
      </c>
      <c r="H206" s="229">
        <v>46076.86</v>
      </c>
      <c r="I206" s="35">
        <f t="shared" si="40"/>
        <v>2817599.9890000001</v>
      </c>
      <c r="J206" s="189" t="s">
        <v>22</v>
      </c>
      <c r="K206" s="356" t="s">
        <v>38</v>
      </c>
      <c r="L206" s="146"/>
      <c r="M206" s="70"/>
      <c r="N206" s="75"/>
      <c r="O206" s="75"/>
      <c r="P206" s="146"/>
      <c r="Q206" s="70"/>
      <c r="R206" s="75"/>
      <c r="S206" s="75"/>
      <c r="T206" s="75"/>
      <c r="U206" s="79"/>
    </row>
    <row r="207" spans="1:21" x14ac:dyDescent="0.25">
      <c r="A207" s="75">
        <f t="shared" si="41"/>
        <v>188</v>
      </c>
      <c r="B207" s="98">
        <v>46060</v>
      </c>
      <c r="C207" s="72">
        <v>8610821</v>
      </c>
      <c r="D207" s="73">
        <v>73011447</v>
      </c>
      <c r="E207" s="74">
        <v>61.65</v>
      </c>
      <c r="F207" s="32">
        <v>564.96</v>
      </c>
      <c r="G207" s="228">
        <f t="shared" si="39"/>
        <v>34829.784</v>
      </c>
      <c r="H207" s="229">
        <v>46076.86</v>
      </c>
      <c r="I207" s="35">
        <f t="shared" si="40"/>
        <v>2840638.4189999998</v>
      </c>
      <c r="J207" s="189" t="s">
        <v>22</v>
      </c>
      <c r="K207" s="356" t="s">
        <v>38</v>
      </c>
      <c r="L207" s="146"/>
      <c r="M207" s="70"/>
      <c r="N207" s="75"/>
      <c r="O207" s="75"/>
      <c r="P207" s="146"/>
      <c r="Q207" s="70"/>
      <c r="R207" s="75"/>
      <c r="S207" s="75"/>
      <c r="T207" s="75"/>
      <c r="U207" s="79"/>
    </row>
    <row r="208" spans="1:21" x14ac:dyDescent="0.25">
      <c r="A208" s="75">
        <f t="shared" si="41"/>
        <v>189</v>
      </c>
      <c r="B208" s="98">
        <v>46060</v>
      </c>
      <c r="C208" s="72">
        <v>8610821</v>
      </c>
      <c r="D208" s="73">
        <v>73094161</v>
      </c>
      <c r="E208" s="74">
        <v>61.85</v>
      </c>
      <c r="F208" s="32">
        <v>564.96</v>
      </c>
      <c r="G208" s="228">
        <f t="shared" si="39"/>
        <v>34942.776000000005</v>
      </c>
      <c r="H208" s="229">
        <v>46076.86</v>
      </c>
      <c r="I208" s="35">
        <f t="shared" si="40"/>
        <v>2849853.7910000002</v>
      </c>
      <c r="J208" s="189" t="s">
        <v>22</v>
      </c>
      <c r="K208" s="356" t="s">
        <v>38</v>
      </c>
      <c r="L208" s="146"/>
      <c r="M208" s="70"/>
      <c r="N208" s="75"/>
      <c r="O208" s="75"/>
      <c r="P208" s="146"/>
      <c r="Q208" s="70"/>
      <c r="R208" s="75"/>
      <c r="S208" s="75"/>
      <c r="T208" s="75"/>
      <c r="U208" s="79"/>
    </row>
    <row r="209" spans="1:21" x14ac:dyDescent="0.25">
      <c r="A209" s="75">
        <f t="shared" si="41"/>
        <v>190</v>
      </c>
      <c r="B209" s="98">
        <v>46060</v>
      </c>
      <c r="C209" s="72">
        <v>8610821</v>
      </c>
      <c r="D209" s="73">
        <v>73116352</v>
      </c>
      <c r="E209" s="74">
        <v>61.7</v>
      </c>
      <c r="F209" s="32">
        <v>564.96</v>
      </c>
      <c r="G209" s="228">
        <f t="shared" si="39"/>
        <v>34858.032000000007</v>
      </c>
      <c r="H209" s="229">
        <v>46076.86</v>
      </c>
      <c r="I209" s="35">
        <f t="shared" si="40"/>
        <v>2842942.2620000001</v>
      </c>
      <c r="J209" s="189" t="s">
        <v>22</v>
      </c>
      <c r="K209" s="356" t="s">
        <v>38</v>
      </c>
      <c r="L209" s="146"/>
      <c r="M209" s="70"/>
      <c r="N209" s="75"/>
      <c r="O209" s="75"/>
      <c r="P209" s="146"/>
      <c r="Q209" s="70"/>
      <c r="R209" s="75"/>
      <c r="S209" s="75"/>
      <c r="T209" s="75"/>
      <c r="U209" s="79"/>
    </row>
    <row r="210" spans="1:21" x14ac:dyDescent="0.25">
      <c r="A210" s="75">
        <f t="shared" si="41"/>
        <v>191</v>
      </c>
      <c r="B210" s="98">
        <v>46060</v>
      </c>
      <c r="C210" s="72">
        <v>8610821</v>
      </c>
      <c r="D210" s="73">
        <v>73125247</v>
      </c>
      <c r="E210" s="74">
        <v>61.6</v>
      </c>
      <c r="F210" s="32">
        <v>564.96</v>
      </c>
      <c r="G210" s="228">
        <f t="shared" si="39"/>
        <v>34801.536</v>
      </c>
      <c r="H210" s="229">
        <v>46076.86</v>
      </c>
      <c r="I210" s="35">
        <f t="shared" si="40"/>
        <v>2838334.5759999999</v>
      </c>
      <c r="J210" s="189" t="s">
        <v>22</v>
      </c>
      <c r="K210" s="356" t="s">
        <v>38</v>
      </c>
      <c r="L210" s="146"/>
      <c r="M210" s="70"/>
      <c r="N210" s="75"/>
      <c r="O210" s="75"/>
      <c r="P210" s="146"/>
      <c r="Q210" s="70"/>
      <c r="R210" s="75"/>
      <c r="S210" s="75"/>
      <c r="T210" s="75"/>
      <c r="U210" s="79"/>
    </row>
    <row r="211" spans="1:21" x14ac:dyDescent="0.25">
      <c r="A211" s="75">
        <f t="shared" si="41"/>
        <v>192</v>
      </c>
      <c r="B211" s="98">
        <v>46060</v>
      </c>
      <c r="C211" s="72">
        <v>8610820</v>
      </c>
      <c r="D211" s="73">
        <v>73138828</v>
      </c>
      <c r="E211" s="74">
        <v>61.6</v>
      </c>
      <c r="F211" s="32">
        <v>564.96</v>
      </c>
      <c r="G211" s="228">
        <f t="shared" si="39"/>
        <v>34801.536</v>
      </c>
      <c r="H211" s="229">
        <v>46076.86</v>
      </c>
      <c r="I211" s="35">
        <f t="shared" si="40"/>
        <v>2838334.5759999999</v>
      </c>
      <c r="J211" s="189" t="s">
        <v>22</v>
      </c>
      <c r="K211" s="356" t="s">
        <v>38</v>
      </c>
      <c r="L211" s="146"/>
      <c r="M211" s="70"/>
      <c r="N211" s="75"/>
      <c r="O211" s="75"/>
      <c r="P211" s="146"/>
      <c r="Q211" s="70"/>
      <c r="R211" s="75"/>
      <c r="S211" s="75"/>
      <c r="T211" s="75"/>
      <c r="U211" s="79"/>
    </row>
    <row r="212" spans="1:21" x14ac:dyDescent="0.25">
      <c r="A212" s="75">
        <f t="shared" si="41"/>
        <v>193</v>
      </c>
      <c r="B212" s="98">
        <v>46060</v>
      </c>
      <c r="C212" s="72">
        <v>8610820</v>
      </c>
      <c r="D212" s="73">
        <v>73157877</v>
      </c>
      <c r="E212" s="74">
        <v>61.7</v>
      </c>
      <c r="F212" s="32">
        <v>564.96</v>
      </c>
      <c r="G212" s="228">
        <f t="shared" si="39"/>
        <v>34858.032000000007</v>
      </c>
      <c r="H212" s="229">
        <v>46076.86</v>
      </c>
      <c r="I212" s="35">
        <f t="shared" si="40"/>
        <v>2842942.2620000001</v>
      </c>
      <c r="J212" s="189" t="s">
        <v>22</v>
      </c>
      <c r="K212" s="356" t="s">
        <v>38</v>
      </c>
      <c r="L212" s="146"/>
      <c r="M212" s="70"/>
      <c r="N212" s="75"/>
      <c r="O212" s="75"/>
      <c r="P212" s="146"/>
      <c r="Q212" s="70"/>
      <c r="R212" s="75"/>
      <c r="S212" s="75"/>
      <c r="T212" s="75"/>
      <c r="U212" s="79"/>
    </row>
    <row r="213" spans="1:21" x14ac:dyDescent="0.25">
      <c r="A213" s="75">
        <f t="shared" si="41"/>
        <v>194</v>
      </c>
      <c r="B213" s="98">
        <v>46060</v>
      </c>
      <c r="C213" s="72">
        <v>8610821</v>
      </c>
      <c r="D213" s="73">
        <v>73159535</v>
      </c>
      <c r="E213" s="74">
        <v>61.6</v>
      </c>
      <c r="F213" s="32">
        <v>564.96</v>
      </c>
      <c r="G213" s="228">
        <f t="shared" si="39"/>
        <v>34801.536</v>
      </c>
      <c r="H213" s="229">
        <v>46076.86</v>
      </c>
      <c r="I213" s="35">
        <f t="shared" si="40"/>
        <v>2838334.5759999999</v>
      </c>
      <c r="J213" s="189" t="s">
        <v>22</v>
      </c>
      <c r="K213" s="356" t="s">
        <v>38</v>
      </c>
      <c r="L213" s="146"/>
      <c r="M213" s="70"/>
      <c r="N213" s="75"/>
      <c r="O213" s="75"/>
      <c r="P213" s="146"/>
      <c r="Q213" s="70"/>
      <c r="R213" s="75"/>
      <c r="S213" s="75"/>
      <c r="T213" s="75"/>
      <c r="U213" s="79"/>
    </row>
    <row r="214" spans="1:21" x14ac:dyDescent="0.25">
      <c r="A214" s="75">
        <f t="shared" si="41"/>
        <v>195</v>
      </c>
      <c r="B214" s="98">
        <v>46060</v>
      </c>
      <c r="C214" s="72">
        <v>8610821</v>
      </c>
      <c r="D214" s="73">
        <v>73166670</v>
      </c>
      <c r="E214" s="74">
        <v>61.65</v>
      </c>
      <c r="F214" s="32">
        <v>564.96</v>
      </c>
      <c r="G214" s="228">
        <f t="shared" si="39"/>
        <v>34829.784</v>
      </c>
      <c r="H214" s="229">
        <v>46076.86</v>
      </c>
      <c r="I214" s="35">
        <f t="shared" si="40"/>
        <v>2840638.4189999998</v>
      </c>
      <c r="J214" s="189" t="s">
        <v>22</v>
      </c>
      <c r="K214" s="356" t="s">
        <v>38</v>
      </c>
      <c r="L214" s="146"/>
      <c r="M214" s="70"/>
      <c r="N214" s="75"/>
      <c r="O214" s="75"/>
      <c r="P214" s="146"/>
      <c r="Q214" s="70"/>
      <c r="R214" s="75"/>
      <c r="S214" s="75"/>
      <c r="T214" s="75"/>
      <c r="U214" s="79"/>
    </row>
    <row r="215" spans="1:21" x14ac:dyDescent="0.25">
      <c r="A215" s="75">
        <f t="shared" si="41"/>
        <v>196</v>
      </c>
      <c r="B215" s="98">
        <v>46060</v>
      </c>
      <c r="C215" s="72">
        <v>8610821</v>
      </c>
      <c r="D215" s="73">
        <v>73168205</v>
      </c>
      <c r="E215" s="74">
        <v>61.6</v>
      </c>
      <c r="F215" s="32">
        <v>564.96</v>
      </c>
      <c r="G215" s="228">
        <f t="shared" si="39"/>
        <v>34801.536</v>
      </c>
      <c r="H215" s="229">
        <v>46076.86</v>
      </c>
      <c r="I215" s="35">
        <f t="shared" si="40"/>
        <v>2838334.5759999999</v>
      </c>
      <c r="J215" s="189" t="s">
        <v>22</v>
      </c>
      <c r="K215" s="356" t="s">
        <v>38</v>
      </c>
      <c r="L215" s="146"/>
      <c r="M215" s="70"/>
      <c r="N215" s="75"/>
      <c r="O215" s="75"/>
      <c r="P215" s="146"/>
      <c r="Q215" s="70"/>
      <c r="R215" s="75"/>
      <c r="S215" s="75"/>
      <c r="T215" s="75"/>
      <c r="U215" s="79"/>
    </row>
    <row r="216" spans="1:21" x14ac:dyDescent="0.25">
      <c r="A216" s="75">
        <f t="shared" si="41"/>
        <v>197</v>
      </c>
      <c r="B216" s="98">
        <v>46060</v>
      </c>
      <c r="C216" s="72">
        <v>8610821</v>
      </c>
      <c r="D216" s="73">
        <v>73229072</v>
      </c>
      <c r="E216" s="74">
        <v>61.6</v>
      </c>
      <c r="F216" s="32">
        <v>564.96</v>
      </c>
      <c r="G216" s="228">
        <f t="shared" si="39"/>
        <v>34801.536</v>
      </c>
      <c r="H216" s="229">
        <v>46076.86</v>
      </c>
      <c r="I216" s="35">
        <f t="shared" si="40"/>
        <v>2838334.5759999999</v>
      </c>
      <c r="J216" s="189" t="s">
        <v>22</v>
      </c>
      <c r="K216" s="356" t="s">
        <v>38</v>
      </c>
      <c r="L216" s="146"/>
      <c r="M216" s="70"/>
      <c r="N216" s="75"/>
      <c r="O216" s="75"/>
      <c r="P216" s="146"/>
      <c r="Q216" s="70"/>
      <c r="R216" s="75"/>
      <c r="S216" s="75"/>
      <c r="T216" s="75"/>
      <c r="U216" s="79"/>
    </row>
    <row r="217" spans="1:21" x14ac:dyDescent="0.25">
      <c r="A217" s="75">
        <f t="shared" si="41"/>
        <v>198</v>
      </c>
      <c r="B217" s="98">
        <v>46060</v>
      </c>
      <c r="C217" s="72">
        <v>8610821</v>
      </c>
      <c r="D217" s="73">
        <v>73229346</v>
      </c>
      <c r="E217" s="74">
        <v>61.65</v>
      </c>
      <c r="F217" s="32">
        <v>564.96</v>
      </c>
      <c r="G217" s="228">
        <f t="shared" si="39"/>
        <v>34829.784</v>
      </c>
      <c r="H217" s="229">
        <v>46076.86</v>
      </c>
      <c r="I217" s="35">
        <f t="shared" si="40"/>
        <v>2840638.4189999998</v>
      </c>
      <c r="J217" s="189" t="s">
        <v>22</v>
      </c>
      <c r="K217" s="356" t="s">
        <v>38</v>
      </c>
      <c r="L217" s="146"/>
      <c r="M217" s="70"/>
      <c r="N217" s="75"/>
      <c r="O217" s="75"/>
      <c r="P217" s="146"/>
      <c r="Q217" s="70"/>
      <c r="R217" s="75"/>
      <c r="S217" s="75"/>
      <c r="T217" s="75"/>
      <c r="U217" s="79"/>
    </row>
    <row r="218" spans="1:21" x14ac:dyDescent="0.25">
      <c r="A218" s="75">
        <f t="shared" si="41"/>
        <v>199</v>
      </c>
      <c r="B218" s="98">
        <v>46060</v>
      </c>
      <c r="C218" s="72">
        <v>8610822</v>
      </c>
      <c r="D218" s="73">
        <v>74999558</v>
      </c>
      <c r="E218" s="74">
        <v>61.15</v>
      </c>
      <c r="F218" s="32">
        <v>564.96</v>
      </c>
      <c r="G218" s="228">
        <f t="shared" si="39"/>
        <v>34547.304000000004</v>
      </c>
      <c r="H218" s="229">
        <v>46076.86</v>
      </c>
      <c r="I218" s="35">
        <f t="shared" si="40"/>
        <v>2817599.9890000001</v>
      </c>
      <c r="J218" s="189" t="s">
        <v>22</v>
      </c>
      <c r="K218" s="356" t="s">
        <v>38</v>
      </c>
      <c r="L218" s="146"/>
      <c r="M218" s="70"/>
      <c r="N218" s="75"/>
      <c r="O218" s="75"/>
      <c r="P218" s="146"/>
      <c r="Q218" s="70"/>
      <c r="R218" s="75"/>
      <c r="S218" s="75"/>
      <c r="T218" s="75"/>
      <c r="U218" s="79"/>
    </row>
    <row r="219" spans="1:21" x14ac:dyDescent="0.25">
      <c r="A219" s="75">
        <f t="shared" si="41"/>
        <v>200</v>
      </c>
      <c r="B219" s="98">
        <v>46060</v>
      </c>
      <c r="C219" s="72">
        <v>8610822</v>
      </c>
      <c r="D219" s="73">
        <v>75033472</v>
      </c>
      <c r="E219" s="74">
        <v>61.8</v>
      </c>
      <c r="F219" s="32">
        <v>564.96</v>
      </c>
      <c r="G219" s="228">
        <f t="shared" si="39"/>
        <v>34914.527999999998</v>
      </c>
      <c r="H219" s="229">
        <v>46076.86</v>
      </c>
      <c r="I219" s="35">
        <f t="shared" si="40"/>
        <v>2847549.9479999999</v>
      </c>
      <c r="J219" s="189" t="s">
        <v>22</v>
      </c>
      <c r="K219" s="356" t="s">
        <v>38</v>
      </c>
      <c r="L219" s="146"/>
      <c r="M219" s="70"/>
      <c r="N219" s="75"/>
      <c r="O219" s="75"/>
      <c r="P219" s="146"/>
      <c r="Q219" s="70"/>
      <c r="R219" s="75"/>
      <c r="S219" s="75"/>
      <c r="T219" s="75"/>
      <c r="U219" s="79"/>
    </row>
    <row r="220" spans="1:21" x14ac:dyDescent="0.25">
      <c r="A220" s="75">
        <f t="shared" si="41"/>
        <v>201</v>
      </c>
      <c r="B220" s="98">
        <v>46060</v>
      </c>
      <c r="C220" s="72">
        <v>8610822</v>
      </c>
      <c r="D220" s="73">
        <v>75131342</v>
      </c>
      <c r="E220" s="74">
        <v>61.1</v>
      </c>
      <c r="F220" s="32">
        <v>564.96</v>
      </c>
      <c r="G220" s="228">
        <f t="shared" si="39"/>
        <v>34519.056000000004</v>
      </c>
      <c r="H220" s="229">
        <v>46076.86</v>
      </c>
      <c r="I220" s="35">
        <f t="shared" si="40"/>
        <v>2815296.1460000002</v>
      </c>
      <c r="J220" s="189" t="s">
        <v>22</v>
      </c>
      <c r="K220" s="356" t="s">
        <v>38</v>
      </c>
      <c r="L220" s="146"/>
      <c r="M220" s="70"/>
      <c r="N220" s="75"/>
      <c r="O220" s="75"/>
      <c r="P220" s="146"/>
      <c r="Q220" s="70"/>
      <c r="R220" s="75"/>
      <c r="S220" s="75"/>
      <c r="T220" s="75"/>
      <c r="U220" s="79"/>
    </row>
    <row r="221" spans="1:21" x14ac:dyDescent="0.25">
      <c r="A221" s="75">
        <f t="shared" si="41"/>
        <v>202</v>
      </c>
      <c r="B221" s="98">
        <v>46060</v>
      </c>
      <c r="C221" s="72">
        <v>8610820</v>
      </c>
      <c r="D221" s="73">
        <v>75213488</v>
      </c>
      <c r="E221" s="74">
        <v>62.3</v>
      </c>
      <c r="F221" s="32">
        <v>564.96</v>
      </c>
      <c r="G221" s="228">
        <f t="shared" si="39"/>
        <v>35197.008000000002</v>
      </c>
      <c r="H221" s="229">
        <v>46076.86</v>
      </c>
      <c r="I221" s="35">
        <f t="shared" si="40"/>
        <v>2870588.378</v>
      </c>
      <c r="J221" s="189" t="s">
        <v>22</v>
      </c>
      <c r="K221" s="356" t="s">
        <v>38</v>
      </c>
      <c r="L221" s="146"/>
      <c r="M221" s="70"/>
      <c r="N221" s="75"/>
      <c r="O221" s="75"/>
      <c r="P221" s="146"/>
      <c r="Q221" s="70"/>
      <c r="R221" s="75"/>
      <c r="S221" s="75"/>
      <c r="T221" s="75"/>
      <c r="U221" s="79"/>
    </row>
    <row r="222" spans="1:21" x14ac:dyDescent="0.25">
      <c r="A222" s="75">
        <f t="shared" si="41"/>
        <v>203</v>
      </c>
      <c r="B222" s="98">
        <v>46060</v>
      </c>
      <c r="C222" s="72">
        <v>8610820</v>
      </c>
      <c r="D222" s="73">
        <v>75225722</v>
      </c>
      <c r="E222" s="74">
        <v>61.95</v>
      </c>
      <c r="F222" s="32">
        <v>564.96</v>
      </c>
      <c r="G222" s="228">
        <f t="shared" si="39"/>
        <v>34999.272000000004</v>
      </c>
      <c r="H222" s="229">
        <v>46076.86</v>
      </c>
      <c r="I222" s="35">
        <f t="shared" si="40"/>
        <v>2854461.477</v>
      </c>
      <c r="J222" s="189" t="s">
        <v>22</v>
      </c>
      <c r="K222" s="356" t="s">
        <v>38</v>
      </c>
      <c r="L222" s="146"/>
      <c r="M222" s="70"/>
      <c r="N222" s="75"/>
      <c r="O222" s="75"/>
      <c r="P222" s="146"/>
      <c r="Q222" s="70"/>
      <c r="R222" s="75"/>
      <c r="S222" s="75"/>
      <c r="T222" s="75"/>
      <c r="U222" s="79"/>
    </row>
    <row r="223" spans="1:21" x14ac:dyDescent="0.25">
      <c r="A223" s="75">
        <f t="shared" si="41"/>
        <v>204</v>
      </c>
      <c r="B223" s="98">
        <v>46060</v>
      </c>
      <c r="C223" s="72">
        <v>8610820</v>
      </c>
      <c r="D223" s="73">
        <v>75254474</v>
      </c>
      <c r="E223" s="74">
        <v>61.95</v>
      </c>
      <c r="F223" s="32">
        <v>564.96</v>
      </c>
      <c r="G223" s="228">
        <f t="shared" si="39"/>
        <v>34999.272000000004</v>
      </c>
      <c r="H223" s="229">
        <v>46076.86</v>
      </c>
      <c r="I223" s="35">
        <f t="shared" si="40"/>
        <v>2854461.477</v>
      </c>
      <c r="J223" s="189" t="s">
        <v>22</v>
      </c>
      <c r="K223" s="356" t="s">
        <v>38</v>
      </c>
      <c r="L223" s="146"/>
      <c r="M223" s="70"/>
      <c r="N223" s="75"/>
      <c r="O223" s="75"/>
      <c r="P223" s="146"/>
      <c r="Q223" s="70"/>
      <c r="R223" s="75"/>
      <c r="S223" s="75"/>
      <c r="T223" s="75"/>
      <c r="U223" s="79"/>
    </row>
    <row r="224" spans="1:21" x14ac:dyDescent="0.25">
      <c r="A224" s="75">
        <f t="shared" si="41"/>
        <v>205</v>
      </c>
      <c r="B224" s="98">
        <v>46060</v>
      </c>
      <c r="C224" s="72">
        <v>8610820</v>
      </c>
      <c r="D224" s="73">
        <v>75255562</v>
      </c>
      <c r="E224" s="74">
        <v>62.1</v>
      </c>
      <c r="F224" s="32">
        <v>564.96</v>
      </c>
      <c r="G224" s="228">
        <f t="shared" si="39"/>
        <v>35084.016000000003</v>
      </c>
      <c r="H224" s="229">
        <v>46076.86</v>
      </c>
      <c r="I224" s="35">
        <f t="shared" si="40"/>
        <v>2861373.0060000001</v>
      </c>
      <c r="J224" s="189" t="s">
        <v>22</v>
      </c>
      <c r="K224" s="356" t="s">
        <v>38</v>
      </c>
      <c r="L224" s="146"/>
      <c r="M224" s="70"/>
      <c r="N224" s="75"/>
      <c r="O224" s="75"/>
      <c r="P224" s="146"/>
      <c r="Q224" s="70"/>
      <c r="R224" s="75"/>
      <c r="S224" s="75"/>
      <c r="T224" s="75"/>
      <c r="U224" s="79"/>
    </row>
    <row r="225" spans="1:21" x14ac:dyDescent="0.25">
      <c r="A225" s="75">
        <f t="shared" si="41"/>
        <v>206</v>
      </c>
      <c r="B225" s="98">
        <v>46060</v>
      </c>
      <c r="C225" s="72">
        <v>8610820</v>
      </c>
      <c r="D225" s="73">
        <v>75278416</v>
      </c>
      <c r="E225" s="74">
        <v>62</v>
      </c>
      <c r="F225" s="32">
        <v>564.96</v>
      </c>
      <c r="G225" s="228">
        <f t="shared" si="39"/>
        <v>35027.520000000004</v>
      </c>
      <c r="H225" s="229">
        <v>46076.86</v>
      </c>
      <c r="I225" s="35">
        <f t="shared" si="40"/>
        <v>2856765.32</v>
      </c>
      <c r="J225" s="189" t="s">
        <v>22</v>
      </c>
      <c r="K225" s="356" t="s">
        <v>38</v>
      </c>
      <c r="L225" s="146"/>
      <c r="M225" s="70"/>
      <c r="N225" s="75"/>
      <c r="O225" s="75"/>
      <c r="P225" s="146"/>
      <c r="Q225" s="70"/>
      <c r="R225" s="75"/>
      <c r="S225" s="75"/>
      <c r="T225" s="75"/>
      <c r="U225" s="79"/>
    </row>
    <row r="226" spans="1:21" x14ac:dyDescent="0.25">
      <c r="A226" s="75">
        <f t="shared" si="41"/>
        <v>207</v>
      </c>
      <c r="B226" s="98">
        <v>46060</v>
      </c>
      <c r="C226" s="72">
        <v>8610820</v>
      </c>
      <c r="D226" s="73">
        <v>75401091</v>
      </c>
      <c r="E226" s="74">
        <v>61.85</v>
      </c>
      <c r="F226" s="32">
        <v>564.96</v>
      </c>
      <c r="G226" s="228">
        <f t="shared" si="39"/>
        <v>34942.776000000005</v>
      </c>
      <c r="H226" s="229">
        <v>46076.86</v>
      </c>
      <c r="I226" s="35">
        <f t="shared" si="40"/>
        <v>2849853.7910000002</v>
      </c>
      <c r="J226" s="189" t="s">
        <v>22</v>
      </c>
      <c r="K226" s="356" t="s">
        <v>38</v>
      </c>
      <c r="L226" s="146"/>
      <c r="M226" s="70"/>
      <c r="N226" s="75"/>
      <c r="O226" s="75"/>
      <c r="P226" s="146"/>
      <c r="Q226" s="70"/>
      <c r="R226" s="75"/>
      <c r="S226" s="75"/>
      <c r="T226" s="75"/>
      <c r="U226" s="79"/>
    </row>
    <row r="227" spans="1:21" x14ac:dyDescent="0.25">
      <c r="A227" s="75">
        <f t="shared" si="41"/>
        <v>208</v>
      </c>
      <c r="B227" s="98">
        <v>46060</v>
      </c>
      <c r="C227" s="72">
        <v>8610820</v>
      </c>
      <c r="D227" s="73">
        <v>75511899</v>
      </c>
      <c r="E227" s="74">
        <v>62.05</v>
      </c>
      <c r="F227" s="32">
        <v>564.96</v>
      </c>
      <c r="G227" s="228">
        <f t="shared" si="39"/>
        <v>35055.768000000004</v>
      </c>
      <c r="H227" s="229">
        <v>46076.86</v>
      </c>
      <c r="I227" s="35">
        <f t="shared" si="40"/>
        <v>2859069.1629999997</v>
      </c>
      <c r="J227" s="189" t="s">
        <v>22</v>
      </c>
      <c r="K227" s="356" t="s">
        <v>38</v>
      </c>
      <c r="L227" s="146"/>
      <c r="M227" s="70"/>
      <c r="N227" s="75"/>
      <c r="O227" s="75"/>
      <c r="P227" s="146"/>
      <c r="Q227" s="70"/>
      <c r="R227" s="75"/>
      <c r="S227" s="75"/>
      <c r="T227" s="75"/>
      <c r="U227" s="79"/>
    </row>
    <row r="228" spans="1:21" x14ac:dyDescent="0.25">
      <c r="A228" s="75">
        <f t="shared" si="41"/>
        <v>209</v>
      </c>
      <c r="B228" s="98">
        <v>46060</v>
      </c>
      <c r="C228" s="72">
        <v>8610820</v>
      </c>
      <c r="D228" s="73">
        <v>75563890</v>
      </c>
      <c r="E228" s="74">
        <v>62.1</v>
      </c>
      <c r="F228" s="32">
        <v>564.96</v>
      </c>
      <c r="G228" s="228">
        <f t="shared" si="39"/>
        <v>35084.016000000003</v>
      </c>
      <c r="H228" s="229">
        <v>46076.86</v>
      </c>
      <c r="I228" s="35">
        <f t="shared" si="40"/>
        <v>2861373.0060000001</v>
      </c>
      <c r="J228" s="189" t="s">
        <v>22</v>
      </c>
      <c r="K228" s="356" t="s">
        <v>38</v>
      </c>
      <c r="L228" s="146"/>
      <c r="M228" s="70"/>
      <c r="N228" s="75"/>
      <c r="O228" s="75"/>
      <c r="P228" s="146"/>
      <c r="Q228" s="70"/>
      <c r="R228" s="75"/>
      <c r="S228" s="75"/>
      <c r="T228" s="75"/>
      <c r="U228" s="79"/>
    </row>
    <row r="229" spans="1:21" ht="15.75" thickBot="1" x14ac:dyDescent="0.3">
      <c r="A229" s="75">
        <f t="shared" si="41"/>
        <v>210</v>
      </c>
      <c r="B229" s="98">
        <v>46060</v>
      </c>
      <c r="C229" s="102">
        <v>8610820</v>
      </c>
      <c r="D229" s="103">
        <v>75718197</v>
      </c>
      <c r="E229" s="104">
        <v>62.2</v>
      </c>
      <c r="F229" s="32">
        <v>564.96</v>
      </c>
      <c r="G229" s="248">
        <f t="shared" si="39"/>
        <v>35140.512000000002</v>
      </c>
      <c r="H229" s="257">
        <v>46076.86</v>
      </c>
      <c r="I229" s="40">
        <f t="shared" si="40"/>
        <v>2865980.6920000003</v>
      </c>
      <c r="J229" s="189" t="s">
        <v>22</v>
      </c>
      <c r="K229" s="357" t="s">
        <v>38</v>
      </c>
      <c r="L229" s="149"/>
      <c r="M229" s="80"/>
      <c r="N229" s="88"/>
      <c r="O229" s="88"/>
      <c r="P229" s="221"/>
      <c r="Q229" s="80"/>
      <c r="R229" s="88"/>
      <c r="S229" s="88"/>
      <c r="T229" s="88"/>
      <c r="U229" s="89"/>
    </row>
    <row r="230" spans="1:21" ht="15.75" thickBot="1" x14ac:dyDescent="0.3">
      <c r="A230" s="233"/>
      <c r="B230" s="234"/>
      <c r="C230" s="234"/>
      <c r="D230" s="234"/>
      <c r="E230" s="235">
        <f>SUM(E186:E229)</f>
        <v>2671.7999999999997</v>
      </c>
      <c r="F230" s="236"/>
      <c r="G230" s="237">
        <f>SUM(G186:G229)</f>
        <v>1509460.1280000003</v>
      </c>
      <c r="H230" s="234"/>
      <c r="I230" s="238">
        <f>SUM(I186:I229)</f>
        <v>123108154.54800001</v>
      </c>
      <c r="J230" s="234"/>
      <c r="K230" s="369"/>
      <c r="L230" s="370"/>
      <c r="M230" s="233"/>
      <c r="N230" s="234"/>
      <c r="O230" s="234"/>
      <c r="P230" s="239"/>
      <c r="Q230" s="371"/>
      <c r="R230" s="234"/>
      <c r="S230" s="234"/>
      <c r="T230" s="234"/>
      <c r="U230" s="239"/>
    </row>
    <row r="231" spans="1:21" x14ac:dyDescent="0.25">
      <c r="A231" s="140">
        <v>211</v>
      </c>
      <c r="B231" s="71">
        <v>46061</v>
      </c>
      <c r="C231" s="72">
        <v>8610826</v>
      </c>
      <c r="D231" s="73">
        <v>50197854</v>
      </c>
      <c r="E231" s="74">
        <v>61.3</v>
      </c>
      <c r="F231" s="32">
        <v>564.96</v>
      </c>
      <c r="G231" s="228">
        <f t="shared" ref="G231:G257" si="42">E231*F231</f>
        <v>34632.048000000003</v>
      </c>
      <c r="H231" s="229">
        <v>46076.86</v>
      </c>
      <c r="I231" s="35">
        <f t="shared" ref="I231:I257" si="43">E231*H231</f>
        <v>2824511.5179999997</v>
      </c>
      <c r="J231" s="189" t="s">
        <v>22</v>
      </c>
      <c r="K231" s="356" t="s">
        <v>38</v>
      </c>
      <c r="L231" s="143"/>
      <c r="M231" s="57"/>
      <c r="N231" s="68"/>
      <c r="O231" s="68"/>
      <c r="P231" s="363"/>
      <c r="Q231" s="57"/>
      <c r="R231" s="68"/>
      <c r="S231" s="68"/>
      <c r="T231" s="68"/>
      <c r="U231" s="69"/>
    </row>
    <row r="232" spans="1:21" x14ac:dyDescent="0.25">
      <c r="A232" s="75">
        <f>A231+1</f>
        <v>212</v>
      </c>
      <c r="B232" s="71">
        <v>46061</v>
      </c>
      <c r="C232" s="72">
        <v>8610826</v>
      </c>
      <c r="D232" s="73">
        <v>50417070</v>
      </c>
      <c r="E232" s="74">
        <v>61.1</v>
      </c>
      <c r="F232" s="32">
        <v>564.96</v>
      </c>
      <c r="G232" s="228">
        <f t="shared" si="42"/>
        <v>34519.056000000004</v>
      </c>
      <c r="H232" s="229">
        <v>46076.86</v>
      </c>
      <c r="I232" s="35">
        <f t="shared" si="43"/>
        <v>2815296.1460000002</v>
      </c>
      <c r="J232" s="189" t="s">
        <v>22</v>
      </c>
      <c r="K232" s="356" t="s">
        <v>38</v>
      </c>
      <c r="L232" s="146"/>
      <c r="M232" s="70"/>
      <c r="N232" s="75"/>
      <c r="O232" s="75"/>
      <c r="P232" s="146"/>
      <c r="Q232" s="70"/>
      <c r="R232" s="75"/>
      <c r="S232" s="75"/>
      <c r="T232" s="75"/>
      <c r="U232" s="79"/>
    </row>
    <row r="233" spans="1:21" x14ac:dyDescent="0.25">
      <c r="A233" s="75">
        <f t="shared" ref="A233:A257" si="44">A232+1</f>
        <v>213</v>
      </c>
      <c r="B233" s="71">
        <v>46061</v>
      </c>
      <c r="C233" s="72">
        <v>8610824</v>
      </c>
      <c r="D233" s="73">
        <v>50779057</v>
      </c>
      <c r="E233" s="74">
        <v>52.5</v>
      </c>
      <c r="F233" s="32">
        <v>564.96</v>
      </c>
      <c r="G233" s="228">
        <f t="shared" si="42"/>
        <v>29660.400000000001</v>
      </c>
      <c r="H233" s="229">
        <v>46076.86</v>
      </c>
      <c r="I233" s="35">
        <f t="shared" si="43"/>
        <v>2419035.15</v>
      </c>
      <c r="J233" s="189" t="s">
        <v>22</v>
      </c>
      <c r="K233" s="356" t="s">
        <v>38</v>
      </c>
      <c r="L233" s="146"/>
      <c r="M233" s="70"/>
      <c r="N233" s="75"/>
      <c r="O233" s="75"/>
      <c r="P233" s="146"/>
      <c r="Q233" s="70"/>
      <c r="R233" s="75"/>
      <c r="S233" s="75"/>
      <c r="T233" s="75"/>
      <c r="U233" s="79"/>
    </row>
    <row r="234" spans="1:21" x14ac:dyDescent="0.25">
      <c r="A234" s="75">
        <f t="shared" si="44"/>
        <v>214</v>
      </c>
      <c r="B234" s="71">
        <v>46061</v>
      </c>
      <c r="C234" s="72">
        <v>8610825</v>
      </c>
      <c r="D234" s="73">
        <v>51411692</v>
      </c>
      <c r="E234" s="74">
        <v>52.7</v>
      </c>
      <c r="F234" s="32">
        <v>564.96</v>
      </c>
      <c r="G234" s="228">
        <f t="shared" si="42"/>
        <v>29773.392000000003</v>
      </c>
      <c r="H234" s="229">
        <v>46076.86</v>
      </c>
      <c r="I234" s="35">
        <f t="shared" si="43"/>
        <v>2428250.5220000003</v>
      </c>
      <c r="J234" s="189" t="s">
        <v>22</v>
      </c>
      <c r="K234" s="356" t="s">
        <v>38</v>
      </c>
      <c r="L234" s="146"/>
      <c r="M234" s="70"/>
      <c r="N234" s="75"/>
      <c r="O234" s="75"/>
      <c r="P234" s="146"/>
      <c r="Q234" s="70"/>
      <c r="R234" s="75"/>
      <c r="S234" s="75"/>
      <c r="T234" s="75"/>
      <c r="U234" s="79"/>
    </row>
    <row r="235" spans="1:21" x14ac:dyDescent="0.25">
      <c r="A235" s="75">
        <f t="shared" si="44"/>
        <v>215</v>
      </c>
      <c r="B235" s="71">
        <v>46061</v>
      </c>
      <c r="C235" s="72">
        <v>8610825</v>
      </c>
      <c r="D235" s="73">
        <v>51506392</v>
      </c>
      <c r="E235" s="74">
        <v>52.8</v>
      </c>
      <c r="F235" s="32">
        <v>564.96</v>
      </c>
      <c r="G235" s="228">
        <f t="shared" si="42"/>
        <v>29829.887999999999</v>
      </c>
      <c r="H235" s="229">
        <v>46076.86</v>
      </c>
      <c r="I235" s="35">
        <f t="shared" si="43"/>
        <v>2432858.2080000001</v>
      </c>
      <c r="J235" s="189" t="s">
        <v>22</v>
      </c>
      <c r="K235" s="356" t="s">
        <v>38</v>
      </c>
      <c r="L235" s="146"/>
      <c r="M235" s="70"/>
      <c r="N235" s="75"/>
      <c r="O235" s="75"/>
      <c r="P235" s="146"/>
      <c r="Q235" s="70"/>
      <c r="R235" s="75"/>
      <c r="S235" s="75"/>
      <c r="T235" s="75"/>
      <c r="U235" s="79"/>
    </row>
    <row r="236" spans="1:21" x14ac:dyDescent="0.25">
      <c r="A236" s="75">
        <f t="shared" si="44"/>
        <v>216</v>
      </c>
      <c r="B236" s="71">
        <v>46061</v>
      </c>
      <c r="C236" s="72">
        <v>8610826</v>
      </c>
      <c r="D236" s="73">
        <v>53961165</v>
      </c>
      <c r="E236" s="74">
        <v>60.9</v>
      </c>
      <c r="F236" s="32">
        <v>564.96</v>
      </c>
      <c r="G236" s="228">
        <f t="shared" si="42"/>
        <v>34406.063999999998</v>
      </c>
      <c r="H236" s="229">
        <v>46076.86</v>
      </c>
      <c r="I236" s="35">
        <f t="shared" si="43"/>
        <v>2806080.7739999997</v>
      </c>
      <c r="J236" s="189" t="s">
        <v>22</v>
      </c>
      <c r="K236" s="356" t="s">
        <v>38</v>
      </c>
      <c r="L236" s="146"/>
      <c r="M236" s="70"/>
      <c r="N236" s="75"/>
      <c r="O236" s="75"/>
      <c r="P236" s="146"/>
      <c r="Q236" s="70"/>
      <c r="R236" s="75"/>
      <c r="S236" s="75"/>
      <c r="T236" s="75"/>
      <c r="U236" s="79"/>
    </row>
    <row r="237" spans="1:21" x14ac:dyDescent="0.25">
      <c r="A237" s="75">
        <f t="shared" si="44"/>
        <v>217</v>
      </c>
      <c r="B237" s="71">
        <v>46061</v>
      </c>
      <c r="C237" s="72">
        <v>8610824</v>
      </c>
      <c r="D237" s="73">
        <v>53996187</v>
      </c>
      <c r="E237" s="74">
        <v>51.8</v>
      </c>
      <c r="F237" s="32">
        <v>564.96</v>
      </c>
      <c r="G237" s="228">
        <f t="shared" si="42"/>
        <v>29264.928</v>
      </c>
      <c r="H237" s="229">
        <v>46076.86</v>
      </c>
      <c r="I237" s="35">
        <f t="shared" si="43"/>
        <v>2386781.3479999998</v>
      </c>
      <c r="J237" s="189" t="s">
        <v>22</v>
      </c>
      <c r="K237" s="356" t="s">
        <v>38</v>
      </c>
      <c r="L237" s="146"/>
      <c r="M237" s="70"/>
      <c r="N237" s="75"/>
      <c r="O237" s="75"/>
      <c r="P237" s="146"/>
      <c r="Q237" s="70"/>
      <c r="R237" s="75"/>
      <c r="S237" s="75"/>
      <c r="T237" s="75"/>
      <c r="U237" s="79"/>
    </row>
    <row r="238" spans="1:21" x14ac:dyDescent="0.25">
      <c r="A238" s="75">
        <f t="shared" si="44"/>
        <v>218</v>
      </c>
      <c r="B238" s="71">
        <v>46061</v>
      </c>
      <c r="C238" s="72">
        <v>8610826</v>
      </c>
      <c r="D238" s="73">
        <v>54087960</v>
      </c>
      <c r="E238" s="74">
        <v>61.15</v>
      </c>
      <c r="F238" s="32">
        <v>564.96</v>
      </c>
      <c r="G238" s="228">
        <f t="shared" si="42"/>
        <v>34547.304000000004</v>
      </c>
      <c r="H238" s="229">
        <v>46076.86</v>
      </c>
      <c r="I238" s="35">
        <f t="shared" si="43"/>
        <v>2817599.9890000001</v>
      </c>
      <c r="J238" s="189" t="s">
        <v>22</v>
      </c>
      <c r="K238" s="356" t="s">
        <v>38</v>
      </c>
      <c r="L238" s="146"/>
      <c r="M238" s="70"/>
      <c r="N238" s="75"/>
      <c r="O238" s="75"/>
      <c r="P238" s="146"/>
      <c r="Q238" s="70"/>
      <c r="R238" s="75"/>
      <c r="S238" s="75"/>
      <c r="T238" s="75"/>
      <c r="U238" s="79"/>
    </row>
    <row r="239" spans="1:21" x14ac:dyDescent="0.25">
      <c r="A239" s="75">
        <f t="shared" si="44"/>
        <v>219</v>
      </c>
      <c r="B239" s="71">
        <v>46061</v>
      </c>
      <c r="C239" s="72">
        <v>8610826</v>
      </c>
      <c r="D239" s="73">
        <v>54628912</v>
      </c>
      <c r="E239" s="74">
        <v>61.15</v>
      </c>
      <c r="F239" s="32">
        <v>564.96</v>
      </c>
      <c r="G239" s="228">
        <f t="shared" si="42"/>
        <v>34547.304000000004</v>
      </c>
      <c r="H239" s="229">
        <v>46076.86</v>
      </c>
      <c r="I239" s="35">
        <f t="shared" si="43"/>
        <v>2817599.9890000001</v>
      </c>
      <c r="J239" s="189" t="s">
        <v>22</v>
      </c>
      <c r="K239" s="356" t="s">
        <v>38</v>
      </c>
      <c r="L239" s="146"/>
      <c r="M239" s="70"/>
      <c r="N239" s="75"/>
      <c r="O239" s="75"/>
      <c r="P239" s="146"/>
      <c r="Q239" s="70"/>
      <c r="R239" s="75"/>
      <c r="S239" s="75"/>
      <c r="T239" s="75"/>
      <c r="U239" s="79"/>
    </row>
    <row r="240" spans="1:21" x14ac:dyDescent="0.25">
      <c r="A240" s="75">
        <f t="shared" si="44"/>
        <v>220</v>
      </c>
      <c r="B240" s="71">
        <v>46061</v>
      </c>
      <c r="C240" s="72">
        <v>8610824</v>
      </c>
      <c r="D240" s="73">
        <v>57644890</v>
      </c>
      <c r="E240" s="74">
        <v>61.3</v>
      </c>
      <c r="F240" s="32">
        <v>564.96</v>
      </c>
      <c r="G240" s="228">
        <f t="shared" si="42"/>
        <v>34632.048000000003</v>
      </c>
      <c r="H240" s="229">
        <v>46076.86</v>
      </c>
      <c r="I240" s="35">
        <f t="shared" si="43"/>
        <v>2824511.5179999997</v>
      </c>
      <c r="J240" s="189" t="s">
        <v>22</v>
      </c>
      <c r="K240" s="356" t="s">
        <v>38</v>
      </c>
      <c r="L240" s="146"/>
      <c r="M240" s="70"/>
      <c r="N240" s="75"/>
      <c r="O240" s="75"/>
      <c r="P240" s="146"/>
      <c r="Q240" s="70"/>
      <c r="R240" s="75"/>
      <c r="S240" s="75"/>
      <c r="T240" s="75"/>
      <c r="U240" s="79"/>
    </row>
    <row r="241" spans="1:21" x14ac:dyDescent="0.25">
      <c r="A241" s="75">
        <f t="shared" si="44"/>
        <v>221</v>
      </c>
      <c r="B241" s="98">
        <v>46061</v>
      </c>
      <c r="C241" s="72">
        <v>8610826</v>
      </c>
      <c r="D241" s="73">
        <v>73049637</v>
      </c>
      <c r="E241" s="74">
        <v>61.7</v>
      </c>
      <c r="F241" s="32">
        <v>564.96</v>
      </c>
      <c r="G241" s="228">
        <f t="shared" si="42"/>
        <v>34858.032000000007</v>
      </c>
      <c r="H241" s="229">
        <v>46076.86</v>
      </c>
      <c r="I241" s="35">
        <f t="shared" si="43"/>
        <v>2842942.2620000001</v>
      </c>
      <c r="J241" s="189" t="s">
        <v>22</v>
      </c>
      <c r="K241" s="356" t="s">
        <v>38</v>
      </c>
      <c r="L241" s="146"/>
      <c r="M241" s="70"/>
      <c r="N241" s="75"/>
      <c r="O241" s="75"/>
      <c r="P241" s="146"/>
      <c r="Q241" s="70"/>
      <c r="R241" s="75"/>
      <c r="S241" s="75"/>
      <c r="T241" s="75"/>
      <c r="U241" s="79"/>
    </row>
    <row r="242" spans="1:21" x14ac:dyDescent="0.25">
      <c r="A242" s="75">
        <f t="shared" si="44"/>
        <v>222</v>
      </c>
      <c r="B242" s="98">
        <v>46061</v>
      </c>
      <c r="C242" s="72">
        <v>8610826</v>
      </c>
      <c r="D242" s="73">
        <v>73055915</v>
      </c>
      <c r="E242" s="74">
        <v>61.6</v>
      </c>
      <c r="F242" s="32">
        <v>564.96</v>
      </c>
      <c r="G242" s="228">
        <f t="shared" si="42"/>
        <v>34801.536</v>
      </c>
      <c r="H242" s="229">
        <v>46076.86</v>
      </c>
      <c r="I242" s="35">
        <f t="shared" si="43"/>
        <v>2838334.5759999999</v>
      </c>
      <c r="J242" s="189" t="s">
        <v>22</v>
      </c>
      <c r="K242" s="356" t="s">
        <v>38</v>
      </c>
      <c r="L242" s="146"/>
      <c r="M242" s="70"/>
      <c r="N242" s="75"/>
      <c r="O242" s="75"/>
      <c r="P242" s="146"/>
      <c r="Q242" s="70"/>
      <c r="R242" s="75"/>
      <c r="S242" s="75"/>
      <c r="T242" s="75"/>
      <c r="U242" s="79"/>
    </row>
    <row r="243" spans="1:21" x14ac:dyDescent="0.25">
      <c r="A243" s="75">
        <f t="shared" si="44"/>
        <v>223</v>
      </c>
      <c r="B243" s="98">
        <v>46061</v>
      </c>
      <c r="C243" s="72">
        <v>8610826</v>
      </c>
      <c r="D243" s="73">
        <v>73062630</v>
      </c>
      <c r="E243" s="74">
        <v>61.6</v>
      </c>
      <c r="F243" s="32">
        <v>564.96</v>
      </c>
      <c r="G243" s="228">
        <f t="shared" si="42"/>
        <v>34801.536</v>
      </c>
      <c r="H243" s="229">
        <v>46076.86</v>
      </c>
      <c r="I243" s="35">
        <f t="shared" si="43"/>
        <v>2838334.5759999999</v>
      </c>
      <c r="J243" s="189" t="s">
        <v>22</v>
      </c>
      <c r="K243" s="356" t="s">
        <v>38</v>
      </c>
      <c r="L243" s="146"/>
      <c r="M243" s="70"/>
      <c r="N243" s="75"/>
      <c r="O243" s="75"/>
      <c r="P243" s="146"/>
      <c r="Q243" s="70"/>
      <c r="R243" s="75"/>
      <c r="S243" s="75"/>
      <c r="T243" s="75"/>
      <c r="U243" s="79"/>
    </row>
    <row r="244" spans="1:21" x14ac:dyDescent="0.25">
      <c r="A244" s="75">
        <f t="shared" si="44"/>
        <v>224</v>
      </c>
      <c r="B244" s="98">
        <v>46061</v>
      </c>
      <c r="C244" s="72">
        <v>8610826</v>
      </c>
      <c r="D244" s="73">
        <v>73081457</v>
      </c>
      <c r="E244" s="74">
        <v>61.65</v>
      </c>
      <c r="F244" s="32">
        <v>564.96</v>
      </c>
      <c r="G244" s="228">
        <f t="shared" si="42"/>
        <v>34829.784</v>
      </c>
      <c r="H244" s="229">
        <v>46076.86</v>
      </c>
      <c r="I244" s="35">
        <f t="shared" si="43"/>
        <v>2840638.4189999998</v>
      </c>
      <c r="J244" s="189" t="s">
        <v>22</v>
      </c>
      <c r="K244" s="356" t="s">
        <v>38</v>
      </c>
      <c r="L244" s="146"/>
      <c r="M244" s="70"/>
      <c r="N244" s="75"/>
      <c r="O244" s="75"/>
      <c r="P244" s="146"/>
      <c r="Q244" s="70"/>
      <c r="R244" s="75"/>
      <c r="S244" s="75"/>
      <c r="T244" s="75"/>
      <c r="U244" s="79"/>
    </row>
    <row r="245" spans="1:21" x14ac:dyDescent="0.25">
      <c r="A245" s="75">
        <f t="shared" si="44"/>
        <v>225</v>
      </c>
      <c r="B245" s="98">
        <v>46061</v>
      </c>
      <c r="C245" s="72">
        <v>8610826</v>
      </c>
      <c r="D245" s="73">
        <v>73114563</v>
      </c>
      <c r="E245" s="74">
        <v>61.75</v>
      </c>
      <c r="F245" s="32">
        <v>564.96</v>
      </c>
      <c r="G245" s="228">
        <f t="shared" si="42"/>
        <v>34886.28</v>
      </c>
      <c r="H245" s="229">
        <v>46076.86</v>
      </c>
      <c r="I245" s="35">
        <f t="shared" si="43"/>
        <v>2845246.105</v>
      </c>
      <c r="J245" s="189" t="s">
        <v>22</v>
      </c>
      <c r="K245" s="356" t="s">
        <v>38</v>
      </c>
      <c r="L245" s="146"/>
      <c r="M245" s="70"/>
      <c r="N245" s="75"/>
      <c r="O245" s="75"/>
      <c r="P245" s="146"/>
      <c r="Q245" s="70"/>
      <c r="R245" s="75"/>
      <c r="S245" s="75"/>
      <c r="T245" s="75"/>
      <c r="U245" s="79"/>
    </row>
    <row r="246" spans="1:21" x14ac:dyDescent="0.25">
      <c r="A246" s="75">
        <f t="shared" si="44"/>
        <v>226</v>
      </c>
      <c r="B246" s="98">
        <v>46061</v>
      </c>
      <c r="C246" s="72">
        <v>8610826</v>
      </c>
      <c r="D246" s="73">
        <v>73154510</v>
      </c>
      <c r="E246" s="74">
        <v>61.6</v>
      </c>
      <c r="F246" s="32">
        <v>564.96</v>
      </c>
      <c r="G246" s="228">
        <f t="shared" si="42"/>
        <v>34801.536</v>
      </c>
      <c r="H246" s="229">
        <v>46076.86</v>
      </c>
      <c r="I246" s="35">
        <f t="shared" si="43"/>
        <v>2838334.5759999999</v>
      </c>
      <c r="J246" s="189" t="s">
        <v>22</v>
      </c>
      <c r="K246" s="356" t="s">
        <v>38</v>
      </c>
      <c r="L246" s="146"/>
      <c r="M246" s="70"/>
      <c r="N246" s="75"/>
      <c r="O246" s="75"/>
      <c r="P246" s="146"/>
      <c r="Q246" s="70"/>
      <c r="R246" s="75"/>
      <c r="S246" s="75"/>
      <c r="T246" s="75"/>
      <c r="U246" s="79"/>
    </row>
    <row r="247" spans="1:21" x14ac:dyDescent="0.25">
      <c r="A247" s="75">
        <f t="shared" si="44"/>
        <v>227</v>
      </c>
      <c r="B247" s="98">
        <v>46061</v>
      </c>
      <c r="C247" s="72">
        <v>8610826</v>
      </c>
      <c r="D247" s="73">
        <v>73158305</v>
      </c>
      <c r="E247" s="74">
        <v>61.6</v>
      </c>
      <c r="F247" s="32">
        <v>564.96</v>
      </c>
      <c r="G247" s="228">
        <f t="shared" si="42"/>
        <v>34801.536</v>
      </c>
      <c r="H247" s="229">
        <v>46076.86</v>
      </c>
      <c r="I247" s="35">
        <f t="shared" si="43"/>
        <v>2838334.5759999999</v>
      </c>
      <c r="J247" s="189" t="s">
        <v>22</v>
      </c>
      <c r="K247" s="356" t="s">
        <v>38</v>
      </c>
      <c r="L247" s="146"/>
      <c r="M247" s="70"/>
      <c r="N247" s="75"/>
      <c r="O247" s="75"/>
      <c r="P247" s="146"/>
      <c r="Q247" s="70"/>
      <c r="R247" s="75"/>
      <c r="S247" s="75"/>
      <c r="T247" s="75"/>
      <c r="U247" s="79"/>
    </row>
    <row r="248" spans="1:21" x14ac:dyDescent="0.25">
      <c r="A248" s="75">
        <f t="shared" si="44"/>
        <v>228</v>
      </c>
      <c r="B248" s="98">
        <v>46061</v>
      </c>
      <c r="C248" s="72">
        <v>8610825</v>
      </c>
      <c r="D248" s="73">
        <v>73160749</v>
      </c>
      <c r="E248" s="74">
        <v>61.7</v>
      </c>
      <c r="F248" s="32">
        <v>564.96</v>
      </c>
      <c r="G248" s="228">
        <f t="shared" si="42"/>
        <v>34858.032000000007</v>
      </c>
      <c r="H248" s="229">
        <v>46076.86</v>
      </c>
      <c r="I248" s="35">
        <f t="shared" si="43"/>
        <v>2842942.2620000001</v>
      </c>
      <c r="J248" s="189" t="s">
        <v>22</v>
      </c>
      <c r="K248" s="356" t="s">
        <v>38</v>
      </c>
      <c r="L248" s="146"/>
      <c r="M248" s="70"/>
      <c r="N248" s="75"/>
      <c r="O248" s="75"/>
      <c r="P248" s="146"/>
      <c r="Q248" s="70"/>
      <c r="R248" s="75"/>
      <c r="S248" s="75"/>
      <c r="T248" s="75"/>
      <c r="U248" s="79"/>
    </row>
    <row r="249" spans="1:21" x14ac:dyDescent="0.25">
      <c r="A249" s="75">
        <f t="shared" si="44"/>
        <v>229</v>
      </c>
      <c r="B249" s="98">
        <v>46061</v>
      </c>
      <c r="C249" s="72">
        <v>8610826</v>
      </c>
      <c r="D249" s="73">
        <v>73177511</v>
      </c>
      <c r="E249" s="74">
        <v>61.6</v>
      </c>
      <c r="F249" s="32">
        <v>564.96</v>
      </c>
      <c r="G249" s="228">
        <f t="shared" si="42"/>
        <v>34801.536</v>
      </c>
      <c r="H249" s="229">
        <v>46076.86</v>
      </c>
      <c r="I249" s="35">
        <f t="shared" si="43"/>
        <v>2838334.5759999999</v>
      </c>
      <c r="J249" s="189" t="s">
        <v>22</v>
      </c>
      <c r="K249" s="356" t="s">
        <v>38</v>
      </c>
      <c r="L249" s="146"/>
      <c r="M249" s="70"/>
      <c r="N249" s="75"/>
      <c r="O249" s="75"/>
      <c r="P249" s="146"/>
      <c r="Q249" s="70"/>
      <c r="R249" s="75"/>
      <c r="S249" s="75"/>
      <c r="T249" s="75"/>
      <c r="U249" s="79"/>
    </row>
    <row r="250" spans="1:21" x14ac:dyDescent="0.25">
      <c r="A250" s="75">
        <f t="shared" si="44"/>
        <v>230</v>
      </c>
      <c r="B250" s="98">
        <v>46061</v>
      </c>
      <c r="C250" s="72">
        <v>8610826</v>
      </c>
      <c r="D250" s="73">
        <v>73231003</v>
      </c>
      <c r="E250" s="74">
        <v>61.9</v>
      </c>
      <c r="F250" s="32">
        <v>564.96</v>
      </c>
      <c r="G250" s="228">
        <f t="shared" si="42"/>
        <v>34971.024000000005</v>
      </c>
      <c r="H250" s="229">
        <v>46076.86</v>
      </c>
      <c r="I250" s="35">
        <f t="shared" si="43"/>
        <v>2852157.6340000001</v>
      </c>
      <c r="J250" s="189" t="s">
        <v>22</v>
      </c>
      <c r="K250" s="356" t="s">
        <v>38</v>
      </c>
      <c r="L250" s="146"/>
      <c r="M250" s="70"/>
      <c r="N250" s="75"/>
      <c r="O250" s="75"/>
      <c r="P250" s="146"/>
      <c r="Q250" s="70"/>
      <c r="R250" s="75"/>
      <c r="S250" s="75"/>
      <c r="T250" s="75"/>
      <c r="U250" s="79"/>
    </row>
    <row r="251" spans="1:21" x14ac:dyDescent="0.25">
      <c r="A251" s="75">
        <f t="shared" si="44"/>
        <v>231</v>
      </c>
      <c r="B251" s="98">
        <v>46061</v>
      </c>
      <c r="C251" s="72">
        <v>8610826</v>
      </c>
      <c r="D251" s="73">
        <v>73231235</v>
      </c>
      <c r="E251" s="74">
        <v>61.6</v>
      </c>
      <c r="F251" s="32">
        <v>564.96</v>
      </c>
      <c r="G251" s="228">
        <f t="shared" si="42"/>
        <v>34801.536</v>
      </c>
      <c r="H251" s="229">
        <v>46076.86</v>
      </c>
      <c r="I251" s="35">
        <f t="shared" si="43"/>
        <v>2838334.5759999999</v>
      </c>
      <c r="J251" s="189" t="s">
        <v>22</v>
      </c>
      <c r="K251" s="356" t="s">
        <v>38</v>
      </c>
      <c r="L251" s="146"/>
      <c r="M251" s="70"/>
      <c r="N251" s="75"/>
      <c r="O251" s="75"/>
      <c r="P251" s="146"/>
      <c r="Q251" s="70"/>
      <c r="R251" s="75"/>
      <c r="S251" s="75"/>
      <c r="T251" s="75"/>
      <c r="U251" s="79"/>
    </row>
    <row r="252" spans="1:21" x14ac:dyDescent="0.25">
      <c r="A252" s="75">
        <f t="shared" si="44"/>
        <v>232</v>
      </c>
      <c r="B252" s="98">
        <v>46061</v>
      </c>
      <c r="C252" s="72">
        <v>8610826</v>
      </c>
      <c r="D252" s="73">
        <v>73233165</v>
      </c>
      <c r="E252" s="74">
        <v>61.6</v>
      </c>
      <c r="F252" s="32">
        <v>564.96</v>
      </c>
      <c r="G252" s="228">
        <f t="shared" si="42"/>
        <v>34801.536</v>
      </c>
      <c r="H252" s="229">
        <v>46076.86</v>
      </c>
      <c r="I252" s="35">
        <f t="shared" si="43"/>
        <v>2838334.5759999999</v>
      </c>
      <c r="J252" s="189" t="s">
        <v>22</v>
      </c>
      <c r="K252" s="356" t="s">
        <v>38</v>
      </c>
      <c r="L252" s="146"/>
      <c r="M252" s="70"/>
      <c r="N252" s="75"/>
      <c r="O252" s="75"/>
      <c r="P252" s="146"/>
      <c r="Q252" s="70"/>
      <c r="R252" s="75"/>
      <c r="S252" s="75"/>
      <c r="T252" s="75"/>
      <c r="U252" s="79"/>
    </row>
    <row r="253" spans="1:21" x14ac:dyDescent="0.25">
      <c r="A253" s="75">
        <f t="shared" si="44"/>
        <v>233</v>
      </c>
      <c r="B253" s="98">
        <v>46061</v>
      </c>
      <c r="C253" s="72">
        <v>8610826</v>
      </c>
      <c r="D253" s="73">
        <v>73913717</v>
      </c>
      <c r="E253" s="74">
        <v>61.7</v>
      </c>
      <c r="F253" s="32">
        <v>564.96</v>
      </c>
      <c r="G253" s="228">
        <f t="shared" si="42"/>
        <v>34858.032000000007</v>
      </c>
      <c r="H253" s="229">
        <v>46076.86</v>
      </c>
      <c r="I253" s="35">
        <f t="shared" si="43"/>
        <v>2842942.2620000001</v>
      </c>
      <c r="J253" s="189" t="s">
        <v>22</v>
      </c>
      <c r="K253" s="356" t="s">
        <v>38</v>
      </c>
      <c r="L253" s="146"/>
      <c r="M253" s="70"/>
      <c r="N253" s="75"/>
      <c r="O253" s="75"/>
      <c r="P253" s="146"/>
      <c r="Q253" s="70"/>
      <c r="R253" s="75"/>
      <c r="S253" s="75"/>
      <c r="T253" s="75"/>
      <c r="U253" s="79"/>
    </row>
    <row r="254" spans="1:21" x14ac:dyDescent="0.25">
      <c r="A254" s="75">
        <f t="shared" si="44"/>
        <v>234</v>
      </c>
      <c r="B254" s="98">
        <v>46061</v>
      </c>
      <c r="C254" s="72">
        <v>8610825</v>
      </c>
      <c r="D254" s="73">
        <v>73971053</v>
      </c>
      <c r="E254" s="74">
        <v>61.35</v>
      </c>
      <c r="F254" s="32">
        <v>564.96</v>
      </c>
      <c r="G254" s="228">
        <f t="shared" si="42"/>
        <v>34660.296000000002</v>
      </c>
      <c r="H254" s="229">
        <v>46076.86</v>
      </c>
      <c r="I254" s="35">
        <f t="shared" si="43"/>
        <v>2826815.361</v>
      </c>
      <c r="J254" s="189" t="s">
        <v>22</v>
      </c>
      <c r="K254" s="356" t="s">
        <v>38</v>
      </c>
      <c r="L254" s="146"/>
      <c r="M254" s="70"/>
      <c r="N254" s="75"/>
      <c r="O254" s="75"/>
      <c r="P254" s="146"/>
      <c r="Q254" s="70"/>
      <c r="R254" s="75"/>
      <c r="S254" s="75"/>
      <c r="T254" s="75"/>
      <c r="U254" s="79"/>
    </row>
    <row r="255" spans="1:21" x14ac:dyDescent="0.25">
      <c r="A255" s="75">
        <f t="shared" si="44"/>
        <v>235</v>
      </c>
      <c r="B255" s="98">
        <v>46061</v>
      </c>
      <c r="C255" s="72">
        <v>8610824</v>
      </c>
      <c r="D255" s="73">
        <v>74245226</v>
      </c>
      <c r="E255" s="74">
        <v>52.65</v>
      </c>
      <c r="F255" s="32">
        <v>564.96</v>
      </c>
      <c r="G255" s="228">
        <f t="shared" si="42"/>
        <v>29745.144</v>
      </c>
      <c r="H255" s="229">
        <v>46076.86</v>
      </c>
      <c r="I255" s="35">
        <f t="shared" si="43"/>
        <v>2425946.679</v>
      </c>
      <c r="J255" s="189" t="s">
        <v>22</v>
      </c>
      <c r="K255" s="356" t="s">
        <v>38</v>
      </c>
      <c r="L255" s="146"/>
      <c r="M255" s="70"/>
      <c r="N255" s="75"/>
      <c r="O255" s="75"/>
      <c r="P255" s="146"/>
      <c r="Q255" s="70"/>
      <c r="R255" s="75"/>
      <c r="S255" s="75"/>
      <c r="T255" s="75"/>
      <c r="U255" s="79"/>
    </row>
    <row r="256" spans="1:21" x14ac:dyDescent="0.25">
      <c r="A256" s="75">
        <f t="shared" si="44"/>
        <v>236</v>
      </c>
      <c r="B256" s="98">
        <v>46061</v>
      </c>
      <c r="C256" s="72">
        <v>8610824</v>
      </c>
      <c r="D256" s="73">
        <v>75004101</v>
      </c>
      <c r="E256" s="74">
        <v>61.25</v>
      </c>
      <c r="F256" s="32">
        <v>564.96</v>
      </c>
      <c r="G256" s="228">
        <f t="shared" si="42"/>
        <v>34603.800000000003</v>
      </c>
      <c r="H256" s="229">
        <v>46076.86</v>
      </c>
      <c r="I256" s="35">
        <f t="shared" si="43"/>
        <v>2822207.6749999998</v>
      </c>
      <c r="J256" s="189" t="s">
        <v>22</v>
      </c>
      <c r="K256" s="356" t="s">
        <v>38</v>
      </c>
      <c r="L256" s="146"/>
      <c r="M256" s="70"/>
      <c r="N256" s="75"/>
      <c r="O256" s="75"/>
      <c r="P256" s="146"/>
      <c r="Q256" s="70"/>
      <c r="R256" s="75"/>
      <c r="S256" s="75"/>
      <c r="T256" s="75"/>
      <c r="U256" s="79"/>
    </row>
    <row r="257" spans="1:21" ht="15.75" thickBot="1" x14ac:dyDescent="0.3">
      <c r="A257" s="75">
        <f t="shared" si="44"/>
        <v>237</v>
      </c>
      <c r="B257" s="135">
        <v>46061</v>
      </c>
      <c r="C257" s="102">
        <v>8610825</v>
      </c>
      <c r="D257" s="103">
        <v>75080788</v>
      </c>
      <c r="E257" s="104">
        <v>61.7</v>
      </c>
      <c r="F257" s="32">
        <v>564.96</v>
      </c>
      <c r="G257" s="248">
        <f t="shared" si="42"/>
        <v>34858.032000000007</v>
      </c>
      <c r="H257" s="257">
        <v>46076.86</v>
      </c>
      <c r="I257" s="40">
        <f t="shared" si="43"/>
        <v>2842942.2620000001</v>
      </c>
      <c r="J257" s="189" t="s">
        <v>22</v>
      </c>
      <c r="K257" s="357" t="s">
        <v>38</v>
      </c>
      <c r="L257" s="149"/>
      <c r="M257" s="80"/>
      <c r="N257" s="88"/>
      <c r="O257" s="88"/>
      <c r="P257" s="221"/>
      <c r="Q257" s="80"/>
      <c r="R257" s="88"/>
      <c r="S257" s="88"/>
      <c r="T257" s="88"/>
      <c r="U257" s="89"/>
    </row>
    <row r="258" spans="1:21" ht="15.75" thickBot="1" x14ac:dyDescent="0.3">
      <c r="A258" s="233"/>
      <c r="B258" s="234"/>
      <c r="C258" s="234"/>
      <c r="D258" s="234"/>
      <c r="E258" s="235">
        <f>SUM(E231:E257)</f>
        <v>1615.25</v>
      </c>
      <c r="F258" s="236"/>
      <c r="G258" s="237">
        <f>SUM(G231:G257)</f>
        <v>912551.6399999999</v>
      </c>
      <c r="H258" s="234"/>
      <c r="I258" s="238">
        <f>SUM(I231:I257)</f>
        <v>74425648.114999995</v>
      </c>
      <c r="J258" s="234"/>
      <c r="K258" s="369"/>
      <c r="L258" s="370"/>
      <c r="M258" s="233"/>
      <c r="N258" s="234"/>
      <c r="O258" s="234"/>
      <c r="P258" s="239"/>
      <c r="Q258" s="371"/>
      <c r="R258" s="234"/>
      <c r="S258" s="234"/>
      <c r="T258" s="234"/>
      <c r="U258" s="239"/>
    </row>
    <row r="259" spans="1:21" x14ac:dyDescent="0.25">
      <c r="A259" s="140">
        <v>238</v>
      </c>
      <c r="B259" s="98">
        <v>46061</v>
      </c>
      <c r="C259" s="72">
        <v>8610819</v>
      </c>
      <c r="D259" s="73">
        <v>50133461</v>
      </c>
      <c r="E259" s="74">
        <v>60.4</v>
      </c>
      <c r="F259" s="32">
        <v>564.96</v>
      </c>
      <c r="G259" s="228">
        <f t="shared" ref="G259:G260" si="45">E259*F259</f>
        <v>34123.584000000003</v>
      </c>
      <c r="H259" s="229">
        <v>46076.86</v>
      </c>
      <c r="I259" s="35">
        <f t="shared" ref="I259:I260" si="46">E259*H259</f>
        <v>2783042.344</v>
      </c>
      <c r="J259" s="189" t="s">
        <v>22</v>
      </c>
      <c r="K259" s="356" t="s">
        <v>38</v>
      </c>
      <c r="L259" s="143"/>
      <c r="M259" s="57"/>
      <c r="N259" s="68"/>
      <c r="O259" s="68"/>
      <c r="P259" s="69"/>
      <c r="Q259" s="57"/>
      <c r="R259" s="68"/>
      <c r="S259" s="68"/>
      <c r="T259" s="68"/>
      <c r="U259" s="69"/>
    </row>
    <row r="260" spans="1:21" ht="15.75" thickBot="1" x14ac:dyDescent="0.3">
      <c r="A260" s="105">
        <v>239</v>
      </c>
      <c r="B260" s="135">
        <v>46061</v>
      </c>
      <c r="C260" s="102">
        <v>8610818</v>
      </c>
      <c r="D260" s="103">
        <v>73224131</v>
      </c>
      <c r="E260" s="74">
        <v>60.15</v>
      </c>
      <c r="F260" s="32">
        <v>564.96</v>
      </c>
      <c r="G260" s="228">
        <f t="shared" si="45"/>
        <v>33982.344000000005</v>
      </c>
      <c r="H260" s="229">
        <v>46076.86</v>
      </c>
      <c r="I260" s="35">
        <f t="shared" si="46"/>
        <v>2771523.1290000002</v>
      </c>
      <c r="J260" s="189" t="s">
        <v>22</v>
      </c>
      <c r="K260" s="356" t="s">
        <v>38</v>
      </c>
      <c r="L260" s="149"/>
      <c r="M260" s="80"/>
      <c r="N260" s="88"/>
      <c r="O260" s="88"/>
      <c r="P260" s="89"/>
      <c r="Q260" s="80"/>
      <c r="R260" s="88"/>
      <c r="S260" s="88"/>
      <c r="T260" s="88"/>
      <c r="U260" s="89"/>
    </row>
    <row r="261" spans="1:21" ht="15.75" thickBot="1" x14ac:dyDescent="0.3">
      <c r="A261" s="233"/>
      <c r="B261" s="234"/>
      <c r="C261" s="234"/>
      <c r="D261" s="234"/>
      <c r="E261" s="235">
        <f>SUM(E259:E260)</f>
        <v>120.55</v>
      </c>
      <c r="F261" s="236"/>
      <c r="G261" s="237">
        <f>SUM(G259:G260)</f>
        <v>68105.928000000014</v>
      </c>
      <c r="H261" s="234"/>
      <c r="I261" s="238">
        <f>SUM(I259:I260)</f>
        <v>5554565.4730000002</v>
      </c>
      <c r="J261" s="234"/>
      <c r="K261" s="369"/>
      <c r="L261" s="370"/>
      <c r="M261" s="371"/>
      <c r="N261" s="234"/>
      <c r="O261" s="234"/>
      <c r="P261" s="239"/>
      <c r="Q261" s="371"/>
      <c r="R261" s="234"/>
      <c r="S261" s="234"/>
      <c r="T261" s="234"/>
      <c r="U261" s="239"/>
    </row>
    <row r="262" spans="1:21" x14ac:dyDescent="0.25">
      <c r="A262" s="57">
        <v>240</v>
      </c>
      <c r="B262" s="58">
        <v>46061</v>
      </c>
      <c r="C262" s="59">
        <v>8610828</v>
      </c>
      <c r="D262" s="60">
        <v>50394899</v>
      </c>
      <c r="E262" s="61">
        <v>59.7</v>
      </c>
      <c r="F262" s="29">
        <v>564.96</v>
      </c>
      <c r="G262" s="358">
        <f t="shared" ref="G262:G270" si="47">E262*F262</f>
        <v>33728.112000000001</v>
      </c>
      <c r="H262" s="359">
        <v>46076.86</v>
      </c>
      <c r="I262" s="360">
        <f t="shared" ref="I262:I270" si="48">E262*H262</f>
        <v>2750788.5420000004</v>
      </c>
      <c r="J262" s="361" t="s">
        <v>22</v>
      </c>
      <c r="K262" s="362" t="s">
        <v>38</v>
      </c>
      <c r="L262" s="373"/>
      <c r="M262" s="57"/>
      <c r="N262" s="68"/>
      <c r="O262" s="68"/>
      <c r="P262" s="69"/>
      <c r="Q262" s="245"/>
      <c r="R262" s="68"/>
      <c r="S262" s="68"/>
      <c r="T262" s="68"/>
      <c r="U262" s="69"/>
    </row>
    <row r="263" spans="1:21" x14ac:dyDescent="0.25">
      <c r="A263" s="70">
        <f>A262+1</f>
        <v>241</v>
      </c>
      <c r="B263" s="71">
        <v>46061</v>
      </c>
      <c r="C263" s="72">
        <v>8610828</v>
      </c>
      <c r="D263" s="73">
        <v>73084261</v>
      </c>
      <c r="E263" s="74">
        <v>61.25</v>
      </c>
      <c r="F263" s="32">
        <v>564.96</v>
      </c>
      <c r="G263" s="228">
        <f t="shared" si="47"/>
        <v>34603.800000000003</v>
      </c>
      <c r="H263" s="229">
        <v>46076.86</v>
      </c>
      <c r="I263" s="35">
        <f t="shared" si="48"/>
        <v>2822207.6749999998</v>
      </c>
      <c r="J263" s="189" t="s">
        <v>22</v>
      </c>
      <c r="K263" s="356" t="s">
        <v>38</v>
      </c>
      <c r="L263" s="246"/>
      <c r="M263" s="70"/>
      <c r="N263" s="75"/>
      <c r="O263" s="75"/>
      <c r="P263" s="79"/>
      <c r="Q263" s="247"/>
      <c r="R263" s="75"/>
      <c r="S263" s="75"/>
      <c r="T263" s="75"/>
      <c r="U263" s="79"/>
    </row>
    <row r="264" spans="1:21" x14ac:dyDescent="0.25">
      <c r="A264" s="70">
        <f t="shared" ref="A264:A270" si="49">A263+1</f>
        <v>242</v>
      </c>
      <c r="B264" s="71">
        <v>46061</v>
      </c>
      <c r="C264" s="72">
        <v>8610828</v>
      </c>
      <c r="D264" s="73">
        <v>73137309</v>
      </c>
      <c r="E264" s="74">
        <v>58.5</v>
      </c>
      <c r="F264" s="32">
        <v>564.96</v>
      </c>
      <c r="G264" s="228">
        <f t="shared" si="47"/>
        <v>33050.160000000003</v>
      </c>
      <c r="H264" s="229">
        <v>46076.86</v>
      </c>
      <c r="I264" s="35">
        <f t="shared" si="48"/>
        <v>2695496.31</v>
      </c>
      <c r="J264" s="189" t="s">
        <v>22</v>
      </c>
      <c r="K264" s="356" t="s">
        <v>38</v>
      </c>
      <c r="L264" s="246"/>
      <c r="M264" s="70"/>
      <c r="N264" s="75"/>
      <c r="O264" s="75"/>
      <c r="P264" s="79"/>
      <c r="Q264" s="247"/>
      <c r="R264" s="75"/>
      <c r="S264" s="75"/>
      <c r="T264" s="75"/>
      <c r="U264" s="79"/>
    </row>
    <row r="265" spans="1:21" x14ac:dyDescent="0.25">
      <c r="A265" s="70">
        <f t="shared" si="49"/>
        <v>243</v>
      </c>
      <c r="B265" s="71">
        <v>46061</v>
      </c>
      <c r="C265" s="72">
        <v>8610828</v>
      </c>
      <c r="D265" s="73">
        <v>73176364</v>
      </c>
      <c r="E265" s="74">
        <v>61</v>
      </c>
      <c r="F265" s="32">
        <v>564.96</v>
      </c>
      <c r="G265" s="228">
        <f t="shared" si="47"/>
        <v>34462.560000000005</v>
      </c>
      <c r="H265" s="229">
        <v>46076.86</v>
      </c>
      <c r="I265" s="35">
        <f t="shared" si="48"/>
        <v>2810688.46</v>
      </c>
      <c r="J265" s="189" t="s">
        <v>22</v>
      </c>
      <c r="K265" s="356" t="s">
        <v>38</v>
      </c>
      <c r="L265" s="246"/>
      <c r="M265" s="70"/>
      <c r="N265" s="75"/>
      <c r="O265" s="75"/>
      <c r="P265" s="79"/>
      <c r="Q265" s="247"/>
      <c r="R265" s="75"/>
      <c r="S265" s="75"/>
      <c r="T265" s="75"/>
      <c r="U265" s="79"/>
    </row>
    <row r="266" spans="1:21" x14ac:dyDescent="0.25">
      <c r="A266" s="70">
        <f t="shared" si="49"/>
        <v>244</v>
      </c>
      <c r="B266" s="71">
        <v>46061</v>
      </c>
      <c r="C266" s="102">
        <v>8610828</v>
      </c>
      <c r="D266" s="103">
        <v>73229957</v>
      </c>
      <c r="E266" s="74">
        <v>59.45</v>
      </c>
      <c r="F266" s="32">
        <v>564.96</v>
      </c>
      <c r="G266" s="228">
        <f t="shared" si="47"/>
        <v>33586.872000000003</v>
      </c>
      <c r="H266" s="229">
        <v>46076.86</v>
      </c>
      <c r="I266" s="35">
        <f t="shared" si="48"/>
        <v>2739269.327</v>
      </c>
      <c r="J266" s="189" t="s">
        <v>22</v>
      </c>
      <c r="K266" s="356" t="s">
        <v>38</v>
      </c>
      <c r="L266" s="374"/>
      <c r="M266" s="101"/>
      <c r="N266" s="105"/>
      <c r="O266" s="105"/>
      <c r="P266" s="112"/>
      <c r="Q266" s="386"/>
      <c r="R266" s="105"/>
      <c r="S266" s="105"/>
      <c r="T266" s="105"/>
      <c r="U266" s="112"/>
    </row>
    <row r="267" spans="1:21" x14ac:dyDescent="0.25">
      <c r="A267" s="70">
        <f t="shared" si="49"/>
        <v>245</v>
      </c>
      <c r="B267" s="71">
        <v>46061</v>
      </c>
      <c r="C267" s="72">
        <v>8610828</v>
      </c>
      <c r="D267" s="73">
        <v>73230831</v>
      </c>
      <c r="E267" s="74">
        <v>60.6</v>
      </c>
      <c r="F267" s="32">
        <v>564.96</v>
      </c>
      <c r="G267" s="228">
        <f t="shared" si="47"/>
        <v>34236.576000000001</v>
      </c>
      <c r="H267" s="229">
        <v>46076.86</v>
      </c>
      <c r="I267" s="35">
        <f t="shared" si="48"/>
        <v>2792257.716</v>
      </c>
      <c r="J267" s="189" t="s">
        <v>22</v>
      </c>
      <c r="K267" s="356" t="s">
        <v>38</v>
      </c>
      <c r="L267" s="246"/>
      <c r="M267" s="70"/>
      <c r="N267" s="75"/>
      <c r="O267" s="75"/>
      <c r="P267" s="79"/>
      <c r="Q267" s="247"/>
      <c r="R267" s="75"/>
      <c r="S267" s="75"/>
      <c r="T267" s="75"/>
      <c r="U267" s="79"/>
    </row>
    <row r="268" spans="1:21" x14ac:dyDescent="0.25">
      <c r="A268" s="70">
        <f t="shared" si="49"/>
        <v>246</v>
      </c>
      <c r="B268" s="71">
        <v>46061</v>
      </c>
      <c r="C268" s="72">
        <v>8610828</v>
      </c>
      <c r="D268" s="73">
        <v>75256768</v>
      </c>
      <c r="E268" s="74">
        <v>59.15</v>
      </c>
      <c r="F268" s="32">
        <v>564.96</v>
      </c>
      <c r="G268" s="228">
        <f t="shared" si="47"/>
        <v>33417.383999999998</v>
      </c>
      <c r="H268" s="229">
        <v>46076.86</v>
      </c>
      <c r="I268" s="35">
        <f t="shared" si="48"/>
        <v>2725446.2689999999</v>
      </c>
      <c r="J268" s="189" t="s">
        <v>22</v>
      </c>
      <c r="K268" s="356" t="s">
        <v>38</v>
      </c>
      <c r="L268" s="246"/>
      <c r="M268" s="70"/>
      <c r="N268" s="75"/>
      <c r="O268" s="75"/>
      <c r="P268" s="79"/>
      <c r="Q268" s="247"/>
      <c r="R268" s="75"/>
      <c r="S268" s="75"/>
      <c r="T268" s="75"/>
      <c r="U268" s="79"/>
    </row>
    <row r="269" spans="1:21" x14ac:dyDescent="0.25">
      <c r="A269" s="70">
        <f t="shared" si="49"/>
        <v>247</v>
      </c>
      <c r="B269" s="71">
        <v>46061</v>
      </c>
      <c r="C269" s="72">
        <v>8610828</v>
      </c>
      <c r="D269" s="73">
        <v>75259374</v>
      </c>
      <c r="E269" s="74">
        <v>56.3</v>
      </c>
      <c r="F269" s="32">
        <v>564.96</v>
      </c>
      <c r="G269" s="228">
        <f t="shared" si="47"/>
        <v>31807.248</v>
      </c>
      <c r="H269" s="229">
        <v>46076.86</v>
      </c>
      <c r="I269" s="35">
        <f t="shared" si="48"/>
        <v>2594127.2179999999</v>
      </c>
      <c r="J269" s="189" t="s">
        <v>22</v>
      </c>
      <c r="K269" s="356" t="s">
        <v>38</v>
      </c>
      <c r="L269" s="246"/>
      <c r="M269" s="70"/>
      <c r="N269" s="75"/>
      <c r="O269" s="75"/>
      <c r="P269" s="79"/>
      <c r="Q269" s="247"/>
      <c r="R269" s="75"/>
      <c r="S269" s="75"/>
      <c r="T269" s="75"/>
      <c r="U269" s="79"/>
    </row>
    <row r="270" spans="1:21" ht="15.75" thickBot="1" x14ac:dyDescent="0.3">
      <c r="A270" s="80">
        <f t="shared" si="49"/>
        <v>248</v>
      </c>
      <c r="B270" s="81">
        <v>46061</v>
      </c>
      <c r="C270" s="82">
        <v>8610828</v>
      </c>
      <c r="D270" s="83">
        <v>75278366</v>
      </c>
      <c r="E270" s="84">
        <v>60.55</v>
      </c>
      <c r="F270" s="404">
        <v>564.96</v>
      </c>
      <c r="G270" s="364">
        <f t="shared" si="47"/>
        <v>34208.328000000001</v>
      </c>
      <c r="H270" s="365">
        <v>46076.86</v>
      </c>
      <c r="I270" s="366">
        <f t="shared" si="48"/>
        <v>2789953.8729999997</v>
      </c>
      <c r="J270" s="367" t="s">
        <v>22</v>
      </c>
      <c r="K270" s="368" t="s">
        <v>38</v>
      </c>
      <c r="L270" s="380"/>
      <c r="M270" s="80"/>
      <c r="N270" s="88"/>
      <c r="O270" s="88"/>
      <c r="P270" s="89"/>
      <c r="Q270" s="250"/>
      <c r="R270" s="88"/>
      <c r="S270" s="88"/>
      <c r="T270" s="88"/>
      <c r="U270" s="89"/>
    </row>
    <row r="271" spans="1:21" ht="15.75" thickBot="1" x14ac:dyDescent="0.3">
      <c r="A271" s="260"/>
      <c r="B271" s="261"/>
      <c r="C271" s="261"/>
      <c r="D271" s="261"/>
      <c r="E271" s="381">
        <f>SUM(E262:E270)</f>
        <v>536.5</v>
      </c>
      <c r="F271" s="382"/>
      <c r="G271" s="383">
        <f>SUM(G262:G270)</f>
        <v>303101.03999999998</v>
      </c>
      <c r="H271" s="261"/>
      <c r="I271" s="384">
        <f>SUM(I262:I270)</f>
        <v>24720235.389999997</v>
      </c>
      <c r="J271" s="261"/>
      <c r="K271" s="385"/>
      <c r="L271" s="259"/>
      <c r="M271" s="260"/>
      <c r="N271" s="261"/>
      <c r="O271" s="261"/>
      <c r="P271" s="262"/>
      <c r="Q271" s="263"/>
      <c r="R271" s="261"/>
      <c r="S271" s="261"/>
      <c r="T271" s="261"/>
      <c r="U271" s="262"/>
    </row>
    <row r="272" spans="1:21" ht="15.75" thickBot="1" x14ac:dyDescent="0.3">
      <c r="A272" s="687" t="s">
        <v>74</v>
      </c>
      <c r="B272" s="688"/>
      <c r="C272" s="688"/>
      <c r="D272" s="689"/>
      <c r="E272" s="390">
        <f>E111+E128+E142+E174+E185+E230+E258+E261+E271</f>
        <v>9784.4499999999989</v>
      </c>
      <c r="F272" s="391"/>
      <c r="G272" s="392">
        <f>G111+G128+G142+G174+G185+G230+G258+G261+G271</f>
        <v>5527822.8720000004</v>
      </c>
      <c r="H272" s="393"/>
      <c r="I272" s="394">
        <f>I111+I128+I142+I174+I185+I230+I258+I261+I271</f>
        <v>450836732.82699996</v>
      </c>
      <c r="J272" s="393"/>
      <c r="K272" s="405"/>
      <c r="L272" s="406"/>
      <c r="M272" s="397"/>
      <c r="N272" s="393"/>
      <c r="O272" s="393"/>
      <c r="P272" s="398"/>
      <c r="Q272" s="399"/>
      <c r="R272" s="393"/>
      <c r="S272" s="393"/>
      <c r="T272" s="393"/>
      <c r="U272" s="398"/>
    </row>
    <row r="273" spans="1:21" ht="15.75" thickBot="1" x14ac:dyDescent="0.3">
      <c r="A273" s="264"/>
      <c r="B273" s="265"/>
      <c r="C273" s="265"/>
      <c r="D273" s="265"/>
      <c r="E273" s="266">
        <f>E99+E272</f>
        <v>14983.949999999997</v>
      </c>
      <c r="F273" s="267"/>
      <c r="G273" s="268">
        <f>G99+G272</f>
        <v>8232134.9279090911</v>
      </c>
      <c r="H273" s="265"/>
      <c r="I273" s="269">
        <f>I99+I272</f>
        <v>690413366.39699996</v>
      </c>
      <c r="J273" s="265"/>
      <c r="K273" s="270"/>
      <c r="L273" s="271"/>
      <c r="M273" s="264"/>
      <c r="N273" s="265"/>
      <c r="O273" s="265"/>
      <c r="P273" s="272"/>
      <c r="Q273" s="273"/>
      <c r="R273" s="265"/>
      <c r="S273" s="265"/>
      <c r="T273" s="265"/>
      <c r="U273" s="272"/>
    </row>
    <row r="275" spans="1:21" ht="15.75" thickBot="1" x14ac:dyDescent="0.3"/>
    <row r="276" spans="1:21" x14ac:dyDescent="0.25">
      <c r="B276" s="664" t="s">
        <v>24</v>
      </c>
      <c r="C276" s="665"/>
      <c r="D276" s="123"/>
      <c r="E276" s="204">
        <v>15000</v>
      </c>
    </row>
    <row r="277" spans="1:21" x14ac:dyDescent="0.25">
      <c r="B277" s="125" t="s">
        <v>25</v>
      </c>
      <c r="C277" s="126"/>
      <c r="D277" s="127"/>
      <c r="E277" s="205">
        <f>E273</f>
        <v>14983.949999999997</v>
      </c>
    </row>
    <row r="278" spans="1:21" ht="15.75" thickBot="1" x14ac:dyDescent="0.3">
      <c r="B278" s="129" t="s">
        <v>26</v>
      </c>
      <c r="C278" s="130"/>
      <c r="D278" s="131"/>
      <c r="E278" s="206">
        <f>E276-E277</f>
        <v>16.05000000000291</v>
      </c>
    </row>
  </sheetData>
  <mergeCells count="7">
    <mergeCell ref="A272:D272"/>
    <mergeCell ref="B276:C276"/>
    <mergeCell ref="A1:K1"/>
    <mergeCell ref="T1:U2"/>
    <mergeCell ref="A2:K2"/>
    <mergeCell ref="M4:P4"/>
    <mergeCell ref="A99:D9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07"/>
  <sheetViews>
    <sheetView topLeftCell="A189" workbookViewId="0">
      <selection sqref="A1:K208"/>
    </sheetView>
  </sheetViews>
  <sheetFormatPr defaultColWidth="9.140625" defaultRowHeight="15" x14ac:dyDescent="0.25"/>
  <cols>
    <col min="1" max="1" width="8.140625" style="226" customWidth="1"/>
    <col min="2" max="2" width="11.28515625" style="226" customWidth="1"/>
    <col min="3" max="4" width="10" style="226" bestFit="1" customWidth="1"/>
    <col min="5" max="5" width="11.42578125" style="226" customWidth="1"/>
    <col min="6" max="6" width="13.140625" style="226" customWidth="1"/>
    <col min="7" max="7" width="15" style="226" customWidth="1"/>
    <col min="8" max="8" width="10.7109375" style="226" bestFit="1" customWidth="1"/>
    <col min="9" max="9" width="18.28515625" style="226" customWidth="1"/>
    <col min="10" max="10" width="14.85546875" style="226" customWidth="1"/>
    <col min="11" max="11" width="17.140625" style="226" customWidth="1"/>
    <col min="12" max="12" width="1.140625" style="226" customWidth="1"/>
    <col min="13" max="16" width="2.42578125" style="226" customWidth="1"/>
    <col min="17" max="22" width="9.140625" style="226"/>
    <col min="23" max="23" width="9.28515625" style="226" bestFit="1" customWidth="1"/>
    <col min="24" max="16384" width="9.140625" style="226"/>
  </cols>
  <sheetData>
    <row r="1" spans="1:23" x14ac:dyDescent="0.25">
      <c r="A1" s="667" t="s">
        <v>11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224"/>
      <c r="M1" s="224"/>
      <c r="N1" s="224"/>
      <c r="O1" s="224"/>
      <c r="P1" s="224"/>
      <c r="T1" s="666" t="s">
        <v>90</v>
      </c>
      <c r="U1" s="666"/>
    </row>
    <row r="2" spans="1:23" x14ac:dyDescent="0.25">
      <c r="A2" s="667" t="s">
        <v>91</v>
      </c>
      <c r="B2" s="668"/>
      <c r="C2" s="668"/>
      <c r="D2" s="668"/>
      <c r="E2" s="668"/>
      <c r="F2" s="668"/>
      <c r="G2" s="668"/>
      <c r="H2" s="668"/>
      <c r="I2" s="668"/>
      <c r="J2" s="668"/>
      <c r="K2" s="668"/>
      <c r="L2" s="225"/>
      <c r="M2" s="225"/>
      <c r="N2" s="225"/>
      <c r="O2" s="225"/>
      <c r="P2" s="225"/>
      <c r="T2" s="666"/>
      <c r="U2" s="666"/>
    </row>
    <row r="3" spans="1:23" ht="15.75" thickBot="1" x14ac:dyDescent="0.3">
      <c r="F3" s="43" t="s">
        <v>92</v>
      </c>
      <c r="H3" s="44"/>
      <c r="I3" s="44"/>
      <c r="L3" s="28"/>
      <c r="M3" s="45"/>
      <c r="N3" s="45"/>
      <c r="O3" s="46"/>
      <c r="P3" s="46"/>
      <c r="W3" s="458">
        <v>43524.160000000003</v>
      </c>
    </row>
    <row r="4" spans="1:23" ht="60.75" thickBot="1" x14ac:dyDescent="0.3">
      <c r="A4" s="47" t="s">
        <v>12</v>
      </c>
      <c r="B4" s="48" t="s">
        <v>1</v>
      </c>
      <c r="C4" s="49" t="s">
        <v>8</v>
      </c>
      <c r="D4" s="48" t="s">
        <v>13</v>
      </c>
      <c r="E4" s="48" t="s">
        <v>14</v>
      </c>
      <c r="F4" s="50" t="s">
        <v>42</v>
      </c>
      <c r="G4" s="50" t="s">
        <v>9</v>
      </c>
      <c r="H4" s="51" t="s">
        <v>15</v>
      </c>
      <c r="I4" s="51" t="s">
        <v>9</v>
      </c>
      <c r="J4" s="48" t="s">
        <v>10</v>
      </c>
      <c r="K4" s="52" t="s">
        <v>16</v>
      </c>
      <c r="L4" s="53"/>
      <c r="M4" s="669" t="s">
        <v>28</v>
      </c>
      <c r="N4" s="670"/>
      <c r="O4" s="670"/>
      <c r="P4" s="671"/>
      <c r="Q4" s="54" t="s">
        <v>17</v>
      </c>
      <c r="R4" s="55" t="s">
        <v>18</v>
      </c>
      <c r="S4" s="55" t="s">
        <v>19</v>
      </c>
      <c r="T4" s="55" t="s">
        <v>20</v>
      </c>
      <c r="U4" s="56" t="s">
        <v>21</v>
      </c>
    </row>
    <row r="5" spans="1:23" ht="16.5" customHeight="1" x14ac:dyDescent="0.25">
      <c r="A5" s="57">
        <v>1</v>
      </c>
      <c r="B5" s="58">
        <v>46050</v>
      </c>
      <c r="C5" s="59">
        <v>8610493</v>
      </c>
      <c r="D5" s="60">
        <v>54093679</v>
      </c>
      <c r="E5" s="61">
        <v>60.65</v>
      </c>
      <c r="F5" s="459">
        <f>'[3]Platt''s 2026'!F34-138.57</f>
        <v>495.79363636363638</v>
      </c>
      <c r="G5" s="29">
        <f>E5*F5</f>
        <v>30069.884045454546</v>
      </c>
      <c r="H5" s="460">
        <v>43524.160000000003</v>
      </c>
      <c r="I5" s="360">
        <f>E5*H5</f>
        <v>2639740.304</v>
      </c>
      <c r="J5" s="361" t="s">
        <v>22</v>
      </c>
      <c r="K5" s="362" t="s">
        <v>38</v>
      </c>
      <c r="L5" s="67"/>
      <c r="M5" s="207"/>
      <c r="N5" s="140"/>
      <c r="O5" s="140"/>
      <c r="P5" s="210"/>
      <c r="Q5" s="377"/>
      <c r="R5" s="140"/>
      <c r="S5" s="140"/>
      <c r="T5" s="140"/>
      <c r="U5" s="210"/>
    </row>
    <row r="6" spans="1:23" ht="16.5" customHeight="1" x14ac:dyDescent="0.25">
      <c r="A6" s="70">
        <f>A5+1</f>
        <v>2</v>
      </c>
      <c r="B6" s="98">
        <v>46050</v>
      </c>
      <c r="C6" s="72">
        <v>8610492</v>
      </c>
      <c r="D6" s="73">
        <v>73006025</v>
      </c>
      <c r="E6" s="74">
        <v>61.25</v>
      </c>
      <c r="F6" s="461">
        <v>495.79</v>
      </c>
      <c r="G6" s="31">
        <f t="shared" ref="G6:G28" si="0">E6*F6</f>
        <v>30367.137500000001</v>
      </c>
      <c r="H6" s="36">
        <v>43524.160000000003</v>
      </c>
      <c r="I6" s="37">
        <f t="shared" ref="I6:I28" si="1">E6*H6</f>
        <v>2665854.8000000003</v>
      </c>
      <c r="J6" s="189" t="s">
        <v>22</v>
      </c>
      <c r="K6" s="356" t="s">
        <v>38</v>
      </c>
      <c r="L6" s="78"/>
      <c r="M6" s="70"/>
      <c r="N6" s="75"/>
      <c r="O6" s="75"/>
      <c r="P6" s="79"/>
      <c r="Q6" s="247"/>
      <c r="R6" s="75"/>
      <c r="S6" s="75"/>
      <c r="T6" s="75"/>
      <c r="U6" s="79"/>
    </row>
    <row r="7" spans="1:23" ht="16.5" customHeight="1" x14ac:dyDescent="0.25">
      <c r="A7" s="70">
        <f t="shared" ref="A7:A28" si="2">A6+1</f>
        <v>3</v>
      </c>
      <c r="B7" s="98">
        <v>46050</v>
      </c>
      <c r="C7" s="72">
        <v>8610493</v>
      </c>
      <c r="D7" s="73">
        <v>73009359</v>
      </c>
      <c r="E7" s="74">
        <v>60.6</v>
      </c>
      <c r="F7" s="461">
        <v>495.79</v>
      </c>
      <c r="G7" s="31">
        <f t="shared" si="0"/>
        <v>30044.874000000003</v>
      </c>
      <c r="H7" s="36">
        <v>43524.160000000003</v>
      </c>
      <c r="I7" s="37">
        <f t="shared" si="1"/>
        <v>2637564.0960000004</v>
      </c>
      <c r="J7" s="189" t="s">
        <v>22</v>
      </c>
      <c r="K7" s="356" t="s">
        <v>38</v>
      </c>
      <c r="L7" s="78"/>
      <c r="M7" s="70"/>
      <c r="N7" s="75"/>
      <c r="O7" s="75"/>
      <c r="P7" s="79"/>
      <c r="Q7" s="247"/>
      <c r="R7" s="75"/>
      <c r="S7" s="75"/>
      <c r="T7" s="75"/>
      <c r="U7" s="79"/>
    </row>
    <row r="8" spans="1:23" ht="16.5" customHeight="1" x14ac:dyDescent="0.25">
      <c r="A8" s="70">
        <f t="shared" si="2"/>
        <v>4</v>
      </c>
      <c r="B8" s="98">
        <v>46050</v>
      </c>
      <c r="C8" s="72">
        <v>8610492</v>
      </c>
      <c r="D8" s="73">
        <v>73045130</v>
      </c>
      <c r="E8" s="74">
        <v>59.75</v>
      </c>
      <c r="F8" s="461">
        <v>495.79</v>
      </c>
      <c r="G8" s="31">
        <f t="shared" si="0"/>
        <v>29623.452499999999</v>
      </c>
      <c r="H8" s="36">
        <v>43524.160000000003</v>
      </c>
      <c r="I8" s="37">
        <f t="shared" si="1"/>
        <v>2600568.56</v>
      </c>
      <c r="J8" s="189" t="s">
        <v>22</v>
      </c>
      <c r="K8" s="356" t="s">
        <v>38</v>
      </c>
      <c r="L8" s="78"/>
      <c r="M8" s="70"/>
      <c r="N8" s="75"/>
      <c r="O8" s="75"/>
      <c r="P8" s="79"/>
      <c r="Q8" s="247"/>
      <c r="R8" s="75"/>
      <c r="S8" s="75"/>
      <c r="T8" s="75"/>
      <c r="U8" s="79"/>
    </row>
    <row r="9" spans="1:23" ht="16.5" customHeight="1" x14ac:dyDescent="0.25">
      <c r="A9" s="70">
        <f t="shared" si="2"/>
        <v>5</v>
      </c>
      <c r="B9" s="98">
        <v>46050</v>
      </c>
      <c r="C9" s="72">
        <v>8610492</v>
      </c>
      <c r="D9" s="73">
        <v>73107013</v>
      </c>
      <c r="E9" s="74">
        <v>63.6</v>
      </c>
      <c r="F9" s="461">
        <v>495.79</v>
      </c>
      <c r="G9" s="31">
        <f t="shared" si="0"/>
        <v>31532.244000000002</v>
      </c>
      <c r="H9" s="36">
        <v>43524.160000000003</v>
      </c>
      <c r="I9" s="37">
        <f t="shared" si="1"/>
        <v>2768136.5760000004</v>
      </c>
      <c r="J9" s="189" t="s">
        <v>22</v>
      </c>
      <c r="K9" s="356" t="s">
        <v>38</v>
      </c>
      <c r="L9" s="78"/>
      <c r="M9" s="70"/>
      <c r="N9" s="75"/>
      <c r="O9" s="75"/>
      <c r="P9" s="79"/>
      <c r="Q9" s="247"/>
      <c r="R9" s="75"/>
      <c r="S9" s="75"/>
      <c r="T9" s="75"/>
      <c r="U9" s="79"/>
    </row>
    <row r="10" spans="1:23" ht="16.5" customHeight="1" x14ac:dyDescent="0.25">
      <c r="A10" s="70">
        <f t="shared" si="2"/>
        <v>6</v>
      </c>
      <c r="B10" s="98">
        <v>46050</v>
      </c>
      <c r="C10" s="72">
        <v>8610493</v>
      </c>
      <c r="D10" s="73">
        <v>73118945</v>
      </c>
      <c r="E10" s="74">
        <v>61.6</v>
      </c>
      <c r="F10" s="461">
        <v>495.79</v>
      </c>
      <c r="G10" s="31">
        <f t="shared" si="0"/>
        <v>30540.664000000001</v>
      </c>
      <c r="H10" s="36">
        <v>43524.160000000003</v>
      </c>
      <c r="I10" s="37">
        <f t="shared" si="1"/>
        <v>2681088.2560000001</v>
      </c>
      <c r="J10" s="189" t="s">
        <v>22</v>
      </c>
      <c r="K10" s="356" t="s">
        <v>38</v>
      </c>
      <c r="L10" s="78"/>
      <c r="M10" s="70"/>
      <c r="N10" s="75"/>
      <c r="O10" s="75"/>
      <c r="P10" s="79"/>
      <c r="Q10" s="247"/>
      <c r="R10" s="75"/>
      <c r="S10" s="75"/>
      <c r="T10" s="75"/>
      <c r="U10" s="79"/>
    </row>
    <row r="11" spans="1:23" ht="16.5" customHeight="1" x14ac:dyDescent="0.25">
      <c r="A11" s="70">
        <f t="shared" si="2"/>
        <v>7</v>
      </c>
      <c r="B11" s="98">
        <v>46050</v>
      </c>
      <c r="C11" s="72">
        <v>8610492</v>
      </c>
      <c r="D11" s="73">
        <v>73126948</v>
      </c>
      <c r="E11" s="74">
        <v>60.65</v>
      </c>
      <c r="F11" s="461">
        <v>495.79</v>
      </c>
      <c r="G11" s="31">
        <f t="shared" si="0"/>
        <v>30069.663499999999</v>
      </c>
      <c r="H11" s="36">
        <v>43524.160000000003</v>
      </c>
      <c r="I11" s="37">
        <f t="shared" si="1"/>
        <v>2639740.304</v>
      </c>
      <c r="J11" s="189" t="s">
        <v>22</v>
      </c>
      <c r="K11" s="356" t="s">
        <v>38</v>
      </c>
      <c r="L11" s="78"/>
      <c r="M11" s="70"/>
      <c r="N11" s="75"/>
      <c r="O11" s="75"/>
      <c r="P11" s="79"/>
      <c r="Q11" s="247"/>
      <c r="R11" s="75"/>
      <c r="S11" s="75"/>
      <c r="T11" s="75"/>
      <c r="U11" s="79"/>
    </row>
    <row r="12" spans="1:23" ht="16.5" customHeight="1" x14ac:dyDescent="0.25">
      <c r="A12" s="70">
        <f t="shared" si="2"/>
        <v>8</v>
      </c>
      <c r="B12" s="98">
        <v>46050</v>
      </c>
      <c r="C12" s="72">
        <v>8610492</v>
      </c>
      <c r="D12" s="73">
        <v>73131419</v>
      </c>
      <c r="E12" s="74">
        <v>61.15</v>
      </c>
      <c r="F12" s="461">
        <v>495.79</v>
      </c>
      <c r="G12" s="31">
        <f t="shared" si="0"/>
        <v>30317.558499999999</v>
      </c>
      <c r="H12" s="36">
        <v>43524.160000000003</v>
      </c>
      <c r="I12" s="37">
        <f t="shared" si="1"/>
        <v>2661502.3840000001</v>
      </c>
      <c r="J12" s="189" t="s">
        <v>22</v>
      </c>
      <c r="K12" s="356" t="s">
        <v>38</v>
      </c>
      <c r="L12" s="78"/>
      <c r="M12" s="70"/>
      <c r="N12" s="75"/>
      <c r="O12" s="75"/>
      <c r="P12" s="79"/>
      <c r="Q12" s="247"/>
      <c r="R12" s="75"/>
      <c r="S12" s="75"/>
      <c r="T12" s="75"/>
      <c r="U12" s="79"/>
    </row>
    <row r="13" spans="1:23" ht="16.5" customHeight="1" x14ac:dyDescent="0.25">
      <c r="A13" s="70">
        <f t="shared" si="2"/>
        <v>9</v>
      </c>
      <c r="B13" s="98">
        <v>46050</v>
      </c>
      <c r="C13" s="72">
        <v>8610492</v>
      </c>
      <c r="D13" s="73">
        <v>73158156</v>
      </c>
      <c r="E13" s="74">
        <v>61.05</v>
      </c>
      <c r="F13" s="461">
        <v>495.79</v>
      </c>
      <c r="G13" s="31">
        <f t="shared" si="0"/>
        <v>30267.979500000001</v>
      </c>
      <c r="H13" s="36">
        <v>43524.160000000003</v>
      </c>
      <c r="I13" s="37">
        <f t="shared" si="1"/>
        <v>2657149.9679999999</v>
      </c>
      <c r="J13" s="189" t="s">
        <v>22</v>
      </c>
      <c r="K13" s="356" t="s">
        <v>38</v>
      </c>
      <c r="L13" s="78"/>
      <c r="M13" s="70"/>
      <c r="N13" s="75"/>
      <c r="O13" s="75"/>
      <c r="P13" s="79"/>
      <c r="Q13" s="247"/>
      <c r="R13" s="75"/>
      <c r="S13" s="75"/>
      <c r="T13" s="75"/>
      <c r="U13" s="79"/>
    </row>
    <row r="14" spans="1:23" ht="16.5" customHeight="1" x14ac:dyDescent="0.25">
      <c r="A14" s="70">
        <f t="shared" si="2"/>
        <v>10</v>
      </c>
      <c r="B14" s="98">
        <v>46050</v>
      </c>
      <c r="C14" s="72">
        <v>8610492</v>
      </c>
      <c r="D14" s="73">
        <v>73161713</v>
      </c>
      <c r="E14" s="74">
        <v>60.55</v>
      </c>
      <c r="F14" s="461">
        <v>495.79</v>
      </c>
      <c r="G14" s="31">
        <f t="shared" si="0"/>
        <v>30020.084500000001</v>
      </c>
      <c r="H14" s="36">
        <v>43524.160000000003</v>
      </c>
      <c r="I14" s="37">
        <f t="shared" si="1"/>
        <v>2635387.8880000003</v>
      </c>
      <c r="J14" s="189" t="s">
        <v>22</v>
      </c>
      <c r="K14" s="356" t="s">
        <v>38</v>
      </c>
      <c r="L14" s="78"/>
      <c r="M14" s="70"/>
      <c r="N14" s="75"/>
      <c r="O14" s="75"/>
      <c r="P14" s="79"/>
      <c r="Q14" s="247"/>
      <c r="R14" s="75"/>
      <c r="S14" s="75"/>
      <c r="T14" s="75"/>
      <c r="U14" s="79"/>
    </row>
    <row r="15" spans="1:23" ht="16.5" customHeight="1" x14ac:dyDescent="0.25">
      <c r="A15" s="70">
        <f t="shared" si="2"/>
        <v>11</v>
      </c>
      <c r="B15" s="98">
        <v>46050</v>
      </c>
      <c r="C15" s="72">
        <v>8610492</v>
      </c>
      <c r="D15" s="73">
        <v>73182727</v>
      </c>
      <c r="E15" s="74">
        <v>61.15</v>
      </c>
      <c r="F15" s="461">
        <v>495.79</v>
      </c>
      <c r="G15" s="31">
        <f t="shared" si="0"/>
        <v>30317.558499999999</v>
      </c>
      <c r="H15" s="36">
        <v>43524.160000000003</v>
      </c>
      <c r="I15" s="37">
        <f t="shared" si="1"/>
        <v>2661502.3840000001</v>
      </c>
      <c r="J15" s="189" t="s">
        <v>22</v>
      </c>
      <c r="K15" s="356" t="s">
        <v>38</v>
      </c>
      <c r="L15" s="78"/>
      <c r="M15" s="70"/>
      <c r="N15" s="75"/>
      <c r="O15" s="75"/>
      <c r="P15" s="79"/>
      <c r="Q15" s="247"/>
      <c r="R15" s="75"/>
      <c r="S15" s="75"/>
      <c r="T15" s="75"/>
      <c r="U15" s="79"/>
    </row>
    <row r="16" spans="1:23" ht="16.5" customHeight="1" x14ac:dyDescent="0.25">
      <c r="A16" s="70">
        <f t="shared" si="2"/>
        <v>12</v>
      </c>
      <c r="B16" s="98">
        <v>46050</v>
      </c>
      <c r="C16" s="72">
        <v>8610493</v>
      </c>
      <c r="D16" s="73">
        <v>73230583</v>
      </c>
      <c r="E16" s="74">
        <v>60.1</v>
      </c>
      <c r="F16" s="461">
        <v>495.79</v>
      </c>
      <c r="G16" s="31">
        <f t="shared" si="0"/>
        <v>29796.979000000003</v>
      </c>
      <c r="H16" s="36">
        <v>43524.160000000003</v>
      </c>
      <c r="I16" s="37">
        <f t="shared" si="1"/>
        <v>2615802.0160000003</v>
      </c>
      <c r="J16" s="189" t="s">
        <v>22</v>
      </c>
      <c r="K16" s="356" t="s">
        <v>38</v>
      </c>
      <c r="L16" s="78"/>
      <c r="M16" s="70"/>
      <c r="N16" s="75"/>
      <c r="O16" s="75"/>
      <c r="P16" s="79"/>
      <c r="Q16" s="247"/>
      <c r="R16" s="75"/>
      <c r="S16" s="75"/>
      <c r="T16" s="75"/>
      <c r="U16" s="79"/>
    </row>
    <row r="17" spans="1:21" ht="30" x14ac:dyDescent="0.25">
      <c r="A17" s="70">
        <f t="shared" si="2"/>
        <v>13</v>
      </c>
      <c r="B17" s="98">
        <v>46050</v>
      </c>
      <c r="C17" s="72">
        <v>8610492</v>
      </c>
      <c r="D17" s="73">
        <v>73230773</v>
      </c>
      <c r="E17" s="74">
        <v>59.15</v>
      </c>
      <c r="F17" s="461">
        <v>495.79</v>
      </c>
      <c r="G17" s="31">
        <f t="shared" si="0"/>
        <v>29325.978500000001</v>
      </c>
      <c r="H17" s="36">
        <v>43524.160000000003</v>
      </c>
      <c r="I17" s="37">
        <f t="shared" si="1"/>
        <v>2574454.0640000002</v>
      </c>
      <c r="J17" s="189" t="s">
        <v>22</v>
      </c>
      <c r="K17" s="356" t="s">
        <v>38</v>
      </c>
      <c r="L17" s="78"/>
      <c r="M17" s="70"/>
      <c r="N17" s="75"/>
      <c r="O17" s="75"/>
      <c r="P17" s="79"/>
      <c r="Q17" s="247"/>
      <c r="R17" s="75"/>
      <c r="S17" s="75"/>
      <c r="T17" s="75"/>
      <c r="U17" s="79"/>
    </row>
    <row r="18" spans="1:21" ht="30" x14ac:dyDescent="0.25">
      <c r="A18" s="70">
        <f t="shared" si="2"/>
        <v>14</v>
      </c>
      <c r="B18" s="98">
        <v>46050</v>
      </c>
      <c r="C18" s="72">
        <v>8610492</v>
      </c>
      <c r="D18" s="73">
        <v>73232472</v>
      </c>
      <c r="E18" s="74">
        <v>63.1</v>
      </c>
      <c r="F18" s="461">
        <v>495.79</v>
      </c>
      <c r="G18" s="31">
        <f t="shared" si="0"/>
        <v>31284.349000000002</v>
      </c>
      <c r="H18" s="36">
        <v>43524.160000000003</v>
      </c>
      <c r="I18" s="37">
        <f t="shared" si="1"/>
        <v>2746374.4960000003</v>
      </c>
      <c r="J18" s="189" t="s">
        <v>22</v>
      </c>
      <c r="K18" s="356" t="s">
        <v>38</v>
      </c>
      <c r="L18" s="78"/>
      <c r="M18" s="70"/>
      <c r="N18" s="75"/>
      <c r="O18" s="75"/>
      <c r="P18" s="79"/>
      <c r="Q18" s="247"/>
      <c r="R18" s="75"/>
      <c r="S18" s="75"/>
      <c r="T18" s="75"/>
      <c r="U18" s="79"/>
    </row>
    <row r="19" spans="1:21" ht="30" x14ac:dyDescent="0.25">
      <c r="A19" s="70">
        <f t="shared" si="2"/>
        <v>15</v>
      </c>
      <c r="B19" s="98">
        <v>46050</v>
      </c>
      <c r="C19" s="72">
        <v>8610492</v>
      </c>
      <c r="D19" s="73">
        <v>73232530</v>
      </c>
      <c r="E19" s="74">
        <v>63.75</v>
      </c>
      <c r="F19" s="461">
        <v>495.79</v>
      </c>
      <c r="G19" s="31">
        <f t="shared" si="0"/>
        <v>31606.612500000003</v>
      </c>
      <c r="H19" s="36">
        <v>43524.160000000003</v>
      </c>
      <c r="I19" s="37">
        <f t="shared" si="1"/>
        <v>2774665.2</v>
      </c>
      <c r="J19" s="189" t="s">
        <v>22</v>
      </c>
      <c r="K19" s="356" t="s">
        <v>38</v>
      </c>
      <c r="L19" s="78"/>
      <c r="M19" s="70"/>
      <c r="N19" s="75"/>
      <c r="O19" s="75"/>
      <c r="P19" s="79"/>
      <c r="Q19" s="247"/>
      <c r="R19" s="75"/>
      <c r="S19" s="75"/>
      <c r="T19" s="75"/>
      <c r="U19" s="79"/>
    </row>
    <row r="20" spans="1:21" ht="30" x14ac:dyDescent="0.25">
      <c r="A20" s="70">
        <f t="shared" si="2"/>
        <v>16</v>
      </c>
      <c r="B20" s="98">
        <v>46050</v>
      </c>
      <c r="C20" s="72">
        <v>8610493</v>
      </c>
      <c r="D20" s="73">
        <v>73232621</v>
      </c>
      <c r="E20" s="74">
        <v>59.85</v>
      </c>
      <c r="F20" s="461">
        <v>495.79</v>
      </c>
      <c r="G20" s="31">
        <f t="shared" si="0"/>
        <v>29673.031500000001</v>
      </c>
      <c r="H20" s="36">
        <v>43524.160000000003</v>
      </c>
      <c r="I20" s="37">
        <f t="shared" si="1"/>
        <v>2604920.9760000003</v>
      </c>
      <c r="J20" s="189" t="s">
        <v>22</v>
      </c>
      <c r="K20" s="356" t="s">
        <v>38</v>
      </c>
      <c r="L20" s="78"/>
      <c r="M20" s="70"/>
      <c r="N20" s="75"/>
      <c r="O20" s="75"/>
      <c r="P20" s="79"/>
      <c r="Q20" s="247"/>
      <c r="R20" s="75"/>
      <c r="S20" s="75"/>
      <c r="T20" s="75"/>
      <c r="U20" s="79"/>
    </row>
    <row r="21" spans="1:21" ht="30" x14ac:dyDescent="0.25">
      <c r="A21" s="70">
        <f t="shared" si="2"/>
        <v>17</v>
      </c>
      <c r="B21" s="98">
        <v>46050</v>
      </c>
      <c r="C21" s="72">
        <v>8610493</v>
      </c>
      <c r="D21" s="73">
        <v>73232688</v>
      </c>
      <c r="E21" s="74">
        <v>59.3</v>
      </c>
      <c r="F21" s="461">
        <v>495.79</v>
      </c>
      <c r="G21" s="31">
        <f t="shared" si="0"/>
        <v>29400.347000000002</v>
      </c>
      <c r="H21" s="36">
        <v>43524.160000000003</v>
      </c>
      <c r="I21" s="37">
        <f t="shared" si="1"/>
        <v>2580982.6880000001</v>
      </c>
      <c r="J21" s="189" t="s">
        <v>22</v>
      </c>
      <c r="K21" s="356" t="s">
        <v>38</v>
      </c>
      <c r="L21" s="78"/>
      <c r="M21" s="70"/>
      <c r="N21" s="75"/>
      <c r="O21" s="75"/>
      <c r="P21" s="79"/>
      <c r="Q21" s="247"/>
      <c r="R21" s="75"/>
      <c r="S21" s="75"/>
      <c r="T21" s="75"/>
      <c r="U21" s="79"/>
    </row>
    <row r="22" spans="1:21" ht="30" x14ac:dyDescent="0.25">
      <c r="A22" s="70">
        <f t="shared" si="2"/>
        <v>18</v>
      </c>
      <c r="B22" s="98">
        <v>46050</v>
      </c>
      <c r="C22" s="72">
        <v>8610493</v>
      </c>
      <c r="D22" s="73">
        <v>73232704</v>
      </c>
      <c r="E22" s="74">
        <v>61</v>
      </c>
      <c r="F22" s="461">
        <v>495.79</v>
      </c>
      <c r="G22" s="31">
        <f t="shared" si="0"/>
        <v>30243.190000000002</v>
      </c>
      <c r="H22" s="36">
        <v>43524.160000000003</v>
      </c>
      <c r="I22" s="37">
        <f t="shared" si="1"/>
        <v>2654973.7600000002</v>
      </c>
      <c r="J22" s="189" t="s">
        <v>22</v>
      </c>
      <c r="K22" s="356" t="s">
        <v>38</v>
      </c>
      <c r="L22" s="78"/>
      <c r="M22" s="70"/>
      <c r="N22" s="75"/>
      <c r="O22" s="75"/>
      <c r="P22" s="79"/>
      <c r="Q22" s="247"/>
      <c r="R22" s="75"/>
      <c r="S22" s="75"/>
      <c r="T22" s="75"/>
      <c r="U22" s="79"/>
    </row>
    <row r="23" spans="1:21" ht="30" x14ac:dyDescent="0.25">
      <c r="A23" s="70">
        <f t="shared" si="2"/>
        <v>19</v>
      </c>
      <c r="B23" s="98">
        <v>46050</v>
      </c>
      <c r="C23" s="72">
        <v>8610493</v>
      </c>
      <c r="D23" s="73">
        <v>73235251</v>
      </c>
      <c r="E23" s="74">
        <v>60</v>
      </c>
      <c r="F23" s="461">
        <v>495.79</v>
      </c>
      <c r="G23" s="31">
        <f t="shared" si="0"/>
        <v>29747.4</v>
      </c>
      <c r="H23" s="36">
        <v>43524.160000000003</v>
      </c>
      <c r="I23" s="37">
        <f t="shared" si="1"/>
        <v>2611449.6</v>
      </c>
      <c r="J23" s="189" t="s">
        <v>22</v>
      </c>
      <c r="K23" s="356" t="s">
        <v>38</v>
      </c>
      <c r="L23" s="78"/>
      <c r="M23" s="70"/>
      <c r="N23" s="75"/>
      <c r="O23" s="75"/>
      <c r="P23" s="79"/>
      <c r="Q23" s="247"/>
      <c r="R23" s="75"/>
      <c r="S23" s="75"/>
      <c r="T23" s="75"/>
      <c r="U23" s="79"/>
    </row>
    <row r="24" spans="1:21" ht="30" x14ac:dyDescent="0.25">
      <c r="A24" s="70">
        <f t="shared" si="2"/>
        <v>20</v>
      </c>
      <c r="B24" s="98">
        <v>46050</v>
      </c>
      <c r="C24" s="72">
        <v>8610493</v>
      </c>
      <c r="D24" s="73">
        <v>73235269</v>
      </c>
      <c r="E24" s="74">
        <v>60.45</v>
      </c>
      <c r="F24" s="461">
        <v>495.79</v>
      </c>
      <c r="G24" s="31">
        <f t="shared" si="0"/>
        <v>29970.505500000003</v>
      </c>
      <c r="H24" s="36">
        <v>43524.160000000003</v>
      </c>
      <c r="I24" s="37">
        <f t="shared" si="1"/>
        <v>2631035.4720000005</v>
      </c>
      <c r="J24" s="189" t="s">
        <v>22</v>
      </c>
      <c r="K24" s="356" t="s">
        <v>38</v>
      </c>
      <c r="L24" s="78"/>
      <c r="M24" s="70"/>
      <c r="N24" s="75"/>
      <c r="O24" s="75"/>
      <c r="P24" s="79"/>
      <c r="Q24" s="247"/>
      <c r="R24" s="75"/>
      <c r="S24" s="75"/>
      <c r="T24" s="75"/>
      <c r="U24" s="79"/>
    </row>
    <row r="25" spans="1:21" ht="30" x14ac:dyDescent="0.25">
      <c r="A25" s="70">
        <f t="shared" si="2"/>
        <v>21</v>
      </c>
      <c r="B25" s="98">
        <v>46050</v>
      </c>
      <c r="C25" s="72">
        <v>8610493</v>
      </c>
      <c r="D25" s="73">
        <v>73235533</v>
      </c>
      <c r="E25" s="74">
        <v>60.4</v>
      </c>
      <c r="F25" s="461">
        <v>495.79</v>
      </c>
      <c r="G25" s="31">
        <f t="shared" si="0"/>
        <v>29945.716</v>
      </c>
      <c r="H25" s="36">
        <v>43524.160000000003</v>
      </c>
      <c r="I25" s="37">
        <f t="shared" si="1"/>
        <v>2628859.264</v>
      </c>
      <c r="J25" s="189" t="s">
        <v>22</v>
      </c>
      <c r="K25" s="356" t="s">
        <v>38</v>
      </c>
      <c r="L25" s="78"/>
      <c r="M25" s="70"/>
      <c r="N25" s="75"/>
      <c r="O25" s="75"/>
      <c r="P25" s="79"/>
      <c r="Q25" s="247"/>
      <c r="R25" s="75"/>
      <c r="S25" s="75"/>
      <c r="T25" s="75"/>
      <c r="U25" s="79"/>
    </row>
    <row r="26" spans="1:21" ht="30" x14ac:dyDescent="0.25">
      <c r="A26" s="70">
        <f t="shared" si="2"/>
        <v>22</v>
      </c>
      <c r="B26" s="98">
        <v>46050</v>
      </c>
      <c r="C26" s="72">
        <v>8610493</v>
      </c>
      <c r="D26" s="73">
        <v>75613299</v>
      </c>
      <c r="E26" s="74">
        <v>60.85</v>
      </c>
      <c r="F26" s="461">
        <v>495.79</v>
      </c>
      <c r="G26" s="31">
        <f t="shared" si="0"/>
        <v>30168.821500000002</v>
      </c>
      <c r="H26" s="36">
        <v>43524.160000000003</v>
      </c>
      <c r="I26" s="37">
        <f t="shared" si="1"/>
        <v>2648445.1360000004</v>
      </c>
      <c r="J26" s="189" t="s">
        <v>22</v>
      </c>
      <c r="K26" s="356" t="s">
        <v>38</v>
      </c>
      <c r="L26" s="78"/>
      <c r="M26" s="70"/>
      <c r="N26" s="75"/>
      <c r="O26" s="75"/>
      <c r="P26" s="79"/>
      <c r="Q26" s="247"/>
      <c r="R26" s="75"/>
      <c r="S26" s="75"/>
      <c r="T26" s="75"/>
      <c r="U26" s="79"/>
    </row>
    <row r="27" spans="1:21" ht="30" x14ac:dyDescent="0.25">
      <c r="A27" s="70">
        <f t="shared" si="2"/>
        <v>23</v>
      </c>
      <c r="B27" s="98">
        <v>46050</v>
      </c>
      <c r="C27" s="72">
        <v>8610493</v>
      </c>
      <c r="D27" s="73">
        <v>75613398</v>
      </c>
      <c r="E27" s="74">
        <v>62.6</v>
      </c>
      <c r="F27" s="461">
        <v>495.79</v>
      </c>
      <c r="G27" s="31">
        <f t="shared" si="0"/>
        <v>31036.454000000002</v>
      </c>
      <c r="H27" s="36">
        <v>43524.160000000003</v>
      </c>
      <c r="I27" s="37">
        <f t="shared" si="1"/>
        <v>2724612.4160000002</v>
      </c>
      <c r="J27" s="189" t="s">
        <v>22</v>
      </c>
      <c r="K27" s="356" t="s">
        <v>38</v>
      </c>
      <c r="L27" s="78"/>
      <c r="M27" s="70"/>
      <c r="N27" s="75"/>
      <c r="O27" s="75"/>
      <c r="P27" s="79"/>
      <c r="Q27" s="247"/>
      <c r="R27" s="75"/>
      <c r="S27" s="75"/>
      <c r="T27" s="75"/>
      <c r="U27" s="79"/>
    </row>
    <row r="28" spans="1:21" ht="30.75" thickBot="1" x14ac:dyDescent="0.3">
      <c r="A28" s="80">
        <f t="shared" si="2"/>
        <v>24</v>
      </c>
      <c r="B28" s="99">
        <v>46050</v>
      </c>
      <c r="C28" s="82">
        <v>8610493</v>
      </c>
      <c r="D28" s="83">
        <v>76163393</v>
      </c>
      <c r="E28" s="84">
        <v>62.35</v>
      </c>
      <c r="F28" s="461">
        <v>495.79</v>
      </c>
      <c r="G28" s="217">
        <f t="shared" si="0"/>
        <v>30912.506500000003</v>
      </c>
      <c r="H28" s="41">
        <v>43524.160000000003</v>
      </c>
      <c r="I28" s="42">
        <f t="shared" si="1"/>
        <v>2713731.3760000002</v>
      </c>
      <c r="J28" s="367" t="s">
        <v>22</v>
      </c>
      <c r="K28" s="368" t="s">
        <v>38</v>
      </c>
      <c r="L28" s="249"/>
      <c r="M28" s="80"/>
      <c r="N28" s="88"/>
      <c r="O28" s="88"/>
      <c r="P28" s="89"/>
      <c r="Q28" s="250"/>
      <c r="R28" s="88"/>
      <c r="S28" s="88"/>
      <c r="T28" s="88"/>
      <c r="U28" s="89"/>
    </row>
    <row r="29" spans="1:21" ht="15.75" thickBot="1" x14ac:dyDescent="0.3">
      <c r="A29" s="462"/>
      <c r="B29" s="463"/>
      <c r="C29" s="463"/>
      <c r="D29" s="463"/>
      <c r="E29" s="464">
        <f>SUM(E5:E28)</f>
        <v>1464.8999999999999</v>
      </c>
      <c r="F29" s="463"/>
      <c r="G29" s="465">
        <f>SUM(G5:G28)</f>
        <v>726282.9915454546</v>
      </c>
      <c r="H29" s="466"/>
      <c r="I29" s="467">
        <f>SUM(I5:I28)</f>
        <v>63758541.984000012</v>
      </c>
      <c r="J29" s="463"/>
      <c r="K29" s="468"/>
      <c r="L29" s="469"/>
      <c r="M29" s="462"/>
      <c r="N29" s="463"/>
      <c r="O29" s="463"/>
      <c r="P29" s="468"/>
      <c r="Q29" s="470"/>
      <c r="R29" s="463"/>
      <c r="S29" s="463"/>
      <c r="T29" s="463"/>
      <c r="U29" s="468"/>
    </row>
    <row r="30" spans="1:21" ht="30" x14ac:dyDescent="0.25">
      <c r="A30" s="57">
        <v>25</v>
      </c>
      <c r="B30" s="58">
        <v>46050</v>
      </c>
      <c r="C30" s="59">
        <v>8610498</v>
      </c>
      <c r="D30" s="60">
        <v>50416544</v>
      </c>
      <c r="E30" s="61">
        <v>57.5</v>
      </c>
      <c r="F30" s="62">
        <v>495.79</v>
      </c>
      <c r="G30" s="29">
        <f t="shared" ref="G30:G40" si="3">E30*F30</f>
        <v>28507.925000000003</v>
      </c>
      <c r="H30" s="460">
        <v>43524.160000000003</v>
      </c>
      <c r="I30" s="360">
        <f t="shared" ref="I30:I40" si="4">E30*H30</f>
        <v>2502639.2000000002</v>
      </c>
      <c r="J30" s="361" t="s">
        <v>22</v>
      </c>
      <c r="K30" s="362" t="s">
        <v>38</v>
      </c>
      <c r="L30" s="363"/>
      <c r="M30" s="57"/>
      <c r="N30" s="68"/>
      <c r="O30" s="68"/>
      <c r="P30" s="69"/>
      <c r="Q30" s="245"/>
      <c r="R30" s="68"/>
      <c r="S30" s="68"/>
      <c r="T30" s="68"/>
      <c r="U30" s="69"/>
    </row>
    <row r="31" spans="1:21" ht="30" x14ac:dyDescent="0.25">
      <c r="A31" s="70">
        <f>A30+1</f>
        <v>26</v>
      </c>
      <c r="B31" s="98">
        <v>46050</v>
      </c>
      <c r="C31" s="72">
        <v>8610498</v>
      </c>
      <c r="D31" s="73">
        <v>50485804</v>
      </c>
      <c r="E31" s="74">
        <v>57.35</v>
      </c>
      <c r="F31" s="461">
        <v>495.79</v>
      </c>
      <c r="G31" s="31">
        <f t="shared" si="3"/>
        <v>28433.556500000002</v>
      </c>
      <c r="H31" s="36">
        <v>43524.160000000003</v>
      </c>
      <c r="I31" s="37">
        <f t="shared" si="4"/>
        <v>2496110.5760000004</v>
      </c>
      <c r="J31" s="189" t="s">
        <v>22</v>
      </c>
      <c r="K31" s="356" t="s">
        <v>38</v>
      </c>
      <c r="L31" s="146"/>
      <c r="M31" s="70"/>
      <c r="N31" s="75"/>
      <c r="O31" s="75"/>
      <c r="P31" s="79"/>
      <c r="Q31" s="247"/>
      <c r="R31" s="75"/>
      <c r="S31" s="75"/>
      <c r="T31" s="75"/>
      <c r="U31" s="79"/>
    </row>
    <row r="32" spans="1:21" ht="30" x14ac:dyDescent="0.25">
      <c r="A32" s="70">
        <f t="shared" ref="A32:A39" si="5">A31+1</f>
        <v>27</v>
      </c>
      <c r="B32" s="98">
        <v>46050</v>
      </c>
      <c r="C32" s="72">
        <v>8610498</v>
      </c>
      <c r="D32" s="73">
        <v>51308252</v>
      </c>
      <c r="E32" s="74">
        <v>56.15</v>
      </c>
      <c r="F32" s="461">
        <v>495.79</v>
      </c>
      <c r="G32" s="31">
        <f t="shared" si="3"/>
        <v>27838.608500000002</v>
      </c>
      <c r="H32" s="36">
        <v>43524.160000000003</v>
      </c>
      <c r="I32" s="37">
        <f t="shared" si="4"/>
        <v>2443881.5840000003</v>
      </c>
      <c r="J32" s="189" t="s">
        <v>22</v>
      </c>
      <c r="K32" s="356" t="s">
        <v>38</v>
      </c>
      <c r="L32" s="146"/>
      <c r="M32" s="70"/>
      <c r="N32" s="75"/>
      <c r="O32" s="75"/>
      <c r="P32" s="79"/>
      <c r="Q32" s="247"/>
      <c r="R32" s="75"/>
      <c r="S32" s="75"/>
      <c r="T32" s="75"/>
      <c r="U32" s="79"/>
    </row>
    <row r="33" spans="1:21" ht="30" x14ac:dyDescent="0.25">
      <c r="A33" s="70">
        <f t="shared" si="5"/>
        <v>28</v>
      </c>
      <c r="B33" s="98">
        <v>46050</v>
      </c>
      <c r="C33" s="72">
        <v>8610498</v>
      </c>
      <c r="D33" s="73">
        <v>57446692</v>
      </c>
      <c r="E33" s="74">
        <v>58.65</v>
      </c>
      <c r="F33" s="461">
        <v>495.79</v>
      </c>
      <c r="G33" s="31">
        <f t="shared" si="3"/>
        <v>29078.083500000001</v>
      </c>
      <c r="H33" s="36">
        <v>43524.160000000003</v>
      </c>
      <c r="I33" s="37">
        <f t="shared" si="4"/>
        <v>2552691.9840000002</v>
      </c>
      <c r="J33" s="189" t="s">
        <v>22</v>
      </c>
      <c r="K33" s="356" t="s">
        <v>38</v>
      </c>
      <c r="L33" s="146"/>
      <c r="M33" s="70"/>
      <c r="N33" s="75"/>
      <c r="O33" s="75"/>
      <c r="P33" s="79"/>
      <c r="Q33" s="247"/>
      <c r="R33" s="75"/>
      <c r="S33" s="75"/>
      <c r="T33" s="75"/>
      <c r="U33" s="79"/>
    </row>
    <row r="34" spans="1:21" ht="30" x14ac:dyDescent="0.25">
      <c r="A34" s="70">
        <f t="shared" si="5"/>
        <v>29</v>
      </c>
      <c r="B34" s="98">
        <v>46050</v>
      </c>
      <c r="C34" s="72">
        <v>8610498</v>
      </c>
      <c r="D34" s="73">
        <v>73120339</v>
      </c>
      <c r="E34" s="74">
        <v>60.4</v>
      </c>
      <c r="F34" s="461">
        <v>495.79</v>
      </c>
      <c r="G34" s="31">
        <f t="shared" si="3"/>
        <v>29945.716</v>
      </c>
      <c r="H34" s="36">
        <v>43524.160000000003</v>
      </c>
      <c r="I34" s="37">
        <f t="shared" si="4"/>
        <v>2628859.264</v>
      </c>
      <c r="J34" s="189" t="s">
        <v>22</v>
      </c>
      <c r="K34" s="356" t="s">
        <v>38</v>
      </c>
      <c r="L34" s="146"/>
      <c r="M34" s="70"/>
      <c r="N34" s="75"/>
      <c r="O34" s="75"/>
      <c r="P34" s="79"/>
      <c r="Q34" s="247"/>
      <c r="R34" s="75"/>
      <c r="S34" s="75"/>
      <c r="T34" s="75"/>
      <c r="U34" s="79"/>
    </row>
    <row r="35" spans="1:21" ht="30" x14ac:dyDescent="0.25">
      <c r="A35" s="70">
        <f t="shared" si="5"/>
        <v>30</v>
      </c>
      <c r="B35" s="98">
        <v>46050</v>
      </c>
      <c r="C35" s="72">
        <v>8610498</v>
      </c>
      <c r="D35" s="73">
        <v>73137333</v>
      </c>
      <c r="E35" s="74">
        <v>58.65</v>
      </c>
      <c r="F35" s="461">
        <v>495.79</v>
      </c>
      <c r="G35" s="31">
        <f t="shared" si="3"/>
        <v>29078.083500000001</v>
      </c>
      <c r="H35" s="36">
        <v>43524.160000000003</v>
      </c>
      <c r="I35" s="37">
        <f t="shared" si="4"/>
        <v>2552691.9840000002</v>
      </c>
      <c r="J35" s="189" t="s">
        <v>22</v>
      </c>
      <c r="K35" s="356" t="s">
        <v>38</v>
      </c>
      <c r="L35" s="146"/>
      <c r="M35" s="70"/>
      <c r="N35" s="75"/>
      <c r="O35" s="75"/>
      <c r="P35" s="79"/>
      <c r="Q35" s="247"/>
      <c r="R35" s="75"/>
      <c r="S35" s="75"/>
      <c r="T35" s="75"/>
      <c r="U35" s="79"/>
    </row>
    <row r="36" spans="1:21" ht="30" x14ac:dyDescent="0.25">
      <c r="A36" s="70">
        <f t="shared" si="5"/>
        <v>31</v>
      </c>
      <c r="B36" s="98">
        <v>46050</v>
      </c>
      <c r="C36" s="72">
        <v>8610498</v>
      </c>
      <c r="D36" s="73">
        <v>73166217</v>
      </c>
      <c r="E36" s="74">
        <v>59.75</v>
      </c>
      <c r="F36" s="461">
        <v>495.79</v>
      </c>
      <c r="G36" s="31">
        <f t="shared" si="3"/>
        <v>29623.452499999999</v>
      </c>
      <c r="H36" s="36">
        <v>43524.160000000003</v>
      </c>
      <c r="I36" s="37">
        <f t="shared" si="4"/>
        <v>2600568.56</v>
      </c>
      <c r="J36" s="189" t="s">
        <v>22</v>
      </c>
      <c r="K36" s="356" t="s">
        <v>38</v>
      </c>
      <c r="L36" s="146"/>
      <c r="M36" s="70"/>
      <c r="N36" s="75"/>
      <c r="O36" s="75"/>
      <c r="P36" s="79"/>
      <c r="Q36" s="247"/>
      <c r="R36" s="75"/>
      <c r="S36" s="75"/>
      <c r="T36" s="75"/>
      <c r="U36" s="79"/>
    </row>
    <row r="37" spans="1:21" ht="30" x14ac:dyDescent="0.25">
      <c r="A37" s="70">
        <f t="shared" si="5"/>
        <v>32</v>
      </c>
      <c r="B37" s="98">
        <v>46050</v>
      </c>
      <c r="C37" s="72">
        <v>8610498</v>
      </c>
      <c r="D37" s="73">
        <v>73169328</v>
      </c>
      <c r="E37" s="74">
        <v>59.7</v>
      </c>
      <c r="F37" s="461">
        <v>495.79</v>
      </c>
      <c r="G37" s="31">
        <f t="shared" si="3"/>
        <v>29598.663000000004</v>
      </c>
      <c r="H37" s="36">
        <v>43524.160000000003</v>
      </c>
      <c r="I37" s="37">
        <f t="shared" si="4"/>
        <v>2598392.3520000004</v>
      </c>
      <c r="J37" s="189" t="s">
        <v>22</v>
      </c>
      <c r="K37" s="356" t="s">
        <v>38</v>
      </c>
      <c r="L37" s="146"/>
      <c r="M37" s="70"/>
      <c r="N37" s="75"/>
      <c r="O37" s="75"/>
      <c r="P37" s="79"/>
      <c r="Q37" s="247"/>
      <c r="R37" s="75"/>
      <c r="S37" s="75"/>
      <c r="T37" s="75"/>
      <c r="U37" s="79"/>
    </row>
    <row r="38" spans="1:21" ht="30" x14ac:dyDescent="0.25">
      <c r="A38" s="70">
        <f t="shared" si="5"/>
        <v>33</v>
      </c>
      <c r="B38" s="98">
        <v>46050</v>
      </c>
      <c r="C38" s="72">
        <v>8610498</v>
      </c>
      <c r="D38" s="73">
        <v>73225385</v>
      </c>
      <c r="E38" s="74">
        <v>60.55</v>
      </c>
      <c r="F38" s="461">
        <v>495.79</v>
      </c>
      <c r="G38" s="31">
        <f t="shared" si="3"/>
        <v>30020.084500000001</v>
      </c>
      <c r="H38" s="36">
        <v>43524.160000000003</v>
      </c>
      <c r="I38" s="37">
        <f t="shared" si="4"/>
        <v>2635387.8880000003</v>
      </c>
      <c r="J38" s="189" t="s">
        <v>22</v>
      </c>
      <c r="K38" s="356" t="s">
        <v>38</v>
      </c>
      <c r="L38" s="146"/>
      <c r="M38" s="70"/>
      <c r="N38" s="75"/>
      <c r="O38" s="75"/>
      <c r="P38" s="79"/>
      <c r="Q38" s="247"/>
      <c r="R38" s="75"/>
      <c r="S38" s="75"/>
      <c r="T38" s="75"/>
      <c r="U38" s="79"/>
    </row>
    <row r="39" spans="1:21" ht="30" x14ac:dyDescent="0.25">
      <c r="A39" s="70">
        <f t="shared" si="5"/>
        <v>34</v>
      </c>
      <c r="B39" s="98">
        <v>46050</v>
      </c>
      <c r="C39" s="72">
        <v>8610498</v>
      </c>
      <c r="D39" s="73">
        <v>73229270</v>
      </c>
      <c r="E39" s="74">
        <v>61.1</v>
      </c>
      <c r="F39" s="461">
        <v>495.79</v>
      </c>
      <c r="G39" s="31">
        <f t="shared" si="3"/>
        <v>30292.769</v>
      </c>
      <c r="H39" s="36">
        <v>43524.160000000003</v>
      </c>
      <c r="I39" s="37">
        <f t="shared" si="4"/>
        <v>2659326.1760000004</v>
      </c>
      <c r="J39" s="189" t="s">
        <v>22</v>
      </c>
      <c r="K39" s="356" t="s">
        <v>38</v>
      </c>
      <c r="L39" s="146"/>
      <c r="M39" s="70"/>
      <c r="N39" s="75"/>
      <c r="O39" s="75"/>
      <c r="P39" s="79"/>
      <c r="Q39" s="247"/>
      <c r="R39" s="75"/>
      <c r="S39" s="75"/>
      <c r="T39" s="75"/>
      <c r="U39" s="79"/>
    </row>
    <row r="40" spans="1:21" ht="30.75" thickBot="1" x14ac:dyDescent="0.3">
      <c r="A40" s="80">
        <f>A39+1</f>
        <v>35</v>
      </c>
      <c r="B40" s="99">
        <v>46050</v>
      </c>
      <c r="C40" s="82">
        <v>8610498</v>
      </c>
      <c r="D40" s="83">
        <v>73232035</v>
      </c>
      <c r="E40" s="84">
        <v>59.9</v>
      </c>
      <c r="F40" s="471">
        <v>495.79</v>
      </c>
      <c r="G40" s="217">
        <f t="shared" si="3"/>
        <v>29697.821</v>
      </c>
      <c r="H40" s="41">
        <v>43524.160000000003</v>
      </c>
      <c r="I40" s="42">
        <f t="shared" si="4"/>
        <v>2607097.1840000004</v>
      </c>
      <c r="J40" s="367" t="s">
        <v>22</v>
      </c>
      <c r="K40" s="368" t="s">
        <v>38</v>
      </c>
      <c r="L40" s="221"/>
      <c r="M40" s="80"/>
      <c r="N40" s="88"/>
      <c r="O40" s="88"/>
      <c r="P40" s="89"/>
      <c r="Q40" s="250"/>
      <c r="R40" s="88"/>
      <c r="S40" s="88"/>
      <c r="T40" s="88"/>
      <c r="U40" s="89"/>
    </row>
    <row r="41" spans="1:21" ht="15.75" thickBot="1" x14ac:dyDescent="0.3">
      <c r="A41" s="472"/>
      <c r="B41" s="473"/>
      <c r="C41" s="473"/>
      <c r="D41" s="473"/>
      <c r="E41" s="474">
        <f>SUM(E30:E40)</f>
        <v>649.69999999999993</v>
      </c>
      <c r="F41" s="473"/>
      <c r="G41" s="475">
        <f>SUM(G30:G40)</f>
        <v>322114.76300000004</v>
      </c>
      <c r="H41" s="476"/>
      <c r="I41" s="477">
        <f>SUM(I30:I40)</f>
        <v>28277646.752</v>
      </c>
      <c r="J41" s="473"/>
      <c r="K41" s="478"/>
      <c r="L41" s="479"/>
      <c r="M41" s="472"/>
      <c r="N41" s="473"/>
      <c r="O41" s="473"/>
      <c r="P41" s="480"/>
      <c r="Q41" s="481"/>
      <c r="R41" s="473"/>
      <c r="S41" s="473"/>
      <c r="T41" s="473"/>
      <c r="U41" s="480"/>
    </row>
    <row r="42" spans="1:21" ht="30" x14ac:dyDescent="0.25">
      <c r="A42" s="140">
        <v>36</v>
      </c>
      <c r="B42" s="71">
        <v>46051</v>
      </c>
      <c r="C42" s="151">
        <v>8610559</v>
      </c>
      <c r="D42" s="152">
        <v>51340032</v>
      </c>
      <c r="E42" s="153">
        <v>62.5</v>
      </c>
      <c r="F42" s="482">
        <v>495.79</v>
      </c>
      <c r="G42" s="32">
        <f t="shared" ref="G42:G53" si="6">E42*F42</f>
        <v>30986.875</v>
      </c>
      <c r="H42" s="34">
        <v>43524.160000000003</v>
      </c>
      <c r="I42" s="35">
        <f t="shared" ref="I42:I53" si="7">E42*H42</f>
        <v>2720260</v>
      </c>
      <c r="J42" s="354" t="s">
        <v>22</v>
      </c>
      <c r="K42" s="355" t="s">
        <v>38</v>
      </c>
      <c r="L42" s="143"/>
      <c r="M42" s="207"/>
      <c r="N42" s="140"/>
      <c r="O42" s="140"/>
      <c r="P42" s="210"/>
      <c r="Q42" s="207"/>
      <c r="R42" s="140"/>
      <c r="S42" s="140"/>
      <c r="T42" s="140"/>
      <c r="U42" s="210"/>
    </row>
    <row r="43" spans="1:21" ht="30" x14ac:dyDescent="0.25">
      <c r="A43" s="75">
        <f>A42+1</f>
        <v>37</v>
      </c>
      <c r="B43" s="98">
        <v>46051</v>
      </c>
      <c r="C43" s="72">
        <v>8610559</v>
      </c>
      <c r="D43" s="73">
        <v>51513380</v>
      </c>
      <c r="E43" s="74">
        <v>59.3</v>
      </c>
      <c r="F43" s="461">
        <v>495.79</v>
      </c>
      <c r="G43" s="31">
        <f t="shared" si="6"/>
        <v>29400.347000000002</v>
      </c>
      <c r="H43" s="36">
        <v>43524.160000000003</v>
      </c>
      <c r="I43" s="37">
        <f t="shared" si="7"/>
        <v>2580982.6880000001</v>
      </c>
      <c r="J43" s="189" t="s">
        <v>22</v>
      </c>
      <c r="K43" s="356" t="s">
        <v>38</v>
      </c>
      <c r="L43" s="146"/>
      <c r="M43" s="70"/>
      <c r="N43" s="75"/>
      <c r="O43" s="75"/>
      <c r="P43" s="79"/>
      <c r="Q43" s="70"/>
      <c r="R43" s="75"/>
      <c r="S43" s="75"/>
      <c r="T43" s="75"/>
      <c r="U43" s="79"/>
    </row>
    <row r="44" spans="1:21" ht="30" x14ac:dyDescent="0.25">
      <c r="A44" s="75">
        <f t="shared" ref="A44:A53" si="8">A43+1</f>
        <v>38</v>
      </c>
      <c r="B44" s="98">
        <v>46051</v>
      </c>
      <c r="C44" s="72">
        <v>8610559</v>
      </c>
      <c r="D44" s="73">
        <v>53935144</v>
      </c>
      <c r="E44" s="74">
        <v>58.65</v>
      </c>
      <c r="F44" s="461">
        <v>495.79</v>
      </c>
      <c r="G44" s="31">
        <f t="shared" si="6"/>
        <v>29078.083500000001</v>
      </c>
      <c r="H44" s="36">
        <v>43524.160000000003</v>
      </c>
      <c r="I44" s="37">
        <f t="shared" si="7"/>
        <v>2552691.9840000002</v>
      </c>
      <c r="J44" s="189" t="s">
        <v>22</v>
      </c>
      <c r="K44" s="356" t="s">
        <v>38</v>
      </c>
      <c r="L44" s="146"/>
      <c r="M44" s="70"/>
      <c r="N44" s="75"/>
      <c r="O44" s="75"/>
      <c r="P44" s="79"/>
      <c r="Q44" s="70"/>
      <c r="R44" s="75"/>
      <c r="S44" s="75"/>
      <c r="T44" s="75"/>
      <c r="U44" s="79"/>
    </row>
    <row r="45" spans="1:21" ht="30" x14ac:dyDescent="0.25">
      <c r="A45" s="75">
        <f t="shared" si="8"/>
        <v>39</v>
      </c>
      <c r="B45" s="98">
        <v>46051</v>
      </c>
      <c r="C45" s="72">
        <v>8610559</v>
      </c>
      <c r="D45" s="73">
        <v>53935631</v>
      </c>
      <c r="E45" s="74">
        <v>58.5</v>
      </c>
      <c r="F45" s="461">
        <v>495.79</v>
      </c>
      <c r="G45" s="31">
        <f t="shared" si="6"/>
        <v>29003.715</v>
      </c>
      <c r="H45" s="36">
        <v>43524.160000000003</v>
      </c>
      <c r="I45" s="37">
        <f t="shared" si="7"/>
        <v>2546163.3600000003</v>
      </c>
      <c r="J45" s="189" t="s">
        <v>22</v>
      </c>
      <c r="K45" s="356" t="s">
        <v>38</v>
      </c>
      <c r="L45" s="146"/>
      <c r="M45" s="70"/>
      <c r="N45" s="75"/>
      <c r="O45" s="75"/>
      <c r="P45" s="79"/>
      <c r="Q45" s="70"/>
      <c r="R45" s="75"/>
      <c r="S45" s="75"/>
      <c r="T45" s="75"/>
      <c r="U45" s="79"/>
    </row>
    <row r="46" spans="1:21" ht="30" x14ac:dyDescent="0.25">
      <c r="A46" s="75">
        <f t="shared" si="8"/>
        <v>40</v>
      </c>
      <c r="B46" s="98">
        <v>46051</v>
      </c>
      <c r="C46" s="72">
        <v>8610559</v>
      </c>
      <c r="D46" s="73">
        <v>54696091</v>
      </c>
      <c r="E46" s="74">
        <v>62.4</v>
      </c>
      <c r="F46" s="461">
        <v>495.79</v>
      </c>
      <c r="G46" s="31">
        <f t="shared" si="6"/>
        <v>30937.296000000002</v>
      </c>
      <c r="H46" s="36">
        <v>43524.160000000003</v>
      </c>
      <c r="I46" s="37">
        <f t="shared" si="7"/>
        <v>2715907.5840000003</v>
      </c>
      <c r="J46" s="189" t="s">
        <v>22</v>
      </c>
      <c r="K46" s="356" t="s">
        <v>38</v>
      </c>
      <c r="L46" s="146"/>
      <c r="M46" s="70"/>
      <c r="N46" s="75"/>
      <c r="O46" s="75"/>
      <c r="P46" s="79"/>
      <c r="Q46" s="70"/>
      <c r="R46" s="75"/>
      <c r="S46" s="75"/>
      <c r="T46" s="75"/>
      <c r="U46" s="79"/>
    </row>
    <row r="47" spans="1:21" ht="30" x14ac:dyDescent="0.25">
      <c r="A47" s="75">
        <f t="shared" si="8"/>
        <v>41</v>
      </c>
      <c r="B47" s="98">
        <v>46051</v>
      </c>
      <c r="C47" s="72">
        <v>8610559</v>
      </c>
      <c r="D47" s="73">
        <v>73185563</v>
      </c>
      <c r="E47" s="74">
        <v>62.1</v>
      </c>
      <c r="F47" s="461">
        <v>495.79</v>
      </c>
      <c r="G47" s="31">
        <f t="shared" si="6"/>
        <v>30788.559000000001</v>
      </c>
      <c r="H47" s="36">
        <v>43524.160000000003</v>
      </c>
      <c r="I47" s="37">
        <f t="shared" si="7"/>
        <v>2702850.3360000001</v>
      </c>
      <c r="J47" s="189" t="s">
        <v>22</v>
      </c>
      <c r="K47" s="356" t="s">
        <v>38</v>
      </c>
      <c r="L47" s="146"/>
      <c r="M47" s="70"/>
      <c r="N47" s="75"/>
      <c r="O47" s="75"/>
      <c r="P47" s="79"/>
      <c r="Q47" s="70"/>
      <c r="R47" s="75"/>
      <c r="S47" s="75"/>
      <c r="T47" s="75"/>
      <c r="U47" s="79"/>
    </row>
    <row r="48" spans="1:21" ht="30" x14ac:dyDescent="0.25">
      <c r="A48" s="75">
        <f t="shared" si="8"/>
        <v>42</v>
      </c>
      <c r="B48" s="98">
        <v>46051</v>
      </c>
      <c r="C48" s="72">
        <v>8610559</v>
      </c>
      <c r="D48" s="73">
        <v>73964405</v>
      </c>
      <c r="E48" s="74">
        <v>61.35</v>
      </c>
      <c r="F48" s="461">
        <v>495.79</v>
      </c>
      <c r="G48" s="31">
        <f t="shared" si="6"/>
        <v>30416.716500000002</v>
      </c>
      <c r="H48" s="36">
        <v>43524.160000000003</v>
      </c>
      <c r="I48" s="37">
        <f t="shared" si="7"/>
        <v>2670207.2160000005</v>
      </c>
      <c r="J48" s="189" t="s">
        <v>22</v>
      </c>
      <c r="K48" s="356" t="s">
        <v>38</v>
      </c>
      <c r="L48" s="146"/>
      <c r="M48" s="70"/>
      <c r="N48" s="75"/>
      <c r="O48" s="75"/>
      <c r="P48" s="79"/>
      <c r="Q48" s="70"/>
      <c r="R48" s="75"/>
      <c r="S48" s="75"/>
      <c r="T48" s="75"/>
      <c r="U48" s="79"/>
    </row>
    <row r="49" spans="1:21" ht="30" x14ac:dyDescent="0.25">
      <c r="A49" s="75">
        <f t="shared" si="8"/>
        <v>43</v>
      </c>
      <c r="B49" s="98">
        <v>46051</v>
      </c>
      <c r="C49" s="72">
        <v>8610559</v>
      </c>
      <c r="D49" s="73">
        <v>75056986</v>
      </c>
      <c r="E49" s="74">
        <v>64.25</v>
      </c>
      <c r="F49" s="461">
        <v>495.79</v>
      </c>
      <c r="G49" s="31">
        <f t="shared" si="6"/>
        <v>31854.5075</v>
      </c>
      <c r="H49" s="36">
        <v>43524.160000000003</v>
      </c>
      <c r="I49" s="37">
        <f t="shared" si="7"/>
        <v>2796427.2800000003</v>
      </c>
      <c r="J49" s="189" t="s">
        <v>22</v>
      </c>
      <c r="K49" s="356" t="s">
        <v>38</v>
      </c>
      <c r="L49" s="146"/>
      <c r="M49" s="70"/>
      <c r="N49" s="75"/>
      <c r="O49" s="75"/>
      <c r="P49" s="79"/>
      <c r="Q49" s="70"/>
      <c r="R49" s="75"/>
      <c r="S49" s="75"/>
      <c r="T49" s="75"/>
      <c r="U49" s="79"/>
    </row>
    <row r="50" spans="1:21" ht="30" x14ac:dyDescent="0.25">
      <c r="A50" s="75">
        <f t="shared" si="8"/>
        <v>44</v>
      </c>
      <c r="B50" s="98">
        <v>46051</v>
      </c>
      <c r="C50" s="72">
        <v>8610559</v>
      </c>
      <c r="D50" s="73">
        <v>75295915</v>
      </c>
      <c r="E50" s="74">
        <v>64.900000000000006</v>
      </c>
      <c r="F50" s="461">
        <v>495.79</v>
      </c>
      <c r="G50" s="31">
        <f t="shared" si="6"/>
        <v>32176.771000000004</v>
      </c>
      <c r="H50" s="36">
        <v>43524.160000000003</v>
      </c>
      <c r="I50" s="37">
        <f t="shared" si="7"/>
        <v>2824717.9840000006</v>
      </c>
      <c r="J50" s="189" t="s">
        <v>22</v>
      </c>
      <c r="K50" s="356" t="s">
        <v>38</v>
      </c>
      <c r="L50" s="146"/>
      <c r="M50" s="70"/>
      <c r="N50" s="75"/>
      <c r="O50" s="75"/>
      <c r="P50" s="79"/>
      <c r="Q50" s="70"/>
      <c r="R50" s="75"/>
      <c r="S50" s="75"/>
      <c r="T50" s="75"/>
      <c r="U50" s="79"/>
    </row>
    <row r="51" spans="1:21" ht="30" x14ac:dyDescent="0.25">
      <c r="A51" s="75">
        <f t="shared" si="8"/>
        <v>45</v>
      </c>
      <c r="B51" s="98">
        <v>46051</v>
      </c>
      <c r="C51" s="72">
        <v>8610559</v>
      </c>
      <c r="D51" s="73">
        <v>75523795</v>
      </c>
      <c r="E51" s="74">
        <v>63.05</v>
      </c>
      <c r="F51" s="461">
        <v>495.79</v>
      </c>
      <c r="G51" s="31">
        <f t="shared" si="6"/>
        <v>31259.559499999999</v>
      </c>
      <c r="H51" s="36">
        <v>43524.160000000003</v>
      </c>
      <c r="I51" s="37">
        <f t="shared" si="7"/>
        <v>2744198.2880000002</v>
      </c>
      <c r="J51" s="189" t="s">
        <v>22</v>
      </c>
      <c r="K51" s="356" t="s">
        <v>38</v>
      </c>
      <c r="L51" s="146"/>
      <c r="M51" s="70"/>
      <c r="N51" s="75"/>
      <c r="O51" s="75"/>
      <c r="P51" s="79"/>
      <c r="Q51" s="70"/>
      <c r="R51" s="75"/>
      <c r="S51" s="75"/>
      <c r="T51" s="75"/>
      <c r="U51" s="79"/>
    </row>
    <row r="52" spans="1:21" ht="30" x14ac:dyDescent="0.25">
      <c r="A52" s="75">
        <f t="shared" si="8"/>
        <v>46</v>
      </c>
      <c r="B52" s="98">
        <v>46051</v>
      </c>
      <c r="C52" s="72">
        <v>8610559</v>
      </c>
      <c r="D52" s="73">
        <v>76198399</v>
      </c>
      <c r="E52" s="74">
        <v>61.5</v>
      </c>
      <c r="F52" s="461">
        <v>495.79</v>
      </c>
      <c r="G52" s="31">
        <f t="shared" si="6"/>
        <v>30491.085000000003</v>
      </c>
      <c r="H52" s="36">
        <v>43524.160000000003</v>
      </c>
      <c r="I52" s="37">
        <f t="shared" si="7"/>
        <v>2676735.8400000003</v>
      </c>
      <c r="J52" s="189" t="s">
        <v>22</v>
      </c>
      <c r="K52" s="356" t="s">
        <v>38</v>
      </c>
      <c r="L52" s="146"/>
      <c r="M52" s="70"/>
      <c r="N52" s="75"/>
      <c r="O52" s="75"/>
      <c r="P52" s="79"/>
      <c r="Q52" s="70"/>
      <c r="R52" s="75"/>
      <c r="S52" s="75"/>
      <c r="T52" s="75"/>
      <c r="U52" s="79"/>
    </row>
    <row r="53" spans="1:21" ht="30.75" thickBot="1" x14ac:dyDescent="0.3">
      <c r="A53" s="105">
        <f t="shared" si="8"/>
        <v>47</v>
      </c>
      <c r="B53" s="135">
        <v>46051</v>
      </c>
      <c r="C53" s="102">
        <v>8610559</v>
      </c>
      <c r="D53" s="103">
        <v>76422997</v>
      </c>
      <c r="E53" s="104">
        <v>63.8</v>
      </c>
      <c r="F53" s="461">
        <v>495.79</v>
      </c>
      <c r="G53" s="106">
        <f t="shared" si="6"/>
        <v>31631.401999999998</v>
      </c>
      <c r="H53" s="38">
        <v>43524.160000000003</v>
      </c>
      <c r="I53" s="39">
        <f t="shared" si="7"/>
        <v>2776841.4080000003</v>
      </c>
      <c r="J53" s="189" t="s">
        <v>22</v>
      </c>
      <c r="K53" s="357" t="s">
        <v>38</v>
      </c>
      <c r="L53" s="149"/>
      <c r="M53" s="101"/>
      <c r="N53" s="105"/>
      <c r="O53" s="105"/>
      <c r="P53" s="112"/>
      <c r="Q53" s="101"/>
      <c r="R53" s="105"/>
      <c r="S53" s="105"/>
      <c r="T53" s="105"/>
      <c r="U53" s="112"/>
    </row>
    <row r="54" spans="1:21" ht="15.75" thickBot="1" x14ac:dyDescent="0.3">
      <c r="A54" s="472"/>
      <c r="B54" s="473"/>
      <c r="C54" s="473"/>
      <c r="D54" s="473"/>
      <c r="E54" s="474">
        <f>SUM(E42:E53)</f>
        <v>742.3</v>
      </c>
      <c r="F54" s="473"/>
      <c r="G54" s="475">
        <f>SUM(G42:G53)</f>
        <v>368024.91700000002</v>
      </c>
      <c r="H54" s="476"/>
      <c r="I54" s="477">
        <f>SUM(I42:I53)</f>
        <v>32307983.968000006</v>
      </c>
      <c r="J54" s="473"/>
      <c r="K54" s="480"/>
      <c r="L54" s="479"/>
      <c r="M54" s="472"/>
      <c r="N54" s="473"/>
      <c r="O54" s="473"/>
      <c r="P54" s="480"/>
      <c r="Q54" s="481"/>
      <c r="R54" s="473"/>
      <c r="S54" s="473"/>
      <c r="T54" s="473"/>
      <c r="U54" s="480"/>
    </row>
    <row r="55" spans="1:21" ht="30" x14ac:dyDescent="0.25">
      <c r="A55" s="57">
        <v>48</v>
      </c>
      <c r="B55" s="58">
        <v>46052</v>
      </c>
      <c r="C55" s="59">
        <v>8610571</v>
      </c>
      <c r="D55" s="60">
        <v>50937911</v>
      </c>
      <c r="E55" s="61">
        <v>61</v>
      </c>
      <c r="F55" s="461">
        <v>495.79</v>
      </c>
      <c r="G55" s="29">
        <f t="shared" ref="G55:G64" si="9">E55*F55</f>
        <v>30243.190000000002</v>
      </c>
      <c r="H55" s="460">
        <v>43524.160000000003</v>
      </c>
      <c r="I55" s="360">
        <f t="shared" ref="I55:I64" si="10">E55*H55</f>
        <v>2654973.7600000002</v>
      </c>
      <c r="J55" s="361" t="s">
        <v>22</v>
      </c>
      <c r="K55" s="362" t="s">
        <v>38</v>
      </c>
      <c r="L55" s="363"/>
      <c r="M55" s="57"/>
      <c r="N55" s="68"/>
      <c r="O55" s="68"/>
      <c r="P55" s="69"/>
      <c r="Q55" s="57"/>
      <c r="R55" s="68"/>
      <c r="S55" s="68"/>
      <c r="T55" s="68"/>
      <c r="U55" s="69"/>
    </row>
    <row r="56" spans="1:21" ht="30" x14ac:dyDescent="0.25">
      <c r="A56" s="70">
        <f>A55+1</f>
        <v>49</v>
      </c>
      <c r="B56" s="98">
        <v>46052</v>
      </c>
      <c r="C56" s="72">
        <v>8610571</v>
      </c>
      <c r="D56" s="73">
        <v>51378586</v>
      </c>
      <c r="E56" s="74">
        <v>57.35</v>
      </c>
      <c r="F56" s="461">
        <v>495.79</v>
      </c>
      <c r="G56" s="31">
        <f t="shared" si="9"/>
        <v>28433.556500000002</v>
      </c>
      <c r="H56" s="36">
        <v>43524.160000000003</v>
      </c>
      <c r="I56" s="37">
        <f t="shared" si="10"/>
        <v>2496110.5760000004</v>
      </c>
      <c r="J56" s="189" t="s">
        <v>22</v>
      </c>
      <c r="K56" s="356" t="s">
        <v>38</v>
      </c>
      <c r="L56" s="146"/>
      <c r="M56" s="70"/>
      <c r="N56" s="75"/>
      <c r="O56" s="75"/>
      <c r="P56" s="79"/>
      <c r="Q56" s="70"/>
      <c r="R56" s="75"/>
      <c r="S56" s="75"/>
      <c r="T56" s="75"/>
      <c r="U56" s="79"/>
    </row>
    <row r="57" spans="1:21" ht="30" x14ac:dyDescent="0.25">
      <c r="A57" s="70">
        <f t="shared" ref="A57:A64" si="11">A56+1</f>
        <v>50</v>
      </c>
      <c r="B57" s="98">
        <v>46052</v>
      </c>
      <c r="C57" s="72">
        <v>8610571</v>
      </c>
      <c r="D57" s="73">
        <v>51791002</v>
      </c>
      <c r="E57" s="74">
        <v>57.55</v>
      </c>
      <c r="F57" s="461">
        <v>495.79</v>
      </c>
      <c r="G57" s="31">
        <f t="shared" si="9"/>
        <v>28532.714499999998</v>
      </c>
      <c r="H57" s="36">
        <v>43524.160000000003</v>
      </c>
      <c r="I57" s="37">
        <f t="shared" si="10"/>
        <v>2504815.4080000003</v>
      </c>
      <c r="J57" s="189" t="s">
        <v>22</v>
      </c>
      <c r="K57" s="356" t="s">
        <v>38</v>
      </c>
      <c r="L57" s="146"/>
      <c r="M57" s="70"/>
      <c r="N57" s="75"/>
      <c r="O57" s="75"/>
      <c r="P57" s="79"/>
      <c r="Q57" s="70"/>
      <c r="R57" s="75"/>
      <c r="S57" s="75"/>
      <c r="T57" s="75"/>
      <c r="U57" s="79"/>
    </row>
    <row r="58" spans="1:21" ht="30" x14ac:dyDescent="0.25">
      <c r="A58" s="70">
        <f t="shared" si="11"/>
        <v>51</v>
      </c>
      <c r="B58" s="98">
        <v>46052</v>
      </c>
      <c r="C58" s="72">
        <v>8610571</v>
      </c>
      <c r="D58" s="73">
        <v>51858553</v>
      </c>
      <c r="E58" s="74">
        <v>61.45</v>
      </c>
      <c r="F58" s="461">
        <v>495.79</v>
      </c>
      <c r="G58" s="31">
        <f t="shared" si="9"/>
        <v>30466.295500000004</v>
      </c>
      <c r="H58" s="36">
        <v>43524.160000000003</v>
      </c>
      <c r="I58" s="37">
        <f t="shared" si="10"/>
        <v>2674559.6320000002</v>
      </c>
      <c r="J58" s="189" t="s">
        <v>22</v>
      </c>
      <c r="K58" s="356" t="s">
        <v>38</v>
      </c>
      <c r="L58" s="146"/>
      <c r="M58" s="70"/>
      <c r="N58" s="75"/>
      <c r="O58" s="75"/>
      <c r="P58" s="79"/>
      <c r="Q58" s="70"/>
      <c r="R58" s="75"/>
      <c r="S58" s="75"/>
      <c r="T58" s="75"/>
      <c r="U58" s="79"/>
    </row>
    <row r="59" spans="1:21" ht="30" x14ac:dyDescent="0.25">
      <c r="A59" s="70">
        <f t="shared" si="11"/>
        <v>52</v>
      </c>
      <c r="B59" s="98">
        <v>46052</v>
      </c>
      <c r="C59" s="72">
        <v>8610571</v>
      </c>
      <c r="D59" s="73">
        <v>54098553</v>
      </c>
      <c r="E59" s="74">
        <v>60.7</v>
      </c>
      <c r="F59" s="461">
        <v>495.79</v>
      </c>
      <c r="G59" s="31">
        <f t="shared" si="9"/>
        <v>30094.453000000001</v>
      </c>
      <c r="H59" s="36">
        <v>43524.160000000003</v>
      </c>
      <c r="I59" s="37">
        <f t="shared" si="10"/>
        <v>2641916.5120000001</v>
      </c>
      <c r="J59" s="189" t="s">
        <v>22</v>
      </c>
      <c r="K59" s="356" t="s">
        <v>38</v>
      </c>
      <c r="L59" s="146"/>
      <c r="M59" s="70"/>
      <c r="N59" s="75"/>
      <c r="O59" s="75"/>
      <c r="P59" s="79"/>
      <c r="Q59" s="70"/>
      <c r="R59" s="75"/>
      <c r="S59" s="75"/>
      <c r="T59" s="75"/>
      <c r="U59" s="79"/>
    </row>
    <row r="60" spans="1:21" ht="30" x14ac:dyDescent="0.25">
      <c r="A60" s="70">
        <f t="shared" si="11"/>
        <v>53</v>
      </c>
      <c r="B60" s="98">
        <v>46052</v>
      </c>
      <c r="C60" s="72">
        <v>8610571</v>
      </c>
      <c r="D60" s="73">
        <v>54604350</v>
      </c>
      <c r="E60" s="74">
        <v>63.9</v>
      </c>
      <c r="F60" s="461">
        <v>495.79</v>
      </c>
      <c r="G60" s="31">
        <f t="shared" si="9"/>
        <v>31680.981</v>
      </c>
      <c r="H60" s="36">
        <v>43524.160000000003</v>
      </c>
      <c r="I60" s="37">
        <f t="shared" si="10"/>
        <v>2781193.824</v>
      </c>
      <c r="J60" s="189" t="s">
        <v>22</v>
      </c>
      <c r="K60" s="356" t="s">
        <v>38</v>
      </c>
      <c r="L60" s="146"/>
      <c r="M60" s="70"/>
      <c r="N60" s="75"/>
      <c r="O60" s="75"/>
      <c r="P60" s="79"/>
      <c r="Q60" s="70"/>
      <c r="R60" s="75"/>
      <c r="S60" s="75"/>
      <c r="T60" s="75"/>
      <c r="U60" s="79"/>
    </row>
    <row r="61" spans="1:21" ht="30" x14ac:dyDescent="0.25">
      <c r="A61" s="70">
        <f t="shared" si="11"/>
        <v>54</v>
      </c>
      <c r="B61" s="98">
        <v>46052</v>
      </c>
      <c r="C61" s="72">
        <v>8610571</v>
      </c>
      <c r="D61" s="73">
        <v>54699046</v>
      </c>
      <c r="E61" s="74">
        <v>62.05</v>
      </c>
      <c r="F61" s="461">
        <v>495.79</v>
      </c>
      <c r="G61" s="31">
        <f t="shared" si="9"/>
        <v>30763.769499999999</v>
      </c>
      <c r="H61" s="36">
        <v>43524.160000000003</v>
      </c>
      <c r="I61" s="37">
        <f t="shared" si="10"/>
        <v>2700674.128</v>
      </c>
      <c r="J61" s="189" t="s">
        <v>22</v>
      </c>
      <c r="K61" s="356" t="s">
        <v>38</v>
      </c>
      <c r="L61" s="146"/>
      <c r="M61" s="70"/>
      <c r="N61" s="75"/>
      <c r="O61" s="75"/>
      <c r="P61" s="79"/>
      <c r="Q61" s="70"/>
      <c r="R61" s="75"/>
      <c r="S61" s="75"/>
      <c r="T61" s="75"/>
      <c r="U61" s="79"/>
    </row>
    <row r="62" spans="1:21" ht="30" x14ac:dyDescent="0.25">
      <c r="A62" s="70">
        <f t="shared" si="11"/>
        <v>55</v>
      </c>
      <c r="B62" s="98">
        <v>46052</v>
      </c>
      <c r="C62" s="72">
        <v>8610571</v>
      </c>
      <c r="D62" s="73">
        <v>54719117</v>
      </c>
      <c r="E62" s="74">
        <v>63.5</v>
      </c>
      <c r="F62" s="461">
        <v>495.79</v>
      </c>
      <c r="G62" s="31">
        <f t="shared" si="9"/>
        <v>31482.665000000001</v>
      </c>
      <c r="H62" s="36">
        <v>43524.160000000003</v>
      </c>
      <c r="I62" s="37">
        <f t="shared" si="10"/>
        <v>2763784.16</v>
      </c>
      <c r="J62" s="189" t="s">
        <v>22</v>
      </c>
      <c r="K62" s="356" t="s">
        <v>38</v>
      </c>
      <c r="L62" s="146"/>
      <c r="M62" s="70"/>
      <c r="N62" s="75"/>
      <c r="O62" s="75"/>
      <c r="P62" s="79"/>
      <c r="Q62" s="70"/>
      <c r="R62" s="75"/>
      <c r="S62" s="75"/>
      <c r="T62" s="75"/>
      <c r="U62" s="79"/>
    </row>
    <row r="63" spans="1:21" ht="30" x14ac:dyDescent="0.25">
      <c r="A63" s="70">
        <f t="shared" si="11"/>
        <v>56</v>
      </c>
      <c r="B63" s="98">
        <v>46052</v>
      </c>
      <c r="C63" s="72">
        <v>8610571</v>
      </c>
      <c r="D63" s="73">
        <v>57209926</v>
      </c>
      <c r="E63" s="74">
        <v>61.3</v>
      </c>
      <c r="F63" s="461">
        <v>495.79</v>
      </c>
      <c r="G63" s="31">
        <f t="shared" si="9"/>
        <v>30391.927</v>
      </c>
      <c r="H63" s="36">
        <v>43524.160000000003</v>
      </c>
      <c r="I63" s="37">
        <f t="shared" si="10"/>
        <v>2668031.0079999999</v>
      </c>
      <c r="J63" s="189" t="s">
        <v>22</v>
      </c>
      <c r="K63" s="356" t="s">
        <v>38</v>
      </c>
      <c r="L63" s="146"/>
      <c r="M63" s="70"/>
      <c r="N63" s="75"/>
      <c r="O63" s="75"/>
      <c r="P63" s="79"/>
      <c r="Q63" s="70"/>
      <c r="R63" s="75"/>
      <c r="S63" s="75"/>
      <c r="T63" s="75"/>
      <c r="U63" s="79"/>
    </row>
    <row r="64" spans="1:21" ht="30.75" thickBot="1" x14ac:dyDescent="0.3">
      <c r="A64" s="101">
        <f t="shared" si="11"/>
        <v>57</v>
      </c>
      <c r="B64" s="135">
        <v>46052</v>
      </c>
      <c r="C64" s="102">
        <v>8610571</v>
      </c>
      <c r="D64" s="103">
        <v>73199069</v>
      </c>
      <c r="E64" s="104">
        <v>60.15</v>
      </c>
      <c r="F64" s="461">
        <v>495.79</v>
      </c>
      <c r="G64" s="106">
        <f t="shared" si="9"/>
        <v>29821.768500000002</v>
      </c>
      <c r="H64" s="38">
        <v>43524.160000000003</v>
      </c>
      <c r="I64" s="39">
        <f t="shared" si="10"/>
        <v>2617978.2239999999</v>
      </c>
      <c r="J64" s="189" t="s">
        <v>22</v>
      </c>
      <c r="K64" s="357" t="s">
        <v>38</v>
      </c>
      <c r="L64" s="221"/>
      <c r="M64" s="80"/>
      <c r="N64" s="88"/>
      <c r="O64" s="88"/>
      <c r="P64" s="89"/>
      <c r="Q64" s="80"/>
      <c r="R64" s="88"/>
      <c r="S64" s="88"/>
      <c r="T64" s="88"/>
      <c r="U64" s="89"/>
    </row>
    <row r="65" spans="1:21" ht="15.75" thickBot="1" x14ac:dyDescent="0.3">
      <c r="A65" s="472"/>
      <c r="B65" s="473"/>
      <c r="C65" s="473"/>
      <c r="D65" s="473"/>
      <c r="E65" s="474">
        <f>SUM(E55:E64)</f>
        <v>608.94999999999993</v>
      </c>
      <c r="F65" s="473"/>
      <c r="G65" s="475">
        <f>SUM(G55:G64)</f>
        <v>301911.32050000003</v>
      </c>
      <c r="H65" s="476"/>
      <c r="I65" s="477">
        <f>SUM(I55:I64)</f>
        <v>26504037.232000001</v>
      </c>
      <c r="J65" s="473"/>
      <c r="K65" s="480"/>
      <c r="L65" s="478"/>
      <c r="M65" s="483"/>
      <c r="N65" s="484"/>
      <c r="O65" s="484"/>
      <c r="P65" s="485"/>
      <c r="Q65" s="486"/>
      <c r="R65" s="484"/>
      <c r="S65" s="484"/>
      <c r="T65" s="484"/>
      <c r="U65" s="485"/>
    </row>
    <row r="66" spans="1:21" ht="30" x14ac:dyDescent="0.25">
      <c r="A66" s="140">
        <v>58</v>
      </c>
      <c r="B66" s="71">
        <v>46052</v>
      </c>
      <c r="C66" s="151">
        <v>8610578</v>
      </c>
      <c r="D66" s="152">
        <v>50197813</v>
      </c>
      <c r="E66" s="153">
        <v>60.3</v>
      </c>
      <c r="F66" s="461">
        <v>495.79</v>
      </c>
      <c r="G66" s="32">
        <f t="shared" ref="G66:G97" si="12">E66*F66</f>
        <v>29896.136999999999</v>
      </c>
      <c r="H66" s="34">
        <v>43524.160000000003</v>
      </c>
      <c r="I66" s="35">
        <f t="shared" ref="I66:I97" si="13">E66*H66</f>
        <v>2624506.8480000002</v>
      </c>
      <c r="J66" s="354" t="s">
        <v>22</v>
      </c>
      <c r="K66" s="355" t="s">
        <v>38</v>
      </c>
      <c r="L66" s="143"/>
      <c r="M66" s="57"/>
      <c r="N66" s="68"/>
      <c r="O66" s="68"/>
      <c r="P66" s="69"/>
      <c r="Q66" s="245"/>
      <c r="R66" s="68"/>
      <c r="S66" s="68"/>
      <c r="T66" s="68"/>
      <c r="U66" s="69"/>
    </row>
    <row r="67" spans="1:21" ht="30" x14ac:dyDescent="0.25">
      <c r="A67" s="75">
        <f>A66+1</f>
        <v>59</v>
      </c>
      <c r="B67" s="98">
        <v>46052</v>
      </c>
      <c r="C67" s="72">
        <v>8610577</v>
      </c>
      <c r="D67" s="73">
        <v>50396498</v>
      </c>
      <c r="E67" s="74">
        <v>64</v>
      </c>
      <c r="F67" s="461">
        <v>495.79</v>
      </c>
      <c r="G67" s="31">
        <f t="shared" si="12"/>
        <v>31730.560000000001</v>
      </c>
      <c r="H67" s="36">
        <v>43524.160000000003</v>
      </c>
      <c r="I67" s="37">
        <f t="shared" si="13"/>
        <v>2785546.2400000002</v>
      </c>
      <c r="J67" s="189" t="s">
        <v>22</v>
      </c>
      <c r="K67" s="356" t="s">
        <v>38</v>
      </c>
      <c r="L67" s="146"/>
      <c r="M67" s="70"/>
      <c r="N67" s="75"/>
      <c r="O67" s="75"/>
      <c r="P67" s="79"/>
      <c r="Q67" s="247"/>
      <c r="R67" s="75"/>
      <c r="S67" s="75"/>
      <c r="T67" s="75"/>
      <c r="U67" s="79"/>
    </row>
    <row r="68" spans="1:21" ht="30" x14ac:dyDescent="0.25">
      <c r="A68" s="75">
        <f t="shared" ref="A68:A97" si="14">A67+1</f>
        <v>60</v>
      </c>
      <c r="B68" s="98">
        <v>46052</v>
      </c>
      <c r="C68" s="72">
        <v>8610578</v>
      </c>
      <c r="D68" s="73">
        <v>50400076</v>
      </c>
      <c r="E68" s="74">
        <v>61.55</v>
      </c>
      <c r="F68" s="461">
        <v>495.79</v>
      </c>
      <c r="G68" s="31">
        <f t="shared" si="12"/>
        <v>30515.874499999998</v>
      </c>
      <c r="H68" s="36">
        <v>43524.160000000003</v>
      </c>
      <c r="I68" s="37">
        <f t="shared" si="13"/>
        <v>2678912.048</v>
      </c>
      <c r="J68" s="189" t="s">
        <v>22</v>
      </c>
      <c r="K68" s="356" t="s">
        <v>38</v>
      </c>
      <c r="L68" s="146"/>
      <c r="M68" s="70"/>
      <c r="N68" s="75"/>
      <c r="O68" s="75"/>
      <c r="P68" s="79"/>
      <c r="Q68" s="247"/>
      <c r="R68" s="75"/>
      <c r="S68" s="75"/>
      <c r="T68" s="75"/>
      <c r="U68" s="79"/>
    </row>
    <row r="69" spans="1:21" ht="30" x14ac:dyDescent="0.25">
      <c r="A69" s="75">
        <f t="shared" si="14"/>
        <v>61</v>
      </c>
      <c r="B69" s="98">
        <v>46052</v>
      </c>
      <c r="C69" s="72">
        <v>8610578</v>
      </c>
      <c r="D69" s="73">
        <v>50409705</v>
      </c>
      <c r="E69" s="74">
        <v>61.2</v>
      </c>
      <c r="F69" s="461">
        <v>495.79</v>
      </c>
      <c r="G69" s="31">
        <f t="shared" si="12"/>
        <v>30342.348000000002</v>
      </c>
      <c r="H69" s="36">
        <v>43524.160000000003</v>
      </c>
      <c r="I69" s="37">
        <f t="shared" si="13"/>
        <v>2663678.5920000002</v>
      </c>
      <c r="J69" s="189" t="s">
        <v>22</v>
      </c>
      <c r="K69" s="356" t="s">
        <v>38</v>
      </c>
      <c r="L69" s="146"/>
      <c r="M69" s="70"/>
      <c r="N69" s="75"/>
      <c r="O69" s="75"/>
      <c r="P69" s="79"/>
      <c r="Q69" s="247"/>
      <c r="R69" s="75"/>
      <c r="S69" s="75"/>
      <c r="T69" s="75"/>
      <c r="U69" s="79"/>
    </row>
    <row r="70" spans="1:21" ht="30" x14ac:dyDescent="0.25">
      <c r="A70" s="75">
        <f t="shared" si="14"/>
        <v>62</v>
      </c>
      <c r="B70" s="98">
        <v>46052</v>
      </c>
      <c r="C70" s="72">
        <v>8610578</v>
      </c>
      <c r="D70" s="73">
        <v>50510395</v>
      </c>
      <c r="E70" s="74">
        <v>60.5</v>
      </c>
      <c r="F70" s="461">
        <v>495.79</v>
      </c>
      <c r="G70" s="31">
        <f t="shared" si="12"/>
        <v>29995.295000000002</v>
      </c>
      <c r="H70" s="36">
        <v>43524.160000000003</v>
      </c>
      <c r="I70" s="37">
        <f t="shared" si="13"/>
        <v>2633211.6800000002</v>
      </c>
      <c r="J70" s="189" t="s">
        <v>22</v>
      </c>
      <c r="K70" s="356" t="s">
        <v>38</v>
      </c>
      <c r="L70" s="146"/>
      <c r="M70" s="70"/>
      <c r="N70" s="75"/>
      <c r="O70" s="75"/>
      <c r="P70" s="79"/>
      <c r="Q70" s="247"/>
      <c r="R70" s="75"/>
      <c r="S70" s="75"/>
      <c r="T70" s="75"/>
      <c r="U70" s="79"/>
    </row>
    <row r="71" spans="1:21" ht="30" x14ac:dyDescent="0.25">
      <c r="A71" s="75">
        <f t="shared" si="14"/>
        <v>63</v>
      </c>
      <c r="B71" s="98">
        <v>46052</v>
      </c>
      <c r="C71" s="72">
        <v>8610577</v>
      </c>
      <c r="D71" s="73">
        <v>51391183</v>
      </c>
      <c r="E71" s="74">
        <v>57.55</v>
      </c>
      <c r="F71" s="461">
        <v>495.79</v>
      </c>
      <c r="G71" s="31">
        <f t="shared" si="12"/>
        <v>28532.714499999998</v>
      </c>
      <c r="H71" s="36">
        <v>43524.160000000003</v>
      </c>
      <c r="I71" s="37">
        <f t="shared" si="13"/>
        <v>2504815.4080000003</v>
      </c>
      <c r="J71" s="189" t="s">
        <v>22</v>
      </c>
      <c r="K71" s="356" t="s">
        <v>38</v>
      </c>
      <c r="L71" s="146"/>
      <c r="M71" s="70"/>
      <c r="N71" s="75"/>
      <c r="O71" s="75"/>
      <c r="P71" s="79"/>
      <c r="Q71" s="247"/>
      <c r="R71" s="75"/>
      <c r="S71" s="75"/>
      <c r="T71" s="75"/>
      <c r="U71" s="79"/>
    </row>
    <row r="72" spans="1:21" ht="30" x14ac:dyDescent="0.25">
      <c r="A72" s="75">
        <f t="shared" si="14"/>
        <v>64</v>
      </c>
      <c r="B72" s="98">
        <v>46052</v>
      </c>
      <c r="C72" s="72">
        <v>8610579</v>
      </c>
      <c r="D72" s="73">
        <v>51393700</v>
      </c>
      <c r="E72" s="74">
        <v>60.85</v>
      </c>
      <c r="F72" s="461">
        <v>495.79</v>
      </c>
      <c r="G72" s="31">
        <f t="shared" si="12"/>
        <v>30168.821500000002</v>
      </c>
      <c r="H72" s="36">
        <v>43524.160000000003</v>
      </c>
      <c r="I72" s="37">
        <f t="shared" si="13"/>
        <v>2648445.1360000004</v>
      </c>
      <c r="J72" s="189" t="s">
        <v>22</v>
      </c>
      <c r="K72" s="356" t="s">
        <v>38</v>
      </c>
      <c r="L72" s="146"/>
      <c r="M72" s="70"/>
      <c r="N72" s="75"/>
      <c r="O72" s="75"/>
      <c r="P72" s="79"/>
      <c r="Q72" s="247"/>
      <c r="R72" s="75"/>
      <c r="S72" s="75"/>
      <c r="T72" s="75"/>
      <c r="U72" s="79"/>
    </row>
    <row r="73" spans="1:21" ht="30" x14ac:dyDescent="0.25">
      <c r="A73" s="75">
        <f t="shared" si="14"/>
        <v>65</v>
      </c>
      <c r="B73" s="98">
        <v>46052</v>
      </c>
      <c r="C73" s="72">
        <v>8610578</v>
      </c>
      <c r="D73" s="73">
        <v>53914735</v>
      </c>
      <c r="E73" s="74">
        <v>57.2</v>
      </c>
      <c r="F73" s="461">
        <v>495.79</v>
      </c>
      <c r="G73" s="31">
        <f t="shared" si="12"/>
        <v>28359.188000000002</v>
      </c>
      <c r="H73" s="36">
        <v>43524.160000000003</v>
      </c>
      <c r="I73" s="37">
        <f t="shared" si="13"/>
        <v>2489581.9520000005</v>
      </c>
      <c r="J73" s="189" t="s">
        <v>22</v>
      </c>
      <c r="K73" s="356" t="s">
        <v>38</v>
      </c>
      <c r="L73" s="146"/>
      <c r="M73" s="70"/>
      <c r="N73" s="75"/>
      <c r="O73" s="75"/>
      <c r="P73" s="79"/>
      <c r="Q73" s="247"/>
      <c r="R73" s="75"/>
      <c r="S73" s="75"/>
      <c r="T73" s="75"/>
      <c r="U73" s="79"/>
    </row>
    <row r="74" spans="1:21" ht="30" x14ac:dyDescent="0.25">
      <c r="A74" s="75">
        <f t="shared" si="14"/>
        <v>66</v>
      </c>
      <c r="B74" s="98">
        <v>46052</v>
      </c>
      <c r="C74" s="72">
        <v>8610577</v>
      </c>
      <c r="D74" s="73">
        <v>53950267</v>
      </c>
      <c r="E74" s="74">
        <v>56.5</v>
      </c>
      <c r="F74" s="461">
        <v>495.79</v>
      </c>
      <c r="G74" s="31">
        <f t="shared" si="12"/>
        <v>28012.135000000002</v>
      </c>
      <c r="H74" s="36">
        <v>43524.160000000003</v>
      </c>
      <c r="I74" s="37">
        <f t="shared" si="13"/>
        <v>2459115.04</v>
      </c>
      <c r="J74" s="189" t="s">
        <v>22</v>
      </c>
      <c r="K74" s="356" t="s">
        <v>38</v>
      </c>
      <c r="L74" s="146"/>
      <c r="M74" s="70"/>
      <c r="N74" s="75"/>
      <c r="O74" s="75"/>
      <c r="P74" s="79"/>
      <c r="Q74" s="247"/>
      <c r="R74" s="75"/>
      <c r="S74" s="75"/>
      <c r="T74" s="75"/>
      <c r="U74" s="79"/>
    </row>
    <row r="75" spans="1:21" ht="30" x14ac:dyDescent="0.25">
      <c r="A75" s="75">
        <f t="shared" si="14"/>
        <v>67</v>
      </c>
      <c r="B75" s="98">
        <v>46052</v>
      </c>
      <c r="C75" s="72">
        <v>8610579</v>
      </c>
      <c r="D75" s="73">
        <v>54027081</v>
      </c>
      <c r="E75" s="74">
        <v>61.55</v>
      </c>
      <c r="F75" s="461">
        <v>495.79</v>
      </c>
      <c r="G75" s="31">
        <f t="shared" si="12"/>
        <v>30515.874499999998</v>
      </c>
      <c r="H75" s="36">
        <v>43524.160000000003</v>
      </c>
      <c r="I75" s="37">
        <f t="shared" si="13"/>
        <v>2678912.048</v>
      </c>
      <c r="J75" s="189" t="s">
        <v>22</v>
      </c>
      <c r="K75" s="356" t="s">
        <v>38</v>
      </c>
      <c r="L75" s="146"/>
      <c r="M75" s="70"/>
      <c r="N75" s="75"/>
      <c r="O75" s="75"/>
      <c r="P75" s="79"/>
      <c r="Q75" s="247"/>
      <c r="R75" s="75"/>
      <c r="S75" s="75"/>
      <c r="T75" s="75"/>
      <c r="U75" s="79"/>
    </row>
    <row r="76" spans="1:21" ht="30" x14ac:dyDescent="0.25">
      <c r="A76" s="75">
        <f t="shared" si="14"/>
        <v>68</v>
      </c>
      <c r="B76" s="98">
        <v>46052</v>
      </c>
      <c r="C76" s="72">
        <v>8610579</v>
      </c>
      <c r="D76" s="73">
        <v>54247283</v>
      </c>
      <c r="E76" s="74">
        <v>60.85</v>
      </c>
      <c r="F76" s="461">
        <v>495.79</v>
      </c>
      <c r="G76" s="31">
        <f t="shared" si="12"/>
        <v>30168.821500000002</v>
      </c>
      <c r="H76" s="36">
        <v>43524.160000000003</v>
      </c>
      <c r="I76" s="37">
        <f t="shared" si="13"/>
        <v>2648445.1360000004</v>
      </c>
      <c r="J76" s="189" t="s">
        <v>22</v>
      </c>
      <c r="K76" s="356" t="s">
        <v>38</v>
      </c>
      <c r="L76" s="146"/>
      <c r="M76" s="70"/>
      <c r="N76" s="75"/>
      <c r="O76" s="75"/>
      <c r="P76" s="79"/>
      <c r="Q76" s="247"/>
      <c r="R76" s="75"/>
      <c r="S76" s="75"/>
      <c r="T76" s="75"/>
      <c r="U76" s="79"/>
    </row>
    <row r="77" spans="1:21" ht="30" x14ac:dyDescent="0.25">
      <c r="A77" s="75">
        <f t="shared" si="14"/>
        <v>69</v>
      </c>
      <c r="B77" s="98">
        <v>46052</v>
      </c>
      <c r="C77" s="72">
        <v>8610577</v>
      </c>
      <c r="D77" s="73">
        <v>54596903</v>
      </c>
      <c r="E77" s="74">
        <v>61.25</v>
      </c>
      <c r="F77" s="461">
        <v>495.79</v>
      </c>
      <c r="G77" s="31">
        <f t="shared" si="12"/>
        <v>30367.137500000001</v>
      </c>
      <c r="H77" s="36">
        <v>43524.160000000003</v>
      </c>
      <c r="I77" s="37">
        <f t="shared" si="13"/>
        <v>2665854.8000000003</v>
      </c>
      <c r="J77" s="189" t="s">
        <v>22</v>
      </c>
      <c r="K77" s="356" t="s">
        <v>38</v>
      </c>
      <c r="L77" s="146"/>
      <c r="M77" s="70"/>
      <c r="N77" s="75"/>
      <c r="O77" s="75"/>
      <c r="P77" s="79"/>
      <c r="Q77" s="247"/>
      <c r="R77" s="75"/>
      <c r="S77" s="75"/>
      <c r="T77" s="75"/>
      <c r="U77" s="79"/>
    </row>
    <row r="78" spans="1:21" ht="30" x14ac:dyDescent="0.25">
      <c r="A78" s="75">
        <f t="shared" si="14"/>
        <v>70</v>
      </c>
      <c r="B78" s="98">
        <v>46052</v>
      </c>
      <c r="C78" s="72">
        <v>8610577</v>
      </c>
      <c r="D78" s="73">
        <v>54744867</v>
      </c>
      <c r="E78" s="74">
        <v>63.25</v>
      </c>
      <c r="F78" s="461">
        <v>495.79</v>
      </c>
      <c r="G78" s="31">
        <f t="shared" si="12"/>
        <v>31358.717500000002</v>
      </c>
      <c r="H78" s="36">
        <v>43524.160000000003</v>
      </c>
      <c r="I78" s="37">
        <f t="shared" si="13"/>
        <v>2752903.12</v>
      </c>
      <c r="J78" s="189" t="s">
        <v>22</v>
      </c>
      <c r="K78" s="356" t="s">
        <v>38</v>
      </c>
      <c r="L78" s="146"/>
      <c r="M78" s="70"/>
      <c r="N78" s="75"/>
      <c r="O78" s="75"/>
      <c r="P78" s="79"/>
      <c r="Q78" s="247"/>
      <c r="R78" s="75"/>
      <c r="S78" s="75"/>
      <c r="T78" s="75"/>
      <c r="U78" s="79"/>
    </row>
    <row r="79" spans="1:21" ht="30" x14ac:dyDescent="0.25">
      <c r="A79" s="75">
        <f t="shared" si="14"/>
        <v>71</v>
      </c>
      <c r="B79" s="98">
        <v>46052</v>
      </c>
      <c r="C79" s="72">
        <v>8610578</v>
      </c>
      <c r="D79" s="73">
        <v>57451411</v>
      </c>
      <c r="E79" s="74">
        <v>62.1</v>
      </c>
      <c r="F79" s="461">
        <v>495.79</v>
      </c>
      <c r="G79" s="31">
        <f t="shared" si="12"/>
        <v>30788.559000000001</v>
      </c>
      <c r="H79" s="36">
        <v>43524.160000000003</v>
      </c>
      <c r="I79" s="37">
        <f t="shared" si="13"/>
        <v>2702850.3360000001</v>
      </c>
      <c r="J79" s="189" t="s">
        <v>22</v>
      </c>
      <c r="K79" s="356" t="s">
        <v>38</v>
      </c>
      <c r="L79" s="146"/>
      <c r="M79" s="70"/>
      <c r="N79" s="75"/>
      <c r="O79" s="75"/>
      <c r="P79" s="79"/>
      <c r="Q79" s="247"/>
      <c r="R79" s="75"/>
      <c r="S79" s="75"/>
      <c r="T79" s="75"/>
      <c r="U79" s="79"/>
    </row>
    <row r="80" spans="1:21" ht="30" x14ac:dyDescent="0.25">
      <c r="A80" s="75">
        <f t="shared" si="14"/>
        <v>72</v>
      </c>
      <c r="B80" s="98">
        <v>46052</v>
      </c>
      <c r="C80" s="72">
        <v>8610579</v>
      </c>
      <c r="D80" s="73">
        <v>57462095</v>
      </c>
      <c r="E80" s="74">
        <v>61.45</v>
      </c>
      <c r="F80" s="461">
        <v>495.79</v>
      </c>
      <c r="G80" s="31">
        <f t="shared" si="12"/>
        <v>30466.295500000004</v>
      </c>
      <c r="H80" s="36">
        <v>43524.160000000003</v>
      </c>
      <c r="I80" s="37">
        <f t="shared" si="13"/>
        <v>2674559.6320000002</v>
      </c>
      <c r="J80" s="189" t="s">
        <v>22</v>
      </c>
      <c r="K80" s="356" t="s">
        <v>38</v>
      </c>
      <c r="L80" s="146"/>
      <c r="M80" s="70"/>
      <c r="N80" s="75"/>
      <c r="O80" s="75"/>
      <c r="P80" s="79"/>
      <c r="Q80" s="247"/>
      <c r="R80" s="75"/>
      <c r="S80" s="75"/>
      <c r="T80" s="75"/>
      <c r="U80" s="79"/>
    </row>
    <row r="81" spans="1:21" ht="30" x14ac:dyDescent="0.25">
      <c r="A81" s="75">
        <f t="shared" si="14"/>
        <v>73</v>
      </c>
      <c r="B81" s="98">
        <v>46052</v>
      </c>
      <c r="C81" s="72">
        <v>8610579</v>
      </c>
      <c r="D81" s="73">
        <v>57462491</v>
      </c>
      <c r="E81" s="74">
        <v>60.35</v>
      </c>
      <c r="F81" s="461">
        <v>495.79</v>
      </c>
      <c r="G81" s="31">
        <f t="shared" si="12"/>
        <v>29920.926500000001</v>
      </c>
      <c r="H81" s="36">
        <v>43524.160000000003</v>
      </c>
      <c r="I81" s="37">
        <f t="shared" si="13"/>
        <v>2626683.0560000003</v>
      </c>
      <c r="J81" s="189" t="s">
        <v>22</v>
      </c>
      <c r="K81" s="356" t="s">
        <v>38</v>
      </c>
      <c r="L81" s="146"/>
      <c r="M81" s="70"/>
      <c r="N81" s="75"/>
      <c r="O81" s="75"/>
      <c r="P81" s="79"/>
      <c r="Q81" s="247"/>
      <c r="R81" s="75"/>
      <c r="S81" s="75"/>
      <c r="T81" s="75"/>
      <c r="U81" s="79"/>
    </row>
    <row r="82" spans="1:21" ht="30" x14ac:dyDescent="0.25">
      <c r="A82" s="75">
        <f t="shared" si="14"/>
        <v>74</v>
      </c>
      <c r="B82" s="98">
        <v>46052</v>
      </c>
      <c r="C82" s="72">
        <v>8610579</v>
      </c>
      <c r="D82" s="73">
        <v>57645699</v>
      </c>
      <c r="E82" s="74">
        <v>62.15</v>
      </c>
      <c r="F82" s="461">
        <v>495.79</v>
      </c>
      <c r="G82" s="31">
        <f t="shared" si="12"/>
        <v>30813.3485</v>
      </c>
      <c r="H82" s="36">
        <v>43524.160000000003</v>
      </c>
      <c r="I82" s="37">
        <f t="shared" si="13"/>
        <v>2705026.5440000002</v>
      </c>
      <c r="J82" s="189" t="s">
        <v>22</v>
      </c>
      <c r="K82" s="356" t="s">
        <v>38</v>
      </c>
      <c r="L82" s="146"/>
      <c r="M82" s="70"/>
      <c r="N82" s="75"/>
      <c r="O82" s="75"/>
      <c r="P82" s="79"/>
      <c r="Q82" s="247"/>
      <c r="R82" s="75"/>
      <c r="S82" s="75"/>
      <c r="T82" s="75"/>
      <c r="U82" s="79"/>
    </row>
    <row r="83" spans="1:21" ht="30" x14ac:dyDescent="0.25">
      <c r="A83" s="75">
        <f t="shared" si="14"/>
        <v>75</v>
      </c>
      <c r="B83" s="98">
        <v>46052</v>
      </c>
      <c r="C83" s="72">
        <v>8610579</v>
      </c>
      <c r="D83" s="73">
        <v>57677817</v>
      </c>
      <c r="E83" s="74">
        <v>63.25</v>
      </c>
      <c r="F83" s="461">
        <v>495.79</v>
      </c>
      <c r="G83" s="31">
        <f t="shared" si="12"/>
        <v>31358.717500000002</v>
      </c>
      <c r="H83" s="36">
        <v>43524.160000000003</v>
      </c>
      <c r="I83" s="37">
        <f t="shared" si="13"/>
        <v>2752903.12</v>
      </c>
      <c r="J83" s="189" t="s">
        <v>22</v>
      </c>
      <c r="K83" s="356" t="s">
        <v>38</v>
      </c>
      <c r="L83" s="146"/>
      <c r="M83" s="70"/>
      <c r="N83" s="75"/>
      <c r="O83" s="75"/>
      <c r="P83" s="79"/>
      <c r="Q83" s="247"/>
      <c r="R83" s="75"/>
      <c r="S83" s="75"/>
      <c r="T83" s="75"/>
      <c r="U83" s="79"/>
    </row>
    <row r="84" spans="1:21" ht="30" x14ac:dyDescent="0.25">
      <c r="A84" s="75">
        <f t="shared" si="14"/>
        <v>76</v>
      </c>
      <c r="B84" s="98">
        <v>46052</v>
      </c>
      <c r="C84" s="72">
        <v>8610579</v>
      </c>
      <c r="D84" s="73">
        <v>57967382</v>
      </c>
      <c r="E84" s="74">
        <v>63.55</v>
      </c>
      <c r="F84" s="461">
        <v>495.79</v>
      </c>
      <c r="G84" s="31">
        <f t="shared" si="12"/>
        <v>31507.4545</v>
      </c>
      <c r="H84" s="36">
        <v>43524.160000000003</v>
      </c>
      <c r="I84" s="37">
        <f t="shared" si="13"/>
        <v>2765960.3680000002</v>
      </c>
      <c r="J84" s="189" t="s">
        <v>22</v>
      </c>
      <c r="K84" s="356" t="s">
        <v>38</v>
      </c>
      <c r="L84" s="146"/>
      <c r="M84" s="70"/>
      <c r="N84" s="75"/>
      <c r="O84" s="75"/>
      <c r="P84" s="79"/>
      <c r="Q84" s="247"/>
      <c r="R84" s="75"/>
      <c r="S84" s="75"/>
      <c r="T84" s="75"/>
      <c r="U84" s="79"/>
    </row>
    <row r="85" spans="1:21" ht="30" x14ac:dyDescent="0.25">
      <c r="A85" s="75">
        <f t="shared" si="14"/>
        <v>77</v>
      </c>
      <c r="B85" s="98">
        <v>46052</v>
      </c>
      <c r="C85" s="72">
        <v>8610579</v>
      </c>
      <c r="D85" s="73">
        <v>58638040</v>
      </c>
      <c r="E85" s="74">
        <v>61.7</v>
      </c>
      <c r="F85" s="461">
        <v>495.79</v>
      </c>
      <c r="G85" s="31">
        <f t="shared" si="12"/>
        <v>30590.243000000002</v>
      </c>
      <c r="H85" s="36">
        <v>43524.160000000003</v>
      </c>
      <c r="I85" s="37">
        <f t="shared" si="13"/>
        <v>2685440.6720000003</v>
      </c>
      <c r="J85" s="189" t="s">
        <v>22</v>
      </c>
      <c r="K85" s="356" t="s">
        <v>38</v>
      </c>
      <c r="L85" s="146"/>
      <c r="M85" s="70"/>
      <c r="N85" s="75"/>
      <c r="O85" s="75"/>
      <c r="P85" s="79"/>
      <c r="Q85" s="247"/>
      <c r="R85" s="75"/>
      <c r="S85" s="75"/>
      <c r="T85" s="75"/>
      <c r="U85" s="79"/>
    </row>
    <row r="86" spans="1:21" ht="30" x14ac:dyDescent="0.25">
      <c r="A86" s="75">
        <f t="shared" si="14"/>
        <v>78</v>
      </c>
      <c r="B86" s="98">
        <v>46052</v>
      </c>
      <c r="C86" s="72">
        <v>8610577</v>
      </c>
      <c r="D86" s="73">
        <v>73107260</v>
      </c>
      <c r="E86" s="74">
        <v>63.55</v>
      </c>
      <c r="F86" s="461">
        <v>495.79</v>
      </c>
      <c r="G86" s="31">
        <f t="shared" si="12"/>
        <v>31507.4545</v>
      </c>
      <c r="H86" s="36">
        <v>43524.160000000003</v>
      </c>
      <c r="I86" s="37">
        <f t="shared" si="13"/>
        <v>2765960.3680000002</v>
      </c>
      <c r="J86" s="189" t="s">
        <v>22</v>
      </c>
      <c r="K86" s="356" t="s">
        <v>38</v>
      </c>
      <c r="L86" s="146"/>
      <c r="M86" s="70"/>
      <c r="N86" s="75"/>
      <c r="O86" s="75"/>
      <c r="P86" s="79"/>
      <c r="Q86" s="247"/>
      <c r="R86" s="75"/>
      <c r="S86" s="75"/>
      <c r="T86" s="75"/>
      <c r="U86" s="79"/>
    </row>
    <row r="87" spans="1:21" ht="30" x14ac:dyDescent="0.25">
      <c r="A87" s="75">
        <f t="shared" si="14"/>
        <v>79</v>
      </c>
      <c r="B87" s="98">
        <v>46052</v>
      </c>
      <c r="C87" s="72">
        <v>8610578</v>
      </c>
      <c r="D87" s="73">
        <v>73110702</v>
      </c>
      <c r="E87" s="74">
        <v>60.85</v>
      </c>
      <c r="F87" s="461">
        <v>495.79</v>
      </c>
      <c r="G87" s="31">
        <f t="shared" si="12"/>
        <v>30168.821500000002</v>
      </c>
      <c r="H87" s="36">
        <v>43524.160000000003</v>
      </c>
      <c r="I87" s="37">
        <f t="shared" si="13"/>
        <v>2648445.1360000004</v>
      </c>
      <c r="J87" s="189" t="s">
        <v>22</v>
      </c>
      <c r="K87" s="356" t="s">
        <v>38</v>
      </c>
      <c r="L87" s="146"/>
      <c r="M87" s="70"/>
      <c r="N87" s="75"/>
      <c r="O87" s="75"/>
      <c r="P87" s="79"/>
      <c r="Q87" s="247"/>
      <c r="R87" s="75"/>
      <c r="S87" s="75"/>
      <c r="T87" s="75"/>
      <c r="U87" s="79"/>
    </row>
    <row r="88" spans="1:21" ht="30" x14ac:dyDescent="0.25">
      <c r="A88" s="75">
        <f t="shared" si="14"/>
        <v>80</v>
      </c>
      <c r="B88" s="98">
        <v>46052</v>
      </c>
      <c r="C88" s="72">
        <v>8610577</v>
      </c>
      <c r="D88" s="73">
        <v>73117749</v>
      </c>
      <c r="E88" s="74">
        <v>62.75</v>
      </c>
      <c r="F88" s="461">
        <v>495.79</v>
      </c>
      <c r="G88" s="31">
        <f t="shared" si="12"/>
        <v>31110.822500000002</v>
      </c>
      <c r="H88" s="36">
        <v>43524.160000000003</v>
      </c>
      <c r="I88" s="37">
        <f t="shared" si="13"/>
        <v>2731141.04</v>
      </c>
      <c r="J88" s="189" t="s">
        <v>22</v>
      </c>
      <c r="K88" s="356" t="s">
        <v>38</v>
      </c>
      <c r="L88" s="146"/>
      <c r="M88" s="70"/>
      <c r="N88" s="75"/>
      <c r="O88" s="75"/>
      <c r="P88" s="79"/>
      <c r="Q88" s="247"/>
      <c r="R88" s="75"/>
      <c r="S88" s="75"/>
      <c r="T88" s="75"/>
      <c r="U88" s="79"/>
    </row>
    <row r="89" spans="1:21" ht="30" x14ac:dyDescent="0.25">
      <c r="A89" s="75">
        <f t="shared" si="14"/>
        <v>81</v>
      </c>
      <c r="B89" s="98">
        <v>46052</v>
      </c>
      <c r="C89" s="72">
        <v>8610578</v>
      </c>
      <c r="D89" s="73">
        <v>73119604</v>
      </c>
      <c r="E89" s="74">
        <v>60.5</v>
      </c>
      <c r="F89" s="461">
        <v>495.79</v>
      </c>
      <c r="G89" s="31">
        <f t="shared" si="12"/>
        <v>29995.295000000002</v>
      </c>
      <c r="H89" s="36">
        <v>43524.160000000003</v>
      </c>
      <c r="I89" s="37">
        <f t="shared" si="13"/>
        <v>2633211.6800000002</v>
      </c>
      <c r="J89" s="189" t="s">
        <v>22</v>
      </c>
      <c r="K89" s="356" t="s">
        <v>38</v>
      </c>
      <c r="L89" s="146"/>
      <c r="M89" s="70"/>
      <c r="N89" s="75"/>
      <c r="O89" s="75"/>
      <c r="P89" s="79"/>
      <c r="Q89" s="247"/>
      <c r="R89" s="75"/>
      <c r="S89" s="75"/>
      <c r="T89" s="75"/>
      <c r="U89" s="79"/>
    </row>
    <row r="90" spans="1:21" ht="30" x14ac:dyDescent="0.25">
      <c r="A90" s="75">
        <f t="shared" si="14"/>
        <v>82</v>
      </c>
      <c r="B90" s="98">
        <v>46052</v>
      </c>
      <c r="C90" s="72">
        <v>8610577</v>
      </c>
      <c r="D90" s="73">
        <v>73121931</v>
      </c>
      <c r="E90" s="74">
        <v>60.25</v>
      </c>
      <c r="F90" s="461">
        <v>495.79</v>
      </c>
      <c r="G90" s="31">
        <f t="shared" si="12"/>
        <v>29871.3475</v>
      </c>
      <c r="H90" s="36">
        <v>43524.160000000003</v>
      </c>
      <c r="I90" s="37">
        <f t="shared" si="13"/>
        <v>2622330.64</v>
      </c>
      <c r="J90" s="189" t="s">
        <v>22</v>
      </c>
      <c r="K90" s="356" t="s">
        <v>38</v>
      </c>
      <c r="L90" s="146"/>
      <c r="M90" s="70"/>
      <c r="N90" s="75"/>
      <c r="O90" s="75"/>
      <c r="P90" s="79"/>
      <c r="Q90" s="247"/>
      <c r="R90" s="75"/>
      <c r="S90" s="75"/>
      <c r="T90" s="75"/>
      <c r="U90" s="79"/>
    </row>
    <row r="91" spans="1:21" ht="30" x14ac:dyDescent="0.25">
      <c r="A91" s="75">
        <f t="shared" si="14"/>
        <v>83</v>
      </c>
      <c r="B91" s="98">
        <v>46052</v>
      </c>
      <c r="C91" s="72">
        <v>8610577</v>
      </c>
      <c r="D91" s="73">
        <v>73127011</v>
      </c>
      <c r="E91" s="74">
        <v>63.15</v>
      </c>
      <c r="F91" s="461">
        <v>495.79</v>
      </c>
      <c r="G91" s="31">
        <f t="shared" si="12"/>
        <v>31309.138500000001</v>
      </c>
      <c r="H91" s="36">
        <v>43524.160000000003</v>
      </c>
      <c r="I91" s="37">
        <f t="shared" si="13"/>
        <v>2748550.7040000004</v>
      </c>
      <c r="J91" s="189" t="s">
        <v>22</v>
      </c>
      <c r="K91" s="356" t="s">
        <v>38</v>
      </c>
      <c r="L91" s="146"/>
      <c r="M91" s="70"/>
      <c r="N91" s="75"/>
      <c r="O91" s="75"/>
      <c r="P91" s="79"/>
      <c r="Q91" s="247"/>
      <c r="R91" s="75"/>
      <c r="S91" s="75"/>
      <c r="T91" s="75"/>
      <c r="U91" s="79"/>
    </row>
    <row r="92" spans="1:21" ht="30" x14ac:dyDescent="0.25">
      <c r="A92" s="75">
        <f t="shared" si="14"/>
        <v>84</v>
      </c>
      <c r="B92" s="98">
        <v>46052</v>
      </c>
      <c r="C92" s="72">
        <v>8610578</v>
      </c>
      <c r="D92" s="73">
        <v>73168726</v>
      </c>
      <c r="E92" s="74">
        <v>60.1</v>
      </c>
      <c r="F92" s="461">
        <v>495.79</v>
      </c>
      <c r="G92" s="31">
        <f t="shared" si="12"/>
        <v>29796.979000000003</v>
      </c>
      <c r="H92" s="36">
        <v>43524.160000000003</v>
      </c>
      <c r="I92" s="37">
        <f t="shared" si="13"/>
        <v>2615802.0160000003</v>
      </c>
      <c r="J92" s="189" t="s">
        <v>22</v>
      </c>
      <c r="K92" s="356" t="s">
        <v>38</v>
      </c>
      <c r="L92" s="146"/>
      <c r="M92" s="70"/>
      <c r="N92" s="75"/>
      <c r="O92" s="75"/>
      <c r="P92" s="79"/>
      <c r="Q92" s="247"/>
      <c r="R92" s="75"/>
      <c r="S92" s="75"/>
      <c r="T92" s="75"/>
      <c r="U92" s="79"/>
    </row>
    <row r="93" spans="1:21" ht="30" x14ac:dyDescent="0.25">
      <c r="A93" s="75">
        <f t="shared" si="14"/>
        <v>85</v>
      </c>
      <c r="B93" s="98">
        <v>46052</v>
      </c>
      <c r="C93" s="72">
        <v>8610577</v>
      </c>
      <c r="D93" s="73">
        <v>73229858</v>
      </c>
      <c r="E93" s="74">
        <v>63.05</v>
      </c>
      <c r="F93" s="461">
        <v>495.79</v>
      </c>
      <c r="G93" s="31">
        <f t="shared" si="12"/>
        <v>31259.559499999999</v>
      </c>
      <c r="H93" s="36">
        <v>43524.160000000003</v>
      </c>
      <c r="I93" s="37">
        <f t="shared" si="13"/>
        <v>2744198.2880000002</v>
      </c>
      <c r="J93" s="189" t="s">
        <v>22</v>
      </c>
      <c r="K93" s="356" t="s">
        <v>38</v>
      </c>
      <c r="L93" s="146"/>
      <c r="M93" s="70"/>
      <c r="N93" s="75"/>
      <c r="O93" s="75"/>
      <c r="P93" s="79"/>
      <c r="Q93" s="247"/>
      <c r="R93" s="75"/>
      <c r="S93" s="75"/>
      <c r="T93" s="75"/>
      <c r="U93" s="79"/>
    </row>
    <row r="94" spans="1:21" ht="30" x14ac:dyDescent="0.25">
      <c r="A94" s="75">
        <f t="shared" si="14"/>
        <v>86</v>
      </c>
      <c r="B94" s="98">
        <v>46052</v>
      </c>
      <c r="C94" s="72">
        <v>8610578</v>
      </c>
      <c r="D94" s="73">
        <v>75226803</v>
      </c>
      <c r="E94" s="74">
        <v>59.7</v>
      </c>
      <c r="F94" s="461">
        <v>495.79</v>
      </c>
      <c r="G94" s="31">
        <f t="shared" si="12"/>
        <v>29598.663000000004</v>
      </c>
      <c r="H94" s="36">
        <v>43524.160000000003</v>
      </c>
      <c r="I94" s="37">
        <f t="shared" si="13"/>
        <v>2598392.3520000004</v>
      </c>
      <c r="J94" s="189" t="s">
        <v>22</v>
      </c>
      <c r="K94" s="356" t="s">
        <v>38</v>
      </c>
      <c r="L94" s="146"/>
      <c r="M94" s="70"/>
      <c r="N94" s="75"/>
      <c r="O94" s="75"/>
      <c r="P94" s="79"/>
      <c r="Q94" s="247"/>
      <c r="R94" s="75"/>
      <c r="S94" s="75"/>
      <c r="T94" s="75"/>
      <c r="U94" s="79"/>
    </row>
    <row r="95" spans="1:21" ht="30" x14ac:dyDescent="0.25">
      <c r="A95" s="75">
        <f t="shared" si="14"/>
        <v>87</v>
      </c>
      <c r="B95" s="98">
        <v>46052</v>
      </c>
      <c r="C95" s="72">
        <v>8610578</v>
      </c>
      <c r="D95" s="73">
        <v>75261305</v>
      </c>
      <c r="E95" s="74">
        <v>60.9</v>
      </c>
      <c r="F95" s="461">
        <v>495.79</v>
      </c>
      <c r="G95" s="31">
        <f t="shared" si="12"/>
        <v>30193.611000000001</v>
      </c>
      <c r="H95" s="36">
        <v>43524.160000000003</v>
      </c>
      <c r="I95" s="37">
        <f t="shared" si="13"/>
        <v>2650621.344</v>
      </c>
      <c r="J95" s="189" t="s">
        <v>22</v>
      </c>
      <c r="K95" s="356" t="s">
        <v>38</v>
      </c>
      <c r="L95" s="146"/>
      <c r="M95" s="70"/>
      <c r="N95" s="75"/>
      <c r="O95" s="75"/>
      <c r="P95" s="79"/>
      <c r="Q95" s="247"/>
      <c r="R95" s="75"/>
      <c r="S95" s="75"/>
      <c r="T95" s="75"/>
      <c r="U95" s="79"/>
    </row>
    <row r="96" spans="1:21" ht="30" x14ac:dyDescent="0.25">
      <c r="A96" s="75">
        <f t="shared" si="14"/>
        <v>88</v>
      </c>
      <c r="B96" s="98">
        <v>46052</v>
      </c>
      <c r="C96" s="72">
        <v>8610577</v>
      </c>
      <c r="D96" s="73">
        <v>75266007</v>
      </c>
      <c r="E96" s="74">
        <v>63.1</v>
      </c>
      <c r="F96" s="461">
        <v>495.79</v>
      </c>
      <c r="G96" s="31">
        <f t="shared" si="12"/>
        <v>31284.349000000002</v>
      </c>
      <c r="H96" s="36">
        <v>43524.160000000003</v>
      </c>
      <c r="I96" s="37">
        <f t="shared" si="13"/>
        <v>2746374.4960000003</v>
      </c>
      <c r="J96" s="189" t="s">
        <v>22</v>
      </c>
      <c r="K96" s="356" t="s">
        <v>38</v>
      </c>
      <c r="L96" s="146"/>
      <c r="M96" s="70"/>
      <c r="N96" s="75"/>
      <c r="O96" s="75"/>
      <c r="P96" s="79"/>
      <c r="Q96" s="247"/>
      <c r="R96" s="75"/>
      <c r="S96" s="75"/>
      <c r="T96" s="75"/>
      <c r="U96" s="79"/>
    </row>
    <row r="97" spans="1:21" ht="15" customHeight="1" thickBot="1" x14ac:dyDescent="0.3">
      <c r="A97" s="105">
        <f t="shared" si="14"/>
        <v>89</v>
      </c>
      <c r="B97" s="135">
        <v>46052</v>
      </c>
      <c r="C97" s="102">
        <v>8610578</v>
      </c>
      <c r="D97" s="103">
        <v>75402495</v>
      </c>
      <c r="E97" s="104">
        <v>60.4</v>
      </c>
      <c r="F97" s="461">
        <v>495.79</v>
      </c>
      <c r="G97" s="106">
        <f t="shared" si="12"/>
        <v>29945.716</v>
      </c>
      <c r="H97" s="38">
        <v>43524.160000000003</v>
      </c>
      <c r="I97" s="39">
        <f t="shared" si="13"/>
        <v>2628859.264</v>
      </c>
      <c r="J97" s="189" t="s">
        <v>22</v>
      </c>
      <c r="K97" s="357" t="s">
        <v>38</v>
      </c>
      <c r="L97" s="149"/>
      <c r="M97" s="101"/>
      <c r="N97" s="105"/>
      <c r="O97" s="105"/>
      <c r="P97" s="112"/>
      <c r="Q97" s="386"/>
      <c r="R97" s="105"/>
      <c r="S97" s="105"/>
      <c r="T97" s="105"/>
      <c r="U97" s="112"/>
    </row>
    <row r="98" spans="1:21" ht="15.75" thickBot="1" x14ac:dyDescent="0.3">
      <c r="A98" s="472"/>
      <c r="B98" s="473"/>
      <c r="C98" s="473"/>
      <c r="D98" s="473"/>
      <c r="E98" s="474">
        <f>SUM(E66:E97)</f>
        <v>1959.4</v>
      </c>
      <c r="F98" s="473"/>
      <c r="G98" s="475">
        <f>SUM(G66:G97)</f>
        <v>971450.92600000033</v>
      </c>
      <c r="H98" s="476"/>
      <c r="I98" s="477">
        <f>SUM(I66:I97)</f>
        <v>85281239.104000002</v>
      </c>
      <c r="J98" s="473"/>
      <c r="K98" s="480"/>
      <c r="L98" s="479"/>
      <c r="M98" s="472"/>
      <c r="N98" s="473"/>
      <c r="O98" s="473"/>
      <c r="P98" s="480"/>
      <c r="Q98" s="481"/>
      <c r="R98" s="473"/>
      <c r="S98" s="473"/>
      <c r="T98" s="473"/>
      <c r="U98" s="480"/>
    </row>
    <row r="99" spans="1:21" ht="16.5" customHeight="1" x14ac:dyDescent="0.25">
      <c r="A99" s="140">
        <v>90</v>
      </c>
      <c r="B99" s="71">
        <v>46053</v>
      </c>
      <c r="C99" s="72">
        <v>8610625</v>
      </c>
      <c r="D99" s="73">
        <v>50778521</v>
      </c>
      <c r="E99" s="74">
        <v>57.8</v>
      </c>
      <c r="F99" s="461">
        <v>495.79</v>
      </c>
      <c r="G99" s="31">
        <f t="shared" ref="G99:G110" si="15">E99*F99</f>
        <v>28656.662</v>
      </c>
      <c r="H99" s="36">
        <v>43524.160000000003</v>
      </c>
      <c r="I99" s="37">
        <f t="shared" ref="I99:I110" si="16">E99*H99</f>
        <v>2515696.4479999999</v>
      </c>
      <c r="J99" s="189" t="s">
        <v>22</v>
      </c>
      <c r="K99" s="356" t="s">
        <v>38</v>
      </c>
      <c r="L99" s="143"/>
      <c r="M99" s="57"/>
      <c r="N99" s="68"/>
      <c r="O99" s="68"/>
      <c r="P99" s="69"/>
      <c r="Q99" s="57"/>
      <c r="R99" s="68"/>
      <c r="S99" s="68"/>
      <c r="T99" s="68"/>
      <c r="U99" s="69"/>
    </row>
    <row r="100" spans="1:21" ht="16.5" customHeight="1" x14ac:dyDescent="0.25">
      <c r="A100" s="75">
        <f>A99+1</f>
        <v>91</v>
      </c>
      <c r="B100" s="71">
        <v>46053</v>
      </c>
      <c r="C100" s="72">
        <v>8610624</v>
      </c>
      <c r="D100" s="73">
        <v>50914191</v>
      </c>
      <c r="E100" s="74">
        <v>62.9</v>
      </c>
      <c r="F100" s="461">
        <v>495.79</v>
      </c>
      <c r="G100" s="31">
        <f t="shared" si="15"/>
        <v>31185.190999999999</v>
      </c>
      <c r="H100" s="36">
        <v>43524.160000000003</v>
      </c>
      <c r="I100" s="37">
        <f t="shared" si="16"/>
        <v>2737669.6640000003</v>
      </c>
      <c r="J100" s="189" t="s">
        <v>22</v>
      </c>
      <c r="K100" s="356" t="s">
        <v>38</v>
      </c>
      <c r="L100" s="146"/>
      <c r="M100" s="70"/>
      <c r="N100" s="75"/>
      <c r="O100" s="75"/>
      <c r="P100" s="79"/>
      <c r="Q100" s="70"/>
      <c r="R100" s="75"/>
      <c r="S100" s="75"/>
      <c r="T100" s="75"/>
      <c r="U100" s="79"/>
    </row>
    <row r="101" spans="1:21" ht="16.5" customHeight="1" x14ac:dyDescent="0.25">
      <c r="A101" s="75">
        <f t="shared" ref="A101:A110" si="17">A100+1</f>
        <v>92</v>
      </c>
      <c r="B101" s="71">
        <v>46053</v>
      </c>
      <c r="C101" s="72">
        <v>8610624</v>
      </c>
      <c r="D101" s="73">
        <v>51402246</v>
      </c>
      <c r="E101" s="74">
        <v>59.95</v>
      </c>
      <c r="F101" s="461">
        <v>495.79</v>
      </c>
      <c r="G101" s="31">
        <f t="shared" si="15"/>
        <v>29722.610500000003</v>
      </c>
      <c r="H101" s="36">
        <v>43524.160000000003</v>
      </c>
      <c r="I101" s="37">
        <f t="shared" si="16"/>
        <v>2609273.3920000005</v>
      </c>
      <c r="J101" s="189" t="s">
        <v>22</v>
      </c>
      <c r="K101" s="356" t="s">
        <v>38</v>
      </c>
      <c r="L101" s="146"/>
      <c r="M101" s="70"/>
      <c r="N101" s="75"/>
      <c r="O101" s="75"/>
      <c r="P101" s="79"/>
      <c r="Q101" s="70"/>
      <c r="R101" s="75"/>
      <c r="S101" s="75"/>
      <c r="T101" s="75"/>
      <c r="U101" s="79"/>
    </row>
    <row r="102" spans="1:21" ht="16.5" customHeight="1" x14ac:dyDescent="0.25">
      <c r="A102" s="75">
        <f t="shared" si="17"/>
        <v>93</v>
      </c>
      <c r="B102" s="71">
        <v>46053</v>
      </c>
      <c r="C102" s="72">
        <v>8610626</v>
      </c>
      <c r="D102" s="73">
        <v>57380495</v>
      </c>
      <c r="E102" s="74">
        <v>57.45</v>
      </c>
      <c r="F102" s="461">
        <v>495.79</v>
      </c>
      <c r="G102" s="31">
        <f t="shared" si="15"/>
        <v>28483.135500000004</v>
      </c>
      <c r="H102" s="36">
        <v>43524.160000000003</v>
      </c>
      <c r="I102" s="37">
        <f t="shared" si="16"/>
        <v>2500462.9920000006</v>
      </c>
      <c r="J102" s="189" t="s">
        <v>22</v>
      </c>
      <c r="K102" s="356" t="s">
        <v>38</v>
      </c>
      <c r="L102" s="146"/>
      <c r="M102" s="70"/>
      <c r="N102" s="75"/>
      <c r="O102" s="75"/>
      <c r="P102" s="79"/>
      <c r="Q102" s="70"/>
      <c r="R102" s="75"/>
      <c r="S102" s="75"/>
      <c r="T102" s="75"/>
      <c r="U102" s="79"/>
    </row>
    <row r="103" spans="1:21" ht="16.5" customHeight="1" x14ac:dyDescent="0.25">
      <c r="A103" s="75">
        <f t="shared" si="17"/>
        <v>94</v>
      </c>
      <c r="B103" s="71">
        <v>46053</v>
      </c>
      <c r="C103" s="72">
        <v>8610624</v>
      </c>
      <c r="D103" s="73">
        <v>57428559</v>
      </c>
      <c r="E103" s="74">
        <v>63.65</v>
      </c>
      <c r="F103" s="461">
        <v>495.79</v>
      </c>
      <c r="G103" s="31">
        <f t="shared" si="15"/>
        <v>31557.033500000001</v>
      </c>
      <c r="H103" s="36">
        <v>43524.160000000003</v>
      </c>
      <c r="I103" s="37">
        <f t="shared" si="16"/>
        <v>2770312.784</v>
      </c>
      <c r="J103" s="189" t="s">
        <v>22</v>
      </c>
      <c r="K103" s="356" t="s">
        <v>38</v>
      </c>
      <c r="L103" s="146"/>
      <c r="M103" s="70"/>
      <c r="N103" s="75"/>
      <c r="O103" s="75"/>
      <c r="P103" s="79"/>
      <c r="Q103" s="70"/>
      <c r="R103" s="75"/>
      <c r="S103" s="75"/>
      <c r="T103" s="75"/>
      <c r="U103" s="79"/>
    </row>
    <row r="104" spans="1:21" ht="16.5" customHeight="1" x14ac:dyDescent="0.25">
      <c r="A104" s="75">
        <f t="shared" si="17"/>
        <v>95</v>
      </c>
      <c r="B104" s="71">
        <v>46053</v>
      </c>
      <c r="C104" s="72">
        <v>8610624</v>
      </c>
      <c r="D104" s="73">
        <v>73065153</v>
      </c>
      <c r="E104" s="74">
        <v>61.55</v>
      </c>
      <c r="F104" s="461">
        <v>495.79</v>
      </c>
      <c r="G104" s="31">
        <f t="shared" si="15"/>
        <v>30515.874499999998</v>
      </c>
      <c r="H104" s="36">
        <v>43524.160000000003</v>
      </c>
      <c r="I104" s="37">
        <f t="shared" si="16"/>
        <v>2678912.048</v>
      </c>
      <c r="J104" s="189" t="s">
        <v>22</v>
      </c>
      <c r="K104" s="356" t="s">
        <v>38</v>
      </c>
      <c r="L104" s="146"/>
      <c r="M104" s="70"/>
      <c r="N104" s="75"/>
      <c r="O104" s="75"/>
      <c r="P104" s="79"/>
      <c r="Q104" s="70"/>
      <c r="R104" s="75"/>
      <c r="S104" s="75"/>
      <c r="T104" s="75"/>
      <c r="U104" s="79"/>
    </row>
    <row r="105" spans="1:21" ht="16.5" customHeight="1" x14ac:dyDescent="0.25">
      <c r="A105" s="75">
        <f t="shared" si="17"/>
        <v>96</v>
      </c>
      <c r="B105" s="71">
        <v>46053</v>
      </c>
      <c r="C105" s="72">
        <v>8610624</v>
      </c>
      <c r="D105" s="73">
        <v>73126559</v>
      </c>
      <c r="E105" s="74">
        <v>60.3</v>
      </c>
      <c r="F105" s="461">
        <v>495.79</v>
      </c>
      <c r="G105" s="31">
        <f t="shared" si="15"/>
        <v>29896.136999999999</v>
      </c>
      <c r="H105" s="36">
        <v>43524.160000000003</v>
      </c>
      <c r="I105" s="37">
        <f t="shared" si="16"/>
        <v>2624506.8480000002</v>
      </c>
      <c r="J105" s="189" t="s">
        <v>22</v>
      </c>
      <c r="K105" s="356" t="s">
        <v>38</v>
      </c>
      <c r="L105" s="146"/>
      <c r="M105" s="70"/>
      <c r="N105" s="75"/>
      <c r="O105" s="75"/>
      <c r="P105" s="79"/>
      <c r="Q105" s="70"/>
      <c r="R105" s="75"/>
      <c r="S105" s="75"/>
      <c r="T105" s="75"/>
      <c r="U105" s="79"/>
    </row>
    <row r="106" spans="1:21" ht="16.5" customHeight="1" x14ac:dyDescent="0.25">
      <c r="A106" s="75">
        <f t="shared" si="17"/>
        <v>97</v>
      </c>
      <c r="B106" s="71">
        <v>46053</v>
      </c>
      <c r="C106" s="72">
        <v>8610624</v>
      </c>
      <c r="D106" s="73">
        <v>73179814</v>
      </c>
      <c r="E106" s="74">
        <v>62.05</v>
      </c>
      <c r="F106" s="461">
        <v>495.79</v>
      </c>
      <c r="G106" s="31">
        <f t="shared" si="15"/>
        <v>30763.769499999999</v>
      </c>
      <c r="H106" s="36">
        <v>43524.160000000003</v>
      </c>
      <c r="I106" s="37">
        <f t="shared" si="16"/>
        <v>2700674.128</v>
      </c>
      <c r="J106" s="189" t="s">
        <v>22</v>
      </c>
      <c r="K106" s="356" t="s">
        <v>38</v>
      </c>
      <c r="L106" s="146"/>
      <c r="M106" s="70"/>
      <c r="N106" s="75"/>
      <c r="O106" s="75"/>
      <c r="P106" s="79"/>
      <c r="Q106" s="70"/>
      <c r="R106" s="75"/>
      <c r="S106" s="75"/>
      <c r="T106" s="75"/>
      <c r="U106" s="79"/>
    </row>
    <row r="107" spans="1:21" ht="16.5" customHeight="1" x14ac:dyDescent="0.25">
      <c r="A107" s="75">
        <f t="shared" si="17"/>
        <v>98</v>
      </c>
      <c r="B107" s="71">
        <v>46053</v>
      </c>
      <c r="C107" s="72">
        <v>8610624</v>
      </c>
      <c r="D107" s="73">
        <v>73222267</v>
      </c>
      <c r="E107" s="74">
        <v>62</v>
      </c>
      <c r="F107" s="461">
        <v>495.79</v>
      </c>
      <c r="G107" s="31">
        <f t="shared" si="15"/>
        <v>30738.98</v>
      </c>
      <c r="H107" s="36">
        <v>43524.160000000003</v>
      </c>
      <c r="I107" s="37">
        <f t="shared" si="16"/>
        <v>2698497.9200000004</v>
      </c>
      <c r="J107" s="189" t="s">
        <v>22</v>
      </c>
      <c r="K107" s="356" t="s">
        <v>38</v>
      </c>
      <c r="L107" s="146"/>
      <c r="M107" s="70"/>
      <c r="N107" s="75"/>
      <c r="O107" s="75"/>
      <c r="P107" s="79"/>
      <c r="Q107" s="70"/>
      <c r="R107" s="75"/>
      <c r="S107" s="75"/>
      <c r="T107" s="75"/>
      <c r="U107" s="79"/>
    </row>
    <row r="108" spans="1:21" ht="16.5" customHeight="1" x14ac:dyDescent="0.25">
      <c r="A108" s="75">
        <f t="shared" si="17"/>
        <v>99</v>
      </c>
      <c r="B108" s="71">
        <v>46053</v>
      </c>
      <c r="C108" s="72">
        <v>8610624</v>
      </c>
      <c r="D108" s="73">
        <v>73225443</v>
      </c>
      <c r="E108" s="74">
        <v>61.6</v>
      </c>
      <c r="F108" s="461">
        <v>495.79</v>
      </c>
      <c r="G108" s="31">
        <f t="shared" si="15"/>
        <v>30540.664000000001</v>
      </c>
      <c r="H108" s="36">
        <v>43524.160000000003</v>
      </c>
      <c r="I108" s="37">
        <f t="shared" si="16"/>
        <v>2681088.2560000001</v>
      </c>
      <c r="J108" s="189" t="s">
        <v>22</v>
      </c>
      <c r="K108" s="356" t="s">
        <v>38</v>
      </c>
      <c r="L108" s="146"/>
      <c r="M108" s="70"/>
      <c r="N108" s="75"/>
      <c r="O108" s="75"/>
      <c r="P108" s="79"/>
      <c r="Q108" s="70"/>
      <c r="R108" s="75"/>
      <c r="S108" s="75"/>
      <c r="T108" s="75"/>
      <c r="U108" s="79"/>
    </row>
    <row r="109" spans="1:21" ht="16.5" customHeight="1" x14ac:dyDescent="0.25">
      <c r="A109" s="75">
        <f t="shared" si="17"/>
        <v>100</v>
      </c>
      <c r="B109" s="71">
        <v>46053</v>
      </c>
      <c r="C109" s="72">
        <v>8610624</v>
      </c>
      <c r="D109" s="73">
        <v>75293506</v>
      </c>
      <c r="E109" s="74">
        <v>62.45</v>
      </c>
      <c r="F109" s="461">
        <v>495.79</v>
      </c>
      <c r="G109" s="31">
        <f t="shared" si="15"/>
        <v>30962.085500000001</v>
      </c>
      <c r="H109" s="36">
        <v>43524.160000000003</v>
      </c>
      <c r="I109" s="37">
        <f t="shared" si="16"/>
        <v>2718083.7920000004</v>
      </c>
      <c r="J109" s="189" t="s">
        <v>22</v>
      </c>
      <c r="K109" s="356" t="s">
        <v>38</v>
      </c>
      <c r="L109" s="146"/>
      <c r="M109" s="70"/>
      <c r="N109" s="75"/>
      <c r="O109" s="75"/>
      <c r="P109" s="79"/>
      <c r="Q109" s="70"/>
      <c r="R109" s="75"/>
      <c r="S109" s="75"/>
      <c r="T109" s="75"/>
      <c r="U109" s="79"/>
    </row>
    <row r="110" spans="1:21" ht="16.5" customHeight="1" thickBot="1" x14ac:dyDescent="0.3">
      <c r="A110" s="105">
        <f t="shared" si="17"/>
        <v>101</v>
      </c>
      <c r="B110" s="188">
        <v>46053</v>
      </c>
      <c r="C110" s="102">
        <v>8610624</v>
      </c>
      <c r="D110" s="103">
        <v>76606292</v>
      </c>
      <c r="E110" s="104">
        <v>62.25</v>
      </c>
      <c r="F110" s="461">
        <v>495.79</v>
      </c>
      <c r="G110" s="106">
        <f t="shared" si="15"/>
        <v>30862.927500000002</v>
      </c>
      <c r="H110" s="38">
        <v>43524.160000000003</v>
      </c>
      <c r="I110" s="39">
        <f t="shared" si="16"/>
        <v>2709378.9600000004</v>
      </c>
      <c r="J110" s="189" t="s">
        <v>22</v>
      </c>
      <c r="K110" s="357" t="s">
        <v>38</v>
      </c>
      <c r="L110" s="149"/>
      <c r="M110" s="80"/>
      <c r="N110" s="88"/>
      <c r="O110" s="88"/>
      <c r="P110" s="89"/>
      <c r="Q110" s="80"/>
      <c r="R110" s="88"/>
      <c r="S110" s="88"/>
      <c r="T110" s="88"/>
      <c r="U110" s="89"/>
    </row>
    <row r="111" spans="1:21" ht="15.75" thickBot="1" x14ac:dyDescent="0.3">
      <c r="A111" s="462"/>
      <c r="B111" s="463"/>
      <c r="C111" s="463"/>
      <c r="D111" s="463"/>
      <c r="E111" s="464">
        <f>SUM(E99:E110)</f>
        <v>733.95</v>
      </c>
      <c r="F111" s="463"/>
      <c r="G111" s="465">
        <f>SUM(G99:G110)</f>
        <v>363885.07049999997</v>
      </c>
      <c r="H111" s="466"/>
      <c r="I111" s="467">
        <f>SUM(I99:I110)</f>
        <v>31944557.232000005</v>
      </c>
      <c r="J111" s="463"/>
      <c r="K111" s="468"/>
      <c r="L111" s="487"/>
      <c r="M111" s="462"/>
      <c r="N111" s="463"/>
      <c r="O111" s="463"/>
      <c r="P111" s="468"/>
      <c r="Q111" s="470"/>
      <c r="R111" s="463"/>
      <c r="S111" s="463"/>
      <c r="T111" s="463"/>
      <c r="U111" s="468"/>
    </row>
    <row r="112" spans="1:21" ht="15.75" thickBot="1" x14ac:dyDescent="0.3">
      <c r="A112" s="672" t="s">
        <v>71</v>
      </c>
      <c r="B112" s="673"/>
      <c r="C112" s="673"/>
      <c r="D112" s="674"/>
      <c r="E112" s="159">
        <f>E29+E41+E54+E65+E98+E111</f>
        <v>6159.2</v>
      </c>
      <c r="F112" s="160"/>
      <c r="G112" s="161">
        <f>G29+G41+G54+G65+G98+G111</f>
        <v>3053669.988545455</v>
      </c>
      <c r="H112" s="165"/>
      <c r="I112" s="488">
        <f>I29+I41+I54+I65+I98+I111</f>
        <v>268074006.27200001</v>
      </c>
      <c r="J112" s="489"/>
      <c r="K112" s="490"/>
      <c r="L112" s="489"/>
      <c r="M112" s="491"/>
      <c r="N112" s="160"/>
      <c r="O112" s="160"/>
      <c r="P112" s="166"/>
      <c r="Q112" s="164"/>
      <c r="R112" s="160"/>
      <c r="S112" s="160"/>
      <c r="T112" s="160"/>
      <c r="U112" s="166"/>
    </row>
    <row r="113" spans="1:21" ht="16.5" customHeight="1" x14ac:dyDescent="0.25">
      <c r="A113" s="57">
        <v>102</v>
      </c>
      <c r="B113" s="58">
        <v>46064</v>
      </c>
      <c r="C113" s="59">
        <v>8610916</v>
      </c>
      <c r="D113" s="60">
        <v>55946727</v>
      </c>
      <c r="E113" s="61">
        <v>59.4</v>
      </c>
      <c r="F113" s="62">
        <f>'[3]Platt''s 2026'!O31-138.57</f>
        <v>545.35500000000002</v>
      </c>
      <c r="G113" s="29">
        <f t="shared" ref="G113:G114" si="18">E113*F113</f>
        <v>32394.087</v>
      </c>
      <c r="H113" s="460">
        <v>43524.160000000003</v>
      </c>
      <c r="I113" s="360">
        <f t="shared" ref="I113:I114" si="19">E113*H113</f>
        <v>2585335.1040000003</v>
      </c>
      <c r="J113" s="361" t="s">
        <v>22</v>
      </c>
      <c r="K113" s="362" t="s">
        <v>38</v>
      </c>
      <c r="L113" s="230"/>
      <c r="M113" s="57"/>
      <c r="N113" s="68"/>
      <c r="O113" s="68"/>
      <c r="P113" s="69"/>
      <c r="Q113" s="57"/>
      <c r="R113" s="68"/>
      <c r="S113" s="68"/>
      <c r="T113" s="68"/>
      <c r="U113" s="69"/>
    </row>
    <row r="114" spans="1:21" ht="16.5" customHeight="1" thickBot="1" x14ac:dyDescent="0.3">
      <c r="A114" s="80">
        <v>103</v>
      </c>
      <c r="B114" s="99">
        <v>46064</v>
      </c>
      <c r="C114" s="82">
        <v>8610915</v>
      </c>
      <c r="D114" s="83">
        <v>71044929</v>
      </c>
      <c r="E114" s="84">
        <v>60.55</v>
      </c>
      <c r="F114" s="471">
        <v>545.36</v>
      </c>
      <c r="G114" s="217">
        <f t="shared" si="18"/>
        <v>33021.548000000003</v>
      </c>
      <c r="H114" s="41">
        <v>43524.160000000003</v>
      </c>
      <c r="I114" s="42">
        <f t="shared" si="19"/>
        <v>2635387.8880000003</v>
      </c>
      <c r="J114" s="367" t="s">
        <v>22</v>
      </c>
      <c r="K114" s="368" t="s">
        <v>38</v>
      </c>
      <c r="L114" s="258"/>
      <c r="M114" s="80"/>
      <c r="N114" s="88"/>
      <c r="O114" s="88"/>
      <c r="P114" s="89"/>
      <c r="Q114" s="80"/>
      <c r="R114" s="88"/>
      <c r="S114" s="88"/>
      <c r="T114" s="88"/>
      <c r="U114" s="89"/>
    </row>
    <row r="115" spans="1:21" ht="15.75" thickBot="1" x14ac:dyDescent="0.3">
      <c r="A115" s="483"/>
      <c r="B115" s="484"/>
      <c r="C115" s="484"/>
      <c r="D115" s="484"/>
      <c r="E115" s="492">
        <f>SUM(E113:E114)</f>
        <v>119.94999999999999</v>
      </c>
      <c r="F115" s="484"/>
      <c r="G115" s="493">
        <f>SUM(G113:G114)</f>
        <v>65415.635000000002</v>
      </c>
      <c r="H115" s="494"/>
      <c r="I115" s="495">
        <f>SUM(I113:I114)</f>
        <v>5220722.9920000006</v>
      </c>
      <c r="J115" s="484"/>
      <c r="K115" s="485"/>
      <c r="L115" s="496"/>
      <c r="M115" s="483"/>
      <c r="N115" s="484"/>
      <c r="O115" s="484"/>
      <c r="P115" s="485"/>
      <c r="Q115" s="486"/>
      <c r="R115" s="484"/>
      <c r="S115" s="484"/>
      <c r="T115" s="484"/>
      <c r="U115" s="485"/>
    </row>
    <row r="116" spans="1:21" ht="17.25" customHeight="1" x14ac:dyDescent="0.25">
      <c r="A116" s="57">
        <v>104</v>
      </c>
      <c r="B116" s="58">
        <v>46067</v>
      </c>
      <c r="C116" s="497" t="s">
        <v>93</v>
      </c>
      <c r="D116" s="68">
        <v>51752368</v>
      </c>
      <c r="E116" s="498">
        <v>57.8</v>
      </c>
      <c r="F116" s="459">
        <v>545.36</v>
      </c>
      <c r="G116" s="30">
        <f t="shared" ref="G116:G128" si="20">E116*F116</f>
        <v>31521.808000000001</v>
      </c>
      <c r="H116" s="499">
        <v>43524.160000000003</v>
      </c>
      <c r="I116" s="500">
        <f t="shared" ref="I116:I129" si="21">E116*H116</f>
        <v>2515696.4479999999</v>
      </c>
      <c r="J116" s="361" t="s">
        <v>22</v>
      </c>
      <c r="K116" s="501" t="s">
        <v>38</v>
      </c>
      <c r="L116" s="230"/>
      <c r="M116" s="57"/>
      <c r="N116" s="68"/>
      <c r="O116" s="68"/>
      <c r="P116" s="69"/>
      <c r="Q116" s="57"/>
      <c r="R116" s="68"/>
      <c r="S116" s="68"/>
      <c r="T116" s="68"/>
      <c r="U116" s="69"/>
    </row>
    <row r="117" spans="1:21" ht="17.25" customHeight="1" x14ac:dyDescent="0.25">
      <c r="A117" s="70">
        <f>A116+1</f>
        <v>105</v>
      </c>
      <c r="B117" s="98">
        <v>46067</v>
      </c>
      <c r="C117" s="144" t="s">
        <v>93</v>
      </c>
      <c r="D117" s="75">
        <v>54695895</v>
      </c>
      <c r="E117" s="145">
        <v>62.75</v>
      </c>
      <c r="F117" s="461">
        <v>545.36</v>
      </c>
      <c r="G117" s="31">
        <f t="shared" si="20"/>
        <v>34221.340000000004</v>
      </c>
      <c r="H117" s="36">
        <v>43524.160000000003</v>
      </c>
      <c r="I117" s="37">
        <f t="shared" si="21"/>
        <v>2731141.04</v>
      </c>
      <c r="J117" s="114" t="s">
        <v>22</v>
      </c>
      <c r="K117" s="502" t="s">
        <v>38</v>
      </c>
      <c r="L117" s="231"/>
      <c r="M117" s="70"/>
      <c r="N117" s="75"/>
      <c r="O117" s="75"/>
      <c r="P117" s="79"/>
      <c r="Q117" s="70"/>
      <c r="R117" s="75"/>
      <c r="S117" s="75"/>
      <c r="T117" s="75"/>
      <c r="U117" s="79"/>
    </row>
    <row r="118" spans="1:21" ht="17.25" customHeight="1" x14ac:dyDescent="0.25">
      <c r="A118" s="70">
        <f t="shared" ref="A118:A129" si="22">A117+1</f>
        <v>106</v>
      </c>
      <c r="B118" s="98">
        <v>46067</v>
      </c>
      <c r="C118" s="144" t="s">
        <v>93</v>
      </c>
      <c r="D118" s="75">
        <v>57946998</v>
      </c>
      <c r="E118" s="145">
        <v>62.75</v>
      </c>
      <c r="F118" s="461">
        <v>545.36</v>
      </c>
      <c r="G118" s="31">
        <f t="shared" si="20"/>
        <v>34221.340000000004</v>
      </c>
      <c r="H118" s="36">
        <v>43524.160000000003</v>
      </c>
      <c r="I118" s="37">
        <f t="shared" si="21"/>
        <v>2731141.04</v>
      </c>
      <c r="J118" s="114" t="s">
        <v>22</v>
      </c>
      <c r="K118" s="502" t="s">
        <v>38</v>
      </c>
      <c r="L118" s="231"/>
      <c r="M118" s="70"/>
      <c r="N118" s="75"/>
      <c r="O118" s="75"/>
      <c r="P118" s="79"/>
      <c r="Q118" s="70"/>
      <c r="R118" s="75"/>
      <c r="S118" s="75"/>
      <c r="T118" s="75"/>
      <c r="U118" s="79"/>
    </row>
    <row r="119" spans="1:21" ht="17.25" customHeight="1" x14ac:dyDescent="0.25">
      <c r="A119" s="70">
        <f t="shared" si="22"/>
        <v>107</v>
      </c>
      <c r="B119" s="98">
        <v>46067</v>
      </c>
      <c r="C119" s="144" t="s">
        <v>93</v>
      </c>
      <c r="D119" s="75">
        <v>73054538</v>
      </c>
      <c r="E119" s="145">
        <v>63.3</v>
      </c>
      <c r="F119" s="461">
        <v>545.36</v>
      </c>
      <c r="G119" s="31">
        <f t="shared" si="20"/>
        <v>34521.288</v>
      </c>
      <c r="H119" s="36">
        <v>43524.160000000003</v>
      </c>
      <c r="I119" s="37">
        <f t="shared" si="21"/>
        <v>2755079.3280000002</v>
      </c>
      <c r="J119" s="114" t="s">
        <v>22</v>
      </c>
      <c r="K119" s="502" t="s">
        <v>38</v>
      </c>
      <c r="L119" s="231"/>
      <c r="M119" s="70"/>
      <c r="N119" s="75"/>
      <c r="O119" s="75"/>
      <c r="P119" s="79"/>
      <c r="Q119" s="70"/>
      <c r="R119" s="75"/>
      <c r="S119" s="75"/>
      <c r="T119" s="75"/>
      <c r="U119" s="79"/>
    </row>
    <row r="120" spans="1:21" ht="17.25" customHeight="1" x14ac:dyDescent="0.25">
      <c r="A120" s="70">
        <f t="shared" si="22"/>
        <v>108</v>
      </c>
      <c r="B120" s="98">
        <v>46067</v>
      </c>
      <c r="C120" s="144" t="s">
        <v>93</v>
      </c>
      <c r="D120" s="75">
        <v>73072613</v>
      </c>
      <c r="E120" s="145">
        <v>62.8</v>
      </c>
      <c r="F120" s="461">
        <v>545.36</v>
      </c>
      <c r="G120" s="31">
        <f t="shared" si="20"/>
        <v>34248.608</v>
      </c>
      <c r="H120" s="36">
        <v>43524.160000000003</v>
      </c>
      <c r="I120" s="37">
        <f t="shared" si="21"/>
        <v>2733317.2480000001</v>
      </c>
      <c r="J120" s="114" t="s">
        <v>22</v>
      </c>
      <c r="K120" s="502" t="s">
        <v>38</v>
      </c>
      <c r="L120" s="231"/>
      <c r="M120" s="70"/>
      <c r="N120" s="75"/>
      <c r="O120" s="75"/>
      <c r="P120" s="79"/>
      <c r="Q120" s="70"/>
      <c r="R120" s="75"/>
      <c r="S120" s="75"/>
      <c r="T120" s="75"/>
      <c r="U120" s="79"/>
    </row>
    <row r="121" spans="1:21" ht="17.25" customHeight="1" x14ac:dyDescent="0.25">
      <c r="A121" s="70">
        <f t="shared" si="22"/>
        <v>109</v>
      </c>
      <c r="B121" s="98">
        <v>46067</v>
      </c>
      <c r="C121" s="144" t="s">
        <v>93</v>
      </c>
      <c r="D121" s="75">
        <v>73105306</v>
      </c>
      <c r="E121" s="133">
        <v>62.9</v>
      </c>
      <c r="F121" s="461">
        <v>545.36</v>
      </c>
      <c r="G121" s="31">
        <f t="shared" si="20"/>
        <v>34303.144</v>
      </c>
      <c r="H121" s="36">
        <v>43524.160000000003</v>
      </c>
      <c r="I121" s="37">
        <f t="shared" si="21"/>
        <v>2737669.6640000003</v>
      </c>
      <c r="J121" s="114" t="s">
        <v>22</v>
      </c>
      <c r="K121" s="502" t="s">
        <v>38</v>
      </c>
      <c r="L121" s="231"/>
      <c r="M121" s="70"/>
      <c r="N121" s="75"/>
      <c r="O121" s="75"/>
      <c r="P121" s="79"/>
      <c r="Q121" s="70"/>
      <c r="R121" s="75"/>
      <c r="S121" s="75"/>
      <c r="T121" s="75"/>
      <c r="U121" s="79"/>
    </row>
    <row r="122" spans="1:21" ht="17.25" customHeight="1" x14ac:dyDescent="0.25">
      <c r="A122" s="70">
        <f t="shared" si="22"/>
        <v>110</v>
      </c>
      <c r="B122" s="98">
        <v>46067</v>
      </c>
      <c r="C122" s="144" t="s">
        <v>93</v>
      </c>
      <c r="D122" s="75">
        <v>73213803</v>
      </c>
      <c r="E122" s="145">
        <v>62.45</v>
      </c>
      <c r="F122" s="461">
        <v>545.36</v>
      </c>
      <c r="G122" s="31">
        <f t="shared" si="20"/>
        <v>34057.732000000004</v>
      </c>
      <c r="H122" s="36">
        <v>43524.160000000003</v>
      </c>
      <c r="I122" s="37">
        <f t="shared" si="21"/>
        <v>2718083.7920000004</v>
      </c>
      <c r="J122" s="114" t="s">
        <v>22</v>
      </c>
      <c r="K122" s="502" t="s">
        <v>38</v>
      </c>
      <c r="L122" s="231"/>
      <c r="M122" s="70"/>
      <c r="N122" s="75"/>
      <c r="O122" s="75"/>
      <c r="P122" s="79"/>
      <c r="Q122" s="70"/>
      <c r="R122" s="75"/>
      <c r="S122" s="75"/>
      <c r="T122" s="75"/>
      <c r="U122" s="79"/>
    </row>
    <row r="123" spans="1:21" ht="17.25" customHeight="1" x14ac:dyDescent="0.25">
      <c r="A123" s="70">
        <f t="shared" si="22"/>
        <v>111</v>
      </c>
      <c r="B123" s="98">
        <v>46067</v>
      </c>
      <c r="C123" s="144" t="s">
        <v>93</v>
      </c>
      <c r="D123" s="75">
        <v>73274086</v>
      </c>
      <c r="E123" s="145">
        <v>62.65</v>
      </c>
      <c r="F123" s="461">
        <v>545.36</v>
      </c>
      <c r="G123" s="31">
        <f t="shared" si="20"/>
        <v>34166.803999999996</v>
      </c>
      <c r="H123" s="36">
        <v>43524.160000000003</v>
      </c>
      <c r="I123" s="37">
        <f t="shared" si="21"/>
        <v>2726788.6240000003</v>
      </c>
      <c r="J123" s="114" t="s">
        <v>22</v>
      </c>
      <c r="K123" s="502" t="s">
        <v>38</v>
      </c>
      <c r="L123" s="231"/>
      <c r="M123" s="70"/>
      <c r="N123" s="75"/>
      <c r="O123" s="75"/>
      <c r="P123" s="79"/>
      <c r="Q123" s="70"/>
      <c r="R123" s="75"/>
      <c r="S123" s="75"/>
      <c r="T123" s="75"/>
      <c r="U123" s="79"/>
    </row>
    <row r="124" spans="1:21" ht="17.25" customHeight="1" x14ac:dyDescent="0.25">
      <c r="A124" s="70">
        <f t="shared" si="22"/>
        <v>112</v>
      </c>
      <c r="B124" s="98">
        <v>46067</v>
      </c>
      <c r="C124" s="144" t="s">
        <v>93</v>
      </c>
      <c r="D124" s="75">
        <v>73724080</v>
      </c>
      <c r="E124" s="145">
        <v>60.65</v>
      </c>
      <c r="F124" s="461">
        <v>545.36</v>
      </c>
      <c r="G124" s="31">
        <f t="shared" si="20"/>
        <v>33076.084000000003</v>
      </c>
      <c r="H124" s="36">
        <v>43524.160000000003</v>
      </c>
      <c r="I124" s="37">
        <f t="shared" si="21"/>
        <v>2639740.304</v>
      </c>
      <c r="J124" s="114" t="s">
        <v>22</v>
      </c>
      <c r="K124" s="502" t="s">
        <v>38</v>
      </c>
      <c r="L124" s="231"/>
      <c r="M124" s="70"/>
      <c r="N124" s="75"/>
      <c r="O124" s="75"/>
      <c r="P124" s="79"/>
      <c r="Q124" s="70"/>
      <c r="R124" s="75"/>
      <c r="S124" s="75"/>
      <c r="T124" s="75"/>
      <c r="U124" s="79"/>
    </row>
    <row r="125" spans="1:21" ht="17.25" customHeight="1" x14ac:dyDescent="0.25">
      <c r="A125" s="70">
        <f t="shared" si="22"/>
        <v>113</v>
      </c>
      <c r="B125" s="98">
        <v>46067</v>
      </c>
      <c r="C125" s="144" t="s">
        <v>93</v>
      </c>
      <c r="D125" s="75">
        <v>74996380</v>
      </c>
      <c r="E125" s="145">
        <v>63.75</v>
      </c>
      <c r="F125" s="461">
        <v>545.36</v>
      </c>
      <c r="G125" s="31">
        <f t="shared" si="20"/>
        <v>34766.700000000004</v>
      </c>
      <c r="H125" s="36">
        <v>43524.160000000003</v>
      </c>
      <c r="I125" s="37">
        <f t="shared" si="21"/>
        <v>2774665.2</v>
      </c>
      <c r="J125" s="114" t="s">
        <v>22</v>
      </c>
      <c r="K125" s="502" t="s">
        <v>38</v>
      </c>
      <c r="L125" s="231"/>
      <c r="M125" s="70"/>
      <c r="N125" s="75"/>
      <c r="O125" s="75"/>
      <c r="P125" s="79"/>
      <c r="Q125" s="70"/>
      <c r="R125" s="75"/>
      <c r="S125" s="75"/>
      <c r="T125" s="75"/>
      <c r="U125" s="79"/>
    </row>
    <row r="126" spans="1:21" ht="17.25" customHeight="1" x14ac:dyDescent="0.25">
      <c r="A126" s="70">
        <f t="shared" si="22"/>
        <v>114</v>
      </c>
      <c r="B126" s="98">
        <v>46067</v>
      </c>
      <c r="C126" s="144" t="s">
        <v>93</v>
      </c>
      <c r="D126" s="75">
        <v>75107631</v>
      </c>
      <c r="E126" s="145">
        <v>63.4</v>
      </c>
      <c r="F126" s="461">
        <v>545.36</v>
      </c>
      <c r="G126" s="31">
        <f t="shared" si="20"/>
        <v>34575.824000000001</v>
      </c>
      <c r="H126" s="36">
        <v>43524.160000000003</v>
      </c>
      <c r="I126" s="37">
        <f t="shared" si="21"/>
        <v>2759431.7439999999</v>
      </c>
      <c r="J126" s="114" t="s">
        <v>22</v>
      </c>
      <c r="K126" s="502" t="s">
        <v>38</v>
      </c>
      <c r="L126" s="231"/>
      <c r="M126" s="70"/>
      <c r="N126" s="75"/>
      <c r="O126" s="75"/>
      <c r="P126" s="79"/>
      <c r="Q126" s="70"/>
      <c r="R126" s="75"/>
      <c r="S126" s="75"/>
      <c r="T126" s="75"/>
      <c r="U126" s="79"/>
    </row>
    <row r="127" spans="1:21" ht="17.25" customHeight="1" x14ac:dyDescent="0.25">
      <c r="A127" s="70">
        <f t="shared" si="22"/>
        <v>115</v>
      </c>
      <c r="B127" s="98">
        <v>46067</v>
      </c>
      <c r="C127" s="144" t="s">
        <v>93</v>
      </c>
      <c r="D127" s="75">
        <v>75218834</v>
      </c>
      <c r="E127" s="145">
        <v>63.15</v>
      </c>
      <c r="F127" s="461">
        <v>545.36</v>
      </c>
      <c r="G127" s="31">
        <f t="shared" si="20"/>
        <v>34439.483999999997</v>
      </c>
      <c r="H127" s="36">
        <v>43524.160000000003</v>
      </c>
      <c r="I127" s="37">
        <f t="shared" si="21"/>
        <v>2748550.7040000004</v>
      </c>
      <c r="J127" s="114" t="s">
        <v>22</v>
      </c>
      <c r="K127" s="502" t="s">
        <v>38</v>
      </c>
      <c r="L127" s="231"/>
      <c r="M127" s="70"/>
      <c r="N127" s="75"/>
      <c r="O127" s="75"/>
      <c r="P127" s="79"/>
      <c r="Q127" s="70"/>
      <c r="R127" s="75"/>
      <c r="S127" s="75"/>
      <c r="T127" s="75"/>
      <c r="U127" s="79"/>
    </row>
    <row r="128" spans="1:21" ht="17.25" customHeight="1" x14ac:dyDescent="0.25">
      <c r="A128" s="70">
        <f t="shared" si="22"/>
        <v>116</v>
      </c>
      <c r="B128" s="98">
        <v>46067</v>
      </c>
      <c r="C128" s="144" t="s">
        <v>93</v>
      </c>
      <c r="D128" s="75">
        <v>75237453</v>
      </c>
      <c r="E128" s="145">
        <v>64</v>
      </c>
      <c r="F128" s="461">
        <v>545.36</v>
      </c>
      <c r="G128" s="31">
        <f t="shared" si="20"/>
        <v>34903.040000000001</v>
      </c>
      <c r="H128" s="36">
        <v>43524.160000000003</v>
      </c>
      <c r="I128" s="37">
        <f t="shared" si="21"/>
        <v>2785546.2400000002</v>
      </c>
      <c r="J128" s="114" t="s">
        <v>22</v>
      </c>
      <c r="K128" s="502" t="s">
        <v>38</v>
      </c>
      <c r="L128" s="231"/>
      <c r="M128" s="70"/>
      <c r="N128" s="75"/>
      <c r="O128" s="75"/>
      <c r="P128" s="79"/>
      <c r="Q128" s="70"/>
      <c r="R128" s="75"/>
      <c r="S128" s="75"/>
      <c r="T128" s="75"/>
      <c r="U128" s="79"/>
    </row>
    <row r="129" spans="1:21" ht="17.25" customHeight="1" thickBot="1" x14ac:dyDescent="0.3">
      <c r="A129" s="80">
        <f t="shared" si="22"/>
        <v>117</v>
      </c>
      <c r="B129" s="99">
        <v>46067</v>
      </c>
      <c r="C129" s="503" t="s">
        <v>93</v>
      </c>
      <c r="D129" s="88">
        <v>76224591</v>
      </c>
      <c r="E129" s="504">
        <v>63.4</v>
      </c>
      <c r="F129" s="505">
        <v>545.36</v>
      </c>
      <c r="G129" s="404">
        <f>E129*F129</f>
        <v>34575.824000000001</v>
      </c>
      <c r="H129" s="506">
        <v>43524.160000000003</v>
      </c>
      <c r="I129" s="366">
        <f t="shared" si="21"/>
        <v>2759431.7439999999</v>
      </c>
      <c r="J129" s="507" t="s">
        <v>22</v>
      </c>
      <c r="K129" s="508" t="s">
        <v>38</v>
      </c>
      <c r="L129" s="258"/>
      <c r="M129" s="80"/>
      <c r="N129" s="88"/>
      <c r="O129" s="88"/>
      <c r="P129" s="89"/>
      <c r="Q129" s="80"/>
      <c r="R129" s="88"/>
      <c r="S129" s="88"/>
      <c r="T129" s="88"/>
      <c r="U129" s="89"/>
    </row>
    <row r="130" spans="1:21" ht="15.75" thickBot="1" x14ac:dyDescent="0.3">
      <c r="A130" s="483"/>
      <c r="B130" s="484"/>
      <c r="C130" s="484"/>
      <c r="D130" s="484"/>
      <c r="E130" s="492">
        <f>SUM(E116:E129)</f>
        <v>875.74999999999989</v>
      </c>
      <c r="F130" s="484"/>
      <c r="G130" s="493">
        <f>SUM(G116:G129)</f>
        <v>477599.02000000008</v>
      </c>
      <c r="H130" s="494"/>
      <c r="I130" s="495">
        <f>SUM(I116:I129)</f>
        <v>38116283.120000005</v>
      </c>
      <c r="J130" s="496"/>
      <c r="K130" s="509"/>
      <c r="L130" s="496"/>
      <c r="M130" s="483"/>
      <c r="N130" s="484"/>
      <c r="O130" s="484"/>
      <c r="P130" s="485"/>
      <c r="Q130" s="486"/>
      <c r="R130" s="484"/>
      <c r="S130" s="484"/>
      <c r="T130" s="484"/>
      <c r="U130" s="485"/>
    </row>
    <row r="131" spans="1:21" ht="18.75" customHeight="1" x14ac:dyDescent="0.25">
      <c r="A131" s="57">
        <v>118</v>
      </c>
      <c r="B131" s="58">
        <v>46068</v>
      </c>
      <c r="C131" s="497" t="s">
        <v>94</v>
      </c>
      <c r="D131" s="68">
        <v>50163302</v>
      </c>
      <c r="E131" s="498">
        <v>62.05</v>
      </c>
      <c r="F131" s="62">
        <v>545.36</v>
      </c>
      <c r="G131" s="29">
        <f t="shared" ref="G131:G139" si="23">E131*F131</f>
        <v>33839.587999999996</v>
      </c>
      <c r="H131" s="460">
        <v>43524.160000000003</v>
      </c>
      <c r="I131" s="360">
        <f t="shared" ref="I131:I139" si="24">E131*H131</f>
        <v>2700674.128</v>
      </c>
      <c r="J131" s="408" t="s">
        <v>22</v>
      </c>
      <c r="K131" s="510" t="s">
        <v>38</v>
      </c>
      <c r="L131" s="363"/>
      <c r="M131" s="57"/>
      <c r="N131" s="68"/>
      <c r="O131" s="68"/>
      <c r="P131" s="69"/>
      <c r="Q131" s="57"/>
      <c r="R131" s="68"/>
      <c r="S131" s="68"/>
      <c r="T131" s="68"/>
      <c r="U131" s="69"/>
    </row>
    <row r="132" spans="1:21" ht="18.75" customHeight="1" x14ac:dyDescent="0.25">
      <c r="A132" s="70">
        <f>A131+1</f>
        <v>119</v>
      </c>
      <c r="B132" s="98">
        <v>46068</v>
      </c>
      <c r="C132" s="144" t="s">
        <v>94</v>
      </c>
      <c r="D132" s="75">
        <v>54703004</v>
      </c>
      <c r="E132" s="145">
        <v>61.8</v>
      </c>
      <c r="F132" s="461">
        <v>545.36</v>
      </c>
      <c r="G132" s="31">
        <f t="shared" si="23"/>
        <v>33703.248</v>
      </c>
      <c r="H132" s="36">
        <v>43524.160000000003</v>
      </c>
      <c r="I132" s="37">
        <f t="shared" si="24"/>
        <v>2689793.088</v>
      </c>
      <c r="J132" s="114" t="s">
        <v>22</v>
      </c>
      <c r="K132" s="502" t="s">
        <v>38</v>
      </c>
      <c r="L132" s="146"/>
      <c r="M132" s="70"/>
      <c r="N132" s="75"/>
      <c r="O132" s="75"/>
      <c r="P132" s="79"/>
      <c r="Q132" s="70"/>
      <c r="R132" s="75"/>
      <c r="S132" s="75"/>
      <c r="T132" s="75"/>
      <c r="U132" s="79"/>
    </row>
    <row r="133" spans="1:21" ht="18.75" customHeight="1" x14ac:dyDescent="0.25">
      <c r="A133" s="70">
        <f t="shared" ref="A133:A139" si="25">A132+1</f>
        <v>120</v>
      </c>
      <c r="B133" s="98">
        <v>46068</v>
      </c>
      <c r="C133" s="144" t="s">
        <v>94</v>
      </c>
      <c r="D133" s="75">
        <v>57028557</v>
      </c>
      <c r="E133" s="145">
        <v>61.05</v>
      </c>
      <c r="F133" s="461">
        <v>545.36</v>
      </c>
      <c r="G133" s="31">
        <f t="shared" si="23"/>
        <v>33294.228000000003</v>
      </c>
      <c r="H133" s="36">
        <v>43524.160000000003</v>
      </c>
      <c r="I133" s="37">
        <f t="shared" si="24"/>
        <v>2657149.9679999999</v>
      </c>
      <c r="J133" s="114" t="s">
        <v>22</v>
      </c>
      <c r="K133" s="502" t="s">
        <v>38</v>
      </c>
      <c r="L133" s="146"/>
      <c r="M133" s="70"/>
      <c r="N133" s="75"/>
      <c r="O133" s="75"/>
      <c r="P133" s="79"/>
      <c r="Q133" s="70"/>
      <c r="R133" s="75"/>
      <c r="S133" s="75"/>
      <c r="T133" s="75"/>
      <c r="U133" s="79"/>
    </row>
    <row r="134" spans="1:21" ht="18.75" customHeight="1" x14ac:dyDescent="0.25">
      <c r="A134" s="70">
        <f t="shared" si="25"/>
        <v>121</v>
      </c>
      <c r="B134" s="98">
        <v>46068</v>
      </c>
      <c r="C134" s="144" t="s">
        <v>94</v>
      </c>
      <c r="D134" s="75">
        <v>57173221</v>
      </c>
      <c r="E134" s="145">
        <v>62.75</v>
      </c>
      <c r="F134" s="461">
        <v>545.36</v>
      </c>
      <c r="G134" s="31">
        <f t="shared" si="23"/>
        <v>34221.340000000004</v>
      </c>
      <c r="H134" s="36">
        <v>43524.160000000003</v>
      </c>
      <c r="I134" s="37">
        <f t="shared" si="24"/>
        <v>2731141.04</v>
      </c>
      <c r="J134" s="114" t="s">
        <v>22</v>
      </c>
      <c r="K134" s="502" t="s">
        <v>38</v>
      </c>
      <c r="L134" s="146"/>
      <c r="M134" s="70"/>
      <c r="N134" s="75"/>
      <c r="O134" s="75"/>
      <c r="P134" s="79"/>
      <c r="Q134" s="70"/>
      <c r="R134" s="75"/>
      <c r="S134" s="75"/>
      <c r="T134" s="75"/>
      <c r="U134" s="79"/>
    </row>
    <row r="135" spans="1:21" ht="18.75" customHeight="1" x14ac:dyDescent="0.25">
      <c r="A135" s="70">
        <f t="shared" si="25"/>
        <v>122</v>
      </c>
      <c r="B135" s="98">
        <v>46068</v>
      </c>
      <c r="C135" s="144" t="s">
        <v>94</v>
      </c>
      <c r="D135" s="75">
        <v>57272742</v>
      </c>
      <c r="E135" s="145">
        <v>62.5</v>
      </c>
      <c r="F135" s="461">
        <v>545.36</v>
      </c>
      <c r="G135" s="31">
        <f t="shared" si="23"/>
        <v>34085</v>
      </c>
      <c r="H135" s="36">
        <v>43524.160000000003</v>
      </c>
      <c r="I135" s="37">
        <f t="shared" si="24"/>
        <v>2720260</v>
      </c>
      <c r="J135" s="114" t="s">
        <v>22</v>
      </c>
      <c r="K135" s="502" t="s">
        <v>38</v>
      </c>
      <c r="L135" s="146"/>
      <c r="M135" s="70"/>
      <c r="N135" s="75"/>
      <c r="O135" s="75"/>
      <c r="P135" s="79"/>
      <c r="Q135" s="70"/>
      <c r="R135" s="75"/>
      <c r="S135" s="75"/>
      <c r="T135" s="75"/>
      <c r="U135" s="79"/>
    </row>
    <row r="136" spans="1:21" ht="18.75" customHeight="1" x14ac:dyDescent="0.25">
      <c r="A136" s="70">
        <f t="shared" si="25"/>
        <v>123</v>
      </c>
      <c r="B136" s="98">
        <v>46068</v>
      </c>
      <c r="C136" s="144" t="s">
        <v>94</v>
      </c>
      <c r="D136" s="75">
        <v>57333858</v>
      </c>
      <c r="E136" s="145">
        <v>62.35</v>
      </c>
      <c r="F136" s="461">
        <v>545.36</v>
      </c>
      <c r="G136" s="31">
        <f t="shared" si="23"/>
        <v>34003.196000000004</v>
      </c>
      <c r="H136" s="36">
        <v>43524.160000000003</v>
      </c>
      <c r="I136" s="37">
        <f t="shared" si="24"/>
        <v>2713731.3760000002</v>
      </c>
      <c r="J136" s="114" t="s">
        <v>22</v>
      </c>
      <c r="K136" s="502" t="s">
        <v>38</v>
      </c>
      <c r="L136" s="146"/>
      <c r="M136" s="70"/>
      <c r="N136" s="75"/>
      <c r="O136" s="75"/>
      <c r="P136" s="79"/>
      <c r="Q136" s="70"/>
      <c r="R136" s="75"/>
      <c r="S136" s="75"/>
      <c r="T136" s="75"/>
      <c r="U136" s="79"/>
    </row>
    <row r="137" spans="1:21" ht="18.75" customHeight="1" x14ac:dyDescent="0.25">
      <c r="A137" s="70">
        <f t="shared" si="25"/>
        <v>124</v>
      </c>
      <c r="B137" s="98">
        <v>46068</v>
      </c>
      <c r="C137" s="144" t="s">
        <v>94</v>
      </c>
      <c r="D137" s="75">
        <v>73965311</v>
      </c>
      <c r="E137" s="145">
        <v>62.25</v>
      </c>
      <c r="F137" s="461">
        <v>545.36</v>
      </c>
      <c r="G137" s="31">
        <f t="shared" si="23"/>
        <v>33948.660000000003</v>
      </c>
      <c r="H137" s="36">
        <v>43524.160000000003</v>
      </c>
      <c r="I137" s="37">
        <f t="shared" si="24"/>
        <v>2709378.9600000004</v>
      </c>
      <c r="J137" s="114" t="s">
        <v>22</v>
      </c>
      <c r="K137" s="502" t="s">
        <v>38</v>
      </c>
      <c r="L137" s="146"/>
      <c r="M137" s="70"/>
      <c r="N137" s="75"/>
      <c r="O137" s="75"/>
      <c r="P137" s="79"/>
      <c r="Q137" s="70"/>
      <c r="R137" s="75"/>
      <c r="S137" s="75"/>
      <c r="T137" s="75"/>
      <c r="U137" s="79"/>
    </row>
    <row r="138" spans="1:21" ht="18.75" customHeight="1" x14ac:dyDescent="0.25">
      <c r="A138" s="70">
        <f t="shared" si="25"/>
        <v>125</v>
      </c>
      <c r="B138" s="98">
        <v>46068</v>
      </c>
      <c r="C138" s="144" t="s">
        <v>94</v>
      </c>
      <c r="D138" s="75">
        <v>74038852</v>
      </c>
      <c r="E138" s="145">
        <v>62.6</v>
      </c>
      <c r="F138" s="461">
        <v>545.36</v>
      </c>
      <c r="G138" s="31">
        <f t="shared" si="23"/>
        <v>34139.536</v>
      </c>
      <c r="H138" s="36">
        <v>43524.160000000003</v>
      </c>
      <c r="I138" s="37">
        <f t="shared" si="24"/>
        <v>2724612.4160000002</v>
      </c>
      <c r="J138" s="114" t="s">
        <v>22</v>
      </c>
      <c r="K138" s="502" t="s">
        <v>38</v>
      </c>
      <c r="L138" s="146"/>
      <c r="M138" s="70"/>
      <c r="N138" s="75"/>
      <c r="O138" s="75"/>
      <c r="P138" s="79"/>
      <c r="Q138" s="70"/>
      <c r="R138" s="75"/>
      <c r="S138" s="75"/>
      <c r="T138" s="75"/>
      <c r="U138" s="79"/>
    </row>
    <row r="139" spans="1:21" ht="18.75" customHeight="1" thickBot="1" x14ac:dyDescent="0.3">
      <c r="A139" s="80">
        <f t="shared" si="25"/>
        <v>126</v>
      </c>
      <c r="B139" s="99">
        <v>46068</v>
      </c>
      <c r="C139" s="503" t="s">
        <v>94</v>
      </c>
      <c r="D139" s="88">
        <v>74952177</v>
      </c>
      <c r="E139" s="504">
        <v>60.15</v>
      </c>
      <c r="F139" s="471">
        <v>545.36</v>
      </c>
      <c r="G139" s="217">
        <f t="shared" si="23"/>
        <v>32803.404000000002</v>
      </c>
      <c r="H139" s="41">
        <v>43524.160000000003</v>
      </c>
      <c r="I139" s="42">
        <f t="shared" si="24"/>
        <v>2617978.2239999999</v>
      </c>
      <c r="J139" s="219" t="s">
        <v>22</v>
      </c>
      <c r="K139" s="511" t="s">
        <v>38</v>
      </c>
      <c r="L139" s="221"/>
      <c r="M139" s="80"/>
      <c r="N139" s="88"/>
      <c r="O139" s="88"/>
      <c r="P139" s="89"/>
      <c r="Q139" s="80"/>
      <c r="R139" s="88"/>
      <c r="S139" s="88"/>
      <c r="T139" s="88"/>
      <c r="U139" s="89"/>
    </row>
    <row r="140" spans="1:21" ht="15.75" thickBot="1" x14ac:dyDescent="0.3">
      <c r="A140" s="483"/>
      <c r="B140" s="484"/>
      <c r="C140" s="484"/>
      <c r="D140" s="484"/>
      <c r="E140" s="492">
        <f>SUM(E131:E139)</f>
        <v>557.5</v>
      </c>
      <c r="F140" s="484"/>
      <c r="G140" s="493">
        <f>SUM(G131:G139)</f>
        <v>304038.2</v>
      </c>
      <c r="H140" s="494"/>
      <c r="I140" s="495">
        <f>SUM(I131:I139)</f>
        <v>24264719.199999999</v>
      </c>
      <c r="J140" s="496"/>
      <c r="K140" s="509"/>
      <c r="L140" s="496"/>
      <c r="M140" s="483"/>
      <c r="N140" s="484"/>
      <c r="O140" s="484"/>
      <c r="P140" s="485"/>
      <c r="Q140" s="486"/>
      <c r="R140" s="484"/>
      <c r="S140" s="484"/>
      <c r="T140" s="484"/>
      <c r="U140" s="485"/>
    </row>
    <row r="141" spans="1:21" ht="15.75" customHeight="1" x14ac:dyDescent="0.25">
      <c r="A141" s="57">
        <v>127</v>
      </c>
      <c r="B141" s="58">
        <v>46068</v>
      </c>
      <c r="C141" s="497" t="s">
        <v>95</v>
      </c>
      <c r="D141" s="68">
        <v>52099595</v>
      </c>
      <c r="E141" s="498">
        <v>62.6</v>
      </c>
      <c r="F141" s="62">
        <v>545.36</v>
      </c>
      <c r="G141" s="29">
        <f t="shared" ref="G141:G150" si="26">E141*F141</f>
        <v>34139.536</v>
      </c>
      <c r="H141" s="460">
        <v>43524.160000000003</v>
      </c>
      <c r="I141" s="360">
        <f t="shared" ref="I141:I150" si="27">E141*H141</f>
        <v>2724612.4160000002</v>
      </c>
      <c r="J141" s="408" t="s">
        <v>22</v>
      </c>
      <c r="K141" s="510" t="s">
        <v>38</v>
      </c>
      <c r="L141" s="69"/>
      <c r="M141" s="57"/>
      <c r="N141" s="68"/>
      <c r="O141" s="68"/>
      <c r="P141" s="69"/>
      <c r="Q141" s="57"/>
      <c r="R141" s="68"/>
      <c r="S141" s="68"/>
      <c r="T141" s="68"/>
      <c r="U141" s="69"/>
    </row>
    <row r="142" spans="1:21" ht="15.75" customHeight="1" x14ac:dyDescent="0.25">
      <c r="A142" s="70">
        <f>A141+1</f>
        <v>128</v>
      </c>
      <c r="B142" s="98">
        <v>46068</v>
      </c>
      <c r="C142" s="144" t="s">
        <v>95</v>
      </c>
      <c r="D142" s="75">
        <v>57333684</v>
      </c>
      <c r="E142" s="145">
        <v>62.45</v>
      </c>
      <c r="F142" s="461">
        <v>545.36</v>
      </c>
      <c r="G142" s="31">
        <f t="shared" si="26"/>
        <v>34057.732000000004</v>
      </c>
      <c r="H142" s="36">
        <v>43524.160000000003</v>
      </c>
      <c r="I142" s="37">
        <f t="shared" si="27"/>
        <v>2718083.7920000004</v>
      </c>
      <c r="J142" s="114" t="s">
        <v>22</v>
      </c>
      <c r="K142" s="502" t="s">
        <v>38</v>
      </c>
      <c r="L142" s="79"/>
      <c r="M142" s="70"/>
      <c r="N142" s="75"/>
      <c r="O142" s="75"/>
      <c r="P142" s="79"/>
      <c r="Q142" s="70"/>
      <c r="R142" s="75"/>
      <c r="S142" s="75"/>
      <c r="T142" s="75"/>
      <c r="U142" s="79"/>
    </row>
    <row r="143" spans="1:21" ht="15.75" customHeight="1" x14ac:dyDescent="0.25">
      <c r="A143" s="70">
        <f t="shared" ref="A143:A150" si="28">A142+1</f>
        <v>129</v>
      </c>
      <c r="B143" s="98">
        <v>46068</v>
      </c>
      <c r="C143" s="144" t="s">
        <v>95</v>
      </c>
      <c r="D143" s="75">
        <v>58641887</v>
      </c>
      <c r="E143" s="145">
        <v>62.15</v>
      </c>
      <c r="F143" s="461">
        <v>545.36</v>
      </c>
      <c r="G143" s="31">
        <f t="shared" si="26"/>
        <v>33894.124000000003</v>
      </c>
      <c r="H143" s="36">
        <v>43524.160000000003</v>
      </c>
      <c r="I143" s="37">
        <f t="shared" si="27"/>
        <v>2705026.5440000002</v>
      </c>
      <c r="J143" s="114" t="s">
        <v>22</v>
      </c>
      <c r="K143" s="502" t="s">
        <v>38</v>
      </c>
      <c r="L143" s="79"/>
      <c r="M143" s="70"/>
      <c r="N143" s="75"/>
      <c r="O143" s="75"/>
      <c r="P143" s="79"/>
      <c r="Q143" s="70"/>
      <c r="R143" s="75"/>
      <c r="S143" s="75"/>
      <c r="T143" s="75"/>
      <c r="U143" s="79"/>
    </row>
    <row r="144" spans="1:21" ht="15.75" customHeight="1" x14ac:dyDescent="0.25">
      <c r="A144" s="70">
        <f t="shared" si="28"/>
        <v>130</v>
      </c>
      <c r="B144" s="98">
        <v>46068</v>
      </c>
      <c r="C144" s="144" t="s">
        <v>95</v>
      </c>
      <c r="D144" s="75">
        <v>71047153</v>
      </c>
      <c r="E144" s="145">
        <v>63.95</v>
      </c>
      <c r="F144" s="461">
        <v>545.36</v>
      </c>
      <c r="G144" s="31">
        <f t="shared" si="26"/>
        <v>34875.772000000004</v>
      </c>
      <c r="H144" s="36">
        <v>43524.160000000003</v>
      </c>
      <c r="I144" s="37">
        <f t="shared" si="27"/>
        <v>2783370.0320000001</v>
      </c>
      <c r="J144" s="114" t="s">
        <v>22</v>
      </c>
      <c r="K144" s="502" t="s">
        <v>38</v>
      </c>
      <c r="L144" s="79"/>
      <c r="M144" s="70"/>
      <c r="N144" s="75"/>
      <c r="O144" s="75"/>
      <c r="P144" s="79"/>
      <c r="Q144" s="70"/>
      <c r="R144" s="75"/>
      <c r="S144" s="75"/>
      <c r="T144" s="75"/>
      <c r="U144" s="79"/>
    </row>
    <row r="145" spans="1:21" ht="30" x14ac:dyDescent="0.25">
      <c r="A145" s="70">
        <f t="shared" si="28"/>
        <v>131</v>
      </c>
      <c r="B145" s="98">
        <v>46068</v>
      </c>
      <c r="C145" s="144" t="s">
        <v>95</v>
      </c>
      <c r="D145" s="75">
        <v>71047179</v>
      </c>
      <c r="E145" s="145">
        <v>63.55</v>
      </c>
      <c r="F145" s="461">
        <v>545.36</v>
      </c>
      <c r="G145" s="31">
        <f t="shared" si="26"/>
        <v>34657.627999999997</v>
      </c>
      <c r="H145" s="36">
        <v>43524.160000000003</v>
      </c>
      <c r="I145" s="37">
        <f t="shared" si="27"/>
        <v>2765960.3680000002</v>
      </c>
      <c r="J145" s="114" t="s">
        <v>22</v>
      </c>
      <c r="K145" s="502" t="s">
        <v>38</v>
      </c>
      <c r="L145" s="79"/>
      <c r="M145" s="70"/>
      <c r="N145" s="75"/>
      <c r="O145" s="75"/>
      <c r="P145" s="79"/>
      <c r="Q145" s="70"/>
      <c r="R145" s="75"/>
      <c r="S145" s="75"/>
      <c r="T145" s="75"/>
      <c r="U145" s="79"/>
    </row>
    <row r="146" spans="1:21" ht="30" x14ac:dyDescent="0.25">
      <c r="A146" s="70">
        <f t="shared" si="28"/>
        <v>132</v>
      </c>
      <c r="B146" s="98">
        <v>46068</v>
      </c>
      <c r="C146" s="144" t="s">
        <v>95</v>
      </c>
      <c r="D146" s="75">
        <v>71047252</v>
      </c>
      <c r="E146" s="145">
        <v>63.45</v>
      </c>
      <c r="F146" s="461">
        <v>545.36</v>
      </c>
      <c r="G146" s="31">
        <f t="shared" si="26"/>
        <v>34603.092000000004</v>
      </c>
      <c r="H146" s="36">
        <v>43524.160000000003</v>
      </c>
      <c r="I146" s="37">
        <f t="shared" si="27"/>
        <v>2761607.9520000005</v>
      </c>
      <c r="J146" s="114" t="s">
        <v>22</v>
      </c>
      <c r="K146" s="502" t="s">
        <v>38</v>
      </c>
      <c r="L146" s="79"/>
      <c r="M146" s="70"/>
      <c r="N146" s="75"/>
      <c r="O146" s="75"/>
      <c r="P146" s="79"/>
      <c r="Q146" s="70"/>
      <c r="R146" s="75"/>
      <c r="S146" s="75"/>
      <c r="T146" s="75"/>
      <c r="U146" s="79"/>
    </row>
    <row r="147" spans="1:21" ht="30" x14ac:dyDescent="0.25">
      <c r="A147" s="70">
        <f t="shared" si="28"/>
        <v>133</v>
      </c>
      <c r="B147" s="98">
        <v>46068</v>
      </c>
      <c r="C147" s="144" t="s">
        <v>95</v>
      </c>
      <c r="D147" s="75">
        <v>71047427</v>
      </c>
      <c r="E147" s="145">
        <v>62.9</v>
      </c>
      <c r="F147" s="461">
        <v>545.36</v>
      </c>
      <c r="G147" s="31">
        <f t="shared" si="26"/>
        <v>34303.144</v>
      </c>
      <c r="H147" s="36">
        <v>43524.160000000003</v>
      </c>
      <c r="I147" s="37">
        <f t="shared" si="27"/>
        <v>2737669.6640000003</v>
      </c>
      <c r="J147" s="114" t="s">
        <v>22</v>
      </c>
      <c r="K147" s="502" t="s">
        <v>38</v>
      </c>
      <c r="L147" s="79"/>
      <c r="M147" s="70"/>
      <c r="N147" s="75"/>
      <c r="O147" s="75"/>
      <c r="P147" s="79"/>
      <c r="Q147" s="70"/>
      <c r="R147" s="75"/>
      <c r="S147" s="75"/>
      <c r="T147" s="75"/>
      <c r="U147" s="79"/>
    </row>
    <row r="148" spans="1:21" ht="30" x14ac:dyDescent="0.25">
      <c r="A148" s="70">
        <f t="shared" si="28"/>
        <v>134</v>
      </c>
      <c r="B148" s="98">
        <v>46068</v>
      </c>
      <c r="C148" s="144" t="s">
        <v>95</v>
      </c>
      <c r="D148" s="75">
        <v>73337180</v>
      </c>
      <c r="E148" s="145">
        <v>61.15</v>
      </c>
      <c r="F148" s="461">
        <v>545.36</v>
      </c>
      <c r="G148" s="31">
        <f t="shared" si="26"/>
        <v>33348.764000000003</v>
      </c>
      <c r="H148" s="36">
        <v>43524.160000000003</v>
      </c>
      <c r="I148" s="37">
        <f t="shared" si="27"/>
        <v>2661502.3840000001</v>
      </c>
      <c r="J148" s="114" t="s">
        <v>22</v>
      </c>
      <c r="K148" s="502" t="s">
        <v>38</v>
      </c>
      <c r="L148" s="79"/>
      <c r="M148" s="70"/>
      <c r="N148" s="75"/>
      <c r="O148" s="75"/>
      <c r="P148" s="79"/>
      <c r="Q148" s="70"/>
      <c r="R148" s="75"/>
      <c r="S148" s="75"/>
      <c r="T148" s="75"/>
      <c r="U148" s="79"/>
    </row>
    <row r="149" spans="1:21" ht="30" x14ac:dyDescent="0.25">
      <c r="A149" s="70">
        <f t="shared" si="28"/>
        <v>135</v>
      </c>
      <c r="B149" s="98">
        <v>46068</v>
      </c>
      <c r="C149" s="144" t="s">
        <v>95</v>
      </c>
      <c r="D149" s="75">
        <v>74917659</v>
      </c>
      <c r="E149" s="145">
        <v>63</v>
      </c>
      <c r="F149" s="461">
        <v>545.36</v>
      </c>
      <c r="G149" s="31">
        <f t="shared" si="26"/>
        <v>34357.68</v>
      </c>
      <c r="H149" s="36">
        <v>43524.160000000003</v>
      </c>
      <c r="I149" s="37">
        <f t="shared" si="27"/>
        <v>2742022.08</v>
      </c>
      <c r="J149" s="114" t="s">
        <v>22</v>
      </c>
      <c r="K149" s="502" t="s">
        <v>38</v>
      </c>
      <c r="L149" s="79"/>
      <c r="M149" s="70"/>
      <c r="N149" s="75"/>
      <c r="O149" s="75"/>
      <c r="P149" s="79"/>
      <c r="Q149" s="70"/>
      <c r="R149" s="75"/>
      <c r="S149" s="75"/>
      <c r="T149" s="75"/>
      <c r="U149" s="79"/>
    </row>
    <row r="150" spans="1:21" ht="30.75" thickBot="1" x14ac:dyDescent="0.3">
      <c r="A150" s="80">
        <f t="shared" si="28"/>
        <v>136</v>
      </c>
      <c r="B150" s="99">
        <v>46068</v>
      </c>
      <c r="C150" s="503" t="s">
        <v>95</v>
      </c>
      <c r="D150" s="88">
        <v>75058164</v>
      </c>
      <c r="E150" s="504">
        <v>62.35</v>
      </c>
      <c r="F150" s="471">
        <v>545.36</v>
      </c>
      <c r="G150" s="217">
        <f t="shared" si="26"/>
        <v>34003.196000000004</v>
      </c>
      <c r="H150" s="41">
        <v>43524.160000000003</v>
      </c>
      <c r="I150" s="42">
        <f t="shared" si="27"/>
        <v>2713731.3760000002</v>
      </c>
      <c r="J150" s="219" t="s">
        <v>22</v>
      </c>
      <c r="K150" s="511" t="s">
        <v>38</v>
      </c>
      <c r="L150" s="89"/>
      <c r="M150" s="80"/>
      <c r="N150" s="88"/>
      <c r="O150" s="88"/>
      <c r="P150" s="89"/>
      <c r="Q150" s="80"/>
      <c r="R150" s="88"/>
      <c r="S150" s="88"/>
      <c r="T150" s="88"/>
      <c r="U150" s="89"/>
    </row>
    <row r="151" spans="1:21" ht="15.75" thickBot="1" x14ac:dyDescent="0.3">
      <c r="A151" s="483"/>
      <c r="B151" s="484"/>
      <c r="C151" s="484"/>
      <c r="D151" s="484"/>
      <c r="E151" s="492">
        <f>SUM(E141:E150)</f>
        <v>627.55000000000007</v>
      </c>
      <c r="F151" s="484"/>
      <c r="G151" s="493">
        <f>SUM(G141:G150)</f>
        <v>342240.66800000001</v>
      </c>
      <c r="H151" s="494"/>
      <c r="I151" s="495">
        <f>SUM(I141:I150)</f>
        <v>27313586.608000003</v>
      </c>
      <c r="J151" s="496"/>
      <c r="K151" s="509"/>
      <c r="L151" s="496"/>
      <c r="M151" s="483"/>
      <c r="N151" s="484"/>
      <c r="O151" s="484"/>
      <c r="P151" s="485"/>
      <c r="Q151" s="486"/>
      <c r="R151" s="484"/>
      <c r="S151" s="484"/>
      <c r="T151" s="484"/>
      <c r="U151" s="485"/>
    </row>
    <row r="152" spans="1:21" ht="30" x14ac:dyDescent="0.25">
      <c r="A152" s="57">
        <v>137</v>
      </c>
      <c r="B152" s="58">
        <v>46070</v>
      </c>
      <c r="C152" s="59">
        <v>8611077</v>
      </c>
      <c r="D152" s="60">
        <v>51151959</v>
      </c>
      <c r="E152" s="61">
        <v>56.5</v>
      </c>
      <c r="F152" s="62">
        <v>545.36</v>
      </c>
      <c r="G152" s="29">
        <f t="shared" ref="G152:G160" si="29">E152*F152</f>
        <v>30812.84</v>
      </c>
      <c r="H152" s="460">
        <v>43524.160000000003</v>
      </c>
      <c r="I152" s="360">
        <f t="shared" ref="I152:I160" si="30">E152*H152</f>
        <v>2459115.04</v>
      </c>
      <c r="J152" s="361" t="s">
        <v>22</v>
      </c>
      <c r="K152" s="362" t="s">
        <v>38</v>
      </c>
      <c r="L152" s="69"/>
      <c r="M152" s="57"/>
      <c r="N152" s="68"/>
      <c r="O152" s="68"/>
      <c r="P152" s="69"/>
      <c r="Q152" s="57"/>
      <c r="R152" s="68"/>
      <c r="S152" s="68"/>
      <c r="T152" s="68"/>
      <c r="U152" s="69"/>
    </row>
    <row r="153" spans="1:21" ht="30" x14ac:dyDescent="0.25">
      <c r="A153" s="70">
        <f>A152+1</f>
        <v>138</v>
      </c>
      <c r="B153" s="98">
        <v>46070</v>
      </c>
      <c r="C153" s="72">
        <v>8611077</v>
      </c>
      <c r="D153" s="73">
        <v>57057648</v>
      </c>
      <c r="E153" s="74">
        <v>61.85</v>
      </c>
      <c r="F153" s="512">
        <v>545.36</v>
      </c>
      <c r="G153" s="31">
        <f t="shared" si="29"/>
        <v>33730.516000000003</v>
      </c>
      <c r="H153" s="36">
        <v>43524.160000000003</v>
      </c>
      <c r="I153" s="37">
        <f t="shared" si="30"/>
        <v>2691969.2960000001</v>
      </c>
      <c r="J153" s="189" t="s">
        <v>22</v>
      </c>
      <c r="K153" s="356" t="s">
        <v>38</v>
      </c>
      <c r="L153" s="79"/>
      <c r="M153" s="70"/>
      <c r="N153" s="75"/>
      <c r="O153" s="75"/>
      <c r="P153" s="79"/>
      <c r="Q153" s="70"/>
      <c r="R153" s="75"/>
      <c r="S153" s="75"/>
      <c r="T153" s="75"/>
      <c r="U153" s="79"/>
    </row>
    <row r="154" spans="1:21" ht="30" x14ac:dyDescent="0.25">
      <c r="A154" s="70">
        <f t="shared" ref="A154:A160" si="31">A153+1</f>
        <v>139</v>
      </c>
      <c r="B154" s="98">
        <v>46070</v>
      </c>
      <c r="C154" s="72">
        <v>8611077</v>
      </c>
      <c r="D154" s="73">
        <v>71044879</v>
      </c>
      <c r="E154" s="74">
        <v>63.7</v>
      </c>
      <c r="F154" s="461">
        <v>545.36</v>
      </c>
      <c r="G154" s="31">
        <f t="shared" si="29"/>
        <v>34739.432000000001</v>
      </c>
      <c r="H154" s="36">
        <v>43524.160000000003</v>
      </c>
      <c r="I154" s="37">
        <f t="shared" si="30"/>
        <v>2772488.9920000006</v>
      </c>
      <c r="J154" s="189" t="s">
        <v>22</v>
      </c>
      <c r="K154" s="356" t="s">
        <v>38</v>
      </c>
      <c r="L154" s="79"/>
      <c r="M154" s="70"/>
      <c r="N154" s="75"/>
      <c r="O154" s="75"/>
      <c r="P154" s="79"/>
      <c r="Q154" s="70"/>
      <c r="R154" s="75"/>
      <c r="S154" s="75"/>
      <c r="T154" s="75"/>
      <c r="U154" s="79"/>
    </row>
    <row r="155" spans="1:21" ht="30" x14ac:dyDescent="0.25">
      <c r="A155" s="70">
        <f t="shared" si="31"/>
        <v>140</v>
      </c>
      <c r="B155" s="98">
        <v>46070</v>
      </c>
      <c r="C155" s="72">
        <v>8611077</v>
      </c>
      <c r="D155" s="73">
        <v>71045645</v>
      </c>
      <c r="E155" s="74">
        <v>62.95</v>
      </c>
      <c r="F155" s="461">
        <v>545.36</v>
      </c>
      <c r="G155" s="31">
        <f t="shared" si="29"/>
        <v>34330.412000000004</v>
      </c>
      <c r="H155" s="36">
        <v>43524.160000000003</v>
      </c>
      <c r="I155" s="37">
        <f t="shared" si="30"/>
        <v>2739845.8720000004</v>
      </c>
      <c r="J155" s="189" t="s">
        <v>22</v>
      </c>
      <c r="K155" s="356" t="s">
        <v>38</v>
      </c>
      <c r="L155" s="79"/>
      <c r="M155" s="70"/>
      <c r="N155" s="75"/>
      <c r="O155" s="75"/>
      <c r="P155" s="79"/>
      <c r="Q155" s="70"/>
      <c r="R155" s="75"/>
      <c r="S155" s="75"/>
      <c r="T155" s="75"/>
      <c r="U155" s="79"/>
    </row>
    <row r="156" spans="1:21" ht="30" x14ac:dyDescent="0.25">
      <c r="A156" s="70">
        <f t="shared" si="31"/>
        <v>141</v>
      </c>
      <c r="B156" s="98">
        <v>46070</v>
      </c>
      <c r="C156" s="72">
        <v>8611077</v>
      </c>
      <c r="D156" s="73">
        <v>71046106</v>
      </c>
      <c r="E156" s="74">
        <v>60.8</v>
      </c>
      <c r="F156" s="461">
        <v>545.36</v>
      </c>
      <c r="G156" s="31">
        <f t="shared" si="29"/>
        <v>33157.887999999999</v>
      </c>
      <c r="H156" s="36">
        <v>43524.160000000003</v>
      </c>
      <c r="I156" s="37">
        <f t="shared" si="30"/>
        <v>2646268.9280000003</v>
      </c>
      <c r="J156" s="189" t="s">
        <v>22</v>
      </c>
      <c r="K156" s="356" t="s">
        <v>38</v>
      </c>
      <c r="L156" s="79"/>
      <c r="M156" s="70"/>
      <c r="N156" s="75"/>
      <c r="O156" s="75"/>
      <c r="P156" s="79"/>
      <c r="Q156" s="70"/>
      <c r="R156" s="75"/>
      <c r="S156" s="75"/>
      <c r="T156" s="75"/>
      <c r="U156" s="79"/>
    </row>
    <row r="157" spans="1:21" ht="30" x14ac:dyDescent="0.25">
      <c r="A157" s="70">
        <f t="shared" si="31"/>
        <v>142</v>
      </c>
      <c r="B157" s="98">
        <v>46070</v>
      </c>
      <c r="C157" s="72">
        <v>8611077</v>
      </c>
      <c r="D157" s="73">
        <v>71047146</v>
      </c>
      <c r="E157" s="74">
        <v>65.2</v>
      </c>
      <c r="F157" s="461">
        <v>545.36</v>
      </c>
      <c r="G157" s="31">
        <f t="shared" si="29"/>
        <v>35557.472000000002</v>
      </c>
      <c r="H157" s="36">
        <v>43524.160000000003</v>
      </c>
      <c r="I157" s="37">
        <f t="shared" si="30"/>
        <v>2837775.2320000003</v>
      </c>
      <c r="J157" s="189" t="s">
        <v>22</v>
      </c>
      <c r="K157" s="356" t="s">
        <v>38</v>
      </c>
      <c r="L157" s="79"/>
      <c r="M157" s="70"/>
      <c r="N157" s="75"/>
      <c r="O157" s="75"/>
      <c r="P157" s="79"/>
      <c r="Q157" s="70"/>
      <c r="R157" s="75"/>
      <c r="S157" s="75"/>
      <c r="T157" s="75"/>
      <c r="U157" s="79"/>
    </row>
    <row r="158" spans="1:21" ht="30" x14ac:dyDescent="0.25">
      <c r="A158" s="70">
        <f t="shared" si="31"/>
        <v>143</v>
      </c>
      <c r="B158" s="98">
        <v>46070</v>
      </c>
      <c r="C158" s="72">
        <v>8611077</v>
      </c>
      <c r="D158" s="73">
        <v>71047377</v>
      </c>
      <c r="E158" s="74">
        <v>61.25</v>
      </c>
      <c r="F158" s="461">
        <v>545.36</v>
      </c>
      <c r="G158" s="31">
        <f t="shared" si="29"/>
        <v>33403.300000000003</v>
      </c>
      <c r="H158" s="36">
        <v>43524.160000000003</v>
      </c>
      <c r="I158" s="37">
        <f t="shared" si="30"/>
        <v>2665854.8000000003</v>
      </c>
      <c r="J158" s="189" t="s">
        <v>22</v>
      </c>
      <c r="K158" s="356" t="s">
        <v>38</v>
      </c>
      <c r="L158" s="79"/>
      <c r="M158" s="70"/>
      <c r="N158" s="75"/>
      <c r="O158" s="75"/>
      <c r="P158" s="79"/>
      <c r="Q158" s="70"/>
      <c r="R158" s="75"/>
      <c r="S158" s="75"/>
      <c r="T158" s="75"/>
      <c r="U158" s="79"/>
    </row>
    <row r="159" spans="1:21" ht="30" x14ac:dyDescent="0.25">
      <c r="A159" s="70">
        <f t="shared" si="31"/>
        <v>144</v>
      </c>
      <c r="B159" s="98">
        <v>46070</v>
      </c>
      <c r="C159" s="72">
        <v>8611077</v>
      </c>
      <c r="D159" s="73">
        <v>73981334</v>
      </c>
      <c r="E159" s="74">
        <v>58.6</v>
      </c>
      <c r="F159" s="461">
        <v>545.36</v>
      </c>
      <c r="G159" s="31">
        <f t="shared" si="29"/>
        <v>31958.096000000001</v>
      </c>
      <c r="H159" s="36">
        <v>43524.160000000003</v>
      </c>
      <c r="I159" s="37">
        <f t="shared" si="30"/>
        <v>2550515.7760000001</v>
      </c>
      <c r="J159" s="189" t="s">
        <v>22</v>
      </c>
      <c r="K159" s="356" t="s">
        <v>38</v>
      </c>
      <c r="L159" s="79"/>
      <c r="M159" s="70"/>
      <c r="N159" s="75"/>
      <c r="O159" s="75"/>
      <c r="P159" s="79"/>
      <c r="Q159" s="70"/>
      <c r="R159" s="75"/>
      <c r="S159" s="75"/>
      <c r="T159" s="75"/>
      <c r="U159" s="79"/>
    </row>
    <row r="160" spans="1:21" ht="30.75" thickBot="1" x14ac:dyDescent="0.3">
      <c r="A160" s="101">
        <f t="shared" si="31"/>
        <v>145</v>
      </c>
      <c r="B160" s="135">
        <v>46070</v>
      </c>
      <c r="C160" s="102">
        <v>8611077</v>
      </c>
      <c r="D160" s="103">
        <v>75052407</v>
      </c>
      <c r="E160" s="104">
        <v>62.6</v>
      </c>
      <c r="F160" s="512">
        <v>545.36</v>
      </c>
      <c r="G160" s="106">
        <f t="shared" si="29"/>
        <v>34139.536</v>
      </c>
      <c r="H160" s="38">
        <v>43524.160000000003</v>
      </c>
      <c r="I160" s="39">
        <f t="shared" si="30"/>
        <v>2724612.4160000002</v>
      </c>
      <c r="J160" s="189" t="s">
        <v>22</v>
      </c>
      <c r="K160" s="357" t="s">
        <v>38</v>
      </c>
      <c r="L160" s="89"/>
      <c r="M160" s="80"/>
      <c r="N160" s="88"/>
      <c r="O160" s="88"/>
      <c r="P160" s="89"/>
      <c r="Q160" s="80"/>
      <c r="R160" s="88"/>
      <c r="S160" s="88"/>
      <c r="T160" s="88"/>
      <c r="U160" s="89"/>
    </row>
    <row r="161" spans="1:21" ht="15.75" thickBot="1" x14ac:dyDescent="0.3">
      <c r="A161" s="462"/>
      <c r="B161" s="463"/>
      <c r="C161" s="463"/>
      <c r="D161" s="463"/>
      <c r="E161" s="464">
        <f>SUM(E152:E160)</f>
        <v>553.45000000000005</v>
      </c>
      <c r="F161" s="463"/>
      <c r="G161" s="465">
        <f>SUM(G152:G160)</f>
        <v>301829.49200000009</v>
      </c>
      <c r="H161" s="466"/>
      <c r="I161" s="467">
        <f>SUM(I152:I160)</f>
        <v>24088446.352000006</v>
      </c>
      <c r="J161" s="463"/>
      <c r="K161" s="468"/>
      <c r="L161" s="496"/>
      <c r="M161" s="483"/>
      <c r="N161" s="484"/>
      <c r="O161" s="484"/>
      <c r="P161" s="485"/>
      <c r="Q161" s="486"/>
      <c r="R161" s="484"/>
      <c r="S161" s="484"/>
      <c r="T161" s="484"/>
      <c r="U161" s="485"/>
    </row>
    <row r="162" spans="1:21" ht="30" x14ac:dyDescent="0.25">
      <c r="A162" s="57">
        <v>146</v>
      </c>
      <c r="B162" s="58">
        <v>46070</v>
      </c>
      <c r="C162" s="59">
        <v>8611078</v>
      </c>
      <c r="D162" s="60">
        <v>51847507</v>
      </c>
      <c r="E162" s="61">
        <v>62.95</v>
      </c>
      <c r="F162" s="461">
        <v>545.36</v>
      </c>
      <c r="G162" s="29">
        <f t="shared" ref="G162:G166" si="32">E162*F162</f>
        <v>34330.412000000004</v>
      </c>
      <c r="H162" s="460">
        <v>43524.160000000003</v>
      </c>
      <c r="I162" s="360">
        <f t="shared" ref="I162:I166" si="33">E162*H162</f>
        <v>2739845.8720000004</v>
      </c>
      <c r="J162" s="361" t="s">
        <v>22</v>
      </c>
      <c r="K162" s="362" t="s">
        <v>38</v>
      </c>
      <c r="L162" s="230"/>
      <c r="M162" s="245"/>
      <c r="N162" s="68"/>
      <c r="O162" s="68"/>
      <c r="P162" s="69"/>
      <c r="Q162" s="57"/>
      <c r="R162" s="68"/>
      <c r="S162" s="68"/>
      <c r="T162" s="68"/>
      <c r="U162" s="69"/>
    </row>
    <row r="163" spans="1:21" ht="30" x14ac:dyDescent="0.25">
      <c r="A163" s="70">
        <f>A162+1</f>
        <v>147</v>
      </c>
      <c r="B163" s="98">
        <v>46070</v>
      </c>
      <c r="C163" s="72">
        <v>8611078</v>
      </c>
      <c r="D163" s="73">
        <v>55950000</v>
      </c>
      <c r="E163" s="74">
        <v>63.1</v>
      </c>
      <c r="F163" s="461">
        <v>545.36</v>
      </c>
      <c r="G163" s="31">
        <f t="shared" si="32"/>
        <v>34412.216</v>
      </c>
      <c r="H163" s="36">
        <v>43524.160000000003</v>
      </c>
      <c r="I163" s="37">
        <f t="shared" si="33"/>
        <v>2746374.4960000003</v>
      </c>
      <c r="J163" s="189" t="s">
        <v>22</v>
      </c>
      <c r="K163" s="356" t="s">
        <v>38</v>
      </c>
      <c r="L163" s="231"/>
      <c r="M163" s="247"/>
      <c r="N163" s="75"/>
      <c r="O163" s="75"/>
      <c r="P163" s="79"/>
      <c r="Q163" s="70"/>
      <c r="R163" s="75"/>
      <c r="S163" s="75"/>
      <c r="T163" s="75"/>
      <c r="U163" s="79"/>
    </row>
    <row r="164" spans="1:21" ht="30" x14ac:dyDescent="0.25">
      <c r="A164" s="70">
        <f t="shared" ref="A164:A166" si="34">A163+1</f>
        <v>148</v>
      </c>
      <c r="B164" s="98">
        <v>46070</v>
      </c>
      <c r="C164" s="72">
        <v>8611078</v>
      </c>
      <c r="D164" s="73">
        <v>57206518</v>
      </c>
      <c r="E164" s="74">
        <v>62.25</v>
      </c>
      <c r="F164" s="461">
        <v>545.36</v>
      </c>
      <c r="G164" s="31">
        <f t="shared" si="32"/>
        <v>33948.660000000003</v>
      </c>
      <c r="H164" s="36">
        <v>43524.160000000003</v>
      </c>
      <c r="I164" s="37">
        <f t="shared" si="33"/>
        <v>2709378.9600000004</v>
      </c>
      <c r="J164" s="189" t="s">
        <v>22</v>
      </c>
      <c r="K164" s="356" t="s">
        <v>38</v>
      </c>
      <c r="L164" s="231"/>
      <c r="M164" s="247"/>
      <c r="N164" s="75"/>
      <c r="O164" s="75"/>
      <c r="P164" s="79"/>
      <c r="Q164" s="70"/>
      <c r="R164" s="75"/>
      <c r="S164" s="75"/>
      <c r="T164" s="75"/>
      <c r="U164" s="79"/>
    </row>
    <row r="165" spans="1:21" ht="30" x14ac:dyDescent="0.25">
      <c r="A165" s="70">
        <f t="shared" si="34"/>
        <v>149</v>
      </c>
      <c r="B165" s="98">
        <v>46070</v>
      </c>
      <c r="C165" s="72">
        <v>8611078</v>
      </c>
      <c r="D165" s="73">
        <v>73315582</v>
      </c>
      <c r="E165" s="74">
        <v>60.95</v>
      </c>
      <c r="F165" s="461">
        <v>545.36</v>
      </c>
      <c r="G165" s="31">
        <f t="shared" si="32"/>
        <v>33239.692000000003</v>
      </c>
      <c r="H165" s="36">
        <v>43524.160000000003</v>
      </c>
      <c r="I165" s="37">
        <f t="shared" si="33"/>
        <v>2652797.5520000001</v>
      </c>
      <c r="J165" s="189" t="s">
        <v>22</v>
      </c>
      <c r="K165" s="356" t="s">
        <v>38</v>
      </c>
      <c r="L165" s="231"/>
      <c r="M165" s="247"/>
      <c r="N165" s="75"/>
      <c r="O165" s="75"/>
      <c r="P165" s="79"/>
      <c r="Q165" s="70"/>
      <c r="R165" s="75"/>
      <c r="S165" s="75"/>
      <c r="T165" s="75"/>
      <c r="U165" s="79"/>
    </row>
    <row r="166" spans="1:21" ht="30.75" thickBot="1" x14ac:dyDescent="0.3">
      <c r="A166" s="101">
        <f t="shared" si="34"/>
        <v>150</v>
      </c>
      <c r="B166" s="135">
        <v>46070</v>
      </c>
      <c r="C166" s="102">
        <v>8611078</v>
      </c>
      <c r="D166" s="103">
        <v>75050237</v>
      </c>
      <c r="E166" s="104">
        <v>62.5</v>
      </c>
      <c r="F166" s="461">
        <v>545.36</v>
      </c>
      <c r="G166" s="106">
        <f t="shared" si="32"/>
        <v>34085</v>
      </c>
      <c r="H166" s="38">
        <v>43524.160000000003</v>
      </c>
      <c r="I166" s="39">
        <f t="shared" si="33"/>
        <v>2720260</v>
      </c>
      <c r="J166" s="189" t="s">
        <v>22</v>
      </c>
      <c r="K166" s="357" t="s">
        <v>38</v>
      </c>
      <c r="L166" s="258"/>
      <c r="M166" s="250"/>
      <c r="N166" s="88"/>
      <c r="O166" s="88"/>
      <c r="P166" s="89"/>
      <c r="Q166" s="80"/>
      <c r="R166" s="88"/>
      <c r="S166" s="88"/>
      <c r="T166" s="88"/>
      <c r="U166" s="89"/>
    </row>
    <row r="167" spans="1:21" ht="15.75" thickBot="1" x14ac:dyDescent="0.3">
      <c r="A167" s="472"/>
      <c r="B167" s="473"/>
      <c r="C167" s="473"/>
      <c r="D167" s="473"/>
      <c r="E167" s="474">
        <f>SUM(E162:E166)</f>
        <v>311.75</v>
      </c>
      <c r="F167" s="473"/>
      <c r="G167" s="475">
        <f>SUM(G162:G166)</f>
        <v>170015.98</v>
      </c>
      <c r="H167" s="476"/>
      <c r="I167" s="477">
        <f>SUM(I162:I166)</f>
        <v>13568656.880000003</v>
      </c>
      <c r="J167" s="479"/>
      <c r="K167" s="478"/>
      <c r="L167" s="479"/>
      <c r="M167" s="472"/>
      <c r="N167" s="473"/>
      <c r="O167" s="473"/>
      <c r="P167" s="480"/>
      <c r="Q167" s="481"/>
      <c r="R167" s="473"/>
      <c r="S167" s="473"/>
      <c r="T167" s="473"/>
      <c r="U167" s="480"/>
    </row>
    <row r="168" spans="1:21" ht="30" x14ac:dyDescent="0.25">
      <c r="A168" s="207">
        <v>151</v>
      </c>
      <c r="B168" s="71">
        <v>46071</v>
      </c>
      <c r="C168" s="151">
        <v>8611095</v>
      </c>
      <c r="D168" s="152">
        <v>50988476</v>
      </c>
      <c r="E168" s="153">
        <v>61.7</v>
      </c>
      <c r="F168" s="461">
        <v>545.36</v>
      </c>
      <c r="G168" s="32">
        <f t="shared" ref="G168:G174" si="35">E168*F168</f>
        <v>33648.712</v>
      </c>
      <c r="H168" s="34">
        <v>43524.160000000003</v>
      </c>
      <c r="I168" s="35">
        <f t="shared" ref="I168:I174" si="36">E168*H168</f>
        <v>2685440.6720000003</v>
      </c>
      <c r="J168" s="354" t="s">
        <v>22</v>
      </c>
      <c r="K168" s="355" t="s">
        <v>38</v>
      </c>
      <c r="L168" s="407"/>
      <c r="M168" s="207"/>
      <c r="N168" s="140"/>
      <c r="O168" s="140"/>
      <c r="P168" s="210"/>
      <c r="Q168" s="207"/>
      <c r="R168" s="140"/>
      <c r="S168" s="140"/>
      <c r="T168" s="140"/>
      <c r="U168" s="210"/>
    </row>
    <row r="169" spans="1:21" ht="30" x14ac:dyDescent="0.25">
      <c r="A169" s="70">
        <f>A168+1</f>
        <v>152</v>
      </c>
      <c r="B169" s="98">
        <v>46071</v>
      </c>
      <c r="C169" s="72">
        <v>8611095</v>
      </c>
      <c r="D169" s="73">
        <v>51861102</v>
      </c>
      <c r="E169" s="74">
        <v>62.75</v>
      </c>
      <c r="F169" s="461">
        <v>545.36</v>
      </c>
      <c r="G169" s="31">
        <f t="shared" si="35"/>
        <v>34221.340000000004</v>
      </c>
      <c r="H169" s="36">
        <v>43524.160000000003</v>
      </c>
      <c r="I169" s="37">
        <f t="shared" si="36"/>
        <v>2731141.04</v>
      </c>
      <c r="J169" s="189" t="s">
        <v>22</v>
      </c>
      <c r="K169" s="356" t="s">
        <v>38</v>
      </c>
      <c r="L169" s="231"/>
      <c r="M169" s="70"/>
      <c r="N169" s="75"/>
      <c r="O169" s="75"/>
      <c r="P169" s="79"/>
      <c r="Q169" s="70"/>
      <c r="R169" s="75"/>
      <c r="S169" s="75"/>
      <c r="T169" s="75"/>
      <c r="U169" s="79"/>
    </row>
    <row r="170" spans="1:21" ht="30" x14ac:dyDescent="0.25">
      <c r="A170" s="70">
        <f t="shared" ref="A170:A174" si="37">A169+1</f>
        <v>153</v>
      </c>
      <c r="B170" s="98">
        <v>46071</v>
      </c>
      <c r="C170" s="72">
        <v>8611095</v>
      </c>
      <c r="D170" s="73">
        <v>55949226</v>
      </c>
      <c r="E170" s="74">
        <v>62.65</v>
      </c>
      <c r="F170" s="461">
        <v>545.36</v>
      </c>
      <c r="G170" s="31">
        <f t="shared" si="35"/>
        <v>34166.803999999996</v>
      </c>
      <c r="H170" s="36">
        <v>43524.160000000003</v>
      </c>
      <c r="I170" s="37">
        <f t="shared" si="36"/>
        <v>2726788.6240000003</v>
      </c>
      <c r="J170" s="189" t="s">
        <v>22</v>
      </c>
      <c r="K170" s="356" t="s">
        <v>38</v>
      </c>
      <c r="L170" s="231"/>
      <c r="M170" s="70"/>
      <c r="N170" s="75"/>
      <c r="O170" s="75"/>
      <c r="P170" s="79"/>
      <c r="Q170" s="70"/>
      <c r="R170" s="75"/>
      <c r="S170" s="75"/>
      <c r="T170" s="75"/>
      <c r="U170" s="79"/>
    </row>
    <row r="171" spans="1:21" ht="30" x14ac:dyDescent="0.25">
      <c r="A171" s="70">
        <f t="shared" si="37"/>
        <v>154</v>
      </c>
      <c r="B171" s="98">
        <v>46071</v>
      </c>
      <c r="C171" s="72">
        <v>8611095</v>
      </c>
      <c r="D171" s="73">
        <v>71049324</v>
      </c>
      <c r="E171" s="74">
        <v>64.099999999999994</v>
      </c>
      <c r="F171" s="461">
        <v>545.36</v>
      </c>
      <c r="G171" s="31">
        <f t="shared" si="35"/>
        <v>34957.576000000001</v>
      </c>
      <c r="H171" s="36">
        <v>43524.160000000003</v>
      </c>
      <c r="I171" s="37">
        <f t="shared" si="36"/>
        <v>2789898.656</v>
      </c>
      <c r="J171" s="189" t="s">
        <v>22</v>
      </c>
      <c r="K171" s="356" t="s">
        <v>38</v>
      </c>
      <c r="L171" s="231"/>
      <c r="M171" s="70"/>
      <c r="N171" s="75"/>
      <c r="O171" s="75"/>
      <c r="P171" s="79"/>
      <c r="Q171" s="70"/>
      <c r="R171" s="75"/>
      <c r="S171" s="75"/>
      <c r="T171" s="75"/>
      <c r="U171" s="79"/>
    </row>
    <row r="172" spans="1:21" ht="30" x14ac:dyDescent="0.25">
      <c r="A172" s="70">
        <f t="shared" si="37"/>
        <v>155</v>
      </c>
      <c r="B172" s="98">
        <v>46071</v>
      </c>
      <c r="C172" s="72">
        <v>8611095</v>
      </c>
      <c r="D172" s="73">
        <v>73657587</v>
      </c>
      <c r="E172" s="74">
        <v>62.9</v>
      </c>
      <c r="F172" s="461">
        <v>545.36</v>
      </c>
      <c r="G172" s="31">
        <f t="shared" si="35"/>
        <v>34303.144</v>
      </c>
      <c r="H172" s="36">
        <v>43524.160000000003</v>
      </c>
      <c r="I172" s="37">
        <f t="shared" si="36"/>
        <v>2737669.6640000003</v>
      </c>
      <c r="J172" s="189" t="s">
        <v>22</v>
      </c>
      <c r="K172" s="356" t="s">
        <v>38</v>
      </c>
      <c r="L172" s="231"/>
      <c r="M172" s="70"/>
      <c r="N172" s="75"/>
      <c r="O172" s="75"/>
      <c r="P172" s="79"/>
      <c r="Q172" s="70"/>
      <c r="R172" s="75"/>
      <c r="S172" s="75"/>
      <c r="T172" s="75"/>
      <c r="U172" s="79"/>
    </row>
    <row r="173" spans="1:21" ht="30" x14ac:dyDescent="0.25">
      <c r="A173" s="70">
        <f t="shared" si="37"/>
        <v>156</v>
      </c>
      <c r="B173" s="98">
        <v>46071</v>
      </c>
      <c r="C173" s="72">
        <v>8611095</v>
      </c>
      <c r="D173" s="73">
        <v>73979387</v>
      </c>
      <c r="E173" s="74">
        <v>65.650000000000006</v>
      </c>
      <c r="F173" s="461">
        <v>545.36</v>
      </c>
      <c r="G173" s="31">
        <f t="shared" si="35"/>
        <v>35802.884000000005</v>
      </c>
      <c r="H173" s="36">
        <v>43524.160000000003</v>
      </c>
      <c r="I173" s="37">
        <f t="shared" si="36"/>
        <v>2857361.1040000003</v>
      </c>
      <c r="J173" s="189" t="s">
        <v>22</v>
      </c>
      <c r="K173" s="356" t="s">
        <v>38</v>
      </c>
      <c r="L173" s="231"/>
      <c r="M173" s="70"/>
      <c r="N173" s="75"/>
      <c r="O173" s="75"/>
      <c r="P173" s="79"/>
      <c r="Q173" s="70"/>
      <c r="R173" s="75"/>
      <c r="S173" s="75"/>
      <c r="T173" s="75"/>
      <c r="U173" s="79"/>
    </row>
    <row r="174" spans="1:21" ht="30.75" thickBot="1" x14ac:dyDescent="0.3">
      <c r="A174" s="101">
        <f t="shared" si="37"/>
        <v>157</v>
      </c>
      <c r="B174" s="135">
        <v>46071</v>
      </c>
      <c r="C174" s="102">
        <v>8611095</v>
      </c>
      <c r="D174" s="103">
        <v>75038505</v>
      </c>
      <c r="E174" s="104">
        <v>64.45</v>
      </c>
      <c r="F174" s="461">
        <v>545.36</v>
      </c>
      <c r="G174" s="106">
        <f t="shared" si="35"/>
        <v>35148.452000000005</v>
      </c>
      <c r="H174" s="38">
        <v>43524.160000000003</v>
      </c>
      <c r="I174" s="39">
        <f t="shared" si="36"/>
        <v>2805132.1120000002</v>
      </c>
      <c r="J174" s="189" t="s">
        <v>22</v>
      </c>
      <c r="K174" s="357" t="s">
        <v>38</v>
      </c>
      <c r="L174" s="258"/>
      <c r="M174" s="80"/>
      <c r="N174" s="88"/>
      <c r="O174" s="88"/>
      <c r="P174" s="89"/>
      <c r="Q174" s="80"/>
      <c r="R174" s="88"/>
      <c r="S174" s="88"/>
      <c r="T174" s="88"/>
      <c r="U174" s="89"/>
    </row>
    <row r="175" spans="1:21" ht="15.75" thickBot="1" x14ac:dyDescent="0.3">
      <c r="A175" s="472"/>
      <c r="B175" s="473"/>
      <c r="C175" s="473"/>
      <c r="D175" s="473"/>
      <c r="E175" s="474">
        <f>SUM(E168:E174)</f>
        <v>444.2</v>
      </c>
      <c r="F175" s="473"/>
      <c r="G175" s="475">
        <f>SUM(G168:G174)</f>
        <v>242248.91200000001</v>
      </c>
      <c r="H175" s="476"/>
      <c r="I175" s="477">
        <f>SUM(I168:I174)</f>
        <v>19333431.872000001</v>
      </c>
      <c r="J175" s="473"/>
      <c r="K175" s="480"/>
      <c r="L175" s="513"/>
      <c r="M175" s="483"/>
      <c r="N175" s="484"/>
      <c r="O175" s="484"/>
      <c r="P175" s="485"/>
      <c r="Q175" s="486"/>
      <c r="R175" s="484"/>
      <c r="S175" s="484"/>
      <c r="T175" s="484"/>
      <c r="U175" s="485"/>
    </row>
    <row r="176" spans="1:21" ht="30" x14ac:dyDescent="0.25">
      <c r="A176" s="207">
        <v>158</v>
      </c>
      <c r="B176" s="71">
        <v>46072</v>
      </c>
      <c r="C176" s="151">
        <v>8611175</v>
      </c>
      <c r="D176" s="152">
        <v>50751775</v>
      </c>
      <c r="E176" s="153">
        <v>59.55</v>
      </c>
      <c r="F176" s="461">
        <v>545.36</v>
      </c>
      <c r="G176" s="32">
        <f t="shared" ref="G176:G199" si="38">E176*F176</f>
        <v>32476.187999999998</v>
      </c>
      <c r="H176" s="34">
        <v>43524.160000000003</v>
      </c>
      <c r="I176" s="35">
        <f t="shared" ref="I176:I199" si="39">E176*H176</f>
        <v>2591863.7280000001</v>
      </c>
      <c r="J176" s="354" t="s">
        <v>22</v>
      </c>
      <c r="K176" s="355" t="s">
        <v>38</v>
      </c>
      <c r="L176" s="143"/>
      <c r="M176" s="57"/>
      <c r="N176" s="68"/>
      <c r="O176" s="68"/>
      <c r="P176" s="69"/>
      <c r="Q176" s="57"/>
      <c r="R176" s="68"/>
      <c r="S176" s="68"/>
      <c r="T176" s="68"/>
      <c r="U176" s="69"/>
    </row>
    <row r="177" spans="1:21" ht="30" x14ac:dyDescent="0.25">
      <c r="A177" s="70">
        <f>A176+1</f>
        <v>159</v>
      </c>
      <c r="B177" s="98">
        <v>46072</v>
      </c>
      <c r="C177" s="72">
        <v>8611174</v>
      </c>
      <c r="D177" s="73">
        <v>51229359</v>
      </c>
      <c r="E177" s="74">
        <v>60.55</v>
      </c>
      <c r="F177" s="461">
        <v>545.36</v>
      </c>
      <c r="G177" s="31">
        <f t="shared" si="38"/>
        <v>33021.548000000003</v>
      </c>
      <c r="H177" s="36">
        <v>43524.160000000003</v>
      </c>
      <c r="I177" s="37">
        <f t="shared" si="39"/>
        <v>2635387.8880000003</v>
      </c>
      <c r="J177" s="189" t="s">
        <v>22</v>
      </c>
      <c r="K177" s="356" t="s">
        <v>38</v>
      </c>
      <c r="L177" s="146"/>
      <c r="M177" s="70"/>
      <c r="N177" s="75"/>
      <c r="O177" s="75"/>
      <c r="P177" s="79"/>
      <c r="Q177" s="70"/>
      <c r="R177" s="75"/>
      <c r="S177" s="75"/>
      <c r="T177" s="75"/>
      <c r="U177" s="79"/>
    </row>
    <row r="178" spans="1:21" ht="30" x14ac:dyDescent="0.25">
      <c r="A178" s="70">
        <f t="shared" ref="A178:A199" si="40">A177+1</f>
        <v>160</v>
      </c>
      <c r="B178" s="98">
        <v>46072</v>
      </c>
      <c r="C178" s="72">
        <v>8611175</v>
      </c>
      <c r="D178" s="73">
        <v>51886224</v>
      </c>
      <c r="E178" s="74">
        <v>62.05</v>
      </c>
      <c r="F178" s="461">
        <v>545.36</v>
      </c>
      <c r="G178" s="31">
        <f t="shared" si="38"/>
        <v>33839.587999999996</v>
      </c>
      <c r="H178" s="36">
        <v>43524.160000000003</v>
      </c>
      <c r="I178" s="37">
        <f t="shared" si="39"/>
        <v>2700674.128</v>
      </c>
      <c r="J178" s="189" t="s">
        <v>22</v>
      </c>
      <c r="K178" s="356" t="s">
        <v>38</v>
      </c>
      <c r="L178" s="146"/>
      <c r="M178" s="70"/>
      <c r="N178" s="75"/>
      <c r="O178" s="75"/>
      <c r="P178" s="79"/>
      <c r="Q178" s="70"/>
      <c r="R178" s="75"/>
      <c r="S178" s="75"/>
      <c r="T178" s="75"/>
      <c r="U178" s="79"/>
    </row>
    <row r="179" spans="1:21" ht="30" x14ac:dyDescent="0.25">
      <c r="A179" s="70">
        <f t="shared" si="40"/>
        <v>161</v>
      </c>
      <c r="B179" s="98">
        <v>46072</v>
      </c>
      <c r="C179" s="72">
        <v>8611174</v>
      </c>
      <c r="D179" s="73">
        <v>53924452</v>
      </c>
      <c r="E179" s="74">
        <v>61.55</v>
      </c>
      <c r="F179" s="461">
        <v>545.36</v>
      </c>
      <c r="G179" s="31">
        <f t="shared" si="38"/>
        <v>33566.907999999996</v>
      </c>
      <c r="H179" s="36">
        <v>43524.160000000003</v>
      </c>
      <c r="I179" s="37">
        <f t="shared" si="39"/>
        <v>2678912.048</v>
      </c>
      <c r="J179" s="189" t="s">
        <v>22</v>
      </c>
      <c r="K179" s="356" t="s">
        <v>38</v>
      </c>
      <c r="L179" s="146"/>
      <c r="M179" s="70"/>
      <c r="N179" s="75"/>
      <c r="O179" s="75"/>
      <c r="P179" s="79"/>
      <c r="Q179" s="70"/>
      <c r="R179" s="75"/>
      <c r="S179" s="75"/>
      <c r="T179" s="75"/>
      <c r="U179" s="79"/>
    </row>
    <row r="180" spans="1:21" ht="30" x14ac:dyDescent="0.25">
      <c r="A180" s="70">
        <f t="shared" si="40"/>
        <v>162</v>
      </c>
      <c r="B180" s="98">
        <v>46072</v>
      </c>
      <c r="C180" s="72">
        <v>8611174</v>
      </c>
      <c r="D180" s="73">
        <v>55949101</v>
      </c>
      <c r="E180" s="74">
        <v>62.3</v>
      </c>
      <c r="F180" s="461">
        <v>545.36</v>
      </c>
      <c r="G180" s="31">
        <f t="shared" si="38"/>
        <v>33975.928</v>
      </c>
      <c r="H180" s="36">
        <v>43524.160000000003</v>
      </c>
      <c r="I180" s="37">
        <f t="shared" si="39"/>
        <v>2711555.1680000001</v>
      </c>
      <c r="J180" s="189" t="s">
        <v>22</v>
      </c>
      <c r="K180" s="356" t="s">
        <v>38</v>
      </c>
      <c r="L180" s="146"/>
      <c r="M180" s="70"/>
      <c r="N180" s="75"/>
      <c r="O180" s="75"/>
      <c r="P180" s="79"/>
      <c r="Q180" s="70"/>
      <c r="R180" s="75"/>
      <c r="S180" s="75"/>
      <c r="T180" s="75"/>
      <c r="U180" s="79"/>
    </row>
    <row r="181" spans="1:21" ht="30" x14ac:dyDescent="0.25">
      <c r="A181" s="70">
        <f t="shared" si="40"/>
        <v>163</v>
      </c>
      <c r="B181" s="98">
        <v>46072</v>
      </c>
      <c r="C181" s="72">
        <v>8611175</v>
      </c>
      <c r="D181" s="73">
        <v>57209397</v>
      </c>
      <c r="E181" s="74">
        <v>61.75</v>
      </c>
      <c r="F181" s="461">
        <v>545.36</v>
      </c>
      <c r="G181" s="31">
        <f t="shared" si="38"/>
        <v>33675.980000000003</v>
      </c>
      <c r="H181" s="36">
        <v>43524.160000000003</v>
      </c>
      <c r="I181" s="37">
        <f t="shared" si="39"/>
        <v>2687616.8800000004</v>
      </c>
      <c r="J181" s="189" t="s">
        <v>22</v>
      </c>
      <c r="K181" s="356" t="s">
        <v>38</v>
      </c>
      <c r="L181" s="146"/>
      <c r="M181" s="70"/>
      <c r="N181" s="75"/>
      <c r="O181" s="75"/>
      <c r="P181" s="79"/>
      <c r="Q181" s="70"/>
      <c r="R181" s="75"/>
      <c r="S181" s="75"/>
      <c r="T181" s="75"/>
      <c r="U181" s="79"/>
    </row>
    <row r="182" spans="1:21" ht="30" x14ac:dyDescent="0.25">
      <c r="A182" s="70">
        <f t="shared" si="40"/>
        <v>164</v>
      </c>
      <c r="B182" s="98">
        <v>46072</v>
      </c>
      <c r="C182" s="72">
        <v>8611175</v>
      </c>
      <c r="D182" s="73">
        <v>57214140</v>
      </c>
      <c r="E182" s="74">
        <v>60.15</v>
      </c>
      <c r="F182" s="461">
        <v>545.36</v>
      </c>
      <c r="G182" s="31">
        <f t="shared" si="38"/>
        <v>32803.404000000002</v>
      </c>
      <c r="H182" s="36">
        <v>43524.160000000003</v>
      </c>
      <c r="I182" s="37">
        <f t="shared" si="39"/>
        <v>2617978.2239999999</v>
      </c>
      <c r="J182" s="189" t="s">
        <v>22</v>
      </c>
      <c r="K182" s="356" t="s">
        <v>38</v>
      </c>
      <c r="L182" s="146"/>
      <c r="M182" s="70"/>
      <c r="N182" s="75"/>
      <c r="O182" s="75"/>
      <c r="P182" s="79"/>
      <c r="Q182" s="70"/>
      <c r="R182" s="75"/>
      <c r="S182" s="75"/>
      <c r="T182" s="75"/>
      <c r="U182" s="79"/>
    </row>
    <row r="183" spans="1:21" ht="30" x14ac:dyDescent="0.25">
      <c r="A183" s="70">
        <f t="shared" si="40"/>
        <v>165</v>
      </c>
      <c r="B183" s="98">
        <v>46072</v>
      </c>
      <c r="C183" s="72">
        <v>8611175</v>
      </c>
      <c r="D183" s="73">
        <v>58649757</v>
      </c>
      <c r="E183" s="74">
        <v>60.8</v>
      </c>
      <c r="F183" s="461">
        <v>545.36</v>
      </c>
      <c r="G183" s="31">
        <f t="shared" si="38"/>
        <v>33157.887999999999</v>
      </c>
      <c r="H183" s="36">
        <v>43524.160000000003</v>
      </c>
      <c r="I183" s="37">
        <f t="shared" si="39"/>
        <v>2646268.9280000003</v>
      </c>
      <c r="J183" s="189" t="s">
        <v>22</v>
      </c>
      <c r="K183" s="356" t="s">
        <v>38</v>
      </c>
      <c r="L183" s="146"/>
      <c r="M183" s="70"/>
      <c r="N183" s="75"/>
      <c r="O183" s="75"/>
      <c r="P183" s="79"/>
      <c r="Q183" s="70"/>
      <c r="R183" s="75"/>
      <c r="S183" s="75"/>
      <c r="T183" s="75"/>
      <c r="U183" s="79"/>
    </row>
    <row r="184" spans="1:21" ht="30" x14ac:dyDescent="0.25">
      <c r="A184" s="70">
        <f t="shared" si="40"/>
        <v>166</v>
      </c>
      <c r="B184" s="98">
        <v>46072</v>
      </c>
      <c r="C184" s="72">
        <v>8611175</v>
      </c>
      <c r="D184" s="73">
        <v>71044812</v>
      </c>
      <c r="E184" s="74">
        <v>60.2</v>
      </c>
      <c r="F184" s="461">
        <v>545.36</v>
      </c>
      <c r="G184" s="31">
        <f t="shared" si="38"/>
        <v>32830.672000000006</v>
      </c>
      <c r="H184" s="36">
        <v>43524.160000000003</v>
      </c>
      <c r="I184" s="37">
        <f t="shared" si="39"/>
        <v>2620154.4320000005</v>
      </c>
      <c r="J184" s="189" t="s">
        <v>22</v>
      </c>
      <c r="K184" s="356" t="s">
        <v>38</v>
      </c>
      <c r="L184" s="146"/>
      <c r="M184" s="70"/>
      <c r="N184" s="75"/>
      <c r="O184" s="75"/>
      <c r="P184" s="79"/>
      <c r="Q184" s="70"/>
      <c r="R184" s="75"/>
      <c r="S184" s="75"/>
      <c r="T184" s="75"/>
      <c r="U184" s="79"/>
    </row>
    <row r="185" spans="1:21" ht="30" x14ac:dyDescent="0.25">
      <c r="A185" s="70">
        <f t="shared" si="40"/>
        <v>167</v>
      </c>
      <c r="B185" s="98">
        <v>46072</v>
      </c>
      <c r="C185" s="72">
        <v>8611175</v>
      </c>
      <c r="D185" s="73">
        <v>71046130</v>
      </c>
      <c r="E185" s="74">
        <v>61.25</v>
      </c>
      <c r="F185" s="461">
        <v>545.36</v>
      </c>
      <c r="G185" s="31">
        <f t="shared" si="38"/>
        <v>33403.300000000003</v>
      </c>
      <c r="H185" s="36">
        <v>43524.160000000003</v>
      </c>
      <c r="I185" s="37">
        <f t="shared" si="39"/>
        <v>2665854.8000000003</v>
      </c>
      <c r="J185" s="189" t="s">
        <v>22</v>
      </c>
      <c r="K185" s="356" t="s">
        <v>38</v>
      </c>
      <c r="L185" s="146"/>
      <c r="M185" s="70"/>
      <c r="N185" s="75"/>
      <c r="O185" s="75"/>
      <c r="P185" s="79"/>
      <c r="Q185" s="70"/>
      <c r="R185" s="75"/>
      <c r="S185" s="75"/>
      <c r="T185" s="75"/>
      <c r="U185" s="79"/>
    </row>
    <row r="186" spans="1:21" ht="30" x14ac:dyDescent="0.25">
      <c r="A186" s="70">
        <f t="shared" si="40"/>
        <v>168</v>
      </c>
      <c r="B186" s="98">
        <v>46072</v>
      </c>
      <c r="C186" s="72">
        <v>8611175</v>
      </c>
      <c r="D186" s="73">
        <v>71046759</v>
      </c>
      <c r="E186" s="74">
        <v>59.6</v>
      </c>
      <c r="F186" s="461">
        <v>545.36</v>
      </c>
      <c r="G186" s="31">
        <f t="shared" si="38"/>
        <v>32503.456000000002</v>
      </c>
      <c r="H186" s="36">
        <v>43524.160000000003</v>
      </c>
      <c r="I186" s="37">
        <f t="shared" si="39"/>
        <v>2594039.9360000002</v>
      </c>
      <c r="J186" s="189" t="s">
        <v>22</v>
      </c>
      <c r="K186" s="356" t="s">
        <v>38</v>
      </c>
      <c r="L186" s="146"/>
      <c r="M186" s="70"/>
      <c r="N186" s="75"/>
      <c r="O186" s="75"/>
      <c r="P186" s="79"/>
      <c r="Q186" s="70"/>
      <c r="R186" s="75"/>
      <c r="S186" s="75"/>
      <c r="T186" s="75"/>
      <c r="U186" s="79"/>
    </row>
    <row r="187" spans="1:21" ht="30" x14ac:dyDescent="0.25">
      <c r="A187" s="70">
        <f t="shared" si="40"/>
        <v>169</v>
      </c>
      <c r="B187" s="98">
        <v>46072</v>
      </c>
      <c r="C187" s="72">
        <v>8611175</v>
      </c>
      <c r="D187" s="73">
        <v>73007031</v>
      </c>
      <c r="E187" s="74">
        <v>60.85</v>
      </c>
      <c r="F187" s="461">
        <v>545.36</v>
      </c>
      <c r="G187" s="31">
        <f t="shared" si="38"/>
        <v>33185.156000000003</v>
      </c>
      <c r="H187" s="36">
        <v>43524.160000000003</v>
      </c>
      <c r="I187" s="37">
        <f t="shared" si="39"/>
        <v>2648445.1360000004</v>
      </c>
      <c r="J187" s="189" t="s">
        <v>22</v>
      </c>
      <c r="K187" s="356" t="s">
        <v>38</v>
      </c>
      <c r="L187" s="146"/>
      <c r="M187" s="70"/>
      <c r="N187" s="75"/>
      <c r="O187" s="75"/>
      <c r="P187" s="79"/>
      <c r="Q187" s="70"/>
      <c r="R187" s="75"/>
      <c r="S187" s="75"/>
      <c r="T187" s="75"/>
      <c r="U187" s="79"/>
    </row>
    <row r="188" spans="1:21" ht="30" x14ac:dyDescent="0.25">
      <c r="A188" s="70">
        <f t="shared" si="40"/>
        <v>170</v>
      </c>
      <c r="B188" s="98">
        <v>46072</v>
      </c>
      <c r="C188" s="72">
        <v>8611174</v>
      </c>
      <c r="D188" s="73">
        <v>73054801</v>
      </c>
      <c r="E188" s="74">
        <v>60.6</v>
      </c>
      <c r="F188" s="461">
        <v>545.36</v>
      </c>
      <c r="G188" s="31">
        <f t="shared" si="38"/>
        <v>33048.815999999999</v>
      </c>
      <c r="H188" s="36">
        <v>43524.160000000003</v>
      </c>
      <c r="I188" s="37">
        <f t="shared" si="39"/>
        <v>2637564.0960000004</v>
      </c>
      <c r="J188" s="189" t="s">
        <v>22</v>
      </c>
      <c r="K188" s="356" t="s">
        <v>38</v>
      </c>
      <c r="L188" s="146"/>
      <c r="M188" s="70"/>
      <c r="N188" s="75"/>
      <c r="O188" s="75"/>
      <c r="P188" s="79"/>
      <c r="Q188" s="70"/>
      <c r="R188" s="75"/>
      <c r="S188" s="75"/>
      <c r="T188" s="75"/>
      <c r="U188" s="79"/>
    </row>
    <row r="189" spans="1:21" ht="30" x14ac:dyDescent="0.25">
      <c r="A189" s="70">
        <f t="shared" si="40"/>
        <v>171</v>
      </c>
      <c r="B189" s="98">
        <v>46072</v>
      </c>
      <c r="C189" s="72">
        <v>8611174</v>
      </c>
      <c r="D189" s="73">
        <v>73065773</v>
      </c>
      <c r="E189" s="74">
        <v>60.55</v>
      </c>
      <c r="F189" s="461">
        <v>545.36</v>
      </c>
      <c r="G189" s="31">
        <f t="shared" si="38"/>
        <v>33021.548000000003</v>
      </c>
      <c r="H189" s="36">
        <v>43524.160000000003</v>
      </c>
      <c r="I189" s="37">
        <f t="shared" si="39"/>
        <v>2635387.8880000003</v>
      </c>
      <c r="J189" s="189" t="s">
        <v>22</v>
      </c>
      <c r="K189" s="356" t="s">
        <v>38</v>
      </c>
      <c r="L189" s="146"/>
      <c r="M189" s="70"/>
      <c r="N189" s="75"/>
      <c r="O189" s="75"/>
      <c r="P189" s="79"/>
      <c r="Q189" s="70"/>
      <c r="R189" s="75"/>
      <c r="S189" s="75"/>
      <c r="T189" s="75"/>
      <c r="U189" s="79"/>
    </row>
    <row r="190" spans="1:21" ht="30" x14ac:dyDescent="0.25">
      <c r="A190" s="70">
        <f t="shared" si="40"/>
        <v>172</v>
      </c>
      <c r="B190" s="98">
        <v>46072</v>
      </c>
      <c r="C190" s="72">
        <v>8611174</v>
      </c>
      <c r="D190" s="73">
        <v>73145658</v>
      </c>
      <c r="E190" s="74">
        <v>61.45</v>
      </c>
      <c r="F190" s="461">
        <v>545.36</v>
      </c>
      <c r="G190" s="31">
        <f t="shared" si="38"/>
        <v>33512.372000000003</v>
      </c>
      <c r="H190" s="36">
        <v>43524.160000000003</v>
      </c>
      <c r="I190" s="37">
        <f t="shared" si="39"/>
        <v>2674559.6320000002</v>
      </c>
      <c r="J190" s="189" t="s">
        <v>22</v>
      </c>
      <c r="K190" s="356" t="s">
        <v>38</v>
      </c>
      <c r="L190" s="146"/>
      <c r="M190" s="70"/>
      <c r="N190" s="75"/>
      <c r="O190" s="75"/>
      <c r="P190" s="79"/>
      <c r="Q190" s="70"/>
      <c r="R190" s="75"/>
      <c r="S190" s="75"/>
      <c r="T190" s="75"/>
      <c r="U190" s="79"/>
    </row>
    <row r="191" spans="1:21" ht="30" x14ac:dyDescent="0.25">
      <c r="A191" s="70">
        <f t="shared" si="40"/>
        <v>173</v>
      </c>
      <c r="B191" s="98">
        <v>46072</v>
      </c>
      <c r="C191" s="72">
        <v>8611174</v>
      </c>
      <c r="D191" s="73">
        <v>73203457</v>
      </c>
      <c r="E191" s="74">
        <v>59.3</v>
      </c>
      <c r="F191" s="461">
        <v>545.36</v>
      </c>
      <c r="G191" s="31">
        <f t="shared" si="38"/>
        <v>32339.847999999998</v>
      </c>
      <c r="H191" s="36">
        <v>43524.160000000003</v>
      </c>
      <c r="I191" s="37">
        <f t="shared" si="39"/>
        <v>2580982.6880000001</v>
      </c>
      <c r="J191" s="189" t="s">
        <v>22</v>
      </c>
      <c r="K191" s="356" t="s">
        <v>38</v>
      </c>
      <c r="L191" s="146"/>
      <c r="M191" s="70"/>
      <c r="N191" s="75"/>
      <c r="O191" s="75"/>
      <c r="P191" s="79"/>
      <c r="Q191" s="70"/>
      <c r="R191" s="75"/>
      <c r="S191" s="75"/>
      <c r="T191" s="75"/>
      <c r="U191" s="79"/>
    </row>
    <row r="192" spans="1:21" ht="30" x14ac:dyDescent="0.25">
      <c r="A192" s="70">
        <f t="shared" si="40"/>
        <v>174</v>
      </c>
      <c r="B192" s="98">
        <v>46072</v>
      </c>
      <c r="C192" s="72">
        <v>8611174</v>
      </c>
      <c r="D192" s="73">
        <v>73919045</v>
      </c>
      <c r="E192" s="74">
        <v>59.9</v>
      </c>
      <c r="F192" s="461">
        <v>545.36</v>
      </c>
      <c r="G192" s="31">
        <f t="shared" si="38"/>
        <v>32667.063999999998</v>
      </c>
      <c r="H192" s="36">
        <v>43524.160000000003</v>
      </c>
      <c r="I192" s="37">
        <f t="shared" si="39"/>
        <v>2607097.1840000004</v>
      </c>
      <c r="J192" s="189" t="s">
        <v>22</v>
      </c>
      <c r="K192" s="356" t="s">
        <v>38</v>
      </c>
      <c r="L192" s="146"/>
      <c r="M192" s="70"/>
      <c r="N192" s="75"/>
      <c r="O192" s="75"/>
      <c r="P192" s="79"/>
      <c r="Q192" s="70"/>
      <c r="R192" s="75"/>
      <c r="S192" s="75"/>
      <c r="T192" s="75"/>
      <c r="U192" s="79"/>
    </row>
    <row r="193" spans="1:21" ht="30" x14ac:dyDescent="0.25">
      <c r="A193" s="70">
        <f t="shared" si="40"/>
        <v>175</v>
      </c>
      <c r="B193" s="98">
        <v>46072</v>
      </c>
      <c r="C193" s="72">
        <v>8611174</v>
      </c>
      <c r="D193" s="73">
        <v>73953374</v>
      </c>
      <c r="E193" s="74">
        <v>62.05</v>
      </c>
      <c r="F193" s="461">
        <v>545.36</v>
      </c>
      <c r="G193" s="31">
        <f t="shared" si="38"/>
        <v>33839.587999999996</v>
      </c>
      <c r="H193" s="36">
        <v>43524.160000000003</v>
      </c>
      <c r="I193" s="37">
        <f t="shared" si="39"/>
        <v>2700674.128</v>
      </c>
      <c r="J193" s="189" t="s">
        <v>22</v>
      </c>
      <c r="K193" s="356" t="s">
        <v>38</v>
      </c>
      <c r="L193" s="146"/>
      <c r="M193" s="70"/>
      <c r="N193" s="75"/>
      <c r="O193" s="75"/>
      <c r="P193" s="79"/>
      <c r="Q193" s="70"/>
      <c r="R193" s="75"/>
      <c r="S193" s="75"/>
      <c r="T193" s="75"/>
      <c r="U193" s="79"/>
    </row>
    <row r="194" spans="1:21" ht="30" x14ac:dyDescent="0.25">
      <c r="A194" s="70">
        <f t="shared" si="40"/>
        <v>176</v>
      </c>
      <c r="B194" s="98">
        <v>46072</v>
      </c>
      <c r="C194" s="72">
        <v>8611175</v>
      </c>
      <c r="D194" s="73">
        <v>73967705</v>
      </c>
      <c r="E194" s="74">
        <v>60.95</v>
      </c>
      <c r="F194" s="461">
        <v>545.36</v>
      </c>
      <c r="G194" s="31">
        <f t="shared" si="38"/>
        <v>33239.692000000003</v>
      </c>
      <c r="H194" s="36">
        <v>43524.160000000003</v>
      </c>
      <c r="I194" s="37">
        <f t="shared" si="39"/>
        <v>2652797.5520000001</v>
      </c>
      <c r="J194" s="189" t="s">
        <v>22</v>
      </c>
      <c r="K194" s="356" t="s">
        <v>38</v>
      </c>
      <c r="L194" s="146"/>
      <c r="M194" s="70"/>
      <c r="N194" s="75"/>
      <c r="O194" s="75"/>
      <c r="P194" s="79"/>
      <c r="Q194" s="70"/>
      <c r="R194" s="75"/>
      <c r="S194" s="75"/>
      <c r="T194" s="75"/>
      <c r="U194" s="79"/>
    </row>
    <row r="195" spans="1:21" ht="30" x14ac:dyDescent="0.25">
      <c r="A195" s="70">
        <f t="shared" si="40"/>
        <v>177</v>
      </c>
      <c r="B195" s="98">
        <v>46072</v>
      </c>
      <c r="C195" s="72">
        <v>8611175</v>
      </c>
      <c r="D195" s="73">
        <v>75093302</v>
      </c>
      <c r="E195" s="74">
        <v>64.349999999999994</v>
      </c>
      <c r="F195" s="461">
        <v>545.36</v>
      </c>
      <c r="G195" s="31">
        <f t="shared" si="38"/>
        <v>35093.915999999997</v>
      </c>
      <c r="H195" s="36">
        <v>43524.160000000003</v>
      </c>
      <c r="I195" s="37">
        <f t="shared" si="39"/>
        <v>2800779.696</v>
      </c>
      <c r="J195" s="189" t="s">
        <v>22</v>
      </c>
      <c r="K195" s="356" t="s">
        <v>38</v>
      </c>
      <c r="L195" s="146"/>
      <c r="M195" s="70"/>
      <c r="N195" s="75"/>
      <c r="O195" s="75"/>
      <c r="P195" s="79"/>
      <c r="Q195" s="70"/>
      <c r="R195" s="75"/>
      <c r="S195" s="75"/>
      <c r="T195" s="75"/>
      <c r="U195" s="79"/>
    </row>
    <row r="196" spans="1:21" ht="30" x14ac:dyDescent="0.25">
      <c r="A196" s="70">
        <f t="shared" si="40"/>
        <v>178</v>
      </c>
      <c r="B196" s="98">
        <v>46072</v>
      </c>
      <c r="C196" s="72">
        <v>8611174</v>
      </c>
      <c r="D196" s="73">
        <v>75507194</v>
      </c>
      <c r="E196" s="74">
        <v>59.75</v>
      </c>
      <c r="F196" s="461">
        <v>545.36</v>
      </c>
      <c r="G196" s="31">
        <f t="shared" si="38"/>
        <v>32585.260000000002</v>
      </c>
      <c r="H196" s="36">
        <v>43524.160000000003</v>
      </c>
      <c r="I196" s="37">
        <f t="shared" si="39"/>
        <v>2600568.56</v>
      </c>
      <c r="J196" s="189" t="s">
        <v>22</v>
      </c>
      <c r="K196" s="356" t="s">
        <v>38</v>
      </c>
      <c r="L196" s="146"/>
      <c r="M196" s="70"/>
      <c r="N196" s="75"/>
      <c r="O196" s="75"/>
      <c r="P196" s="79"/>
      <c r="Q196" s="70"/>
      <c r="R196" s="75"/>
      <c r="S196" s="75"/>
      <c r="T196" s="75"/>
      <c r="U196" s="79"/>
    </row>
    <row r="197" spans="1:21" ht="30" x14ac:dyDescent="0.25">
      <c r="A197" s="70">
        <f t="shared" si="40"/>
        <v>179</v>
      </c>
      <c r="B197" s="98">
        <v>46072</v>
      </c>
      <c r="C197" s="72">
        <v>8611174</v>
      </c>
      <c r="D197" s="73">
        <v>75764092</v>
      </c>
      <c r="E197" s="74">
        <v>64.2</v>
      </c>
      <c r="F197" s="461">
        <v>545.36</v>
      </c>
      <c r="G197" s="31">
        <f t="shared" si="38"/>
        <v>35012.112000000001</v>
      </c>
      <c r="H197" s="36">
        <v>43524.160000000003</v>
      </c>
      <c r="I197" s="37">
        <f t="shared" si="39"/>
        <v>2794251.0720000002</v>
      </c>
      <c r="J197" s="189" t="s">
        <v>22</v>
      </c>
      <c r="K197" s="356" t="s">
        <v>38</v>
      </c>
      <c r="L197" s="146"/>
      <c r="M197" s="70"/>
      <c r="N197" s="75"/>
      <c r="O197" s="75"/>
      <c r="P197" s="79"/>
      <c r="Q197" s="70"/>
      <c r="R197" s="75"/>
      <c r="S197" s="75"/>
      <c r="T197" s="75"/>
      <c r="U197" s="79"/>
    </row>
    <row r="198" spans="1:21" ht="30" x14ac:dyDescent="0.25">
      <c r="A198" s="70">
        <f t="shared" si="40"/>
        <v>180</v>
      </c>
      <c r="B198" s="98">
        <v>46072</v>
      </c>
      <c r="C198" s="72">
        <v>8611174</v>
      </c>
      <c r="D198" s="73">
        <v>75765891</v>
      </c>
      <c r="E198" s="74">
        <v>63.05</v>
      </c>
      <c r="F198" s="461">
        <v>545.36</v>
      </c>
      <c r="G198" s="31">
        <f t="shared" si="38"/>
        <v>34384.947999999997</v>
      </c>
      <c r="H198" s="36">
        <v>43524.160000000003</v>
      </c>
      <c r="I198" s="37">
        <f t="shared" si="39"/>
        <v>2744198.2880000002</v>
      </c>
      <c r="J198" s="189" t="s">
        <v>22</v>
      </c>
      <c r="K198" s="356" t="s">
        <v>38</v>
      </c>
      <c r="L198" s="146"/>
      <c r="M198" s="70"/>
      <c r="N198" s="75"/>
      <c r="O198" s="75"/>
      <c r="P198" s="79"/>
      <c r="Q198" s="70"/>
      <c r="R198" s="75"/>
      <c r="S198" s="75"/>
      <c r="T198" s="75"/>
      <c r="U198" s="79"/>
    </row>
    <row r="199" spans="1:21" ht="30.75" thickBot="1" x14ac:dyDescent="0.3">
      <c r="A199" s="101">
        <f t="shared" si="40"/>
        <v>181</v>
      </c>
      <c r="B199" s="135">
        <v>46072</v>
      </c>
      <c r="C199" s="102">
        <v>8611174</v>
      </c>
      <c r="D199" s="103">
        <v>76392497</v>
      </c>
      <c r="E199" s="104">
        <v>61.55</v>
      </c>
      <c r="F199" s="461">
        <v>545.36</v>
      </c>
      <c r="G199" s="106">
        <f t="shared" si="38"/>
        <v>33566.907999999996</v>
      </c>
      <c r="H199" s="38">
        <v>43524.160000000003</v>
      </c>
      <c r="I199" s="39">
        <f t="shared" si="39"/>
        <v>2678912.048</v>
      </c>
      <c r="J199" s="189" t="s">
        <v>22</v>
      </c>
      <c r="K199" s="357" t="s">
        <v>38</v>
      </c>
      <c r="L199" s="149"/>
      <c r="M199" s="80"/>
      <c r="N199" s="88"/>
      <c r="O199" s="88"/>
      <c r="P199" s="89"/>
      <c r="Q199" s="80"/>
      <c r="R199" s="88"/>
      <c r="S199" s="88"/>
      <c r="T199" s="88"/>
      <c r="U199" s="89"/>
    </row>
    <row r="200" spans="1:21" ht="15.75" thickBot="1" x14ac:dyDescent="0.3">
      <c r="A200" s="472"/>
      <c r="B200" s="473"/>
      <c r="C200" s="473"/>
      <c r="D200" s="473"/>
      <c r="E200" s="474">
        <f>SUM(E176:E199)</f>
        <v>1468.3</v>
      </c>
      <c r="F200" s="473"/>
      <c r="G200" s="475">
        <f>SUM(G176:G199)</f>
        <v>800752.08799999999</v>
      </c>
      <c r="H200" s="476"/>
      <c r="I200" s="477">
        <f>SUM(I176:I199)</f>
        <v>63906524.128000006</v>
      </c>
      <c r="J200" s="473"/>
      <c r="K200" s="480"/>
      <c r="L200" s="513"/>
      <c r="M200" s="514"/>
      <c r="N200" s="515"/>
      <c r="O200" s="515"/>
      <c r="P200" s="516"/>
      <c r="Q200" s="517"/>
      <c r="R200" s="515"/>
      <c r="S200" s="515"/>
      <c r="T200" s="515"/>
      <c r="U200" s="516"/>
    </row>
    <row r="201" spans="1:21" ht="15.75" thickBot="1" x14ac:dyDescent="0.3">
      <c r="A201" s="672" t="s">
        <v>74</v>
      </c>
      <c r="B201" s="673"/>
      <c r="C201" s="673"/>
      <c r="D201" s="674"/>
      <c r="E201" s="116">
        <f>E115+E161+E167+E175+E200+E130+E140+E151</f>
        <v>4958.45</v>
      </c>
      <c r="F201" s="115"/>
      <c r="G201" s="118">
        <f>G115+G161+G167+G175+G200+G130+G140+G151</f>
        <v>2704139.9950000001</v>
      </c>
      <c r="H201" s="117"/>
      <c r="I201" s="518">
        <f>I115+I161+I167+I175+I200+I151+I140+I130</f>
        <v>215812371.15200001</v>
      </c>
      <c r="J201" s="115"/>
      <c r="K201" s="120"/>
      <c r="L201" s="519"/>
      <c r="M201" s="201"/>
      <c r="N201" s="115"/>
      <c r="O201" s="115"/>
      <c r="P201" s="120"/>
      <c r="Q201" s="122"/>
      <c r="R201" s="115"/>
      <c r="S201" s="115"/>
      <c r="T201" s="115"/>
      <c r="U201" s="120"/>
    </row>
    <row r="202" spans="1:21" ht="15.75" thickBot="1" x14ac:dyDescent="0.3">
      <c r="A202" s="264"/>
      <c r="B202" s="265"/>
      <c r="C202" s="265"/>
      <c r="D202" s="265"/>
      <c r="E202" s="266">
        <f>E112+E201</f>
        <v>11117.65</v>
      </c>
      <c r="F202" s="265"/>
      <c r="G202" s="267">
        <f>G112+G201</f>
        <v>5757809.9835454552</v>
      </c>
      <c r="H202" s="520"/>
      <c r="I202" s="269">
        <f>I112+I201</f>
        <v>483886377.42400002</v>
      </c>
      <c r="J202" s="265"/>
      <c r="K202" s="272"/>
      <c r="L202" s="521"/>
      <c r="M202" s="264"/>
      <c r="N202" s="265"/>
      <c r="O202" s="265"/>
      <c r="P202" s="272"/>
      <c r="Q202" s="273"/>
      <c r="R202" s="265"/>
      <c r="S202" s="265"/>
      <c r="T202" s="265"/>
      <c r="U202" s="272"/>
    </row>
    <row r="204" spans="1:21" ht="15.75" thickBot="1" x14ac:dyDescent="0.3"/>
    <row r="205" spans="1:21" x14ac:dyDescent="0.25">
      <c r="B205" s="664" t="s">
        <v>24</v>
      </c>
      <c r="C205" s="665"/>
      <c r="D205" s="123"/>
      <c r="E205" s="204">
        <v>15000</v>
      </c>
    </row>
    <row r="206" spans="1:21" x14ac:dyDescent="0.25">
      <c r="B206" s="125" t="s">
        <v>25</v>
      </c>
      <c r="C206" s="126"/>
      <c r="D206" s="127"/>
      <c r="E206" s="205">
        <f>E202</f>
        <v>11117.65</v>
      </c>
    </row>
    <row r="207" spans="1:21" ht="15.75" thickBot="1" x14ac:dyDescent="0.3">
      <c r="B207" s="129" t="s">
        <v>26</v>
      </c>
      <c r="C207" s="130"/>
      <c r="D207" s="131"/>
      <c r="E207" s="206">
        <f>E205-E206</f>
        <v>3882.3500000000004</v>
      </c>
    </row>
  </sheetData>
  <mergeCells count="7">
    <mergeCell ref="A201:D201"/>
    <mergeCell ref="B205:C205"/>
    <mergeCell ref="A1:K1"/>
    <mergeCell ref="T1:U2"/>
    <mergeCell ref="A2:K2"/>
    <mergeCell ref="M4:P4"/>
    <mergeCell ref="A112:D1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73"/>
  <sheetViews>
    <sheetView topLeftCell="A246" workbookViewId="0">
      <selection sqref="A1:K275"/>
    </sheetView>
  </sheetViews>
  <sheetFormatPr defaultColWidth="9.140625" defaultRowHeight="15" x14ac:dyDescent="0.25"/>
  <cols>
    <col min="1" max="1" width="9.28515625" style="226" bestFit="1" customWidth="1"/>
    <col min="2" max="2" width="11.42578125" style="226" customWidth="1"/>
    <col min="3" max="4" width="9.28515625" style="226" bestFit="1" customWidth="1"/>
    <col min="5" max="5" width="12.28515625" style="226" customWidth="1"/>
    <col min="6" max="6" width="10.7109375" style="226" customWidth="1"/>
    <col min="7" max="7" width="15.140625" style="226" customWidth="1"/>
    <col min="8" max="8" width="10.7109375" style="226" bestFit="1" customWidth="1"/>
    <col min="9" max="9" width="17.28515625" style="226" bestFit="1" customWidth="1"/>
    <col min="10" max="10" width="16" style="226" customWidth="1"/>
    <col min="11" max="11" width="9.140625" style="226" customWidth="1"/>
    <col min="12" max="12" width="1" style="226" customWidth="1"/>
    <col min="13" max="13" width="5.7109375" style="226" customWidth="1"/>
    <col min="14" max="14" width="4" style="226" customWidth="1"/>
    <col min="15" max="15" width="13.140625" style="226" customWidth="1"/>
    <col min="16" max="16" width="12.42578125" style="226" customWidth="1"/>
    <col min="17" max="16384" width="9.140625" style="226"/>
  </cols>
  <sheetData>
    <row r="1" spans="1:21" ht="13.9" customHeight="1" x14ac:dyDescent="0.25">
      <c r="A1" s="667" t="s">
        <v>11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224"/>
      <c r="M1" s="224"/>
      <c r="N1" s="224"/>
      <c r="O1" s="224"/>
      <c r="P1" s="224"/>
      <c r="T1" s="666" t="s">
        <v>29</v>
      </c>
      <c r="U1" s="666"/>
    </row>
    <row r="2" spans="1:21" ht="13.9" customHeight="1" x14ac:dyDescent="0.25">
      <c r="A2" s="667" t="s">
        <v>85</v>
      </c>
      <c r="B2" s="668"/>
      <c r="C2" s="668"/>
      <c r="D2" s="668"/>
      <c r="E2" s="668"/>
      <c r="F2" s="668"/>
      <c r="G2" s="668"/>
      <c r="H2" s="668"/>
      <c r="I2" s="668"/>
      <c r="J2" s="668"/>
      <c r="K2" s="668"/>
      <c r="L2" s="225"/>
      <c r="M2" s="225"/>
      <c r="N2" s="225"/>
      <c r="O2" s="225"/>
      <c r="P2" s="225"/>
      <c r="T2" s="666"/>
      <c r="U2" s="666"/>
    </row>
    <row r="3" spans="1:21" ht="15.75" thickBot="1" x14ac:dyDescent="0.3">
      <c r="F3" s="43" t="s">
        <v>86</v>
      </c>
      <c r="H3" s="44"/>
      <c r="I3" s="44"/>
      <c r="L3" s="28"/>
      <c r="M3" s="45"/>
      <c r="N3" s="45"/>
      <c r="O3" s="46"/>
      <c r="P3" s="46"/>
    </row>
    <row r="4" spans="1:21" ht="75.75" thickBot="1" x14ac:dyDescent="0.3">
      <c r="A4" s="47" t="s">
        <v>12</v>
      </c>
      <c r="B4" s="48" t="s">
        <v>1</v>
      </c>
      <c r="C4" s="49" t="s">
        <v>8</v>
      </c>
      <c r="D4" s="48" t="s">
        <v>13</v>
      </c>
      <c r="E4" s="48" t="s">
        <v>14</v>
      </c>
      <c r="F4" s="50" t="s">
        <v>87</v>
      </c>
      <c r="G4" s="50" t="s">
        <v>9</v>
      </c>
      <c r="H4" s="51" t="s">
        <v>15</v>
      </c>
      <c r="I4" s="51" t="s">
        <v>9</v>
      </c>
      <c r="J4" s="48" t="s">
        <v>10</v>
      </c>
      <c r="K4" s="52" t="s">
        <v>16</v>
      </c>
      <c r="L4" s="53"/>
      <c r="M4" s="412" t="s">
        <v>88</v>
      </c>
      <c r="N4" s="413" t="s">
        <v>9</v>
      </c>
      <c r="O4" s="414" t="s">
        <v>89</v>
      </c>
      <c r="P4" s="415" t="s">
        <v>9</v>
      </c>
      <c r="Q4" s="416" t="s">
        <v>17</v>
      </c>
      <c r="R4" s="417" t="s">
        <v>18</v>
      </c>
      <c r="S4" s="417" t="s">
        <v>19</v>
      </c>
      <c r="T4" s="417" t="s">
        <v>20</v>
      </c>
      <c r="U4" s="418" t="s">
        <v>21</v>
      </c>
    </row>
    <row r="5" spans="1:21" x14ac:dyDescent="0.25">
      <c r="A5" s="140">
        <v>1</v>
      </c>
      <c r="B5" s="71">
        <v>46106</v>
      </c>
      <c r="C5" s="72">
        <v>8612351</v>
      </c>
      <c r="D5" s="73">
        <v>50054584</v>
      </c>
      <c r="E5" s="74">
        <v>60.15</v>
      </c>
      <c r="F5" s="32">
        <f>'[4]Platt''s 2026'!S34-70</f>
        <v>903.38636363636363</v>
      </c>
      <c r="G5" s="32">
        <f>E5*F5</f>
        <v>54338.689772727274</v>
      </c>
      <c r="H5" s="76">
        <v>75336.02</v>
      </c>
      <c r="I5" s="77">
        <f>E5*H5</f>
        <v>4531461.6030000001</v>
      </c>
      <c r="J5" s="361" t="s">
        <v>22</v>
      </c>
      <c r="K5" s="419" t="s">
        <v>23</v>
      </c>
      <c r="L5" s="230"/>
      <c r="M5" s="57"/>
      <c r="N5" s="68"/>
      <c r="O5" s="420">
        <v>83.02</v>
      </c>
      <c r="P5" s="421">
        <f>E5*O5</f>
        <v>4993.6529999999993</v>
      </c>
      <c r="Q5" s="68"/>
      <c r="R5" s="68"/>
      <c r="S5" s="68"/>
      <c r="T5" s="68"/>
      <c r="U5" s="69"/>
    </row>
    <row r="6" spans="1:21" x14ac:dyDescent="0.25">
      <c r="A6" s="75">
        <f>A5+1</f>
        <v>2</v>
      </c>
      <c r="B6" s="71">
        <v>46106</v>
      </c>
      <c r="C6" s="72">
        <v>8612351</v>
      </c>
      <c r="D6" s="73">
        <v>50398296</v>
      </c>
      <c r="E6" s="74">
        <v>60.1</v>
      </c>
      <c r="F6" s="31">
        <v>903.39</v>
      </c>
      <c r="G6" s="32">
        <f t="shared" ref="G6:G38" si="0">E6*F6</f>
        <v>54293.739000000001</v>
      </c>
      <c r="H6" s="76">
        <v>75336.02</v>
      </c>
      <c r="I6" s="77">
        <f t="shared" ref="I6:I38" si="1">E6*H6</f>
        <v>4527694.8020000001</v>
      </c>
      <c r="J6" s="114" t="s">
        <v>22</v>
      </c>
      <c r="K6" s="422" t="s">
        <v>23</v>
      </c>
      <c r="L6" s="231"/>
      <c r="M6" s="70"/>
      <c r="N6" s="75"/>
      <c r="O6" s="423">
        <v>83.02</v>
      </c>
      <c r="P6" s="424">
        <f t="shared" ref="P6:P38" si="2">E6*O6</f>
        <v>4989.5019999999995</v>
      </c>
      <c r="Q6" s="75"/>
      <c r="R6" s="75"/>
      <c r="S6" s="75"/>
      <c r="T6" s="75"/>
      <c r="U6" s="79"/>
    </row>
    <row r="7" spans="1:21" x14ac:dyDescent="0.25">
      <c r="A7" s="75">
        <f t="shared" ref="A7:A38" si="3">A6+1</f>
        <v>3</v>
      </c>
      <c r="B7" s="71">
        <v>46106</v>
      </c>
      <c r="C7" s="72">
        <v>8612351</v>
      </c>
      <c r="D7" s="73">
        <v>50416825</v>
      </c>
      <c r="E7" s="74">
        <v>60.05</v>
      </c>
      <c r="F7" s="31">
        <v>903.39</v>
      </c>
      <c r="G7" s="32">
        <f t="shared" si="0"/>
        <v>54248.569499999998</v>
      </c>
      <c r="H7" s="76">
        <v>75336.02</v>
      </c>
      <c r="I7" s="77">
        <f t="shared" si="1"/>
        <v>4523928.0010000002</v>
      </c>
      <c r="J7" s="114" t="s">
        <v>22</v>
      </c>
      <c r="K7" s="422" t="s">
        <v>23</v>
      </c>
      <c r="L7" s="231"/>
      <c r="M7" s="70"/>
      <c r="N7" s="75"/>
      <c r="O7" s="423">
        <v>83.02</v>
      </c>
      <c r="P7" s="424">
        <f t="shared" si="2"/>
        <v>4985.3509999999997</v>
      </c>
      <c r="Q7" s="75"/>
      <c r="R7" s="75"/>
      <c r="S7" s="75"/>
      <c r="T7" s="75"/>
      <c r="U7" s="79"/>
    </row>
    <row r="8" spans="1:21" x14ac:dyDescent="0.25">
      <c r="A8" s="75">
        <f t="shared" si="3"/>
        <v>4</v>
      </c>
      <c r="B8" s="71">
        <v>46106</v>
      </c>
      <c r="C8" s="72">
        <v>8612350</v>
      </c>
      <c r="D8" s="73">
        <v>51077568</v>
      </c>
      <c r="E8" s="74">
        <v>60.65</v>
      </c>
      <c r="F8" s="31">
        <v>903.39</v>
      </c>
      <c r="G8" s="32">
        <f t="shared" si="0"/>
        <v>54790.603499999997</v>
      </c>
      <c r="H8" s="76">
        <v>75336.02</v>
      </c>
      <c r="I8" s="77">
        <f t="shared" si="1"/>
        <v>4569129.6129999999</v>
      </c>
      <c r="J8" s="114" t="s">
        <v>22</v>
      </c>
      <c r="K8" s="422" t="s">
        <v>23</v>
      </c>
      <c r="L8" s="231"/>
      <c r="M8" s="70"/>
      <c r="N8" s="75"/>
      <c r="O8" s="423">
        <v>83.02</v>
      </c>
      <c r="P8" s="424">
        <f t="shared" si="2"/>
        <v>5035.1629999999996</v>
      </c>
      <c r="Q8" s="75"/>
      <c r="R8" s="75"/>
      <c r="S8" s="75"/>
      <c r="T8" s="75"/>
      <c r="U8" s="79"/>
    </row>
    <row r="9" spans="1:21" x14ac:dyDescent="0.25">
      <c r="A9" s="75">
        <f t="shared" si="3"/>
        <v>5</v>
      </c>
      <c r="B9" s="71">
        <v>46106</v>
      </c>
      <c r="C9" s="72">
        <v>8612350</v>
      </c>
      <c r="D9" s="73">
        <v>51095644</v>
      </c>
      <c r="E9" s="74">
        <v>60.65</v>
      </c>
      <c r="F9" s="31">
        <v>903.39</v>
      </c>
      <c r="G9" s="32">
        <f t="shared" si="0"/>
        <v>54790.603499999997</v>
      </c>
      <c r="H9" s="76">
        <v>75336.02</v>
      </c>
      <c r="I9" s="77">
        <f t="shared" si="1"/>
        <v>4569129.6129999999</v>
      </c>
      <c r="J9" s="114" t="s">
        <v>22</v>
      </c>
      <c r="K9" s="422" t="s">
        <v>23</v>
      </c>
      <c r="L9" s="231"/>
      <c r="M9" s="70"/>
      <c r="N9" s="75"/>
      <c r="O9" s="423">
        <v>83.02</v>
      </c>
      <c r="P9" s="424">
        <f t="shared" si="2"/>
        <v>5035.1629999999996</v>
      </c>
      <c r="Q9" s="75"/>
      <c r="R9" s="75"/>
      <c r="S9" s="75"/>
      <c r="T9" s="75"/>
      <c r="U9" s="79"/>
    </row>
    <row r="10" spans="1:21" x14ac:dyDescent="0.25">
      <c r="A10" s="75">
        <f t="shared" si="3"/>
        <v>6</v>
      </c>
      <c r="B10" s="71">
        <v>46106</v>
      </c>
      <c r="C10" s="72">
        <v>8612350</v>
      </c>
      <c r="D10" s="73">
        <v>51216737</v>
      </c>
      <c r="E10" s="74">
        <v>60.15</v>
      </c>
      <c r="F10" s="31">
        <v>903.39</v>
      </c>
      <c r="G10" s="32">
        <f t="shared" si="0"/>
        <v>54338.908499999998</v>
      </c>
      <c r="H10" s="76">
        <v>75336.02</v>
      </c>
      <c r="I10" s="77">
        <f t="shared" si="1"/>
        <v>4531461.6030000001</v>
      </c>
      <c r="J10" s="114" t="s">
        <v>22</v>
      </c>
      <c r="K10" s="422" t="s">
        <v>23</v>
      </c>
      <c r="L10" s="231"/>
      <c r="M10" s="70"/>
      <c r="N10" s="75"/>
      <c r="O10" s="423">
        <v>83.02</v>
      </c>
      <c r="P10" s="424">
        <f t="shared" si="2"/>
        <v>4993.6529999999993</v>
      </c>
      <c r="Q10" s="75"/>
      <c r="R10" s="75"/>
      <c r="S10" s="75"/>
      <c r="T10" s="75"/>
      <c r="U10" s="79"/>
    </row>
    <row r="11" spans="1:21" x14ac:dyDescent="0.25">
      <c r="A11" s="75">
        <f t="shared" si="3"/>
        <v>7</v>
      </c>
      <c r="B11" s="71">
        <v>46106</v>
      </c>
      <c r="C11" s="72">
        <v>8612350</v>
      </c>
      <c r="D11" s="73">
        <v>51419166</v>
      </c>
      <c r="E11" s="74">
        <v>60.15</v>
      </c>
      <c r="F11" s="31">
        <v>903.39</v>
      </c>
      <c r="G11" s="32">
        <f t="shared" si="0"/>
        <v>54338.908499999998</v>
      </c>
      <c r="H11" s="76">
        <v>75336.02</v>
      </c>
      <c r="I11" s="77">
        <f t="shared" si="1"/>
        <v>4531461.6030000001</v>
      </c>
      <c r="J11" s="114" t="s">
        <v>22</v>
      </c>
      <c r="K11" s="422" t="s">
        <v>23</v>
      </c>
      <c r="L11" s="231"/>
      <c r="M11" s="70"/>
      <c r="N11" s="75"/>
      <c r="O11" s="423">
        <v>83.02</v>
      </c>
      <c r="P11" s="424">
        <f t="shared" si="2"/>
        <v>4993.6529999999993</v>
      </c>
      <c r="Q11" s="75"/>
      <c r="R11" s="75"/>
      <c r="S11" s="75"/>
      <c r="T11" s="75"/>
      <c r="U11" s="79"/>
    </row>
    <row r="12" spans="1:21" x14ac:dyDescent="0.25">
      <c r="A12" s="75">
        <f t="shared" si="3"/>
        <v>8</v>
      </c>
      <c r="B12" s="71">
        <v>46106</v>
      </c>
      <c r="C12" s="72">
        <v>8612350</v>
      </c>
      <c r="D12" s="73">
        <v>51688893</v>
      </c>
      <c r="E12" s="74">
        <v>60.1</v>
      </c>
      <c r="F12" s="31">
        <v>903.39</v>
      </c>
      <c r="G12" s="32">
        <f t="shared" si="0"/>
        <v>54293.739000000001</v>
      </c>
      <c r="H12" s="76">
        <v>75336.02</v>
      </c>
      <c r="I12" s="77">
        <f t="shared" si="1"/>
        <v>4527694.8020000001</v>
      </c>
      <c r="J12" s="114" t="s">
        <v>22</v>
      </c>
      <c r="K12" s="422" t="s">
        <v>23</v>
      </c>
      <c r="L12" s="231"/>
      <c r="M12" s="70"/>
      <c r="N12" s="75"/>
      <c r="O12" s="423">
        <v>83.02</v>
      </c>
      <c r="P12" s="424">
        <f t="shared" si="2"/>
        <v>4989.5019999999995</v>
      </c>
      <c r="Q12" s="75"/>
      <c r="R12" s="75"/>
      <c r="S12" s="75"/>
      <c r="T12" s="75"/>
      <c r="U12" s="79"/>
    </row>
    <row r="13" spans="1:21" x14ac:dyDescent="0.25">
      <c r="A13" s="75">
        <f t="shared" si="3"/>
        <v>9</v>
      </c>
      <c r="B13" s="71">
        <v>46106</v>
      </c>
      <c r="C13" s="72">
        <v>8612350</v>
      </c>
      <c r="D13" s="73">
        <v>51813103</v>
      </c>
      <c r="E13" s="74">
        <v>60.3</v>
      </c>
      <c r="F13" s="31">
        <v>903.39</v>
      </c>
      <c r="G13" s="32">
        <f t="shared" si="0"/>
        <v>54474.416999999994</v>
      </c>
      <c r="H13" s="76">
        <v>75336.02</v>
      </c>
      <c r="I13" s="77">
        <f t="shared" si="1"/>
        <v>4542762.0060000001</v>
      </c>
      <c r="J13" s="114" t="s">
        <v>22</v>
      </c>
      <c r="K13" s="422" t="s">
        <v>23</v>
      </c>
      <c r="L13" s="231"/>
      <c r="M13" s="70"/>
      <c r="N13" s="75"/>
      <c r="O13" s="423">
        <v>83.02</v>
      </c>
      <c r="P13" s="424">
        <f t="shared" si="2"/>
        <v>5006.1059999999998</v>
      </c>
      <c r="Q13" s="75"/>
      <c r="R13" s="75"/>
      <c r="S13" s="75"/>
      <c r="T13" s="75"/>
      <c r="U13" s="79"/>
    </row>
    <row r="14" spans="1:21" x14ac:dyDescent="0.25">
      <c r="A14" s="75">
        <f t="shared" si="3"/>
        <v>10</v>
      </c>
      <c r="B14" s="71">
        <v>46106</v>
      </c>
      <c r="C14" s="72">
        <v>8612350</v>
      </c>
      <c r="D14" s="73">
        <v>54075502</v>
      </c>
      <c r="E14" s="74">
        <v>60.1</v>
      </c>
      <c r="F14" s="31">
        <v>903.39</v>
      </c>
      <c r="G14" s="32">
        <f t="shared" si="0"/>
        <v>54293.739000000001</v>
      </c>
      <c r="H14" s="76">
        <v>75336.02</v>
      </c>
      <c r="I14" s="77">
        <f t="shared" si="1"/>
        <v>4527694.8020000001</v>
      </c>
      <c r="J14" s="114" t="s">
        <v>22</v>
      </c>
      <c r="K14" s="422" t="s">
        <v>23</v>
      </c>
      <c r="L14" s="231"/>
      <c r="M14" s="70"/>
      <c r="N14" s="75"/>
      <c r="O14" s="423">
        <v>83.02</v>
      </c>
      <c r="P14" s="424">
        <f t="shared" si="2"/>
        <v>4989.5019999999995</v>
      </c>
      <c r="Q14" s="75"/>
      <c r="R14" s="75"/>
      <c r="S14" s="75"/>
      <c r="T14" s="75"/>
      <c r="U14" s="79"/>
    </row>
    <row r="15" spans="1:21" x14ac:dyDescent="0.25">
      <c r="A15" s="75">
        <f t="shared" si="3"/>
        <v>11</v>
      </c>
      <c r="B15" s="71">
        <v>46106</v>
      </c>
      <c r="C15" s="72">
        <v>8612351</v>
      </c>
      <c r="D15" s="73">
        <v>54092374</v>
      </c>
      <c r="E15" s="74">
        <v>60.05</v>
      </c>
      <c r="F15" s="31">
        <v>903.39</v>
      </c>
      <c r="G15" s="32">
        <f t="shared" si="0"/>
        <v>54248.569499999998</v>
      </c>
      <c r="H15" s="76">
        <v>75336.02</v>
      </c>
      <c r="I15" s="77">
        <f t="shared" si="1"/>
        <v>4523928.0010000002</v>
      </c>
      <c r="J15" s="114" t="s">
        <v>22</v>
      </c>
      <c r="K15" s="422" t="s">
        <v>23</v>
      </c>
      <c r="L15" s="231"/>
      <c r="M15" s="70"/>
      <c r="N15" s="75"/>
      <c r="O15" s="423">
        <v>83.02</v>
      </c>
      <c r="P15" s="424">
        <f t="shared" si="2"/>
        <v>4985.3509999999997</v>
      </c>
      <c r="Q15" s="75"/>
      <c r="R15" s="75"/>
      <c r="S15" s="75"/>
      <c r="T15" s="75"/>
      <c r="U15" s="79"/>
    </row>
    <row r="16" spans="1:21" x14ac:dyDescent="0.25">
      <c r="A16" s="75">
        <f t="shared" si="3"/>
        <v>12</v>
      </c>
      <c r="B16" s="71">
        <v>46106</v>
      </c>
      <c r="C16" s="72">
        <v>8612351</v>
      </c>
      <c r="D16" s="73">
        <v>54095849</v>
      </c>
      <c r="E16" s="74">
        <v>60.35</v>
      </c>
      <c r="F16" s="31">
        <v>903.39</v>
      </c>
      <c r="G16" s="32">
        <f t="shared" si="0"/>
        <v>54519.586499999998</v>
      </c>
      <c r="H16" s="76">
        <v>75336.02</v>
      </c>
      <c r="I16" s="77">
        <f t="shared" si="1"/>
        <v>4546528.807</v>
      </c>
      <c r="J16" s="114" t="s">
        <v>22</v>
      </c>
      <c r="K16" s="422" t="s">
        <v>23</v>
      </c>
      <c r="L16" s="231"/>
      <c r="M16" s="70"/>
      <c r="N16" s="75"/>
      <c r="O16" s="423">
        <v>83.02</v>
      </c>
      <c r="P16" s="424">
        <f t="shared" si="2"/>
        <v>5010.2569999999996</v>
      </c>
      <c r="Q16" s="75"/>
      <c r="R16" s="75"/>
      <c r="S16" s="75"/>
      <c r="T16" s="75"/>
      <c r="U16" s="79"/>
    </row>
    <row r="17" spans="1:21" x14ac:dyDescent="0.25">
      <c r="A17" s="75">
        <f t="shared" si="3"/>
        <v>13</v>
      </c>
      <c r="B17" s="71">
        <v>46106</v>
      </c>
      <c r="C17" s="72">
        <v>8612350</v>
      </c>
      <c r="D17" s="73">
        <v>54243910</v>
      </c>
      <c r="E17" s="74">
        <v>60.55</v>
      </c>
      <c r="F17" s="31">
        <v>903.39</v>
      </c>
      <c r="G17" s="32">
        <f t="shared" si="0"/>
        <v>54700.264499999997</v>
      </c>
      <c r="H17" s="76">
        <v>75336.02</v>
      </c>
      <c r="I17" s="77">
        <f t="shared" si="1"/>
        <v>4561596.0109999999</v>
      </c>
      <c r="J17" s="114" t="s">
        <v>22</v>
      </c>
      <c r="K17" s="422" t="s">
        <v>23</v>
      </c>
      <c r="L17" s="231"/>
      <c r="M17" s="70"/>
      <c r="N17" s="75"/>
      <c r="O17" s="423">
        <v>83.02</v>
      </c>
      <c r="P17" s="424">
        <f t="shared" si="2"/>
        <v>5026.8609999999999</v>
      </c>
      <c r="Q17" s="75"/>
      <c r="R17" s="75"/>
      <c r="S17" s="75"/>
      <c r="T17" s="75"/>
      <c r="U17" s="79"/>
    </row>
    <row r="18" spans="1:21" x14ac:dyDescent="0.25">
      <c r="A18" s="75">
        <f t="shared" si="3"/>
        <v>14</v>
      </c>
      <c r="B18" s="71">
        <v>46106</v>
      </c>
      <c r="C18" s="72">
        <v>8612350</v>
      </c>
      <c r="D18" s="73">
        <v>54757562</v>
      </c>
      <c r="E18" s="74">
        <v>60.05</v>
      </c>
      <c r="F18" s="31">
        <v>903.39</v>
      </c>
      <c r="G18" s="32">
        <f t="shared" si="0"/>
        <v>54248.569499999998</v>
      </c>
      <c r="H18" s="76">
        <v>75336.02</v>
      </c>
      <c r="I18" s="77">
        <f t="shared" si="1"/>
        <v>4523928.0010000002</v>
      </c>
      <c r="J18" s="114" t="s">
        <v>22</v>
      </c>
      <c r="K18" s="422" t="s">
        <v>23</v>
      </c>
      <c r="L18" s="231"/>
      <c r="M18" s="70"/>
      <c r="N18" s="75"/>
      <c r="O18" s="423">
        <v>83.02</v>
      </c>
      <c r="P18" s="424">
        <f t="shared" si="2"/>
        <v>4985.3509999999997</v>
      </c>
      <c r="Q18" s="75"/>
      <c r="R18" s="75"/>
      <c r="S18" s="75"/>
      <c r="T18" s="75"/>
      <c r="U18" s="79"/>
    </row>
    <row r="19" spans="1:21" x14ac:dyDescent="0.25">
      <c r="A19" s="75">
        <f t="shared" si="3"/>
        <v>15</v>
      </c>
      <c r="B19" s="71">
        <v>46106</v>
      </c>
      <c r="C19" s="72">
        <v>8612350</v>
      </c>
      <c r="D19" s="73">
        <v>54757802</v>
      </c>
      <c r="E19" s="74">
        <v>60.35</v>
      </c>
      <c r="F19" s="31">
        <v>903.39</v>
      </c>
      <c r="G19" s="32">
        <f t="shared" si="0"/>
        <v>54519.586499999998</v>
      </c>
      <c r="H19" s="76">
        <v>75336.02</v>
      </c>
      <c r="I19" s="77">
        <f t="shared" si="1"/>
        <v>4546528.807</v>
      </c>
      <c r="J19" s="114" t="s">
        <v>22</v>
      </c>
      <c r="K19" s="422" t="s">
        <v>23</v>
      </c>
      <c r="L19" s="231"/>
      <c r="M19" s="70"/>
      <c r="N19" s="75"/>
      <c r="O19" s="423">
        <v>83.02</v>
      </c>
      <c r="P19" s="424">
        <f t="shared" si="2"/>
        <v>5010.2569999999996</v>
      </c>
      <c r="Q19" s="75"/>
      <c r="R19" s="75"/>
      <c r="S19" s="75"/>
      <c r="T19" s="75"/>
      <c r="U19" s="79"/>
    </row>
    <row r="20" spans="1:21" x14ac:dyDescent="0.25">
      <c r="A20" s="75">
        <f t="shared" si="3"/>
        <v>16</v>
      </c>
      <c r="B20" s="71">
        <v>46106</v>
      </c>
      <c r="C20" s="72">
        <v>8612351</v>
      </c>
      <c r="D20" s="73">
        <v>57434490</v>
      </c>
      <c r="E20" s="74">
        <v>60.45</v>
      </c>
      <c r="F20" s="31">
        <v>903.39</v>
      </c>
      <c r="G20" s="32">
        <f t="shared" si="0"/>
        <v>54609.925500000005</v>
      </c>
      <c r="H20" s="76">
        <v>75336.02</v>
      </c>
      <c r="I20" s="77">
        <f t="shared" si="1"/>
        <v>4554062.4090000009</v>
      </c>
      <c r="J20" s="114" t="s">
        <v>22</v>
      </c>
      <c r="K20" s="422" t="s">
        <v>23</v>
      </c>
      <c r="L20" s="231"/>
      <c r="M20" s="70"/>
      <c r="N20" s="75"/>
      <c r="O20" s="423">
        <v>83.02</v>
      </c>
      <c r="P20" s="424">
        <f t="shared" si="2"/>
        <v>5018.5590000000002</v>
      </c>
      <c r="Q20" s="75"/>
      <c r="R20" s="75"/>
      <c r="S20" s="75"/>
      <c r="T20" s="75"/>
      <c r="U20" s="79"/>
    </row>
    <row r="21" spans="1:21" x14ac:dyDescent="0.25">
      <c r="A21" s="75">
        <f t="shared" si="3"/>
        <v>17</v>
      </c>
      <c r="B21" s="71">
        <v>46106</v>
      </c>
      <c r="C21" s="72">
        <v>8612351</v>
      </c>
      <c r="D21" s="73">
        <v>57438194</v>
      </c>
      <c r="E21" s="74">
        <v>60.15</v>
      </c>
      <c r="F21" s="31">
        <v>903.39</v>
      </c>
      <c r="G21" s="32">
        <f t="shared" si="0"/>
        <v>54338.908499999998</v>
      </c>
      <c r="H21" s="76">
        <v>75336.02</v>
      </c>
      <c r="I21" s="77">
        <f t="shared" si="1"/>
        <v>4531461.6030000001</v>
      </c>
      <c r="J21" s="114" t="s">
        <v>22</v>
      </c>
      <c r="K21" s="422" t="s">
        <v>23</v>
      </c>
      <c r="L21" s="231"/>
      <c r="M21" s="70"/>
      <c r="N21" s="75"/>
      <c r="O21" s="423">
        <v>83.02</v>
      </c>
      <c r="P21" s="424">
        <f t="shared" si="2"/>
        <v>4993.6529999999993</v>
      </c>
      <c r="Q21" s="75"/>
      <c r="R21" s="75"/>
      <c r="S21" s="75"/>
      <c r="T21" s="75"/>
      <c r="U21" s="79"/>
    </row>
    <row r="22" spans="1:21" x14ac:dyDescent="0.25">
      <c r="A22" s="75">
        <f t="shared" si="3"/>
        <v>18</v>
      </c>
      <c r="B22" s="71">
        <v>46106</v>
      </c>
      <c r="C22" s="72">
        <v>8612350</v>
      </c>
      <c r="D22" s="73">
        <v>57519191</v>
      </c>
      <c r="E22" s="74">
        <v>60.25</v>
      </c>
      <c r="F22" s="31">
        <v>903.39</v>
      </c>
      <c r="G22" s="32">
        <f t="shared" si="0"/>
        <v>54429.247499999998</v>
      </c>
      <c r="H22" s="76">
        <v>75336.02</v>
      </c>
      <c r="I22" s="77">
        <f t="shared" si="1"/>
        <v>4538995.2050000001</v>
      </c>
      <c r="J22" s="114" t="s">
        <v>22</v>
      </c>
      <c r="K22" s="422" t="s">
        <v>23</v>
      </c>
      <c r="L22" s="231"/>
      <c r="M22" s="70"/>
      <c r="N22" s="75"/>
      <c r="O22" s="423">
        <v>83.02</v>
      </c>
      <c r="P22" s="424">
        <f t="shared" si="2"/>
        <v>5001.9549999999999</v>
      </c>
      <c r="Q22" s="75"/>
      <c r="R22" s="75"/>
      <c r="S22" s="75"/>
      <c r="T22" s="75"/>
      <c r="U22" s="79"/>
    </row>
    <row r="23" spans="1:21" x14ac:dyDescent="0.25">
      <c r="A23" s="75">
        <f t="shared" si="3"/>
        <v>19</v>
      </c>
      <c r="B23" s="71">
        <v>46106</v>
      </c>
      <c r="C23" s="72">
        <v>8612350</v>
      </c>
      <c r="D23" s="73">
        <v>57650590</v>
      </c>
      <c r="E23" s="74">
        <v>60.15</v>
      </c>
      <c r="F23" s="31">
        <v>903.39</v>
      </c>
      <c r="G23" s="32">
        <f t="shared" si="0"/>
        <v>54338.908499999998</v>
      </c>
      <c r="H23" s="76">
        <v>75336.02</v>
      </c>
      <c r="I23" s="77">
        <f t="shared" si="1"/>
        <v>4531461.6030000001</v>
      </c>
      <c r="J23" s="114" t="s">
        <v>22</v>
      </c>
      <c r="K23" s="422" t="s">
        <v>23</v>
      </c>
      <c r="L23" s="231"/>
      <c r="M23" s="70"/>
      <c r="N23" s="75"/>
      <c r="O23" s="423">
        <v>83.02</v>
      </c>
      <c r="P23" s="424">
        <f t="shared" si="2"/>
        <v>4993.6529999999993</v>
      </c>
      <c r="Q23" s="75"/>
      <c r="R23" s="75"/>
      <c r="S23" s="75"/>
      <c r="T23" s="75"/>
      <c r="U23" s="79"/>
    </row>
    <row r="24" spans="1:21" x14ac:dyDescent="0.25">
      <c r="A24" s="75">
        <f t="shared" si="3"/>
        <v>20</v>
      </c>
      <c r="B24" s="71">
        <v>46106</v>
      </c>
      <c r="C24" s="72">
        <v>8612350</v>
      </c>
      <c r="D24" s="73">
        <v>58149931</v>
      </c>
      <c r="E24" s="74">
        <v>60.2</v>
      </c>
      <c r="F24" s="31">
        <v>903.39</v>
      </c>
      <c r="G24" s="32">
        <f t="shared" si="0"/>
        <v>54384.078000000001</v>
      </c>
      <c r="H24" s="76">
        <v>75336.02</v>
      </c>
      <c r="I24" s="77">
        <f t="shared" si="1"/>
        <v>4535228.4040000001</v>
      </c>
      <c r="J24" s="114" t="s">
        <v>22</v>
      </c>
      <c r="K24" s="422" t="s">
        <v>23</v>
      </c>
      <c r="L24" s="231"/>
      <c r="M24" s="70"/>
      <c r="N24" s="75"/>
      <c r="O24" s="423">
        <v>83.02</v>
      </c>
      <c r="P24" s="424">
        <f t="shared" si="2"/>
        <v>4997.8040000000001</v>
      </c>
      <c r="Q24" s="75"/>
      <c r="R24" s="75"/>
      <c r="S24" s="75"/>
      <c r="T24" s="75"/>
      <c r="U24" s="79"/>
    </row>
    <row r="25" spans="1:21" x14ac:dyDescent="0.25">
      <c r="A25" s="75">
        <f t="shared" si="3"/>
        <v>21</v>
      </c>
      <c r="B25" s="71">
        <v>46106</v>
      </c>
      <c r="C25" s="72">
        <v>8612350</v>
      </c>
      <c r="D25" s="73">
        <v>58639147</v>
      </c>
      <c r="E25" s="74">
        <v>60.4</v>
      </c>
      <c r="F25" s="31">
        <v>903.39</v>
      </c>
      <c r="G25" s="32">
        <f t="shared" si="0"/>
        <v>54564.756000000001</v>
      </c>
      <c r="H25" s="76">
        <v>75336.02</v>
      </c>
      <c r="I25" s="77">
        <f t="shared" si="1"/>
        <v>4550295.608</v>
      </c>
      <c r="J25" s="114" t="s">
        <v>22</v>
      </c>
      <c r="K25" s="422" t="s">
        <v>23</v>
      </c>
      <c r="L25" s="231"/>
      <c r="M25" s="70"/>
      <c r="N25" s="75"/>
      <c r="O25" s="423">
        <v>83.02</v>
      </c>
      <c r="P25" s="424">
        <f t="shared" si="2"/>
        <v>5014.4079999999994</v>
      </c>
      <c r="Q25" s="75"/>
      <c r="R25" s="75"/>
      <c r="S25" s="75"/>
      <c r="T25" s="75"/>
      <c r="U25" s="79"/>
    </row>
    <row r="26" spans="1:21" x14ac:dyDescent="0.25">
      <c r="A26" s="75">
        <f t="shared" si="3"/>
        <v>22</v>
      </c>
      <c r="B26" s="71">
        <v>46106</v>
      </c>
      <c r="C26" s="72">
        <v>8612351</v>
      </c>
      <c r="D26" s="73">
        <v>73045940</v>
      </c>
      <c r="E26" s="74">
        <v>60.85</v>
      </c>
      <c r="F26" s="31">
        <v>903.39</v>
      </c>
      <c r="G26" s="32">
        <f t="shared" si="0"/>
        <v>54971.281499999997</v>
      </c>
      <c r="H26" s="76">
        <v>75336.02</v>
      </c>
      <c r="I26" s="77">
        <f t="shared" si="1"/>
        <v>4584196.8170000007</v>
      </c>
      <c r="J26" s="114" t="s">
        <v>22</v>
      </c>
      <c r="K26" s="422" t="s">
        <v>23</v>
      </c>
      <c r="L26" s="231"/>
      <c r="M26" s="70"/>
      <c r="N26" s="75"/>
      <c r="O26" s="423">
        <v>83.02</v>
      </c>
      <c r="P26" s="424">
        <f t="shared" si="2"/>
        <v>5051.7669999999998</v>
      </c>
      <c r="Q26" s="75"/>
      <c r="R26" s="75"/>
      <c r="S26" s="75"/>
      <c r="T26" s="75"/>
      <c r="U26" s="79"/>
    </row>
    <row r="27" spans="1:21" x14ac:dyDescent="0.25">
      <c r="A27" s="75">
        <f t="shared" si="3"/>
        <v>23</v>
      </c>
      <c r="B27" s="71">
        <v>46106</v>
      </c>
      <c r="C27" s="72">
        <v>8612351</v>
      </c>
      <c r="D27" s="73">
        <v>73053340</v>
      </c>
      <c r="E27" s="74">
        <v>60.9</v>
      </c>
      <c r="F27" s="31">
        <v>903.39</v>
      </c>
      <c r="G27" s="32">
        <f t="shared" si="0"/>
        <v>55016.451000000001</v>
      </c>
      <c r="H27" s="76">
        <v>75336.02</v>
      </c>
      <c r="I27" s="77">
        <f t="shared" si="1"/>
        <v>4587963.6179999998</v>
      </c>
      <c r="J27" s="114" t="s">
        <v>22</v>
      </c>
      <c r="K27" s="422" t="s">
        <v>23</v>
      </c>
      <c r="L27" s="231"/>
      <c r="M27" s="70"/>
      <c r="N27" s="75"/>
      <c r="O27" s="423">
        <v>83.02</v>
      </c>
      <c r="P27" s="424">
        <f t="shared" si="2"/>
        <v>5055.9179999999997</v>
      </c>
      <c r="Q27" s="75"/>
      <c r="R27" s="75"/>
      <c r="S27" s="75"/>
      <c r="T27" s="75"/>
      <c r="U27" s="79"/>
    </row>
    <row r="28" spans="1:21" x14ac:dyDescent="0.25">
      <c r="A28" s="75">
        <f t="shared" si="3"/>
        <v>24</v>
      </c>
      <c r="B28" s="71">
        <v>46106</v>
      </c>
      <c r="C28" s="72">
        <v>8612351</v>
      </c>
      <c r="D28" s="73">
        <v>73158917</v>
      </c>
      <c r="E28" s="74">
        <v>60.6</v>
      </c>
      <c r="F28" s="31">
        <v>903.39</v>
      </c>
      <c r="G28" s="32">
        <f t="shared" si="0"/>
        <v>54745.434000000001</v>
      </c>
      <c r="H28" s="76">
        <v>75336.02</v>
      </c>
      <c r="I28" s="77">
        <f t="shared" si="1"/>
        <v>4565362.8119999999</v>
      </c>
      <c r="J28" s="114" t="s">
        <v>22</v>
      </c>
      <c r="K28" s="422" t="s">
        <v>23</v>
      </c>
      <c r="L28" s="231"/>
      <c r="M28" s="70"/>
      <c r="N28" s="75"/>
      <c r="O28" s="423">
        <v>83.02</v>
      </c>
      <c r="P28" s="424">
        <f t="shared" si="2"/>
        <v>5031.0119999999997</v>
      </c>
      <c r="Q28" s="75"/>
      <c r="R28" s="75"/>
      <c r="S28" s="75"/>
      <c r="T28" s="75"/>
      <c r="U28" s="79"/>
    </row>
    <row r="29" spans="1:21" x14ac:dyDescent="0.25">
      <c r="A29" s="75">
        <f t="shared" si="3"/>
        <v>25</v>
      </c>
      <c r="B29" s="71">
        <v>46106</v>
      </c>
      <c r="C29" s="72">
        <v>8612351</v>
      </c>
      <c r="D29" s="73">
        <v>73174252</v>
      </c>
      <c r="E29" s="74">
        <v>60.95</v>
      </c>
      <c r="F29" s="31">
        <v>903.39</v>
      </c>
      <c r="G29" s="32">
        <f t="shared" si="0"/>
        <v>55061.620500000005</v>
      </c>
      <c r="H29" s="76">
        <v>75336.02</v>
      </c>
      <c r="I29" s="77">
        <f t="shared" si="1"/>
        <v>4591730.4190000007</v>
      </c>
      <c r="J29" s="114" t="s">
        <v>22</v>
      </c>
      <c r="K29" s="422" t="s">
        <v>23</v>
      </c>
      <c r="L29" s="231"/>
      <c r="M29" s="70"/>
      <c r="N29" s="75"/>
      <c r="O29" s="423">
        <v>83.02</v>
      </c>
      <c r="P29" s="424">
        <f t="shared" si="2"/>
        <v>5060.0690000000004</v>
      </c>
      <c r="Q29" s="75"/>
      <c r="R29" s="75"/>
      <c r="S29" s="75"/>
      <c r="T29" s="75"/>
      <c r="U29" s="79"/>
    </row>
    <row r="30" spans="1:21" x14ac:dyDescent="0.25">
      <c r="A30" s="75">
        <f t="shared" si="3"/>
        <v>26</v>
      </c>
      <c r="B30" s="71">
        <v>46106</v>
      </c>
      <c r="C30" s="72">
        <v>8612351</v>
      </c>
      <c r="D30" s="73">
        <v>73179855</v>
      </c>
      <c r="E30" s="74">
        <v>60.8</v>
      </c>
      <c r="F30" s="31">
        <v>903.39</v>
      </c>
      <c r="G30" s="32">
        <f t="shared" si="0"/>
        <v>54926.111999999994</v>
      </c>
      <c r="H30" s="76">
        <v>75336.02</v>
      </c>
      <c r="I30" s="77">
        <f t="shared" si="1"/>
        <v>4580430.0159999998</v>
      </c>
      <c r="J30" s="114" t="s">
        <v>22</v>
      </c>
      <c r="K30" s="422" t="s">
        <v>23</v>
      </c>
      <c r="L30" s="231"/>
      <c r="M30" s="70"/>
      <c r="N30" s="75"/>
      <c r="O30" s="423">
        <v>83.02</v>
      </c>
      <c r="P30" s="424">
        <f t="shared" si="2"/>
        <v>5047.6159999999991</v>
      </c>
      <c r="Q30" s="75"/>
      <c r="R30" s="75"/>
      <c r="S30" s="75"/>
      <c r="T30" s="75"/>
      <c r="U30" s="79"/>
    </row>
    <row r="31" spans="1:21" x14ac:dyDescent="0.25">
      <c r="A31" s="75">
        <f t="shared" si="3"/>
        <v>27</v>
      </c>
      <c r="B31" s="71">
        <v>46106</v>
      </c>
      <c r="C31" s="72">
        <v>8612351</v>
      </c>
      <c r="D31" s="73">
        <v>73235285</v>
      </c>
      <c r="E31" s="74">
        <v>60.7</v>
      </c>
      <c r="F31" s="31">
        <v>903.39</v>
      </c>
      <c r="G31" s="32">
        <f t="shared" si="0"/>
        <v>54835.773000000001</v>
      </c>
      <c r="H31" s="76">
        <v>75336.02</v>
      </c>
      <c r="I31" s="77">
        <f t="shared" si="1"/>
        <v>4572896.4140000008</v>
      </c>
      <c r="J31" s="114" t="s">
        <v>22</v>
      </c>
      <c r="K31" s="422" t="s">
        <v>23</v>
      </c>
      <c r="L31" s="231"/>
      <c r="M31" s="70"/>
      <c r="N31" s="75"/>
      <c r="O31" s="423">
        <v>83.02</v>
      </c>
      <c r="P31" s="424">
        <f t="shared" si="2"/>
        <v>5039.3140000000003</v>
      </c>
      <c r="Q31" s="75"/>
      <c r="R31" s="75"/>
      <c r="S31" s="75"/>
      <c r="T31" s="75"/>
      <c r="U31" s="79"/>
    </row>
    <row r="32" spans="1:21" x14ac:dyDescent="0.25">
      <c r="A32" s="75">
        <f t="shared" si="3"/>
        <v>28</v>
      </c>
      <c r="B32" s="71">
        <v>46106</v>
      </c>
      <c r="C32" s="72">
        <v>8612351</v>
      </c>
      <c r="D32" s="73">
        <v>73902330</v>
      </c>
      <c r="E32" s="74">
        <v>61.25</v>
      </c>
      <c r="F32" s="31">
        <v>903.39</v>
      </c>
      <c r="G32" s="32">
        <f t="shared" si="0"/>
        <v>55332.637499999997</v>
      </c>
      <c r="H32" s="76">
        <v>75336.02</v>
      </c>
      <c r="I32" s="77">
        <f t="shared" si="1"/>
        <v>4614331.2250000006</v>
      </c>
      <c r="J32" s="114" t="s">
        <v>22</v>
      </c>
      <c r="K32" s="422" t="s">
        <v>23</v>
      </c>
      <c r="L32" s="231"/>
      <c r="M32" s="70"/>
      <c r="N32" s="75"/>
      <c r="O32" s="423">
        <v>83.02</v>
      </c>
      <c r="P32" s="424">
        <f t="shared" si="2"/>
        <v>5084.9749999999995</v>
      </c>
      <c r="Q32" s="75"/>
      <c r="R32" s="75"/>
      <c r="S32" s="75"/>
      <c r="T32" s="75"/>
      <c r="U32" s="79"/>
    </row>
    <row r="33" spans="1:21" x14ac:dyDescent="0.25">
      <c r="A33" s="75">
        <f t="shared" si="3"/>
        <v>29</v>
      </c>
      <c r="B33" s="71">
        <v>46106</v>
      </c>
      <c r="C33" s="72">
        <v>8612350</v>
      </c>
      <c r="D33" s="73">
        <v>73963910</v>
      </c>
      <c r="E33" s="74">
        <v>60.65</v>
      </c>
      <c r="F33" s="31">
        <v>903.39</v>
      </c>
      <c r="G33" s="32">
        <f t="shared" si="0"/>
        <v>54790.603499999997</v>
      </c>
      <c r="H33" s="76">
        <v>75336.02</v>
      </c>
      <c r="I33" s="77">
        <f t="shared" si="1"/>
        <v>4569129.6129999999</v>
      </c>
      <c r="J33" s="114" t="s">
        <v>22</v>
      </c>
      <c r="K33" s="422" t="s">
        <v>23</v>
      </c>
      <c r="L33" s="231"/>
      <c r="M33" s="70"/>
      <c r="N33" s="75"/>
      <c r="O33" s="423">
        <v>83.02</v>
      </c>
      <c r="P33" s="424">
        <f t="shared" si="2"/>
        <v>5035.1629999999996</v>
      </c>
      <c r="Q33" s="75"/>
      <c r="R33" s="75"/>
      <c r="S33" s="75"/>
      <c r="T33" s="75"/>
      <c r="U33" s="79"/>
    </row>
    <row r="34" spans="1:21" x14ac:dyDescent="0.25">
      <c r="A34" s="75">
        <f t="shared" si="3"/>
        <v>30</v>
      </c>
      <c r="B34" s="71">
        <v>46106</v>
      </c>
      <c r="C34" s="72">
        <v>8612351</v>
      </c>
      <c r="D34" s="73">
        <v>74929829</v>
      </c>
      <c r="E34" s="74">
        <v>60.95</v>
      </c>
      <c r="F34" s="31">
        <v>903.39</v>
      </c>
      <c r="G34" s="32">
        <f t="shared" si="0"/>
        <v>55061.620500000005</v>
      </c>
      <c r="H34" s="76">
        <v>75336.02</v>
      </c>
      <c r="I34" s="77">
        <f t="shared" si="1"/>
        <v>4591730.4190000007</v>
      </c>
      <c r="J34" s="114" t="s">
        <v>22</v>
      </c>
      <c r="K34" s="422" t="s">
        <v>23</v>
      </c>
      <c r="L34" s="231"/>
      <c r="M34" s="70"/>
      <c r="N34" s="75"/>
      <c r="O34" s="423">
        <v>83.02</v>
      </c>
      <c r="P34" s="424">
        <f t="shared" si="2"/>
        <v>5060.0690000000004</v>
      </c>
      <c r="Q34" s="75"/>
      <c r="R34" s="75"/>
      <c r="S34" s="75"/>
      <c r="T34" s="75"/>
      <c r="U34" s="79"/>
    </row>
    <row r="35" spans="1:21" x14ac:dyDescent="0.25">
      <c r="A35" s="75">
        <f t="shared" si="3"/>
        <v>31</v>
      </c>
      <c r="B35" s="71">
        <v>46106</v>
      </c>
      <c r="C35" s="72">
        <v>8612350</v>
      </c>
      <c r="D35" s="73">
        <v>74945569</v>
      </c>
      <c r="E35" s="74">
        <v>60.85</v>
      </c>
      <c r="F35" s="31">
        <v>903.39</v>
      </c>
      <c r="G35" s="32">
        <f t="shared" si="0"/>
        <v>54971.281499999997</v>
      </c>
      <c r="H35" s="76">
        <v>75336.02</v>
      </c>
      <c r="I35" s="77">
        <f t="shared" si="1"/>
        <v>4584196.8170000007</v>
      </c>
      <c r="J35" s="114" t="s">
        <v>22</v>
      </c>
      <c r="K35" s="422" t="s">
        <v>23</v>
      </c>
      <c r="L35" s="231"/>
      <c r="M35" s="70"/>
      <c r="N35" s="75"/>
      <c r="O35" s="423">
        <v>83.02</v>
      </c>
      <c r="P35" s="424">
        <f t="shared" si="2"/>
        <v>5051.7669999999998</v>
      </c>
      <c r="Q35" s="75"/>
      <c r="R35" s="75"/>
      <c r="S35" s="75"/>
      <c r="T35" s="75"/>
      <c r="U35" s="79"/>
    </row>
    <row r="36" spans="1:21" x14ac:dyDescent="0.25">
      <c r="A36" s="75">
        <f t="shared" si="3"/>
        <v>32</v>
      </c>
      <c r="B36" s="71">
        <v>46106</v>
      </c>
      <c r="C36" s="72">
        <v>8612350</v>
      </c>
      <c r="D36" s="73">
        <v>75046789</v>
      </c>
      <c r="E36" s="74">
        <v>60.1</v>
      </c>
      <c r="F36" s="31">
        <v>903.39</v>
      </c>
      <c r="G36" s="32">
        <f t="shared" si="0"/>
        <v>54293.739000000001</v>
      </c>
      <c r="H36" s="76">
        <v>75336.02</v>
      </c>
      <c r="I36" s="77">
        <f t="shared" si="1"/>
        <v>4527694.8020000001</v>
      </c>
      <c r="J36" s="114" t="s">
        <v>22</v>
      </c>
      <c r="K36" s="422" t="s">
        <v>23</v>
      </c>
      <c r="L36" s="231"/>
      <c r="M36" s="70"/>
      <c r="N36" s="75"/>
      <c r="O36" s="423">
        <v>83.02</v>
      </c>
      <c r="P36" s="424">
        <f t="shared" si="2"/>
        <v>4989.5019999999995</v>
      </c>
      <c r="Q36" s="75"/>
      <c r="R36" s="75"/>
      <c r="S36" s="75"/>
      <c r="T36" s="75"/>
      <c r="U36" s="79"/>
    </row>
    <row r="37" spans="1:21" x14ac:dyDescent="0.25">
      <c r="A37" s="75">
        <f t="shared" si="3"/>
        <v>33</v>
      </c>
      <c r="B37" s="71">
        <v>46106</v>
      </c>
      <c r="C37" s="72">
        <v>8612350</v>
      </c>
      <c r="D37" s="73">
        <v>75180356</v>
      </c>
      <c r="E37" s="74">
        <v>61.9</v>
      </c>
      <c r="F37" s="31">
        <v>903.39</v>
      </c>
      <c r="G37" s="32">
        <f t="shared" si="0"/>
        <v>55919.841</v>
      </c>
      <c r="H37" s="76">
        <v>75336.02</v>
      </c>
      <c r="I37" s="77">
        <f t="shared" si="1"/>
        <v>4663299.6380000003</v>
      </c>
      <c r="J37" s="114" t="s">
        <v>22</v>
      </c>
      <c r="K37" s="422" t="s">
        <v>23</v>
      </c>
      <c r="L37" s="231"/>
      <c r="M37" s="70"/>
      <c r="N37" s="75"/>
      <c r="O37" s="423">
        <v>83.02</v>
      </c>
      <c r="P37" s="424">
        <f t="shared" si="2"/>
        <v>5138.9379999999992</v>
      </c>
      <c r="Q37" s="75"/>
      <c r="R37" s="75"/>
      <c r="S37" s="75"/>
      <c r="T37" s="75"/>
      <c r="U37" s="79"/>
    </row>
    <row r="38" spans="1:21" ht="15.75" thickBot="1" x14ac:dyDescent="0.3">
      <c r="A38" s="105">
        <f t="shared" si="3"/>
        <v>34</v>
      </c>
      <c r="B38" s="188">
        <v>46106</v>
      </c>
      <c r="C38" s="102">
        <v>8612351</v>
      </c>
      <c r="D38" s="103">
        <v>75291559</v>
      </c>
      <c r="E38" s="104">
        <v>60.95</v>
      </c>
      <c r="F38" s="31">
        <v>903.39</v>
      </c>
      <c r="G38" s="33">
        <f t="shared" si="0"/>
        <v>55061.620500000005</v>
      </c>
      <c r="H38" s="107">
        <v>75336.02</v>
      </c>
      <c r="I38" s="108">
        <f t="shared" si="1"/>
        <v>4591730.4190000007</v>
      </c>
      <c r="J38" s="137" t="s">
        <v>22</v>
      </c>
      <c r="K38" s="425" t="s">
        <v>23</v>
      </c>
      <c r="L38" s="232"/>
      <c r="M38" s="80"/>
      <c r="N38" s="88"/>
      <c r="O38" s="426">
        <v>83.02</v>
      </c>
      <c r="P38" s="427">
        <f t="shared" si="2"/>
        <v>5060.0690000000004</v>
      </c>
      <c r="Q38" s="88"/>
      <c r="R38" s="88"/>
      <c r="S38" s="88"/>
      <c r="T38" s="88"/>
      <c r="U38" s="89"/>
    </row>
    <row r="39" spans="1:21" ht="15.75" thickBot="1" x14ac:dyDescent="0.3">
      <c r="A39" s="233"/>
      <c r="B39" s="234"/>
      <c r="C39" s="234"/>
      <c r="D39" s="234"/>
      <c r="E39" s="428">
        <f>SUM(E5:E38)</f>
        <v>2056.8000000000002</v>
      </c>
      <c r="F39" s="428"/>
      <c r="G39" s="428">
        <f>SUM(G5:G38)</f>
        <v>1858092.3332727272</v>
      </c>
      <c r="H39" s="428"/>
      <c r="I39" s="428">
        <f>SUM(I5:I38)</f>
        <v>154951125.93600002</v>
      </c>
      <c r="J39" s="428"/>
      <c r="K39" s="429"/>
      <c r="L39" s="430"/>
      <c r="M39" s="431"/>
      <c r="N39" s="432"/>
      <c r="O39" s="432"/>
      <c r="P39" s="432">
        <f>SUM(P5:P38)</f>
        <v>170755.53599999999</v>
      </c>
      <c r="Q39" s="432"/>
      <c r="R39" s="432"/>
      <c r="S39" s="432"/>
      <c r="T39" s="432"/>
      <c r="U39" s="433"/>
    </row>
    <row r="40" spans="1:21" x14ac:dyDescent="0.25">
      <c r="A40" s="207">
        <v>35</v>
      </c>
      <c r="B40" s="71">
        <v>46108</v>
      </c>
      <c r="C40" s="151">
        <v>8612382</v>
      </c>
      <c r="D40" s="152">
        <v>50786052</v>
      </c>
      <c r="E40" s="153">
        <v>51.35</v>
      </c>
      <c r="F40" s="32">
        <v>903.39</v>
      </c>
      <c r="G40" s="32">
        <f t="shared" ref="G40:G45" si="4">E40*F40</f>
        <v>46389.076500000003</v>
      </c>
      <c r="H40" s="190">
        <v>75336.02</v>
      </c>
      <c r="I40" s="77">
        <f t="shared" ref="I40:I45" si="5">E40*H40</f>
        <v>3868504.6270000003</v>
      </c>
      <c r="J40" s="212" t="s">
        <v>22</v>
      </c>
      <c r="K40" s="434" t="s">
        <v>23</v>
      </c>
      <c r="L40" s="230"/>
      <c r="M40" s="57"/>
      <c r="N40" s="68"/>
      <c r="O40" s="420">
        <v>83.02</v>
      </c>
      <c r="P40" s="421">
        <f t="shared" ref="P40:P45" si="6">E40*O40</f>
        <v>4263.0770000000002</v>
      </c>
      <c r="Q40" s="435"/>
      <c r="R40" s="435"/>
      <c r="S40" s="435"/>
      <c r="T40" s="435"/>
      <c r="U40" s="436"/>
    </row>
    <row r="41" spans="1:21" x14ac:dyDescent="0.25">
      <c r="A41" s="70">
        <f>A40+1</f>
        <v>36</v>
      </c>
      <c r="B41" s="98">
        <v>46108</v>
      </c>
      <c r="C41" s="72">
        <v>8612382</v>
      </c>
      <c r="D41" s="73">
        <v>51247757</v>
      </c>
      <c r="E41" s="74">
        <v>60.05</v>
      </c>
      <c r="F41" s="31">
        <v>903.39</v>
      </c>
      <c r="G41" s="32">
        <f t="shared" si="4"/>
        <v>54248.569499999998</v>
      </c>
      <c r="H41" s="76">
        <v>75336.02</v>
      </c>
      <c r="I41" s="77">
        <f t="shared" si="5"/>
        <v>4523928.0010000002</v>
      </c>
      <c r="J41" s="114" t="s">
        <v>22</v>
      </c>
      <c r="K41" s="422" t="s">
        <v>23</v>
      </c>
      <c r="L41" s="231"/>
      <c r="M41" s="70"/>
      <c r="N41" s="75"/>
      <c r="O41" s="423">
        <v>83.02</v>
      </c>
      <c r="P41" s="424">
        <f t="shared" si="6"/>
        <v>4985.3509999999997</v>
      </c>
      <c r="Q41" s="437"/>
      <c r="R41" s="437"/>
      <c r="S41" s="437"/>
      <c r="T41" s="437"/>
      <c r="U41" s="438"/>
    </row>
    <row r="42" spans="1:21" x14ac:dyDescent="0.25">
      <c r="A42" s="70">
        <f t="shared" ref="A42:A45" si="7">A41+1</f>
        <v>37</v>
      </c>
      <c r="B42" s="98">
        <v>46108</v>
      </c>
      <c r="C42" s="72">
        <v>8612382</v>
      </c>
      <c r="D42" s="73">
        <v>53872081</v>
      </c>
      <c r="E42" s="74">
        <v>60.2</v>
      </c>
      <c r="F42" s="31">
        <v>903.39</v>
      </c>
      <c r="G42" s="32">
        <f t="shared" si="4"/>
        <v>54384.078000000001</v>
      </c>
      <c r="H42" s="76">
        <v>75336.02</v>
      </c>
      <c r="I42" s="77">
        <f t="shared" si="5"/>
        <v>4535228.4040000001</v>
      </c>
      <c r="J42" s="114" t="s">
        <v>22</v>
      </c>
      <c r="K42" s="422" t="s">
        <v>23</v>
      </c>
      <c r="L42" s="231"/>
      <c r="M42" s="70"/>
      <c r="N42" s="75"/>
      <c r="O42" s="423">
        <v>83.02</v>
      </c>
      <c r="P42" s="424">
        <f t="shared" si="6"/>
        <v>4997.8040000000001</v>
      </c>
      <c r="Q42" s="437"/>
      <c r="R42" s="437"/>
      <c r="S42" s="437"/>
      <c r="T42" s="437"/>
      <c r="U42" s="438"/>
    </row>
    <row r="43" spans="1:21" x14ac:dyDescent="0.25">
      <c r="A43" s="70">
        <f t="shared" si="7"/>
        <v>38</v>
      </c>
      <c r="B43" s="98">
        <v>46108</v>
      </c>
      <c r="C43" s="72">
        <v>8612382</v>
      </c>
      <c r="D43" s="73">
        <v>55306948</v>
      </c>
      <c r="E43" s="74">
        <v>60.2</v>
      </c>
      <c r="F43" s="31">
        <v>903.39</v>
      </c>
      <c r="G43" s="32">
        <f t="shared" si="4"/>
        <v>54384.078000000001</v>
      </c>
      <c r="H43" s="76">
        <v>75336.02</v>
      </c>
      <c r="I43" s="77">
        <f t="shared" si="5"/>
        <v>4535228.4040000001</v>
      </c>
      <c r="J43" s="114" t="s">
        <v>22</v>
      </c>
      <c r="K43" s="422" t="s">
        <v>23</v>
      </c>
      <c r="L43" s="231"/>
      <c r="M43" s="70"/>
      <c r="N43" s="75"/>
      <c r="O43" s="423">
        <v>83.02</v>
      </c>
      <c r="P43" s="424">
        <f t="shared" si="6"/>
        <v>4997.8040000000001</v>
      </c>
      <c r="Q43" s="437"/>
      <c r="R43" s="437"/>
      <c r="S43" s="437"/>
      <c r="T43" s="437"/>
      <c r="U43" s="438"/>
    </row>
    <row r="44" spans="1:21" x14ac:dyDescent="0.25">
      <c r="A44" s="70">
        <f t="shared" si="7"/>
        <v>39</v>
      </c>
      <c r="B44" s="98">
        <v>46108</v>
      </c>
      <c r="C44" s="72">
        <v>8612382</v>
      </c>
      <c r="D44" s="73">
        <v>57010274</v>
      </c>
      <c r="E44" s="74">
        <v>60.75</v>
      </c>
      <c r="F44" s="31">
        <v>903.39</v>
      </c>
      <c r="G44" s="32">
        <f t="shared" si="4"/>
        <v>54880.942499999997</v>
      </c>
      <c r="H44" s="76">
        <v>75336.02</v>
      </c>
      <c r="I44" s="77">
        <f t="shared" si="5"/>
        <v>4576663.2149999999</v>
      </c>
      <c r="J44" s="114" t="s">
        <v>22</v>
      </c>
      <c r="K44" s="422" t="s">
        <v>23</v>
      </c>
      <c r="L44" s="231"/>
      <c r="M44" s="70"/>
      <c r="N44" s="75"/>
      <c r="O44" s="423">
        <v>83.02</v>
      </c>
      <c r="P44" s="424">
        <f t="shared" si="6"/>
        <v>5043.4650000000001</v>
      </c>
      <c r="Q44" s="437"/>
      <c r="R44" s="437"/>
      <c r="S44" s="437"/>
      <c r="T44" s="437"/>
      <c r="U44" s="438"/>
    </row>
    <row r="45" spans="1:21" ht="15.75" thickBot="1" x14ac:dyDescent="0.3">
      <c r="A45" s="80">
        <f t="shared" si="7"/>
        <v>40</v>
      </c>
      <c r="B45" s="99">
        <v>46108</v>
      </c>
      <c r="C45" s="82">
        <v>8612382</v>
      </c>
      <c r="D45" s="83">
        <v>75032425</v>
      </c>
      <c r="E45" s="84">
        <v>60.8</v>
      </c>
      <c r="F45" s="31">
        <v>903.39</v>
      </c>
      <c r="G45" s="404">
        <f t="shared" si="4"/>
        <v>54926.111999999994</v>
      </c>
      <c r="H45" s="85">
        <v>75336.02</v>
      </c>
      <c r="I45" s="86">
        <f t="shared" si="5"/>
        <v>4580430.0159999998</v>
      </c>
      <c r="J45" s="219" t="s">
        <v>22</v>
      </c>
      <c r="K45" s="439" t="s">
        <v>23</v>
      </c>
      <c r="L45" s="258"/>
      <c r="M45" s="80"/>
      <c r="N45" s="88"/>
      <c r="O45" s="426">
        <v>83.02</v>
      </c>
      <c r="P45" s="427">
        <f t="shared" si="6"/>
        <v>5047.6159999999991</v>
      </c>
      <c r="Q45" s="440"/>
      <c r="R45" s="440"/>
      <c r="S45" s="440"/>
      <c r="T45" s="440"/>
      <c r="U45" s="441"/>
    </row>
    <row r="46" spans="1:21" ht="15.75" thickBot="1" x14ac:dyDescent="0.3">
      <c r="A46" s="233"/>
      <c r="B46" s="234"/>
      <c r="C46" s="234"/>
      <c r="D46" s="234"/>
      <c r="E46" s="428">
        <f>SUM(E40:E45)</f>
        <v>353.35</v>
      </c>
      <c r="F46" s="428"/>
      <c r="G46" s="428">
        <f>SUM(G40:G45)</f>
        <v>319212.85649999999</v>
      </c>
      <c r="H46" s="428"/>
      <c r="I46" s="428">
        <f>SUM(I40:I45)</f>
        <v>26619982.666999999</v>
      </c>
      <c r="J46" s="428"/>
      <c r="K46" s="442"/>
      <c r="L46" s="443"/>
      <c r="M46" s="444"/>
      <c r="N46" s="428"/>
      <c r="O46" s="428"/>
      <c r="P46" s="428">
        <f>SUM(P40:P45)</f>
        <v>29335.116999999998</v>
      </c>
      <c r="Q46" s="428"/>
      <c r="R46" s="428"/>
      <c r="S46" s="428"/>
      <c r="T46" s="428"/>
      <c r="U46" s="429"/>
    </row>
    <row r="47" spans="1:21" x14ac:dyDescent="0.25">
      <c r="A47" s="140">
        <v>41</v>
      </c>
      <c r="B47" s="71">
        <v>46109</v>
      </c>
      <c r="C47" s="151">
        <v>8612392</v>
      </c>
      <c r="D47" s="152">
        <v>51254498</v>
      </c>
      <c r="E47" s="153">
        <v>50.7</v>
      </c>
      <c r="F47" s="31">
        <v>903.39</v>
      </c>
      <c r="G47" s="32">
        <f t="shared" ref="G47:G104" si="8">E47*F47</f>
        <v>45801.873</v>
      </c>
      <c r="H47" s="190">
        <v>75336.02</v>
      </c>
      <c r="I47" s="77">
        <f t="shared" ref="I47:I104" si="9">E47*H47</f>
        <v>3819536.2140000006</v>
      </c>
      <c r="J47" s="212" t="s">
        <v>22</v>
      </c>
      <c r="K47" s="434" t="s">
        <v>23</v>
      </c>
      <c r="L47" s="407"/>
      <c r="M47" s="57"/>
      <c r="N47" s="68"/>
      <c r="O47" s="420">
        <v>83.02</v>
      </c>
      <c r="P47" s="421">
        <f t="shared" ref="P47:P104" si="10">E47*O47</f>
        <v>4209.1140000000005</v>
      </c>
      <c r="Q47" s="435"/>
      <c r="R47" s="435"/>
      <c r="S47" s="435"/>
      <c r="T47" s="435"/>
      <c r="U47" s="436"/>
    </row>
    <row r="48" spans="1:21" x14ac:dyDescent="0.25">
      <c r="A48" s="75">
        <f>A47+1</f>
        <v>42</v>
      </c>
      <c r="B48" s="98">
        <v>46109</v>
      </c>
      <c r="C48" s="72">
        <v>8612392</v>
      </c>
      <c r="D48" s="73">
        <v>51463206</v>
      </c>
      <c r="E48" s="74">
        <v>50.75</v>
      </c>
      <c r="F48" s="31">
        <v>903.39</v>
      </c>
      <c r="G48" s="32">
        <f t="shared" si="8"/>
        <v>45847.042499999996</v>
      </c>
      <c r="H48" s="76">
        <v>75336.02</v>
      </c>
      <c r="I48" s="77">
        <f t="shared" si="9"/>
        <v>3823303.0150000001</v>
      </c>
      <c r="J48" s="114" t="s">
        <v>22</v>
      </c>
      <c r="K48" s="422" t="s">
        <v>23</v>
      </c>
      <c r="L48" s="231"/>
      <c r="M48" s="70"/>
      <c r="N48" s="75"/>
      <c r="O48" s="423">
        <v>83.02</v>
      </c>
      <c r="P48" s="424">
        <f t="shared" si="10"/>
        <v>4213.2649999999994</v>
      </c>
      <c r="Q48" s="437"/>
      <c r="R48" s="437"/>
      <c r="S48" s="437"/>
      <c r="T48" s="437"/>
      <c r="U48" s="438"/>
    </row>
    <row r="49" spans="1:21" x14ac:dyDescent="0.25">
      <c r="A49" s="75">
        <f t="shared" ref="A49:A104" si="11">A48+1</f>
        <v>43</v>
      </c>
      <c r="B49" s="98">
        <v>46109</v>
      </c>
      <c r="C49" s="72">
        <v>8612392</v>
      </c>
      <c r="D49" s="73">
        <v>73013674</v>
      </c>
      <c r="E49" s="74">
        <v>60.4</v>
      </c>
      <c r="F49" s="31">
        <v>903.39</v>
      </c>
      <c r="G49" s="32">
        <f t="shared" si="8"/>
        <v>54564.756000000001</v>
      </c>
      <c r="H49" s="76">
        <v>75336.02</v>
      </c>
      <c r="I49" s="77">
        <f t="shared" si="9"/>
        <v>4550295.608</v>
      </c>
      <c r="J49" s="114" t="s">
        <v>22</v>
      </c>
      <c r="K49" s="422" t="s">
        <v>23</v>
      </c>
      <c r="L49" s="231"/>
      <c r="M49" s="70"/>
      <c r="N49" s="75"/>
      <c r="O49" s="423">
        <v>83.02</v>
      </c>
      <c r="P49" s="424">
        <f t="shared" si="10"/>
        <v>5014.4079999999994</v>
      </c>
      <c r="Q49" s="437"/>
      <c r="R49" s="437"/>
      <c r="S49" s="437"/>
      <c r="T49" s="437"/>
      <c r="U49" s="438"/>
    </row>
    <row r="50" spans="1:21" x14ac:dyDescent="0.25">
      <c r="A50" s="75">
        <f t="shared" si="11"/>
        <v>44</v>
      </c>
      <c r="B50" s="98">
        <v>46109</v>
      </c>
      <c r="C50" s="72">
        <v>8612392</v>
      </c>
      <c r="D50" s="73">
        <v>75208835</v>
      </c>
      <c r="E50" s="74">
        <v>60.65</v>
      </c>
      <c r="F50" s="31">
        <v>903.39</v>
      </c>
      <c r="G50" s="32">
        <f t="shared" si="8"/>
        <v>54790.603499999997</v>
      </c>
      <c r="H50" s="76">
        <v>75336.02</v>
      </c>
      <c r="I50" s="77">
        <f t="shared" si="9"/>
        <v>4569129.6129999999</v>
      </c>
      <c r="J50" s="114" t="s">
        <v>22</v>
      </c>
      <c r="K50" s="422" t="s">
        <v>23</v>
      </c>
      <c r="L50" s="231"/>
      <c r="M50" s="70"/>
      <c r="N50" s="75"/>
      <c r="O50" s="423">
        <v>83.02</v>
      </c>
      <c r="P50" s="424">
        <f t="shared" si="10"/>
        <v>5035.1629999999996</v>
      </c>
      <c r="Q50" s="437"/>
      <c r="R50" s="437"/>
      <c r="S50" s="437"/>
      <c r="T50" s="437"/>
      <c r="U50" s="438"/>
    </row>
    <row r="51" spans="1:21" x14ac:dyDescent="0.25">
      <c r="A51" s="75">
        <f t="shared" si="11"/>
        <v>45</v>
      </c>
      <c r="B51" s="98">
        <v>46109</v>
      </c>
      <c r="C51" s="72">
        <v>8612392</v>
      </c>
      <c r="D51" s="73">
        <v>75283051</v>
      </c>
      <c r="E51" s="74">
        <v>60.65</v>
      </c>
      <c r="F51" s="31">
        <v>903.39</v>
      </c>
      <c r="G51" s="32">
        <f t="shared" si="8"/>
        <v>54790.603499999997</v>
      </c>
      <c r="H51" s="76">
        <v>75336.02</v>
      </c>
      <c r="I51" s="77">
        <f t="shared" si="9"/>
        <v>4569129.6129999999</v>
      </c>
      <c r="J51" s="114" t="s">
        <v>22</v>
      </c>
      <c r="K51" s="422" t="s">
        <v>23</v>
      </c>
      <c r="L51" s="231"/>
      <c r="M51" s="70"/>
      <c r="N51" s="75"/>
      <c r="O51" s="423">
        <v>83.02</v>
      </c>
      <c r="P51" s="424">
        <f t="shared" si="10"/>
        <v>5035.1629999999996</v>
      </c>
      <c r="Q51" s="437"/>
      <c r="R51" s="437"/>
      <c r="S51" s="437"/>
      <c r="T51" s="437"/>
      <c r="U51" s="438"/>
    </row>
    <row r="52" spans="1:21" x14ac:dyDescent="0.25">
      <c r="A52" s="75">
        <f t="shared" si="11"/>
        <v>46</v>
      </c>
      <c r="B52" s="98">
        <v>46109</v>
      </c>
      <c r="C52" s="72">
        <v>8612392</v>
      </c>
      <c r="D52" s="73">
        <v>75309278</v>
      </c>
      <c r="E52" s="74">
        <v>60.65</v>
      </c>
      <c r="F52" s="31">
        <v>903.39</v>
      </c>
      <c r="G52" s="32">
        <f t="shared" si="8"/>
        <v>54790.603499999997</v>
      </c>
      <c r="H52" s="76">
        <v>75336.02</v>
      </c>
      <c r="I52" s="77">
        <f t="shared" si="9"/>
        <v>4569129.6129999999</v>
      </c>
      <c r="J52" s="114" t="s">
        <v>22</v>
      </c>
      <c r="K52" s="422" t="s">
        <v>23</v>
      </c>
      <c r="L52" s="231"/>
      <c r="M52" s="70"/>
      <c r="N52" s="75"/>
      <c r="O52" s="423">
        <v>83.02</v>
      </c>
      <c r="P52" s="424">
        <f t="shared" si="10"/>
        <v>5035.1629999999996</v>
      </c>
      <c r="Q52" s="437"/>
      <c r="R52" s="437"/>
      <c r="S52" s="437"/>
      <c r="T52" s="437"/>
      <c r="U52" s="438"/>
    </row>
    <row r="53" spans="1:21" x14ac:dyDescent="0.25">
      <c r="A53" s="75">
        <f t="shared" si="11"/>
        <v>47</v>
      </c>
      <c r="B53" s="98">
        <v>46109</v>
      </c>
      <c r="C53" s="72">
        <v>8612392</v>
      </c>
      <c r="D53" s="73">
        <v>75867697</v>
      </c>
      <c r="E53" s="74">
        <v>60.6</v>
      </c>
      <c r="F53" s="31">
        <v>903.39</v>
      </c>
      <c r="G53" s="32">
        <f t="shared" si="8"/>
        <v>54745.434000000001</v>
      </c>
      <c r="H53" s="76">
        <v>75336.02</v>
      </c>
      <c r="I53" s="77">
        <f t="shared" si="9"/>
        <v>4565362.8119999999</v>
      </c>
      <c r="J53" s="114" t="s">
        <v>22</v>
      </c>
      <c r="K53" s="422" t="s">
        <v>23</v>
      </c>
      <c r="L53" s="231"/>
      <c r="M53" s="70"/>
      <c r="N53" s="75"/>
      <c r="O53" s="423">
        <v>83.02</v>
      </c>
      <c r="P53" s="424">
        <f t="shared" si="10"/>
        <v>5031.0119999999997</v>
      </c>
      <c r="Q53" s="437"/>
      <c r="R53" s="437"/>
      <c r="S53" s="437"/>
      <c r="T53" s="437"/>
      <c r="U53" s="438"/>
    </row>
    <row r="54" spans="1:21" x14ac:dyDescent="0.25">
      <c r="A54" s="75">
        <f t="shared" si="11"/>
        <v>48</v>
      </c>
      <c r="B54" s="98">
        <v>46109</v>
      </c>
      <c r="C54" s="72">
        <v>8612393</v>
      </c>
      <c r="D54" s="73">
        <v>50309194</v>
      </c>
      <c r="E54" s="74">
        <v>59.85</v>
      </c>
      <c r="F54" s="31">
        <v>903.39</v>
      </c>
      <c r="G54" s="32">
        <f t="shared" si="8"/>
        <v>54067.891499999998</v>
      </c>
      <c r="H54" s="76">
        <v>75336.02</v>
      </c>
      <c r="I54" s="77">
        <f t="shared" si="9"/>
        <v>4508860.7970000003</v>
      </c>
      <c r="J54" s="114" t="s">
        <v>22</v>
      </c>
      <c r="K54" s="422" t="s">
        <v>23</v>
      </c>
      <c r="L54" s="231"/>
      <c r="M54" s="70"/>
      <c r="N54" s="75"/>
      <c r="O54" s="423">
        <v>83.02</v>
      </c>
      <c r="P54" s="424">
        <f t="shared" si="10"/>
        <v>4968.7470000000003</v>
      </c>
      <c r="Q54" s="437"/>
      <c r="R54" s="437"/>
      <c r="S54" s="437"/>
      <c r="T54" s="437"/>
      <c r="U54" s="438"/>
    </row>
    <row r="55" spans="1:21" x14ac:dyDescent="0.25">
      <c r="A55" s="75">
        <f t="shared" si="11"/>
        <v>49</v>
      </c>
      <c r="B55" s="98">
        <v>46109</v>
      </c>
      <c r="C55" s="72">
        <v>8612390</v>
      </c>
      <c r="D55" s="73">
        <v>50362367</v>
      </c>
      <c r="E55" s="74">
        <v>52.15</v>
      </c>
      <c r="F55" s="31">
        <v>903.39</v>
      </c>
      <c r="G55" s="32">
        <f t="shared" si="8"/>
        <v>47111.788499999995</v>
      </c>
      <c r="H55" s="76">
        <v>75336.02</v>
      </c>
      <c r="I55" s="77">
        <f t="shared" si="9"/>
        <v>3928773.443</v>
      </c>
      <c r="J55" s="114" t="s">
        <v>22</v>
      </c>
      <c r="K55" s="422" t="s">
        <v>23</v>
      </c>
      <c r="L55" s="231"/>
      <c r="M55" s="70"/>
      <c r="N55" s="75"/>
      <c r="O55" s="423">
        <v>83.02</v>
      </c>
      <c r="P55" s="424">
        <f t="shared" si="10"/>
        <v>4329.4929999999995</v>
      </c>
      <c r="Q55" s="437"/>
      <c r="R55" s="437"/>
      <c r="S55" s="437"/>
      <c r="T55" s="437"/>
      <c r="U55" s="438"/>
    </row>
    <row r="56" spans="1:21" x14ac:dyDescent="0.25">
      <c r="A56" s="75">
        <f t="shared" si="11"/>
        <v>50</v>
      </c>
      <c r="B56" s="98">
        <v>46109</v>
      </c>
      <c r="C56" s="72">
        <v>8612390</v>
      </c>
      <c r="D56" s="73">
        <v>50375930</v>
      </c>
      <c r="E56" s="74">
        <v>52.2</v>
      </c>
      <c r="F56" s="31">
        <v>903.39</v>
      </c>
      <c r="G56" s="32">
        <f t="shared" si="8"/>
        <v>47156.957999999999</v>
      </c>
      <c r="H56" s="76">
        <v>75336.02</v>
      </c>
      <c r="I56" s="77">
        <f t="shared" si="9"/>
        <v>3932540.2440000004</v>
      </c>
      <c r="J56" s="114" t="s">
        <v>22</v>
      </c>
      <c r="K56" s="422" t="s">
        <v>23</v>
      </c>
      <c r="L56" s="231"/>
      <c r="M56" s="70"/>
      <c r="N56" s="75"/>
      <c r="O56" s="423">
        <v>83.02</v>
      </c>
      <c r="P56" s="424">
        <f t="shared" si="10"/>
        <v>4333.6440000000002</v>
      </c>
      <c r="Q56" s="437"/>
      <c r="R56" s="437"/>
      <c r="S56" s="437"/>
      <c r="T56" s="437"/>
      <c r="U56" s="438"/>
    </row>
    <row r="57" spans="1:21" x14ac:dyDescent="0.25">
      <c r="A57" s="75">
        <f t="shared" si="11"/>
        <v>51</v>
      </c>
      <c r="B57" s="98">
        <v>46109</v>
      </c>
      <c r="C57" s="72">
        <v>8612391</v>
      </c>
      <c r="D57" s="73">
        <v>50413830</v>
      </c>
      <c r="E57" s="74">
        <v>59.85</v>
      </c>
      <c r="F57" s="31">
        <v>903.39</v>
      </c>
      <c r="G57" s="32">
        <f t="shared" si="8"/>
        <v>54067.891499999998</v>
      </c>
      <c r="H57" s="76">
        <v>75336.02</v>
      </c>
      <c r="I57" s="77">
        <f t="shared" si="9"/>
        <v>4508860.7970000003</v>
      </c>
      <c r="J57" s="114" t="s">
        <v>22</v>
      </c>
      <c r="K57" s="422" t="s">
        <v>23</v>
      </c>
      <c r="L57" s="231"/>
      <c r="M57" s="70"/>
      <c r="N57" s="75"/>
      <c r="O57" s="423">
        <v>83.02</v>
      </c>
      <c r="P57" s="424">
        <f t="shared" si="10"/>
        <v>4968.7470000000003</v>
      </c>
      <c r="Q57" s="437"/>
      <c r="R57" s="437"/>
      <c r="S57" s="437"/>
      <c r="T57" s="437"/>
      <c r="U57" s="438"/>
    </row>
    <row r="58" spans="1:21" x14ac:dyDescent="0.25">
      <c r="A58" s="75">
        <f t="shared" si="11"/>
        <v>52</v>
      </c>
      <c r="B58" s="98">
        <v>46109</v>
      </c>
      <c r="C58" s="72">
        <v>8612389</v>
      </c>
      <c r="D58" s="73">
        <v>50484666</v>
      </c>
      <c r="E58" s="74">
        <v>59.9</v>
      </c>
      <c r="F58" s="31">
        <v>903.39</v>
      </c>
      <c r="G58" s="32">
        <f t="shared" si="8"/>
        <v>54113.061000000002</v>
      </c>
      <c r="H58" s="76">
        <v>75336.02</v>
      </c>
      <c r="I58" s="77">
        <f t="shared" si="9"/>
        <v>4512627.5980000002</v>
      </c>
      <c r="J58" s="114" t="s">
        <v>22</v>
      </c>
      <c r="K58" s="422" t="s">
        <v>23</v>
      </c>
      <c r="L58" s="231"/>
      <c r="M58" s="70"/>
      <c r="N58" s="75"/>
      <c r="O58" s="423">
        <v>83.02</v>
      </c>
      <c r="P58" s="424">
        <f t="shared" si="10"/>
        <v>4972.8979999999992</v>
      </c>
      <c r="Q58" s="437"/>
      <c r="R58" s="437"/>
      <c r="S58" s="437"/>
      <c r="T58" s="437"/>
      <c r="U58" s="438"/>
    </row>
    <row r="59" spans="1:21" x14ac:dyDescent="0.25">
      <c r="A59" s="75">
        <f t="shared" si="11"/>
        <v>53</v>
      </c>
      <c r="B59" s="98">
        <v>46109</v>
      </c>
      <c r="C59" s="72">
        <v>8612391</v>
      </c>
      <c r="D59" s="73">
        <v>50485200</v>
      </c>
      <c r="E59" s="74">
        <v>59.85</v>
      </c>
      <c r="F59" s="31">
        <v>903.39</v>
      </c>
      <c r="G59" s="32">
        <f t="shared" si="8"/>
        <v>54067.891499999998</v>
      </c>
      <c r="H59" s="76">
        <v>75336.02</v>
      </c>
      <c r="I59" s="77">
        <f t="shared" si="9"/>
        <v>4508860.7970000003</v>
      </c>
      <c r="J59" s="114" t="s">
        <v>22</v>
      </c>
      <c r="K59" s="422" t="s">
        <v>23</v>
      </c>
      <c r="L59" s="231"/>
      <c r="M59" s="70"/>
      <c r="N59" s="75"/>
      <c r="O59" s="423">
        <v>83.02</v>
      </c>
      <c r="P59" s="424">
        <f t="shared" si="10"/>
        <v>4968.7470000000003</v>
      </c>
      <c r="Q59" s="437"/>
      <c r="R59" s="437"/>
      <c r="S59" s="437"/>
      <c r="T59" s="437"/>
      <c r="U59" s="438"/>
    </row>
    <row r="60" spans="1:21" x14ac:dyDescent="0.25">
      <c r="A60" s="75">
        <f t="shared" si="11"/>
        <v>54</v>
      </c>
      <c r="B60" s="98">
        <v>46109</v>
      </c>
      <c r="C60" s="72">
        <v>8612393</v>
      </c>
      <c r="D60" s="73">
        <v>50960558</v>
      </c>
      <c r="E60" s="74">
        <v>59.85</v>
      </c>
      <c r="F60" s="31">
        <v>903.39</v>
      </c>
      <c r="G60" s="32">
        <f t="shared" si="8"/>
        <v>54067.891499999998</v>
      </c>
      <c r="H60" s="76">
        <v>75336.02</v>
      </c>
      <c r="I60" s="77">
        <f t="shared" si="9"/>
        <v>4508860.7970000003</v>
      </c>
      <c r="J60" s="114" t="s">
        <v>22</v>
      </c>
      <c r="K60" s="422" t="s">
        <v>23</v>
      </c>
      <c r="L60" s="231"/>
      <c r="M60" s="70"/>
      <c r="N60" s="75"/>
      <c r="O60" s="423">
        <v>83.02</v>
      </c>
      <c r="P60" s="424">
        <f t="shared" si="10"/>
        <v>4968.7470000000003</v>
      </c>
      <c r="Q60" s="437"/>
      <c r="R60" s="437"/>
      <c r="S60" s="437"/>
      <c r="T60" s="437"/>
      <c r="U60" s="438"/>
    </row>
    <row r="61" spans="1:21" x14ac:dyDescent="0.25">
      <c r="A61" s="75">
        <f t="shared" si="11"/>
        <v>55</v>
      </c>
      <c r="B61" s="98">
        <v>46109</v>
      </c>
      <c r="C61" s="72">
        <v>8612393</v>
      </c>
      <c r="D61" s="73">
        <v>51256949</v>
      </c>
      <c r="E61" s="74">
        <v>59.9</v>
      </c>
      <c r="F61" s="31">
        <v>903.39</v>
      </c>
      <c r="G61" s="32">
        <f t="shared" si="8"/>
        <v>54113.061000000002</v>
      </c>
      <c r="H61" s="76">
        <v>75336.02</v>
      </c>
      <c r="I61" s="77">
        <f t="shared" si="9"/>
        <v>4512627.5980000002</v>
      </c>
      <c r="J61" s="114" t="s">
        <v>22</v>
      </c>
      <c r="K61" s="422" t="s">
        <v>23</v>
      </c>
      <c r="L61" s="231"/>
      <c r="M61" s="70"/>
      <c r="N61" s="75"/>
      <c r="O61" s="423">
        <v>83.02</v>
      </c>
      <c r="P61" s="424">
        <f t="shared" si="10"/>
        <v>4972.8979999999992</v>
      </c>
      <c r="Q61" s="437"/>
      <c r="R61" s="437"/>
      <c r="S61" s="437"/>
      <c r="T61" s="437"/>
      <c r="U61" s="438"/>
    </row>
    <row r="62" spans="1:21" x14ac:dyDescent="0.25">
      <c r="A62" s="75">
        <f t="shared" si="11"/>
        <v>56</v>
      </c>
      <c r="B62" s="98">
        <v>46109</v>
      </c>
      <c r="C62" s="72">
        <v>8612391</v>
      </c>
      <c r="D62" s="73">
        <v>51296580</v>
      </c>
      <c r="E62" s="74">
        <v>50.7</v>
      </c>
      <c r="F62" s="31">
        <v>903.39</v>
      </c>
      <c r="G62" s="32">
        <f t="shared" si="8"/>
        <v>45801.873</v>
      </c>
      <c r="H62" s="76">
        <v>75336.02</v>
      </c>
      <c r="I62" s="77">
        <f t="shared" si="9"/>
        <v>3819536.2140000006</v>
      </c>
      <c r="J62" s="114" t="s">
        <v>22</v>
      </c>
      <c r="K62" s="422" t="s">
        <v>23</v>
      </c>
      <c r="L62" s="231"/>
      <c r="M62" s="70"/>
      <c r="N62" s="75"/>
      <c r="O62" s="423">
        <v>83.02</v>
      </c>
      <c r="P62" s="424">
        <f t="shared" si="10"/>
        <v>4209.1140000000005</v>
      </c>
      <c r="Q62" s="437"/>
      <c r="R62" s="437"/>
      <c r="S62" s="437"/>
      <c r="T62" s="437"/>
      <c r="U62" s="438"/>
    </row>
    <row r="63" spans="1:21" x14ac:dyDescent="0.25">
      <c r="A63" s="75">
        <f t="shared" si="11"/>
        <v>57</v>
      </c>
      <c r="B63" s="98">
        <v>46109</v>
      </c>
      <c r="C63" s="72">
        <v>8612390</v>
      </c>
      <c r="D63" s="73">
        <v>51379170</v>
      </c>
      <c r="E63" s="74">
        <v>50.9</v>
      </c>
      <c r="F63" s="31">
        <v>903.39</v>
      </c>
      <c r="G63" s="32">
        <f t="shared" si="8"/>
        <v>45982.550999999999</v>
      </c>
      <c r="H63" s="76">
        <v>75336.02</v>
      </c>
      <c r="I63" s="77">
        <f t="shared" si="9"/>
        <v>3834603.4180000001</v>
      </c>
      <c r="J63" s="114" t="s">
        <v>22</v>
      </c>
      <c r="K63" s="422" t="s">
        <v>23</v>
      </c>
      <c r="L63" s="231"/>
      <c r="M63" s="70"/>
      <c r="N63" s="75"/>
      <c r="O63" s="423">
        <v>83.02</v>
      </c>
      <c r="P63" s="424">
        <f t="shared" si="10"/>
        <v>4225.7179999999998</v>
      </c>
      <c r="Q63" s="437"/>
      <c r="R63" s="437"/>
      <c r="S63" s="437"/>
      <c r="T63" s="437"/>
      <c r="U63" s="438"/>
    </row>
    <row r="64" spans="1:21" x14ac:dyDescent="0.25">
      <c r="A64" s="75">
        <f t="shared" si="11"/>
        <v>58</v>
      </c>
      <c r="B64" s="98">
        <v>46109</v>
      </c>
      <c r="C64" s="72">
        <v>8612390</v>
      </c>
      <c r="D64" s="73">
        <v>51381507</v>
      </c>
      <c r="E64" s="74">
        <v>51.6</v>
      </c>
      <c r="F64" s="31">
        <v>903.39</v>
      </c>
      <c r="G64" s="32">
        <f t="shared" si="8"/>
        <v>46614.923999999999</v>
      </c>
      <c r="H64" s="76">
        <v>75336.02</v>
      </c>
      <c r="I64" s="77">
        <f t="shared" si="9"/>
        <v>3887338.6320000002</v>
      </c>
      <c r="J64" s="114" t="s">
        <v>22</v>
      </c>
      <c r="K64" s="422" t="s">
        <v>23</v>
      </c>
      <c r="L64" s="231"/>
      <c r="M64" s="70"/>
      <c r="N64" s="75"/>
      <c r="O64" s="423">
        <v>83.02</v>
      </c>
      <c r="P64" s="424">
        <f t="shared" si="10"/>
        <v>4283.8320000000003</v>
      </c>
      <c r="Q64" s="437"/>
      <c r="R64" s="437"/>
      <c r="S64" s="437"/>
      <c r="T64" s="437"/>
      <c r="U64" s="438"/>
    </row>
    <row r="65" spans="1:21" x14ac:dyDescent="0.25">
      <c r="A65" s="75">
        <f t="shared" si="11"/>
        <v>59</v>
      </c>
      <c r="B65" s="98">
        <v>46109</v>
      </c>
      <c r="C65" s="72">
        <v>8612389</v>
      </c>
      <c r="D65" s="73">
        <v>51391134</v>
      </c>
      <c r="E65" s="74">
        <v>51.25</v>
      </c>
      <c r="F65" s="31">
        <v>903.39</v>
      </c>
      <c r="G65" s="32">
        <f t="shared" si="8"/>
        <v>46298.737500000003</v>
      </c>
      <c r="H65" s="76">
        <v>75336.02</v>
      </c>
      <c r="I65" s="77">
        <f t="shared" si="9"/>
        <v>3860971.0250000004</v>
      </c>
      <c r="J65" s="114" t="s">
        <v>22</v>
      </c>
      <c r="K65" s="422" t="s">
        <v>23</v>
      </c>
      <c r="L65" s="231"/>
      <c r="M65" s="70"/>
      <c r="N65" s="75"/>
      <c r="O65" s="423">
        <v>83.02</v>
      </c>
      <c r="P65" s="424">
        <f t="shared" si="10"/>
        <v>4254.7749999999996</v>
      </c>
      <c r="Q65" s="437"/>
      <c r="R65" s="437"/>
      <c r="S65" s="437"/>
      <c r="T65" s="437"/>
      <c r="U65" s="438"/>
    </row>
    <row r="66" spans="1:21" x14ac:dyDescent="0.25">
      <c r="A66" s="75">
        <f t="shared" si="11"/>
        <v>60</v>
      </c>
      <c r="B66" s="98">
        <v>46109</v>
      </c>
      <c r="C66" s="72">
        <v>8612393</v>
      </c>
      <c r="D66" s="73">
        <v>51630275</v>
      </c>
      <c r="E66" s="74">
        <v>59.9</v>
      </c>
      <c r="F66" s="31">
        <v>903.39</v>
      </c>
      <c r="G66" s="32">
        <f t="shared" si="8"/>
        <v>54113.061000000002</v>
      </c>
      <c r="H66" s="76">
        <v>75336.02</v>
      </c>
      <c r="I66" s="77">
        <f t="shared" si="9"/>
        <v>4512627.5980000002</v>
      </c>
      <c r="J66" s="114" t="s">
        <v>22</v>
      </c>
      <c r="K66" s="422" t="s">
        <v>23</v>
      </c>
      <c r="L66" s="231"/>
      <c r="M66" s="70"/>
      <c r="N66" s="75"/>
      <c r="O66" s="423">
        <v>83.02</v>
      </c>
      <c r="P66" s="424">
        <f t="shared" si="10"/>
        <v>4972.8979999999992</v>
      </c>
      <c r="Q66" s="437"/>
      <c r="R66" s="437"/>
      <c r="S66" s="437"/>
      <c r="T66" s="437"/>
      <c r="U66" s="438"/>
    </row>
    <row r="67" spans="1:21" x14ac:dyDescent="0.25">
      <c r="A67" s="75">
        <f t="shared" si="11"/>
        <v>61</v>
      </c>
      <c r="B67" s="98">
        <v>46109</v>
      </c>
      <c r="C67" s="72">
        <v>8612389</v>
      </c>
      <c r="D67" s="73">
        <v>51814168</v>
      </c>
      <c r="E67" s="74">
        <v>59.95</v>
      </c>
      <c r="F67" s="31">
        <v>903.39</v>
      </c>
      <c r="G67" s="32">
        <f t="shared" si="8"/>
        <v>54158.230500000005</v>
      </c>
      <c r="H67" s="76">
        <v>75336.02</v>
      </c>
      <c r="I67" s="77">
        <f t="shared" si="9"/>
        <v>4516394.3990000002</v>
      </c>
      <c r="J67" s="114" t="s">
        <v>22</v>
      </c>
      <c r="K67" s="422" t="s">
        <v>23</v>
      </c>
      <c r="L67" s="231"/>
      <c r="M67" s="70"/>
      <c r="N67" s="75"/>
      <c r="O67" s="423">
        <v>83.02</v>
      </c>
      <c r="P67" s="424">
        <f t="shared" si="10"/>
        <v>4977.049</v>
      </c>
      <c r="Q67" s="437"/>
      <c r="R67" s="437"/>
      <c r="S67" s="437"/>
      <c r="T67" s="437"/>
      <c r="U67" s="438"/>
    </row>
    <row r="68" spans="1:21" x14ac:dyDescent="0.25">
      <c r="A68" s="75">
        <f t="shared" si="11"/>
        <v>62</v>
      </c>
      <c r="B68" s="98">
        <v>46109</v>
      </c>
      <c r="C68" s="72">
        <v>8612391</v>
      </c>
      <c r="D68" s="73">
        <v>52078391</v>
      </c>
      <c r="E68" s="74">
        <v>59.85</v>
      </c>
      <c r="F68" s="31">
        <v>903.39</v>
      </c>
      <c r="G68" s="32">
        <f t="shared" si="8"/>
        <v>54067.891499999998</v>
      </c>
      <c r="H68" s="76">
        <v>75336.02</v>
      </c>
      <c r="I68" s="77">
        <f t="shared" si="9"/>
        <v>4508860.7970000003</v>
      </c>
      <c r="J68" s="114" t="s">
        <v>22</v>
      </c>
      <c r="K68" s="422" t="s">
        <v>23</v>
      </c>
      <c r="L68" s="231"/>
      <c r="M68" s="70"/>
      <c r="N68" s="75"/>
      <c r="O68" s="423">
        <v>83.02</v>
      </c>
      <c r="P68" s="424">
        <f t="shared" si="10"/>
        <v>4968.7470000000003</v>
      </c>
      <c r="Q68" s="437"/>
      <c r="R68" s="437"/>
      <c r="S68" s="437"/>
      <c r="T68" s="437"/>
      <c r="U68" s="438"/>
    </row>
    <row r="69" spans="1:21" x14ac:dyDescent="0.25">
      <c r="A69" s="75">
        <f t="shared" si="11"/>
        <v>63</v>
      </c>
      <c r="B69" s="98">
        <v>46109</v>
      </c>
      <c r="C69" s="72">
        <v>8612389</v>
      </c>
      <c r="D69" s="73">
        <v>54077243</v>
      </c>
      <c r="E69" s="74">
        <v>59.9</v>
      </c>
      <c r="F69" s="31">
        <v>903.39</v>
      </c>
      <c r="G69" s="32">
        <f t="shared" si="8"/>
        <v>54113.061000000002</v>
      </c>
      <c r="H69" s="76">
        <v>75336.02</v>
      </c>
      <c r="I69" s="77">
        <f t="shared" si="9"/>
        <v>4512627.5980000002</v>
      </c>
      <c r="J69" s="114" t="s">
        <v>22</v>
      </c>
      <c r="K69" s="422" t="s">
        <v>23</v>
      </c>
      <c r="L69" s="231"/>
      <c r="M69" s="70"/>
      <c r="N69" s="75"/>
      <c r="O69" s="423">
        <v>83.02</v>
      </c>
      <c r="P69" s="424">
        <f t="shared" si="10"/>
        <v>4972.8979999999992</v>
      </c>
      <c r="Q69" s="437"/>
      <c r="R69" s="437"/>
      <c r="S69" s="437"/>
      <c r="T69" s="437"/>
      <c r="U69" s="438"/>
    </row>
    <row r="70" spans="1:21" x14ac:dyDescent="0.25">
      <c r="A70" s="75">
        <f t="shared" si="11"/>
        <v>64</v>
      </c>
      <c r="B70" s="98">
        <v>46109</v>
      </c>
      <c r="C70" s="72">
        <v>8612391</v>
      </c>
      <c r="D70" s="73">
        <v>54094164</v>
      </c>
      <c r="E70" s="74">
        <v>59.85</v>
      </c>
      <c r="F70" s="31">
        <v>903.39</v>
      </c>
      <c r="G70" s="32">
        <f t="shared" si="8"/>
        <v>54067.891499999998</v>
      </c>
      <c r="H70" s="76">
        <v>75336.02</v>
      </c>
      <c r="I70" s="77">
        <f t="shared" si="9"/>
        <v>4508860.7970000003</v>
      </c>
      <c r="J70" s="114" t="s">
        <v>22</v>
      </c>
      <c r="K70" s="422" t="s">
        <v>23</v>
      </c>
      <c r="L70" s="231"/>
      <c r="M70" s="70"/>
      <c r="N70" s="75"/>
      <c r="O70" s="423">
        <v>83.02</v>
      </c>
      <c r="P70" s="424">
        <f t="shared" si="10"/>
        <v>4968.7470000000003</v>
      </c>
      <c r="Q70" s="437"/>
      <c r="R70" s="437"/>
      <c r="S70" s="437"/>
      <c r="T70" s="437"/>
      <c r="U70" s="438"/>
    </row>
    <row r="71" spans="1:21" x14ac:dyDescent="0.25">
      <c r="A71" s="75">
        <f t="shared" si="11"/>
        <v>65</v>
      </c>
      <c r="B71" s="98">
        <v>46109</v>
      </c>
      <c r="C71" s="72">
        <v>8612389</v>
      </c>
      <c r="D71" s="73">
        <v>56798093</v>
      </c>
      <c r="E71" s="74">
        <v>59.8</v>
      </c>
      <c r="F71" s="31">
        <v>903.39</v>
      </c>
      <c r="G71" s="32">
        <f t="shared" si="8"/>
        <v>54022.721999999994</v>
      </c>
      <c r="H71" s="76">
        <v>75336.02</v>
      </c>
      <c r="I71" s="77">
        <f t="shared" si="9"/>
        <v>4505093.9960000003</v>
      </c>
      <c r="J71" s="114" t="s">
        <v>22</v>
      </c>
      <c r="K71" s="422" t="s">
        <v>23</v>
      </c>
      <c r="L71" s="231"/>
      <c r="M71" s="70"/>
      <c r="N71" s="75"/>
      <c r="O71" s="423">
        <v>83.02</v>
      </c>
      <c r="P71" s="424">
        <f t="shared" si="10"/>
        <v>4964.5959999999995</v>
      </c>
      <c r="Q71" s="437"/>
      <c r="R71" s="437"/>
      <c r="S71" s="437"/>
      <c r="T71" s="437"/>
      <c r="U71" s="438"/>
    </row>
    <row r="72" spans="1:21" x14ac:dyDescent="0.25">
      <c r="A72" s="75">
        <f t="shared" si="11"/>
        <v>66</v>
      </c>
      <c r="B72" s="98">
        <v>46109</v>
      </c>
      <c r="C72" s="72">
        <v>8612391</v>
      </c>
      <c r="D72" s="73">
        <v>57210452</v>
      </c>
      <c r="E72" s="74">
        <v>60.35</v>
      </c>
      <c r="F72" s="31">
        <v>903.39</v>
      </c>
      <c r="G72" s="32">
        <f t="shared" si="8"/>
        <v>54519.586499999998</v>
      </c>
      <c r="H72" s="76">
        <v>75336.02</v>
      </c>
      <c r="I72" s="77">
        <f t="shared" si="9"/>
        <v>4546528.807</v>
      </c>
      <c r="J72" s="114" t="s">
        <v>22</v>
      </c>
      <c r="K72" s="422" t="s">
        <v>23</v>
      </c>
      <c r="L72" s="231"/>
      <c r="M72" s="70"/>
      <c r="N72" s="75"/>
      <c r="O72" s="423">
        <v>83.02</v>
      </c>
      <c r="P72" s="424">
        <f t="shared" si="10"/>
        <v>5010.2569999999996</v>
      </c>
      <c r="Q72" s="437"/>
      <c r="R72" s="437"/>
      <c r="S72" s="437"/>
      <c r="T72" s="437"/>
      <c r="U72" s="438"/>
    </row>
    <row r="73" spans="1:21" x14ac:dyDescent="0.25">
      <c r="A73" s="75">
        <f t="shared" si="11"/>
        <v>67</v>
      </c>
      <c r="B73" s="98">
        <v>46109</v>
      </c>
      <c r="C73" s="72">
        <v>8612393</v>
      </c>
      <c r="D73" s="73">
        <v>58149907</v>
      </c>
      <c r="E73" s="74">
        <v>59.85</v>
      </c>
      <c r="F73" s="31">
        <v>903.39</v>
      </c>
      <c r="G73" s="32">
        <f t="shared" si="8"/>
        <v>54067.891499999998</v>
      </c>
      <c r="H73" s="76">
        <v>75336.02</v>
      </c>
      <c r="I73" s="77">
        <f t="shared" si="9"/>
        <v>4508860.7970000003</v>
      </c>
      <c r="J73" s="114" t="s">
        <v>22</v>
      </c>
      <c r="K73" s="422" t="s">
        <v>23</v>
      </c>
      <c r="L73" s="231"/>
      <c r="M73" s="70"/>
      <c r="N73" s="75"/>
      <c r="O73" s="423">
        <v>83.02</v>
      </c>
      <c r="P73" s="424">
        <f t="shared" si="10"/>
        <v>4968.7470000000003</v>
      </c>
      <c r="Q73" s="437"/>
      <c r="R73" s="437"/>
      <c r="S73" s="437"/>
      <c r="T73" s="437"/>
      <c r="U73" s="438"/>
    </row>
    <row r="74" spans="1:21" x14ac:dyDescent="0.25">
      <c r="A74" s="75">
        <f t="shared" si="11"/>
        <v>68</v>
      </c>
      <c r="B74" s="98">
        <v>46109</v>
      </c>
      <c r="C74" s="72">
        <v>8612391</v>
      </c>
      <c r="D74" s="73">
        <v>73002388</v>
      </c>
      <c r="E74" s="74">
        <v>60.35</v>
      </c>
      <c r="F74" s="31">
        <v>903.39</v>
      </c>
      <c r="G74" s="32">
        <f t="shared" si="8"/>
        <v>54519.586499999998</v>
      </c>
      <c r="H74" s="76">
        <v>75336.02</v>
      </c>
      <c r="I74" s="77">
        <f t="shared" si="9"/>
        <v>4546528.807</v>
      </c>
      <c r="J74" s="114" t="s">
        <v>22</v>
      </c>
      <c r="K74" s="422" t="s">
        <v>23</v>
      </c>
      <c r="L74" s="231"/>
      <c r="M74" s="70"/>
      <c r="N74" s="75"/>
      <c r="O74" s="423">
        <v>83.02</v>
      </c>
      <c r="P74" s="424">
        <f t="shared" si="10"/>
        <v>5010.2569999999996</v>
      </c>
      <c r="Q74" s="437"/>
      <c r="R74" s="437"/>
      <c r="S74" s="437"/>
      <c r="T74" s="437"/>
      <c r="U74" s="438"/>
    </row>
    <row r="75" spans="1:21" x14ac:dyDescent="0.25">
      <c r="A75" s="75">
        <f t="shared" si="11"/>
        <v>69</v>
      </c>
      <c r="B75" s="98">
        <v>46109</v>
      </c>
      <c r="C75" s="72">
        <v>8612390</v>
      </c>
      <c r="D75" s="73">
        <v>73022923</v>
      </c>
      <c r="E75" s="74">
        <v>60.3</v>
      </c>
      <c r="F75" s="31">
        <v>903.39</v>
      </c>
      <c r="G75" s="32">
        <f t="shared" si="8"/>
        <v>54474.416999999994</v>
      </c>
      <c r="H75" s="76">
        <v>75336.02</v>
      </c>
      <c r="I75" s="77">
        <f t="shared" si="9"/>
        <v>4542762.0060000001</v>
      </c>
      <c r="J75" s="114" t="s">
        <v>22</v>
      </c>
      <c r="K75" s="422" t="s">
        <v>23</v>
      </c>
      <c r="L75" s="231"/>
      <c r="M75" s="70"/>
      <c r="N75" s="75"/>
      <c r="O75" s="423">
        <v>83.02</v>
      </c>
      <c r="P75" s="424">
        <f t="shared" si="10"/>
        <v>5006.1059999999998</v>
      </c>
      <c r="Q75" s="437"/>
      <c r="R75" s="437"/>
      <c r="S75" s="437"/>
      <c r="T75" s="437"/>
      <c r="U75" s="438"/>
    </row>
    <row r="76" spans="1:21" x14ac:dyDescent="0.25">
      <c r="A76" s="75">
        <f t="shared" si="11"/>
        <v>70</v>
      </c>
      <c r="B76" s="98">
        <v>46109</v>
      </c>
      <c r="C76" s="72">
        <v>8612390</v>
      </c>
      <c r="D76" s="73">
        <v>73082539</v>
      </c>
      <c r="E76" s="74">
        <v>60.35</v>
      </c>
      <c r="F76" s="31">
        <v>903.39</v>
      </c>
      <c r="G76" s="32">
        <f t="shared" si="8"/>
        <v>54519.586499999998</v>
      </c>
      <c r="H76" s="76">
        <v>75336.02</v>
      </c>
      <c r="I76" s="77">
        <f t="shared" si="9"/>
        <v>4546528.807</v>
      </c>
      <c r="J76" s="114" t="s">
        <v>22</v>
      </c>
      <c r="K76" s="422" t="s">
        <v>23</v>
      </c>
      <c r="L76" s="231"/>
      <c r="M76" s="70"/>
      <c r="N76" s="75"/>
      <c r="O76" s="423">
        <v>83.02</v>
      </c>
      <c r="P76" s="424">
        <f t="shared" si="10"/>
        <v>5010.2569999999996</v>
      </c>
      <c r="Q76" s="437"/>
      <c r="R76" s="437"/>
      <c r="S76" s="437"/>
      <c r="T76" s="437"/>
      <c r="U76" s="438"/>
    </row>
    <row r="77" spans="1:21" x14ac:dyDescent="0.25">
      <c r="A77" s="75">
        <f t="shared" si="11"/>
        <v>71</v>
      </c>
      <c r="B77" s="98">
        <v>46109</v>
      </c>
      <c r="C77" s="72">
        <v>8612390</v>
      </c>
      <c r="D77" s="73">
        <v>73085755</v>
      </c>
      <c r="E77" s="74">
        <v>60.3</v>
      </c>
      <c r="F77" s="31">
        <v>903.39</v>
      </c>
      <c r="G77" s="32">
        <f t="shared" si="8"/>
        <v>54474.416999999994</v>
      </c>
      <c r="H77" s="76">
        <v>75336.02</v>
      </c>
      <c r="I77" s="77">
        <f t="shared" si="9"/>
        <v>4542762.0060000001</v>
      </c>
      <c r="J77" s="114" t="s">
        <v>22</v>
      </c>
      <c r="K77" s="422" t="s">
        <v>23</v>
      </c>
      <c r="L77" s="231"/>
      <c r="M77" s="70"/>
      <c r="N77" s="75"/>
      <c r="O77" s="423">
        <v>83.02</v>
      </c>
      <c r="P77" s="424">
        <f t="shared" si="10"/>
        <v>5006.1059999999998</v>
      </c>
      <c r="Q77" s="437"/>
      <c r="R77" s="437"/>
      <c r="S77" s="437"/>
      <c r="T77" s="437"/>
      <c r="U77" s="438"/>
    </row>
    <row r="78" spans="1:21" x14ac:dyDescent="0.25">
      <c r="A78" s="75">
        <f t="shared" si="11"/>
        <v>72</v>
      </c>
      <c r="B78" s="98">
        <v>46109</v>
      </c>
      <c r="C78" s="72">
        <v>8612391</v>
      </c>
      <c r="D78" s="73">
        <v>73110116</v>
      </c>
      <c r="E78" s="74">
        <v>60.35</v>
      </c>
      <c r="F78" s="31">
        <v>903.39</v>
      </c>
      <c r="G78" s="32">
        <f t="shared" si="8"/>
        <v>54519.586499999998</v>
      </c>
      <c r="H78" s="76">
        <v>75336.02</v>
      </c>
      <c r="I78" s="77">
        <f t="shared" si="9"/>
        <v>4546528.807</v>
      </c>
      <c r="J78" s="114" t="s">
        <v>22</v>
      </c>
      <c r="K78" s="422" t="s">
        <v>23</v>
      </c>
      <c r="L78" s="231"/>
      <c r="M78" s="70"/>
      <c r="N78" s="75"/>
      <c r="O78" s="423">
        <v>83.02</v>
      </c>
      <c r="P78" s="424">
        <f t="shared" si="10"/>
        <v>5010.2569999999996</v>
      </c>
      <c r="Q78" s="437"/>
      <c r="R78" s="437"/>
      <c r="S78" s="437"/>
      <c r="T78" s="437"/>
      <c r="U78" s="438"/>
    </row>
    <row r="79" spans="1:21" x14ac:dyDescent="0.25">
      <c r="A79" s="75">
        <f t="shared" si="11"/>
        <v>73</v>
      </c>
      <c r="B79" s="98">
        <v>46109</v>
      </c>
      <c r="C79" s="72">
        <v>8612389</v>
      </c>
      <c r="D79" s="73">
        <v>73110736</v>
      </c>
      <c r="E79" s="74">
        <v>60.5</v>
      </c>
      <c r="F79" s="31">
        <v>903.39</v>
      </c>
      <c r="G79" s="32">
        <f t="shared" si="8"/>
        <v>54655.095000000001</v>
      </c>
      <c r="H79" s="76">
        <v>75336.02</v>
      </c>
      <c r="I79" s="77">
        <f t="shared" si="9"/>
        <v>4557829.21</v>
      </c>
      <c r="J79" s="114" t="s">
        <v>22</v>
      </c>
      <c r="K79" s="422" t="s">
        <v>23</v>
      </c>
      <c r="L79" s="231"/>
      <c r="M79" s="70"/>
      <c r="N79" s="75"/>
      <c r="O79" s="423">
        <v>83.02</v>
      </c>
      <c r="P79" s="424">
        <f t="shared" si="10"/>
        <v>5022.71</v>
      </c>
      <c r="Q79" s="437"/>
      <c r="R79" s="437"/>
      <c r="S79" s="437"/>
      <c r="T79" s="437"/>
      <c r="U79" s="438"/>
    </row>
    <row r="80" spans="1:21" x14ac:dyDescent="0.25">
      <c r="A80" s="75">
        <f t="shared" si="11"/>
        <v>74</v>
      </c>
      <c r="B80" s="98">
        <v>46109</v>
      </c>
      <c r="C80" s="72">
        <v>8612389</v>
      </c>
      <c r="D80" s="73">
        <v>73114779</v>
      </c>
      <c r="E80" s="74">
        <v>60.3</v>
      </c>
      <c r="F80" s="31">
        <v>903.39</v>
      </c>
      <c r="G80" s="32">
        <f t="shared" si="8"/>
        <v>54474.416999999994</v>
      </c>
      <c r="H80" s="76">
        <v>75336.02</v>
      </c>
      <c r="I80" s="77">
        <f t="shared" si="9"/>
        <v>4542762.0060000001</v>
      </c>
      <c r="J80" s="114" t="s">
        <v>22</v>
      </c>
      <c r="K80" s="422" t="s">
        <v>23</v>
      </c>
      <c r="L80" s="231"/>
      <c r="M80" s="70"/>
      <c r="N80" s="75"/>
      <c r="O80" s="423">
        <v>83.02</v>
      </c>
      <c r="P80" s="424">
        <f t="shared" si="10"/>
        <v>5006.1059999999998</v>
      </c>
      <c r="Q80" s="437"/>
      <c r="R80" s="437"/>
      <c r="S80" s="437"/>
      <c r="T80" s="437"/>
      <c r="U80" s="438"/>
    </row>
    <row r="81" spans="1:21" x14ac:dyDescent="0.25">
      <c r="A81" s="75">
        <f t="shared" si="11"/>
        <v>75</v>
      </c>
      <c r="B81" s="98">
        <v>46109</v>
      </c>
      <c r="C81" s="72">
        <v>8612389</v>
      </c>
      <c r="D81" s="73">
        <v>73115453</v>
      </c>
      <c r="E81" s="74">
        <v>60.25</v>
      </c>
      <c r="F81" s="31">
        <v>903.39</v>
      </c>
      <c r="G81" s="32">
        <f t="shared" si="8"/>
        <v>54429.247499999998</v>
      </c>
      <c r="H81" s="76">
        <v>75336.02</v>
      </c>
      <c r="I81" s="77">
        <f t="shared" si="9"/>
        <v>4538995.2050000001</v>
      </c>
      <c r="J81" s="114" t="s">
        <v>22</v>
      </c>
      <c r="K81" s="422" t="s">
        <v>23</v>
      </c>
      <c r="L81" s="231"/>
      <c r="M81" s="70"/>
      <c r="N81" s="75"/>
      <c r="O81" s="423">
        <v>83.02</v>
      </c>
      <c r="P81" s="424">
        <f t="shared" si="10"/>
        <v>5001.9549999999999</v>
      </c>
      <c r="Q81" s="437"/>
      <c r="R81" s="437"/>
      <c r="S81" s="437"/>
      <c r="T81" s="437"/>
      <c r="U81" s="438"/>
    </row>
    <row r="82" spans="1:21" x14ac:dyDescent="0.25">
      <c r="A82" s="75">
        <f t="shared" si="11"/>
        <v>76</v>
      </c>
      <c r="B82" s="98">
        <v>46109</v>
      </c>
      <c r="C82" s="72">
        <v>8612389</v>
      </c>
      <c r="D82" s="73">
        <v>73135212</v>
      </c>
      <c r="E82" s="74">
        <v>60.3</v>
      </c>
      <c r="F82" s="31">
        <v>903.39</v>
      </c>
      <c r="G82" s="32">
        <f t="shared" si="8"/>
        <v>54474.416999999994</v>
      </c>
      <c r="H82" s="76">
        <v>75336.02</v>
      </c>
      <c r="I82" s="77">
        <f t="shared" si="9"/>
        <v>4542762.0060000001</v>
      </c>
      <c r="J82" s="114" t="s">
        <v>22</v>
      </c>
      <c r="K82" s="422" t="s">
        <v>23</v>
      </c>
      <c r="L82" s="231"/>
      <c r="M82" s="70"/>
      <c r="N82" s="75"/>
      <c r="O82" s="423">
        <v>83.02</v>
      </c>
      <c r="P82" s="424">
        <f t="shared" si="10"/>
        <v>5006.1059999999998</v>
      </c>
      <c r="Q82" s="437"/>
      <c r="R82" s="437"/>
      <c r="S82" s="437"/>
      <c r="T82" s="437"/>
      <c r="U82" s="438"/>
    </row>
    <row r="83" spans="1:21" x14ac:dyDescent="0.25">
      <c r="A83" s="75">
        <f t="shared" si="11"/>
        <v>77</v>
      </c>
      <c r="B83" s="98">
        <v>46109</v>
      </c>
      <c r="C83" s="72">
        <v>8612390</v>
      </c>
      <c r="D83" s="73">
        <v>73156507</v>
      </c>
      <c r="E83" s="74">
        <v>60.55</v>
      </c>
      <c r="F83" s="31">
        <v>903.39</v>
      </c>
      <c r="G83" s="32">
        <f t="shared" si="8"/>
        <v>54700.264499999997</v>
      </c>
      <c r="H83" s="76">
        <v>75336.02</v>
      </c>
      <c r="I83" s="77">
        <f t="shared" si="9"/>
        <v>4561596.0109999999</v>
      </c>
      <c r="J83" s="114" t="s">
        <v>22</v>
      </c>
      <c r="K83" s="422" t="s">
        <v>23</v>
      </c>
      <c r="L83" s="231"/>
      <c r="M83" s="70"/>
      <c r="N83" s="75"/>
      <c r="O83" s="423">
        <v>83.02</v>
      </c>
      <c r="P83" s="424">
        <f t="shared" si="10"/>
        <v>5026.8609999999999</v>
      </c>
      <c r="Q83" s="437"/>
      <c r="R83" s="437"/>
      <c r="S83" s="437"/>
      <c r="T83" s="437"/>
      <c r="U83" s="438"/>
    </row>
    <row r="84" spans="1:21" x14ac:dyDescent="0.25">
      <c r="A84" s="75">
        <f t="shared" si="11"/>
        <v>78</v>
      </c>
      <c r="B84" s="98">
        <v>46109</v>
      </c>
      <c r="C84" s="72">
        <v>8612391</v>
      </c>
      <c r="D84" s="73">
        <v>73158420</v>
      </c>
      <c r="E84" s="74">
        <v>60.35</v>
      </c>
      <c r="F84" s="31">
        <v>903.39</v>
      </c>
      <c r="G84" s="32">
        <f t="shared" si="8"/>
        <v>54519.586499999998</v>
      </c>
      <c r="H84" s="76">
        <v>75336.02</v>
      </c>
      <c r="I84" s="77">
        <f t="shared" si="9"/>
        <v>4546528.807</v>
      </c>
      <c r="J84" s="114" t="s">
        <v>22</v>
      </c>
      <c r="K84" s="422" t="s">
        <v>23</v>
      </c>
      <c r="L84" s="231"/>
      <c r="M84" s="70"/>
      <c r="N84" s="75"/>
      <c r="O84" s="423">
        <v>83.02</v>
      </c>
      <c r="P84" s="424">
        <f t="shared" si="10"/>
        <v>5010.2569999999996</v>
      </c>
      <c r="Q84" s="437"/>
      <c r="R84" s="437"/>
      <c r="S84" s="437"/>
      <c r="T84" s="437"/>
      <c r="U84" s="438"/>
    </row>
    <row r="85" spans="1:21" x14ac:dyDescent="0.25">
      <c r="A85" s="75">
        <f t="shared" si="11"/>
        <v>79</v>
      </c>
      <c r="B85" s="98">
        <v>46109</v>
      </c>
      <c r="C85" s="72">
        <v>8612391</v>
      </c>
      <c r="D85" s="73">
        <v>73172363</v>
      </c>
      <c r="E85" s="74">
        <v>60.3</v>
      </c>
      <c r="F85" s="31">
        <v>903.39</v>
      </c>
      <c r="G85" s="32">
        <f t="shared" si="8"/>
        <v>54474.416999999994</v>
      </c>
      <c r="H85" s="76">
        <v>75336.02</v>
      </c>
      <c r="I85" s="77">
        <f t="shared" si="9"/>
        <v>4542762.0060000001</v>
      </c>
      <c r="J85" s="114" t="s">
        <v>22</v>
      </c>
      <c r="K85" s="422" t="s">
        <v>23</v>
      </c>
      <c r="L85" s="231"/>
      <c r="M85" s="70"/>
      <c r="N85" s="75"/>
      <c r="O85" s="423">
        <v>83.02</v>
      </c>
      <c r="P85" s="424">
        <f t="shared" si="10"/>
        <v>5006.1059999999998</v>
      </c>
      <c r="Q85" s="437"/>
      <c r="R85" s="437"/>
      <c r="S85" s="437"/>
      <c r="T85" s="437"/>
      <c r="U85" s="438"/>
    </row>
    <row r="86" spans="1:21" x14ac:dyDescent="0.25">
      <c r="A86" s="75">
        <f t="shared" si="11"/>
        <v>80</v>
      </c>
      <c r="B86" s="98">
        <v>46109</v>
      </c>
      <c r="C86" s="72">
        <v>8612390</v>
      </c>
      <c r="D86" s="73">
        <v>73180515</v>
      </c>
      <c r="E86" s="74">
        <v>60.55</v>
      </c>
      <c r="F86" s="31">
        <v>903.39</v>
      </c>
      <c r="G86" s="32">
        <f t="shared" si="8"/>
        <v>54700.264499999997</v>
      </c>
      <c r="H86" s="76">
        <v>75336.02</v>
      </c>
      <c r="I86" s="77">
        <f t="shared" si="9"/>
        <v>4561596.0109999999</v>
      </c>
      <c r="J86" s="114" t="s">
        <v>22</v>
      </c>
      <c r="K86" s="422" t="s">
        <v>23</v>
      </c>
      <c r="L86" s="231"/>
      <c r="M86" s="70"/>
      <c r="N86" s="75"/>
      <c r="O86" s="423">
        <v>83.02</v>
      </c>
      <c r="P86" s="424">
        <f t="shared" si="10"/>
        <v>5026.8609999999999</v>
      </c>
      <c r="Q86" s="437"/>
      <c r="R86" s="437"/>
      <c r="S86" s="437"/>
      <c r="T86" s="437"/>
      <c r="U86" s="438"/>
    </row>
    <row r="87" spans="1:21" x14ac:dyDescent="0.25">
      <c r="A87" s="75">
        <f t="shared" si="11"/>
        <v>81</v>
      </c>
      <c r="B87" s="98">
        <v>46109</v>
      </c>
      <c r="C87" s="72">
        <v>8612389</v>
      </c>
      <c r="D87" s="73">
        <v>73214132</v>
      </c>
      <c r="E87" s="74">
        <v>60.65</v>
      </c>
      <c r="F87" s="31">
        <v>903.39</v>
      </c>
      <c r="G87" s="32">
        <f t="shared" si="8"/>
        <v>54790.603499999997</v>
      </c>
      <c r="H87" s="76">
        <v>75336.02</v>
      </c>
      <c r="I87" s="77">
        <f t="shared" si="9"/>
        <v>4569129.6129999999</v>
      </c>
      <c r="J87" s="114" t="s">
        <v>22</v>
      </c>
      <c r="K87" s="422" t="s">
        <v>23</v>
      </c>
      <c r="L87" s="231"/>
      <c r="M87" s="70"/>
      <c r="N87" s="75"/>
      <c r="O87" s="423">
        <v>83.02</v>
      </c>
      <c r="P87" s="424">
        <f t="shared" si="10"/>
        <v>5035.1629999999996</v>
      </c>
      <c r="Q87" s="437"/>
      <c r="R87" s="437"/>
      <c r="S87" s="437"/>
      <c r="T87" s="437"/>
      <c r="U87" s="438"/>
    </row>
    <row r="88" spans="1:21" x14ac:dyDescent="0.25">
      <c r="A88" s="75">
        <f t="shared" si="11"/>
        <v>82</v>
      </c>
      <c r="B88" s="98">
        <v>46109</v>
      </c>
      <c r="C88" s="72">
        <v>8612391</v>
      </c>
      <c r="D88" s="73">
        <v>73218547</v>
      </c>
      <c r="E88" s="74">
        <v>59.9</v>
      </c>
      <c r="F88" s="31">
        <v>903.39</v>
      </c>
      <c r="G88" s="32">
        <f t="shared" si="8"/>
        <v>54113.061000000002</v>
      </c>
      <c r="H88" s="76">
        <v>75336.02</v>
      </c>
      <c r="I88" s="77">
        <f t="shared" si="9"/>
        <v>4512627.5980000002</v>
      </c>
      <c r="J88" s="114" t="s">
        <v>22</v>
      </c>
      <c r="K88" s="422" t="s">
        <v>23</v>
      </c>
      <c r="L88" s="231"/>
      <c r="M88" s="70"/>
      <c r="N88" s="75"/>
      <c r="O88" s="423">
        <v>83.02</v>
      </c>
      <c r="P88" s="424">
        <f t="shared" si="10"/>
        <v>4972.8979999999992</v>
      </c>
      <c r="Q88" s="437"/>
      <c r="R88" s="437"/>
      <c r="S88" s="437"/>
      <c r="T88" s="437"/>
      <c r="U88" s="438"/>
    </row>
    <row r="89" spans="1:21" x14ac:dyDescent="0.25">
      <c r="A89" s="75">
        <f t="shared" si="11"/>
        <v>83</v>
      </c>
      <c r="B89" s="98">
        <v>46109</v>
      </c>
      <c r="C89" s="72">
        <v>8612391</v>
      </c>
      <c r="D89" s="73">
        <v>73222333</v>
      </c>
      <c r="E89" s="74">
        <v>60.35</v>
      </c>
      <c r="F89" s="31">
        <v>903.39</v>
      </c>
      <c r="G89" s="32">
        <f t="shared" si="8"/>
        <v>54519.586499999998</v>
      </c>
      <c r="H89" s="76">
        <v>75336.02</v>
      </c>
      <c r="I89" s="77">
        <f t="shared" si="9"/>
        <v>4546528.807</v>
      </c>
      <c r="J89" s="114" t="s">
        <v>22</v>
      </c>
      <c r="K89" s="422" t="s">
        <v>23</v>
      </c>
      <c r="L89" s="231"/>
      <c r="M89" s="70"/>
      <c r="N89" s="75"/>
      <c r="O89" s="423">
        <v>83.02</v>
      </c>
      <c r="P89" s="424">
        <f t="shared" si="10"/>
        <v>5010.2569999999996</v>
      </c>
      <c r="Q89" s="437"/>
      <c r="R89" s="437"/>
      <c r="S89" s="437"/>
      <c r="T89" s="437"/>
      <c r="U89" s="438"/>
    </row>
    <row r="90" spans="1:21" x14ac:dyDescent="0.25">
      <c r="A90" s="75">
        <f t="shared" si="11"/>
        <v>84</v>
      </c>
      <c r="B90" s="98">
        <v>46109</v>
      </c>
      <c r="C90" s="72">
        <v>8612390</v>
      </c>
      <c r="D90" s="73">
        <v>73223414</v>
      </c>
      <c r="E90" s="74">
        <v>60.6</v>
      </c>
      <c r="F90" s="31">
        <v>903.39</v>
      </c>
      <c r="G90" s="32">
        <f t="shared" si="8"/>
        <v>54745.434000000001</v>
      </c>
      <c r="H90" s="76">
        <v>75336.02</v>
      </c>
      <c r="I90" s="77">
        <f t="shared" si="9"/>
        <v>4565362.8119999999</v>
      </c>
      <c r="J90" s="114" t="s">
        <v>22</v>
      </c>
      <c r="K90" s="422" t="s">
        <v>23</v>
      </c>
      <c r="L90" s="231"/>
      <c r="M90" s="70"/>
      <c r="N90" s="75"/>
      <c r="O90" s="423">
        <v>83.02</v>
      </c>
      <c r="P90" s="424">
        <f t="shared" si="10"/>
        <v>5031.0119999999997</v>
      </c>
      <c r="Q90" s="437"/>
      <c r="R90" s="437"/>
      <c r="S90" s="437"/>
      <c r="T90" s="437"/>
      <c r="U90" s="438"/>
    </row>
    <row r="91" spans="1:21" x14ac:dyDescent="0.25">
      <c r="A91" s="75">
        <f t="shared" si="11"/>
        <v>85</v>
      </c>
      <c r="B91" s="98">
        <v>46109</v>
      </c>
      <c r="C91" s="72">
        <v>8612389</v>
      </c>
      <c r="D91" s="73">
        <v>73224016</v>
      </c>
      <c r="E91" s="74">
        <v>60.45</v>
      </c>
      <c r="F91" s="31">
        <v>903.39</v>
      </c>
      <c r="G91" s="32">
        <f t="shared" si="8"/>
        <v>54609.925500000005</v>
      </c>
      <c r="H91" s="76">
        <v>75336.02</v>
      </c>
      <c r="I91" s="77">
        <f t="shared" si="9"/>
        <v>4554062.4090000009</v>
      </c>
      <c r="J91" s="114" t="s">
        <v>22</v>
      </c>
      <c r="K91" s="422" t="s">
        <v>23</v>
      </c>
      <c r="L91" s="231"/>
      <c r="M91" s="70"/>
      <c r="N91" s="75"/>
      <c r="O91" s="423">
        <v>83.02</v>
      </c>
      <c r="P91" s="424">
        <f t="shared" si="10"/>
        <v>5018.5590000000002</v>
      </c>
      <c r="Q91" s="437"/>
      <c r="R91" s="437"/>
      <c r="S91" s="437"/>
      <c r="T91" s="437"/>
      <c r="U91" s="438"/>
    </row>
    <row r="92" spans="1:21" x14ac:dyDescent="0.25">
      <c r="A92" s="75">
        <f t="shared" si="11"/>
        <v>86</v>
      </c>
      <c r="B92" s="98">
        <v>46109</v>
      </c>
      <c r="C92" s="72">
        <v>8612389</v>
      </c>
      <c r="D92" s="73">
        <v>73224172</v>
      </c>
      <c r="E92" s="74">
        <v>60.3</v>
      </c>
      <c r="F92" s="31">
        <v>903.39</v>
      </c>
      <c r="G92" s="32">
        <f t="shared" si="8"/>
        <v>54474.416999999994</v>
      </c>
      <c r="H92" s="76">
        <v>75336.02</v>
      </c>
      <c r="I92" s="77">
        <f t="shared" si="9"/>
        <v>4542762.0060000001</v>
      </c>
      <c r="J92" s="114" t="s">
        <v>22</v>
      </c>
      <c r="K92" s="422" t="s">
        <v>23</v>
      </c>
      <c r="L92" s="231"/>
      <c r="M92" s="70"/>
      <c r="N92" s="75"/>
      <c r="O92" s="423">
        <v>83.02</v>
      </c>
      <c r="P92" s="424">
        <f t="shared" si="10"/>
        <v>5006.1059999999998</v>
      </c>
      <c r="Q92" s="437"/>
      <c r="R92" s="437"/>
      <c r="S92" s="437"/>
      <c r="T92" s="437"/>
      <c r="U92" s="438"/>
    </row>
    <row r="93" spans="1:21" x14ac:dyDescent="0.25">
      <c r="A93" s="75">
        <f t="shared" si="11"/>
        <v>87</v>
      </c>
      <c r="B93" s="98">
        <v>46109</v>
      </c>
      <c r="C93" s="72">
        <v>8612391</v>
      </c>
      <c r="D93" s="73">
        <v>73227878</v>
      </c>
      <c r="E93" s="74">
        <v>60.35</v>
      </c>
      <c r="F93" s="31">
        <v>903.39</v>
      </c>
      <c r="G93" s="32">
        <f t="shared" si="8"/>
        <v>54519.586499999998</v>
      </c>
      <c r="H93" s="76">
        <v>75336.02</v>
      </c>
      <c r="I93" s="77">
        <f t="shared" si="9"/>
        <v>4546528.807</v>
      </c>
      <c r="J93" s="114" t="s">
        <v>22</v>
      </c>
      <c r="K93" s="422" t="s">
        <v>23</v>
      </c>
      <c r="L93" s="231"/>
      <c r="M93" s="70"/>
      <c r="N93" s="75"/>
      <c r="O93" s="423">
        <v>83.02</v>
      </c>
      <c r="P93" s="424">
        <f t="shared" si="10"/>
        <v>5010.2569999999996</v>
      </c>
      <c r="Q93" s="437"/>
      <c r="R93" s="437"/>
      <c r="S93" s="437"/>
      <c r="T93" s="437"/>
      <c r="U93" s="438"/>
    </row>
    <row r="94" spans="1:21" x14ac:dyDescent="0.25">
      <c r="A94" s="75">
        <f t="shared" si="11"/>
        <v>88</v>
      </c>
      <c r="B94" s="98">
        <v>46109</v>
      </c>
      <c r="C94" s="72">
        <v>8612390</v>
      </c>
      <c r="D94" s="73">
        <v>73229981</v>
      </c>
      <c r="E94" s="74">
        <v>60.25</v>
      </c>
      <c r="F94" s="31">
        <v>903.39</v>
      </c>
      <c r="G94" s="32">
        <f t="shared" si="8"/>
        <v>54429.247499999998</v>
      </c>
      <c r="H94" s="76">
        <v>75336.02</v>
      </c>
      <c r="I94" s="77">
        <f t="shared" si="9"/>
        <v>4538995.2050000001</v>
      </c>
      <c r="J94" s="114" t="s">
        <v>22</v>
      </c>
      <c r="K94" s="422" t="s">
        <v>23</v>
      </c>
      <c r="L94" s="231"/>
      <c r="M94" s="70"/>
      <c r="N94" s="75"/>
      <c r="O94" s="423">
        <v>83.02</v>
      </c>
      <c r="P94" s="424">
        <f t="shared" si="10"/>
        <v>5001.9549999999999</v>
      </c>
      <c r="Q94" s="437"/>
      <c r="R94" s="437"/>
      <c r="S94" s="437"/>
      <c r="T94" s="437"/>
      <c r="U94" s="438"/>
    </row>
    <row r="95" spans="1:21" x14ac:dyDescent="0.25">
      <c r="A95" s="75">
        <f t="shared" si="11"/>
        <v>89</v>
      </c>
      <c r="B95" s="98">
        <v>46109</v>
      </c>
      <c r="C95" s="72">
        <v>8612390</v>
      </c>
      <c r="D95" s="73">
        <v>73230013</v>
      </c>
      <c r="E95" s="74">
        <v>60.55</v>
      </c>
      <c r="F95" s="31">
        <v>903.39</v>
      </c>
      <c r="G95" s="32">
        <f t="shared" si="8"/>
        <v>54700.264499999997</v>
      </c>
      <c r="H95" s="76">
        <v>75336.02</v>
      </c>
      <c r="I95" s="77">
        <f t="shared" si="9"/>
        <v>4561596.0109999999</v>
      </c>
      <c r="J95" s="114" t="s">
        <v>22</v>
      </c>
      <c r="K95" s="422" t="s">
        <v>23</v>
      </c>
      <c r="L95" s="231"/>
      <c r="M95" s="70"/>
      <c r="N95" s="75"/>
      <c r="O95" s="423">
        <v>83.02</v>
      </c>
      <c r="P95" s="424">
        <f t="shared" si="10"/>
        <v>5026.8609999999999</v>
      </c>
      <c r="Q95" s="437"/>
      <c r="R95" s="437"/>
      <c r="S95" s="437"/>
      <c r="T95" s="437"/>
      <c r="U95" s="438"/>
    </row>
    <row r="96" spans="1:21" x14ac:dyDescent="0.25">
      <c r="A96" s="75">
        <f t="shared" si="11"/>
        <v>90</v>
      </c>
      <c r="B96" s="98">
        <v>46109</v>
      </c>
      <c r="C96" s="72">
        <v>8612391</v>
      </c>
      <c r="D96" s="73">
        <v>73230039</v>
      </c>
      <c r="E96" s="74">
        <v>60.35</v>
      </c>
      <c r="F96" s="31">
        <v>903.39</v>
      </c>
      <c r="G96" s="32">
        <f t="shared" si="8"/>
        <v>54519.586499999998</v>
      </c>
      <c r="H96" s="76">
        <v>75336.02</v>
      </c>
      <c r="I96" s="77">
        <f t="shared" si="9"/>
        <v>4546528.807</v>
      </c>
      <c r="J96" s="114" t="s">
        <v>22</v>
      </c>
      <c r="K96" s="422" t="s">
        <v>23</v>
      </c>
      <c r="L96" s="231"/>
      <c r="M96" s="70"/>
      <c r="N96" s="75"/>
      <c r="O96" s="423">
        <v>83.02</v>
      </c>
      <c r="P96" s="424">
        <f t="shared" si="10"/>
        <v>5010.2569999999996</v>
      </c>
      <c r="Q96" s="437"/>
      <c r="R96" s="437"/>
      <c r="S96" s="437"/>
      <c r="T96" s="437"/>
      <c r="U96" s="438"/>
    </row>
    <row r="97" spans="1:23" x14ac:dyDescent="0.25">
      <c r="A97" s="75">
        <f t="shared" si="11"/>
        <v>91</v>
      </c>
      <c r="B97" s="98">
        <v>46109</v>
      </c>
      <c r="C97" s="72">
        <v>8612390</v>
      </c>
      <c r="D97" s="73">
        <v>73230047</v>
      </c>
      <c r="E97" s="74">
        <v>60.55</v>
      </c>
      <c r="F97" s="31">
        <v>903.39</v>
      </c>
      <c r="G97" s="32">
        <f t="shared" si="8"/>
        <v>54700.264499999997</v>
      </c>
      <c r="H97" s="76">
        <v>75336.02</v>
      </c>
      <c r="I97" s="77">
        <f t="shared" si="9"/>
        <v>4561596.0109999999</v>
      </c>
      <c r="J97" s="114" t="s">
        <v>22</v>
      </c>
      <c r="K97" s="422" t="s">
        <v>23</v>
      </c>
      <c r="L97" s="231"/>
      <c r="M97" s="70"/>
      <c r="N97" s="75"/>
      <c r="O97" s="423">
        <v>83.02</v>
      </c>
      <c r="P97" s="424">
        <f t="shared" si="10"/>
        <v>5026.8609999999999</v>
      </c>
      <c r="Q97" s="437"/>
      <c r="R97" s="437"/>
      <c r="S97" s="437"/>
      <c r="T97" s="437"/>
      <c r="U97" s="438"/>
    </row>
    <row r="98" spans="1:23" x14ac:dyDescent="0.25">
      <c r="A98" s="75">
        <f t="shared" si="11"/>
        <v>92</v>
      </c>
      <c r="B98" s="98">
        <v>46109</v>
      </c>
      <c r="C98" s="72">
        <v>8612389</v>
      </c>
      <c r="D98" s="73">
        <v>73233447</v>
      </c>
      <c r="E98" s="74">
        <v>60.55</v>
      </c>
      <c r="F98" s="31">
        <v>903.39</v>
      </c>
      <c r="G98" s="32">
        <f t="shared" si="8"/>
        <v>54700.264499999997</v>
      </c>
      <c r="H98" s="76">
        <v>75336.02</v>
      </c>
      <c r="I98" s="77">
        <f t="shared" si="9"/>
        <v>4561596.0109999999</v>
      </c>
      <c r="J98" s="114" t="s">
        <v>22</v>
      </c>
      <c r="K98" s="422" t="s">
        <v>23</v>
      </c>
      <c r="L98" s="231"/>
      <c r="M98" s="70"/>
      <c r="N98" s="75"/>
      <c r="O98" s="423">
        <v>83.02</v>
      </c>
      <c r="P98" s="424">
        <f t="shared" si="10"/>
        <v>5026.8609999999999</v>
      </c>
      <c r="Q98" s="437"/>
      <c r="R98" s="437"/>
      <c r="S98" s="437"/>
      <c r="T98" s="437"/>
      <c r="U98" s="438"/>
    </row>
    <row r="99" spans="1:23" x14ac:dyDescent="0.25">
      <c r="A99" s="75">
        <f t="shared" si="11"/>
        <v>93</v>
      </c>
      <c r="B99" s="98">
        <v>46109</v>
      </c>
      <c r="C99" s="72">
        <v>8612389</v>
      </c>
      <c r="D99" s="73">
        <v>73241556</v>
      </c>
      <c r="E99" s="74">
        <v>60.25</v>
      </c>
      <c r="F99" s="31">
        <v>903.39</v>
      </c>
      <c r="G99" s="32">
        <f t="shared" si="8"/>
        <v>54429.247499999998</v>
      </c>
      <c r="H99" s="76">
        <v>75336.02</v>
      </c>
      <c r="I99" s="77">
        <f t="shared" si="9"/>
        <v>4538995.2050000001</v>
      </c>
      <c r="J99" s="114" t="s">
        <v>22</v>
      </c>
      <c r="K99" s="422" t="s">
        <v>23</v>
      </c>
      <c r="L99" s="231"/>
      <c r="M99" s="70"/>
      <c r="N99" s="75"/>
      <c r="O99" s="423">
        <v>83.02</v>
      </c>
      <c r="P99" s="424">
        <f t="shared" si="10"/>
        <v>5001.9549999999999</v>
      </c>
      <c r="Q99" s="437"/>
      <c r="R99" s="437"/>
      <c r="S99" s="437"/>
      <c r="T99" s="437"/>
      <c r="U99" s="438"/>
    </row>
    <row r="100" spans="1:23" x14ac:dyDescent="0.25">
      <c r="A100" s="75">
        <f t="shared" si="11"/>
        <v>94</v>
      </c>
      <c r="B100" s="98">
        <v>46109</v>
      </c>
      <c r="C100" s="72">
        <v>8612393</v>
      </c>
      <c r="D100" s="73">
        <v>74963836</v>
      </c>
      <c r="E100" s="74">
        <v>59.85</v>
      </c>
      <c r="F100" s="31">
        <v>903.39</v>
      </c>
      <c r="G100" s="32">
        <f t="shared" si="8"/>
        <v>54067.891499999998</v>
      </c>
      <c r="H100" s="76">
        <v>75336.02</v>
      </c>
      <c r="I100" s="77">
        <f t="shared" si="9"/>
        <v>4508860.7970000003</v>
      </c>
      <c r="J100" s="114" t="s">
        <v>22</v>
      </c>
      <c r="K100" s="422" t="s">
        <v>23</v>
      </c>
      <c r="L100" s="231"/>
      <c r="M100" s="70"/>
      <c r="N100" s="75"/>
      <c r="O100" s="423">
        <v>83.02</v>
      </c>
      <c r="P100" s="424">
        <f t="shared" si="10"/>
        <v>4968.7470000000003</v>
      </c>
      <c r="Q100" s="437"/>
      <c r="R100" s="437"/>
      <c r="S100" s="437"/>
      <c r="T100" s="437"/>
      <c r="U100" s="438"/>
    </row>
    <row r="101" spans="1:23" x14ac:dyDescent="0.25">
      <c r="A101" s="75">
        <f t="shared" si="11"/>
        <v>95</v>
      </c>
      <c r="B101" s="98">
        <v>46109</v>
      </c>
      <c r="C101" s="72">
        <v>8612391</v>
      </c>
      <c r="D101" s="73">
        <v>75260125</v>
      </c>
      <c r="E101" s="74">
        <v>60.6</v>
      </c>
      <c r="F101" s="31">
        <v>903.39</v>
      </c>
      <c r="G101" s="32">
        <f t="shared" si="8"/>
        <v>54745.434000000001</v>
      </c>
      <c r="H101" s="76">
        <v>75336.02</v>
      </c>
      <c r="I101" s="77">
        <f t="shared" si="9"/>
        <v>4565362.8119999999</v>
      </c>
      <c r="J101" s="114" t="s">
        <v>22</v>
      </c>
      <c r="K101" s="422" t="s">
        <v>23</v>
      </c>
      <c r="L101" s="231"/>
      <c r="M101" s="70"/>
      <c r="N101" s="75"/>
      <c r="O101" s="423">
        <v>83.02</v>
      </c>
      <c r="P101" s="424">
        <f t="shared" si="10"/>
        <v>5031.0119999999997</v>
      </c>
      <c r="Q101" s="437"/>
      <c r="R101" s="437"/>
      <c r="S101" s="437"/>
      <c r="T101" s="437"/>
      <c r="U101" s="438"/>
    </row>
    <row r="102" spans="1:23" x14ac:dyDescent="0.25">
      <c r="A102" s="75">
        <f t="shared" si="11"/>
        <v>96</v>
      </c>
      <c r="B102" s="98">
        <v>46109</v>
      </c>
      <c r="C102" s="72">
        <v>8612389</v>
      </c>
      <c r="D102" s="73">
        <v>75721993</v>
      </c>
      <c r="E102" s="74">
        <v>60.55</v>
      </c>
      <c r="F102" s="31">
        <v>903.39</v>
      </c>
      <c r="G102" s="32">
        <f t="shared" si="8"/>
        <v>54700.264499999997</v>
      </c>
      <c r="H102" s="76">
        <v>75336.02</v>
      </c>
      <c r="I102" s="77">
        <f t="shared" si="9"/>
        <v>4561596.0109999999</v>
      </c>
      <c r="J102" s="114" t="s">
        <v>22</v>
      </c>
      <c r="K102" s="422" t="s">
        <v>23</v>
      </c>
      <c r="L102" s="231"/>
      <c r="M102" s="70"/>
      <c r="N102" s="75"/>
      <c r="O102" s="423">
        <v>83.02</v>
      </c>
      <c r="P102" s="424">
        <f t="shared" si="10"/>
        <v>5026.8609999999999</v>
      </c>
      <c r="Q102" s="437"/>
      <c r="R102" s="437"/>
      <c r="S102" s="437"/>
      <c r="T102" s="437"/>
      <c r="U102" s="438"/>
    </row>
    <row r="103" spans="1:23" x14ac:dyDescent="0.25">
      <c r="A103" s="75">
        <f t="shared" si="11"/>
        <v>97</v>
      </c>
      <c r="B103" s="98">
        <v>46109</v>
      </c>
      <c r="C103" s="72">
        <v>8612390</v>
      </c>
      <c r="D103" s="73">
        <v>76527795</v>
      </c>
      <c r="E103" s="74">
        <v>60.6</v>
      </c>
      <c r="F103" s="31">
        <v>903.39</v>
      </c>
      <c r="G103" s="32">
        <f t="shared" si="8"/>
        <v>54745.434000000001</v>
      </c>
      <c r="H103" s="76">
        <v>75336.02</v>
      </c>
      <c r="I103" s="77">
        <f t="shared" si="9"/>
        <v>4565362.8119999999</v>
      </c>
      <c r="J103" s="114" t="s">
        <v>22</v>
      </c>
      <c r="K103" s="422" t="s">
        <v>23</v>
      </c>
      <c r="L103" s="231"/>
      <c r="M103" s="70"/>
      <c r="N103" s="75"/>
      <c r="O103" s="423">
        <v>83.02</v>
      </c>
      <c r="P103" s="424">
        <f t="shared" si="10"/>
        <v>5031.0119999999997</v>
      </c>
      <c r="Q103" s="437"/>
      <c r="R103" s="437"/>
      <c r="S103" s="437"/>
      <c r="T103" s="437"/>
      <c r="U103" s="438"/>
    </row>
    <row r="104" spans="1:23" ht="15.75" thickBot="1" x14ac:dyDescent="0.3">
      <c r="A104" s="105">
        <f t="shared" si="11"/>
        <v>98</v>
      </c>
      <c r="B104" s="135">
        <v>46109</v>
      </c>
      <c r="C104" s="102">
        <v>8612390</v>
      </c>
      <c r="D104" s="103">
        <v>76575794</v>
      </c>
      <c r="E104" s="104">
        <v>60.65</v>
      </c>
      <c r="F104" s="31">
        <v>903.39</v>
      </c>
      <c r="G104" s="33">
        <f t="shared" si="8"/>
        <v>54790.603499999997</v>
      </c>
      <c r="H104" s="107">
        <v>75336.02</v>
      </c>
      <c r="I104" s="108">
        <f t="shared" si="9"/>
        <v>4569129.6129999999</v>
      </c>
      <c r="J104" s="137" t="s">
        <v>22</v>
      </c>
      <c r="K104" s="425" t="s">
        <v>23</v>
      </c>
      <c r="L104" s="232"/>
      <c r="M104" s="80"/>
      <c r="N104" s="88"/>
      <c r="O104" s="426">
        <v>83.02</v>
      </c>
      <c r="P104" s="427">
        <f t="shared" si="10"/>
        <v>5035.1629999999996</v>
      </c>
      <c r="Q104" s="440"/>
      <c r="R104" s="440"/>
      <c r="S104" s="440"/>
      <c r="T104" s="440"/>
      <c r="U104" s="441"/>
    </row>
    <row r="105" spans="1:23" ht="15.75" thickBot="1" x14ac:dyDescent="0.3">
      <c r="A105" s="233"/>
      <c r="B105" s="234"/>
      <c r="C105" s="234"/>
      <c r="D105" s="234"/>
      <c r="E105" s="428">
        <f>SUM(E47:E104)</f>
        <v>3423.9500000000003</v>
      </c>
      <c r="F105" s="428"/>
      <c r="G105" s="428">
        <f>SUM(G47:G104)</f>
        <v>3093162.1905</v>
      </c>
      <c r="H105" s="428"/>
      <c r="I105" s="428">
        <f>SUM(I47:I104)</f>
        <v>257946765.67900023</v>
      </c>
      <c r="J105" s="428"/>
      <c r="K105" s="429"/>
      <c r="L105" s="430"/>
      <c r="M105" s="431"/>
      <c r="N105" s="432"/>
      <c r="O105" s="432"/>
      <c r="P105" s="432">
        <f>SUM(P47:P104)</f>
        <v>284256.32899999997</v>
      </c>
      <c r="Q105" s="432"/>
      <c r="R105" s="432"/>
      <c r="S105" s="432"/>
      <c r="T105" s="432"/>
      <c r="U105" s="433"/>
    </row>
    <row r="106" spans="1:23" x14ac:dyDescent="0.25">
      <c r="A106" s="207">
        <v>99</v>
      </c>
      <c r="B106" s="71">
        <v>46111</v>
      </c>
      <c r="C106" s="151">
        <v>8612472</v>
      </c>
      <c r="D106" s="152">
        <v>50414085</v>
      </c>
      <c r="E106" s="153">
        <v>60</v>
      </c>
      <c r="F106" s="32">
        <v>903.39</v>
      </c>
      <c r="G106" s="32">
        <f t="shared" ref="G106:G134" si="12">E106*F106</f>
        <v>54203.4</v>
      </c>
      <c r="H106" s="190">
        <v>75336.02</v>
      </c>
      <c r="I106" s="77">
        <f t="shared" ref="I106:I134" si="13">E106*H106</f>
        <v>4520161.2</v>
      </c>
      <c r="J106" s="212" t="s">
        <v>22</v>
      </c>
      <c r="K106" s="434" t="s">
        <v>23</v>
      </c>
      <c r="L106" s="230"/>
      <c r="M106" s="57"/>
      <c r="N106" s="68"/>
      <c r="O106" s="420">
        <v>83.02</v>
      </c>
      <c r="P106" s="421">
        <f t="shared" ref="P106:P134" si="14">E106*O106</f>
        <v>4981.2</v>
      </c>
      <c r="Q106" s="435"/>
      <c r="R106" s="435"/>
      <c r="S106" s="435"/>
      <c r="T106" s="435"/>
      <c r="U106" s="436"/>
      <c r="W106" s="74"/>
    </row>
    <row r="107" spans="1:23" x14ac:dyDescent="0.25">
      <c r="A107" s="70">
        <f>A106+1</f>
        <v>100</v>
      </c>
      <c r="B107" s="98">
        <v>46111</v>
      </c>
      <c r="C107" s="72">
        <v>8612471</v>
      </c>
      <c r="D107" s="73">
        <v>51528214</v>
      </c>
      <c r="E107" s="74">
        <v>51.75</v>
      </c>
      <c r="F107" s="31">
        <v>903.39</v>
      </c>
      <c r="G107" s="32">
        <f t="shared" si="12"/>
        <v>46750.432500000003</v>
      </c>
      <c r="H107" s="76">
        <v>75336.02</v>
      </c>
      <c r="I107" s="77">
        <f t="shared" si="13"/>
        <v>3898639.0350000001</v>
      </c>
      <c r="J107" s="114" t="s">
        <v>22</v>
      </c>
      <c r="K107" s="422" t="s">
        <v>23</v>
      </c>
      <c r="L107" s="231"/>
      <c r="M107" s="70"/>
      <c r="N107" s="75"/>
      <c r="O107" s="423">
        <v>83.02</v>
      </c>
      <c r="P107" s="424">
        <f t="shared" si="14"/>
        <v>4296.2849999999999</v>
      </c>
      <c r="Q107" s="437"/>
      <c r="R107" s="437"/>
      <c r="S107" s="437"/>
      <c r="T107" s="437"/>
      <c r="U107" s="438"/>
      <c r="W107" s="74"/>
    </row>
    <row r="108" spans="1:23" x14ac:dyDescent="0.25">
      <c r="A108" s="70">
        <f t="shared" ref="A108:A134" si="15">A107+1</f>
        <v>101</v>
      </c>
      <c r="B108" s="98">
        <v>46111</v>
      </c>
      <c r="C108" s="72">
        <v>8612471</v>
      </c>
      <c r="D108" s="73">
        <v>73102147</v>
      </c>
      <c r="E108" s="74">
        <v>60.45</v>
      </c>
      <c r="F108" s="31">
        <v>903.39</v>
      </c>
      <c r="G108" s="32">
        <f t="shared" si="12"/>
        <v>54609.925500000005</v>
      </c>
      <c r="H108" s="76">
        <v>75336.02</v>
      </c>
      <c r="I108" s="77">
        <f t="shared" si="13"/>
        <v>4554062.4090000009</v>
      </c>
      <c r="J108" s="114" t="s">
        <v>22</v>
      </c>
      <c r="K108" s="422" t="s">
        <v>23</v>
      </c>
      <c r="L108" s="231"/>
      <c r="M108" s="70"/>
      <c r="N108" s="75"/>
      <c r="O108" s="423">
        <v>83.02</v>
      </c>
      <c r="P108" s="424">
        <f t="shared" si="14"/>
        <v>5018.5590000000002</v>
      </c>
      <c r="Q108" s="437"/>
      <c r="R108" s="437"/>
      <c r="S108" s="437"/>
      <c r="T108" s="437"/>
      <c r="U108" s="438"/>
      <c r="W108" s="74"/>
    </row>
    <row r="109" spans="1:23" x14ac:dyDescent="0.25">
      <c r="A109" s="70">
        <f t="shared" si="15"/>
        <v>102</v>
      </c>
      <c r="B109" s="98">
        <v>46111</v>
      </c>
      <c r="C109" s="72">
        <v>8612471</v>
      </c>
      <c r="D109" s="73">
        <v>73126328</v>
      </c>
      <c r="E109" s="74">
        <v>60.5</v>
      </c>
      <c r="F109" s="31">
        <v>903.39</v>
      </c>
      <c r="G109" s="32">
        <f t="shared" si="12"/>
        <v>54655.095000000001</v>
      </c>
      <c r="H109" s="76">
        <v>75336.02</v>
      </c>
      <c r="I109" s="77">
        <f t="shared" si="13"/>
        <v>4557829.21</v>
      </c>
      <c r="J109" s="114" t="s">
        <v>22</v>
      </c>
      <c r="K109" s="422" t="s">
        <v>23</v>
      </c>
      <c r="L109" s="231"/>
      <c r="M109" s="70"/>
      <c r="N109" s="75"/>
      <c r="O109" s="423">
        <v>83.02</v>
      </c>
      <c r="P109" s="424">
        <f t="shared" si="14"/>
        <v>5022.71</v>
      </c>
      <c r="Q109" s="437"/>
      <c r="R109" s="437"/>
      <c r="S109" s="437"/>
      <c r="T109" s="437"/>
      <c r="U109" s="438"/>
      <c r="W109" s="74"/>
    </row>
    <row r="110" spans="1:23" x14ac:dyDescent="0.25">
      <c r="A110" s="70">
        <f t="shared" si="15"/>
        <v>103</v>
      </c>
      <c r="B110" s="98">
        <v>46111</v>
      </c>
      <c r="C110" s="72">
        <v>8612472</v>
      </c>
      <c r="D110" s="73">
        <v>73135568</v>
      </c>
      <c r="E110" s="74">
        <v>60.45</v>
      </c>
      <c r="F110" s="31">
        <v>903.39</v>
      </c>
      <c r="G110" s="32">
        <f t="shared" si="12"/>
        <v>54609.925500000005</v>
      </c>
      <c r="H110" s="76">
        <v>75336.02</v>
      </c>
      <c r="I110" s="77">
        <f t="shared" si="13"/>
        <v>4554062.4090000009</v>
      </c>
      <c r="J110" s="114" t="s">
        <v>22</v>
      </c>
      <c r="K110" s="422" t="s">
        <v>23</v>
      </c>
      <c r="L110" s="231"/>
      <c r="M110" s="70"/>
      <c r="N110" s="75"/>
      <c r="O110" s="423">
        <v>83.02</v>
      </c>
      <c r="P110" s="424">
        <f t="shared" si="14"/>
        <v>5018.5590000000002</v>
      </c>
      <c r="Q110" s="437"/>
      <c r="R110" s="437"/>
      <c r="S110" s="437"/>
      <c r="T110" s="437"/>
      <c r="U110" s="438"/>
      <c r="W110" s="74"/>
    </row>
    <row r="111" spans="1:23" x14ac:dyDescent="0.25">
      <c r="A111" s="70">
        <f t="shared" si="15"/>
        <v>104</v>
      </c>
      <c r="B111" s="98">
        <v>46111</v>
      </c>
      <c r="C111" s="72">
        <v>8612471</v>
      </c>
      <c r="D111" s="73">
        <v>73172983</v>
      </c>
      <c r="E111" s="74">
        <v>60.5</v>
      </c>
      <c r="F111" s="31">
        <v>903.39</v>
      </c>
      <c r="G111" s="32">
        <f t="shared" si="12"/>
        <v>54655.095000000001</v>
      </c>
      <c r="H111" s="76">
        <v>75336.02</v>
      </c>
      <c r="I111" s="77">
        <f t="shared" si="13"/>
        <v>4557829.21</v>
      </c>
      <c r="J111" s="114" t="s">
        <v>22</v>
      </c>
      <c r="K111" s="422" t="s">
        <v>23</v>
      </c>
      <c r="L111" s="231"/>
      <c r="M111" s="70"/>
      <c r="N111" s="75"/>
      <c r="O111" s="423">
        <v>83.02</v>
      </c>
      <c r="P111" s="424">
        <f t="shared" si="14"/>
        <v>5022.71</v>
      </c>
      <c r="Q111" s="437"/>
      <c r="R111" s="437"/>
      <c r="S111" s="437"/>
      <c r="T111" s="437"/>
      <c r="U111" s="438"/>
      <c r="W111" s="74"/>
    </row>
    <row r="112" spans="1:23" x14ac:dyDescent="0.25">
      <c r="A112" s="70">
        <f t="shared" si="15"/>
        <v>105</v>
      </c>
      <c r="B112" s="98">
        <v>46111</v>
      </c>
      <c r="C112" s="72">
        <v>8612471</v>
      </c>
      <c r="D112" s="73">
        <v>73173650</v>
      </c>
      <c r="E112" s="74">
        <v>60.5</v>
      </c>
      <c r="F112" s="31">
        <v>903.39</v>
      </c>
      <c r="G112" s="32">
        <f t="shared" si="12"/>
        <v>54655.095000000001</v>
      </c>
      <c r="H112" s="76">
        <v>75336.02</v>
      </c>
      <c r="I112" s="77">
        <f t="shared" si="13"/>
        <v>4557829.21</v>
      </c>
      <c r="J112" s="114" t="s">
        <v>22</v>
      </c>
      <c r="K112" s="422" t="s">
        <v>23</v>
      </c>
      <c r="L112" s="231"/>
      <c r="M112" s="70"/>
      <c r="N112" s="75"/>
      <c r="O112" s="423">
        <v>83.02</v>
      </c>
      <c r="P112" s="424">
        <f t="shared" si="14"/>
        <v>5022.71</v>
      </c>
      <c r="Q112" s="437"/>
      <c r="R112" s="437"/>
      <c r="S112" s="437"/>
      <c r="T112" s="437"/>
      <c r="U112" s="438"/>
      <c r="W112" s="74"/>
    </row>
    <row r="113" spans="1:23" x14ac:dyDescent="0.25">
      <c r="A113" s="70">
        <f t="shared" si="15"/>
        <v>106</v>
      </c>
      <c r="B113" s="98">
        <v>46111</v>
      </c>
      <c r="C113" s="72">
        <v>8612471</v>
      </c>
      <c r="D113" s="73">
        <v>73176737</v>
      </c>
      <c r="E113" s="74">
        <v>60.35</v>
      </c>
      <c r="F113" s="31">
        <v>903.39</v>
      </c>
      <c r="G113" s="32">
        <f t="shared" si="12"/>
        <v>54519.586499999998</v>
      </c>
      <c r="H113" s="76">
        <v>75336.02</v>
      </c>
      <c r="I113" s="77">
        <f t="shared" si="13"/>
        <v>4546528.807</v>
      </c>
      <c r="J113" s="114" t="s">
        <v>22</v>
      </c>
      <c r="K113" s="422" t="s">
        <v>23</v>
      </c>
      <c r="L113" s="231"/>
      <c r="M113" s="70"/>
      <c r="N113" s="75"/>
      <c r="O113" s="423">
        <v>83.02</v>
      </c>
      <c r="P113" s="424">
        <f t="shared" si="14"/>
        <v>5010.2569999999996</v>
      </c>
      <c r="Q113" s="437"/>
      <c r="R113" s="437"/>
      <c r="S113" s="437"/>
      <c r="T113" s="437"/>
      <c r="U113" s="438"/>
      <c r="W113" s="74"/>
    </row>
    <row r="114" spans="1:23" x14ac:dyDescent="0.25">
      <c r="A114" s="70">
        <f t="shared" si="15"/>
        <v>107</v>
      </c>
      <c r="B114" s="98">
        <v>46111</v>
      </c>
      <c r="C114" s="72">
        <v>8612472</v>
      </c>
      <c r="D114" s="73">
        <v>73224552</v>
      </c>
      <c r="E114" s="74">
        <v>60.45</v>
      </c>
      <c r="F114" s="31">
        <v>903.39</v>
      </c>
      <c r="G114" s="32">
        <f t="shared" si="12"/>
        <v>54609.925500000005</v>
      </c>
      <c r="H114" s="76">
        <v>75336.02</v>
      </c>
      <c r="I114" s="77">
        <f t="shared" si="13"/>
        <v>4554062.4090000009</v>
      </c>
      <c r="J114" s="114" t="s">
        <v>22</v>
      </c>
      <c r="K114" s="422" t="s">
        <v>23</v>
      </c>
      <c r="L114" s="231"/>
      <c r="M114" s="70"/>
      <c r="N114" s="75"/>
      <c r="O114" s="423">
        <v>83.02</v>
      </c>
      <c r="P114" s="424">
        <f t="shared" si="14"/>
        <v>5018.5590000000002</v>
      </c>
      <c r="Q114" s="437"/>
      <c r="R114" s="437"/>
      <c r="S114" s="437"/>
      <c r="T114" s="437"/>
      <c r="U114" s="438"/>
      <c r="W114" s="74"/>
    </row>
    <row r="115" spans="1:23" x14ac:dyDescent="0.25">
      <c r="A115" s="70">
        <f t="shared" si="15"/>
        <v>108</v>
      </c>
      <c r="B115" s="98">
        <v>46111</v>
      </c>
      <c r="C115" s="72">
        <v>8612472</v>
      </c>
      <c r="D115" s="73">
        <v>73224644</v>
      </c>
      <c r="E115" s="74">
        <v>60.5</v>
      </c>
      <c r="F115" s="31">
        <v>903.39</v>
      </c>
      <c r="G115" s="32">
        <f t="shared" si="12"/>
        <v>54655.095000000001</v>
      </c>
      <c r="H115" s="76">
        <v>75336.02</v>
      </c>
      <c r="I115" s="77">
        <f t="shared" si="13"/>
        <v>4557829.21</v>
      </c>
      <c r="J115" s="114" t="s">
        <v>22</v>
      </c>
      <c r="K115" s="422" t="s">
        <v>23</v>
      </c>
      <c r="L115" s="231"/>
      <c r="M115" s="70"/>
      <c r="N115" s="75"/>
      <c r="O115" s="423">
        <v>83.02</v>
      </c>
      <c r="P115" s="424">
        <f t="shared" si="14"/>
        <v>5022.71</v>
      </c>
      <c r="Q115" s="437"/>
      <c r="R115" s="437"/>
      <c r="S115" s="437"/>
      <c r="T115" s="437"/>
      <c r="U115" s="438"/>
      <c r="W115" s="74"/>
    </row>
    <row r="116" spans="1:23" x14ac:dyDescent="0.25">
      <c r="A116" s="70">
        <f t="shared" si="15"/>
        <v>109</v>
      </c>
      <c r="B116" s="98">
        <v>46111</v>
      </c>
      <c r="C116" s="72">
        <v>8612472</v>
      </c>
      <c r="D116" s="73">
        <v>73228553</v>
      </c>
      <c r="E116" s="74">
        <v>60.55</v>
      </c>
      <c r="F116" s="31">
        <v>903.39</v>
      </c>
      <c r="G116" s="32">
        <f t="shared" si="12"/>
        <v>54700.264499999997</v>
      </c>
      <c r="H116" s="76">
        <v>75336.02</v>
      </c>
      <c r="I116" s="77">
        <f t="shared" si="13"/>
        <v>4561596.0109999999</v>
      </c>
      <c r="J116" s="114" t="s">
        <v>22</v>
      </c>
      <c r="K116" s="422" t="s">
        <v>23</v>
      </c>
      <c r="L116" s="231"/>
      <c r="M116" s="70"/>
      <c r="N116" s="75"/>
      <c r="O116" s="423">
        <v>83.02</v>
      </c>
      <c r="P116" s="424">
        <f t="shared" si="14"/>
        <v>5026.8609999999999</v>
      </c>
      <c r="Q116" s="437"/>
      <c r="R116" s="437"/>
      <c r="S116" s="437"/>
      <c r="T116" s="437"/>
      <c r="U116" s="438"/>
      <c r="W116" s="74"/>
    </row>
    <row r="117" spans="1:23" x14ac:dyDescent="0.25">
      <c r="A117" s="70">
        <f t="shared" si="15"/>
        <v>110</v>
      </c>
      <c r="B117" s="98">
        <v>46111</v>
      </c>
      <c r="C117" s="72">
        <v>8612472</v>
      </c>
      <c r="D117" s="73">
        <v>75330027</v>
      </c>
      <c r="E117" s="74">
        <v>61</v>
      </c>
      <c r="F117" s="31">
        <v>903.39</v>
      </c>
      <c r="G117" s="32">
        <f t="shared" si="12"/>
        <v>55106.79</v>
      </c>
      <c r="H117" s="76">
        <v>75336.02</v>
      </c>
      <c r="I117" s="77">
        <f t="shared" si="13"/>
        <v>4595497.2200000007</v>
      </c>
      <c r="J117" s="114" t="s">
        <v>22</v>
      </c>
      <c r="K117" s="422" t="s">
        <v>23</v>
      </c>
      <c r="L117" s="231"/>
      <c r="M117" s="70"/>
      <c r="N117" s="75"/>
      <c r="O117" s="423">
        <v>83.02</v>
      </c>
      <c r="P117" s="424">
        <f t="shared" si="14"/>
        <v>5064.2199999999993</v>
      </c>
      <c r="Q117" s="437"/>
      <c r="R117" s="437"/>
      <c r="S117" s="437"/>
      <c r="T117" s="437"/>
      <c r="U117" s="438"/>
      <c r="W117" s="74"/>
    </row>
    <row r="118" spans="1:23" x14ac:dyDescent="0.25">
      <c r="A118" s="70">
        <f t="shared" si="15"/>
        <v>111</v>
      </c>
      <c r="B118" s="98">
        <v>46111</v>
      </c>
      <c r="C118" s="72">
        <v>8612471</v>
      </c>
      <c r="D118" s="73">
        <v>75330035</v>
      </c>
      <c r="E118" s="74">
        <v>60.95</v>
      </c>
      <c r="F118" s="31">
        <v>903.39</v>
      </c>
      <c r="G118" s="32">
        <f t="shared" si="12"/>
        <v>55061.620500000005</v>
      </c>
      <c r="H118" s="76">
        <v>75336.02</v>
      </c>
      <c r="I118" s="77">
        <f t="shared" si="13"/>
        <v>4591730.4190000007</v>
      </c>
      <c r="J118" s="114" t="s">
        <v>22</v>
      </c>
      <c r="K118" s="422" t="s">
        <v>23</v>
      </c>
      <c r="L118" s="231"/>
      <c r="M118" s="70"/>
      <c r="N118" s="75"/>
      <c r="O118" s="423">
        <v>83.02</v>
      </c>
      <c r="P118" s="424">
        <f t="shared" si="14"/>
        <v>5060.0690000000004</v>
      </c>
      <c r="Q118" s="437"/>
      <c r="R118" s="437"/>
      <c r="S118" s="437"/>
      <c r="T118" s="437"/>
      <c r="U118" s="438"/>
      <c r="W118" s="74"/>
    </row>
    <row r="119" spans="1:23" x14ac:dyDescent="0.25">
      <c r="A119" s="70">
        <f t="shared" si="15"/>
        <v>112</v>
      </c>
      <c r="B119" s="98">
        <v>46111</v>
      </c>
      <c r="C119" s="72">
        <v>8612472</v>
      </c>
      <c r="D119" s="73">
        <v>75330043</v>
      </c>
      <c r="E119" s="74">
        <v>61</v>
      </c>
      <c r="F119" s="31">
        <v>903.39</v>
      </c>
      <c r="G119" s="32">
        <f t="shared" si="12"/>
        <v>55106.79</v>
      </c>
      <c r="H119" s="76">
        <v>75336.02</v>
      </c>
      <c r="I119" s="77">
        <f t="shared" si="13"/>
        <v>4595497.2200000007</v>
      </c>
      <c r="J119" s="114" t="s">
        <v>22</v>
      </c>
      <c r="K119" s="422" t="s">
        <v>23</v>
      </c>
      <c r="L119" s="231"/>
      <c r="M119" s="70"/>
      <c r="N119" s="75"/>
      <c r="O119" s="423">
        <v>83.02</v>
      </c>
      <c r="P119" s="424">
        <f t="shared" si="14"/>
        <v>5064.2199999999993</v>
      </c>
      <c r="Q119" s="437"/>
      <c r="R119" s="437"/>
      <c r="S119" s="437"/>
      <c r="T119" s="437"/>
      <c r="U119" s="438"/>
      <c r="W119" s="74"/>
    </row>
    <row r="120" spans="1:23" x14ac:dyDescent="0.25">
      <c r="A120" s="70">
        <f t="shared" si="15"/>
        <v>113</v>
      </c>
      <c r="B120" s="98">
        <v>46111</v>
      </c>
      <c r="C120" s="72">
        <v>8612472</v>
      </c>
      <c r="D120" s="73">
        <v>75330100</v>
      </c>
      <c r="E120" s="74">
        <v>61</v>
      </c>
      <c r="F120" s="31">
        <v>903.39</v>
      </c>
      <c r="G120" s="32">
        <f t="shared" si="12"/>
        <v>55106.79</v>
      </c>
      <c r="H120" s="76">
        <v>75336.02</v>
      </c>
      <c r="I120" s="77">
        <f t="shared" si="13"/>
        <v>4595497.2200000007</v>
      </c>
      <c r="J120" s="114" t="s">
        <v>22</v>
      </c>
      <c r="K120" s="422" t="s">
        <v>23</v>
      </c>
      <c r="L120" s="231"/>
      <c r="M120" s="70"/>
      <c r="N120" s="75"/>
      <c r="O120" s="423">
        <v>83.02</v>
      </c>
      <c r="P120" s="424">
        <f t="shared" si="14"/>
        <v>5064.2199999999993</v>
      </c>
      <c r="Q120" s="437"/>
      <c r="R120" s="437"/>
      <c r="S120" s="437"/>
      <c r="T120" s="437"/>
      <c r="U120" s="438"/>
      <c r="W120" s="74"/>
    </row>
    <row r="121" spans="1:23" x14ac:dyDescent="0.25">
      <c r="A121" s="70">
        <f t="shared" si="15"/>
        <v>114</v>
      </c>
      <c r="B121" s="98">
        <v>46111</v>
      </c>
      <c r="C121" s="72">
        <v>8612472</v>
      </c>
      <c r="D121" s="73">
        <v>75330126</v>
      </c>
      <c r="E121" s="74">
        <v>60.95</v>
      </c>
      <c r="F121" s="31">
        <v>903.39</v>
      </c>
      <c r="G121" s="32">
        <f t="shared" si="12"/>
        <v>55061.620500000005</v>
      </c>
      <c r="H121" s="76">
        <v>75336.02</v>
      </c>
      <c r="I121" s="77">
        <f t="shared" si="13"/>
        <v>4591730.4190000007</v>
      </c>
      <c r="J121" s="114" t="s">
        <v>22</v>
      </c>
      <c r="K121" s="422" t="s">
        <v>23</v>
      </c>
      <c r="L121" s="231"/>
      <c r="M121" s="70"/>
      <c r="N121" s="75"/>
      <c r="O121" s="423">
        <v>83.02</v>
      </c>
      <c r="P121" s="424">
        <f t="shared" si="14"/>
        <v>5060.0690000000004</v>
      </c>
      <c r="Q121" s="437"/>
      <c r="R121" s="437"/>
      <c r="S121" s="437"/>
      <c r="T121" s="437"/>
      <c r="U121" s="438"/>
      <c r="W121" s="74"/>
    </row>
    <row r="122" spans="1:23" x14ac:dyDescent="0.25">
      <c r="A122" s="70">
        <f t="shared" si="15"/>
        <v>115</v>
      </c>
      <c r="B122" s="98">
        <v>46111</v>
      </c>
      <c r="C122" s="72">
        <v>8612471</v>
      </c>
      <c r="D122" s="73">
        <v>75330167</v>
      </c>
      <c r="E122" s="74">
        <v>61</v>
      </c>
      <c r="F122" s="31">
        <v>903.39</v>
      </c>
      <c r="G122" s="32">
        <f t="shared" si="12"/>
        <v>55106.79</v>
      </c>
      <c r="H122" s="76">
        <v>75336.02</v>
      </c>
      <c r="I122" s="77">
        <f t="shared" si="13"/>
        <v>4595497.2200000007</v>
      </c>
      <c r="J122" s="114" t="s">
        <v>22</v>
      </c>
      <c r="K122" s="422" t="s">
        <v>23</v>
      </c>
      <c r="L122" s="231"/>
      <c r="M122" s="70"/>
      <c r="N122" s="75"/>
      <c r="O122" s="423">
        <v>83.02</v>
      </c>
      <c r="P122" s="424">
        <f t="shared" si="14"/>
        <v>5064.2199999999993</v>
      </c>
      <c r="Q122" s="437"/>
      <c r="R122" s="437"/>
      <c r="S122" s="437"/>
      <c r="T122" s="437"/>
      <c r="U122" s="438"/>
      <c r="W122" s="74"/>
    </row>
    <row r="123" spans="1:23" x14ac:dyDescent="0.25">
      <c r="A123" s="70">
        <f t="shared" si="15"/>
        <v>116</v>
      </c>
      <c r="B123" s="98">
        <v>46111</v>
      </c>
      <c r="C123" s="72">
        <v>8612471</v>
      </c>
      <c r="D123" s="73">
        <v>75330217</v>
      </c>
      <c r="E123" s="74">
        <v>60.95</v>
      </c>
      <c r="F123" s="31">
        <v>903.39</v>
      </c>
      <c r="G123" s="32">
        <f t="shared" si="12"/>
        <v>55061.620500000005</v>
      </c>
      <c r="H123" s="76">
        <v>75336.02</v>
      </c>
      <c r="I123" s="77">
        <f t="shared" si="13"/>
        <v>4591730.4190000007</v>
      </c>
      <c r="J123" s="114" t="s">
        <v>22</v>
      </c>
      <c r="K123" s="422" t="s">
        <v>23</v>
      </c>
      <c r="L123" s="231"/>
      <c r="M123" s="70"/>
      <c r="N123" s="75"/>
      <c r="O123" s="423">
        <v>83.02</v>
      </c>
      <c r="P123" s="424">
        <f t="shared" si="14"/>
        <v>5060.0690000000004</v>
      </c>
      <c r="Q123" s="437"/>
      <c r="R123" s="437"/>
      <c r="S123" s="437"/>
      <c r="T123" s="437"/>
      <c r="U123" s="438"/>
      <c r="W123" s="74"/>
    </row>
    <row r="124" spans="1:23" x14ac:dyDescent="0.25">
      <c r="A124" s="70">
        <f t="shared" si="15"/>
        <v>117</v>
      </c>
      <c r="B124" s="98">
        <v>46111</v>
      </c>
      <c r="C124" s="72">
        <v>8612472</v>
      </c>
      <c r="D124" s="73">
        <v>75330233</v>
      </c>
      <c r="E124" s="74">
        <v>60.6</v>
      </c>
      <c r="F124" s="31">
        <v>903.39</v>
      </c>
      <c r="G124" s="32">
        <f t="shared" si="12"/>
        <v>54745.434000000001</v>
      </c>
      <c r="H124" s="76">
        <v>75336.02</v>
      </c>
      <c r="I124" s="77">
        <f t="shared" si="13"/>
        <v>4565362.8119999999</v>
      </c>
      <c r="J124" s="114" t="s">
        <v>22</v>
      </c>
      <c r="K124" s="422" t="s">
        <v>23</v>
      </c>
      <c r="L124" s="231"/>
      <c r="M124" s="70"/>
      <c r="N124" s="75"/>
      <c r="O124" s="423">
        <v>83.02</v>
      </c>
      <c r="P124" s="424">
        <f t="shared" si="14"/>
        <v>5031.0119999999997</v>
      </c>
      <c r="Q124" s="437"/>
      <c r="R124" s="437"/>
      <c r="S124" s="437"/>
      <c r="T124" s="437"/>
      <c r="U124" s="438"/>
      <c r="W124" s="74"/>
    </row>
    <row r="125" spans="1:23" x14ac:dyDescent="0.25">
      <c r="A125" s="70">
        <f t="shared" si="15"/>
        <v>118</v>
      </c>
      <c r="B125" s="98">
        <v>46111</v>
      </c>
      <c r="C125" s="72">
        <v>8612471</v>
      </c>
      <c r="D125" s="73">
        <v>75330258</v>
      </c>
      <c r="E125" s="74">
        <v>60.9</v>
      </c>
      <c r="F125" s="31">
        <v>903.39</v>
      </c>
      <c r="G125" s="32">
        <f t="shared" si="12"/>
        <v>55016.451000000001</v>
      </c>
      <c r="H125" s="76">
        <v>75336.02</v>
      </c>
      <c r="I125" s="77">
        <f t="shared" si="13"/>
        <v>4587963.6179999998</v>
      </c>
      <c r="J125" s="114" t="s">
        <v>22</v>
      </c>
      <c r="K125" s="422" t="s">
        <v>23</v>
      </c>
      <c r="L125" s="231"/>
      <c r="M125" s="70"/>
      <c r="N125" s="75"/>
      <c r="O125" s="423">
        <v>83.02</v>
      </c>
      <c r="P125" s="424">
        <f t="shared" si="14"/>
        <v>5055.9179999999997</v>
      </c>
      <c r="Q125" s="437"/>
      <c r="R125" s="437"/>
      <c r="S125" s="437"/>
      <c r="T125" s="437"/>
      <c r="U125" s="438"/>
      <c r="W125" s="74"/>
    </row>
    <row r="126" spans="1:23" x14ac:dyDescent="0.25">
      <c r="A126" s="70">
        <f t="shared" si="15"/>
        <v>119</v>
      </c>
      <c r="B126" s="98">
        <v>46111</v>
      </c>
      <c r="C126" s="72">
        <v>8612471</v>
      </c>
      <c r="D126" s="73">
        <v>75330266</v>
      </c>
      <c r="E126" s="74">
        <v>60.9</v>
      </c>
      <c r="F126" s="31">
        <v>903.39</v>
      </c>
      <c r="G126" s="32">
        <f t="shared" si="12"/>
        <v>55016.451000000001</v>
      </c>
      <c r="H126" s="76">
        <v>75336.02</v>
      </c>
      <c r="I126" s="77">
        <f t="shared" si="13"/>
        <v>4587963.6179999998</v>
      </c>
      <c r="J126" s="114" t="s">
        <v>22</v>
      </c>
      <c r="K126" s="422" t="s">
        <v>23</v>
      </c>
      <c r="L126" s="231"/>
      <c r="M126" s="70"/>
      <c r="N126" s="75"/>
      <c r="O126" s="423">
        <v>83.02</v>
      </c>
      <c r="P126" s="424">
        <f t="shared" si="14"/>
        <v>5055.9179999999997</v>
      </c>
      <c r="Q126" s="437"/>
      <c r="R126" s="437"/>
      <c r="S126" s="437"/>
      <c r="T126" s="437"/>
      <c r="U126" s="438"/>
      <c r="W126" s="74"/>
    </row>
    <row r="127" spans="1:23" x14ac:dyDescent="0.25">
      <c r="A127" s="70">
        <f t="shared" si="15"/>
        <v>120</v>
      </c>
      <c r="B127" s="98">
        <v>46111</v>
      </c>
      <c r="C127" s="72">
        <v>8612472</v>
      </c>
      <c r="D127" s="73">
        <v>75330324</v>
      </c>
      <c r="E127" s="74">
        <v>60.95</v>
      </c>
      <c r="F127" s="31">
        <v>903.39</v>
      </c>
      <c r="G127" s="32">
        <f t="shared" si="12"/>
        <v>55061.620500000005</v>
      </c>
      <c r="H127" s="76">
        <v>75336.02</v>
      </c>
      <c r="I127" s="77">
        <f t="shared" si="13"/>
        <v>4591730.4190000007</v>
      </c>
      <c r="J127" s="114" t="s">
        <v>22</v>
      </c>
      <c r="K127" s="422" t="s">
        <v>23</v>
      </c>
      <c r="L127" s="231"/>
      <c r="M127" s="70"/>
      <c r="N127" s="75"/>
      <c r="O127" s="423">
        <v>83.02</v>
      </c>
      <c r="P127" s="424">
        <f t="shared" si="14"/>
        <v>5060.0690000000004</v>
      </c>
      <c r="Q127" s="437"/>
      <c r="R127" s="437"/>
      <c r="S127" s="437"/>
      <c r="T127" s="437"/>
      <c r="U127" s="438"/>
      <c r="W127" s="74"/>
    </row>
    <row r="128" spans="1:23" x14ac:dyDescent="0.25">
      <c r="A128" s="70">
        <f t="shared" si="15"/>
        <v>121</v>
      </c>
      <c r="B128" s="98">
        <v>46111</v>
      </c>
      <c r="C128" s="72">
        <v>8612472</v>
      </c>
      <c r="D128" s="73">
        <v>75330357</v>
      </c>
      <c r="E128" s="74">
        <v>61</v>
      </c>
      <c r="F128" s="31">
        <v>903.39</v>
      </c>
      <c r="G128" s="32">
        <f t="shared" si="12"/>
        <v>55106.79</v>
      </c>
      <c r="H128" s="76">
        <v>75336.02</v>
      </c>
      <c r="I128" s="77">
        <f t="shared" si="13"/>
        <v>4595497.2200000007</v>
      </c>
      <c r="J128" s="114" t="s">
        <v>22</v>
      </c>
      <c r="K128" s="422" t="s">
        <v>23</v>
      </c>
      <c r="L128" s="231"/>
      <c r="M128" s="70"/>
      <c r="N128" s="75"/>
      <c r="O128" s="423">
        <v>83.02</v>
      </c>
      <c r="P128" s="424">
        <f t="shared" si="14"/>
        <v>5064.2199999999993</v>
      </c>
      <c r="Q128" s="437"/>
      <c r="R128" s="437"/>
      <c r="S128" s="437"/>
      <c r="T128" s="437"/>
      <c r="U128" s="438"/>
      <c r="W128" s="74"/>
    </row>
    <row r="129" spans="1:23" x14ac:dyDescent="0.25">
      <c r="A129" s="70">
        <f t="shared" si="15"/>
        <v>122</v>
      </c>
      <c r="B129" s="98">
        <v>46111</v>
      </c>
      <c r="C129" s="72">
        <v>8612471</v>
      </c>
      <c r="D129" s="73">
        <v>75330373</v>
      </c>
      <c r="E129" s="74">
        <v>60.95</v>
      </c>
      <c r="F129" s="31">
        <v>903.39</v>
      </c>
      <c r="G129" s="32">
        <f t="shared" si="12"/>
        <v>55061.620500000005</v>
      </c>
      <c r="H129" s="76">
        <v>75336.02</v>
      </c>
      <c r="I129" s="77">
        <f t="shared" si="13"/>
        <v>4591730.4190000007</v>
      </c>
      <c r="J129" s="114" t="s">
        <v>22</v>
      </c>
      <c r="K129" s="422" t="s">
        <v>23</v>
      </c>
      <c r="L129" s="231"/>
      <c r="M129" s="70"/>
      <c r="N129" s="75"/>
      <c r="O129" s="423">
        <v>83.02</v>
      </c>
      <c r="P129" s="424">
        <f t="shared" si="14"/>
        <v>5060.0690000000004</v>
      </c>
      <c r="Q129" s="437"/>
      <c r="R129" s="437"/>
      <c r="S129" s="437"/>
      <c r="T129" s="437"/>
      <c r="U129" s="438"/>
      <c r="W129" s="74"/>
    </row>
    <row r="130" spans="1:23" x14ac:dyDescent="0.25">
      <c r="A130" s="70">
        <f t="shared" si="15"/>
        <v>123</v>
      </c>
      <c r="B130" s="98">
        <v>46111</v>
      </c>
      <c r="C130" s="72">
        <v>8612471</v>
      </c>
      <c r="D130" s="73">
        <v>75330464</v>
      </c>
      <c r="E130" s="74">
        <v>60.95</v>
      </c>
      <c r="F130" s="31">
        <v>903.39</v>
      </c>
      <c r="G130" s="32">
        <f t="shared" si="12"/>
        <v>55061.620500000005</v>
      </c>
      <c r="H130" s="76">
        <v>75336.02</v>
      </c>
      <c r="I130" s="77">
        <f t="shared" si="13"/>
        <v>4591730.4190000007</v>
      </c>
      <c r="J130" s="114" t="s">
        <v>22</v>
      </c>
      <c r="K130" s="422" t="s">
        <v>23</v>
      </c>
      <c r="L130" s="231"/>
      <c r="M130" s="70"/>
      <c r="N130" s="75"/>
      <c r="O130" s="423">
        <v>83.02</v>
      </c>
      <c r="P130" s="424">
        <f t="shared" si="14"/>
        <v>5060.0690000000004</v>
      </c>
      <c r="Q130" s="437"/>
      <c r="R130" s="437"/>
      <c r="S130" s="437"/>
      <c r="T130" s="437"/>
      <c r="U130" s="438"/>
      <c r="W130" s="74"/>
    </row>
    <row r="131" spans="1:23" x14ac:dyDescent="0.25">
      <c r="A131" s="70">
        <f t="shared" si="15"/>
        <v>124</v>
      </c>
      <c r="B131" s="98">
        <v>46111</v>
      </c>
      <c r="C131" s="72">
        <v>8612472</v>
      </c>
      <c r="D131" s="73">
        <v>75330522</v>
      </c>
      <c r="E131" s="74">
        <v>61.05</v>
      </c>
      <c r="F131" s="31">
        <v>903.39</v>
      </c>
      <c r="G131" s="32">
        <f t="shared" si="12"/>
        <v>55151.959499999997</v>
      </c>
      <c r="H131" s="76">
        <v>75336.02</v>
      </c>
      <c r="I131" s="77">
        <f t="shared" si="13"/>
        <v>4599264.0209999997</v>
      </c>
      <c r="J131" s="114" t="s">
        <v>22</v>
      </c>
      <c r="K131" s="422" t="s">
        <v>23</v>
      </c>
      <c r="L131" s="231"/>
      <c r="M131" s="70"/>
      <c r="N131" s="75"/>
      <c r="O131" s="423">
        <v>83.02</v>
      </c>
      <c r="P131" s="424">
        <f t="shared" si="14"/>
        <v>5068.3709999999992</v>
      </c>
      <c r="Q131" s="437"/>
      <c r="R131" s="437"/>
      <c r="S131" s="437"/>
      <c r="T131" s="437"/>
      <c r="U131" s="438"/>
      <c r="W131" s="74"/>
    </row>
    <row r="132" spans="1:23" x14ac:dyDescent="0.25">
      <c r="A132" s="70">
        <f t="shared" si="15"/>
        <v>125</v>
      </c>
      <c r="B132" s="98">
        <v>46111</v>
      </c>
      <c r="C132" s="72">
        <v>8612472</v>
      </c>
      <c r="D132" s="73">
        <v>75332262</v>
      </c>
      <c r="E132" s="74">
        <v>60.9</v>
      </c>
      <c r="F132" s="31">
        <v>903.39</v>
      </c>
      <c r="G132" s="32">
        <f t="shared" si="12"/>
        <v>55016.451000000001</v>
      </c>
      <c r="H132" s="76">
        <v>75336.02</v>
      </c>
      <c r="I132" s="77">
        <f t="shared" si="13"/>
        <v>4587963.6179999998</v>
      </c>
      <c r="J132" s="114" t="s">
        <v>22</v>
      </c>
      <c r="K132" s="422" t="s">
        <v>23</v>
      </c>
      <c r="L132" s="231"/>
      <c r="M132" s="70"/>
      <c r="N132" s="75"/>
      <c r="O132" s="423">
        <v>83.02</v>
      </c>
      <c r="P132" s="424">
        <f t="shared" si="14"/>
        <v>5055.9179999999997</v>
      </c>
      <c r="Q132" s="437"/>
      <c r="R132" s="437"/>
      <c r="S132" s="437"/>
      <c r="T132" s="437"/>
      <c r="U132" s="438"/>
      <c r="W132" s="74"/>
    </row>
    <row r="133" spans="1:23" x14ac:dyDescent="0.25">
      <c r="A133" s="70">
        <f t="shared" si="15"/>
        <v>126</v>
      </c>
      <c r="B133" s="98">
        <v>46111</v>
      </c>
      <c r="C133" s="72">
        <v>8612472</v>
      </c>
      <c r="D133" s="73">
        <v>76505999</v>
      </c>
      <c r="E133" s="74">
        <v>60.85</v>
      </c>
      <c r="F133" s="31">
        <v>903.39</v>
      </c>
      <c r="G133" s="32">
        <f t="shared" si="12"/>
        <v>54971.281499999997</v>
      </c>
      <c r="H133" s="76">
        <v>75336.02</v>
      </c>
      <c r="I133" s="77">
        <f t="shared" si="13"/>
        <v>4584196.8170000007</v>
      </c>
      <c r="J133" s="114" t="s">
        <v>22</v>
      </c>
      <c r="K133" s="422" t="s">
        <v>23</v>
      </c>
      <c r="L133" s="231"/>
      <c r="M133" s="70"/>
      <c r="N133" s="75"/>
      <c r="O133" s="423">
        <v>83.02</v>
      </c>
      <c r="P133" s="424">
        <f t="shared" si="14"/>
        <v>5051.7669999999998</v>
      </c>
      <c r="Q133" s="437"/>
      <c r="R133" s="437"/>
      <c r="S133" s="437"/>
      <c r="T133" s="437"/>
      <c r="U133" s="438"/>
      <c r="W133" s="74"/>
    </row>
    <row r="134" spans="1:23" ht="15.75" thickBot="1" x14ac:dyDescent="0.3">
      <c r="A134" s="80">
        <f t="shared" si="15"/>
        <v>127</v>
      </c>
      <c r="B134" s="99">
        <v>46111</v>
      </c>
      <c r="C134" s="82">
        <v>8612472</v>
      </c>
      <c r="D134" s="83">
        <v>76566595</v>
      </c>
      <c r="E134" s="74">
        <v>60.75</v>
      </c>
      <c r="F134" s="31">
        <v>903.39</v>
      </c>
      <c r="G134" s="404">
        <f t="shared" si="12"/>
        <v>54880.942499999997</v>
      </c>
      <c r="H134" s="85">
        <v>75336.02</v>
      </c>
      <c r="I134" s="86">
        <f t="shared" si="13"/>
        <v>4576663.2149999999</v>
      </c>
      <c r="J134" s="219" t="s">
        <v>22</v>
      </c>
      <c r="K134" s="439" t="s">
        <v>23</v>
      </c>
      <c r="L134" s="258"/>
      <c r="M134" s="80"/>
      <c r="N134" s="88"/>
      <c r="O134" s="426">
        <v>83.02</v>
      </c>
      <c r="P134" s="427">
        <f t="shared" si="14"/>
        <v>5043.4650000000001</v>
      </c>
      <c r="Q134" s="440"/>
      <c r="R134" s="440"/>
      <c r="S134" s="440"/>
      <c r="T134" s="440"/>
      <c r="U134" s="441"/>
      <c r="W134" s="74"/>
    </row>
    <row r="135" spans="1:23" ht="15.75" thickBot="1" x14ac:dyDescent="0.3">
      <c r="A135" s="241"/>
      <c r="B135" s="242"/>
      <c r="C135" s="242"/>
      <c r="D135" s="242"/>
      <c r="E135" s="432">
        <f>SUM(E106:E134)</f>
        <v>1752.6500000000003</v>
      </c>
      <c r="F135" s="432"/>
      <c r="G135" s="432">
        <f>SUM(G106:G134)</f>
        <v>1583326.4834999996</v>
      </c>
      <c r="H135" s="432"/>
      <c r="I135" s="432">
        <f>SUM(I106:I134)</f>
        <v>132037675.45300002</v>
      </c>
      <c r="J135" s="432"/>
      <c r="K135" s="445"/>
      <c r="L135" s="430"/>
      <c r="M135" s="431"/>
      <c r="N135" s="432"/>
      <c r="O135" s="432"/>
      <c r="P135" s="432">
        <f>SUM(P106:P134)</f>
        <v>145505.00300000003</v>
      </c>
      <c r="Q135" s="432"/>
      <c r="R135" s="432"/>
      <c r="S135" s="432"/>
      <c r="T135" s="432"/>
      <c r="U135" s="433"/>
    </row>
    <row r="136" spans="1:23" x14ac:dyDescent="0.25">
      <c r="A136" s="57">
        <v>128</v>
      </c>
      <c r="B136" s="58">
        <v>46112</v>
      </c>
      <c r="C136" s="59">
        <v>8612494</v>
      </c>
      <c r="D136" s="60">
        <v>51498186</v>
      </c>
      <c r="E136" s="61">
        <v>50.8</v>
      </c>
      <c r="F136" s="29">
        <v>903.39</v>
      </c>
      <c r="G136" s="29">
        <f t="shared" ref="G136:G146" si="16">E136*F136</f>
        <v>45892.212</v>
      </c>
      <c r="H136" s="63">
        <v>75336.02</v>
      </c>
      <c r="I136" s="64">
        <f t="shared" ref="I136:I146" si="17">E136*H136</f>
        <v>3827069.8160000001</v>
      </c>
      <c r="J136" s="408" t="s">
        <v>22</v>
      </c>
      <c r="K136" s="446" t="s">
        <v>23</v>
      </c>
      <c r="L136" s="230"/>
      <c r="M136" s="245"/>
      <c r="N136" s="68"/>
      <c r="O136" s="420">
        <v>83.02</v>
      </c>
      <c r="P136" s="421">
        <f t="shared" ref="P136:P146" si="18">E136*O136</f>
        <v>4217.4159999999993</v>
      </c>
      <c r="Q136" s="435"/>
      <c r="R136" s="435"/>
      <c r="S136" s="435"/>
      <c r="T136" s="435"/>
      <c r="U136" s="436"/>
    </row>
    <row r="137" spans="1:23" x14ac:dyDescent="0.25">
      <c r="A137" s="70">
        <f>A136+1</f>
        <v>129</v>
      </c>
      <c r="B137" s="98">
        <v>46112</v>
      </c>
      <c r="C137" s="72">
        <v>8612495</v>
      </c>
      <c r="D137" s="73">
        <v>54243985</v>
      </c>
      <c r="E137" s="74">
        <v>60.4</v>
      </c>
      <c r="F137" s="31">
        <v>903.39</v>
      </c>
      <c r="G137" s="31">
        <f t="shared" si="16"/>
        <v>54564.756000000001</v>
      </c>
      <c r="H137" s="76">
        <v>75336.02</v>
      </c>
      <c r="I137" s="113">
        <f t="shared" si="17"/>
        <v>4550295.608</v>
      </c>
      <c r="J137" s="114" t="s">
        <v>22</v>
      </c>
      <c r="K137" s="422" t="s">
        <v>23</v>
      </c>
      <c r="L137" s="231"/>
      <c r="M137" s="247"/>
      <c r="N137" s="75"/>
      <c r="O137" s="522">
        <v>83.02</v>
      </c>
      <c r="P137" s="523">
        <f t="shared" si="18"/>
        <v>5014.4079999999994</v>
      </c>
      <c r="Q137" s="437"/>
      <c r="R137" s="437"/>
      <c r="S137" s="437"/>
      <c r="T137" s="437"/>
      <c r="U137" s="438"/>
    </row>
    <row r="138" spans="1:23" x14ac:dyDescent="0.25">
      <c r="A138" s="70">
        <f t="shared" ref="A138:A146" si="19">A137+1</f>
        <v>130</v>
      </c>
      <c r="B138" s="98">
        <v>46112</v>
      </c>
      <c r="C138" s="72">
        <v>8612496</v>
      </c>
      <c r="D138" s="73">
        <v>58708462</v>
      </c>
      <c r="E138" s="74">
        <v>60.6</v>
      </c>
      <c r="F138" s="31">
        <v>903.39</v>
      </c>
      <c r="G138" s="31">
        <f t="shared" si="16"/>
        <v>54745.434000000001</v>
      </c>
      <c r="H138" s="76">
        <v>75336.02</v>
      </c>
      <c r="I138" s="113">
        <f t="shared" si="17"/>
        <v>4565362.8119999999</v>
      </c>
      <c r="J138" s="114" t="s">
        <v>22</v>
      </c>
      <c r="K138" s="422" t="s">
        <v>23</v>
      </c>
      <c r="L138" s="231"/>
      <c r="M138" s="247"/>
      <c r="N138" s="75"/>
      <c r="O138" s="522">
        <v>83.02</v>
      </c>
      <c r="P138" s="523">
        <f t="shared" si="18"/>
        <v>5031.0119999999997</v>
      </c>
      <c r="Q138" s="437"/>
      <c r="R138" s="437"/>
      <c r="S138" s="437"/>
      <c r="T138" s="437"/>
      <c r="U138" s="438"/>
    </row>
    <row r="139" spans="1:23" x14ac:dyDescent="0.25">
      <c r="A139" s="70">
        <f t="shared" si="19"/>
        <v>131</v>
      </c>
      <c r="B139" s="98">
        <v>46112</v>
      </c>
      <c r="C139" s="72">
        <v>8612494</v>
      </c>
      <c r="D139" s="73">
        <v>73007742</v>
      </c>
      <c r="E139" s="74">
        <v>60.65</v>
      </c>
      <c r="F139" s="31">
        <v>903.39</v>
      </c>
      <c r="G139" s="31">
        <f t="shared" si="16"/>
        <v>54790.603499999997</v>
      </c>
      <c r="H139" s="76">
        <v>75336.02</v>
      </c>
      <c r="I139" s="113">
        <f t="shared" si="17"/>
        <v>4569129.6129999999</v>
      </c>
      <c r="J139" s="114" t="s">
        <v>22</v>
      </c>
      <c r="K139" s="422" t="s">
        <v>23</v>
      </c>
      <c r="L139" s="231"/>
      <c r="M139" s="247"/>
      <c r="N139" s="75"/>
      <c r="O139" s="522">
        <v>83.02</v>
      </c>
      <c r="P139" s="523">
        <f t="shared" si="18"/>
        <v>5035.1629999999996</v>
      </c>
      <c r="Q139" s="437"/>
      <c r="R139" s="437"/>
      <c r="S139" s="437"/>
      <c r="T139" s="437"/>
      <c r="U139" s="438"/>
    </row>
    <row r="140" spans="1:23" x14ac:dyDescent="0.25">
      <c r="A140" s="70">
        <f t="shared" si="19"/>
        <v>132</v>
      </c>
      <c r="B140" s="98">
        <v>46112</v>
      </c>
      <c r="C140" s="72">
        <v>8612494</v>
      </c>
      <c r="D140" s="73">
        <v>73034662</v>
      </c>
      <c r="E140" s="74">
        <v>60.4</v>
      </c>
      <c r="F140" s="31">
        <v>903.39</v>
      </c>
      <c r="G140" s="31">
        <f t="shared" si="16"/>
        <v>54564.756000000001</v>
      </c>
      <c r="H140" s="76">
        <v>75336.02</v>
      </c>
      <c r="I140" s="113">
        <f t="shared" si="17"/>
        <v>4550295.608</v>
      </c>
      <c r="J140" s="114" t="s">
        <v>22</v>
      </c>
      <c r="K140" s="422" t="s">
        <v>23</v>
      </c>
      <c r="L140" s="231"/>
      <c r="M140" s="247"/>
      <c r="N140" s="75"/>
      <c r="O140" s="522">
        <v>83.02</v>
      </c>
      <c r="P140" s="523">
        <f t="shared" si="18"/>
        <v>5014.4079999999994</v>
      </c>
      <c r="Q140" s="437"/>
      <c r="R140" s="437"/>
      <c r="S140" s="437"/>
      <c r="T140" s="437"/>
      <c r="U140" s="438"/>
    </row>
    <row r="141" spans="1:23" x14ac:dyDescent="0.25">
      <c r="A141" s="70">
        <f t="shared" si="19"/>
        <v>133</v>
      </c>
      <c r="B141" s="98">
        <v>46112</v>
      </c>
      <c r="C141" s="72">
        <v>8612494</v>
      </c>
      <c r="D141" s="73">
        <v>73065823</v>
      </c>
      <c r="E141" s="74">
        <v>60.35</v>
      </c>
      <c r="F141" s="31">
        <v>903.39</v>
      </c>
      <c r="G141" s="31">
        <f t="shared" si="16"/>
        <v>54519.586499999998</v>
      </c>
      <c r="H141" s="76">
        <v>75336.02</v>
      </c>
      <c r="I141" s="113">
        <f t="shared" si="17"/>
        <v>4546528.807</v>
      </c>
      <c r="J141" s="114" t="s">
        <v>22</v>
      </c>
      <c r="K141" s="422" t="s">
        <v>23</v>
      </c>
      <c r="L141" s="231"/>
      <c r="M141" s="247"/>
      <c r="N141" s="75"/>
      <c r="O141" s="522">
        <v>83.02</v>
      </c>
      <c r="P141" s="523">
        <f t="shared" si="18"/>
        <v>5010.2569999999996</v>
      </c>
      <c r="Q141" s="437"/>
      <c r="R141" s="437"/>
      <c r="S141" s="437"/>
      <c r="T141" s="437"/>
      <c r="U141" s="438"/>
    </row>
    <row r="142" spans="1:23" x14ac:dyDescent="0.25">
      <c r="A142" s="70">
        <f t="shared" si="19"/>
        <v>134</v>
      </c>
      <c r="B142" s="98">
        <v>46112</v>
      </c>
      <c r="C142" s="72">
        <v>8612494</v>
      </c>
      <c r="D142" s="73">
        <v>73081838</v>
      </c>
      <c r="E142" s="74">
        <v>60.6</v>
      </c>
      <c r="F142" s="31">
        <v>903.39</v>
      </c>
      <c r="G142" s="31">
        <f t="shared" si="16"/>
        <v>54745.434000000001</v>
      </c>
      <c r="H142" s="76">
        <v>75336.02</v>
      </c>
      <c r="I142" s="113">
        <f t="shared" si="17"/>
        <v>4565362.8119999999</v>
      </c>
      <c r="J142" s="114" t="s">
        <v>22</v>
      </c>
      <c r="K142" s="422" t="s">
        <v>23</v>
      </c>
      <c r="L142" s="231"/>
      <c r="M142" s="247"/>
      <c r="N142" s="75"/>
      <c r="O142" s="522">
        <v>83.02</v>
      </c>
      <c r="P142" s="523">
        <f t="shared" si="18"/>
        <v>5031.0119999999997</v>
      </c>
      <c r="Q142" s="437"/>
      <c r="R142" s="437"/>
      <c r="S142" s="437"/>
      <c r="T142" s="437"/>
      <c r="U142" s="438"/>
    </row>
    <row r="143" spans="1:23" x14ac:dyDescent="0.25">
      <c r="A143" s="70">
        <f t="shared" si="19"/>
        <v>135</v>
      </c>
      <c r="B143" s="98">
        <v>46112</v>
      </c>
      <c r="C143" s="72">
        <v>8612494</v>
      </c>
      <c r="D143" s="73">
        <v>73113557</v>
      </c>
      <c r="E143" s="74">
        <v>60.4</v>
      </c>
      <c r="F143" s="31">
        <v>903.39</v>
      </c>
      <c r="G143" s="31">
        <f t="shared" si="16"/>
        <v>54564.756000000001</v>
      </c>
      <c r="H143" s="76">
        <v>75336.02</v>
      </c>
      <c r="I143" s="113">
        <f t="shared" si="17"/>
        <v>4550295.608</v>
      </c>
      <c r="J143" s="114" t="s">
        <v>22</v>
      </c>
      <c r="K143" s="422" t="s">
        <v>23</v>
      </c>
      <c r="L143" s="231"/>
      <c r="M143" s="247"/>
      <c r="N143" s="75"/>
      <c r="O143" s="522">
        <v>83.02</v>
      </c>
      <c r="P143" s="523">
        <f t="shared" si="18"/>
        <v>5014.4079999999994</v>
      </c>
      <c r="Q143" s="437"/>
      <c r="R143" s="437"/>
      <c r="S143" s="437"/>
      <c r="T143" s="437"/>
      <c r="U143" s="438"/>
    </row>
    <row r="144" spans="1:23" x14ac:dyDescent="0.25">
      <c r="A144" s="70">
        <f t="shared" si="19"/>
        <v>136</v>
      </c>
      <c r="B144" s="98">
        <v>46112</v>
      </c>
      <c r="C144" s="72">
        <v>8612494</v>
      </c>
      <c r="D144" s="73">
        <v>73165417</v>
      </c>
      <c r="E144" s="74">
        <v>60.75</v>
      </c>
      <c r="F144" s="31">
        <v>903.39</v>
      </c>
      <c r="G144" s="31">
        <f t="shared" si="16"/>
        <v>54880.942499999997</v>
      </c>
      <c r="H144" s="76">
        <v>75336.02</v>
      </c>
      <c r="I144" s="113">
        <f t="shared" si="17"/>
        <v>4576663.2149999999</v>
      </c>
      <c r="J144" s="114" t="s">
        <v>22</v>
      </c>
      <c r="K144" s="422" t="s">
        <v>23</v>
      </c>
      <c r="L144" s="231"/>
      <c r="M144" s="247"/>
      <c r="N144" s="75"/>
      <c r="O144" s="522">
        <v>83.02</v>
      </c>
      <c r="P144" s="523">
        <f t="shared" si="18"/>
        <v>5043.4650000000001</v>
      </c>
      <c r="Q144" s="437"/>
      <c r="R144" s="437"/>
      <c r="S144" s="437"/>
      <c r="T144" s="437"/>
      <c r="U144" s="438"/>
    </row>
    <row r="145" spans="1:21" x14ac:dyDescent="0.25">
      <c r="A145" s="70">
        <f t="shared" si="19"/>
        <v>137</v>
      </c>
      <c r="B145" s="98">
        <v>46112</v>
      </c>
      <c r="C145" s="72">
        <v>8612494</v>
      </c>
      <c r="D145" s="73">
        <v>75330514</v>
      </c>
      <c r="E145" s="74">
        <v>61.15</v>
      </c>
      <c r="F145" s="31">
        <v>903.39</v>
      </c>
      <c r="G145" s="31">
        <f t="shared" si="16"/>
        <v>55242.298499999997</v>
      </c>
      <c r="H145" s="76">
        <v>75336.02</v>
      </c>
      <c r="I145" s="113">
        <f t="shared" si="17"/>
        <v>4606797.6230000006</v>
      </c>
      <c r="J145" s="114" t="s">
        <v>22</v>
      </c>
      <c r="K145" s="422" t="s">
        <v>23</v>
      </c>
      <c r="L145" s="231"/>
      <c r="M145" s="247"/>
      <c r="N145" s="75"/>
      <c r="O145" s="522">
        <v>83.02</v>
      </c>
      <c r="P145" s="523">
        <f t="shared" si="18"/>
        <v>5076.6729999999998</v>
      </c>
      <c r="Q145" s="437"/>
      <c r="R145" s="437"/>
      <c r="S145" s="437"/>
      <c r="T145" s="437"/>
      <c r="U145" s="438"/>
    </row>
    <row r="146" spans="1:21" ht="15.75" thickBot="1" x14ac:dyDescent="0.3">
      <c r="A146" s="80">
        <f t="shared" si="19"/>
        <v>138</v>
      </c>
      <c r="B146" s="99">
        <v>46112</v>
      </c>
      <c r="C146" s="82">
        <v>8612494</v>
      </c>
      <c r="D146" s="83">
        <v>76982495</v>
      </c>
      <c r="E146" s="84">
        <v>61</v>
      </c>
      <c r="F146" s="217">
        <v>903.39</v>
      </c>
      <c r="G146" s="217">
        <f t="shared" si="16"/>
        <v>55106.79</v>
      </c>
      <c r="H146" s="85">
        <v>75336.02</v>
      </c>
      <c r="I146" s="218">
        <f t="shared" si="17"/>
        <v>4595497.2200000007</v>
      </c>
      <c r="J146" s="219" t="s">
        <v>22</v>
      </c>
      <c r="K146" s="439" t="s">
        <v>23</v>
      </c>
      <c r="L146" s="258"/>
      <c r="M146" s="250"/>
      <c r="N146" s="88"/>
      <c r="O146" s="524">
        <v>83.02</v>
      </c>
      <c r="P146" s="525">
        <f t="shared" si="18"/>
        <v>5064.2199999999993</v>
      </c>
      <c r="Q146" s="440"/>
      <c r="R146" s="440"/>
      <c r="S146" s="440"/>
      <c r="T146" s="440"/>
      <c r="U146" s="441"/>
    </row>
    <row r="147" spans="1:21" ht="15.75" thickBot="1" x14ac:dyDescent="0.3">
      <c r="A147" s="233"/>
      <c r="B147" s="234"/>
      <c r="C147" s="234"/>
      <c r="D147" s="234"/>
      <c r="E147" s="428">
        <f>SUM(E136:E146)</f>
        <v>657.1</v>
      </c>
      <c r="F147" s="428"/>
      <c r="G147" s="428">
        <f>SUM(G136:G146)</f>
        <v>593617.56900000002</v>
      </c>
      <c r="H147" s="428"/>
      <c r="I147" s="428">
        <f>SUM(I136:I146)</f>
        <v>49503298.742000006</v>
      </c>
      <c r="J147" s="428"/>
      <c r="K147" s="442"/>
      <c r="L147" s="443"/>
      <c r="M147" s="444"/>
      <c r="N147" s="428"/>
      <c r="O147" s="428"/>
      <c r="P147" s="428">
        <f>SUM(P136:P146)</f>
        <v>54552.442000000003</v>
      </c>
      <c r="Q147" s="428"/>
      <c r="R147" s="428"/>
      <c r="S147" s="428"/>
      <c r="T147" s="428"/>
      <c r="U147" s="429"/>
    </row>
    <row r="148" spans="1:21" x14ac:dyDescent="0.25">
      <c r="A148" s="177">
        <v>139</v>
      </c>
      <c r="B148" s="526">
        <v>46113</v>
      </c>
      <c r="C148" s="59">
        <v>8612511</v>
      </c>
      <c r="D148" s="60">
        <v>51230274</v>
      </c>
      <c r="E148" s="61">
        <v>60.05</v>
      </c>
      <c r="F148" s="29">
        <v>903.39</v>
      </c>
      <c r="G148" s="29">
        <f t="shared" ref="G148:G158" si="20">E148*F148</f>
        <v>54248.569499999998</v>
      </c>
      <c r="H148" s="63">
        <v>75336.02</v>
      </c>
      <c r="I148" s="64">
        <f t="shared" ref="I148:I158" si="21">E148*H148</f>
        <v>4523928.0010000002</v>
      </c>
      <c r="J148" s="408" t="s">
        <v>22</v>
      </c>
      <c r="K148" s="446" t="s">
        <v>23</v>
      </c>
      <c r="L148" s="230"/>
      <c r="M148" s="245"/>
      <c r="N148" s="68"/>
      <c r="O148" s="420">
        <v>83.02</v>
      </c>
      <c r="P148" s="421">
        <f t="shared" ref="P148:P158" si="22">E148*O148</f>
        <v>4985.3509999999997</v>
      </c>
      <c r="Q148" s="527"/>
      <c r="R148" s="527"/>
      <c r="S148" s="527"/>
      <c r="T148" s="527"/>
      <c r="U148" s="528"/>
    </row>
    <row r="149" spans="1:21" x14ac:dyDescent="0.25">
      <c r="A149" s="70">
        <f>A148+1</f>
        <v>140</v>
      </c>
      <c r="B149" s="98">
        <v>46113</v>
      </c>
      <c r="C149" s="72">
        <v>8612516</v>
      </c>
      <c r="D149" s="73">
        <v>51457430</v>
      </c>
      <c r="E149" s="74">
        <v>59.9</v>
      </c>
      <c r="F149" s="31">
        <v>903.39</v>
      </c>
      <c r="G149" s="31">
        <f t="shared" si="20"/>
        <v>54113.061000000002</v>
      </c>
      <c r="H149" s="76">
        <v>75336.02</v>
      </c>
      <c r="I149" s="113">
        <f t="shared" si="21"/>
        <v>4512627.5980000002</v>
      </c>
      <c r="J149" s="114" t="s">
        <v>22</v>
      </c>
      <c r="K149" s="422" t="s">
        <v>23</v>
      </c>
      <c r="L149" s="231"/>
      <c r="M149" s="247"/>
      <c r="N149" s="75"/>
      <c r="O149" s="522">
        <v>83.02</v>
      </c>
      <c r="P149" s="523">
        <f t="shared" si="22"/>
        <v>4972.8979999999992</v>
      </c>
      <c r="Q149" s="437"/>
      <c r="R149" s="437"/>
      <c r="S149" s="437"/>
      <c r="T149" s="437"/>
      <c r="U149" s="438"/>
    </row>
    <row r="150" spans="1:21" x14ac:dyDescent="0.25">
      <c r="A150" s="70">
        <f t="shared" ref="A150:A158" si="23">A149+1</f>
        <v>141</v>
      </c>
      <c r="B150" s="98">
        <v>46113</v>
      </c>
      <c r="C150" s="72">
        <v>8612514</v>
      </c>
      <c r="D150" s="73">
        <v>51680908</v>
      </c>
      <c r="E150" s="74">
        <v>51.95</v>
      </c>
      <c r="F150" s="31">
        <v>903.39</v>
      </c>
      <c r="G150" s="31">
        <f t="shared" si="20"/>
        <v>46931.110500000003</v>
      </c>
      <c r="H150" s="76">
        <v>75336.02</v>
      </c>
      <c r="I150" s="113">
        <f t="shared" si="21"/>
        <v>3913706.2390000005</v>
      </c>
      <c r="J150" s="114" t="s">
        <v>22</v>
      </c>
      <c r="K150" s="422" t="s">
        <v>23</v>
      </c>
      <c r="L150" s="231"/>
      <c r="M150" s="247"/>
      <c r="N150" s="75"/>
      <c r="O150" s="522">
        <v>83.02</v>
      </c>
      <c r="P150" s="523">
        <f t="shared" si="22"/>
        <v>4312.8890000000001</v>
      </c>
      <c r="Q150" s="437"/>
      <c r="R150" s="437"/>
      <c r="S150" s="437"/>
      <c r="T150" s="437"/>
      <c r="U150" s="438"/>
    </row>
    <row r="151" spans="1:21" x14ac:dyDescent="0.25">
      <c r="A151" s="70">
        <f t="shared" si="23"/>
        <v>142</v>
      </c>
      <c r="B151" s="98">
        <v>46113</v>
      </c>
      <c r="C151" s="72">
        <v>8612512</v>
      </c>
      <c r="D151" s="73">
        <v>54092978</v>
      </c>
      <c r="E151" s="74">
        <v>60.15</v>
      </c>
      <c r="F151" s="31">
        <v>903.39</v>
      </c>
      <c r="G151" s="31">
        <f t="shared" si="20"/>
        <v>54338.908499999998</v>
      </c>
      <c r="H151" s="76">
        <v>75336.02</v>
      </c>
      <c r="I151" s="113">
        <f t="shared" si="21"/>
        <v>4531461.6030000001</v>
      </c>
      <c r="J151" s="114" t="s">
        <v>22</v>
      </c>
      <c r="K151" s="422" t="s">
        <v>23</v>
      </c>
      <c r="L151" s="231"/>
      <c r="M151" s="247"/>
      <c r="N151" s="75"/>
      <c r="O151" s="522">
        <v>83.02</v>
      </c>
      <c r="P151" s="523">
        <f t="shared" si="22"/>
        <v>4993.6529999999993</v>
      </c>
      <c r="Q151" s="437"/>
      <c r="R151" s="437"/>
      <c r="S151" s="437"/>
      <c r="T151" s="437"/>
      <c r="U151" s="438"/>
    </row>
    <row r="152" spans="1:21" x14ac:dyDescent="0.25">
      <c r="A152" s="70">
        <f t="shared" si="23"/>
        <v>143</v>
      </c>
      <c r="B152" s="98">
        <v>46113</v>
      </c>
      <c r="C152" s="72">
        <v>8612510</v>
      </c>
      <c r="D152" s="73">
        <v>54095138</v>
      </c>
      <c r="E152" s="74">
        <v>59.95</v>
      </c>
      <c r="F152" s="31">
        <v>903.39</v>
      </c>
      <c r="G152" s="31">
        <f t="shared" si="20"/>
        <v>54158.230500000005</v>
      </c>
      <c r="H152" s="76">
        <v>75336.02</v>
      </c>
      <c r="I152" s="113">
        <f t="shared" si="21"/>
        <v>4516394.3990000002</v>
      </c>
      <c r="J152" s="114" t="s">
        <v>22</v>
      </c>
      <c r="K152" s="422" t="s">
        <v>23</v>
      </c>
      <c r="L152" s="231"/>
      <c r="M152" s="247"/>
      <c r="N152" s="75"/>
      <c r="O152" s="522">
        <v>83.02</v>
      </c>
      <c r="P152" s="523">
        <f t="shared" si="22"/>
        <v>4977.049</v>
      </c>
      <c r="Q152" s="437"/>
      <c r="R152" s="437"/>
      <c r="S152" s="437"/>
      <c r="T152" s="437"/>
      <c r="U152" s="438"/>
    </row>
    <row r="153" spans="1:21" x14ac:dyDescent="0.25">
      <c r="A153" s="70">
        <f t="shared" si="23"/>
        <v>144</v>
      </c>
      <c r="B153" s="98">
        <v>46113</v>
      </c>
      <c r="C153" s="72">
        <v>8612512</v>
      </c>
      <c r="D153" s="73">
        <v>57907479</v>
      </c>
      <c r="E153" s="74">
        <v>60.15</v>
      </c>
      <c r="F153" s="31">
        <v>903.39</v>
      </c>
      <c r="G153" s="31">
        <f t="shared" si="20"/>
        <v>54338.908499999998</v>
      </c>
      <c r="H153" s="76">
        <v>75336.02</v>
      </c>
      <c r="I153" s="113">
        <f t="shared" si="21"/>
        <v>4531461.6030000001</v>
      </c>
      <c r="J153" s="114" t="s">
        <v>22</v>
      </c>
      <c r="K153" s="422" t="s">
        <v>23</v>
      </c>
      <c r="L153" s="231"/>
      <c r="M153" s="247"/>
      <c r="N153" s="75"/>
      <c r="O153" s="522">
        <v>83.02</v>
      </c>
      <c r="P153" s="523">
        <f t="shared" si="22"/>
        <v>4993.6529999999993</v>
      </c>
      <c r="Q153" s="437"/>
      <c r="R153" s="437"/>
      <c r="S153" s="437"/>
      <c r="T153" s="437"/>
      <c r="U153" s="438"/>
    </row>
    <row r="154" spans="1:21" x14ac:dyDescent="0.25">
      <c r="A154" s="70">
        <f t="shared" si="23"/>
        <v>145</v>
      </c>
      <c r="B154" s="98">
        <v>46113</v>
      </c>
      <c r="C154" s="72">
        <v>8612512</v>
      </c>
      <c r="D154" s="73">
        <v>73228447</v>
      </c>
      <c r="E154" s="74">
        <v>60.45</v>
      </c>
      <c r="F154" s="31">
        <v>903.39</v>
      </c>
      <c r="G154" s="31">
        <f t="shared" si="20"/>
        <v>54609.925500000005</v>
      </c>
      <c r="H154" s="76">
        <v>75336.02</v>
      </c>
      <c r="I154" s="113">
        <f t="shared" si="21"/>
        <v>4554062.4090000009</v>
      </c>
      <c r="J154" s="114" t="s">
        <v>22</v>
      </c>
      <c r="K154" s="422" t="s">
        <v>23</v>
      </c>
      <c r="L154" s="231"/>
      <c r="M154" s="247"/>
      <c r="N154" s="75"/>
      <c r="O154" s="522">
        <v>83.02</v>
      </c>
      <c r="P154" s="523">
        <f t="shared" si="22"/>
        <v>5018.5590000000002</v>
      </c>
      <c r="Q154" s="437"/>
      <c r="R154" s="437"/>
      <c r="S154" s="437"/>
      <c r="T154" s="437"/>
      <c r="U154" s="438"/>
    </row>
    <row r="155" spans="1:21" x14ac:dyDescent="0.25">
      <c r="A155" s="70">
        <f t="shared" si="23"/>
        <v>146</v>
      </c>
      <c r="B155" s="98">
        <v>46113</v>
      </c>
      <c r="C155" s="72">
        <v>8612512</v>
      </c>
      <c r="D155" s="73">
        <v>73236077</v>
      </c>
      <c r="E155" s="74">
        <v>60.55</v>
      </c>
      <c r="F155" s="31">
        <v>903.39</v>
      </c>
      <c r="G155" s="31">
        <f t="shared" si="20"/>
        <v>54700.264499999997</v>
      </c>
      <c r="H155" s="76">
        <v>75336.02</v>
      </c>
      <c r="I155" s="113">
        <f t="shared" si="21"/>
        <v>4561596.0109999999</v>
      </c>
      <c r="J155" s="114" t="s">
        <v>22</v>
      </c>
      <c r="K155" s="422" t="s">
        <v>23</v>
      </c>
      <c r="L155" s="231"/>
      <c r="M155" s="247"/>
      <c r="N155" s="75"/>
      <c r="O155" s="522">
        <v>83.02</v>
      </c>
      <c r="P155" s="523">
        <f t="shared" si="22"/>
        <v>5026.8609999999999</v>
      </c>
      <c r="Q155" s="437"/>
      <c r="R155" s="437"/>
      <c r="S155" s="437"/>
      <c r="T155" s="437"/>
      <c r="U155" s="438"/>
    </row>
    <row r="156" spans="1:21" x14ac:dyDescent="0.25">
      <c r="A156" s="70">
        <f t="shared" si="23"/>
        <v>147</v>
      </c>
      <c r="B156" s="98">
        <v>46113</v>
      </c>
      <c r="C156" s="72">
        <v>8612515</v>
      </c>
      <c r="D156" s="73">
        <v>74903931</v>
      </c>
      <c r="E156" s="74">
        <v>60.4</v>
      </c>
      <c r="F156" s="31">
        <v>903.39</v>
      </c>
      <c r="G156" s="31">
        <f t="shared" si="20"/>
        <v>54564.756000000001</v>
      </c>
      <c r="H156" s="76">
        <v>75336.02</v>
      </c>
      <c r="I156" s="113">
        <f t="shared" si="21"/>
        <v>4550295.608</v>
      </c>
      <c r="J156" s="114" t="s">
        <v>22</v>
      </c>
      <c r="K156" s="422" t="s">
        <v>23</v>
      </c>
      <c r="L156" s="231"/>
      <c r="M156" s="247"/>
      <c r="N156" s="75"/>
      <c r="O156" s="522">
        <v>83.02</v>
      </c>
      <c r="P156" s="523">
        <f t="shared" si="22"/>
        <v>5014.4079999999994</v>
      </c>
      <c r="Q156" s="437"/>
      <c r="R156" s="437"/>
      <c r="S156" s="437"/>
      <c r="T156" s="437"/>
      <c r="U156" s="438"/>
    </row>
    <row r="157" spans="1:21" x14ac:dyDescent="0.25">
      <c r="A157" s="70">
        <f t="shared" si="23"/>
        <v>148</v>
      </c>
      <c r="B157" s="98">
        <v>46113</v>
      </c>
      <c r="C157" s="72">
        <v>8612513</v>
      </c>
      <c r="D157" s="73">
        <v>75094821</v>
      </c>
      <c r="E157" s="74">
        <v>60.4</v>
      </c>
      <c r="F157" s="31">
        <v>903.39</v>
      </c>
      <c r="G157" s="31">
        <f t="shared" si="20"/>
        <v>54564.756000000001</v>
      </c>
      <c r="H157" s="76">
        <v>75336.02</v>
      </c>
      <c r="I157" s="113">
        <f t="shared" si="21"/>
        <v>4550295.608</v>
      </c>
      <c r="J157" s="114" t="s">
        <v>22</v>
      </c>
      <c r="K157" s="422" t="s">
        <v>23</v>
      </c>
      <c r="L157" s="231"/>
      <c r="M157" s="247"/>
      <c r="N157" s="75"/>
      <c r="O157" s="522">
        <v>83.02</v>
      </c>
      <c r="P157" s="523">
        <f t="shared" si="22"/>
        <v>5014.4079999999994</v>
      </c>
      <c r="Q157" s="437"/>
      <c r="R157" s="437"/>
      <c r="S157" s="437"/>
      <c r="T157" s="437"/>
      <c r="U157" s="438"/>
    </row>
    <row r="158" spans="1:21" ht="15.75" thickBot="1" x14ac:dyDescent="0.3">
      <c r="A158" s="80">
        <f t="shared" si="23"/>
        <v>149</v>
      </c>
      <c r="B158" s="81">
        <v>46113</v>
      </c>
      <c r="C158" s="82">
        <v>8612512</v>
      </c>
      <c r="D158" s="83">
        <v>76283399</v>
      </c>
      <c r="E158" s="84">
        <v>60.85</v>
      </c>
      <c r="F158" s="217">
        <v>903.39</v>
      </c>
      <c r="G158" s="217">
        <f t="shared" si="20"/>
        <v>54971.281499999997</v>
      </c>
      <c r="H158" s="85">
        <v>75336.02</v>
      </c>
      <c r="I158" s="218">
        <f t="shared" si="21"/>
        <v>4584196.8170000007</v>
      </c>
      <c r="J158" s="219" t="s">
        <v>22</v>
      </c>
      <c r="K158" s="439" t="s">
        <v>23</v>
      </c>
      <c r="L158" s="258"/>
      <c r="M158" s="250"/>
      <c r="N158" s="88"/>
      <c r="O158" s="524">
        <v>83.02</v>
      </c>
      <c r="P158" s="525">
        <f t="shared" si="22"/>
        <v>5051.7669999999998</v>
      </c>
      <c r="Q158" s="529"/>
      <c r="R158" s="529"/>
      <c r="S158" s="529"/>
      <c r="T158" s="529"/>
      <c r="U158" s="530"/>
    </row>
    <row r="159" spans="1:21" ht="15.75" thickBot="1" x14ac:dyDescent="0.3">
      <c r="A159" s="241"/>
      <c r="B159" s="242"/>
      <c r="C159" s="242"/>
      <c r="D159" s="242"/>
      <c r="E159" s="432">
        <f>SUM(E148:E158)</f>
        <v>654.79999999999995</v>
      </c>
      <c r="F159" s="432"/>
      <c r="G159" s="432">
        <f>SUM(G148:G158)</f>
        <v>591539.77200000011</v>
      </c>
      <c r="H159" s="432"/>
      <c r="I159" s="432">
        <f>SUM(I148:I158)</f>
        <v>49330025.896000013</v>
      </c>
      <c r="J159" s="432"/>
      <c r="K159" s="445"/>
      <c r="L159" s="430"/>
      <c r="M159" s="431"/>
      <c r="N159" s="432"/>
      <c r="O159" s="432"/>
      <c r="P159" s="432">
        <f>SUM(P148:P158)</f>
        <v>54361.495999999992</v>
      </c>
      <c r="Q159" s="432"/>
      <c r="R159" s="432"/>
      <c r="S159" s="432"/>
      <c r="T159" s="432"/>
      <c r="U159" s="433"/>
    </row>
    <row r="160" spans="1:21" x14ac:dyDescent="0.25">
      <c r="A160" s="57">
        <v>150</v>
      </c>
      <c r="B160" s="58">
        <v>46113</v>
      </c>
      <c r="C160" s="531">
        <v>8612519</v>
      </c>
      <c r="D160" s="532">
        <v>50198597</v>
      </c>
      <c r="E160" s="533">
        <v>60.65</v>
      </c>
      <c r="F160" s="29">
        <v>903.39</v>
      </c>
      <c r="G160" s="29">
        <f t="shared" ref="G160:G192" si="24">E160*F160</f>
        <v>54790.603499999997</v>
      </c>
      <c r="H160" s="63">
        <v>75336.02</v>
      </c>
      <c r="I160" s="64">
        <f t="shared" ref="I160:I192" si="25">E160*H160</f>
        <v>4569129.6129999999</v>
      </c>
      <c r="J160" s="408" t="s">
        <v>22</v>
      </c>
      <c r="K160" s="446" t="s">
        <v>23</v>
      </c>
      <c r="L160" s="230"/>
      <c r="M160" s="245"/>
      <c r="N160" s="68"/>
      <c r="O160" s="420">
        <v>83.02</v>
      </c>
      <c r="P160" s="421">
        <f t="shared" ref="P160:P192" si="26">E160*O160</f>
        <v>5035.1629999999996</v>
      </c>
      <c r="Q160" s="435"/>
      <c r="R160" s="435"/>
      <c r="S160" s="435"/>
      <c r="T160" s="435"/>
      <c r="U160" s="436"/>
    </row>
    <row r="161" spans="1:21" x14ac:dyDescent="0.25">
      <c r="A161" s="70">
        <f>A160+1</f>
        <v>151</v>
      </c>
      <c r="B161" s="98">
        <v>46113</v>
      </c>
      <c r="C161" s="534">
        <v>8612520</v>
      </c>
      <c r="D161" s="535">
        <v>50362458</v>
      </c>
      <c r="E161" s="536">
        <v>52.7</v>
      </c>
      <c r="F161" s="31">
        <v>903.39</v>
      </c>
      <c r="G161" s="31">
        <f t="shared" si="24"/>
        <v>47608.652999999998</v>
      </c>
      <c r="H161" s="76">
        <v>75336.02</v>
      </c>
      <c r="I161" s="113">
        <f t="shared" si="25"/>
        <v>3970208.2540000007</v>
      </c>
      <c r="J161" s="114" t="s">
        <v>22</v>
      </c>
      <c r="K161" s="422" t="s">
        <v>23</v>
      </c>
      <c r="L161" s="231"/>
      <c r="M161" s="247"/>
      <c r="N161" s="75"/>
      <c r="O161" s="522">
        <v>83.02</v>
      </c>
      <c r="P161" s="523">
        <f t="shared" si="26"/>
        <v>4375.1540000000005</v>
      </c>
      <c r="Q161" s="437"/>
      <c r="R161" s="437"/>
      <c r="S161" s="437"/>
      <c r="T161" s="437"/>
      <c r="U161" s="438"/>
    </row>
    <row r="162" spans="1:21" x14ac:dyDescent="0.25">
      <c r="A162" s="70">
        <f t="shared" ref="A162:A192" si="27">A161+1</f>
        <v>152</v>
      </c>
      <c r="B162" s="98">
        <v>46113</v>
      </c>
      <c r="C162" s="534">
        <v>8612520</v>
      </c>
      <c r="D162" s="535">
        <v>50497163</v>
      </c>
      <c r="E162" s="536">
        <v>60.6</v>
      </c>
      <c r="F162" s="31">
        <v>903.39</v>
      </c>
      <c r="G162" s="31">
        <f t="shared" si="24"/>
        <v>54745.434000000001</v>
      </c>
      <c r="H162" s="76">
        <v>75336.02</v>
      </c>
      <c r="I162" s="113">
        <f t="shared" si="25"/>
        <v>4565362.8119999999</v>
      </c>
      <c r="J162" s="114" t="s">
        <v>22</v>
      </c>
      <c r="K162" s="422" t="s">
        <v>23</v>
      </c>
      <c r="L162" s="231"/>
      <c r="M162" s="247"/>
      <c r="N162" s="75"/>
      <c r="O162" s="522">
        <v>83.02</v>
      </c>
      <c r="P162" s="523">
        <f t="shared" si="26"/>
        <v>5031.0119999999997</v>
      </c>
      <c r="Q162" s="437"/>
      <c r="R162" s="437"/>
      <c r="S162" s="437"/>
      <c r="T162" s="437"/>
      <c r="U162" s="438"/>
    </row>
    <row r="163" spans="1:21" x14ac:dyDescent="0.25">
      <c r="A163" s="70">
        <f t="shared" si="27"/>
        <v>153</v>
      </c>
      <c r="B163" s="98">
        <v>46113</v>
      </c>
      <c r="C163" s="534">
        <v>8612519</v>
      </c>
      <c r="D163" s="535">
        <v>50539865</v>
      </c>
      <c r="E163" s="536">
        <v>60.6</v>
      </c>
      <c r="F163" s="31">
        <v>903.39</v>
      </c>
      <c r="G163" s="31">
        <f t="shared" si="24"/>
        <v>54745.434000000001</v>
      </c>
      <c r="H163" s="76">
        <v>75336.02</v>
      </c>
      <c r="I163" s="113">
        <f t="shared" si="25"/>
        <v>4565362.8119999999</v>
      </c>
      <c r="J163" s="114" t="s">
        <v>22</v>
      </c>
      <c r="K163" s="422" t="s">
        <v>23</v>
      </c>
      <c r="L163" s="231"/>
      <c r="M163" s="247"/>
      <c r="N163" s="75"/>
      <c r="O163" s="522">
        <v>83.02</v>
      </c>
      <c r="P163" s="523">
        <f t="shared" si="26"/>
        <v>5031.0119999999997</v>
      </c>
      <c r="Q163" s="437"/>
      <c r="R163" s="437"/>
      <c r="S163" s="437"/>
      <c r="T163" s="437"/>
      <c r="U163" s="438"/>
    </row>
    <row r="164" spans="1:21" x14ac:dyDescent="0.25">
      <c r="A164" s="70">
        <f t="shared" si="27"/>
        <v>154</v>
      </c>
      <c r="B164" s="98">
        <v>46113</v>
      </c>
      <c r="C164" s="534">
        <v>8612519</v>
      </c>
      <c r="D164" s="535">
        <v>50749068</v>
      </c>
      <c r="E164" s="536">
        <v>60.35</v>
      </c>
      <c r="F164" s="31">
        <v>903.39</v>
      </c>
      <c r="G164" s="31">
        <f t="shared" si="24"/>
        <v>54519.586499999998</v>
      </c>
      <c r="H164" s="76">
        <v>75336.02</v>
      </c>
      <c r="I164" s="113">
        <f t="shared" si="25"/>
        <v>4546528.807</v>
      </c>
      <c r="J164" s="114" t="s">
        <v>22</v>
      </c>
      <c r="K164" s="422" t="s">
        <v>23</v>
      </c>
      <c r="L164" s="231"/>
      <c r="M164" s="247"/>
      <c r="N164" s="75"/>
      <c r="O164" s="522">
        <v>83.02</v>
      </c>
      <c r="P164" s="523">
        <f t="shared" si="26"/>
        <v>5010.2569999999996</v>
      </c>
      <c r="Q164" s="437"/>
      <c r="R164" s="437"/>
      <c r="S164" s="437"/>
      <c r="T164" s="437"/>
      <c r="U164" s="438"/>
    </row>
    <row r="165" spans="1:21" x14ac:dyDescent="0.25">
      <c r="A165" s="70">
        <f t="shared" si="27"/>
        <v>155</v>
      </c>
      <c r="B165" s="98">
        <v>46113</v>
      </c>
      <c r="C165" s="534">
        <v>8612520</v>
      </c>
      <c r="D165" s="535">
        <v>50974567</v>
      </c>
      <c r="E165" s="536">
        <v>60.6</v>
      </c>
      <c r="F165" s="31">
        <v>903.39</v>
      </c>
      <c r="G165" s="31">
        <f t="shared" si="24"/>
        <v>54745.434000000001</v>
      </c>
      <c r="H165" s="76">
        <v>75336.02</v>
      </c>
      <c r="I165" s="113">
        <f t="shared" si="25"/>
        <v>4565362.8119999999</v>
      </c>
      <c r="J165" s="114" t="s">
        <v>22</v>
      </c>
      <c r="K165" s="422" t="s">
        <v>23</v>
      </c>
      <c r="L165" s="231"/>
      <c r="M165" s="247"/>
      <c r="N165" s="75"/>
      <c r="O165" s="522">
        <v>83.02</v>
      </c>
      <c r="P165" s="523">
        <f t="shared" si="26"/>
        <v>5031.0119999999997</v>
      </c>
      <c r="Q165" s="437"/>
      <c r="R165" s="437"/>
      <c r="S165" s="437"/>
      <c r="T165" s="437"/>
      <c r="U165" s="438"/>
    </row>
    <row r="166" spans="1:21" x14ac:dyDescent="0.25">
      <c r="A166" s="70">
        <f t="shared" si="27"/>
        <v>156</v>
      </c>
      <c r="B166" s="98">
        <v>46113</v>
      </c>
      <c r="C166" s="534">
        <v>8612520</v>
      </c>
      <c r="D166" s="535">
        <v>52078698</v>
      </c>
      <c r="E166" s="536">
        <v>60.6</v>
      </c>
      <c r="F166" s="31">
        <v>903.39</v>
      </c>
      <c r="G166" s="31">
        <f t="shared" si="24"/>
        <v>54745.434000000001</v>
      </c>
      <c r="H166" s="76">
        <v>75336.02</v>
      </c>
      <c r="I166" s="113">
        <f t="shared" si="25"/>
        <v>4565362.8119999999</v>
      </c>
      <c r="J166" s="114" t="s">
        <v>22</v>
      </c>
      <c r="K166" s="422" t="s">
        <v>23</v>
      </c>
      <c r="L166" s="231"/>
      <c r="M166" s="247"/>
      <c r="N166" s="75"/>
      <c r="O166" s="522">
        <v>83.02</v>
      </c>
      <c r="P166" s="523">
        <f t="shared" si="26"/>
        <v>5031.0119999999997</v>
      </c>
      <c r="Q166" s="437"/>
      <c r="R166" s="437"/>
      <c r="S166" s="437"/>
      <c r="T166" s="437"/>
      <c r="U166" s="438"/>
    </row>
    <row r="167" spans="1:21" x14ac:dyDescent="0.25">
      <c r="A167" s="70">
        <f t="shared" si="27"/>
        <v>157</v>
      </c>
      <c r="B167" s="98">
        <v>46113</v>
      </c>
      <c r="C167" s="534">
        <v>8612519</v>
      </c>
      <c r="D167" s="535">
        <v>53873527</v>
      </c>
      <c r="E167" s="536">
        <v>60.6</v>
      </c>
      <c r="F167" s="31">
        <v>903.39</v>
      </c>
      <c r="G167" s="31">
        <f t="shared" si="24"/>
        <v>54745.434000000001</v>
      </c>
      <c r="H167" s="76">
        <v>75336.02</v>
      </c>
      <c r="I167" s="113">
        <f t="shared" si="25"/>
        <v>4565362.8119999999</v>
      </c>
      <c r="J167" s="114" t="s">
        <v>22</v>
      </c>
      <c r="K167" s="422" t="s">
        <v>23</v>
      </c>
      <c r="L167" s="231"/>
      <c r="M167" s="247"/>
      <c r="N167" s="75"/>
      <c r="O167" s="522">
        <v>83.02</v>
      </c>
      <c r="P167" s="523">
        <f t="shared" si="26"/>
        <v>5031.0119999999997</v>
      </c>
      <c r="Q167" s="437"/>
      <c r="R167" s="437"/>
      <c r="S167" s="437"/>
      <c r="T167" s="437"/>
      <c r="U167" s="438"/>
    </row>
    <row r="168" spans="1:21" x14ac:dyDescent="0.25">
      <c r="A168" s="70">
        <f t="shared" si="27"/>
        <v>158</v>
      </c>
      <c r="B168" s="98">
        <v>46113</v>
      </c>
      <c r="C168" s="534">
        <v>8612522</v>
      </c>
      <c r="D168" s="535">
        <v>54032222</v>
      </c>
      <c r="E168" s="536">
        <v>60.7</v>
      </c>
      <c r="F168" s="31">
        <v>903.39</v>
      </c>
      <c r="G168" s="31">
        <f t="shared" si="24"/>
        <v>54835.773000000001</v>
      </c>
      <c r="H168" s="76">
        <v>75336.02</v>
      </c>
      <c r="I168" s="113">
        <f t="shared" si="25"/>
        <v>4572896.4140000008</v>
      </c>
      <c r="J168" s="114" t="s">
        <v>22</v>
      </c>
      <c r="K168" s="422" t="s">
        <v>23</v>
      </c>
      <c r="L168" s="231"/>
      <c r="M168" s="247"/>
      <c r="N168" s="75"/>
      <c r="O168" s="522">
        <v>83.02</v>
      </c>
      <c r="P168" s="523">
        <f t="shared" si="26"/>
        <v>5039.3140000000003</v>
      </c>
      <c r="Q168" s="437"/>
      <c r="R168" s="437"/>
      <c r="S168" s="437"/>
      <c r="T168" s="437"/>
      <c r="U168" s="438"/>
    </row>
    <row r="169" spans="1:21" x14ac:dyDescent="0.25">
      <c r="A169" s="70">
        <f t="shared" si="27"/>
        <v>159</v>
      </c>
      <c r="B169" s="98">
        <v>46113</v>
      </c>
      <c r="C169" s="534">
        <v>8612520</v>
      </c>
      <c r="D169" s="535">
        <v>54070933</v>
      </c>
      <c r="E169" s="536">
        <v>60.6</v>
      </c>
      <c r="F169" s="31">
        <v>903.39</v>
      </c>
      <c r="G169" s="31">
        <f t="shared" si="24"/>
        <v>54745.434000000001</v>
      </c>
      <c r="H169" s="76">
        <v>75336.02</v>
      </c>
      <c r="I169" s="113">
        <f t="shared" si="25"/>
        <v>4565362.8119999999</v>
      </c>
      <c r="J169" s="114" t="s">
        <v>22</v>
      </c>
      <c r="K169" s="422" t="s">
        <v>23</v>
      </c>
      <c r="L169" s="231"/>
      <c r="M169" s="247"/>
      <c r="N169" s="75"/>
      <c r="O169" s="522">
        <v>83.02</v>
      </c>
      <c r="P169" s="523">
        <f t="shared" si="26"/>
        <v>5031.0119999999997</v>
      </c>
      <c r="Q169" s="437"/>
      <c r="R169" s="437"/>
      <c r="S169" s="437"/>
      <c r="T169" s="437"/>
      <c r="U169" s="438"/>
    </row>
    <row r="170" spans="1:21" x14ac:dyDescent="0.25">
      <c r="A170" s="70">
        <f t="shared" si="27"/>
        <v>160</v>
      </c>
      <c r="B170" s="98">
        <v>46113</v>
      </c>
      <c r="C170" s="534">
        <v>8612520</v>
      </c>
      <c r="D170" s="535">
        <v>54092531</v>
      </c>
      <c r="E170" s="536">
        <v>60.6</v>
      </c>
      <c r="F170" s="31">
        <v>903.39</v>
      </c>
      <c r="G170" s="31">
        <f t="shared" si="24"/>
        <v>54745.434000000001</v>
      </c>
      <c r="H170" s="76">
        <v>75336.02</v>
      </c>
      <c r="I170" s="113">
        <f t="shared" si="25"/>
        <v>4565362.8119999999</v>
      </c>
      <c r="J170" s="114" t="s">
        <v>22</v>
      </c>
      <c r="K170" s="422" t="s">
        <v>23</v>
      </c>
      <c r="L170" s="231"/>
      <c r="M170" s="247"/>
      <c r="N170" s="75"/>
      <c r="O170" s="522">
        <v>83.02</v>
      </c>
      <c r="P170" s="523">
        <f t="shared" si="26"/>
        <v>5031.0119999999997</v>
      </c>
      <c r="Q170" s="437"/>
      <c r="R170" s="437"/>
      <c r="S170" s="437"/>
      <c r="T170" s="437"/>
      <c r="U170" s="438"/>
    </row>
    <row r="171" spans="1:21" x14ac:dyDescent="0.25">
      <c r="A171" s="70">
        <f t="shared" si="27"/>
        <v>161</v>
      </c>
      <c r="B171" s="98">
        <v>46113</v>
      </c>
      <c r="C171" s="534">
        <v>8612520</v>
      </c>
      <c r="D171" s="535">
        <v>54092879</v>
      </c>
      <c r="E171" s="536">
        <v>60.7</v>
      </c>
      <c r="F171" s="31">
        <v>903.39</v>
      </c>
      <c r="G171" s="31">
        <f t="shared" si="24"/>
        <v>54835.773000000001</v>
      </c>
      <c r="H171" s="76">
        <v>75336.02</v>
      </c>
      <c r="I171" s="113">
        <f t="shared" si="25"/>
        <v>4572896.4140000008</v>
      </c>
      <c r="J171" s="114" t="s">
        <v>22</v>
      </c>
      <c r="K171" s="422" t="s">
        <v>23</v>
      </c>
      <c r="L171" s="231"/>
      <c r="M171" s="247"/>
      <c r="N171" s="75"/>
      <c r="O171" s="522">
        <v>83.02</v>
      </c>
      <c r="P171" s="523">
        <f t="shared" si="26"/>
        <v>5039.3140000000003</v>
      </c>
      <c r="Q171" s="437"/>
      <c r="R171" s="437"/>
      <c r="S171" s="437"/>
      <c r="T171" s="437"/>
      <c r="U171" s="438"/>
    </row>
    <row r="172" spans="1:21" x14ac:dyDescent="0.25">
      <c r="A172" s="70">
        <f t="shared" si="27"/>
        <v>162</v>
      </c>
      <c r="B172" s="98">
        <v>46113</v>
      </c>
      <c r="C172" s="534">
        <v>8612520</v>
      </c>
      <c r="D172" s="535">
        <v>54256474</v>
      </c>
      <c r="E172" s="536">
        <v>60.55</v>
      </c>
      <c r="F172" s="31">
        <v>903.39</v>
      </c>
      <c r="G172" s="31">
        <f t="shared" si="24"/>
        <v>54700.264499999997</v>
      </c>
      <c r="H172" s="76">
        <v>75336.02</v>
      </c>
      <c r="I172" s="113">
        <f t="shared" si="25"/>
        <v>4561596.0109999999</v>
      </c>
      <c r="J172" s="114" t="s">
        <v>22</v>
      </c>
      <c r="K172" s="422" t="s">
        <v>23</v>
      </c>
      <c r="L172" s="231"/>
      <c r="M172" s="247"/>
      <c r="N172" s="75"/>
      <c r="O172" s="522">
        <v>83.02</v>
      </c>
      <c r="P172" s="523">
        <f t="shared" si="26"/>
        <v>5026.8609999999999</v>
      </c>
      <c r="Q172" s="437"/>
      <c r="R172" s="437"/>
      <c r="S172" s="437"/>
      <c r="T172" s="437"/>
      <c r="U172" s="438"/>
    </row>
    <row r="173" spans="1:21" x14ac:dyDescent="0.25">
      <c r="A173" s="70">
        <f t="shared" si="27"/>
        <v>163</v>
      </c>
      <c r="B173" s="98">
        <v>46113</v>
      </c>
      <c r="C173" s="534">
        <v>8612519</v>
      </c>
      <c r="D173" s="535">
        <v>58708371</v>
      </c>
      <c r="E173" s="536">
        <v>61.05</v>
      </c>
      <c r="F173" s="31">
        <v>903.39</v>
      </c>
      <c r="G173" s="31">
        <f t="shared" si="24"/>
        <v>55151.959499999997</v>
      </c>
      <c r="H173" s="76">
        <v>75336.02</v>
      </c>
      <c r="I173" s="113">
        <f t="shared" si="25"/>
        <v>4599264.0209999997</v>
      </c>
      <c r="J173" s="114" t="s">
        <v>22</v>
      </c>
      <c r="K173" s="422" t="s">
        <v>23</v>
      </c>
      <c r="L173" s="231"/>
      <c r="M173" s="247"/>
      <c r="N173" s="75"/>
      <c r="O173" s="522">
        <v>83.02</v>
      </c>
      <c r="P173" s="523">
        <f t="shared" si="26"/>
        <v>5068.3709999999992</v>
      </c>
      <c r="Q173" s="437"/>
      <c r="R173" s="437"/>
      <c r="S173" s="437"/>
      <c r="T173" s="437"/>
      <c r="U173" s="438"/>
    </row>
    <row r="174" spans="1:21" x14ac:dyDescent="0.25">
      <c r="A174" s="70">
        <f t="shared" si="27"/>
        <v>164</v>
      </c>
      <c r="B174" s="98">
        <v>46113</v>
      </c>
      <c r="C174" s="534">
        <v>8612520</v>
      </c>
      <c r="D174" s="535">
        <v>73004012</v>
      </c>
      <c r="E174" s="536">
        <v>61.1</v>
      </c>
      <c r="F174" s="31">
        <v>903.39</v>
      </c>
      <c r="G174" s="31">
        <f t="shared" si="24"/>
        <v>55197.129000000001</v>
      </c>
      <c r="H174" s="76">
        <v>75336.02</v>
      </c>
      <c r="I174" s="113">
        <f t="shared" si="25"/>
        <v>4603030.8220000006</v>
      </c>
      <c r="J174" s="114" t="s">
        <v>22</v>
      </c>
      <c r="K174" s="422" t="s">
        <v>23</v>
      </c>
      <c r="L174" s="231"/>
      <c r="M174" s="247"/>
      <c r="N174" s="75"/>
      <c r="O174" s="522">
        <v>83.02</v>
      </c>
      <c r="P174" s="523">
        <f t="shared" si="26"/>
        <v>5072.5219999999999</v>
      </c>
      <c r="Q174" s="437"/>
      <c r="R174" s="437"/>
      <c r="S174" s="437"/>
      <c r="T174" s="437"/>
      <c r="U174" s="438"/>
    </row>
    <row r="175" spans="1:21" x14ac:dyDescent="0.25">
      <c r="A175" s="70">
        <f t="shared" si="27"/>
        <v>165</v>
      </c>
      <c r="B175" s="98">
        <v>46113</v>
      </c>
      <c r="C175" s="534">
        <v>8612520</v>
      </c>
      <c r="D175" s="535">
        <v>73071755</v>
      </c>
      <c r="E175" s="536">
        <v>61.25</v>
      </c>
      <c r="F175" s="31">
        <v>903.39</v>
      </c>
      <c r="G175" s="31">
        <f t="shared" si="24"/>
        <v>55332.637499999997</v>
      </c>
      <c r="H175" s="76">
        <v>75336.02</v>
      </c>
      <c r="I175" s="113">
        <f t="shared" si="25"/>
        <v>4614331.2250000006</v>
      </c>
      <c r="J175" s="114" t="s">
        <v>22</v>
      </c>
      <c r="K175" s="422" t="s">
        <v>23</v>
      </c>
      <c r="L175" s="231"/>
      <c r="M175" s="247"/>
      <c r="N175" s="75"/>
      <c r="O175" s="522">
        <v>83.02</v>
      </c>
      <c r="P175" s="523">
        <f t="shared" si="26"/>
        <v>5084.9749999999995</v>
      </c>
      <c r="Q175" s="437"/>
      <c r="R175" s="437"/>
      <c r="S175" s="437"/>
      <c r="T175" s="437"/>
      <c r="U175" s="438"/>
    </row>
    <row r="176" spans="1:21" x14ac:dyDescent="0.25">
      <c r="A176" s="70">
        <f t="shared" si="27"/>
        <v>166</v>
      </c>
      <c r="B176" s="98">
        <v>46113</v>
      </c>
      <c r="C176" s="534">
        <v>8612520</v>
      </c>
      <c r="D176" s="535">
        <v>73083784</v>
      </c>
      <c r="E176" s="536">
        <v>61.15</v>
      </c>
      <c r="F176" s="31">
        <v>903.39</v>
      </c>
      <c r="G176" s="31">
        <f t="shared" si="24"/>
        <v>55242.298499999997</v>
      </c>
      <c r="H176" s="76">
        <v>75336.02</v>
      </c>
      <c r="I176" s="113">
        <f t="shared" si="25"/>
        <v>4606797.6230000006</v>
      </c>
      <c r="J176" s="114" t="s">
        <v>22</v>
      </c>
      <c r="K176" s="422" t="s">
        <v>23</v>
      </c>
      <c r="L176" s="231"/>
      <c r="M176" s="247"/>
      <c r="N176" s="75"/>
      <c r="O176" s="522">
        <v>83.02</v>
      </c>
      <c r="P176" s="523">
        <f t="shared" si="26"/>
        <v>5076.6729999999998</v>
      </c>
      <c r="Q176" s="437"/>
      <c r="R176" s="437"/>
      <c r="S176" s="437"/>
      <c r="T176" s="437"/>
      <c r="U176" s="438"/>
    </row>
    <row r="177" spans="1:21" x14ac:dyDescent="0.25">
      <c r="A177" s="70">
        <f t="shared" si="27"/>
        <v>167</v>
      </c>
      <c r="B177" s="98">
        <v>46113</v>
      </c>
      <c r="C177" s="534">
        <v>8612520</v>
      </c>
      <c r="D177" s="535">
        <v>73094880</v>
      </c>
      <c r="E177" s="536">
        <v>61.05</v>
      </c>
      <c r="F177" s="31">
        <v>903.39</v>
      </c>
      <c r="G177" s="31">
        <f t="shared" si="24"/>
        <v>55151.959499999997</v>
      </c>
      <c r="H177" s="76">
        <v>75336.02</v>
      </c>
      <c r="I177" s="113">
        <f t="shared" si="25"/>
        <v>4599264.0209999997</v>
      </c>
      <c r="J177" s="114" t="s">
        <v>22</v>
      </c>
      <c r="K177" s="422" t="s">
        <v>23</v>
      </c>
      <c r="L177" s="231"/>
      <c r="M177" s="247"/>
      <c r="N177" s="75"/>
      <c r="O177" s="522">
        <v>83.02</v>
      </c>
      <c r="P177" s="523">
        <f t="shared" si="26"/>
        <v>5068.3709999999992</v>
      </c>
      <c r="Q177" s="437"/>
      <c r="R177" s="437"/>
      <c r="S177" s="437"/>
      <c r="T177" s="437"/>
      <c r="U177" s="438"/>
    </row>
    <row r="178" spans="1:21" x14ac:dyDescent="0.25">
      <c r="A178" s="70">
        <f t="shared" si="27"/>
        <v>168</v>
      </c>
      <c r="B178" s="98">
        <v>46113</v>
      </c>
      <c r="C178" s="534">
        <v>8612523</v>
      </c>
      <c r="D178" s="535">
        <v>73107617</v>
      </c>
      <c r="E178" s="536">
        <v>61.2</v>
      </c>
      <c r="F178" s="31">
        <v>903.39</v>
      </c>
      <c r="G178" s="31">
        <f t="shared" si="24"/>
        <v>55287.468000000001</v>
      </c>
      <c r="H178" s="76">
        <v>75336.02</v>
      </c>
      <c r="I178" s="113">
        <f t="shared" si="25"/>
        <v>4610564.4240000006</v>
      </c>
      <c r="J178" s="114" t="s">
        <v>22</v>
      </c>
      <c r="K178" s="422" t="s">
        <v>23</v>
      </c>
      <c r="L178" s="231"/>
      <c r="M178" s="247"/>
      <c r="N178" s="75"/>
      <c r="O178" s="522">
        <v>83.02</v>
      </c>
      <c r="P178" s="523">
        <f t="shared" si="26"/>
        <v>5080.8239999999996</v>
      </c>
      <c r="Q178" s="437"/>
      <c r="R178" s="437"/>
      <c r="S178" s="437"/>
      <c r="T178" s="437"/>
      <c r="U178" s="438"/>
    </row>
    <row r="179" spans="1:21" x14ac:dyDescent="0.25">
      <c r="A179" s="70">
        <f t="shared" si="27"/>
        <v>169</v>
      </c>
      <c r="B179" s="98">
        <v>46113</v>
      </c>
      <c r="C179" s="534">
        <v>8612523</v>
      </c>
      <c r="D179" s="535">
        <v>73113722</v>
      </c>
      <c r="E179" s="536">
        <v>61.1</v>
      </c>
      <c r="F179" s="31">
        <v>903.39</v>
      </c>
      <c r="G179" s="31">
        <f t="shared" si="24"/>
        <v>55197.129000000001</v>
      </c>
      <c r="H179" s="76">
        <v>75336.02</v>
      </c>
      <c r="I179" s="113">
        <f t="shared" si="25"/>
        <v>4603030.8220000006</v>
      </c>
      <c r="J179" s="114" t="s">
        <v>22</v>
      </c>
      <c r="K179" s="422" t="s">
        <v>23</v>
      </c>
      <c r="L179" s="231"/>
      <c r="M179" s="247"/>
      <c r="N179" s="75"/>
      <c r="O179" s="522">
        <v>83.02</v>
      </c>
      <c r="P179" s="523">
        <f t="shared" si="26"/>
        <v>5072.5219999999999</v>
      </c>
      <c r="Q179" s="437"/>
      <c r="R179" s="437"/>
      <c r="S179" s="437"/>
      <c r="T179" s="437"/>
      <c r="U179" s="438"/>
    </row>
    <row r="180" spans="1:21" x14ac:dyDescent="0.25">
      <c r="A180" s="70">
        <f t="shared" si="27"/>
        <v>170</v>
      </c>
      <c r="B180" s="98">
        <v>46113</v>
      </c>
      <c r="C180" s="534">
        <v>8612523</v>
      </c>
      <c r="D180" s="535">
        <v>73117830</v>
      </c>
      <c r="E180" s="536">
        <v>61.1</v>
      </c>
      <c r="F180" s="31">
        <v>903.39</v>
      </c>
      <c r="G180" s="31">
        <f t="shared" si="24"/>
        <v>55197.129000000001</v>
      </c>
      <c r="H180" s="76">
        <v>75336.02</v>
      </c>
      <c r="I180" s="113">
        <f t="shared" si="25"/>
        <v>4603030.8220000006</v>
      </c>
      <c r="J180" s="114" t="s">
        <v>22</v>
      </c>
      <c r="K180" s="422" t="s">
        <v>23</v>
      </c>
      <c r="L180" s="231"/>
      <c r="M180" s="247"/>
      <c r="N180" s="75"/>
      <c r="O180" s="522">
        <v>83.02</v>
      </c>
      <c r="P180" s="523">
        <f t="shared" si="26"/>
        <v>5072.5219999999999</v>
      </c>
      <c r="Q180" s="437"/>
      <c r="R180" s="437"/>
      <c r="S180" s="437"/>
      <c r="T180" s="437"/>
      <c r="U180" s="438"/>
    </row>
    <row r="181" spans="1:21" x14ac:dyDescent="0.25">
      <c r="A181" s="70">
        <f t="shared" si="27"/>
        <v>171</v>
      </c>
      <c r="B181" s="98">
        <v>46113</v>
      </c>
      <c r="C181" s="534">
        <v>8612523</v>
      </c>
      <c r="D181" s="535">
        <v>73167116</v>
      </c>
      <c r="E181" s="536">
        <v>61.1</v>
      </c>
      <c r="F181" s="31">
        <v>903.39</v>
      </c>
      <c r="G181" s="31">
        <f t="shared" si="24"/>
        <v>55197.129000000001</v>
      </c>
      <c r="H181" s="76">
        <v>75336.02</v>
      </c>
      <c r="I181" s="113">
        <f t="shared" si="25"/>
        <v>4603030.8220000006</v>
      </c>
      <c r="J181" s="114" t="s">
        <v>22</v>
      </c>
      <c r="K181" s="422" t="s">
        <v>23</v>
      </c>
      <c r="L181" s="231"/>
      <c r="M181" s="247"/>
      <c r="N181" s="75"/>
      <c r="O181" s="522">
        <v>83.02</v>
      </c>
      <c r="P181" s="523">
        <f t="shared" si="26"/>
        <v>5072.5219999999999</v>
      </c>
      <c r="Q181" s="437"/>
      <c r="R181" s="437"/>
      <c r="S181" s="437"/>
      <c r="T181" s="437"/>
      <c r="U181" s="438"/>
    </row>
    <row r="182" spans="1:21" x14ac:dyDescent="0.25">
      <c r="A182" s="70">
        <f t="shared" si="27"/>
        <v>172</v>
      </c>
      <c r="B182" s="98">
        <v>46113</v>
      </c>
      <c r="C182" s="534">
        <v>8612523</v>
      </c>
      <c r="D182" s="535">
        <v>73172181</v>
      </c>
      <c r="E182" s="536">
        <v>61.1</v>
      </c>
      <c r="F182" s="31">
        <v>903.39</v>
      </c>
      <c r="G182" s="31">
        <f t="shared" si="24"/>
        <v>55197.129000000001</v>
      </c>
      <c r="H182" s="76">
        <v>75336.02</v>
      </c>
      <c r="I182" s="113">
        <f t="shared" si="25"/>
        <v>4603030.8220000006</v>
      </c>
      <c r="J182" s="114" t="s">
        <v>22</v>
      </c>
      <c r="K182" s="422" t="s">
        <v>23</v>
      </c>
      <c r="L182" s="231"/>
      <c r="M182" s="247"/>
      <c r="N182" s="75"/>
      <c r="O182" s="522">
        <v>83.02</v>
      </c>
      <c r="P182" s="523">
        <f t="shared" si="26"/>
        <v>5072.5219999999999</v>
      </c>
      <c r="Q182" s="437"/>
      <c r="R182" s="437"/>
      <c r="S182" s="437"/>
      <c r="T182" s="437"/>
      <c r="U182" s="438"/>
    </row>
    <row r="183" spans="1:21" x14ac:dyDescent="0.25">
      <c r="A183" s="70">
        <f t="shared" si="27"/>
        <v>173</v>
      </c>
      <c r="B183" s="98">
        <v>46113</v>
      </c>
      <c r="C183" s="534">
        <v>8612520</v>
      </c>
      <c r="D183" s="535">
        <v>73175101</v>
      </c>
      <c r="E183" s="536">
        <v>61.1</v>
      </c>
      <c r="F183" s="31">
        <v>903.39</v>
      </c>
      <c r="G183" s="31">
        <f t="shared" si="24"/>
        <v>55197.129000000001</v>
      </c>
      <c r="H183" s="76">
        <v>75336.02</v>
      </c>
      <c r="I183" s="113">
        <f t="shared" si="25"/>
        <v>4603030.8220000006</v>
      </c>
      <c r="J183" s="114" t="s">
        <v>22</v>
      </c>
      <c r="K183" s="422" t="s">
        <v>23</v>
      </c>
      <c r="L183" s="231"/>
      <c r="M183" s="247"/>
      <c r="N183" s="75"/>
      <c r="O183" s="522">
        <v>83.02</v>
      </c>
      <c r="P183" s="523">
        <f t="shared" si="26"/>
        <v>5072.5219999999999</v>
      </c>
      <c r="Q183" s="437"/>
      <c r="R183" s="437"/>
      <c r="S183" s="437"/>
      <c r="T183" s="437"/>
      <c r="U183" s="438"/>
    </row>
    <row r="184" spans="1:21" x14ac:dyDescent="0.25">
      <c r="A184" s="70">
        <f t="shared" si="27"/>
        <v>174</v>
      </c>
      <c r="B184" s="98">
        <v>46113</v>
      </c>
      <c r="C184" s="534">
        <v>8612523</v>
      </c>
      <c r="D184" s="535">
        <v>73175481</v>
      </c>
      <c r="E184" s="536">
        <v>61.1</v>
      </c>
      <c r="F184" s="31">
        <v>903.39</v>
      </c>
      <c r="G184" s="31">
        <f t="shared" si="24"/>
        <v>55197.129000000001</v>
      </c>
      <c r="H184" s="76">
        <v>75336.02</v>
      </c>
      <c r="I184" s="113">
        <f t="shared" si="25"/>
        <v>4603030.8220000006</v>
      </c>
      <c r="J184" s="114" t="s">
        <v>22</v>
      </c>
      <c r="K184" s="422" t="s">
        <v>23</v>
      </c>
      <c r="L184" s="231"/>
      <c r="M184" s="247"/>
      <c r="N184" s="75"/>
      <c r="O184" s="522">
        <v>83.02</v>
      </c>
      <c r="P184" s="523">
        <f t="shared" si="26"/>
        <v>5072.5219999999999</v>
      </c>
      <c r="Q184" s="437"/>
      <c r="R184" s="437"/>
      <c r="S184" s="437"/>
      <c r="T184" s="437"/>
      <c r="U184" s="438"/>
    </row>
    <row r="185" spans="1:21" x14ac:dyDescent="0.25">
      <c r="A185" s="70">
        <f t="shared" si="27"/>
        <v>175</v>
      </c>
      <c r="B185" s="98">
        <v>46113</v>
      </c>
      <c r="C185" s="534">
        <v>8612520</v>
      </c>
      <c r="D185" s="535">
        <v>73221400</v>
      </c>
      <c r="E185" s="536">
        <v>61.05</v>
      </c>
      <c r="F185" s="31">
        <v>903.39</v>
      </c>
      <c r="G185" s="31">
        <f t="shared" si="24"/>
        <v>55151.959499999997</v>
      </c>
      <c r="H185" s="76">
        <v>75336.02</v>
      </c>
      <c r="I185" s="113">
        <f t="shared" si="25"/>
        <v>4599264.0209999997</v>
      </c>
      <c r="J185" s="114" t="s">
        <v>22</v>
      </c>
      <c r="K185" s="422" t="s">
        <v>23</v>
      </c>
      <c r="L185" s="231"/>
      <c r="M185" s="247"/>
      <c r="N185" s="75"/>
      <c r="O185" s="522">
        <v>83.02</v>
      </c>
      <c r="P185" s="523">
        <f t="shared" si="26"/>
        <v>5068.3709999999992</v>
      </c>
      <c r="Q185" s="437"/>
      <c r="R185" s="437"/>
      <c r="S185" s="437"/>
      <c r="T185" s="437"/>
      <c r="U185" s="438"/>
    </row>
    <row r="186" spans="1:21" x14ac:dyDescent="0.25">
      <c r="A186" s="70">
        <f t="shared" si="27"/>
        <v>176</v>
      </c>
      <c r="B186" s="98">
        <v>46113</v>
      </c>
      <c r="C186" s="534">
        <v>8612523</v>
      </c>
      <c r="D186" s="535">
        <v>73233207</v>
      </c>
      <c r="E186" s="536">
        <v>61.15</v>
      </c>
      <c r="F186" s="31">
        <v>903.39</v>
      </c>
      <c r="G186" s="31">
        <f t="shared" si="24"/>
        <v>55242.298499999997</v>
      </c>
      <c r="H186" s="76">
        <v>75336.02</v>
      </c>
      <c r="I186" s="113">
        <f t="shared" si="25"/>
        <v>4606797.6230000006</v>
      </c>
      <c r="J186" s="114" t="s">
        <v>22</v>
      </c>
      <c r="K186" s="422" t="s">
        <v>23</v>
      </c>
      <c r="L186" s="231"/>
      <c r="M186" s="247"/>
      <c r="N186" s="75"/>
      <c r="O186" s="522">
        <v>83.02</v>
      </c>
      <c r="P186" s="523">
        <f t="shared" si="26"/>
        <v>5076.6729999999998</v>
      </c>
      <c r="Q186" s="437"/>
      <c r="R186" s="437"/>
      <c r="S186" s="437"/>
      <c r="T186" s="437"/>
      <c r="U186" s="438"/>
    </row>
    <row r="187" spans="1:21" x14ac:dyDescent="0.25">
      <c r="A187" s="70">
        <f t="shared" si="27"/>
        <v>177</v>
      </c>
      <c r="B187" s="98">
        <v>46113</v>
      </c>
      <c r="C187" s="534">
        <v>8612523</v>
      </c>
      <c r="D187" s="535">
        <v>73240103</v>
      </c>
      <c r="E187" s="536">
        <v>61.2</v>
      </c>
      <c r="F187" s="31">
        <v>903.39</v>
      </c>
      <c r="G187" s="31">
        <f t="shared" si="24"/>
        <v>55287.468000000001</v>
      </c>
      <c r="H187" s="76">
        <v>75336.02</v>
      </c>
      <c r="I187" s="113">
        <f t="shared" si="25"/>
        <v>4610564.4240000006</v>
      </c>
      <c r="J187" s="114" t="s">
        <v>22</v>
      </c>
      <c r="K187" s="422" t="s">
        <v>23</v>
      </c>
      <c r="L187" s="231"/>
      <c r="M187" s="247"/>
      <c r="N187" s="75"/>
      <c r="O187" s="522">
        <v>83.02</v>
      </c>
      <c r="P187" s="523">
        <f t="shared" si="26"/>
        <v>5080.8239999999996</v>
      </c>
      <c r="Q187" s="437"/>
      <c r="R187" s="437"/>
      <c r="S187" s="437"/>
      <c r="T187" s="437"/>
      <c r="U187" s="438"/>
    </row>
    <row r="188" spans="1:21" x14ac:dyDescent="0.25">
      <c r="A188" s="70">
        <f t="shared" si="27"/>
        <v>178</v>
      </c>
      <c r="B188" s="98">
        <v>46113</v>
      </c>
      <c r="C188" s="534">
        <v>8612523</v>
      </c>
      <c r="D188" s="535">
        <v>73240137</v>
      </c>
      <c r="E188" s="536">
        <v>61.15</v>
      </c>
      <c r="F188" s="31">
        <v>903.39</v>
      </c>
      <c r="G188" s="31">
        <f t="shared" si="24"/>
        <v>55242.298499999997</v>
      </c>
      <c r="H188" s="76">
        <v>75336.02</v>
      </c>
      <c r="I188" s="113">
        <f t="shared" si="25"/>
        <v>4606797.6230000006</v>
      </c>
      <c r="J188" s="114" t="s">
        <v>22</v>
      </c>
      <c r="K188" s="422" t="s">
        <v>23</v>
      </c>
      <c r="L188" s="231"/>
      <c r="M188" s="247"/>
      <c r="N188" s="75"/>
      <c r="O188" s="522">
        <v>83.02</v>
      </c>
      <c r="P188" s="523">
        <f t="shared" si="26"/>
        <v>5076.6729999999998</v>
      </c>
      <c r="Q188" s="437"/>
      <c r="R188" s="437"/>
      <c r="S188" s="437"/>
      <c r="T188" s="437"/>
      <c r="U188" s="438"/>
    </row>
    <row r="189" spans="1:21" x14ac:dyDescent="0.25">
      <c r="A189" s="70">
        <f t="shared" si="27"/>
        <v>179</v>
      </c>
      <c r="B189" s="98">
        <v>46113</v>
      </c>
      <c r="C189" s="534">
        <v>8612521</v>
      </c>
      <c r="D189" s="535">
        <v>73913733</v>
      </c>
      <c r="E189" s="536">
        <v>61.1</v>
      </c>
      <c r="F189" s="31">
        <v>903.39</v>
      </c>
      <c r="G189" s="31">
        <f t="shared" si="24"/>
        <v>55197.129000000001</v>
      </c>
      <c r="H189" s="76">
        <v>75336.02</v>
      </c>
      <c r="I189" s="113">
        <f t="shared" si="25"/>
        <v>4603030.8220000006</v>
      </c>
      <c r="J189" s="114" t="s">
        <v>22</v>
      </c>
      <c r="K189" s="422" t="s">
        <v>23</v>
      </c>
      <c r="L189" s="231"/>
      <c r="M189" s="247"/>
      <c r="N189" s="75"/>
      <c r="O189" s="522">
        <v>83.02</v>
      </c>
      <c r="P189" s="523">
        <f t="shared" si="26"/>
        <v>5072.5219999999999</v>
      </c>
      <c r="Q189" s="437"/>
      <c r="R189" s="437"/>
      <c r="S189" s="437"/>
      <c r="T189" s="437"/>
      <c r="U189" s="438"/>
    </row>
    <row r="190" spans="1:21" x14ac:dyDescent="0.25">
      <c r="A190" s="70">
        <f t="shared" si="27"/>
        <v>180</v>
      </c>
      <c r="B190" s="98">
        <v>46113</v>
      </c>
      <c r="C190" s="534">
        <v>8612520</v>
      </c>
      <c r="D190" s="535">
        <v>73970626</v>
      </c>
      <c r="E190" s="536">
        <v>60.55</v>
      </c>
      <c r="F190" s="31">
        <v>903.39</v>
      </c>
      <c r="G190" s="31">
        <f t="shared" si="24"/>
        <v>54700.264499999997</v>
      </c>
      <c r="H190" s="76">
        <v>75336.02</v>
      </c>
      <c r="I190" s="113">
        <f t="shared" si="25"/>
        <v>4561596.0109999999</v>
      </c>
      <c r="J190" s="114" t="s">
        <v>22</v>
      </c>
      <c r="K190" s="422" t="s">
        <v>23</v>
      </c>
      <c r="L190" s="231"/>
      <c r="M190" s="247"/>
      <c r="N190" s="75"/>
      <c r="O190" s="522">
        <v>83.02</v>
      </c>
      <c r="P190" s="523">
        <f t="shared" si="26"/>
        <v>5026.8609999999999</v>
      </c>
      <c r="Q190" s="437"/>
      <c r="R190" s="437"/>
      <c r="S190" s="437"/>
      <c r="T190" s="437"/>
      <c r="U190" s="438"/>
    </row>
    <row r="191" spans="1:21" x14ac:dyDescent="0.25">
      <c r="A191" s="70">
        <f t="shared" si="27"/>
        <v>181</v>
      </c>
      <c r="B191" s="98">
        <v>46113</v>
      </c>
      <c r="C191" s="534">
        <v>8612523</v>
      </c>
      <c r="D191" s="535">
        <v>75213447</v>
      </c>
      <c r="E191" s="536">
        <v>61.5</v>
      </c>
      <c r="F191" s="31">
        <v>903.39</v>
      </c>
      <c r="G191" s="31">
        <f t="shared" si="24"/>
        <v>55558.485000000001</v>
      </c>
      <c r="H191" s="76">
        <v>75336.02</v>
      </c>
      <c r="I191" s="113">
        <f t="shared" si="25"/>
        <v>4633165.2300000004</v>
      </c>
      <c r="J191" s="114" t="s">
        <v>22</v>
      </c>
      <c r="K191" s="422" t="s">
        <v>23</v>
      </c>
      <c r="L191" s="231"/>
      <c r="M191" s="247"/>
      <c r="N191" s="75"/>
      <c r="O191" s="522">
        <v>83.02</v>
      </c>
      <c r="P191" s="523">
        <f t="shared" si="26"/>
        <v>5105.7299999999996</v>
      </c>
      <c r="Q191" s="437"/>
      <c r="R191" s="437"/>
      <c r="S191" s="437"/>
      <c r="T191" s="437"/>
      <c r="U191" s="438"/>
    </row>
    <row r="192" spans="1:21" ht="15.75" thickBot="1" x14ac:dyDescent="0.3">
      <c r="A192" s="101">
        <f t="shared" si="27"/>
        <v>182</v>
      </c>
      <c r="B192" s="135">
        <v>46113</v>
      </c>
      <c r="C192" s="179">
        <v>8612520</v>
      </c>
      <c r="D192" s="180">
        <v>76576198</v>
      </c>
      <c r="E192" s="181">
        <v>61.6</v>
      </c>
      <c r="F192" s="106">
        <v>903.39</v>
      </c>
      <c r="G192" s="106">
        <f t="shared" si="24"/>
        <v>55648.824000000001</v>
      </c>
      <c r="H192" s="107">
        <v>75336.02</v>
      </c>
      <c r="I192" s="136">
        <f t="shared" si="25"/>
        <v>4640698.8320000004</v>
      </c>
      <c r="J192" s="137" t="s">
        <v>22</v>
      </c>
      <c r="K192" s="425" t="s">
        <v>23</v>
      </c>
      <c r="L192" s="232"/>
      <c r="M192" s="386"/>
      <c r="N192" s="105"/>
      <c r="O192" s="537">
        <v>83.02</v>
      </c>
      <c r="P192" s="538">
        <f t="shared" si="26"/>
        <v>5114.0320000000002</v>
      </c>
      <c r="Q192" s="539"/>
      <c r="R192" s="539"/>
      <c r="S192" s="539"/>
      <c r="T192" s="539"/>
      <c r="U192" s="540"/>
    </row>
    <row r="193" spans="1:21" ht="15.75" thickBot="1" x14ac:dyDescent="0.3">
      <c r="A193" s="233"/>
      <c r="B193" s="234"/>
      <c r="C193" s="234"/>
      <c r="D193" s="234"/>
      <c r="E193" s="428">
        <f>SUM(E160:E192)</f>
        <v>2002.5499999999995</v>
      </c>
      <c r="F193" s="428"/>
      <c r="G193" s="428">
        <f>SUM(G160:G192)</f>
        <v>1809083.6445000002</v>
      </c>
      <c r="H193" s="428"/>
      <c r="I193" s="428">
        <f>SUM(I160:I192)</f>
        <v>150864146.85099995</v>
      </c>
      <c r="J193" s="428"/>
      <c r="K193" s="442"/>
      <c r="L193" s="443"/>
      <c r="M193" s="444"/>
      <c r="N193" s="428"/>
      <c r="O193" s="428"/>
      <c r="P193" s="428">
        <f>SUM(P160:P192)</f>
        <v>166251.701</v>
      </c>
      <c r="Q193" s="428"/>
      <c r="R193" s="428"/>
      <c r="S193" s="428"/>
      <c r="T193" s="428"/>
      <c r="U193" s="429"/>
    </row>
    <row r="194" spans="1:21" x14ac:dyDescent="0.25">
      <c r="A194" s="57">
        <v>183</v>
      </c>
      <c r="B194" s="58">
        <v>46119</v>
      </c>
      <c r="C194" s="59">
        <v>8612679</v>
      </c>
      <c r="D194" s="60">
        <v>50032366</v>
      </c>
      <c r="E194" s="61">
        <v>60.25</v>
      </c>
      <c r="F194" s="29">
        <v>903.39</v>
      </c>
      <c r="G194" s="29">
        <f t="shared" ref="G194:G217" si="28">E194*F194</f>
        <v>54429.247499999998</v>
      </c>
      <c r="H194" s="63">
        <v>75336.02</v>
      </c>
      <c r="I194" s="64">
        <f t="shared" ref="I194:I217" si="29">E194*H194</f>
        <v>4538995.2050000001</v>
      </c>
      <c r="J194" s="408" t="s">
        <v>22</v>
      </c>
      <c r="K194" s="446" t="s">
        <v>23</v>
      </c>
      <c r="L194" s="230"/>
      <c r="M194" s="57"/>
      <c r="N194" s="68"/>
      <c r="O194" s="420">
        <v>83.02</v>
      </c>
      <c r="P194" s="421">
        <f t="shared" ref="P194:P217" si="30">E194*O194</f>
        <v>5001.9549999999999</v>
      </c>
      <c r="Q194" s="435"/>
      <c r="R194" s="435"/>
      <c r="S194" s="435"/>
      <c r="T194" s="435"/>
      <c r="U194" s="436"/>
    </row>
    <row r="195" spans="1:21" x14ac:dyDescent="0.25">
      <c r="A195" s="70">
        <f>A194+1</f>
        <v>184</v>
      </c>
      <c r="B195" s="98">
        <v>46119</v>
      </c>
      <c r="C195" s="72">
        <v>8612680</v>
      </c>
      <c r="D195" s="73">
        <v>50409713</v>
      </c>
      <c r="E195" s="74">
        <v>59.25</v>
      </c>
      <c r="F195" s="31">
        <v>903.39</v>
      </c>
      <c r="G195" s="32">
        <f t="shared" si="28"/>
        <v>53525.857499999998</v>
      </c>
      <c r="H195" s="76">
        <v>75336.02</v>
      </c>
      <c r="I195" s="77">
        <f t="shared" si="29"/>
        <v>4463659.1850000005</v>
      </c>
      <c r="J195" s="114" t="s">
        <v>22</v>
      </c>
      <c r="K195" s="422" t="s">
        <v>23</v>
      </c>
      <c r="L195" s="231"/>
      <c r="M195" s="70"/>
      <c r="N195" s="75"/>
      <c r="O195" s="423">
        <v>83.02</v>
      </c>
      <c r="P195" s="424">
        <f t="shared" si="30"/>
        <v>4918.9349999999995</v>
      </c>
      <c r="Q195" s="437"/>
      <c r="R195" s="437"/>
      <c r="S195" s="437"/>
      <c r="T195" s="437"/>
      <c r="U195" s="438"/>
    </row>
    <row r="196" spans="1:21" x14ac:dyDescent="0.25">
      <c r="A196" s="70">
        <f t="shared" ref="A196:A217" si="31">A195+1</f>
        <v>185</v>
      </c>
      <c r="B196" s="98">
        <v>46119</v>
      </c>
      <c r="C196" s="72">
        <v>8612679</v>
      </c>
      <c r="D196" s="73">
        <v>50413368</v>
      </c>
      <c r="E196" s="74">
        <v>58.2</v>
      </c>
      <c r="F196" s="31">
        <v>903.39</v>
      </c>
      <c r="G196" s="32">
        <f t="shared" si="28"/>
        <v>52577.298000000003</v>
      </c>
      <c r="H196" s="76">
        <v>75336.02</v>
      </c>
      <c r="I196" s="77">
        <f t="shared" si="29"/>
        <v>4384556.3640000001</v>
      </c>
      <c r="J196" s="114" t="s">
        <v>22</v>
      </c>
      <c r="K196" s="422" t="s">
        <v>23</v>
      </c>
      <c r="L196" s="231"/>
      <c r="M196" s="70"/>
      <c r="N196" s="75"/>
      <c r="O196" s="423">
        <v>83.02</v>
      </c>
      <c r="P196" s="424">
        <f t="shared" si="30"/>
        <v>4831.7640000000001</v>
      </c>
      <c r="Q196" s="437"/>
      <c r="R196" s="437"/>
      <c r="S196" s="437"/>
      <c r="T196" s="437"/>
      <c r="U196" s="438"/>
    </row>
    <row r="197" spans="1:21" x14ac:dyDescent="0.25">
      <c r="A197" s="70">
        <f t="shared" si="31"/>
        <v>186</v>
      </c>
      <c r="B197" s="98">
        <v>46119</v>
      </c>
      <c r="C197" s="72">
        <v>8612679</v>
      </c>
      <c r="D197" s="73">
        <v>50416536</v>
      </c>
      <c r="E197" s="74">
        <v>58.7</v>
      </c>
      <c r="F197" s="31">
        <v>903.39</v>
      </c>
      <c r="G197" s="32">
        <f t="shared" si="28"/>
        <v>53028.993000000002</v>
      </c>
      <c r="H197" s="76">
        <v>75336.02</v>
      </c>
      <c r="I197" s="77">
        <f t="shared" si="29"/>
        <v>4422224.3740000008</v>
      </c>
      <c r="J197" s="114" t="s">
        <v>22</v>
      </c>
      <c r="K197" s="422" t="s">
        <v>23</v>
      </c>
      <c r="L197" s="231"/>
      <c r="M197" s="70"/>
      <c r="N197" s="75"/>
      <c r="O197" s="423">
        <v>83.02</v>
      </c>
      <c r="P197" s="424">
        <f t="shared" si="30"/>
        <v>4873.2740000000003</v>
      </c>
      <c r="Q197" s="437"/>
      <c r="R197" s="437"/>
      <c r="S197" s="437"/>
      <c r="T197" s="437"/>
      <c r="U197" s="438"/>
    </row>
    <row r="198" spans="1:21" x14ac:dyDescent="0.25">
      <c r="A198" s="70">
        <f t="shared" si="31"/>
        <v>187</v>
      </c>
      <c r="B198" s="98">
        <v>46119</v>
      </c>
      <c r="C198" s="72">
        <v>8612679</v>
      </c>
      <c r="D198" s="73">
        <v>50913532</v>
      </c>
      <c r="E198" s="74">
        <v>56.65</v>
      </c>
      <c r="F198" s="31">
        <v>903.39</v>
      </c>
      <c r="G198" s="32">
        <f t="shared" si="28"/>
        <v>51177.0435</v>
      </c>
      <c r="H198" s="76">
        <v>75336.02</v>
      </c>
      <c r="I198" s="77">
        <f t="shared" si="29"/>
        <v>4267785.5329999998</v>
      </c>
      <c r="J198" s="114" t="s">
        <v>22</v>
      </c>
      <c r="K198" s="422" t="s">
        <v>23</v>
      </c>
      <c r="L198" s="231"/>
      <c r="M198" s="70"/>
      <c r="N198" s="75"/>
      <c r="O198" s="423">
        <v>83.02</v>
      </c>
      <c r="P198" s="424">
        <f t="shared" si="30"/>
        <v>4703.0829999999996</v>
      </c>
      <c r="Q198" s="437"/>
      <c r="R198" s="437"/>
      <c r="S198" s="437"/>
      <c r="T198" s="437"/>
      <c r="U198" s="438"/>
    </row>
    <row r="199" spans="1:21" x14ac:dyDescent="0.25">
      <c r="A199" s="70">
        <f t="shared" si="31"/>
        <v>188</v>
      </c>
      <c r="B199" s="98">
        <v>46119</v>
      </c>
      <c r="C199" s="72">
        <v>8612679</v>
      </c>
      <c r="D199" s="73">
        <v>51470623</v>
      </c>
      <c r="E199" s="74">
        <v>49.5</v>
      </c>
      <c r="F199" s="31">
        <v>903.39</v>
      </c>
      <c r="G199" s="32">
        <f t="shared" si="28"/>
        <v>44717.805</v>
      </c>
      <c r="H199" s="76">
        <v>75336.02</v>
      </c>
      <c r="I199" s="77">
        <f t="shared" si="29"/>
        <v>3729132.99</v>
      </c>
      <c r="J199" s="114" t="s">
        <v>22</v>
      </c>
      <c r="K199" s="422" t="s">
        <v>23</v>
      </c>
      <c r="L199" s="231"/>
      <c r="M199" s="70"/>
      <c r="N199" s="75"/>
      <c r="O199" s="423">
        <v>83.02</v>
      </c>
      <c r="P199" s="424">
        <f t="shared" si="30"/>
        <v>4109.49</v>
      </c>
      <c r="Q199" s="437"/>
      <c r="R199" s="437"/>
      <c r="S199" s="437"/>
      <c r="T199" s="437"/>
      <c r="U199" s="438"/>
    </row>
    <row r="200" spans="1:21" x14ac:dyDescent="0.25">
      <c r="A200" s="70">
        <f t="shared" si="31"/>
        <v>189</v>
      </c>
      <c r="B200" s="98">
        <v>46119</v>
      </c>
      <c r="C200" s="72">
        <v>8612680</v>
      </c>
      <c r="D200" s="73">
        <v>73012080</v>
      </c>
      <c r="E200" s="74">
        <v>57.75</v>
      </c>
      <c r="F200" s="31">
        <v>903.39</v>
      </c>
      <c r="G200" s="32">
        <f t="shared" si="28"/>
        <v>52170.772499999999</v>
      </c>
      <c r="H200" s="76">
        <v>75336.02</v>
      </c>
      <c r="I200" s="77">
        <f t="shared" si="29"/>
        <v>4350655.1550000003</v>
      </c>
      <c r="J200" s="114" t="s">
        <v>22</v>
      </c>
      <c r="K200" s="422" t="s">
        <v>23</v>
      </c>
      <c r="L200" s="231"/>
      <c r="M200" s="70"/>
      <c r="N200" s="75"/>
      <c r="O200" s="423">
        <v>83.02</v>
      </c>
      <c r="P200" s="424">
        <f t="shared" si="30"/>
        <v>4794.4049999999997</v>
      </c>
      <c r="Q200" s="437"/>
      <c r="R200" s="437"/>
      <c r="S200" s="437"/>
      <c r="T200" s="437"/>
      <c r="U200" s="438"/>
    </row>
    <row r="201" spans="1:21" x14ac:dyDescent="0.25">
      <c r="A201" s="70">
        <f t="shared" si="31"/>
        <v>190</v>
      </c>
      <c r="B201" s="98">
        <v>46119</v>
      </c>
      <c r="C201" s="72">
        <v>8612680</v>
      </c>
      <c r="D201" s="73">
        <v>73063927</v>
      </c>
      <c r="E201" s="74">
        <v>59.6</v>
      </c>
      <c r="F201" s="31">
        <v>903.39</v>
      </c>
      <c r="G201" s="32">
        <f t="shared" si="28"/>
        <v>53842.044000000002</v>
      </c>
      <c r="H201" s="76">
        <v>75336.02</v>
      </c>
      <c r="I201" s="77">
        <f t="shared" si="29"/>
        <v>4490026.7920000004</v>
      </c>
      <c r="J201" s="114" t="s">
        <v>22</v>
      </c>
      <c r="K201" s="422" t="s">
        <v>23</v>
      </c>
      <c r="L201" s="231"/>
      <c r="M201" s="70"/>
      <c r="N201" s="75"/>
      <c r="O201" s="423">
        <v>83.02</v>
      </c>
      <c r="P201" s="424">
        <f t="shared" si="30"/>
        <v>4947.9920000000002</v>
      </c>
      <c r="Q201" s="437"/>
      <c r="R201" s="437"/>
      <c r="S201" s="437"/>
      <c r="T201" s="437"/>
      <c r="U201" s="438"/>
    </row>
    <row r="202" spans="1:21" x14ac:dyDescent="0.25">
      <c r="A202" s="70">
        <f t="shared" si="31"/>
        <v>191</v>
      </c>
      <c r="B202" s="98">
        <v>46119</v>
      </c>
      <c r="C202" s="72">
        <v>8612679</v>
      </c>
      <c r="D202" s="73">
        <v>73068710</v>
      </c>
      <c r="E202" s="74">
        <v>59.7</v>
      </c>
      <c r="F202" s="31">
        <v>903.39</v>
      </c>
      <c r="G202" s="32">
        <f t="shared" si="28"/>
        <v>53932.383000000002</v>
      </c>
      <c r="H202" s="76">
        <v>75336.02</v>
      </c>
      <c r="I202" s="77">
        <f t="shared" si="29"/>
        <v>4497560.3940000003</v>
      </c>
      <c r="J202" s="114" t="s">
        <v>22</v>
      </c>
      <c r="K202" s="422" t="s">
        <v>23</v>
      </c>
      <c r="L202" s="231"/>
      <c r="M202" s="70"/>
      <c r="N202" s="75"/>
      <c r="O202" s="423">
        <v>83.02</v>
      </c>
      <c r="P202" s="424">
        <f t="shared" si="30"/>
        <v>4956.2939999999999</v>
      </c>
      <c r="Q202" s="437"/>
      <c r="R202" s="437"/>
      <c r="S202" s="437"/>
      <c r="T202" s="437"/>
      <c r="U202" s="438"/>
    </row>
    <row r="203" spans="1:21" x14ac:dyDescent="0.25">
      <c r="A203" s="70">
        <f t="shared" si="31"/>
        <v>192</v>
      </c>
      <c r="B203" s="98">
        <v>46119</v>
      </c>
      <c r="C203" s="72">
        <v>8612680</v>
      </c>
      <c r="D203" s="73">
        <v>73072142</v>
      </c>
      <c r="E203" s="74">
        <v>59.25</v>
      </c>
      <c r="F203" s="31">
        <v>903.39</v>
      </c>
      <c r="G203" s="32">
        <f t="shared" si="28"/>
        <v>53525.857499999998</v>
      </c>
      <c r="H203" s="76">
        <v>75336.02</v>
      </c>
      <c r="I203" s="77">
        <f t="shared" si="29"/>
        <v>4463659.1850000005</v>
      </c>
      <c r="J203" s="114" t="s">
        <v>22</v>
      </c>
      <c r="K203" s="422" t="s">
        <v>23</v>
      </c>
      <c r="L203" s="231"/>
      <c r="M203" s="70"/>
      <c r="N203" s="75"/>
      <c r="O203" s="423">
        <v>83.02</v>
      </c>
      <c r="P203" s="424">
        <f t="shared" si="30"/>
        <v>4918.9349999999995</v>
      </c>
      <c r="Q203" s="437"/>
      <c r="R203" s="437"/>
      <c r="S203" s="437"/>
      <c r="T203" s="437"/>
      <c r="U203" s="438"/>
    </row>
    <row r="204" spans="1:21" x14ac:dyDescent="0.25">
      <c r="A204" s="70">
        <f t="shared" si="31"/>
        <v>193</v>
      </c>
      <c r="B204" s="98">
        <v>46119</v>
      </c>
      <c r="C204" s="72">
        <v>8612679</v>
      </c>
      <c r="D204" s="73">
        <v>73075202</v>
      </c>
      <c r="E204" s="74">
        <v>58.95</v>
      </c>
      <c r="F204" s="31">
        <v>903.39</v>
      </c>
      <c r="G204" s="32">
        <f t="shared" si="28"/>
        <v>53254.840499999998</v>
      </c>
      <c r="H204" s="76">
        <v>75336.02</v>
      </c>
      <c r="I204" s="77">
        <f t="shared" si="29"/>
        <v>4441058.3790000007</v>
      </c>
      <c r="J204" s="114" t="s">
        <v>22</v>
      </c>
      <c r="K204" s="422" t="s">
        <v>23</v>
      </c>
      <c r="L204" s="231"/>
      <c r="M204" s="70"/>
      <c r="N204" s="75"/>
      <c r="O204" s="423">
        <v>83.02</v>
      </c>
      <c r="P204" s="424">
        <f t="shared" si="30"/>
        <v>4894.0290000000005</v>
      </c>
      <c r="Q204" s="437"/>
      <c r="R204" s="437"/>
      <c r="S204" s="437"/>
      <c r="T204" s="437"/>
      <c r="U204" s="438"/>
    </row>
    <row r="205" spans="1:21" x14ac:dyDescent="0.25">
      <c r="A205" s="70">
        <f t="shared" si="31"/>
        <v>194</v>
      </c>
      <c r="B205" s="98">
        <v>46119</v>
      </c>
      <c r="C205" s="72">
        <v>8612679</v>
      </c>
      <c r="D205" s="73">
        <v>73110686</v>
      </c>
      <c r="E205" s="74">
        <v>58.45</v>
      </c>
      <c r="F205" s="31">
        <v>903.39</v>
      </c>
      <c r="G205" s="32">
        <f t="shared" si="28"/>
        <v>52803.145499999999</v>
      </c>
      <c r="H205" s="76">
        <v>75336.02</v>
      </c>
      <c r="I205" s="77">
        <f t="shared" si="29"/>
        <v>4403390.3690000009</v>
      </c>
      <c r="J205" s="114" t="s">
        <v>22</v>
      </c>
      <c r="K205" s="422" t="s">
        <v>23</v>
      </c>
      <c r="L205" s="231"/>
      <c r="M205" s="70"/>
      <c r="N205" s="75"/>
      <c r="O205" s="423">
        <v>83.02</v>
      </c>
      <c r="P205" s="424">
        <f t="shared" si="30"/>
        <v>4852.5190000000002</v>
      </c>
      <c r="Q205" s="437"/>
      <c r="R205" s="437"/>
      <c r="S205" s="437"/>
      <c r="T205" s="437"/>
      <c r="U205" s="438"/>
    </row>
    <row r="206" spans="1:21" x14ac:dyDescent="0.25">
      <c r="A206" s="70">
        <f t="shared" si="31"/>
        <v>195</v>
      </c>
      <c r="B206" s="98">
        <v>46119</v>
      </c>
      <c r="C206" s="72">
        <v>8612680</v>
      </c>
      <c r="D206" s="73">
        <v>73114472</v>
      </c>
      <c r="E206" s="74">
        <v>58.45</v>
      </c>
      <c r="F206" s="31">
        <v>903.39</v>
      </c>
      <c r="G206" s="32">
        <f t="shared" si="28"/>
        <v>52803.145499999999</v>
      </c>
      <c r="H206" s="76">
        <v>75336.02</v>
      </c>
      <c r="I206" s="77">
        <f t="shared" si="29"/>
        <v>4403390.3690000009</v>
      </c>
      <c r="J206" s="114" t="s">
        <v>22</v>
      </c>
      <c r="K206" s="422" t="s">
        <v>23</v>
      </c>
      <c r="L206" s="231"/>
      <c r="M206" s="70"/>
      <c r="N206" s="75"/>
      <c r="O206" s="423">
        <v>83.02</v>
      </c>
      <c r="P206" s="424">
        <f t="shared" si="30"/>
        <v>4852.5190000000002</v>
      </c>
      <c r="Q206" s="437"/>
      <c r="R206" s="437"/>
      <c r="S206" s="437"/>
      <c r="T206" s="437"/>
      <c r="U206" s="438"/>
    </row>
    <row r="207" spans="1:21" x14ac:dyDescent="0.25">
      <c r="A207" s="70">
        <f t="shared" si="31"/>
        <v>196</v>
      </c>
      <c r="B207" s="98">
        <v>46119</v>
      </c>
      <c r="C207" s="72">
        <v>8612679</v>
      </c>
      <c r="D207" s="73">
        <v>73117269</v>
      </c>
      <c r="E207" s="74">
        <v>58.85</v>
      </c>
      <c r="F207" s="31">
        <v>903.39</v>
      </c>
      <c r="G207" s="32">
        <f t="shared" si="28"/>
        <v>53164.501499999998</v>
      </c>
      <c r="H207" s="76">
        <v>75336.02</v>
      </c>
      <c r="I207" s="77">
        <f t="shared" si="29"/>
        <v>4433524.7770000007</v>
      </c>
      <c r="J207" s="114" t="s">
        <v>22</v>
      </c>
      <c r="K207" s="422" t="s">
        <v>23</v>
      </c>
      <c r="L207" s="231"/>
      <c r="M207" s="70"/>
      <c r="N207" s="75"/>
      <c r="O207" s="423">
        <v>83.02</v>
      </c>
      <c r="P207" s="424">
        <f t="shared" si="30"/>
        <v>4885.7269999999999</v>
      </c>
      <c r="Q207" s="437"/>
      <c r="R207" s="437"/>
      <c r="S207" s="437"/>
      <c r="T207" s="437"/>
      <c r="U207" s="438"/>
    </row>
    <row r="208" spans="1:21" x14ac:dyDescent="0.25">
      <c r="A208" s="70">
        <f t="shared" si="31"/>
        <v>197</v>
      </c>
      <c r="B208" s="98">
        <v>46119</v>
      </c>
      <c r="C208" s="72">
        <v>8612679</v>
      </c>
      <c r="D208" s="73">
        <v>73119117</v>
      </c>
      <c r="E208" s="74">
        <v>57.65</v>
      </c>
      <c r="F208" s="31">
        <v>903.39</v>
      </c>
      <c r="G208" s="32">
        <f t="shared" si="28"/>
        <v>52080.433499999999</v>
      </c>
      <c r="H208" s="76">
        <v>75336.02</v>
      </c>
      <c r="I208" s="77">
        <f t="shared" si="29"/>
        <v>4343121.5530000003</v>
      </c>
      <c r="J208" s="114" t="s">
        <v>22</v>
      </c>
      <c r="K208" s="422" t="s">
        <v>23</v>
      </c>
      <c r="L208" s="231"/>
      <c r="M208" s="70"/>
      <c r="N208" s="75"/>
      <c r="O208" s="423">
        <v>83.02</v>
      </c>
      <c r="P208" s="424">
        <f t="shared" si="30"/>
        <v>4786.1030000000001</v>
      </c>
      <c r="Q208" s="437"/>
      <c r="R208" s="437"/>
      <c r="S208" s="437"/>
      <c r="T208" s="437"/>
      <c r="U208" s="438"/>
    </row>
    <row r="209" spans="1:21" x14ac:dyDescent="0.25">
      <c r="A209" s="70">
        <f t="shared" si="31"/>
        <v>198</v>
      </c>
      <c r="B209" s="98">
        <v>46119</v>
      </c>
      <c r="C209" s="72">
        <v>8612679</v>
      </c>
      <c r="D209" s="73">
        <v>73131765</v>
      </c>
      <c r="E209" s="74">
        <v>59.4</v>
      </c>
      <c r="F209" s="31">
        <v>903.39</v>
      </c>
      <c r="G209" s="32">
        <f t="shared" si="28"/>
        <v>53661.365999999995</v>
      </c>
      <c r="H209" s="76">
        <v>75336.02</v>
      </c>
      <c r="I209" s="77">
        <f t="shared" si="29"/>
        <v>4474959.5880000005</v>
      </c>
      <c r="J209" s="114" t="s">
        <v>22</v>
      </c>
      <c r="K209" s="422" t="s">
        <v>23</v>
      </c>
      <c r="L209" s="231"/>
      <c r="M209" s="70"/>
      <c r="N209" s="75"/>
      <c r="O209" s="423">
        <v>83.02</v>
      </c>
      <c r="P209" s="424">
        <f t="shared" si="30"/>
        <v>4931.3879999999999</v>
      </c>
      <c r="Q209" s="437"/>
      <c r="R209" s="437"/>
      <c r="S209" s="437"/>
      <c r="T209" s="437"/>
      <c r="U209" s="438"/>
    </row>
    <row r="210" spans="1:21" x14ac:dyDescent="0.25">
      <c r="A210" s="70">
        <f t="shared" si="31"/>
        <v>199</v>
      </c>
      <c r="B210" s="98">
        <v>46119</v>
      </c>
      <c r="C210" s="72">
        <v>8612679</v>
      </c>
      <c r="D210" s="73">
        <v>73136673</v>
      </c>
      <c r="E210" s="74">
        <v>57.9</v>
      </c>
      <c r="F210" s="31">
        <v>903.39</v>
      </c>
      <c r="G210" s="32">
        <f t="shared" si="28"/>
        <v>52306.280999999995</v>
      </c>
      <c r="H210" s="76">
        <v>75336.02</v>
      </c>
      <c r="I210" s="77">
        <f t="shared" si="29"/>
        <v>4361955.5580000002</v>
      </c>
      <c r="J210" s="114" t="s">
        <v>22</v>
      </c>
      <c r="K210" s="422" t="s">
        <v>23</v>
      </c>
      <c r="L210" s="231"/>
      <c r="M210" s="70"/>
      <c r="N210" s="75"/>
      <c r="O210" s="423">
        <v>83.02</v>
      </c>
      <c r="P210" s="424">
        <f t="shared" si="30"/>
        <v>4806.8579999999993</v>
      </c>
      <c r="Q210" s="437"/>
      <c r="R210" s="437"/>
      <c r="S210" s="437"/>
      <c r="T210" s="437"/>
      <c r="U210" s="438"/>
    </row>
    <row r="211" spans="1:21" x14ac:dyDescent="0.25">
      <c r="A211" s="70">
        <f t="shared" si="31"/>
        <v>200</v>
      </c>
      <c r="B211" s="98">
        <v>46119</v>
      </c>
      <c r="C211" s="72">
        <v>8612680</v>
      </c>
      <c r="D211" s="73">
        <v>73157646</v>
      </c>
      <c r="E211" s="74">
        <v>58.3</v>
      </c>
      <c r="F211" s="31">
        <v>903.39</v>
      </c>
      <c r="G211" s="32">
        <f t="shared" si="28"/>
        <v>52667.636999999995</v>
      </c>
      <c r="H211" s="76">
        <v>75336.02</v>
      </c>
      <c r="I211" s="77">
        <f t="shared" si="29"/>
        <v>4392089.966</v>
      </c>
      <c r="J211" s="114" t="s">
        <v>22</v>
      </c>
      <c r="K211" s="422" t="s">
        <v>23</v>
      </c>
      <c r="L211" s="231"/>
      <c r="M211" s="70"/>
      <c r="N211" s="75"/>
      <c r="O211" s="423">
        <v>83.02</v>
      </c>
      <c r="P211" s="424">
        <f t="shared" si="30"/>
        <v>4840.0659999999998</v>
      </c>
      <c r="Q211" s="437"/>
      <c r="R211" s="437"/>
      <c r="S211" s="437"/>
      <c r="T211" s="437"/>
      <c r="U211" s="438"/>
    </row>
    <row r="212" spans="1:21" x14ac:dyDescent="0.25">
      <c r="A212" s="70">
        <f t="shared" si="31"/>
        <v>201</v>
      </c>
      <c r="B212" s="98">
        <v>46119</v>
      </c>
      <c r="C212" s="72">
        <v>8612680</v>
      </c>
      <c r="D212" s="73">
        <v>73175960</v>
      </c>
      <c r="E212" s="74">
        <v>60.2</v>
      </c>
      <c r="F212" s="31">
        <v>903.39</v>
      </c>
      <c r="G212" s="32">
        <f t="shared" si="28"/>
        <v>54384.078000000001</v>
      </c>
      <c r="H212" s="76">
        <v>75336.02</v>
      </c>
      <c r="I212" s="77">
        <f t="shared" si="29"/>
        <v>4535228.4040000001</v>
      </c>
      <c r="J212" s="114" t="s">
        <v>22</v>
      </c>
      <c r="K212" s="422" t="s">
        <v>23</v>
      </c>
      <c r="L212" s="231"/>
      <c r="M212" s="70"/>
      <c r="N212" s="75"/>
      <c r="O212" s="423">
        <v>83.02</v>
      </c>
      <c r="P212" s="424">
        <f t="shared" si="30"/>
        <v>4997.8040000000001</v>
      </c>
      <c r="Q212" s="437"/>
      <c r="R212" s="437"/>
      <c r="S212" s="437"/>
      <c r="T212" s="437"/>
      <c r="U212" s="438"/>
    </row>
    <row r="213" spans="1:21" x14ac:dyDescent="0.25">
      <c r="A213" s="70">
        <f t="shared" si="31"/>
        <v>202</v>
      </c>
      <c r="B213" s="98">
        <v>46119</v>
      </c>
      <c r="C213" s="72">
        <v>8612680</v>
      </c>
      <c r="D213" s="73">
        <v>73221574</v>
      </c>
      <c r="E213" s="74">
        <v>59</v>
      </c>
      <c r="F213" s="31">
        <v>903.39</v>
      </c>
      <c r="G213" s="32">
        <f t="shared" si="28"/>
        <v>53300.01</v>
      </c>
      <c r="H213" s="76">
        <v>75336.02</v>
      </c>
      <c r="I213" s="77">
        <f t="shared" si="29"/>
        <v>4444825.1800000006</v>
      </c>
      <c r="J213" s="114" t="s">
        <v>22</v>
      </c>
      <c r="K213" s="422" t="s">
        <v>23</v>
      </c>
      <c r="L213" s="231"/>
      <c r="M213" s="70"/>
      <c r="N213" s="75"/>
      <c r="O213" s="423">
        <v>83.02</v>
      </c>
      <c r="P213" s="424">
        <f t="shared" si="30"/>
        <v>4898.1799999999994</v>
      </c>
      <c r="Q213" s="437"/>
      <c r="R213" s="437"/>
      <c r="S213" s="437"/>
      <c r="T213" s="437"/>
      <c r="U213" s="438"/>
    </row>
    <row r="214" spans="1:21" x14ac:dyDescent="0.25">
      <c r="A214" s="70">
        <f t="shared" si="31"/>
        <v>203</v>
      </c>
      <c r="B214" s="98">
        <v>46119</v>
      </c>
      <c r="C214" s="72">
        <v>8612679</v>
      </c>
      <c r="D214" s="73">
        <v>75219527</v>
      </c>
      <c r="E214" s="74">
        <v>58.85</v>
      </c>
      <c r="F214" s="31">
        <v>903.39</v>
      </c>
      <c r="G214" s="32">
        <f t="shared" si="28"/>
        <v>53164.501499999998</v>
      </c>
      <c r="H214" s="76">
        <v>75336.02</v>
      </c>
      <c r="I214" s="77">
        <f t="shared" si="29"/>
        <v>4433524.7770000007</v>
      </c>
      <c r="J214" s="114" t="s">
        <v>22</v>
      </c>
      <c r="K214" s="422" t="s">
        <v>23</v>
      </c>
      <c r="L214" s="231"/>
      <c r="M214" s="70"/>
      <c r="N214" s="75"/>
      <c r="O214" s="423">
        <v>83.02</v>
      </c>
      <c r="P214" s="424">
        <f t="shared" si="30"/>
        <v>4885.7269999999999</v>
      </c>
      <c r="Q214" s="437"/>
      <c r="R214" s="437"/>
      <c r="S214" s="437"/>
      <c r="T214" s="437"/>
      <c r="U214" s="438"/>
    </row>
    <row r="215" spans="1:21" x14ac:dyDescent="0.25">
      <c r="A215" s="70">
        <f t="shared" si="31"/>
        <v>204</v>
      </c>
      <c r="B215" s="98">
        <v>46119</v>
      </c>
      <c r="C215" s="72">
        <v>8612680</v>
      </c>
      <c r="D215" s="73">
        <v>75221887</v>
      </c>
      <c r="E215" s="74">
        <v>57.05</v>
      </c>
      <c r="F215" s="31">
        <v>903.39</v>
      </c>
      <c r="G215" s="32">
        <f t="shared" si="28"/>
        <v>51538.3995</v>
      </c>
      <c r="H215" s="76">
        <v>75336.02</v>
      </c>
      <c r="I215" s="77">
        <f t="shared" si="29"/>
        <v>4297919.9409999996</v>
      </c>
      <c r="J215" s="114" t="s">
        <v>22</v>
      </c>
      <c r="K215" s="422" t="s">
        <v>23</v>
      </c>
      <c r="L215" s="231"/>
      <c r="M215" s="70"/>
      <c r="N215" s="75"/>
      <c r="O215" s="423">
        <v>83.02</v>
      </c>
      <c r="P215" s="424">
        <f t="shared" si="30"/>
        <v>4736.2909999999993</v>
      </c>
      <c r="Q215" s="437"/>
      <c r="R215" s="437"/>
      <c r="S215" s="437"/>
      <c r="T215" s="437"/>
      <c r="U215" s="438"/>
    </row>
    <row r="216" spans="1:21" x14ac:dyDescent="0.25">
      <c r="A216" s="70">
        <f t="shared" si="31"/>
        <v>205</v>
      </c>
      <c r="B216" s="98">
        <v>46119</v>
      </c>
      <c r="C216" s="72">
        <v>8612680</v>
      </c>
      <c r="D216" s="73">
        <v>75227405</v>
      </c>
      <c r="E216" s="74">
        <v>59.55</v>
      </c>
      <c r="F216" s="31">
        <v>903.39</v>
      </c>
      <c r="G216" s="32">
        <f t="shared" si="28"/>
        <v>53796.874499999998</v>
      </c>
      <c r="H216" s="76">
        <v>75336.02</v>
      </c>
      <c r="I216" s="77">
        <f t="shared" si="29"/>
        <v>4486259.9910000004</v>
      </c>
      <c r="J216" s="114" t="s">
        <v>22</v>
      </c>
      <c r="K216" s="422" t="s">
        <v>23</v>
      </c>
      <c r="L216" s="231"/>
      <c r="M216" s="70"/>
      <c r="N216" s="75"/>
      <c r="O216" s="423">
        <v>83.02</v>
      </c>
      <c r="P216" s="424">
        <f t="shared" si="30"/>
        <v>4943.8409999999994</v>
      </c>
      <c r="Q216" s="437"/>
      <c r="R216" s="437"/>
      <c r="S216" s="437"/>
      <c r="T216" s="437"/>
      <c r="U216" s="438"/>
    </row>
    <row r="217" spans="1:21" ht="15.75" thickBot="1" x14ac:dyDescent="0.3">
      <c r="A217" s="80">
        <f t="shared" si="31"/>
        <v>206</v>
      </c>
      <c r="B217" s="99">
        <v>46119</v>
      </c>
      <c r="C217" s="82">
        <v>8612679</v>
      </c>
      <c r="D217" s="83">
        <v>75230664</v>
      </c>
      <c r="E217" s="84">
        <v>56.55</v>
      </c>
      <c r="F217" s="217">
        <v>903.39</v>
      </c>
      <c r="G217" s="404">
        <f t="shared" si="28"/>
        <v>51086.7045</v>
      </c>
      <c r="H217" s="85">
        <v>75336.02</v>
      </c>
      <c r="I217" s="86">
        <f t="shared" si="29"/>
        <v>4260251.9309999999</v>
      </c>
      <c r="J217" s="219" t="s">
        <v>22</v>
      </c>
      <c r="K217" s="439" t="s">
        <v>23</v>
      </c>
      <c r="L217" s="258"/>
      <c r="M217" s="80"/>
      <c r="N217" s="88"/>
      <c r="O217" s="426">
        <v>83.02</v>
      </c>
      <c r="P217" s="427">
        <f t="shared" si="30"/>
        <v>4694.7809999999999</v>
      </c>
      <c r="Q217" s="440"/>
      <c r="R217" s="440"/>
      <c r="S217" s="440"/>
      <c r="T217" s="440"/>
      <c r="U217" s="441"/>
    </row>
    <row r="218" spans="1:21" ht="15.75" thickBot="1" x14ac:dyDescent="0.3">
      <c r="A218" s="253"/>
      <c r="B218" s="254"/>
      <c r="C218" s="254"/>
      <c r="D218" s="254"/>
      <c r="E218" s="447">
        <f>SUM(E194:E217)</f>
        <v>1398</v>
      </c>
      <c r="F218" s="447"/>
      <c r="G218" s="447">
        <f>SUM(G194:G217)</f>
        <v>1262939.22</v>
      </c>
      <c r="H218" s="447"/>
      <c r="I218" s="447">
        <f>SUM(I194:I217)</f>
        <v>105319755.96000002</v>
      </c>
      <c r="J218" s="447"/>
      <c r="K218" s="448"/>
      <c r="L218" s="449"/>
      <c r="M218" s="450"/>
      <c r="N218" s="447"/>
      <c r="O218" s="447"/>
      <c r="P218" s="447">
        <f>SUM(P194:P217)</f>
        <v>116061.96</v>
      </c>
      <c r="Q218" s="447"/>
      <c r="R218" s="447"/>
      <c r="S218" s="447"/>
      <c r="T218" s="447"/>
      <c r="U218" s="451"/>
    </row>
    <row r="219" spans="1:21" x14ac:dyDescent="0.25">
      <c r="A219" s="57">
        <v>207</v>
      </c>
      <c r="B219" s="58">
        <v>46120</v>
      </c>
      <c r="C219" s="59">
        <v>8612589</v>
      </c>
      <c r="D219" s="60">
        <v>73223026</v>
      </c>
      <c r="E219" s="61">
        <v>61</v>
      </c>
      <c r="F219" s="29">
        <v>903.39</v>
      </c>
      <c r="G219" s="29">
        <f t="shared" ref="G219:G222" si="32">E219*F219</f>
        <v>55106.79</v>
      </c>
      <c r="H219" s="63">
        <v>75336.02</v>
      </c>
      <c r="I219" s="64">
        <f t="shared" ref="I219:I222" si="33">E219*H219</f>
        <v>4595497.2200000007</v>
      </c>
      <c r="J219" s="408" t="s">
        <v>22</v>
      </c>
      <c r="K219" s="446" t="s">
        <v>23</v>
      </c>
      <c r="L219" s="230"/>
      <c r="M219" s="57"/>
      <c r="N219" s="68"/>
      <c r="O219" s="420">
        <v>83.02</v>
      </c>
      <c r="P219" s="421">
        <f t="shared" ref="P219:P222" si="34">E219*O219</f>
        <v>5064.2199999999993</v>
      </c>
      <c r="Q219" s="435"/>
      <c r="R219" s="435"/>
      <c r="S219" s="435"/>
      <c r="T219" s="435"/>
      <c r="U219" s="436"/>
    </row>
    <row r="220" spans="1:21" x14ac:dyDescent="0.25">
      <c r="A220" s="70">
        <f>A219+1</f>
        <v>208</v>
      </c>
      <c r="B220" s="98">
        <v>46120</v>
      </c>
      <c r="C220" s="72">
        <v>8612768</v>
      </c>
      <c r="D220" s="73">
        <v>73231243</v>
      </c>
      <c r="E220" s="74">
        <v>61</v>
      </c>
      <c r="F220" s="31">
        <v>903.39</v>
      </c>
      <c r="G220" s="32">
        <f t="shared" si="32"/>
        <v>55106.79</v>
      </c>
      <c r="H220" s="76">
        <v>75336.02</v>
      </c>
      <c r="I220" s="77">
        <f t="shared" si="33"/>
        <v>4595497.2200000007</v>
      </c>
      <c r="J220" s="114" t="s">
        <v>22</v>
      </c>
      <c r="K220" s="422" t="s">
        <v>23</v>
      </c>
      <c r="L220" s="231"/>
      <c r="M220" s="70"/>
      <c r="N220" s="75"/>
      <c r="O220" s="423">
        <v>83.02</v>
      </c>
      <c r="P220" s="424">
        <f t="shared" si="34"/>
        <v>5064.2199999999993</v>
      </c>
      <c r="Q220" s="437"/>
      <c r="R220" s="437"/>
      <c r="S220" s="437"/>
      <c r="T220" s="437"/>
      <c r="U220" s="438"/>
    </row>
    <row r="221" spans="1:21" x14ac:dyDescent="0.25">
      <c r="A221" s="70">
        <f t="shared" ref="A221:A222" si="35">A220+1</f>
        <v>209</v>
      </c>
      <c r="B221" s="98">
        <v>46120</v>
      </c>
      <c r="C221" s="72">
        <v>8612766</v>
      </c>
      <c r="D221" s="73">
        <v>73231417</v>
      </c>
      <c r="E221" s="74">
        <v>61.05</v>
      </c>
      <c r="F221" s="31">
        <v>903.39</v>
      </c>
      <c r="G221" s="32">
        <f t="shared" si="32"/>
        <v>55151.959499999997</v>
      </c>
      <c r="H221" s="76">
        <v>75336.02</v>
      </c>
      <c r="I221" s="77">
        <f t="shared" si="33"/>
        <v>4599264.0209999997</v>
      </c>
      <c r="J221" s="114" t="s">
        <v>22</v>
      </c>
      <c r="K221" s="422" t="s">
        <v>23</v>
      </c>
      <c r="L221" s="231"/>
      <c r="M221" s="70"/>
      <c r="N221" s="75"/>
      <c r="O221" s="423">
        <v>83.02</v>
      </c>
      <c r="P221" s="424">
        <f t="shared" si="34"/>
        <v>5068.3709999999992</v>
      </c>
      <c r="Q221" s="437"/>
      <c r="R221" s="437"/>
      <c r="S221" s="437"/>
      <c r="T221" s="437"/>
      <c r="U221" s="438"/>
    </row>
    <row r="222" spans="1:21" ht="15.75" thickBot="1" x14ac:dyDescent="0.3">
      <c r="A222" s="80">
        <f t="shared" si="35"/>
        <v>210</v>
      </c>
      <c r="B222" s="99">
        <v>46120</v>
      </c>
      <c r="C222" s="82">
        <v>8612767</v>
      </c>
      <c r="D222" s="83">
        <v>73231425</v>
      </c>
      <c r="E222" s="84">
        <v>61</v>
      </c>
      <c r="F222" s="217">
        <v>903.39</v>
      </c>
      <c r="G222" s="404">
        <f t="shared" si="32"/>
        <v>55106.79</v>
      </c>
      <c r="H222" s="85">
        <v>75336.02</v>
      </c>
      <c r="I222" s="86">
        <f t="shared" si="33"/>
        <v>4595497.2200000007</v>
      </c>
      <c r="J222" s="219" t="s">
        <v>22</v>
      </c>
      <c r="K222" s="439" t="s">
        <v>23</v>
      </c>
      <c r="L222" s="258"/>
      <c r="M222" s="80"/>
      <c r="N222" s="88"/>
      <c r="O222" s="426">
        <v>83.02</v>
      </c>
      <c r="P222" s="427">
        <f t="shared" si="34"/>
        <v>5064.2199999999993</v>
      </c>
      <c r="Q222" s="440"/>
      <c r="R222" s="440"/>
      <c r="S222" s="440"/>
      <c r="T222" s="440"/>
      <c r="U222" s="441"/>
    </row>
    <row r="223" spans="1:21" ht="15.75" thickBot="1" x14ac:dyDescent="0.3">
      <c r="A223" s="253"/>
      <c r="B223" s="254"/>
      <c r="C223" s="254"/>
      <c r="D223" s="254"/>
      <c r="E223" s="447">
        <f>SUM(E219:E222)</f>
        <v>244.05</v>
      </c>
      <c r="F223" s="447"/>
      <c r="G223" s="447">
        <f>SUM(G219:G222)</f>
        <v>220472.32950000002</v>
      </c>
      <c r="H223" s="447"/>
      <c r="I223" s="447">
        <f>SUM(I219:I222)</f>
        <v>18385755.681000002</v>
      </c>
      <c r="J223" s="447"/>
      <c r="K223" s="448"/>
      <c r="L223" s="449"/>
      <c r="M223" s="450"/>
      <c r="N223" s="447"/>
      <c r="O223" s="447"/>
      <c r="P223" s="447">
        <f>SUM(P219:P222)</f>
        <v>20261.030999999995</v>
      </c>
      <c r="Q223" s="447"/>
      <c r="R223" s="447"/>
      <c r="S223" s="447"/>
      <c r="T223" s="447"/>
      <c r="U223" s="451"/>
    </row>
    <row r="224" spans="1:21" x14ac:dyDescent="0.25">
      <c r="A224" s="57">
        <v>211</v>
      </c>
      <c r="B224" s="58">
        <v>46120</v>
      </c>
      <c r="C224" s="59">
        <v>8612773</v>
      </c>
      <c r="D224" s="60">
        <v>51381804</v>
      </c>
      <c r="E224" s="61">
        <v>52.45</v>
      </c>
      <c r="F224" s="29">
        <v>903.39</v>
      </c>
      <c r="G224" s="29">
        <f t="shared" ref="G224:G235" si="36">E224*F224</f>
        <v>47382.805500000002</v>
      </c>
      <c r="H224" s="63">
        <v>75336.02</v>
      </c>
      <c r="I224" s="64">
        <f t="shared" ref="I224:I235" si="37">E224*H224</f>
        <v>3951374.2490000003</v>
      </c>
      <c r="J224" s="408" t="s">
        <v>22</v>
      </c>
      <c r="K224" s="446" t="s">
        <v>23</v>
      </c>
      <c r="L224" s="230"/>
      <c r="M224" s="57"/>
      <c r="N224" s="68"/>
      <c r="O224" s="420">
        <v>83.02</v>
      </c>
      <c r="P224" s="421">
        <f t="shared" ref="P224:P235" si="38">E224*O224</f>
        <v>4354.3990000000003</v>
      </c>
      <c r="Q224" s="435"/>
      <c r="R224" s="435"/>
      <c r="S224" s="435"/>
      <c r="T224" s="435"/>
      <c r="U224" s="436"/>
    </row>
    <row r="225" spans="1:21" x14ac:dyDescent="0.25">
      <c r="A225" s="70">
        <f>A224+1</f>
        <v>212</v>
      </c>
      <c r="B225" s="98">
        <v>46120</v>
      </c>
      <c r="C225" s="72">
        <v>8612773</v>
      </c>
      <c r="D225" s="73">
        <v>51497766</v>
      </c>
      <c r="E225" s="74">
        <v>51.2</v>
      </c>
      <c r="F225" s="31">
        <v>903.39</v>
      </c>
      <c r="G225" s="32">
        <f t="shared" si="36"/>
        <v>46253.567999999999</v>
      </c>
      <c r="H225" s="76">
        <v>75336.02</v>
      </c>
      <c r="I225" s="77">
        <f t="shared" si="37"/>
        <v>3857204.2240000004</v>
      </c>
      <c r="J225" s="114" t="s">
        <v>22</v>
      </c>
      <c r="K225" s="422" t="s">
        <v>23</v>
      </c>
      <c r="L225" s="231"/>
      <c r="M225" s="70"/>
      <c r="N225" s="75"/>
      <c r="O225" s="423">
        <v>83.02</v>
      </c>
      <c r="P225" s="424">
        <f t="shared" si="38"/>
        <v>4250.6239999999998</v>
      </c>
      <c r="Q225" s="437"/>
      <c r="R225" s="437"/>
      <c r="S225" s="437"/>
      <c r="T225" s="437"/>
      <c r="U225" s="438"/>
    </row>
    <row r="226" spans="1:21" x14ac:dyDescent="0.25">
      <c r="A226" s="70">
        <f t="shared" ref="A226:A235" si="39">A225+1</f>
        <v>213</v>
      </c>
      <c r="B226" s="98">
        <v>46120</v>
      </c>
      <c r="C226" s="72">
        <v>8612773</v>
      </c>
      <c r="D226" s="73">
        <v>73072340</v>
      </c>
      <c r="E226" s="74">
        <v>61.2</v>
      </c>
      <c r="F226" s="31">
        <v>903.39</v>
      </c>
      <c r="G226" s="32">
        <f t="shared" si="36"/>
        <v>55287.468000000001</v>
      </c>
      <c r="H226" s="76">
        <v>75336.02</v>
      </c>
      <c r="I226" s="77">
        <f t="shared" si="37"/>
        <v>4610564.4240000006</v>
      </c>
      <c r="J226" s="114" t="s">
        <v>22</v>
      </c>
      <c r="K226" s="422" t="s">
        <v>23</v>
      </c>
      <c r="L226" s="231"/>
      <c r="M226" s="70"/>
      <c r="N226" s="75"/>
      <c r="O226" s="423">
        <v>83.02</v>
      </c>
      <c r="P226" s="424">
        <f t="shared" si="38"/>
        <v>5080.8239999999996</v>
      </c>
      <c r="Q226" s="437"/>
      <c r="R226" s="437"/>
      <c r="S226" s="437"/>
      <c r="T226" s="437"/>
      <c r="U226" s="438"/>
    </row>
    <row r="227" spans="1:21" x14ac:dyDescent="0.25">
      <c r="A227" s="70">
        <f t="shared" si="39"/>
        <v>214</v>
      </c>
      <c r="B227" s="98">
        <v>46120</v>
      </c>
      <c r="C227" s="72">
        <v>8612773</v>
      </c>
      <c r="D227" s="73">
        <v>73106833</v>
      </c>
      <c r="E227" s="74">
        <v>61.2</v>
      </c>
      <c r="F227" s="31">
        <v>903.39</v>
      </c>
      <c r="G227" s="32">
        <f t="shared" si="36"/>
        <v>55287.468000000001</v>
      </c>
      <c r="H227" s="76">
        <v>75336.02</v>
      </c>
      <c r="I227" s="77">
        <f t="shared" si="37"/>
        <v>4610564.4240000006</v>
      </c>
      <c r="J227" s="114" t="s">
        <v>22</v>
      </c>
      <c r="K227" s="422" t="s">
        <v>23</v>
      </c>
      <c r="L227" s="231"/>
      <c r="M227" s="70"/>
      <c r="N227" s="75"/>
      <c r="O227" s="423">
        <v>83.02</v>
      </c>
      <c r="P227" s="424">
        <f t="shared" si="38"/>
        <v>5080.8239999999996</v>
      </c>
      <c r="Q227" s="437"/>
      <c r="R227" s="437"/>
      <c r="S227" s="437"/>
      <c r="T227" s="437"/>
      <c r="U227" s="438"/>
    </row>
    <row r="228" spans="1:21" x14ac:dyDescent="0.25">
      <c r="A228" s="70">
        <f t="shared" si="39"/>
        <v>215</v>
      </c>
      <c r="B228" s="98">
        <v>46120</v>
      </c>
      <c r="C228" s="72">
        <v>8612773</v>
      </c>
      <c r="D228" s="73">
        <v>73108078</v>
      </c>
      <c r="E228" s="74">
        <v>61.15</v>
      </c>
      <c r="F228" s="31">
        <v>903.39</v>
      </c>
      <c r="G228" s="32">
        <f t="shared" si="36"/>
        <v>55242.298499999997</v>
      </c>
      <c r="H228" s="76">
        <v>75336.02</v>
      </c>
      <c r="I228" s="77">
        <f t="shared" si="37"/>
        <v>4606797.6230000006</v>
      </c>
      <c r="J228" s="114" t="s">
        <v>22</v>
      </c>
      <c r="K228" s="422" t="s">
        <v>23</v>
      </c>
      <c r="L228" s="231"/>
      <c r="M228" s="70"/>
      <c r="N228" s="75"/>
      <c r="O228" s="423">
        <v>83.02</v>
      </c>
      <c r="P228" s="424">
        <f t="shared" si="38"/>
        <v>5076.6729999999998</v>
      </c>
      <c r="Q228" s="437"/>
      <c r="R228" s="437"/>
      <c r="S228" s="437"/>
      <c r="T228" s="437"/>
      <c r="U228" s="438"/>
    </row>
    <row r="229" spans="1:21" x14ac:dyDescent="0.25">
      <c r="A229" s="70">
        <f t="shared" si="39"/>
        <v>216</v>
      </c>
      <c r="B229" s="98">
        <v>46120</v>
      </c>
      <c r="C229" s="72">
        <v>8612773</v>
      </c>
      <c r="D229" s="73">
        <v>73111205</v>
      </c>
      <c r="E229" s="74">
        <v>61</v>
      </c>
      <c r="F229" s="31">
        <v>903.39</v>
      </c>
      <c r="G229" s="32">
        <f t="shared" si="36"/>
        <v>55106.79</v>
      </c>
      <c r="H229" s="76">
        <v>75336.02</v>
      </c>
      <c r="I229" s="77">
        <f t="shared" si="37"/>
        <v>4595497.2200000007</v>
      </c>
      <c r="J229" s="114" t="s">
        <v>22</v>
      </c>
      <c r="K229" s="422" t="s">
        <v>23</v>
      </c>
      <c r="L229" s="231"/>
      <c r="M229" s="70"/>
      <c r="N229" s="75"/>
      <c r="O229" s="423">
        <v>83.02</v>
      </c>
      <c r="P229" s="424">
        <f t="shared" si="38"/>
        <v>5064.2199999999993</v>
      </c>
      <c r="Q229" s="437"/>
      <c r="R229" s="437"/>
      <c r="S229" s="437"/>
      <c r="T229" s="437"/>
      <c r="U229" s="438"/>
    </row>
    <row r="230" spans="1:21" x14ac:dyDescent="0.25">
      <c r="A230" s="70">
        <f t="shared" si="39"/>
        <v>217</v>
      </c>
      <c r="B230" s="98">
        <v>46120</v>
      </c>
      <c r="C230" s="72">
        <v>8612773</v>
      </c>
      <c r="D230" s="73">
        <v>73118614</v>
      </c>
      <c r="E230" s="74">
        <v>61.15</v>
      </c>
      <c r="F230" s="31">
        <v>903.39</v>
      </c>
      <c r="G230" s="32">
        <f t="shared" si="36"/>
        <v>55242.298499999997</v>
      </c>
      <c r="H230" s="76">
        <v>75336.02</v>
      </c>
      <c r="I230" s="77">
        <f t="shared" si="37"/>
        <v>4606797.6230000006</v>
      </c>
      <c r="J230" s="114" t="s">
        <v>22</v>
      </c>
      <c r="K230" s="422" t="s">
        <v>23</v>
      </c>
      <c r="L230" s="231"/>
      <c r="M230" s="70"/>
      <c r="N230" s="75"/>
      <c r="O230" s="423">
        <v>83.02</v>
      </c>
      <c r="P230" s="424">
        <f t="shared" si="38"/>
        <v>5076.6729999999998</v>
      </c>
      <c r="Q230" s="437"/>
      <c r="R230" s="437"/>
      <c r="S230" s="437"/>
      <c r="T230" s="437"/>
      <c r="U230" s="438"/>
    </row>
    <row r="231" spans="1:21" x14ac:dyDescent="0.25">
      <c r="A231" s="70">
        <f t="shared" si="39"/>
        <v>218</v>
      </c>
      <c r="B231" s="98">
        <v>46120</v>
      </c>
      <c r="C231" s="72">
        <v>8612773</v>
      </c>
      <c r="D231" s="73">
        <v>73118671</v>
      </c>
      <c r="E231" s="74">
        <v>60.95</v>
      </c>
      <c r="F231" s="31">
        <v>903.39</v>
      </c>
      <c r="G231" s="32">
        <f t="shared" si="36"/>
        <v>55061.620500000005</v>
      </c>
      <c r="H231" s="76">
        <v>75336.02</v>
      </c>
      <c r="I231" s="77">
        <f t="shared" si="37"/>
        <v>4591730.4190000007</v>
      </c>
      <c r="J231" s="114" t="s">
        <v>22</v>
      </c>
      <c r="K231" s="422" t="s">
        <v>23</v>
      </c>
      <c r="L231" s="231"/>
      <c r="M231" s="70"/>
      <c r="N231" s="75"/>
      <c r="O231" s="423">
        <v>83.02</v>
      </c>
      <c r="P231" s="424">
        <f t="shared" si="38"/>
        <v>5060.0690000000004</v>
      </c>
      <c r="Q231" s="437"/>
      <c r="R231" s="437"/>
      <c r="S231" s="437"/>
      <c r="T231" s="437"/>
      <c r="U231" s="438"/>
    </row>
    <row r="232" spans="1:21" x14ac:dyDescent="0.25">
      <c r="A232" s="70">
        <f t="shared" si="39"/>
        <v>219</v>
      </c>
      <c r="B232" s="98">
        <v>46120</v>
      </c>
      <c r="C232" s="72">
        <v>8612773</v>
      </c>
      <c r="D232" s="73">
        <v>73134876</v>
      </c>
      <c r="E232" s="74">
        <v>61</v>
      </c>
      <c r="F232" s="31">
        <v>903.39</v>
      </c>
      <c r="G232" s="32">
        <f t="shared" si="36"/>
        <v>55106.79</v>
      </c>
      <c r="H232" s="76">
        <v>75336.02</v>
      </c>
      <c r="I232" s="77">
        <f t="shared" si="37"/>
        <v>4595497.2200000007</v>
      </c>
      <c r="J232" s="114" t="s">
        <v>22</v>
      </c>
      <c r="K232" s="422" t="s">
        <v>23</v>
      </c>
      <c r="L232" s="231"/>
      <c r="M232" s="70"/>
      <c r="N232" s="75"/>
      <c r="O232" s="423">
        <v>83.02</v>
      </c>
      <c r="P232" s="424">
        <f t="shared" si="38"/>
        <v>5064.2199999999993</v>
      </c>
      <c r="Q232" s="437"/>
      <c r="R232" s="437"/>
      <c r="S232" s="437"/>
      <c r="T232" s="437"/>
      <c r="U232" s="438"/>
    </row>
    <row r="233" spans="1:21" x14ac:dyDescent="0.25">
      <c r="A233" s="70">
        <f t="shared" si="39"/>
        <v>220</v>
      </c>
      <c r="B233" s="98">
        <v>46120</v>
      </c>
      <c r="C233" s="72">
        <v>8612773</v>
      </c>
      <c r="D233" s="73">
        <v>73235079</v>
      </c>
      <c r="E233" s="74">
        <v>61</v>
      </c>
      <c r="F233" s="31">
        <v>903.39</v>
      </c>
      <c r="G233" s="32">
        <f t="shared" si="36"/>
        <v>55106.79</v>
      </c>
      <c r="H233" s="76">
        <v>75336.02</v>
      </c>
      <c r="I233" s="77">
        <f t="shared" si="37"/>
        <v>4595497.2200000007</v>
      </c>
      <c r="J233" s="114" t="s">
        <v>22</v>
      </c>
      <c r="K233" s="422" t="s">
        <v>23</v>
      </c>
      <c r="L233" s="231"/>
      <c r="M233" s="70"/>
      <c r="N233" s="75"/>
      <c r="O233" s="423">
        <v>83.02</v>
      </c>
      <c r="P233" s="424">
        <f t="shared" si="38"/>
        <v>5064.2199999999993</v>
      </c>
      <c r="Q233" s="437"/>
      <c r="R233" s="437"/>
      <c r="S233" s="437"/>
      <c r="T233" s="437"/>
      <c r="U233" s="438"/>
    </row>
    <row r="234" spans="1:21" x14ac:dyDescent="0.25">
      <c r="A234" s="70">
        <f t="shared" si="39"/>
        <v>221</v>
      </c>
      <c r="B234" s="98">
        <v>46120</v>
      </c>
      <c r="C234" s="72">
        <v>8612773</v>
      </c>
      <c r="D234" s="73">
        <v>73239352</v>
      </c>
      <c r="E234" s="74">
        <v>61.15</v>
      </c>
      <c r="F234" s="31">
        <v>903.39</v>
      </c>
      <c r="G234" s="32">
        <f t="shared" si="36"/>
        <v>55242.298499999997</v>
      </c>
      <c r="H234" s="76">
        <v>75336.02</v>
      </c>
      <c r="I234" s="77">
        <f t="shared" si="37"/>
        <v>4606797.6230000006</v>
      </c>
      <c r="J234" s="114" t="s">
        <v>22</v>
      </c>
      <c r="K234" s="422" t="s">
        <v>23</v>
      </c>
      <c r="L234" s="231"/>
      <c r="M234" s="70"/>
      <c r="N234" s="75"/>
      <c r="O234" s="423">
        <v>83.02</v>
      </c>
      <c r="P234" s="424">
        <f t="shared" si="38"/>
        <v>5076.6729999999998</v>
      </c>
      <c r="Q234" s="437"/>
      <c r="R234" s="437"/>
      <c r="S234" s="437"/>
      <c r="T234" s="437"/>
      <c r="U234" s="438"/>
    </row>
    <row r="235" spans="1:21" ht="15.75" thickBot="1" x14ac:dyDescent="0.3">
      <c r="A235" s="80">
        <f t="shared" si="39"/>
        <v>222</v>
      </c>
      <c r="B235" s="99">
        <v>46120</v>
      </c>
      <c r="C235" s="82">
        <v>8612773</v>
      </c>
      <c r="D235" s="83">
        <v>75598490</v>
      </c>
      <c r="E235" s="84">
        <v>61.2</v>
      </c>
      <c r="F235" s="217">
        <v>903.39</v>
      </c>
      <c r="G235" s="404">
        <f t="shared" si="36"/>
        <v>55287.468000000001</v>
      </c>
      <c r="H235" s="85">
        <v>75336.02</v>
      </c>
      <c r="I235" s="86">
        <f t="shared" si="37"/>
        <v>4610564.4240000006</v>
      </c>
      <c r="J235" s="219" t="s">
        <v>22</v>
      </c>
      <c r="K235" s="439" t="s">
        <v>23</v>
      </c>
      <c r="L235" s="258"/>
      <c r="M235" s="80"/>
      <c r="N235" s="88"/>
      <c r="O235" s="426">
        <v>83.02</v>
      </c>
      <c r="P235" s="427">
        <f t="shared" si="38"/>
        <v>5080.8239999999996</v>
      </c>
      <c r="Q235" s="440"/>
      <c r="R235" s="440"/>
      <c r="S235" s="440"/>
      <c r="T235" s="440"/>
      <c r="U235" s="441"/>
    </row>
    <row r="236" spans="1:21" ht="15.75" thickBot="1" x14ac:dyDescent="0.3">
      <c r="A236" s="254"/>
      <c r="B236" s="254"/>
      <c r="C236" s="254"/>
      <c r="D236" s="254"/>
      <c r="E236" s="447">
        <f>SUM(E224:E235)</f>
        <v>714.65</v>
      </c>
      <c r="F236" s="447"/>
      <c r="G236" s="447">
        <f>SUM(G224:G235)</f>
        <v>645607.66350000002</v>
      </c>
      <c r="H236" s="447"/>
      <c r="I236" s="447">
        <f>SUM(I224:I235)</f>
        <v>53838886.693000011</v>
      </c>
      <c r="J236" s="447"/>
      <c r="K236" s="448"/>
      <c r="L236" s="443"/>
      <c r="M236" s="457"/>
      <c r="N236" s="428"/>
      <c r="O236" s="428"/>
      <c r="P236" s="428">
        <f>SUM(P224:P235)</f>
        <v>59330.243000000009</v>
      </c>
      <c r="Q236" s="428"/>
      <c r="R236" s="428"/>
      <c r="S236" s="428"/>
      <c r="T236" s="428"/>
      <c r="U236" s="429"/>
    </row>
    <row r="237" spans="1:21" x14ac:dyDescent="0.25">
      <c r="A237" s="57">
        <v>223</v>
      </c>
      <c r="B237" s="58">
        <v>46121</v>
      </c>
      <c r="C237" s="59">
        <v>8612787</v>
      </c>
      <c r="D237" s="60">
        <v>50748003</v>
      </c>
      <c r="E237" s="61">
        <v>51.3</v>
      </c>
      <c r="F237" s="29">
        <v>903.39</v>
      </c>
      <c r="G237" s="29">
        <f t="shared" ref="G237:G252" si="40">E237*F237</f>
        <v>46343.906999999999</v>
      </c>
      <c r="H237" s="63">
        <v>75336.02</v>
      </c>
      <c r="I237" s="64">
        <f t="shared" ref="I237:I252" si="41">E237*H237</f>
        <v>3864737.8259999999</v>
      </c>
      <c r="J237" s="408" t="s">
        <v>22</v>
      </c>
      <c r="K237" s="446" t="s">
        <v>23</v>
      </c>
      <c r="L237" s="230"/>
      <c r="M237" s="57"/>
      <c r="N237" s="68"/>
      <c r="O237" s="420">
        <v>83.02</v>
      </c>
      <c r="P237" s="421">
        <f t="shared" ref="P237:P252" si="42">E237*O237</f>
        <v>4258.9259999999995</v>
      </c>
      <c r="Q237" s="435"/>
      <c r="R237" s="435"/>
      <c r="S237" s="435"/>
      <c r="T237" s="435"/>
      <c r="U237" s="436"/>
    </row>
    <row r="238" spans="1:21" x14ac:dyDescent="0.25">
      <c r="A238" s="70">
        <f>A237+1</f>
        <v>224</v>
      </c>
      <c r="B238" s="98">
        <v>46121</v>
      </c>
      <c r="C238" s="72">
        <v>8612788</v>
      </c>
      <c r="D238" s="73">
        <v>51528602</v>
      </c>
      <c r="E238" s="74">
        <v>51.85</v>
      </c>
      <c r="F238" s="31">
        <v>903.39</v>
      </c>
      <c r="G238" s="32">
        <f t="shared" si="40"/>
        <v>46840.771500000003</v>
      </c>
      <c r="H238" s="76">
        <v>75336.02</v>
      </c>
      <c r="I238" s="77">
        <f t="shared" si="41"/>
        <v>3906172.6370000001</v>
      </c>
      <c r="J238" s="114" t="s">
        <v>22</v>
      </c>
      <c r="K238" s="422" t="s">
        <v>23</v>
      </c>
      <c r="L238" s="231"/>
      <c r="M238" s="70"/>
      <c r="N238" s="75"/>
      <c r="O238" s="423">
        <v>83.02</v>
      </c>
      <c r="P238" s="424">
        <f t="shared" si="42"/>
        <v>4304.5869999999995</v>
      </c>
      <c r="Q238" s="437"/>
      <c r="R238" s="437"/>
      <c r="S238" s="437"/>
      <c r="T238" s="437"/>
      <c r="U238" s="438"/>
    </row>
    <row r="239" spans="1:21" x14ac:dyDescent="0.25">
      <c r="A239" s="70">
        <f t="shared" ref="A239:A252" si="43">A238+1</f>
        <v>225</v>
      </c>
      <c r="B239" s="98">
        <v>46121</v>
      </c>
      <c r="C239" s="72">
        <v>8612794</v>
      </c>
      <c r="D239" s="73">
        <v>51744712</v>
      </c>
      <c r="E239" s="74">
        <v>52</v>
      </c>
      <c r="F239" s="31">
        <v>903.39</v>
      </c>
      <c r="G239" s="32">
        <f t="shared" si="40"/>
        <v>46976.28</v>
      </c>
      <c r="H239" s="76">
        <v>75336.02</v>
      </c>
      <c r="I239" s="77">
        <f t="shared" si="41"/>
        <v>3917473.04</v>
      </c>
      <c r="J239" s="114" t="s">
        <v>22</v>
      </c>
      <c r="K239" s="422" t="s">
        <v>23</v>
      </c>
      <c r="L239" s="231"/>
      <c r="M239" s="70"/>
      <c r="N239" s="75"/>
      <c r="O239" s="423">
        <v>83.02</v>
      </c>
      <c r="P239" s="424">
        <f t="shared" si="42"/>
        <v>4317.04</v>
      </c>
      <c r="Q239" s="437"/>
      <c r="R239" s="437"/>
      <c r="S239" s="437"/>
      <c r="T239" s="437"/>
      <c r="U239" s="438"/>
    </row>
    <row r="240" spans="1:21" x14ac:dyDescent="0.25">
      <c r="A240" s="70">
        <f t="shared" si="43"/>
        <v>226</v>
      </c>
      <c r="B240" s="98">
        <v>46121</v>
      </c>
      <c r="C240" s="72">
        <v>8612790</v>
      </c>
      <c r="D240" s="73">
        <v>53996021</v>
      </c>
      <c r="E240" s="74">
        <v>50.95</v>
      </c>
      <c r="F240" s="31">
        <v>903.39</v>
      </c>
      <c r="G240" s="32">
        <f t="shared" si="40"/>
        <v>46027.720500000003</v>
      </c>
      <c r="H240" s="76">
        <v>75336.02</v>
      </c>
      <c r="I240" s="77">
        <f t="shared" si="41"/>
        <v>3838370.2190000005</v>
      </c>
      <c r="J240" s="114" t="s">
        <v>22</v>
      </c>
      <c r="K240" s="422" t="s">
        <v>23</v>
      </c>
      <c r="L240" s="231"/>
      <c r="M240" s="70"/>
      <c r="N240" s="75"/>
      <c r="O240" s="423">
        <v>83.02</v>
      </c>
      <c r="P240" s="424">
        <f t="shared" si="42"/>
        <v>4229.8689999999997</v>
      </c>
      <c r="Q240" s="437"/>
      <c r="R240" s="437"/>
      <c r="S240" s="437"/>
      <c r="T240" s="437"/>
      <c r="U240" s="438"/>
    </row>
    <row r="241" spans="1:21" x14ac:dyDescent="0.25">
      <c r="A241" s="70">
        <f t="shared" si="43"/>
        <v>227</v>
      </c>
      <c r="B241" s="98">
        <v>46121</v>
      </c>
      <c r="C241" s="72">
        <v>8612792</v>
      </c>
      <c r="D241" s="73">
        <v>54630512</v>
      </c>
      <c r="E241" s="74">
        <v>60.6</v>
      </c>
      <c r="F241" s="31">
        <v>903.39</v>
      </c>
      <c r="G241" s="32">
        <f t="shared" si="40"/>
        <v>54745.434000000001</v>
      </c>
      <c r="H241" s="76">
        <v>75336.02</v>
      </c>
      <c r="I241" s="77">
        <f t="shared" si="41"/>
        <v>4565362.8119999999</v>
      </c>
      <c r="J241" s="114" t="s">
        <v>22</v>
      </c>
      <c r="K241" s="422" t="s">
        <v>23</v>
      </c>
      <c r="L241" s="231"/>
      <c r="M241" s="70"/>
      <c r="N241" s="75"/>
      <c r="O241" s="423">
        <v>83.02</v>
      </c>
      <c r="P241" s="424">
        <f t="shared" si="42"/>
        <v>5031.0119999999997</v>
      </c>
      <c r="Q241" s="437"/>
      <c r="R241" s="437"/>
      <c r="S241" s="437"/>
      <c r="T241" s="437"/>
      <c r="U241" s="438"/>
    </row>
    <row r="242" spans="1:21" x14ac:dyDescent="0.25">
      <c r="A242" s="70">
        <f t="shared" si="43"/>
        <v>228</v>
      </c>
      <c r="B242" s="98">
        <v>46121</v>
      </c>
      <c r="C242" s="72">
        <v>8612793</v>
      </c>
      <c r="D242" s="73">
        <v>54691050</v>
      </c>
      <c r="E242" s="74">
        <v>60.6</v>
      </c>
      <c r="F242" s="31">
        <v>903.39</v>
      </c>
      <c r="G242" s="32">
        <f t="shared" si="40"/>
        <v>54745.434000000001</v>
      </c>
      <c r="H242" s="76">
        <v>75336.02</v>
      </c>
      <c r="I242" s="77">
        <f t="shared" si="41"/>
        <v>4565362.8119999999</v>
      </c>
      <c r="J242" s="114" t="s">
        <v>22</v>
      </c>
      <c r="K242" s="422" t="s">
        <v>23</v>
      </c>
      <c r="L242" s="231"/>
      <c r="M242" s="70"/>
      <c r="N242" s="75"/>
      <c r="O242" s="423">
        <v>83.02</v>
      </c>
      <c r="P242" s="424">
        <f t="shared" si="42"/>
        <v>5031.0119999999997</v>
      </c>
      <c r="Q242" s="437"/>
      <c r="R242" s="437"/>
      <c r="S242" s="437"/>
      <c r="T242" s="437"/>
      <c r="U242" s="438"/>
    </row>
    <row r="243" spans="1:21" x14ac:dyDescent="0.25">
      <c r="A243" s="70">
        <f t="shared" si="43"/>
        <v>229</v>
      </c>
      <c r="B243" s="98">
        <v>46121</v>
      </c>
      <c r="C243" s="72">
        <v>8612792</v>
      </c>
      <c r="D243" s="73">
        <v>73063414</v>
      </c>
      <c r="E243" s="74">
        <v>61.15</v>
      </c>
      <c r="F243" s="31">
        <v>903.39</v>
      </c>
      <c r="G243" s="32">
        <f t="shared" si="40"/>
        <v>55242.298499999997</v>
      </c>
      <c r="H243" s="76">
        <v>75336.02</v>
      </c>
      <c r="I243" s="77">
        <f t="shared" si="41"/>
        <v>4606797.6230000006</v>
      </c>
      <c r="J243" s="114" t="s">
        <v>22</v>
      </c>
      <c r="K243" s="422" t="s">
        <v>23</v>
      </c>
      <c r="L243" s="231"/>
      <c r="M243" s="70"/>
      <c r="N243" s="75"/>
      <c r="O243" s="423">
        <v>83.02</v>
      </c>
      <c r="P243" s="424">
        <f t="shared" si="42"/>
        <v>5076.6729999999998</v>
      </c>
      <c r="Q243" s="437"/>
      <c r="R243" s="437"/>
      <c r="S243" s="437"/>
      <c r="T243" s="437"/>
      <c r="U243" s="438"/>
    </row>
    <row r="244" spans="1:21" x14ac:dyDescent="0.25">
      <c r="A244" s="70">
        <f t="shared" si="43"/>
        <v>230</v>
      </c>
      <c r="B244" s="98">
        <v>46121</v>
      </c>
      <c r="C244" s="72">
        <v>8612792</v>
      </c>
      <c r="D244" s="73">
        <v>73169369</v>
      </c>
      <c r="E244" s="74">
        <v>61.05</v>
      </c>
      <c r="F244" s="31">
        <v>903.39</v>
      </c>
      <c r="G244" s="32">
        <f t="shared" si="40"/>
        <v>55151.959499999997</v>
      </c>
      <c r="H244" s="76">
        <v>75336.02</v>
      </c>
      <c r="I244" s="77">
        <f t="shared" si="41"/>
        <v>4599264.0209999997</v>
      </c>
      <c r="J244" s="114" t="s">
        <v>22</v>
      </c>
      <c r="K244" s="422" t="s">
        <v>23</v>
      </c>
      <c r="L244" s="231"/>
      <c r="M244" s="70"/>
      <c r="N244" s="75"/>
      <c r="O244" s="423">
        <v>83.02</v>
      </c>
      <c r="P244" s="424">
        <f t="shared" si="42"/>
        <v>5068.3709999999992</v>
      </c>
      <c r="Q244" s="437"/>
      <c r="R244" s="437"/>
      <c r="S244" s="437"/>
      <c r="T244" s="437"/>
      <c r="U244" s="438"/>
    </row>
    <row r="245" spans="1:21" x14ac:dyDescent="0.25">
      <c r="A245" s="70">
        <f t="shared" si="43"/>
        <v>231</v>
      </c>
      <c r="B245" s="98">
        <v>46121</v>
      </c>
      <c r="C245" s="72">
        <v>8612786</v>
      </c>
      <c r="D245" s="73">
        <v>73173429</v>
      </c>
      <c r="E245" s="74">
        <v>60.55</v>
      </c>
      <c r="F245" s="31">
        <v>903.39</v>
      </c>
      <c r="G245" s="32">
        <f t="shared" si="40"/>
        <v>54700.264499999997</v>
      </c>
      <c r="H245" s="76">
        <v>75336.02</v>
      </c>
      <c r="I245" s="77">
        <f t="shared" si="41"/>
        <v>4561596.0109999999</v>
      </c>
      <c r="J245" s="114" t="s">
        <v>22</v>
      </c>
      <c r="K245" s="422" t="s">
        <v>23</v>
      </c>
      <c r="L245" s="231"/>
      <c r="M245" s="70"/>
      <c r="N245" s="75"/>
      <c r="O245" s="423">
        <v>83.02</v>
      </c>
      <c r="P245" s="424">
        <f t="shared" si="42"/>
        <v>5026.8609999999999</v>
      </c>
      <c r="Q245" s="437"/>
      <c r="R245" s="437"/>
      <c r="S245" s="437"/>
      <c r="T245" s="437"/>
      <c r="U245" s="438"/>
    </row>
    <row r="246" spans="1:21" x14ac:dyDescent="0.25">
      <c r="A246" s="70">
        <f t="shared" si="43"/>
        <v>232</v>
      </c>
      <c r="B246" s="98">
        <v>46121</v>
      </c>
      <c r="C246" s="72">
        <v>8612792</v>
      </c>
      <c r="D246" s="73">
        <v>73220006</v>
      </c>
      <c r="E246" s="74">
        <v>61.05</v>
      </c>
      <c r="F246" s="31">
        <v>903.39</v>
      </c>
      <c r="G246" s="32">
        <f t="shared" si="40"/>
        <v>55151.959499999997</v>
      </c>
      <c r="H246" s="76">
        <v>75336.02</v>
      </c>
      <c r="I246" s="77">
        <f t="shared" si="41"/>
        <v>4599264.0209999997</v>
      </c>
      <c r="J246" s="114" t="s">
        <v>22</v>
      </c>
      <c r="K246" s="422" t="s">
        <v>23</v>
      </c>
      <c r="L246" s="231"/>
      <c r="M246" s="70"/>
      <c r="N246" s="75"/>
      <c r="O246" s="423">
        <v>83.02</v>
      </c>
      <c r="P246" s="424">
        <f t="shared" si="42"/>
        <v>5068.3709999999992</v>
      </c>
      <c r="Q246" s="437"/>
      <c r="R246" s="437"/>
      <c r="S246" s="437"/>
      <c r="T246" s="437"/>
      <c r="U246" s="438"/>
    </row>
    <row r="247" spans="1:21" x14ac:dyDescent="0.25">
      <c r="A247" s="70">
        <f t="shared" si="43"/>
        <v>233</v>
      </c>
      <c r="B247" s="98">
        <v>46121</v>
      </c>
      <c r="C247" s="72">
        <v>8612792</v>
      </c>
      <c r="D247" s="73">
        <v>73224941</v>
      </c>
      <c r="E247" s="74">
        <v>61.15</v>
      </c>
      <c r="F247" s="31">
        <v>903.39</v>
      </c>
      <c r="G247" s="32">
        <f t="shared" si="40"/>
        <v>55242.298499999997</v>
      </c>
      <c r="H247" s="76">
        <v>75336.02</v>
      </c>
      <c r="I247" s="77">
        <f t="shared" si="41"/>
        <v>4606797.6230000006</v>
      </c>
      <c r="J247" s="114" t="s">
        <v>22</v>
      </c>
      <c r="K247" s="422" t="s">
        <v>23</v>
      </c>
      <c r="L247" s="231"/>
      <c r="M247" s="70"/>
      <c r="N247" s="75"/>
      <c r="O247" s="423">
        <v>83.02</v>
      </c>
      <c r="P247" s="424">
        <f t="shared" si="42"/>
        <v>5076.6729999999998</v>
      </c>
      <c r="Q247" s="437"/>
      <c r="R247" s="437"/>
      <c r="S247" s="437"/>
      <c r="T247" s="437"/>
      <c r="U247" s="438"/>
    </row>
    <row r="248" spans="1:21" x14ac:dyDescent="0.25">
      <c r="A248" s="70">
        <f t="shared" si="43"/>
        <v>234</v>
      </c>
      <c r="B248" s="98">
        <v>46121</v>
      </c>
      <c r="C248" s="72">
        <v>8612792</v>
      </c>
      <c r="D248" s="73">
        <v>75224253</v>
      </c>
      <c r="E248" s="74">
        <v>61.6</v>
      </c>
      <c r="F248" s="31">
        <v>903.39</v>
      </c>
      <c r="G248" s="32">
        <f t="shared" si="40"/>
        <v>55648.824000000001</v>
      </c>
      <c r="H248" s="76">
        <v>75336.02</v>
      </c>
      <c r="I248" s="77">
        <f t="shared" si="41"/>
        <v>4640698.8320000004</v>
      </c>
      <c r="J248" s="114" t="s">
        <v>22</v>
      </c>
      <c r="K248" s="422" t="s">
        <v>23</v>
      </c>
      <c r="L248" s="231"/>
      <c r="M248" s="70"/>
      <c r="N248" s="75"/>
      <c r="O248" s="423">
        <v>83.02</v>
      </c>
      <c r="P248" s="424">
        <f t="shared" si="42"/>
        <v>5114.0320000000002</v>
      </c>
      <c r="Q248" s="437"/>
      <c r="R248" s="437"/>
      <c r="S248" s="437"/>
      <c r="T248" s="437"/>
      <c r="U248" s="438"/>
    </row>
    <row r="249" spans="1:21" x14ac:dyDescent="0.25">
      <c r="A249" s="70">
        <f t="shared" si="43"/>
        <v>235</v>
      </c>
      <c r="B249" s="98">
        <v>46121</v>
      </c>
      <c r="C249" s="72">
        <v>8612792</v>
      </c>
      <c r="D249" s="73">
        <v>75225904</v>
      </c>
      <c r="E249" s="74">
        <v>61.4</v>
      </c>
      <c r="F249" s="31">
        <v>903.39</v>
      </c>
      <c r="G249" s="32">
        <f t="shared" si="40"/>
        <v>55468.146000000001</v>
      </c>
      <c r="H249" s="76">
        <v>75336.02</v>
      </c>
      <c r="I249" s="77">
        <f t="shared" si="41"/>
        <v>4625631.6280000005</v>
      </c>
      <c r="J249" s="114" t="s">
        <v>22</v>
      </c>
      <c r="K249" s="422" t="s">
        <v>23</v>
      </c>
      <c r="L249" s="231"/>
      <c r="M249" s="70"/>
      <c r="N249" s="75"/>
      <c r="O249" s="423">
        <v>83.02</v>
      </c>
      <c r="P249" s="424">
        <f t="shared" si="42"/>
        <v>5097.4279999999999</v>
      </c>
      <c r="Q249" s="437"/>
      <c r="R249" s="437"/>
      <c r="S249" s="437"/>
      <c r="T249" s="437"/>
      <c r="U249" s="438"/>
    </row>
    <row r="250" spans="1:21" x14ac:dyDescent="0.25">
      <c r="A250" s="70">
        <f t="shared" si="43"/>
        <v>236</v>
      </c>
      <c r="B250" s="98">
        <v>46121</v>
      </c>
      <c r="C250" s="72">
        <v>8612792</v>
      </c>
      <c r="D250" s="73">
        <v>75226860</v>
      </c>
      <c r="E250" s="74">
        <v>61.4</v>
      </c>
      <c r="F250" s="31">
        <v>903.39</v>
      </c>
      <c r="G250" s="32">
        <f t="shared" si="40"/>
        <v>55468.146000000001</v>
      </c>
      <c r="H250" s="76">
        <v>75336.02</v>
      </c>
      <c r="I250" s="77">
        <f t="shared" si="41"/>
        <v>4625631.6280000005</v>
      </c>
      <c r="J250" s="114" t="s">
        <v>22</v>
      </c>
      <c r="K250" s="422" t="s">
        <v>23</v>
      </c>
      <c r="L250" s="231"/>
      <c r="M250" s="70"/>
      <c r="N250" s="75"/>
      <c r="O250" s="423">
        <v>83.02</v>
      </c>
      <c r="P250" s="424">
        <f t="shared" si="42"/>
        <v>5097.4279999999999</v>
      </c>
      <c r="Q250" s="437"/>
      <c r="R250" s="437"/>
      <c r="S250" s="437"/>
      <c r="T250" s="437"/>
      <c r="U250" s="438"/>
    </row>
    <row r="251" spans="1:21" x14ac:dyDescent="0.25">
      <c r="A251" s="70">
        <f t="shared" si="43"/>
        <v>237</v>
      </c>
      <c r="B251" s="98">
        <v>46121</v>
      </c>
      <c r="C251" s="72">
        <v>8612792</v>
      </c>
      <c r="D251" s="73">
        <v>76163591</v>
      </c>
      <c r="E251" s="74">
        <v>61.4</v>
      </c>
      <c r="F251" s="31">
        <v>903.39</v>
      </c>
      <c r="G251" s="32">
        <f t="shared" si="40"/>
        <v>55468.146000000001</v>
      </c>
      <c r="H251" s="76">
        <v>75336.02</v>
      </c>
      <c r="I251" s="77">
        <f t="shared" si="41"/>
        <v>4625631.6280000005</v>
      </c>
      <c r="J251" s="114" t="s">
        <v>22</v>
      </c>
      <c r="K251" s="422" t="s">
        <v>23</v>
      </c>
      <c r="L251" s="231"/>
      <c r="M251" s="70"/>
      <c r="N251" s="75"/>
      <c r="O251" s="423">
        <v>83.02</v>
      </c>
      <c r="P251" s="424">
        <f t="shared" si="42"/>
        <v>5097.4279999999999</v>
      </c>
      <c r="Q251" s="437"/>
      <c r="R251" s="437"/>
      <c r="S251" s="437"/>
      <c r="T251" s="437"/>
      <c r="U251" s="438"/>
    </row>
    <row r="252" spans="1:21" ht="15.75" thickBot="1" x14ac:dyDescent="0.3">
      <c r="A252" s="80">
        <f t="shared" si="43"/>
        <v>238</v>
      </c>
      <c r="B252" s="99">
        <v>46121</v>
      </c>
      <c r="C252" s="82">
        <v>8612792</v>
      </c>
      <c r="D252" s="83">
        <v>76173095</v>
      </c>
      <c r="E252" s="84">
        <v>61.4</v>
      </c>
      <c r="F252" s="217">
        <v>903.39</v>
      </c>
      <c r="G252" s="404">
        <f t="shared" si="40"/>
        <v>55468.146000000001</v>
      </c>
      <c r="H252" s="85">
        <v>75336.02</v>
      </c>
      <c r="I252" s="86">
        <f t="shared" si="41"/>
        <v>4625631.6280000005</v>
      </c>
      <c r="J252" s="219" t="s">
        <v>22</v>
      </c>
      <c r="K252" s="439" t="s">
        <v>23</v>
      </c>
      <c r="L252" s="258"/>
      <c r="M252" s="80"/>
      <c r="N252" s="88"/>
      <c r="O252" s="426">
        <v>83.02</v>
      </c>
      <c r="P252" s="427">
        <f t="shared" si="42"/>
        <v>5097.4279999999999</v>
      </c>
      <c r="Q252" s="440"/>
      <c r="R252" s="440"/>
      <c r="S252" s="440"/>
      <c r="T252" s="440"/>
      <c r="U252" s="441"/>
    </row>
    <row r="253" spans="1:21" ht="15.75" thickBot="1" x14ac:dyDescent="0.3">
      <c r="A253" s="241"/>
      <c r="B253" s="242"/>
      <c r="C253" s="242"/>
      <c r="D253" s="242"/>
      <c r="E253" s="432">
        <f>SUM(E237:E252)</f>
        <v>939.44999999999993</v>
      </c>
      <c r="F253" s="432"/>
      <c r="G253" s="432">
        <f>SUM(G237:G252)</f>
        <v>848689.73549999984</v>
      </c>
      <c r="H253" s="432"/>
      <c r="I253" s="432">
        <f>SUM(I237:I252)</f>
        <v>70774423.988999993</v>
      </c>
      <c r="J253" s="432"/>
      <c r="K253" s="445"/>
      <c r="L253" s="430"/>
      <c r="M253" s="431"/>
      <c r="N253" s="432"/>
      <c r="O253" s="432"/>
      <c r="P253" s="432">
        <f>SUM(P237:P252)</f>
        <v>77993.138999999996</v>
      </c>
      <c r="Q253" s="432"/>
      <c r="R253" s="432"/>
      <c r="S253" s="432"/>
      <c r="T253" s="432"/>
      <c r="U253" s="433"/>
    </row>
    <row r="254" spans="1:21" x14ac:dyDescent="0.25">
      <c r="A254" s="57">
        <v>239</v>
      </c>
      <c r="B254" s="58">
        <v>46129</v>
      </c>
      <c r="C254" s="59">
        <v>8612948</v>
      </c>
      <c r="D254" s="60">
        <v>50082510</v>
      </c>
      <c r="E254" s="61">
        <v>60.1</v>
      </c>
      <c r="F254" s="29">
        <v>903.39</v>
      </c>
      <c r="G254" s="29">
        <f t="shared" ref="G254:G266" si="44">E254*F254</f>
        <v>54293.739000000001</v>
      </c>
      <c r="H254" s="63">
        <v>75336.02</v>
      </c>
      <c r="I254" s="64">
        <f t="shared" ref="I254:I266" si="45">E254*H254</f>
        <v>4527694.8020000001</v>
      </c>
      <c r="J254" s="408" t="s">
        <v>22</v>
      </c>
      <c r="K254" s="446" t="s">
        <v>23</v>
      </c>
      <c r="L254" s="230"/>
      <c r="M254" s="57"/>
      <c r="N254" s="68"/>
      <c r="O254" s="420">
        <v>83.02</v>
      </c>
      <c r="P254" s="421">
        <f t="shared" ref="P254:P266" si="46">E254*O254</f>
        <v>4989.5019999999995</v>
      </c>
      <c r="Q254" s="435"/>
      <c r="R254" s="435"/>
      <c r="S254" s="435"/>
      <c r="T254" s="435"/>
      <c r="U254" s="436"/>
    </row>
    <row r="255" spans="1:21" x14ac:dyDescent="0.25">
      <c r="A255" s="70">
        <f>A254+1</f>
        <v>240</v>
      </c>
      <c r="B255" s="98">
        <v>46129</v>
      </c>
      <c r="C255" s="72">
        <v>8612955</v>
      </c>
      <c r="D255" s="73">
        <v>50946094</v>
      </c>
      <c r="E255" s="74">
        <v>59.45</v>
      </c>
      <c r="F255" s="31">
        <v>903.39</v>
      </c>
      <c r="G255" s="32">
        <f t="shared" si="44"/>
        <v>53706.535499999998</v>
      </c>
      <c r="H255" s="76">
        <v>75336.02</v>
      </c>
      <c r="I255" s="77">
        <f t="shared" si="45"/>
        <v>4478726.3890000004</v>
      </c>
      <c r="J255" s="114" t="s">
        <v>22</v>
      </c>
      <c r="K255" s="422" t="s">
        <v>23</v>
      </c>
      <c r="L255" s="231"/>
      <c r="M255" s="70"/>
      <c r="N255" s="75"/>
      <c r="O255" s="423">
        <v>83.02</v>
      </c>
      <c r="P255" s="424">
        <f t="shared" si="46"/>
        <v>4935.5389999999998</v>
      </c>
      <c r="Q255" s="437"/>
      <c r="R255" s="437"/>
      <c r="S255" s="437"/>
      <c r="T255" s="437"/>
      <c r="U255" s="438"/>
    </row>
    <row r="256" spans="1:21" x14ac:dyDescent="0.25">
      <c r="A256" s="70">
        <f t="shared" ref="A256:A266" si="47">A255+1</f>
        <v>241</v>
      </c>
      <c r="B256" s="98">
        <v>46129</v>
      </c>
      <c r="C256" s="72">
        <v>8612950</v>
      </c>
      <c r="D256" s="73">
        <v>51707586</v>
      </c>
      <c r="E256" s="74">
        <v>50.95</v>
      </c>
      <c r="F256" s="31">
        <v>903.39</v>
      </c>
      <c r="G256" s="32">
        <f t="shared" si="44"/>
        <v>46027.720500000003</v>
      </c>
      <c r="H256" s="76">
        <v>75336.02</v>
      </c>
      <c r="I256" s="77">
        <f t="shared" si="45"/>
        <v>3838370.2190000005</v>
      </c>
      <c r="J256" s="114" t="s">
        <v>22</v>
      </c>
      <c r="K256" s="422" t="s">
        <v>23</v>
      </c>
      <c r="L256" s="231"/>
      <c r="M256" s="70"/>
      <c r="N256" s="75"/>
      <c r="O256" s="423">
        <v>83.02</v>
      </c>
      <c r="P256" s="424">
        <f t="shared" si="46"/>
        <v>4229.8689999999997</v>
      </c>
      <c r="Q256" s="437"/>
      <c r="R256" s="437"/>
      <c r="S256" s="437"/>
      <c r="T256" s="437"/>
      <c r="U256" s="438"/>
    </row>
    <row r="257" spans="1:21" x14ac:dyDescent="0.25">
      <c r="A257" s="70">
        <f t="shared" si="47"/>
        <v>242</v>
      </c>
      <c r="B257" s="98">
        <v>46129</v>
      </c>
      <c r="C257" s="72">
        <v>8612946</v>
      </c>
      <c r="D257" s="73">
        <v>53888376</v>
      </c>
      <c r="E257" s="74">
        <v>59.6</v>
      </c>
      <c r="F257" s="31">
        <v>903.39</v>
      </c>
      <c r="G257" s="32">
        <f t="shared" si="44"/>
        <v>53842.044000000002</v>
      </c>
      <c r="H257" s="76">
        <v>75336.02</v>
      </c>
      <c r="I257" s="77">
        <f t="shared" si="45"/>
        <v>4490026.7920000004</v>
      </c>
      <c r="J257" s="114" t="s">
        <v>22</v>
      </c>
      <c r="K257" s="422" t="s">
        <v>23</v>
      </c>
      <c r="L257" s="231"/>
      <c r="M257" s="70"/>
      <c r="N257" s="75"/>
      <c r="O257" s="423">
        <v>83.02</v>
      </c>
      <c r="P257" s="424">
        <f t="shared" si="46"/>
        <v>4947.9920000000002</v>
      </c>
      <c r="Q257" s="437"/>
      <c r="R257" s="437"/>
      <c r="S257" s="437"/>
      <c r="T257" s="437"/>
      <c r="U257" s="438"/>
    </row>
    <row r="258" spans="1:21" x14ac:dyDescent="0.25">
      <c r="A258" s="70">
        <f t="shared" si="47"/>
        <v>243</v>
      </c>
      <c r="B258" s="98">
        <v>46129</v>
      </c>
      <c r="C258" s="72">
        <v>8612949</v>
      </c>
      <c r="D258" s="73">
        <v>54244546</v>
      </c>
      <c r="E258" s="74">
        <v>59.9</v>
      </c>
      <c r="F258" s="31">
        <v>903.39</v>
      </c>
      <c r="G258" s="32">
        <f t="shared" si="44"/>
        <v>54113.061000000002</v>
      </c>
      <c r="H258" s="76">
        <v>75336.02</v>
      </c>
      <c r="I258" s="77">
        <f t="shared" si="45"/>
        <v>4512627.5980000002</v>
      </c>
      <c r="J258" s="114" t="s">
        <v>22</v>
      </c>
      <c r="K258" s="422" t="s">
        <v>23</v>
      </c>
      <c r="L258" s="231"/>
      <c r="M258" s="70"/>
      <c r="N258" s="75"/>
      <c r="O258" s="423">
        <v>83.02</v>
      </c>
      <c r="P258" s="424">
        <f t="shared" si="46"/>
        <v>4972.8979999999992</v>
      </c>
      <c r="Q258" s="437"/>
      <c r="R258" s="437"/>
      <c r="S258" s="437"/>
      <c r="T258" s="437"/>
      <c r="U258" s="438"/>
    </row>
    <row r="259" spans="1:21" x14ac:dyDescent="0.25">
      <c r="A259" s="70">
        <f t="shared" si="47"/>
        <v>244</v>
      </c>
      <c r="B259" s="98">
        <v>46129</v>
      </c>
      <c r="C259" s="72">
        <v>8612942</v>
      </c>
      <c r="D259" s="73">
        <v>55344592</v>
      </c>
      <c r="E259" s="74">
        <v>60.15</v>
      </c>
      <c r="F259" s="31">
        <v>903.39</v>
      </c>
      <c r="G259" s="32">
        <f t="shared" si="44"/>
        <v>54338.908499999998</v>
      </c>
      <c r="H259" s="76">
        <v>75336.02</v>
      </c>
      <c r="I259" s="77">
        <f t="shared" si="45"/>
        <v>4531461.6030000001</v>
      </c>
      <c r="J259" s="114" t="s">
        <v>22</v>
      </c>
      <c r="K259" s="422" t="s">
        <v>23</v>
      </c>
      <c r="L259" s="231"/>
      <c r="M259" s="70"/>
      <c r="N259" s="75"/>
      <c r="O259" s="423">
        <v>83.02</v>
      </c>
      <c r="P259" s="424">
        <f t="shared" si="46"/>
        <v>4993.6529999999993</v>
      </c>
      <c r="Q259" s="437"/>
      <c r="R259" s="437"/>
      <c r="S259" s="437"/>
      <c r="T259" s="437"/>
      <c r="U259" s="438"/>
    </row>
    <row r="260" spans="1:21" x14ac:dyDescent="0.25">
      <c r="A260" s="70">
        <f t="shared" si="47"/>
        <v>245</v>
      </c>
      <c r="B260" s="98">
        <v>46129</v>
      </c>
      <c r="C260" s="72">
        <v>8612947</v>
      </c>
      <c r="D260" s="73">
        <v>57191827</v>
      </c>
      <c r="E260" s="74">
        <v>59.65</v>
      </c>
      <c r="F260" s="31">
        <v>903.39</v>
      </c>
      <c r="G260" s="32">
        <f t="shared" si="44"/>
        <v>53887.213499999998</v>
      </c>
      <c r="H260" s="76">
        <v>75336.02</v>
      </c>
      <c r="I260" s="77">
        <f t="shared" si="45"/>
        <v>4493793.5930000003</v>
      </c>
      <c r="J260" s="114" t="s">
        <v>22</v>
      </c>
      <c r="K260" s="422" t="s">
        <v>23</v>
      </c>
      <c r="L260" s="231"/>
      <c r="M260" s="70"/>
      <c r="N260" s="75"/>
      <c r="O260" s="423">
        <v>83.02</v>
      </c>
      <c r="P260" s="424">
        <f t="shared" si="46"/>
        <v>4952.143</v>
      </c>
      <c r="Q260" s="437"/>
      <c r="R260" s="437"/>
      <c r="S260" s="437"/>
      <c r="T260" s="437"/>
      <c r="U260" s="438"/>
    </row>
    <row r="261" spans="1:21" x14ac:dyDescent="0.25">
      <c r="A261" s="70">
        <f t="shared" si="47"/>
        <v>246</v>
      </c>
      <c r="B261" s="98">
        <v>46129</v>
      </c>
      <c r="C261" s="72">
        <v>8612945</v>
      </c>
      <c r="D261" s="73">
        <v>57391450</v>
      </c>
      <c r="E261" s="74">
        <v>59.65</v>
      </c>
      <c r="F261" s="31">
        <v>903.39</v>
      </c>
      <c r="G261" s="32">
        <f t="shared" si="44"/>
        <v>53887.213499999998</v>
      </c>
      <c r="H261" s="76">
        <v>75336.02</v>
      </c>
      <c r="I261" s="77">
        <f t="shared" si="45"/>
        <v>4493793.5930000003</v>
      </c>
      <c r="J261" s="114" t="s">
        <v>22</v>
      </c>
      <c r="K261" s="422" t="s">
        <v>23</v>
      </c>
      <c r="L261" s="231"/>
      <c r="M261" s="70"/>
      <c r="N261" s="75"/>
      <c r="O261" s="423">
        <v>83.02</v>
      </c>
      <c r="P261" s="424">
        <f t="shared" si="46"/>
        <v>4952.143</v>
      </c>
      <c r="Q261" s="437"/>
      <c r="R261" s="437"/>
      <c r="S261" s="437"/>
      <c r="T261" s="437"/>
      <c r="U261" s="438"/>
    </row>
    <row r="262" spans="1:21" x14ac:dyDescent="0.25">
      <c r="A262" s="70">
        <f t="shared" si="47"/>
        <v>247</v>
      </c>
      <c r="B262" s="98">
        <v>46129</v>
      </c>
      <c r="C262" s="72">
        <v>8612952</v>
      </c>
      <c r="D262" s="73">
        <v>73178113</v>
      </c>
      <c r="E262" s="74">
        <v>59.95</v>
      </c>
      <c r="F262" s="31">
        <v>903.39</v>
      </c>
      <c r="G262" s="32">
        <f t="shared" si="44"/>
        <v>54158.230500000005</v>
      </c>
      <c r="H262" s="76">
        <v>75336.02</v>
      </c>
      <c r="I262" s="77">
        <f t="shared" si="45"/>
        <v>4516394.3990000002</v>
      </c>
      <c r="J262" s="114" t="s">
        <v>22</v>
      </c>
      <c r="K262" s="422" t="s">
        <v>23</v>
      </c>
      <c r="L262" s="231"/>
      <c r="M262" s="70"/>
      <c r="N262" s="75"/>
      <c r="O262" s="423">
        <v>83.02</v>
      </c>
      <c r="P262" s="424">
        <f t="shared" si="46"/>
        <v>4977.049</v>
      </c>
      <c r="Q262" s="437"/>
      <c r="R262" s="437"/>
      <c r="S262" s="437"/>
      <c r="T262" s="437"/>
      <c r="U262" s="438"/>
    </row>
    <row r="263" spans="1:21" x14ac:dyDescent="0.25">
      <c r="A263" s="70">
        <f t="shared" si="47"/>
        <v>248</v>
      </c>
      <c r="B263" s="98">
        <v>46129</v>
      </c>
      <c r="C263" s="72">
        <v>8612951</v>
      </c>
      <c r="D263" s="73">
        <v>73186835</v>
      </c>
      <c r="E263" s="74">
        <v>59.9</v>
      </c>
      <c r="F263" s="31">
        <v>903.39</v>
      </c>
      <c r="G263" s="32">
        <f t="shared" si="44"/>
        <v>54113.061000000002</v>
      </c>
      <c r="H263" s="76">
        <v>75336.02</v>
      </c>
      <c r="I263" s="77">
        <f t="shared" si="45"/>
        <v>4512627.5980000002</v>
      </c>
      <c r="J263" s="114" t="s">
        <v>22</v>
      </c>
      <c r="K263" s="422" t="s">
        <v>23</v>
      </c>
      <c r="L263" s="231"/>
      <c r="M263" s="70"/>
      <c r="N263" s="75"/>
      <c r="O263" s="423">
        <v>83.02</v>
      </c>
      <c r="P263" s="424">
        <f t="shared" si="46"/>
        <v>4972.8979999999992</v>
      </c>
      <c r="Q263" s="437"/>
      <c r="R263" s="437"/>
      <c r="S263" s="437"/>
      <c r="T263" s="437"/>
      <c r="U263" s="438"/>
    </row>
    <row r="264" spans="1:21" x14ac:dyDescent="0.25">
      <c r="A264" s="70">
        <f t="shared" si="47"/>
        <v>249</v>
      </c>
      <c r="B264" s="98">
        <v>46129</v>
      </c>
      <c r="C264" s="72">
        <v>8612954</v>
      </c>
      <c r="D264" s="73">
        <v>74942434</v>
      </c>
      <c r="E264" s="74">
        <v>59.95</v>
      </c>
      <c r="F264" s="31">
        <v>903.39</v>
      </c>
      <c r="G264" s="32">
        <f t="shared" si="44"/>
        <v>54158.230500000005</v>
      </c>
      <c r="H264" s="76">
        <v>75336.02</v>
      </c>
      <c r="I264" s="77">
        <f t="shared" si="45"/>
        <v>4516394.3990000002</v>
      </c>
      <c r="J264" s="114" t="s">
        <v>22</v>
      </c>
      <c r="K264" s="422" t="s">
        <v>23</v>
      </c>
      <c r="L264" s="231"/>
      <c r="M264" s="70"/>
      <c r="N264" s="75"/>
      <c r="O264" s="423">
        <v>83.02</v>
      </c>
      <c r="P264" s="424">
        <f t="shared" si="46"/>
        <v>4977.049</v>
      </c>
      <c r="Q264" s="437"/>
      <c r="R264" s="437"/>
      <c r="S264" s="437"/>
      <c r="T264" s="437"/>
      <c r="U264" s="438"/>
    </row>
    <row r="265" spans="1:21" x14ac:dyDescent="0.25">
      <c r="A265" s="70">
        <f t="shared" si="47"/>
        <v>250</v>
      </c>
      <c r="B265" s="98">
        <v>46129</v>
      </c>
      <c r="C265" s="72">
        <v>8612956</v>
      </c>
      <c r="D265" s="73">
        <v>75132902</v>
      </c>
      <c r="E265" s="74">
        <v>59.9</v>
      </c>
      <c r="F265" s="31">
        <v>903.39</v>
      </c>
      <c r="G265" s="32">
        <f t="shared" si="44"/>
        <v>54113.061000000002</v>
      </c>
      <c r="H265" s="76">
        <v>75336.02</v>
      </c>
      <c r="I265" s="77">
        <f t="shared" si="45"/>
        <v>4512627.5980000002</v>
      </c>
      <c r="J265" s="114" t="s">
        <v>22</v>
      </c>
      <c r="K265" s="422" t="s">
        <v>23</v>
      </c>
      <c r="L265" s="231"/>
      <c r="M265" s="70"/>
      <c r="N265" s="75"/>
      <c r="O265" s="423">
        <v>83.02</v>
      </c>
      <c r="P265" s="424">
        <f t="shared" si="46"/>
        <v>4972.8979999999992</v>
      </c>
      <c r="Q265" s="437"/>
      <c r="R265" s="437"/>
      <c r="S265" s="437"/>
      <c r="T265" s="437"/>
      <c r="U265" s="438"/>
    </row>
    <row r="266" spans="1:21" ht="15.75" thickBot="1" x14ac:dyDescent="0.3">
      <c r="A266" s="80">
        <f t="shared" si="47"/>
        <v>251</v>
      </c>
      <c r="B266" s="99">
        <v>46129</v>
      </c>
      <c r="C266" s="82">
        <v>8612953</v>
      </c>
      <c r="D266" s="83">
        <v>75224048</v>
      </c>
      <c r="E266" s="84">
        <v>60.45</v>
      </c>
      <c r="F266" s="217">
        <v>903.39</v>
      </c>
      <c r="G266" s="404">
        <f t="shared" si="44"/>
        <v>54609.925500000005</v>
      </c>
      <c r="H266" s="85">
        <v>75336.02</v>
      </c>
      <c r="I266" s="86">
        <f t="shared" si="45"/>
        <v>4554062.4090000009</v>
      </c>
      <c r="J266" s="219" t="s">
        <v>22</v>
      </c>
      <c r="K266" s="439" t="s">
        <v>23</v>
      </c>
      <c r="L266" s="258"/>
      <c r="M266" s="80"/>
      <c r="N266" s="88"/>
      <c r="O266" s="426">
        <v>83.02</v>
      </c>
      <c r="P266" s="427">
        <f t="shared" si="46"/>
        <v>5018.5590000000002</v>
      </c>
      <c r="Q266" s="440"/>
      <c r="R266" s="440"/>
      <c r="S266" s="440"/>
      <c r="T266" s="440"/>
      <c r="U266" s="441"/>
    </row>
    <row r="267" spans="1:21" ht="15.75" thickBot="1" x14ac:dyDescent="0.3">
      <c r="A267" s="260"/>
      <c r="B267" s="261"/>
      <c r="C267" s="261"/>
      <c r="D267" s="261"/>
      <c r="E267" s="541">
        <f>SUM(E254:E266)</f>
        <v>769.6</v>
      </c>
      <c r="F267" s="541"/>
      <c r="G267" s="541">
        <f>SUM(G254:G266)</f>
        <v>695248.94400000002</v>
      </c>
      <c r="H267" s="541"/>
      <c r="I267" s="541">
        <f>SUM(I254:I266)</f>
        <v>57978600.991999999</v>
      </c>
      <c r="J267" s="541"/>
      <c r="K267" s="542"/>
      <c r="L267" s="543"/>
      <c r="M267" s="544"/>
      <c r="N267" s="541"/>
      <c r="O267" s="541"/>
      <c r="P267" s="541">
        <f>SUM(P254:P266)</f>
        <v>63892.192000000003</v>
      </c>
      <c r="Q267" s="541"/>
      <c r="R267" s="541"/>
      <c r="S267" s="541"/>
      <c r="T267" s="541"/>
      <c r="U267" s="545"/>
    </row>
    <row r="268" spans="1:21" ht="15.75" thickBot="1" x14ac:dyDescent="0.3">
      <c r="A268" s="452"/>
      <c r="B268" s="168"/>
      <c r="C268" s="168"/>
      <c r="D268" s="168"/>
      <c r="E268" s="174">
        <f>E39+E46+E105+E135+E147+E159+E193+E218+E223+E236+E253+E267</f>
        <v>14966.949999999999</v>
      </c>
      <c r="F268" s="174"/>
      <c r="G268" s="174">
        <f>G39+G46+G105+G135+G218+G223+G236+G253+G159+G147+G193+G267</f>
        <v>13520992.741772728</v>
      </c>
      <c r="H268" s="174"/>
      <c r="I268" s="174">
        <f>I39+I46+I105+I135+I218+I223+I236+I253+I159+I147+I193+I267</f>
        <v>1127550444.5390003</v>
      </c>
      <c r="J268" s="174"/>
      <c r="K268" s="453"/>
      <c r="L268" s="454"/>
      <c r="M268" s="455"/>
      <c r="N268" s="174"/>
      <c r="O268" s="174"/>
      <c r="P268" s="174">
        <f>P39+P46+P105+P135+P218+P223+P236+P253+P267</f>
        <v>967390.54999999993</v>
      </c>
      <c r="Q268" s="174"/>
      <c r="R268" s="174"/>
      <c r="S268" s="174"/>
      <c r="T268" s="174"/>
      <c r="U268" s="456"/>
    </row>
    <row r="270" spans="1:21" ht="15.75" thickBot="1" x14ac:dyDescent="0.3"/>
    <row r="271" spans="1:21" x14ac:dyDescent="0.25">
      <c r="B271" s="664" t="s">
        <v>24</v>
      </c>
      <c r="C271" s="665"/>
      <c r="D271" s="123"/>
      <c r="E271" s="204">
        <v>15000</v>
      </c>
      <c r="F271" s="226">
        <v>70</v>
      </c>
    </row>
    <row r="272" spans="1:21" x14ac:dyDescent="0.25">
      <c r="B272" s="125" t="s">
        <v>25</v>
      </c>
      <c r="C272" s="126"/>
      <c r="D272" s="127"/>
      <c r="E272" s="205">
        <f>E268</f>
        <v>14966.949999999999</v>
      </c>
    </row>
    <row r="273" spans="2:5" ht="15.75" thickBot="1" x14ac:dyDescent="0.3">
      <c r="B273" s="129" t="s">
        <v>26</v>
      </c>
      <c r="C273" s="130"/>
      <c r="D273" s="131"/>
      <c r="E273" s="206">
        <f>E271-E272</f>
        <v>33.050000000001091</v>
      </c>
    </row>
  </sheetData>
  <mergeCells count="4">
    <mergeCell ref="A1:K1"/>
    <mergeCell ref="T1:U2"/>
    <mergeCell ref="A2:K2"/>
    <mergeCell ref="B271:C27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90"/>
  <sheetViews>
    <sheetView topLeftCell="A157" workbookViewId="0">
      <selection sqref="A1:K190"/>
    </sheetView>
  </sheetViews>
  <sheetFormatPr defaultColWidth="9.140625" defaultRowHeight="15" x14ac:dyDescent="0.25"/>
  <cols>
    <col min="1" max="1" width="7.140625" style="226" customWidth="1"/>
    <col min="2" max="2" width="11.28515625" style="226" customWidth="1"/>
    <col min="3" max="4" width="9.140625" style="226"/>
    <col min="5" max="5" width="12.42578125" style="226" customWidth="1"/>
    <col min="6" max="6" width="10.28515625" style="226" customWidth="1"/>
    <col min="7" max="7" width="16.85546875" style="226" customWidth="1"/>
    <col min="8" max="8" width="20.42578125" style="226" customWidth="1"/>
    <col min="9" max="9" width="18.85546875" style="226" customWidth="1"/>
    <col min="10" max="10" width="16.5703125" style="226" customWidth="1"/>
    <col min="11" max="11" width="11.140625" style="226" customWidth="1"/>
    <col min="12" max="12" width="15" style="226" customWidth="1"/>
    <col min="13" max="13" width="9.140625" style="226"/>
    <col min="14" max="14" width="6.42578125" style="226" customWidth="1"/>
    <col min="15" max="15" width="9.140625" style="226"/>
    <col min="16" max="16" width="6.85546875" style="226" customWidth="1"/>
    <col min="17" max="19" width="9.140625" style="226"/>
    <col min="20" max="20" width="11.140625" style="226" customWidth="1"/>
    <col min="21" max="16384" width="9.140625" style="226"/>
  </cols>
  <sheetData>
    <row r="1" spans="1:21" x14ac:dyDescent="0.25">
      <c r="A1" s="667" t="s">
        <v>11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224"/>
      <c r="M1" s="224"/>
      <c r="N1" s="224"/>
      <c r="O1" s="224"/>
      <c r="P1" s="224"/>
      <c r="T1" s="666" t="s">
        <v>29</v>
      </c>
      <c r="U1" s="666"/>
    </row>
    <row r="2" spans="1:21" x14ac:dyDescent="0.25">
      <c r="A2" s="667" t="s">
        <v>100</v>
      </c>
      <c r="B2" s="668"/>
      <c r="C2" s="668"/>
      <c r="D2" s="668"/>
      <c r="E2" s="668"/>
      <c r="F2" s="668"/>
      <c r="G2" s="668"/>
      <c r="H2" s="668"/>
      <c r="I2" s="668"/>
      <c r="J2" s="668"/>
      <c r="K2" s="668"/>
      <c r="L2" s="225"/>
      <c r="M2" s="225"/>
      <c r="N2" s="225"/>
      <c r="O2" s="225"/>
      <c r="P2" s="225"/>
      <c r="T2" s="666"/>
      <c r="U2" s="666"/>
    </row>
    <row r="3" spans="1:21" ht="21" customHeight="1" x14ac:dyDescent="0.25">
      <c r="A3" s="587"/>
      <c r="G3" s="546" t="s">
        <v>101</v>
      </c>
      <c r="L3" s="225"/>
      <c r="M3" s="225"/>
      <c r="N3" s="225"/>
      <c r="O3" s="225"/>
      <c r="P3" s="225"/>
      <c r="T3" s="547" t="s">
        <v>102</v>
      </c>
      <c r="U3" s="588"/>
    </row>
    <row r="4" spans="1:21" ht="15.75" thickBot="1" x14ac:dyDescent="0.3">
      <c r="F4" s="43" t="s">
        <v>103</v>
      </c>
      <c r="H4" s="44"/>
      <c r="I4" s="44"/>
      <c r="L4" s="28"/>
      <c r="M4" s="45"/>
      <c r="N4" s="45"/>
      <c r="O4" s="46"/>
      <c r="P4" s="46"/>
    </row>
    <row r="5" spans="1:21" ht="75.75" thickBot="1" x14ac:dyDescent="0.3">
      <c r="A5" s="47" t="s">
        <v>12</v>
      </c>
      <c r="B5" s="48" t="s">
        <v>1</v>
      </c>
      <c r="C5" s="49" t="s">
        <v>8</v>
      </c>
      <c r="D5" s="48" t="s">
        <v>13</v>
      </c>
      <c r="E5" s="48" t="s">
        <v>14</v>
      </c>
      <c r="F5" s="50" t="s">
        <v>145</v>
      </c>
      <c r="G5" s="50" t="s">
        <v>9</v>
      </c>
      <c r="H5" s="51" t="s">
        <v>15</v>
      </c>
      <c r="I5" s="51" t="s">
        <v>9</v>
      </c>
      <c r="J5" s="48" t="s">
        <v>10</v>
      </c>
      <c r="K5" s="548" t="s">
        <v>16</v>
      </c>
      <c r="L5" s="549"/>
      <c r="M5" s="412" t="s">
        <v>88</v>
      </c>
      <c r="N5" s="413" t="s">
        <v>9</v>
      </c>
      <c r="O5" s="414" t="s">
        <v>89</v>
      </c>
      <c r="P5" s="415" t="s">
        <v>9</v>
      </c>
      <c r="Q5" s="416" t="s">
        <v>17</v>
      </c>
      <c r="R5" s="417" t="s">
        <v>18</v>
      </c>
      <c r="S5" s="417" t="s">
        <v>19</v>
      </c>
      <c r="T5" s="417" t="s">
        <v>20</v>
      </c>
      <c r="U5" s="418" t="s">
        <v>21</v>
      </c>
    </row>
    <row r="6" spans="1:21" ht="15.75" customHeight="1" x14ac:dyDescent="0.25">
      <c r="A6" s="207">
        <v>1</v>
      </c>
      <c r="B6" s="71">
        <v>46137</v>
      </c>
      <c r="C6" s="152">
        <v>40000334</v>
      </c>
      <c r="D6" s="152">
        <v>50913581</v>
      </c>
      <c r="E6" s="153">
        <v>59.2</v>
      </c>
      <c r="F6" s="32">
        <f>'[5]Platt''s 2026'!V33-44</f>
        <v>1016.0125</v>
      </c>
      <c r="G6" s="228">
        <f>E6*F6</f>
        <v>60147.94</v>
      </c>
      <c r="H6" s="611">
        <v>76.889799999999994</v>
      </c>
      <c r="I6" s="35">
        <f>E6*H6</f>
        <v>4551.8761599999998</v>
      </c>
      <c r="J6" s="114" t="s">
        <v>22</v>
      </c>
      <c r="K6" s="422" t="s">
        <v>23</v>
      </c>
      <c r="L6" s="230"/>
      <c r="M6" s="245"/>
      <c r="N6" s="68"/>
      <c r="O6" s="68"/>
      <c r="P6" s="68"/>
      <c r="Q6" s="68"/>
      <c r="R6" s="68"/>
      <c r="S6" s="68"/>
      <c r="T6" s="68"/>
      <c r="U6" s="69"/>
    </row>
    <row r="7" spans="1:21" ht="15.75" customHeight="1" x14ac:dyDescent="0.25">
      <c r="A7" s="70">
        <f>A6+1</f>
        <v>2</v>
      </c>
      <c r="B7" s="98">
        <v>46137</v>
      </c>
      <c r="C7" s="73">
        <v>40000335</v>
      </c>
      <c r="D7" s="73">
        <v>51513158</v>
      </c>
      <c r="E7" s="74">
        <v>50.05</v>
      </c>
      <c r="F7" s="31">
        <v>1016.01</v>
      </c>
      <c r="G7" s="228">
        <f t="shared" ref="G7:G21" si="0">E7*F7</f>
        <v>50851.300499999998</v>
      </c>
      <c r="H7" s="611">
        <v>76.889799999999994</v>
      </c>
      <c r="I7" s="35">
        <f t="shared" ref="I7:I21" si="1">E7*H7</f>
        <v>3848.3344899999993</v>
      </c>
      <c r="J7" s="114" t="s">
        <v>22</v>
      </c>
      <c r="K7" s="422" t="s">
        <v>23</v>
      </c>
      <c r="L7" s="231"/>
      <c r="M7" s="247"/>
      <c r="N7" s="75"/>
      <c r="O7" s="75"/>
      <c r="P7" s="75"/>
      <c r="Q7" s="75"/>
      <c r="R7" s="75"/>
      <c r="S7" s="75"/>
      <c r="T7" s="75"/>
      <c r="U7" s="79"/>
    </row>
    <row r="8" spans="1:21" ht="15.75" customHeight="1" x14ac:dyDescent="0.25">
      <c r="A8" s="70">
        <f t="shared" ref="A8:A21" si="2">A7+1</f>
        <v>3</v>
      </c>
      <c r="B8" s="98">
        <v>46137</v>
      </c>
      <c r="C8" s="73">
        <v>40000335</v>
      </c>
      <c r="D8" s="73">
        <v>54702865</v>
      </c>
      <c r="E8" s="74">
        <v>59.7</v>
      </c>
      <c r="F8" s="31">
        <v>1016.01</v>
      </c>
      <c r="G8" s="228">
        <f t="shared" si="0"/>
        <v>60655.797000000006</v>
      </c>
      <c r="H8" s="611">
        <v>76.889799999999994</v>
      </c>
      <c r="I8" s="35">
        <f t="shared" si="1"/>
        <v>4590.3210600000002</v>
      </c>
      <c r="J8" s="114" t="s">
        <v>22</v>
      </c>
      <c r="K8" s="422" t="s">
        <v>23</v>
      </c>
      <c r="L8" s="231"/>
      <c r="M8" s="247"/>
      <c r="N8" s="75"/>
      <c r="O8" s="75"/>
      <c r="P8" s="75"/>
      <c r="Q8" s="75"/>
      <c r="R8" s="75"/>
      <c r="S8" s="75"/>
      <c r="T8" s="75"/>
      <c r="U8" s="79"/>
    </row>
    <row r="9" spans="1:21" ht="15.75" customHeight="1" x14ac:dyDescent="0.25">
      <c r="A9" s="70">
        <f t="shared" si="2"/>
        <v>4</v>
      </c>
      <c r="B9" s="98">
        <v>46137</v>
      </c>
      <c r="C9" s="73">
        <v>40000335</v>
      </c>
      <c r="D9" s="73">
        <v>55052153</v>
      </c>
      <c r="E9" s="74">
        <v>59.8</v>
      </c>
      <c r="F9" s="31">
        <v>1016.01</v>
      </c>
      <c r="G9" s="228">
        <f t="shared" si="0"/>
        <v>60757.397999999994</v>
      </c>
      <c r="H9" s="611">
        <v>76.889799999999994</v>
      </c>
      <c r="I9" s="35">
        <f t="shared" si="1"/>
        <v>4598.0100399999992</v>
      </c>
      <c r="J9" s="114" t="s">
        <v>22</v>
      </c>
      <c r="K9" s="422" t="s">
        <v>23</v>
      </c>
      <c r="L9" s="231"/>
      <c r="M9" s="247"/>
      <c r="N9" s="75"/>
      <c r="O9" s="75"/>
      <c r="P9" s="75"/>
      <c r="Q9" s="75"/>
      <c r="R9" s="75"/>
      <c r="S9" s="75"/>
      <c r="T9" s="75"/>
      <c r="U9" s="79"/>
    </row>
    <row r="10" spans="1:21" ht="15.75" customHeight="1" x14ac:dyDescent="0.25">
      <c r="A10" s="70">
        <f t="shared" si="2"/>
        <v>5</v>
      </c>
      <c r="B10" s="98">
        <v>46137</v>
      </c>
      <c r="C10" s="73">
        <v>40000335</v>
      </c>
      <c r="D10" s="73">
        <v>57077968</v>
      </c>
      <c r="E10" s="74">
        <v>59.8</v>
      </c>
      <c r="F10" s="31">
        <v>1016.01</v>
      </c>
      <c r="G10" s="228">
        <f t="shared" si="0"/>
        <v>60757.397999999994</v>
      </c>
      <c r="H10" s="611">
        <v>76.889799999999994</v>
      </c>
      <c r="I10" s="35">
        <f t="shared" si="1"/>
        <v>4598.0100399999992</v>
      </c>
      <c r="J10" s="114" t="s">
        <v>22</v>
      </c>
      <c r="K10" s="422" t="s">
        <v>23</v>
      </c>
      <c r="L10" s="231"/>
      <c r="M10" s="247"/>
      <c r="N10" s="75"/>
      <c r="O10" s="75"/>
      <c r="P10" s="75"/>
      <c r="Q10" s="75"/>
      <c r="R10" s="75"/>
      <c r="S10" s="75"/>
      <c r="T10" s="75"/>
      <c r="U10" s="79"/>
    </row>
    <row r="11" spans="1:21" ht="15.75" customHeight="1" x14ac:dyDescent="0.25">
      <c r="A11" s="70">
        <f t="shared" si="2"/>
        <v>6</v>
      </c>
      <c r="B11" s="98">
        <v>46137</v>
      </c>
      <c r="C11" s="73">
        <v>40000335</v>
      </c>
      <c r="D11" s="73">
        <v>57634198</v>
      </c>
      <c r="E11" s="74">
        <v>59.2</v>
      </c>
      <c r="F11" s="31">
        <v>1016.01</v>
      </c>
      <c r="G11" s="228">
        <f t="shared" si="0"/>
        <v>60147.792000000001</v>
      </c>
      <c r="H11" s="611">
        <v>76.889799999999994</v>
      </c>
      <c r="I11" s="35">
        <f t="shared" si="1"/>
        <v>4551.8761599999998</v>
      </c>
      <c r="J11" s="114" t="s">
        <v>22</v>
      </c>
      <c r="K11" s="422" t="s">
        <v>23</v>
      </c>
      <c r="L11" s="231"/>
      <c r="M11" s="247"/>
      <c r="N11" s="75"/>
      <c r="O11" s="75"/>
      <c r="P11" s="75"/>
      <c r="Q11" s="75"/>
      <c r="R11" s="75"/>
      <c r="S11" s="75"/>
      <c r="T11" s="75"/>
      <c r="U11" s="79"/>
    </row>
    <row r="12" spans="1:21" ht="15.75" customHeight="1" x14ac:dyDescent="0.25">
      <c r="A12" s="70">
        <f t="shared" si="2"/>
        <v>7</v>
      </c>
      <c r="B12" s="98">
        <v>46137</v>
      </c>
      <c r="C12" s="73">
        <v>40000335</v>
      </c>
      <c r="D12" s="73">
        <v>73187700</v>
      </c>
      <c r="E12" s="74">
        <v>59.8</v>
      </c>
      <c r="F12" s="31">
        <v>1016.01</v>
      </c>
      <c r="G12" s="228">
        <f t="shared" si="0"/>
        <v>60757.397999999994</v>
      </c>
      <c r="H12" s="611">
        <v>76.889799999999994</v>
      </c>
      <c r="I12" s="35">
        <f t="shared" si="1"/>
        <v>4598.0100399999992</v>
      </c>
      <c r="J12" s="114" t="s">
        <v>22</v>
      </c>
      <c r="K12" s="422" t="s">
        <v>23</v>
      </c>
      <c r="L12" s="231"/>
      <c r="M12" s="247"/>
      <c r="N12" s="75"/>
      <c r="O12" s="75"/>
      <c r="P12" s="75"/>
      <c r="Q12" s="75"/>
      <c r="R12" s="75"/>
      <c r="S12" s="75"/>
      <c r="T12" s="75"/>
      <c r="U12" s="79"/>
    </row>
    <row r="13" spans="1:21" ht="15.75" customHeight="1" x14ac:dyDescent="0.25">
      <c r="A13" s="70">
        <f t="shared" si="2"/>
        <v>8</v>
      </c>
      <c r="B13" s="98">
        <v>46137</v>
      </c>
      <c r="C13" s="73">
        <v>40000335</v>
      </c>
      <c r="D13" s="73">
        <v>73197956</v>
      </c>
      <c r="E13" s="74">
        <v>59.8</v>
      </c>
      <c r="F13" s="31">
        <v>1016.01</v>
      </c>
      <c r="G13" s="228">
        <f t="shared" si="0"/>
        <v>60757.397999999994</v>
      </c>
      <c r="H13" s="611">
        <v>76.889799999999994</v>
      </c>
      <c r="I13" s="35">
        <f t="shared" si="1"/>
        <v>4598.0100399999992</v>
      </c>
      <c r="J13" s="114" t="s">
        <v>22</v>
      </c>
      <c r="K13" s="422" t="s">
        <v>23</v>
      </c>
      <c r="L13" s="231"/>
      <c r="M13" s="247"/>
      <c r="N13" s="75"/>
      <c r="O13" s="75"/>
      <c r="P13" s="75"/>
      <c r="Q13" s="75"/>
      <c r="R13" s="75"/>
      <c r="S13" s="75"/>
      <c r="T13" s="75"/>
      <c r="U13" s="79"/>
    </row>
    <row r="14" spans="1:21" ht="15.75" customHeight="1" x14ac:dyDescent="0.25">
      <c r="A14" s="70">
        <f t="shared" si="2"/>
        <v>9</v>
      </c>
      <c r="B14" s="98">
        <v>46137</v>
      </c>
      <c r="C14" s="73">
        <v>40000335</v>
      </c>
      <c r="D14" s="73">
        <v>73198210</v>
      </c>
      <c r="E14" s="74">
        <v>59.85</v>
      </c>
      <c r="F14" s="31">
        <v>1016.01</v>
      </c>
      <c r="G14" s="228">
        <f t="shared" si="0"/>
        <v>60808.198499999999</v>
      </c>
      <c r="H14" s="611">
        <v>76.889799999999994</v>
      </c>
      <c r="I14" s="35">
        <f t="shared" si="1"/>
        <v>4601.8545299999996</v>
      </c>
      <c r="J14" s="114" t="s">
        <v>22</v>
      </c>
      <c r="K14" s="422" t="s">
        <v>23</v>
      </c>
      <c r="L14" s="231"/>
      <c r="M14" s="247"/>
      <c r="N14" s="75"/>
      <c r="O14" s="75"/>
      <c r="P14" s="75"/>
      <c r="Q14" s="75"/>
      <c r="R14" s="75"/>
      <c r="S14" s="75"/>
      <c r="T14" s="75"/>
      <c r="U14" s="79"/>
    </row>
    <row r="15" spans="1:21" ht="15.75" customHeight="1" x14ac:dyDescent="0.25">
      <c r="A15" s="70">
        <f t="shared" si="2"/>
        <v>10</v>
      </c>
      <c r="B15" s="98">
        <v>46137</v>
      </c>
      <c r="C15" s="73">
        <v>40000335</v>
      </c>
      <c r="D15" s="73">
        <v>74084245</v>
      </c>
      <c r="E15" s="74">
        <v>59.8</v>
      </c>
      <c r="F15" s="31">
        <v>1016.01</v>
      </c>
      <c r="G15" s="228">
        <f t="shared" si="0"/>
        <v>60757.397999999994</v>
      </c>
      <c r="H15" s="611">
        <v>76.889799999999994</v>
      </c>
      <c r="I15" s="35">
        <f t="shared" si="1"/>
        <v>4598.0100399999992</v>
      </c>
      <c r="J15" s="114" t="s">
        <v>22</v>
      </c>
      <c r="K15" s="422" t="s">
        <v>23</v>
      </c>
      <c r="L15" s="231"/>
      <c r="M15" s="247"/>
      <c r="N15" s="75"/>
      <c r="O15" s="75"/>
      <c r="P15" s="75"/>
      <c r="Q15" s="75"/>
      <c r="R15" s="75"/>
      <c r="S15" s="75"/>
      <c r="T15" s="75"/>
      <c r="U15" s="79"/>
    </row>
    <row r="16" spans="1:21" ht="15.75" customHeight="1" x14ac:dyDescent="0.25">
      <c r="A16" s="70">
        <f t="shared" si="2"/>
        <v>11</v>
      </c>
      <c r="B16" s="98">
        <v>46137</v>
      </c>
      <c r="C16" s="73">
        <v>40000334</v>
      </c>
      <c r="D16" s="73">
        <v>75316208</v>
      </c>
      <c r="E16" s="74">
        <v>60.3</v>
      </c>
      <c r="F16" s="31">
        <v>1016.01</v>
      </c>
      <c r="G16" s="228">
        <f t="shared" si="0"/>
        <v>61265.402999999998</v>
      </c>
      <c r="H16" s="611">
        <v>76.889799999999994</v>
      </c>
      <c r="I16" s="35">
        <f t="shared" si="1"/>
        <v>4636.4549399999996</v>
      </c>
      <c r="J16" s="114" t="s">
        <v>22</v>
      </c>
      <c r="K16" s="422" t="s">
        <v>23</v>
      </c>
      <c r="L16" s="231"/>
      <c r="M16" s="247"/>
      <c r="N16" s="75"/>
      <c r="O16" s="75"/>
      <c r="P16" s="75"/>
      <c r="Q16" s="75"/>
      <c r="R16" s="75"/>
      <c r="S16" s="75"/>
      <c r="T16" s="75"/>
      <c r="U16" s="79"/>
    </row>
    <row r="17" spans="1:21" ht="15.75" customHeight="1" x14ac:dyDescent="0.25">
      <c r="A17" s="70">
        <f t="shared" si="2"/>
        <v>12</v>
      </c>
      <c r="B17" s="98">
        <v>46137</v>
      </c>
      <c r="C17" s="73">
        <v>40000334</v>
      </c>
      <c r="D17" s="73">
        <v>75316265</v>
      </c>
      <c r="E17" s="74">
        <v>60.25</v>
      </c>
      <c r="F17" s="31">
        <v>1016.01</v>
      </c>
      <c r="G17" s="228">
        <f t="shared" si="0"/>
        <v>61214.602500000001</v>
      </c>
      <c r="H17" s="611">
        <v>76.889799999999994</v>
      </c>
      <c r="I17" s="35">
        <f t="shared" si="1"/>
        <v>4632.6104499999992</v>
      </c>
      <c r="J17" s="114" t="s">
        <v>22</v>
      </c>
      <c r="K17" s="422" t="s">
        <v>23</v>
      </c>
      <c r="L17" s="231"/>
      <c r="M17" s="247"/>
      <c r="N17" s="75"/>
      <c r="O17" s="75"/>
      <c r="P17" s="75"/>
      <c r="Q17" s="75"/>
      <c r="R17" s="75"/>
      <c r="S17" s="75"/>
      <c r="T17" s="75"/>
      <c r="U17" s="79"/>
    </row>
    <row r="18" spans="1:21" ht="15.75" customHeight="1" x14ac:dyDescent="0.25">
      <c r="A18" s="70">
        <f t="shared" si="2"/>
        <v>13</v>
      </c>
      <c r="B18" s="98">
        <v>46137</v>
      </c>
      <c r="C18" s="73">
        <v>40000334</v>
      </c>
      <c r="D18" s="73">
        <v>75316356</v>
      </c>
      <c r="E18" s="74">
        <v>60.45</v>
      </c>
      <c r="F18" s="31">
        <v>1016.01</v>
      </c>
      <c r="G18" s="228">
        <f t="shared" si="0"/>
        <v>61417.804500000006</v>
      </c>
      <c r="H18" s="611">
        <v>76.889799999999994</v>
      </c>
      <c r="I18" s="35">
        <f t="shared" si="1"/>
        <v>4647.9884099999999</v>
      </c>
      <c r="J18" s="114" t="s">
        <v>22</v>
      </c>
      <c r="K18" s="422" t="s">
        <v>23</v>
      </c>
      <c r="L18" s="231"/>
      <c r="M18" s="247"/>
      <c r="N18" s="75"/>
      <c r="O18" s="75"/>
      <c r="P18" s="75"/>
      <c r="Q18" s="75"/>
      <c r="R18" s="75"/>
      <c r="S18" s="75"/>
      <c r="T18" s="75"/>
      <c r="U18" s="79"/>
    </row>
    <row r="19" spans="1:21" ht="15.75" customHeight="1" x14ac:dyDescent="0.25">
      <c r="A19" s="70">
        <f t="shared" si="2"/>
        <v>14</v>
      </c>
      <c r="B19" s="98">
        <v>46137</v>
      </c>
      <c r="C19" s="73">
        <v>40000334</v>
      </c>
      <c r="D19" s="73">
        <v>75316463</v>
      </c>
      <c r="E19" s="74">
        <v>60.6</v>
      </c>
      <c r="F19" s="31">
        <v>1016.01</v>
      </c>
      <c r="G19" s="228">
        <f t="shared" si="0"/>
        <v>61570.205999999998</v>
      </c>
      <c r="H19" s="611">
        <v>76.889799999999994</v>
      </c>
      <c r="I19" s="35">
        <f t="shared" si="1"/>
        <v>4659.5218799999993</v>
      </c>
      <c r="J19" s="114" t="s">
        <v>22</v>
      </c>
      <c r="K19" s="422" t="s">
        <v>23</v>
      </c>
      <c r="L19" s="231"/>
      <c r="M19" s="247"/>
      <c r="N19" s="75"/>
      <c r="O19" s="75"/>
      <c r="P19" s="75"/>
      <c r="Q19" s="75"/>
      <c r="R19" s="75"/>
      <c r="S19" s="75"/>
      <c r="T19" s="75"/>
      <c r="U19" s="79"/>
    </row>
    <row r="20" spans="1:21" ht="15.75" customHeight="1" x14ac:dyDescent="0.25">
      <c r="A20" s="70">
        <f t="shared" si="2"/>
        <v>15</v>
      </c>
      <c r="B20" s="98">
        <v>46137</v>
      </c>
      <c r="C20" s="73">
        <v>40000334</v>
      </c>
      <c r="D20" s="73">
        <v>75316513</v>
      </c>
      <c r="E20" s="74">
        <v>60.45</v>
      </c>
      <c r="F20" s="31">
        <v>1016.01</v>
      </c>
      <c r="G20" s="228">
        <f t="shared" si="0"/>
        <v>61417.804500000006</v>
      </c>
      <c r="H20" s="611">
        <v>76.889799999999994</v>
      </c>
      <c r="I20" s="35">
        <f t="shared" si="1"/>
        <v>4647.9884099999999</v>
      </c>
      <c r="J20" s="114" t="s">
        <v>22</v>
      </c>
      <c r="K20" s="422" t="s">
        <v>23</v>
      </c>
      <c r="L20" s="231"/>
      <c r="M20" s="247"/>
      <c r="N20" s="75"/>
      <c r="O20" s="75"/>
      <c r="P20" s="75"/>
      <c r="Q20" s="75"/>
      <c r="R20" s="75"/>
      <c r="S20" s="75"/>
      <c r="T20" s="75"/>
      <c r="U20" s="79"/>
    </row>
    <row r="21" spans="1:21" ht="15.75" customHeight="1" thickBot="1" x14ac:dyDescent="0.3">
      <c r="A21" s="80">
        <f t="shared" si="2"/>
        <v>16</v>
      </c>
      <c r="B21" s="99">
        <v>46137</v>
      </c>
      <c r="C21" s="83">
        <v>40000334</v>
      </c>
      <c r="D21" s="83">
        <v>75318881</v>
      </c>
      <c r="E21" s="74">
        <v>60.3</v>
      </c>
      <c r="F21" s="31">
        <v>1016.01</v>
      </c>
      <c r="G21" s="228">
        <f t="shared" si="0"/>
        <v>61265.402999999998</v>
      </c>
      <c r="H21" s="611">
        <v>76.889799999999994</v>
      </c>
      <c r="I21" s="35">
        <f t="shared" si="1"/>
        <v>4636.4549399999996</v>
      </c>
      <c r="J21" s="114" t="s">
        <v>22</v>
      </c>
      <c r="K21" s="422" t="s">
        <v>23</v>
      </c>
      <c r="L21" s="258"/>
      <c r="M21" s="250"/>
      <c r="N21" s="88"/>
      <c r="O21" s="88"/>
      <c r="P21" s="88"/>
      <c r="Q21" s="88"/>
      <c r="R21" s="88"/>
      <c r="S21" s="88"/>
      <c r="T21" s="88"/>
      <c r="U21" s="89"/>
    </row>
    <row r="22" spans="1:21" ht="15.75" thickBot="1" x14ac:dyDescent="0.3">
      <c r="A22" s="201"/>
      <c r="B22" s="115"/>
      <c r="C22" s="115"/>
      <c r="D22" s="115"/>
      <c r="E22" s="158">
        <f>SUM(E6:E21)</f>
        <v>949.35</v>
      </c>
      <c r="F22" s="115"/>
      <c r="G22" s="550">
        <f>SUM(G6:G21)</f>
        <v>964549.24150000012</v>
      </c>
      <c r="H22" s="117"/>
      <c r="I22" s="518">
        <f>SUM(I6:I21)</f>
        <v>72995.331630000001</v>
      </c>
      <c r="J22" s="115"/>
      <c r="K22" s="120"/>
      <c r="L22" s="551"/>
      <c r="M22" s="164"/>
      <c r="N22" s="160"/>
      <c r="O22" s="160"/>
      <c r="P22" s="160"/>
      <c r="Q22" s="160"/>
      <c r="R22" s="160"/>
      <c r="S22" s="160"/>
      <c r="T22" s="160"/>
      <c r="U22" s="166"/>
    </row>
    <row r="23" spans="1:21" x14ac:dyDescent="0.25">
      <c r="A23" s="207">
        <v>17</v>
      </c>
      <c r="B23" s="71">
        <v>46139</v>
      </c>
      <c r="C23" s="152">
        <v>40000615</v>
      </c>
      <c r="D23" s="152">
        <v>50175595</v>
      </c>
      <c r="E23" s="153">
        <v>60.3</v>
      </c>
      <c r="F23" s="31">
        <v>1016.01</v>
      </c>
      <c r="G23" s="228">
        <f t="shared" ref="G23:G43" si="3">E23*F23</f>
        <v>61265.402999999998</v>
      </c>
      <c r="H23" s="611">
        <v>76.889799999999994</v>
      </c>
      <c r="I23" s="35">
        <f t="shared" ref="I23:I43" si="4">E23*H23</f>
        <v>4636.4549399999996</v>
      </c>
      <c r="J23" s="212" t="s">
        <v>22</v>
      </c>
      <c r="K23" s="434" t="s">
        <v>23</v>
      </c>
      <c r="L23" s="230"/>
      <c r="M23" s="245"/>
      <c r="N23" s="68"/>
      <c r="O23" s="68"/>
      <c r="P23" s="68"/>
      <c r="Q23" s="68"/>
      <c r="R23" s="68"/>
      <c r="S23" s="68"/>
      <c r="T23" s="68"/>
      <c r="U23" s="69"/>
    </row>
    <row r="24" spans="1:21" x14ac:dyDescent="0.25">
      <c r="A24" s="70">
        <f>A23+1</f>
        <v>18</v>
      </c>
      <c r="B24" s="98">
        <v>46139</v>
      </c>
      <c r="C24" s="73">
        <v>40000615</v>
      </c>
      <c r="D24" s="73">
        <v>50485044</v>
      </c>
      <c r="E24" s="74">
        <v>59.3</v>
      </c>
      <c r="F24" s="31">
        <v>1016.01</v>
      </c>
      <c r="G24" s="228">
        <f t="shared" si="3"/>
        <v>60249.392999999996</v>
      </c>
      <c r="H24" s="611">
        <v>76.889799999999994</v>
      </c>
      <c r="I24" s="35">
        <f t="shared" si="4"/>
        <v>4559.5651399999997</v>
      </c>
      <c r="J24" s="114" t="s">
        <v>22</v>
      </c>
      <c r="K24" s="422" t="s">
        <v>23</v>
      </c>
      <c r="L24" s="231"/>
      <c r="M24" s="247"/>
      <c r="N24" s="75"/>
      <c r="O24" s="75"/>
      <c r="P24" s="75"/>
      <c r="Q24" s="75"/>
      <c r="R24" s="75"/>
      <c r="S24" s="75"/>
      <c r="T24" s="75"/>
      <c r="U24" s="79"/>
    </row>
    <row r="25" spans="1:21" x14ac:dyDescent="0.25">
      <c r="A25" s="70">
        <f t="shared" ref="A25:A43" si="5">A24+1</f>
        <v>19</v>
      </c>
      <c r="B25" s="98">
        <v>46139</v>
      </c>
      <c r="C25" s="73">
        <v>40000616</v>
      </c>
      <c r="D25" s="73">
        <v>51247757</v>
      </c>
      <c r="E25" s="74">
        <v>59.4</v>
      </c>
      <c r="F25" s="31">
        <v>1016.01</v>
      </c>
      <c r="G25" s="228">
        <f t="shared" si="3"/>
        <v>60350.993999999999</v>
      </c>
      <c r="H25" s="611">
        <v>76.889799999999994</v>
      </c>
      <c r="I25" s="35">
        <f t="shared" si="4"/>
        <v>4567.2541199999996</v>
      </c>
      <c r="J25" s="114" t="s">
        <v>22</v>
      </c>
      <c r="K25" s="422" t="s">
        <v>23</v>
      </c>
      <c r="L25" s="231"/>
      <c r="M25" s="247"/>
      <c r="N25" s="75"/>
      <c r="O25" s="75"/>
      <c r="P25" s="75"/>
      <c r="Q25" s="75"/>
      <c r="R25" s="75"/>
      <c r="S25" s="75"/>
      <c r="T25" s="75"/>
      <c r="U25" s="79"/>
    </row>
    <row r="26" spans="1:21" x14ac:dyDescent="0.25">
      <c r="A26" s="70">
        <f t="shared" si="5"/>
        <v>20</v>
      </c>
      <c r="B26" s="98">
        <v>46139</v>
      </c>
      <c r="C26" s="73">
        <v>40000616</v>
      </c>
      <c r="D26" s="73">
        <v>51404655</v>
      </c>
      <c r="E26" s="74">
        <v>59.25</v>
      </c>
      <c r="F26" s="31">
        <v>1016.01</v>
      </c>
      <c r="G26" s="228">
        <f t="shared" si="3"/>
        <v>60198.592499999999</v>
      </c>
      <c r="H26" s="611">
        <v>76.889799999999994</v>
      </c>
      <c r="I26" s="35">
        <f t="shared" si="4"/>
        <v>4555.7206499999993</v>
      </c>
      <c r="J26" s="114" t="s">
        <v>22</v>
      </c>
      <c r="K26" s="422" t="s">
        <v>23</v>
      </c>
      <c r="L26" s="231"/>
      <c r="M26" s="247"/>
      <c r="N26" s="75"/>
      <c r="O26" s="75"/>
      <c r="P26" s="75"/>
      <c r="Q26" s="75"/>
      <c r="R26" s="75"/>
      <c r="S26" s="75"/>
      <c r="T26" s="75"/>
      <c r="U26" s="79"/>
    </row>
    <row r="27" spans="1:21" x14ac:dyDescent="0.25">
      <c r="A27" s="70">
        <f t="shared" si="5"/>
        <v>21</v>
      </c>
      <c r="B27" s="98">
        <v>46139</v>
      </c>
      <c r="C27" s="73">
        <v>40000615</v>
      </c>
      <c r="D27" s="73">
        <v>51435451</v>
      </c>
      <c r="E27" s="74">
        <v>51</v>
      </c>
      <c r="F27" s="31">
        <v>1016.01</v>
      </c>
      <c r="G27" s="228">
        <f t="shared" si="3"/>
        <v>51816.51</v>
      </c>
      <c r="H27" s="611">
        <v>76.889799999999994</v>
      </c>
      <c r="I27" s="35">
        <f t="shared" si="4"/>
        <v>3921.3797999999997</v>
      </c>
      <c r="J27" s="114" t="s">
        <v>22</v>
      </c>
      <c r="K27" s="422" t="s">
        <v>23</v>
      </c>
      <c r="L27" s="231"/>
      <c r="M27" s="247"/>
      <c r="N27" s="75"/>
      <c r="O27" s="75"/>
      <c r="P27" s="75"/>
      <c r="Q27" s="75"/>
      <c r="R27" s="75"/>
      <c r="S27" s="75"/>
      <c r="T27" s="75"/>
      <c r="U27" s="79"/>
    </row>
    <row r="28" spans="1:21" x14ac:dyDescent="0.25">
      <c r="A28" s="70">
        <f t="shared" si="5"/>
        <v>22</v>
      </c>
      <c r="B28" s="98">
        <v>46139</v>
      </c>
      <c r="C28" s="73">
        <v>40000615</v>
      </c>
      <c r="D28" s="73">
        <v>51543791</v>
      </c>
      <c r="E28" s="74">
        <v>59.05</v>
      </c>
      <c r="F28" s="31">
        <v>1016.01</v>
      </c>
      <c r="G28" s="228">
        <f t="shared" si="3"/>
        <v>59995.390499999994</v>
      </c>
      <c r="H28" s="611">
        <v>76.889799999999994</v>
      </c>
      <c r="I28" s="35">
        <f t="shared" si="4"/>
        <v>4540.3426899999995</v>
      </c>
      <c r="J28" s="114" t="s">
        <v>22</v>
      </c>
      <c r="K28" s="422" t="s">
        <v>23</v>
      </c>
      <c r="L28" s="231"/>
      <c r="M28" s="247"/>
      <c r="N28" s="75"/>
      <c r="O28" s="75"/>
      <c r="P28" s="75"/>
      <c r="Q28" s="75"/>
      <c r="R28" s="75"/>
      <c r="S28" s="75"/>
      <c r="T28" s="75"/>
      <c r="U28" s="79"/>
    </row>
    <row r="29" spans="1:21" x14ac:dyDescent="0.25">
      <c r="A29" s="70">
        <f t="shared" si="5"/>
        <v>23</v>
      </c>
      <c r="B29" s="98">
        <v>46139</v>
      </c>
      <c r="C29" s="73">
        <v>40000616</v>
      </c>
      <c r="D29" s="73">
        <v>53872081</v>
      </c>
      <c r="E29" s="74">
        <v>59.25</v>
      </c>
      <c r="F29" s="31">
        <v>1016.01</v>
      </c>
      <c r="G29" s="228">
        <f t="shared" si="3"/>
        <v>60198.592499999999</v>
      </c>
      <c r="H29" s="611">
        <v>76.889799999999994</v>
      </c>
      <c r="I29" s="35">
        <f t="shared" si="4"/>
        <v>4555.7206499999993</v>
      </c>
      <c r="J29" s="114" t="s">
        <v>22</v>
      </c>
      <c r="K29" s="422" t="s">
        <v>23</v>
      </c>
      <c r="L29" s="231"/>
      <c r="M29" s="247"/>
      <c r="N29" s="75"/>
      <c r="O29" s="75"/>
      <c r="P29" s="75"/>
      <c r="Q29" s="75"/>
      <c r="R29" s="75"/>
      <c r="S29" s="75"/>
      <c r="T29" s="75"/>
      <c r="U29" s="79"/>
    </row>
    <row r="30" spans="1:21" x14ac:dyDescent="0.25">
      <c r="A30" s="70">
        <f t="shared" si="5"/>
        <v>24</v>
      </c>
      <c r="B30" s="98">
        <v>46139</v>
      </c>
      <c r="C30" s="73">
        <v>40000615</v>
      </c>
      <c r="D30" s="73">
        <v>54596887</v>
      </c>
      <c r="E30" s="74">
        <v>59.3</v>
      </c>
      <c r="F30" s="31">
        <v>1016.01</v>
      </c>
      <c r="G30" s="228">
        <f t="shared" si="3"/>
        <v>60249.392999999996</v>
      </c>
      <c r="H30" s="611">
        <v>76.889799999999994</v>
      </c>
      <c r="I30" s="35">
        <f t="shared" si="4"/>
        <v>4559.5651399999997</v>
      </c>
      <c r="J30" s="114" t="s">
        <v>22</v>
      </c>
      <c r="K30" s="422" t="s">
        <v>23</v>
      </c>
      <c r="L30" s="231"/>
      <c r="M30" s="247"/>
      <c r="N30" s="75"/>
      <c r="O30" s="75"/>
      <c r="P30" s="75"/>
      <c r="Q30" s="75"/>
      <c r="R30" s="75"/>
      <c r="S30" s="75"/>
      <c r="T30" s="75"/>
      <c r="U30" s="79"/>
    </row>
    <row r="31" spans="1:21" x14ac:dyDescent="0.25">
      <c r="A31" s="70">
        <f t="shared" si="5"/>
        <v>25</v>
      </c>
      <c r="B31" s="98">
        <v>46139</v>
      </c>
      <c r="C31" s="73">
        <v>40000616</v>
      </c>
      <c r="D31" s="73">
        <v>57134157</v>
      </c>
      <c r="E31" s="74">
        <v>59.2</v>
      </c>
      <c r="F31" s="31">
        <v>1016.01</v>
      </c>
      <c r="G31" s="228">
        <f t="shared" si="3"/>
        <v>60147.792000000001</v>
      </c>
      <c r="H31" s="611">
        <v>76.889799999999994</v>
      </c>
      <c r="I31" s="35">
        <f t="shared" si="4"/>
        <v>4551.8761599999998</v>
      </c>
      <c r="J31" s="114" t="s">
        <v>22</v>
      </c>
      <c r="K31" s="422" t="s">
        <v>23</v>
      </c>
      <c r="L31" s="231"/>
      <c r="M31" s="247"/>
      <c r="N31" s="75"/>
      <c r="O31" s="75"/>
      <c r="P31" s="75"/>
      <c r="Q31" s="75"/>
      <c r="R31" s="75"/>
      <c r="S31" s="75"/>
      <c r="T31" s="75"/>
      <c r="U31" s="79"/>
    </row>
    <row r="32" spans="1:21" x14ac:dyDescent="0.25">
      <c r="A32" s="70">
        <f t="shared" si="5"/>
        <v>26</v>
      </c>
      <c r="B32" s="98">
        <v>46139</v>
      </c>
      <c r="C32" s="73">
        <v>40000616</v>
      </c>
      <c r="D32" s="73">
        <v>57173874</v>
      </c>
      <c r="E32" s="74">
        <v>59.7</v>
      </c>
      <c r="F32" s="31">
        <v>1016.01</v>
      </c>
      <c r="G32" s="228">
        <f t="shared" si="3"/>
        <v>60655.797000000006</v>
      </c>
      <c r="H32" s="611">
        <v>76.889799999999994</v>
      </c>
      <c r="I32" s="35">
        <f t="shared" si="4"/>
        <v>4590.3210600000002</v>
      </c>
      <c r="J32" s="114" t="s">
        <v>22</v>
      </c>
      <c r="K32" s="422" t="s">
        <v>23</v>
      </c>
      <c r="L32" s="231"/>
      <c r="M32" s="247"/>
      <c r="N32" s="75"/>
      <c r="O32" s="75"/>
      <c r="P32" s="75"/>
      <c r="Q32" s="75"/>
      <c r="R32" s="75"/>
      <c r="S32" s="75"/>
      <c r="T32" s="75"/>
      <c r="U32" s="79"/>
    </row>
    <row r="33" spans="1:21" x14ac:dyDescent="0.25">
      <c r="A33" s="70">
        <f t="shared" si="5"/>
        <v>27</v>
      </c>
      <c r="B33" s="98">
        <v>46139</v>
      </c>
      <c r="C33" s="73">
        <v>40000616</v>
      </c>
      <c r="D33" s="73">
        <v>57643892</v>
      </c>
      <c r="E33" s="74">
        <v>59.45</v>
      </c>
      <c r="F33" s="31">
        <v>1016.01</v>
      </c>
      <c r="G33" s="228">
        <f t="shared" si="3"/>
        <v>60401.794500000004</v>
      </c>
      <c r="H33" s="611">
        <v>76.889799999999994</v>
      </c>
      <c r="I33" s="35">
        <f t="shared" si="4"/>
        <v>4571.09861</v>
      </c>
      <c r="J33" s="114" t="s">
        <v>22</v>
      </c>
      <c r="K33" s="422" t="s">
        <v>23</v>
      </c>
      <c r="L33" s="231"/>
      <c r="M33" s="247"/>
      <c r="N33" s="75"/>
      <c r="O33" s="75"/>
      <c r="P33" s="75"/>
      <c r="Q33" s="75"/>
      <c r="R33" s="75"/>
      <c r="S33" s="75"/>
      <c r="T33" s="75"/>
      <c r="U33" s="79"/>
    </row>
    <row r="34" spans="1:21" x14ac:dyDescent="0.25">
      <c r="A34" s="70">
        <f t="shared" si="5"/>
        <v>28</v>
      </c>
      <c r="B34" s="98">
        <v>46139</v>
      </c>
      <c r="C34" s="73">
        <v>40000616</v>
      </c>
      <c r="D34" s="73">
        <v>58709866</v>
      </c>
      <c r="E34" s="74">
        <v>59.75</v>
      </c>
      <c r="F34" s="31">
        <v>1016.01</v>
      </c>
      <c r="G34" s="228">
        <f t="shared" si="3"/>
        <v>60706.597499999996</v>
      </c>
      <c r="H34" s="611">
        <v>76.889799999999994</v>
      </c>
      <c r="I34" s="35">
        <f t="shared" si="4"/>
        <v>4594.1655499999997</v>
      </c>
      <c r="J34" s="114" t="s">
        <v>22</v>
      </c>
      <c r="K34" s="422" t="s">
        <v>23</v>
      </c>
      <c r="L34" s="231"/>
      <c r="M34" s="247"/>
      <c r="N34" s="75"/>
      <c r="O34" s="75"/>
      <c r="P34" s="75"/>
      <c r="Q34" s="75"/>
      <c r="R34" s="75"/>
      <c r="S34" s="75"/>
      <c r="T34" s="75"/>
      <c r="U34" s="79"/>
    </row>
    <row r="35" spans="1:21" x14ac:dyDescent="0.25">
      <c r="A35" s="70">
        <f t="shared" si="5"/>
        <v>29</v>
      </c>
      <c r="B35" s="98">
        <v>46139</v>
      </c>
      <c r="C35" s="73">
        <v>40000615</v>
      </c>
      <c r="D35" s="73">
        <v>73036782</v>
      </c>
      <c r="E35" s="74">
        <v>59.75</v>
      </c>
      <c r="F35" s="31">
        <v>1016.01</v>
      </c>
      <c r="G35" s="228">
        <f t="shared" si="3"/>
        <v>60706.597499999996</v>
      </c>
      <c r="H35" s="611">
        <v>76.889799999999994</v>
      </c>
      <c r="I35" s="35">
        <f t="shared" si="4"/>
        <v>4594.1655499999997</v>
      </c>
      <c r="J35" s="114" t="s">
        <v>22</v>
      </c>
      <c r="K35" s="422" t="s">
        <v>23</v>
      </c>
      <c r="L35" s="231"/>
      <c r="M35" s="247"/>
      <c r="N35" s="75"/>
      <c r="O35" s="75"/>
      <c r="P35" s="75"/>
      <c r="Q35" s="75"/>
      <c r="R35" s="75"/>
      <c r="S35" s="75"/>
      <c r="T35" s="75"/>
      <c r="U35" s="79"/>
    </row>
    <row r="36" spans="1:21" x14ac:dyDescent="0.25">
      <c r="A36" s="70">
        <f t="shared" si="5"/>
        <v>30</v>
      </c>
      <c r="B36" s="98">
        <v>46139</v>
      </c>
      <c r="C36" s="73">
        <v>40000615</v>
      </c>
      <c r="D36" s="73">
        <v>73043010</v>
      </c>
      <c r="E36" s="74">
        <v>59.85</v>
      </c>
      <c r="F36" s="31">
        <v>1016.01</v>
      </c>
      <c r="G36" s="228">
        <f t="shared" si="3"/>
        <v>60808.198499999999</v>
      </c>
      <c r="H36" s="611">
        <v>76.889799999999994</v>
      </c>
      <c r="I36" s="35">
        <f t="shared" si="4"/>
        <v>4601.8545299999996</v>
      </c>
      <c r="J36" s="114" t="s">
        <v>22</v>
      </c>
      <c r="K36" s="422" t="s">
        <v>23</v>
      </c>
      <c r="L36" s="231"/>
      <c r="M36" s="247"/>
      <c r="N36" s="75"/>
      <c r="O36" s="75"/>
      <c r="P36" s="75"/>
      <c r="Q36" s="75"/>
      <c r="R36" s="75"/>
      <c r="S36" s="75"/>
      <c r="T36" s="75"/>
      <c r="U36" s="79"/>
    </row>
    <row r="37" spans="1:21" x14ac:dyDescent="0.25">
      <c r="A37" s="70">
        <f t="shared" si="5"/>
        <v>31</v>
      </c>
      <c r="B37" s="98">
        <v>46139</v>
      </c>
      <c r="C37" s="73">
        <v>40000615</v>
      </c>
      <c r="D37" s="73">
        <v>73222838</v>
      </c>
      <c r="E37" s="74">
        <v>59.8</v>
      </c>
      <c r="F37" s="31">
        <v>1016.01</v>
      </c>
      <c r="G37" s="228">
        <f t="shared" si="3"/>
        <v>60757.397999999994</v>
      </c>
      <c r="H37" s="611">
        <v>76.889799999999994</v>
      </c>
      <c r="I37" s="35">
        <f t="shared" si="4"/>
        <v>4598.0100399999992</v>
      </c>
      <c r="J37" s="114" t="s">
        <v>22</v>
      </c>
      <c r="K37" s="422" t="s">
        <v>23</v>
      </c>
      <c r="L37" s="231"/>
      <c r="M37" s="247"/>
      <c r="N37" s="75"/>
      <c r="O37" s="75"/>
      <c r="P37" s="75"/>
      <c r="Q37" s="75"/>
      <c r="R37" s="75"/>
      <c r="S37" s="75"/>
      <c r="T37" s="75"/>
      <c r="U37" s="79"/>
    </row>
    <row r="38" spans="1:21" x14ac:dyDescent="0.25">
      <c r="A38" s="70">
        <f t="shared" si="5"/>
        <v>32</v>
      </c>
      <c r="B38" s="98">
        <v>46139</v>
      </c>
      <c r="C38" s="73">
        <v>40000615</v>
      </c>
      <c r="D38" s="73">
        <v>73224131</v>
      </c>
      <c r="E38" s="74">
        <v>59.8</v>
      </c>
      <c r="F38" s="31">
        <v>1016.01</v>
      </c>
      <c r="G38" s="228">
        <f t="shared" si="3"/>
        <v>60757.397999999994</v>
      </c>
      <c r="H38" s="611">
        <v>76.889799999999994</v>
      </c>
      <c r="I38" s="35">
        <f t="shared" si="4"/>
        <v>4598.0100399999992</v>
      </c>
      <c r="J38" s="114" t="s">
        <v>22</v>
      </c>
      <c r="K38" s="422" t="s">
        <v>23</v>
      </c>
      <c r="L38" s="231"/>
      <c r="M38" s="247"/>
      <c r="N38" s="75"/>
      <c r="O38" s="75"/>
      <c r="P38" s="75"/>
      <c r="Q38" s="75"/>
      <c r="R38" s="75"/>
      <c r="S38" s="75"/>
      <c r="T38" s="75"/>
      <c r="U38" s="79"/>
    </row>
    <row r="39" spans="1:21" x14ac:dyDescent="0.25">
      <c r="A39" s="70">
        <f t="shared" si="5"/>
        <v>33</v>
      </c>
      <c r="B39" s="98">
        <v>46139</v>
      </c>
      <c r="C39" s="73">
        <v>40000616</v>
      </c>
      <c r="D39" s="73">
        <v>74946351</v>
      </c>
      <c r="E39" s="74">
        <v>59.25</v>
      </c>
      <c r="F39" s="31">
        <v>1016.01</v>
      </c>
      <c r="G39" s="228">
        <f t="shared" si="3"/>
        <v>60198.592499999999</v>
      </c>
      <c r="H39" s="611">
        <v>76.889799999999994</v>
      </c>
      <c r="I39" s="35">
        <f t="shared" si="4"/>
        <v>4555.7206499999993</v>
      </c>
      <c r="J39" s="114" t="s">
        <v>22</v>
      </c>
      <c r="K39" s="422" t="s">
        <v>23</v>
      </c>
      <c r="L39" s="231"/>
      <c r="M39" s="247"/>
      <c r="N39" s="75"/>
      <c r="O39" s="75"/>
      <c r="P39" s="75"/>
      <c r="Q39" s="75"/>
      <c r="R39" s="75"/>
      <c r="S39" s="75"/>
      <c r="T39" s="75"/>
      <c r="U39" s="79"/>
    </row>
    <row r="40" spans="1:21" x14ac:dyDescent="0.25">
      <c r="A40" s="70">
        <f t="shared" si="5"/>
        <v>34</v>
      </c>
      <c r="B40" s="98">
        <v>46139</v>
      </c>
      <c r="C40" s="73">
        <v>40000616</v>
      </c>
      <c r="D40" s="73">
        <v>75005249</v>
      </c>
      <c r="E40" s="74">
        <v>59.4</v>
      </c>
      <c r="F40" s="31">
        <v>1016.01</v>
      </c>
      <c r="G40" s="228">
        <f t="shared" si="3"/>
        <v>60350.993999999999</v>
      </c>
      <c r="H40" s="611">
        <v>76.889799999999994</v>
      </c>
      <c r="I40" s="35">
        <f t="shared" si="4"/>
        <v>4567.2541199999996</v>
      </c>
      <c r="J40" s="114" t="s">
        <v>22</v>
      </c>
      <c r="K40" s="422" t="s">
        <v>23</v>
      </c>
      <c r="L40" s="231"/>
      <c r="M40" s="247"/>
      <c r="N40" s="75"/>
      <c r="O40" s="75"/>
      <c r="P40" s="75"/>
      <c r="Q40" s="75"/>
      <c r="R40" s="75"/>
      <c r="S40" s="75"/>
      <c r="T40" s="75"/>
      <c r="U40" s="79"/>
    </row>
    <row r="41" spans="1:21" x14ac:dyDescent="0.25">
      <c r="A41" s="70">
        <f t="shared" si="5"/>
        <v>35</v>
      </c>
      <c r="B41" s="98">
        <v>46139</v>
      </c>
      <c r="C41" s="73">
        <v>40000615</v>
      </c>
      <c r="D41" s="73">
        <v>75330274</v>
      </c>
      <c r="E41" s="74">
        <v>59.8</v>
      </c>
      <c r="F41" s="31">
        <v>1016.01</v>
      </c>
      <c r="G41" s="228">
        <f t="shared" si="3"/>
        <v>60757.397999999994</v>
      </c>
      <c r="H41" s="611">
        <v>76.889799999999994</v>
      </c>
      <c r="I41" s="35">
        <f t="shared" si="4"/>
        <v>4598.0100399999992</v>
      </c>
      <c r="J41" s="114" t="s">
        <v>22</v>
      </c>
      <c r="K41" s="422" t="s">
        <v>23</v>
      </c>
      <c r="L41" s="231"/>
      <c r="M41" s="247"/>
      <c r="N41" s="75"/>
      <c r="O41" s="75"/>
      <c r="P41" s="75"/>
      <c r="Q41" s="75"/>
      <c r="R41" s="75"/>
      <c r="S41" s="75"/>
      <c r="T41" s="75"/>
      <c r="U41" s="79"/>
    </row>
    <row r="42" spans="1:21" x14ac:dyDescent="0.25">
      <c r="A42" s="70">
        <f t="shared" si="5"/>
        <v>36</v>
      </c>
      <c r="B42" s="98">
        <v>46139</v>
      </c>
      <c r="C42" s="73">
        <v>40000615</v>
      </c>
      <c r="D42" s="73">
        <v>75330340</v>
      </c>
      <c r="E42" s="74">
        <v>60.65</v>
      </c>
      <c r="F42" s="31">
        <v>1016.01</v>
      </c>
      <c r="G42" s="228">
        <f t="shared" si="3"/>
        <v>61621.006499999996</v>
      </c>
      <c r="H42" s="611">
        <v>76.889799999999994</v>
      </c>
      <c r="I42" s="35">
        <f t="shared" si="4"/>
        <v>4663.3663699999997</v>
      </c>
      <c r="J42" s="114" t="s">
        <v>22</v>
      </c>
      <c r="K42" s="422" t="s">
        <v>23</v>
      </c>
      <c r="L42" s="231"/>
      <c r="M42" s="247"/>
      <c r="N42" s="75"/>
      <c r="O42" s="75"/>
      <c r="P42" s="75"/>
      <c r="Q42" s="75"/>
      <c r="R42" s="75"/>
      <c r="S42" s="75"/>
      <c r="T42" s="75"/>
      <c r="U42" s="79"/>
    </row>
    <row r="43" spans="1:21" ht="15.75" thickBot="1" x14ac:dyDescent="0.3">
      <c r="A43" s="101">
        <f t="shared" si="5"/>
        <v>37</v>
      </c>
      <c r="B43" s="135">
        <v>46139</v>
      </c>
      <c r="C43" s="103">
        <v>40000615</v>
      </c>
      <c r="D43" s="103">
        <v>75332239</v>
      </c>
      <c r="E43" s="104">
        <v>60.4</v>
      </c>
      <c r="F43" s="31">
        <v>1016.01</v>
      </c>
      <c r="G43" s="248">
        <f t="shared" si="3"/>
        <v>61367.004000000001</v>
      </c>
      <c r="H43" s="611">
        <v>76.889799999999994</v>
      </c>
      <c r="I43" s="40">
        <f t="shared" si="4"/>
        <v>4644.1439199999995</v>
      </c>
      <c r="J43" s="137" t="s">
        <v>22</v>
      </c>
      <c r="K43" s="425" t="s">
        <v>23</v>
      </c>
      <c r="L43" s="258"/>
      <c r="M43" s="250"/>
      <c r="N43" s="88"/>
      <c r="O43" s="88"/>
      <c r="P43" s="88"/>
      <c r="Q43" s="88"/>
      <c r="R43" s="88"/>
      <c r="S43" s="88"/>
      <c r="T43" s="88"/>
      <c r="U43" s="89"/>
    </row>
    <row r="44" spans="1:21" ht="15.75" thickBot="1" x14ac:dyDescent="0.3">
      <c r="A44" s="201"/>
      <c r="B44" s="115"/>
      <c r="C44" s="115"/>
      <c r="D44" s="115"/>
      <c r="E44" s="116">
        <f>SUM(E23:E43)</f>
        <v>1243.6500000000003</v>
      </c>
      <c r="F44" s="115"/>
      <c r="G44" s="550">
        <f>SUM(G23:G43)</f>
        <v>1263560.8365</v>
      </c>
      <c r="H44" s="117"/>
      <c r="I44" s="518">
        <f>SUM(I23:I43)</f>
        <v>95623.99976999998</v>
      </c>
      <c r="J44" s="115"/>
      <c r="K44" s="120"/>
      <c r="L44" s="552"/>
      <c r="M44" s="201"/>
      <c r="N44" s="115"/>
      <c r="O44" s="115"/>
      <c r="P44" s="115"/>
      <c r="Q44" s="115"/>
      <c r="R44" s="115"/>
      <c r="S44" s="115"/>
      <c r="T44" s="115"/>
      <c r="U44" s="120"/>
    </row>
    <row r="45" spans="1:21" x14ac:dyDescent="0.25">
      <c r="A45" s="207">
        <v>38</v>
      </c>
      <c r="B45" s="71">
        <v>46140</v>
      </c>
      <c r="C45" s="152">
        <v>40000620</v>
      </c>
      <c r="D45" s="152">
        <v>50919323</v>
      </c>
      <c r="E45" s="153">
        <v>59.85</v>
      </c>
      <c r="F45" s="31">
        <v>1016.01</v>
      </c>
      <c r="G45" s="228">
        <f t="shared" ref="G45:G59" si="6">E45*F45</f>
        <v>60808.198499999999</v>
      </c>
      <c r="H45" s="611">
        <v>76.889799999999994</v>
      </c>
      <c r="I45" s="35">
        <f t="shared" ref="I45:I59" si="7">E45*H45</f>
        <v>4601.8545299999996</v>
      </c>
      <c r="J45" s="212" t="s">
        <v>22</v>
      </c>
      <c r="K45" s="434" t="s">
        <v>23</v>
      </c>
      <c r="L45" s="230"/>
      <c r="M45" s="245"/>
      <c r="N45" s="68"/>
      <c r="O45" s="68"/>
      <c r="P45" s="68"/>
      <c r="Q45" s="68"/>
      <c r="R45" s="68"/>
      <c r="S45" s="68"/>
      <c r="T45" s="68"/>
      <c r="U45" s="69"/>
    </row>
    <row r="46" spans="1:21" x14ac:dyDescent="0.25">
      <c r="A46" s="70">
        <f>A45+1</f>
        <v>39</v>
      </c>
      <c r="B46" s="98">
        <v>46140</v>
      </c>
      <c r="C46" s="73">
        <v>40000620</v>
      </c>
      <c r="D46" s="73">
        <v>54695846</v>
      </c>
      <c r="E46" s="74">
        <v>59.9</v>
      </c>
      <c r="F46" s="31">
        <v>1016.01</v>
      </c>
      <c r="G46" s="228">
        <f t="shared" si="6"/>
        <v>60858.998999999996</v>
      </c>
      <c r="H46" s="611">
        <v>76.889799999999994</v>
      </c>
      <c r="I46" s="35">
        <f t="shared" si="7"/>
        <v>4605.6990199999991</v>
      </c>
      <c r="J46" s="114" t="s">
        <v>22</v>
      </c>
      <c r="K46" s="422" t="s">
        <v>23</v>
      </c>
      <c r="L46" s="231"/>
      <c r="M46" s="247"/>
      <c r="N46" s="75"/>
      <c r="O46" s="75"/>
      <c r="P46" s="75"/>
      <c r="Q46" s="75"/>
      <c r="R46" s="75"/>
      <c r="S46" s="75"/>
      <c r="T46" s="75"/>
      <c r="U46" s="79"/>
    </row>
    <row r="47" spans="1:21" x14ac:dyDescent="0.25">
      <c r="A47" s="70">
        <f t="shared" ref="A47:A59" si="8">A46+1</f>
        <v>40</v>
      </c>
      <c r="B47" s="98">
        <v>46140</v>
      </c>
      <c r="C47" s="73">
        <v>40000620</v>
      </c>
      <c r="D47" s="73">
        <v>55948871</v>
      </c>
      <c r="E47" s="74">
        <v>59.85</v>
      </c>
      <c r="F47" s="31">
        <v>1016.01</v>
      </c>
      <c r="G47" s="228">
        <f t="shared" si="6"/>
        <v>60808.198499999999</v>
      </c>
      <c r="H47" s="611">
        <v>76.889799999999994</v>
      </c>
      <c r="I47" s="35">
        <f t="shared" si="7"/>
        <v>4601.8545299999996</v>
      </c>
      <c r="J47" s="114" t="s">
        <v>22</v>
      </c>
      <c r="K47" s="422" t="s">
        <v>23</v>
      </c>
      <c r="L47" s="231"/>
      <c r="M47" s="247"/>
      <c r="N47" s="75"/>
      <c r="O47" s="75"/>
      <c r="P47" s="75"/>
      <c r="Q47" s="75"/>
      <c r="R47" s="75"/>
      <c r="S47" s="75"/>
      <c r="T47" s="75"/>
      <c r="U47" s="79"/>
    </row>
    <row r="48" spans="1:21" x14ac:dyDescent="0.25">
      <c r="A48" s="70">
        <f t="shared" si="8"/>
        <v>41</v>
      </c>
      <c r="B48" s="98">
        <v>46140</v>
      </c>
      <c r="C48" s="73">
        <v>40000620</v>
      </c>
      <c r="D48" s="73">
        <v>57261729</v>
      </c>
      <c r="E48" s="74">
        <v>60</v>
      </c>
      <c r="F48" s="31">
        <v>1016.01</v>
      </c>
      <c r="G48" s="228">
        <f t="shared" si="6"/>
        <v>60960.6</v>
      </c>
      <c r="H48" s="611">
        <v>76.889799999999994</v>
      </c>
      <c r="I48" s="35">
        <f t="shared" si="7"/>
        <v>4613.3879999999999</v>
      </c>
      <c r="J48" s="114" t="s">
        <v>22</v>
      </c>
      <c r="K48" s="422" t="s">
        <v>23</v>
      </c>
      <c r="L48" s="231"/>
      <c r="M48" s="247"/>
      <c r="N48" s="75"/>
      <c r="O48" s="75"/>
      <c r="P48" s="75"/>
      <c r="Q48" s="75"/>
      <c r="R48" s="75"/>
      <c r="S48" s="75"/>
      <c r="T48" s="75"/>
      <c r="U48" s="79"/>
    </row>
    <row r="49" spans="1:21" x14ac:dyDescent="0.25">
      <c r="A49" s="70">
        <f t="shared" si="8"/>
        <v>42</v>
      </c>
      <c r="B49" s="98">
        <v>46140</v>
      </c>
      <c r="C49" s="73">
        <v>40000620</v>
      </c>
      <c r="D49" s="73">
        <v>58294174</v>
      </c>
      <c r="E49" s="74">
        <v>59.95</v>
      </c>
      <c r="F49" s="31">
        <v>1016.01</v>
      </c>
      <c r="G49" s="228">
        <f t="shared" si="6"/>
        <v>60909.799500000001</v>
      </c>
      <c r="H49" s="611">
        <v>76.889799999999994</v>
      </c>
      <c r="I49" s="35">
        <f t="shared" si="7"/>
        <v>4609.5435099999995</v>
      </c>
      <c r="J49" s="114" t="s">
        <v>22</v>
      </c>
      <c r="K49" s="422" t="s">
        <v>23</v>
      </c>
      <c r="L49" s="231"/>
      <c r="M49" s="247"/>
      <c r="N49" s="75"/>
      <c r="O49" s="75"/>
      <c r="P49" s="75"/>
      <c r="Q49" s="75"/>
      <c r="R49" s="75"/>
      <c r="S49" s="75"/>
      <c r="T49" s="75"/>
      <c r="U49" s="79"/>
    </row>
    <row r="50" spans="1:21" x14ac:dyDescent="0.25">
      <c r="A50" s="70">
        <f t="shared" si="8"/>
        <v>43</v>
      </c>
      <c r="B50" s="98">
        <v>46140</v>
      </c>
      <c r="C50" s="73">
        <v>40000620</v>
      </c>
      <c r="D50" s="73">
        <v>73137572</v>
      </c>
      <c r="E50" s="74">
        <v>59.95</v>
      </c>
      <c r="F50" s="31">
        <v>1016.01</v>
      </c>
      <c r="G50" s="228">
        <f t="shared" si="6"/>
        <v>60909.799500000001</v>
      </c>
      <c r="H50" s="611">
        <v>76.889799999999994</v>
      </c>
      <c r="I50" s="35">
        <f t="shared" si="7"/>
        <v>4609.5435099999995</v>
      </c>
      <c r="J50" s="114" t="s">
        <v>22</v>
      </c>
      <c r="K50" s="422" t="s">
        <v>23</v>
      </c>
      <c r="L50" s="231"/>
      <c r="M50" s="247"/>
      <c r="N50" s="75"/>
      <c r="O50" s="75"/>
      <c r="P50" s="75"/>
      <c r="Q50" s="75"/>
      <c r="R50" s="75"/>
      <c r="S50" s="75"/>
      <c r="T50" s="75"/>
      <c r="U50" s="79"/>
    </row>
    <row r="51" spans="1:21" x14ac:dyDescent="0.25">
      <c r="A51" s="70">
        <f t="shared" si="8"/>
        <v>44</v>
      </c>
      <c r="B51" s="98">
        <v>46140</v>
      </c>
      <c r="C51" s="73">
        <v>40000620</v>
      </c>
      <c r="D51" s="73">
        <v>73171605</v>
      </c>
      <c r="E51" s="74">
        <v>60</v>
      </c>
      <c r="F51" s="31">
        <v>1016.01</v>
      </c>
      <c r="G51" s="228">
        <f t="shared" si="6"/>
        <v>60960.6</v>
      </c>
      <c r="H51" s="611">
        <v>76.889799999999994</v>
      </c>
      <c r="I51" s="35">
        <f t="shared" si="7"/>
        <v>4613.3879999999999</v>
      </c>
      <c r="J51" s="114" t="s">
        <v>22</v>
      </c>
      <c r="K51" s="422" t="s">
        <v>23</v>
      </c>
      <c r="L51" s="231"/>
      <c r="M51" s="247"/>
      <c r="N51" s="75"/>
      <c r="O51" s="75"/>
      <c r="P51" s="75"/>
      <c r="Q51" s="75"/>
      <c r="R51" s="75"/>
      <c r="S51" s="75"/>
      <c r="T51" s="75"/>
      <c r="U51" s="79"/>
    </row>
    <row r="52" spans="1:21" x14ac:dyDescent="0.25">
      <c r="A52" s="70">
        <f t="shared" si="8"/>
        <v>45</v>
      </c>
      <c r="B52" s="98">
        <v>46140</v>
      </c>
      <c r="C52" s="73">
        <v>40000620</v>
      </c>
      <c r="D52" s="73">
        <v>73189854</v>
      </c>
      <c r="E52" s="74">
        <v>60.1</v>
      </c>
      <c r="F52" s="31">
        <v>1016.01</v>
      </c>
      <c r="G52" s="228">
        <f t="shared" si="6"/>
        <v>61062.201000000001</v>
      </c>
      <c r="H52" s="611">
        <v>76.889799999999994</v>
      </c>
      <c r="I52" s="35">
        <f t="shared" si="7"/>
        <v>4621.0769799999998</v>
      </c>
      <c r="J52" s="114" t="s">
        <v>22</v>
      </c>
      <c r="K52" s="422" t="s">
        <v>23</v>
      </c>
      <c r="L52" s="231"/>
      <c r="M52" s="247"/>
      <c r="N52" s="75"/>
      <c r="O52" s="75"/>
      <c r="P52" s="75"/>
      <c r="Q52" s="75"/>
      <c r="R52" s="75"/>
      <c r="S52" s="75"/>
      <c r="T52" s="75"/>
      <c r="U52" s="79"/>
    </row>
    <row r="53" spans="1:21" x14ac:dyDescent="0.25">
      <c r="A53" s="70">
        <f t="shared" si="8"/>
        <v>46</v>
      </c>
      <c r="B53" s="98">
        <v>46140</v>
      </c>
      <c r="C53" s="73">
        <v>40000620</v>
      </c>
      <c r="D53" s="73">
        <v>73190480</v>
      </c>
      <c r="E53" s="74">
        <v>60.15</v>
      </c>
      <c r="F53" s="31">
        <v>1016.01</v>
      </c>
      <c r="G53" s="228">
        <f t="shared" si="6"/>
        <v>61113.001499999998</v>
      </c>
      <c r="H53" s="611">
        <v>76.889799999999994</v>
      </c>
      <c r="I53" s="35">
        <f t="shared" si="7"/>
        <v>4624.9214699999993</v>
      </c>
      <c r="J53" s="114" t="s">
        <v>22</v>
      </c>
      <c r="K53" s="422" t="s">
        <v>23</v>
      </c>
      <c r="L53" s="231"/>
      <c r="M53" s="247"/>
      <c r="N53" s="75"/>
      <c r="O53" s="75"/>
      <c r="P53" s="75"/>
      <c r="Q53" s="75"/>
      <c r="R53" s="75"/>
      <c r="S53" s="75"/>
      <c r="T53" s="75"/>
      <c r="U53" s="79"/>
    </row>
    <row r="54" spans="1:21" x14ac:dyDescent="0.25">
      <c r="A54" s="70">
        <f t="shared" si="8"/>
        <v>47</v>
      </c>
      <c r="B54" s="98">
        <v>46140</v>
      </c>
      <c r="C54" s="73">
        <v>40000620</v>
      </c>
      <c r="D54" s="73">
        <v>73198905</v>
      </c>
      <c r="E54" s="74">
        <v>59.85</v>
      </c>
      <c r="F54" s="31">
        <v>1016.01</v>
      </c>
      <c r="G54" s="228">
        <f t="shared" si="6"/>
        <v>60808.198499999999</v>
      </c>
      <c r="H54" s="611">
        <v>76.889799999999994</v>
      </c>
      <c r="I54" s="35">
        <f t="shared" si="7"/>
        <v>4601.8545299999996</v>
      </c>
      <c r="J54" s="114" t="s">
        <v>22</v>
      </c>
      <c r="K54" s="422" t="s">
        <v>23</v>
      </c>
      <c r="L54" s="231"/>
      <c r="M54" s="247"/>
      <c r="N54" s="75"/>
      <c r="O54" s="75"/>
      <c r="P54" s="75"/>
      <c r="Q54" s="75"/>
      <c r="R54" s="75"/>
      <c r="S54" s="75"/>
      <c r="T54" s="75"/>
      <c r="U54" s="79"/>
    </row>
    <row r="55" spans="1:21" x14ac:dyDescent="0.25">
      <c r="A55" s="70">
        <f t="shared" si="8"/>
        <v>48</v>
      </c>
      <c r="B55" s="98">
        <v>46140</v>
      </c>
      <c r="C55" s="73">
        <v>40000620</v>
      </c>
      <c r="D55" s="73">
        <v>73551525</v>
      </c>
      <c r="E55" s="74">
        <v>60.1</v>
      </c>
      <c r="F55" s="31">
        <v>1016.01</v>
      </c>
      <c r="G55" s="228">
        <f t="shared" si="6"/>
        <v>61062.201000000001</v>
      </c>
      <c r="H55" s="611">
        <v>76.889799999999994</v>
      </c>
      <c r="I55" s="35">
        <f t="shared" si="7"/>
        <v>4621.0769799999998</v>
      </c>
      <c r="J55" s="114" t="s">
        <v>22</v>
      </c>
      <c r="K55" s="422" t="s">
        <v>23</v>
      </c>
      <c r="L55" s="231"/>
      <c r="M55" s="247"/>
      <c r="N55" s="75"/>
      <c r="O55" s="75"/>
      <c r="P55" s="75"/>
      <c r="Q55" s="75"/>
      <c r="R55" s="75"/>
      <c r="S55" s="75"/>
      <c r="T55" s="75"/>
      <c r="U55" s="79"/>
    </row>
    <row r="56" spans="1:21" x14ac:dyDescent="0.25">
      <c r="A56" s="70">
        <f t="shared" si="8"/>
        <v>49</v>
      </c>
      <c r="B56" s="98">
        <v>46140</v>
      </c>
      <c r="C56" s="73">
        <v>40000620</v>
      </c>
      <c r="D56" s="73">
        <v>75229989</v>
      </c>
      <c r="E56" s="74">
        <v>60.35</v>
      </c>
      <c r="F56" s="31">
        <v>1016.01</v>
      </c>
      <c r="G56" s="228">
        <f t="shared" si="6"/>
        <v>61316.203500000003</v>
      </c>
      <c r="H56" s="611">
        <v>76.889799999999994</v>
      </c>
      <c r="I56" s="35">
        <f t="shared" si="7"/>
        <v>4640.29943</v>
      </c>
      <c r="J56" s="114" t="s">
        <v>22</v>
      </c>
      <c r="K56" s="422" t="s">
        <v>23</v>
      </c>
      <c r="L56" s="231"/>
      <c r="M56" s="247"/>
      <c r="N56" s="75"/>
      <c r="O56" s="75"/>
      <c r="P56" s="75"/>
      <c r="Q56" s="75"/>
      <c r="R56" s="75"/>
      <c r="S56" s="75"/>
      <c r="T56" s="75"/>
      <c r="U56" s="79"/>
    </row>
    <row r="57" spans="1:21" x14ac:dyDescent="0.25">
      <c r="A57" s="70">
        <f t="shared" si="8"/>
        <v>50</v>
      </c>
      <c r="B57" s="98">
        <v>46140</v>
      </c>
      <c r="C57" s="73">
        <v>40000620</v>
      </c>
      <c r="D57" s="73">
        <v>75231902</v>
      </c>
      <c r="E57" s="74">
        <v>60.45</v>
      </c>
      <c r="F57" s="31">
        <v>1016.01</v>
      </c>
      <c r="G57" s="228">
        <f t="shared" si="6"/>
        <v>61417.804500000006</v>
      </c>
      <c r="H57" s="611">
        <v>76.889799999999994</v>
      </c>
      <c r="I57" s="35">
        <f t="shared" si="7"/>
        <v>4647.9884099999999</v>
      </c>
      <c r="J57" s="114" t="s">
        <v>22</v>
      </c>
      <c r="K57" s="422" t="s">
        <v>23</v>
      </c>
      <c r="L57" s="231"/>
      <c r="M57" s="247"/>
      <c r="N57" s="75"/>
      <c r="O57" s="75"/>
      <c r="P57" s="75"/>
      <c r="Q57" s="75"/>
      <c r="R57" s="75"/>
      <c r="S57" s="75"/>
      <c r="T57" s="75"/>
      <c r="U57" s="79"/>
    </row>
    <row r="58" spans="1:21" x14ac:dyDescent="0.25">
      <c r="A58" s="70">
        <f t="shared" si="8"/>
        <v>51</v>
      </c>
      <c r="B58" s="98">
        <v>46140</v>
      </c>
      <c r="C58" s="73">
        <v>40000620</v>
      </c>
      <c r="D58" s="73">
        <v>75296020</v>
      </c>
      <c r="E58" s="74">
        <v>60.4</v>
      </c>
      <c r="F58" s="31">
        <v>1016.01</v>
      </c>
      <c r="G58" s="228">
        <f t="shared" si="6"/>
        <v>61367.004000000001</v>
      </c>
      <c r="H58" s="611">
        <v>76.889799999999994</v>
      </c>
      <c r="I58" s="35">
        <f t="shared" si="7"/>
        <v>4644.1439199999995</v>
      </c>
      <c r="J58" s="114" t="s">
        <v>22</v>
      </c>
      <c r="K58" s="422" t="s">
        <v>23</v>
      </c>
      <c r="L58" s="553"/>
      <c r="M58" s="247"/>
      <c r="N58" s="75"/>
      <c r="O58" s="75"/>
      <c r="P58" s="75"/>
      <c r="Q58" s="75"/>
      <c r="R58" s="75"/>
      <c r="S58" s="75"/>
      <c r="T58" s="75"/>
      <c r="U58" s="79"/>
    </row>
    <row r="59" spans="1:21" ht="15.75" thickBot="1" x14ac:dyDescent="0.3">
      <c r="A59" s="80">
        <f t="shared" si="8"/>
        <v>52</v>
      </c>
      <c r="B59" s="99">
        <v>46140</v>
      </c>
      <c r="C59" s="83">
        <v>40000620</v>
      </c>
      <c r="D59" s="83">
        <v>76366392</v>
      </c>
      <c r="E59" s="84">
        <v>60.4</v>
      </c>
      <c r="F59" s="31">
        <v>1016.01</v>
      </c>
      <c r="G59" s="364">
        <f t="shared" si="6"/>
        <v>61367.004000000001</v>
      </c>
      <c r="H59" s="611">
        <v>76.889799999999994</v>
      </c>
      <c r="I59" s="366">
        <f t="shared" si="7"/>
        <v>4644.1439199999995</v>
      </c>
      <c r="J59" s="219" t="s">
        <v>22</v>
      </c>
      <c r="K59" s="439" t="s">
        <v>23</v>
      </c>
      <c r="L59" s="349"/>
      <c r="M59" s="353"/>
      <c r="N59" s="351"/>
      <c r="O59" s="351"/>
      <c r="P59" s="351"/>
      <c r="Q59" s="351"/>
      <c r="R59" s="351"/>
      <c r="S59" s="351"/>
      <c r="T59" s="351"/>
      <c r="U59" s="352"/>
    </row>
    <row r="60" spans="1:21" ht="15.75" thickBot="1" x14ac:dyDescent="0.3">
      <c r="A60" s="201"/>
      <c r="B60" s="115"/>
      <c r="C60" s="115"/>
      <c r="D60" s="115"/>
      <c r="E60" s="158">
        <f>SUM(E45:E59)</f>
        <v>901.30000000000007</v>
      </c>
      <c r="F60" s="115"/>
      <c r="G60" s="550">
        <f>SUM(G45:G59)</f>
        <v>915729.81299999973</v>
      </c>
      <c r="H60" s="117"/>
      <c r="I60" s="518">
        <f>SUM(I45:I59)</f>
        <v>69300.776739999987</v>
      </c>
      <c r="J60" s="115"/>
      <c r="K60" s="120"/>
      <c r="L60" s="121"/>
      <c r="M60" s="122"/>
      <c r="N60" s="115"/>
      <c r="O60" s="115"/>
      <c r="P60" s="115"/>
      <c r="Q60" s="115"/>
      <c r="R60" s="115"/>
      <c r="S60" s="115"/>
      <c r="T60" s="115"/>
      <c r="U60" s="120"/>
    </row>
    <row r="61" spans="1:21" x14ac:dyDescent="0.25">
      <c r="A61" s="207">
        <v>53</v>
      </c>
      <c r="B61" s="71">
        <v>46140</v>
      </c>
      <c r="C61" s="152">
        <v>40000726</v>
      </c>
      <c r="D61" s="152">
        <v>51818730</v>
      </c>
      <c r="E61" s="153">
        <v>59.45</v>
      </c>
      <c r="F61" s="31">
        <v>1016.01</v>
      </c>
      <c r="G61" s="228">
        <f t="shared" ref="G61:G64" si="9">E61*F61</f>
        <v>60401.794500000004</v>
      </c>
      <c r="H61" s="611">
        <v>76.889799999999994</v>
      </c>
      <c r="I61" s="35">
        <f t="shared" ref="I61:I64" si="10">E61*H61</f>
        <v>4571.09861</v>
      </c>
      <c r="J61" s="212" t="s">
        <v>22</v>
      </c>
      <c r="K61" s="554" t="s">
        <v>23</v>
      </c>
      <c r="L61" s="555"/>
      <c r="M61" s="177"/>
      <c r="N61" s="186"/>
      <c r="O61" s="186"/>
      <c r="P61" s="186"/>
      <c r="Q61" s="186"/>
      <c r="R61" s="186"/>
      <c r="S61" s="186"/>
      <c r="T61" s="186"/>
      <c r="U61" s="187"/>
    </row>
    <row r="62" spans="1:21" x14ac:dyDescent="0.25">
      <c r="A62" s="70">
        <f>A61+1</f>
        <v>54</v>
      </c>
      <c r="B62" s="98">
        <v>46140</v>
      </c>
      <c r="C62" s="73">
        <v>40000728</v>
      </c>
      <c r="D62" s="73">
        <v>56905094</v>
      </c>
      <c r="E62" s="74">
        <v>59.45</v>
      </c>
      <c r="F62" s="31">
        <v>1016.01</v>
      </c>
      <c r="G62" s="556">
        <f t="shared" si="9"/>
        <v>60401.794500000004</v>
      </c>
      <c r="H62" s="611">
        <v>76.889799999999994</v>
      </c>
      <c r="I62" s="37">
        <f t="shared" si="10"/>
        <v>4571.09861</v>
      </c>
      <c r="J62" s="114" t="s">
        <v>22</v>
      </c>
      <c r="K62" s="502" t="s">
        <v>23</v>
      </c>
      <c r="M62" s="70"/>
      <c r="N62" s="75"/>
      <c r="O62" s="75"/>
      <c r="P62" s="75"/>
      <c r="Q62" s="75"/>
      <c r="R62" s="75"/>
      <c r="S62" s="75"/>
      <c r="T62" s="75"/>
      <c r="U62" s="79"/>
    </row>
    <row r="63" spans="1:21" x14ac:dyDescent="0.25">
      <c r="A63" s="70">
        <f t="shared" ref="A63:A64" si="11">A62+1</f>
        <v>55</v>
      </c>
      <c r="B63" s="98">
        <v>46140</v>
      </c>
      <c r="C63" s="73">
        <v>40000729</v>
      </c>
      <c r="D63" s="73">
        <v>74944414</v>
      </c>
      <c r="E63" s="74">
        <v>59.85</v>
      </c>
      <c r="F63" s="31">
        <v>1016.01</v>
      </c>
      <c r="G63" s="556">
        <f t="shared" si="9"/>
        <v>60808.198499999999</v>
      </c>
      <c r="H63" s="611">
        <v>76.889799999999994</v>
      </c>
      <c r="I63" s="37">
        <f t="shared" si="10"/>
        <v>4601.8545299999996</v>
      </c>
      <c r="J63" s="114" t="s">
        <v>22</v>
      </c>
      <c r="K63" s="502" t="s">
        <v>23</v>
      </c>
      <c r="M63" s="70"/>
      <c r="N63" s="75"/>
      <c r="O63" s="75"/>
      <c r="P63" s="75"/>
      <c r="Q63" s="75"/>
      <c r="R63" s="75"/>
      <c r="S63" s="75"/>
      <c r="T63" s="75"/>
      <c r="U63" s="79"/>
    </row>
    <row r="64" spans="1:21" ht="15.75" thickBot="1" x14ac:dyDescent="0.3">
      <c r="A64" s="101">
        <f t="shared" si="11"/>
        <v>56</v>
      </c>
      <c r="B64" s="135">
        <v>46140</v>
      </c>
      <c r="C64" s="103">
        <v>40000727</v>
      </c>
      <c r="D64" s="103">
        <v>75085357</v>
      </c>
      <c r="E64" s="104">
        <v>60.4</v>
      </c>
      <c r="F64" s="31">
        <v>1016.01</v>
      </c>
      <c r="G64" s="557">
        <f t="shared" si="9"/>
        <v>61367.004000000001</v>
      </c>
      <c r="H64" s="611">
        <v>76.889799999999994</v>
      </c>
      <c r="I64" s="39">
        <f t="shared" si="10"/>
        <v>4644.1439199999995</v>
      </c>
      <c r="J64" s="137" t="s">
        <v>22</v>
      </c>
      <c r="K64" s="558" t="s">
        <v>23</v>
      </c>
      <c r="L64" s="559"/>
      <c r="M64" s="350"/>
      <c r="N64" s="351"/>
      <c r="O64" s="351"/>
      <c r="P64" s="351"/>
      <c r="Q64" s="351"/>
      <c r="R64" s="351"/>
      <c r="S64" s="351"/>
      <c r="T64" s="351"/>
      <c r="U64" s="352"/>
    </row>
    <row r="65" spans="1:21" ht="15.75" thickBot="1" x14ac:dyDescent="0.3">
      <c r="A65" s="201"/>
      <c r="B65" s="115"/>
      <c r="C65" s="115"/>
      <c r="D65" s="115"/>
      <c r="E65" s="158">
        <f>SUM(E61:E64)</f>
        <v>239.15</v>
      </c>
      <c r="F65" s="115"/>
      <c r="G65" s="550">
        <f>SUM(G61:G64)</f>
        <v>242978.79149999999</v>
      </c>
      <c r="H65" s="117"/>
      <c r="I65" s="518">
        <f>SUM(I61:I64)</f>
        <v>18388.195669999997</v>
      </c>
      <c r="J65" s="115"/>
      <c r="K65" s="120"/>
      <c r="L65" s="552"/>
      <c r="M65" s="560"/>
      <c r="N65" s="561"/>
      <c r="O65" s="561"/>
      <c r="P65" s="561"/>
      <c r="Q65" s="561"/>
      <c r="R65" s="561"/>
      <c r="S65" s="561"/>
      <c r="T65" s="561"/>
      <c r="U65" s="562"/>
    </row>
    <row r="66" spans="1:21" x14ac:dyDescent="0.25">
      <c r="A66" s="57">
        <v>57</v>
      </c>
      <c r="B66" s="58">
        <v>46141</v>
      </c>
      <c r="C66" s="60">
        <v>40000747</v>
      </c>
      <c r="D66" s="60">
        <v>50350404</v>
      </c>
      <c r="E66" s="61">
        <v>59.4</v>
      </c>
      <c r="F66" s="31">
        <v>1016.01</v>
      </c>
      <c r="G66" s="358">
        <f t="shared" ref="G66:G83" si="12">E66*F66</f>
        <v>60350.993999999999</v>
      </c>
      <c r="H66" s="611">
        <v>76.889799999999994</v>
      </c>
      <c r="I66" s="360">
        <f t="shared" ref="I66:I83" si="13">E66*H66</f>
        <v>4567.2541199999996</v>
      </c>
      <c r="J66" s="408" t="s">
        <v>22</v>
      </c>
      <c r="K66" s="510" t="s">
        <v>23</v>
      </c>
      <c r="L66" s="363"/>
      <c r="M66" s="57"/>
      <c r="N66" s="68"/>
      <c r="O66" s="68"/>
      <c r="P66" s="68"/>
      <c r="Q66" s="68"/>
      <c r="R66" s="68"/>
      <c r="S66" s="68"/>
      <c r="T66" s="68"/>
      <c r="U66" s="69"/>
    </row>
    <row r="67" spans="1:21" x14ac:dyDescent="0.25">
      <c r="A67" s="70">
        <f>A66+1</f>
        <v>58</v>
      </c>
      <c r="B67" s="98">
        <v>46141</v>
      </c>
      <c r="C67" s="73">
        <v>40000744</v>
      </c>
      <c r="D67" s="73">
        <v>50779008</v>
      </c>
      <c r="E67" s="74">
        <v>50.95</v>
      </c>
      <c r="F67" s="31">
        <v>1016.01</v>
      </c>
      <c r="G67" s="556">
        <f t="shared" si="12"/>
        <v>51765.709500000004</v>
      </c>
      <c r="H67" s="611">
        <v>76.889799999999994</v>
      </c>
      <c r="I67" s="37">
        <f t="shared" si="13"/>
        <v>3917.5353099999998</v>
      </c>
      <c r="J67" s="114" t="s">
        <v>22</v>
      </c>
      <c r="K67" s="502" t="s">
        <v>23</v>
      </c>
      <c r="L67" s="146"/>
      <c r="M67" s="70"/>
      <c r="N67" s="75"/>
      <c r="O67" s="75"/>
      <c r="P67" s="75"/>
      <c r="Q67" s="75"/>
      <c r="R67" s="75"/>
      <c r="S67" s="75"/>
      <c r="T67" s="75"/>
      <c r="U67" s="79"/>
    </row>
    <row r="68" spans="1:21" x14ac:dyDescent="0.25">
      <c r="A68" s="70">
        <f t="shared" ref="A68:A83" si="14">A67+1</f>
        <v>59</v>
      </c>
      <c r="B68" s="98">
        <v>46141</v>
      </c>
      <c r="C68" s="73">
        <v>40000745</v>
      </c>
      <c r="D68" s="73">
        <v>51241842</v>
      </c>
      <c r="E68" s="74">
        <v>59.45</v>
      </c>
      <c r="F68" s="31">
        <v>1016.01</v>
      </c>
      <c r="G68" s="556">
        <f t="shared" si="12"/>
        <v>60401.794500000004</v>
      </c>
      <c r="H68" s="611">
        <v>76.889799999999994</v>
      </c>
      <c r="I68" s="37">
        <f t="shared" si="13"/>
        <v>4571.09861</v>
      </c>
      <c r="J68" s="114" t="s">
        <v>22</v>
      </c>
      <c r="K68" s="502" t="s">
        <v>23</v>
      </c>
      <c r="L68" s="146"/>
      <c r="M68" s="70"/>
      <c r="N68" s="75"/>
      <c r="O68" s="75"/>
      <c r="P68" s="75"/>
      <c r="Q68" s="75"/>
      <c r="R68" s="75"/>
      <c r="S68" s="75"/>
      <c r="T68" s="75"/>
      <c r="U68" s="79"/>
    </row>
    <row r="69" spans="1:21" x14ac:dyDescent="0.25">
      <c r="A69" s="70">
        <f t="shared" si="14"/>
        <v>60</v>
      </c>
      <c r="B69" s="98">
        <v>46141</v>
      </c>
      <c r="C69" s="73">
        <v>40000747</v>
      </c>
      <c r="D69" s="73">
        <v>51394385</v>
      </c>
      <c r="E69" s="74">
        <v>59.2</v>
      </c>
      <c r="F69" s="31">
        <v>1016.01</v>
      </c>
      <c r="G69" s="556">
        <f t="shared" si="12"/>
        <v>60147.792000000001</v>
      </c>
      <c r="H69" s="611">
        <v>76.889799999999994</v>
      </c>
      <c r="I69" s="37">
        <f t="shared" si="13"/>
        <v>4551.8761599999998</v>
      </c>
      <c r="J69" s="114" t="s">
        <v>22</v>
      </c>
      <c r="K69" s="502" t="s">
        <v>23</v>
      </c>
      <c r="L69" s="146"/>
      <c r="M69" s="70"/>
      <c r="N69" s="75"/>
      <c r="O69" s="75"/>
      <c r="P69" s="75"/>
      <c r="Q69" s="75"/>
      <c r="R69" s="75"/>
      <c r="S69" s="75"/>
      <c r="T69" s="75"/>
      <c r="U69" s="79"/>
    </row>
    <row r="70" spans="1:21" x14ac:dyDescent="0.25">
      <c r="A70" s="70">
        <f t="shared" si="14"/>
        <v>61</v>
      </c>
      <c r="B70" s="98">
        <v>46141</v>
      </c>
      <c r="C70" s="73">
        <v>40000747</v>
      </c>
      <c r="D70" s="73">
        <v>51548071</v>
      </c>
      <c r="E70" s="74">
        <v>50.25</v>
      </c>
      <c r="F70" s="31">
        <v>1016.01</v>
      </c>
      <c r="G70" s="556">
        <f t="shared" si="12"/>
        <v>51054.502500000002</v>
      </c>
      <c r="H70" s="611">
        <v>76.889799999999994</v>
      </c>
      <c r="I70" s="37">
        <f t="shared" si="13"/>
        <v>3863.7124499999995</v>
      </c>
      <c r="J70" s="114" t="s">
        <v>22</v>
      </c>
      <c r="K70" s="502" t="s">
        <v>23</v>
      </c>
      <c r="L70" s="146"/>
      <c r="M70" s="70"/>
      <c r="N70" s="75"/>
      <c r="O70" s="75"/>
      <c r="P70" s="75"/>
      <c r="Q70" s="75"/>
      <c r="R70" s="75"/>
      <c r="S70" s="75"/>
      <c r="T70" s="75"/>
      <c r="U70" s="79"/>
    </row>
    <row r="71" spans="1:21" x14ac:dyDescent="0.25">
      <c r="A71" s="70">
        <f t="shared" si="14"/>
        <v>62</v>
      </c>
      <c r="B71" s="98">
        <v>46141</v>
      </c>
      <c r="C71" s="73">
        <v>40000746</v>
      </c>
      <c r="D71" s="73">
        <v>51892578</v>
      </c>
      <c r="E71" s="74">
        <v>59.8</v>
      </c>
      <c r="F71" s="31">
        <v>1016.01</v>
      </c>
      <c r="G71" s="556">
        <f t="shared" si="12"/>
        <v>60757.397999999994</v>
      </c>
      <c r="H71" s="611">
        <v>76.889799999999994</v>
      </c>
      <c r="I71" s="37">
        <f t="shared" si="13"/>
        <v>4598.0100399999992</v>
      </c>
      <c r="J71" s="114" t="s">
        <v>22</v>
      </c>
      <c r="K71" s="502" t="s">
        <v>23</v>
      </c>
      <c r="L71" s="146"/>
      <c r="M71" s="70"/>
      <c r="N71" s="75"/>
      <c r="O71" s="75"/>
      <c r="P71" s="75"/>
      <c r="Q71" s="75"/>
      <c r="R71" s="75"/>
      <c r="S71" s="75"/>
      <c r="T71" s="75"/>
      <c r="U71" s="79"/>
    </row>
    <row r="72" spans="1:21" x14ac:dyDescent="0.25">
      <c r="A72" s="70">
        <f t="shared" si="14"/>
        <v>63</v>
      </c>
      <c r="B72" s="98">
        <v>46141</v>
      </c>
      <c r="C72" s="73">
        <v>40000747</v>
      </c>
      <c r="D72" s="73">
        <v>53988655</v>
      </c>
      <c r="E72" s="74">
        <v>59.15</v>
      </c>
      <c r="F72" s="31">
        <v>1016.01</v>
      </c>
      <c r="G72" s="556">
        <f t="shared" si="12"/>
        <v>60096.991499999996</v>
      </c>
      <c r="H72" s="611">
        <v>76.889799999999994</v>
      </c>
      <c r="I72" s="37">
        <f t="shared" si="13"/>
        <v>4548.0316699999994</v>
      </c>
      <c r="J72" s="114" t="s">
        <v>22</v>
      </c>
      <c r="K72" s="502" t="s">
        <v>23</v>
      </c>
      <c r="L72" s="146"/>
      <c r="M72" s="70"/>
      <c r="N72" s="75"/>
      <c r="O72" s="75"/>
      <c r="P72" s="75"/>
      <c r="Q72" s="75"/>
      <c r="R72" s="75"/>
      <c r="S72" s="75"/>
      <c r="T72" s="75"/>
      <c r="U72" s="79"/>
    </row>
    <row r="73" spans="1:21" x14ac:dyDescent="0.25">
      <c r="A73" s="70">
        <f t="shared" si="14"/>
        <v>64</v>
      </c>
      <c r="B73" s="98">
        <v>46141</v>
      </c>
      <c r="C73" s="73">
        <v>40000747</v>
      </c>
      <c r="D73" s="73">
        <v>55303572</v>
      </c>
      <c r="E73" s="74">
        <v>59.35</v>
      </c>
      <c r="F73" s="31">
        <v>1016.01</v>
      </c>
      <c r="G73" s="556">
        <f t="shared" si="12"/>
        <v>60300.193500000001</v>
      </c>
      <c r="H73" s="611">
        <v>76.889799999999994</v>
      </c>
      <c r="I73" s="37">
        <f t="shared" si="13"/>
        <v>4563.4096300000001</v>
      </c>
      <c r="J73" s="114" t="s">
        <v>22</v>
      </c>
      <c r="K73" s="502" t="s">
        <v>23</v>
      </c>
      <c r="L73" s="146"/>
      <c r="M73" s="70"/>
      <c r="N73" s="75"/>
      <c r="O73" s="75"/>
      <c r="P73" s="75"/>
      <c r="Q73" s="75"/>
      <c r="R73" s="75"/>
      <c r="S73" s="75"/>
      <c r="T73" s="75"/>
      <c r="U73" s="79"/>
    </row>
    <row r="74" spans="1:21" x14ac:dyDescent="0.25">
      <c r="A74" s="70">
        <f t="shared" si="14"/>
        <v>65</v>
      </c>
      <c r="B74" s="98">
        <v>46141</v>
      </c>
      <c r="C74" s="73">
        <v>40000747</v>
      </c>
      <c r="D74" s="73">
        <v>55948368</v>
      </c>
      <c r="E74" s="74">
        <v>59.95</v>
      </c>
      <c r="F74" s="31">
        <v>1016.01</v>
      </c>
      <c r="G74" s="556">
        <f t="shared" si="12"/>
        <v>60909.799500000001</v>
      </c>
      <c r="H74" s="611">
        <v>76.889799999999994</v>
      </c>
      <c r="I74" s="37">
        <f t="shared" si="13"/>
        <v>4609.5435099999995</v>
      </c>
      <c r="J74" s="114" t="s">
        <v>22</v>
      </c>
      <c r="K74" s="502" t="s">
        <v>23</v>
      </c>
      <c r="L74" s="146"/>
      <c r="M74" s="70"/>
      <c r="N74" s="75"/>
      <c r="O74" s="75"/>
      <c r="P74" s="75"/>
      <c r="Q74" s="75"/>
      <c r="R74" s="75"/>
      <c r="S74" s="75"/>
      <c r="T74" s="75"/>
      <c r="U74" s="79"/>
    </row>
    <row r="75" spans="1:21" x14ac:dyDescent="0.25">
      <c r="A75" s="70">
        <f t="shared" si="14"/>
        <v>66</v>
      </c>
      <c r="B75" s="98">
        <v>46141</v>
      </c>
      <c r="C75" s="73">
        <v>40000747</v>
      </c>
      <c r="D75" s="73">
        <v>73100273</v>
      </c>
      <c r="E75" s="74">
        <v>59.95</v>
      </c>
      <c r="F75" s="31">
        <v>1016.01</v>
      </c>
      <c r="G75" s="556">
        <f t="shared" si="12"/>
        <v>60909.799500000001</v>
      </c>
      <c r="H75" s="611">
        <v>76.889799999999994</v>
      </c>
      <c r="I75" s="37">
        <f t="shared" si="13"/>
        <v>4609.5435099999995</v>
      </c>
      <c r="J75" s="114" t="s">
        <v>22</v>
      </c>
      <c r="K75" s="502" t="s">
        <v>23</v>
      </c>
      <c r="L75" s="146"/>
      <c r="M75" s="70"/>
      <c r="N75" s="75"/>
      <c r="O75" s="75"/>
      <c r="P75" s="75"/>
      <c r="Q75" s="75"/>
      <c r="R75" s="75"/>
      <c r="S75" s="75"/>
      <c r="T75" s="75"/>
      <c r="U75" s="79"/>
    </row>
    <row r="76" spans="1:21" x14ac:dyDescent="0.25">
      <c r="A76" s="70">
        <f t="shared" si="14"/>
        <v>67</v>
      </c>
      <c r="B76" s="98">
        <v>46141</v>
      </c>
      <c r="C76" s="73">
        <v>40000747</v>
      </c>
      <c r="D76" s="73">
        <v>73201634</v>
      </c>
      <c r="E76" s="74">
        <v>59.9</v>
      </c>
      <c r="F76" s="31">
        <v>1016.01</v>
      </c>
      <c r="G76" s="556">
        <f t="shared" si="12"/>
        <v>60858.998999999996</v>
      </c>
      <c r="H76" s="611">
        <v>76.889799999999994</v>
      </c>
      <c r="I76" s="37">
        <f t="shared" si="13"/>
        <v>4605.6990199999991</v>
      </c>
      <c r="J76" s="114" t="s">
        <v>22</v>
      </c>
      <c r="K76" s="502" t="s">
        <v>23</v>
      </c>
      <c r="L76" s="146"/>
      <c r="M76" s="70"/>
      <c r="N76" s="75"/>
      <c r="O76" s="75"/>
      <c r="P76" s="75"/>
      <c r="Q76" s="75"/>
      <c r="R76" s="75"/>
      <c r="S76" s="75"/>
      <c r="T76" s="75"/>
      <c r="U76" s="79"/>
    </row>
    <row r="77" spans="1:21" x14ac:dyDescent="0.25">
      <c r="A77" s="70">
        <f t="shared" si="14"/>
        <v>68</v>
      </c>
      <c r="B77" s="98">
        <v>46141</v>
      </c>
      <c r="C77" s="73">
        <v>40000747</v>
      </c>
      <c r="D77" s="73">
        <v>73969925</v>
      </c>
      <c r="E77" s="74">
        <v>59.4</v>
      </c>
      <c r="F77" s="31">
        <v>1016.01</v>
      </c>
      <c r="G77" s="556">
        <f t="shared" si="12"/>
        <v>60350.993999999999</v>
      </c>
      <c r="H77" s="611">
        <v>76.889799999999994</v>
      </c>
      <c r="I77" s="37">
        <f t="shared" si="13"/>
        <v>4567.2541199999996</v>
      </c>
      <c r="J77" s="114" t="s">
        <v>22</v>
      </c>
      <c r="K77" s="502" t="s">
        <v>23</v>
      </c>
      <c r="L77" s="146"/>
      <c r="M77" s="70"/>
      <c r="N77" s="75"/>
      <c r="O77" s="75"/>
      <c r="P77" s="75"/>
      <c r="Q77" s="75"/>
      <c r="R77" s="75"/>
      <c r="S77" s="75"/>
      <c r="T77" s="75"/>
      <c r="U77" s="79"/>
    </row>
    <row r="78" spans="1:21" x14ac:dyDescent="0.25">
      <c r="A78" s="70">
        <f t="shared" si="14"/>
        <v>69</v>
      </c>
      <c r="B78" s="98">
        <v>46141</v>
      </c>
      <c r="C78" s="73">
        <v>40000747</v>
      </c>
      <c r="D78" s="73">
        <v>75263640</v>
      </c>
      <c r="E78" s="74">
        <v>60.35</v>
      </c>
      <c r="F78" s="31">
        <v>1016.01</v>
      </c>
      <c r="G78" s="556">
        <f t="shared" si="12"/>
        <v>61316.203500000003</v>
      </c>
      <c r="H78" s="611">
        <v>76.889799999999994</v>
      </c>
      <c r="I78" s="37">
        <f t="shared" si="13"/>
        <v>4640.29943</v>
      </c>
      <c r="J78" s="114" t="s">
        <v>22</v>
      </c>
      <c r="K78" s="502" t="s">
        <v>23</v>
      </c>
      <c r="L78" s="146"/>
      <c r="M78" s="70"/>
      <c r="N78" s="75"/>
      <c r="O78" s="75"/>
      <c r="P78" s="75"/>
      <c r="Q78" s="75"/>
      <c r="R78" s="75"/>
      <c r="S78" s="75"/>
      <c r="T78" s="75"/>
      <c r="U78" s="79"/>
    </row>
    <row r="79" spans="1:21" x14ac:dyDescent="0.25">
      <c r="A79" s="70">
        <f t="shared" si="14"/>
        <v>70</v>
      </c>
      <c r="B79" s="98">
        <v>46141</v>
      </c>
      <c r="C79" s="73">
        <v>40000747</v>
      </c>
      <c r="D79" s="73">
        <v>75267229</v>
      </c>
      <c r="E79" s="74">
        <v>60.4</v>
      </c>
      <c r="F79" s="31">
        <v>1016.01</v>
      </c>
      <c r="G79" s="556">
        <f t="shared" si="12"/>
        <v>61367.004000000001</v>
      </c>
      <c r="H79" s="611">
        <v>76.889799999999994</v>
      </c>
      <c r="I79" s="37">
        <f t="shared" si="13"/>
        <v>4644.1439199999995</v>
      </c>
      <c r="J79" s="114" t="s">
        <v>22</v>
      </c>
      <c r="K79" s="502" t="s">
        <v>23</v>
      </c>
      <c r="L79" s="146"/>
      <c r="M79" s="70"/>
      <c r="N79" s="75"/>
      <c r="O79" s="75"/>
      <c r="P79" s="75"/>
      <c r="Q79" s="75"/>
      <c r="R79" s="75"/>
      <c r="S79" s="75"/>
      <c r="T79" s="75"/>
      <c r="U79" s="79"/>
    </row>
    <row r="80" spans="1:21" x14ac:dyDescent="0.25">
      <c r="A80" s="70">
        <f t="shared" si="14"/>
        <v>71</v>
      </c>
      <c r="B80" s="98">
        <v>46141</v>
      </c>
      <c r="C80" s="73">
        <v>40000747</v>
      </c>
      <c r="D80" s="73">
        <v>75289561</v>
      </c>
      <c r="E80" s="74">
        <v>60.35</v>
      </c>
      <c r="F80" s="31">
        <v>1016.01</v>
      </c>
      <c r="G80" s="556">
        <f t="shared" si="12"/>
        <v>61316.203500000003</v>
      </c>
      <c r="H80" s="611">
        <v>76.889799999999994</v>
      </c>
      <c r="I80" s="37">
        <f t="shared" si="13"/>
        <v>4640.29943</v>
      </c>
      <c r="J80" s="114" t="s">
        <v>22</v>
      </c>
      <c r="K80" s="502" t="s">
        <v>23</v>
      </c>
      <c r="L80" s="146"/>
      <c r="M80" s="70"/>
      <c r="N80" s="75"/>
      <c r="O80" s="75"/>
      <c r="P80" s="75"/>
      <c r="Q80" s="75"/>
      <c r="R80" s="75"/>
      <c r="S80" s="75"/>
      <c r="T80" s="75"/>
      <c r="U80" s="79"/>
    </row>
    <row r="81" spans="1:21" x14ac:dyDescent="0.25">
      <c r="A81" s="70">
        <f t="shared" si="14"/>
        <v>72</v>
      </c>
      <c r="B81" s="98">
        <v>46141</v>
      </c>
      <c r="C81" s="73">
        <v>40000747</v>
      </c>
      <c r="D81" s="73">
        <v>76305994</v>
      </c>
      <c r="E81" s="74">
        <v>60.35</v>
      </c>
      <c r="F81" s="31">
        <v>1016.01</v>
      </c>
      <c r="G81" s="556">
        <f t="shared" si="12"/>
        <v>61316.203500000003</v>
      </c>
      <c r="H81" s="611">
        <v>76.889799999999994</v>
      </c>
      <c r="I81" s="37">
        <f t="shared" si="13"/>
        <v>4640.29943</v>
      </c>
      <c r="J81" s="114" t="s">
        <v>22</v>
      </c>
      <c r="K81" s="502" t="s">
        <v>23</v>
      </c>
      <c r="L81" s="146"/>
      <c r="M81" s="70"/>
      <c r="N81" s="75"/>
      <c r="O81" s="75"/>
      <c r="P81" s="75"/>
      <c r="Q81" s="75"/>
      <c r="R81" s="75"/>
      <c r="S81" s="75"/>
      <c r="T81" s="75"/>
      <c r="U81" s="79"/>
    </row>
    <row r="82" spans="1:21" x14ac:dyDescent="0.25">
      <c r="A82" s="70">
        <f t="shared" si="14"/>
        <v>73</v>
      </c>
      <c r="B82" s="98">
        <v>46141</v>
      </c>
      <c r="C82" s="73">
        <v>40000747</v>
      </c>
      <c r="D82" s="73">
        <v>76801745</v>
      </c>
      <c r="E82" s="74">
        <v>50.25</v>
      </c>
      <c r="F82" s="31">
        <v>1016.01</v>
      </c>
      <c r="G82" s="556">
        <f t="shared" si="12"/>
        <v>51054.502500000002</v>
      </c>
      <c r="H82" s="611">
        <v>76.889799999999994</v>
      </c>
      <c r="I82" s="37">
        <f t="shared" si="13"/>
        <v>3863.7124499999995</v>
      </c>
      <c r="J82" s="114" t="s">
        <v>22</v>
      </c>
      <c r="K82" s="502" t="s">
        <v>23</v>
      </c>
      <c r="L82" s="146"/>
      <c r="M82" s="70"/>
      <c r="N82" s="75"/>
      <c r="O82" s="75"/>
      <c r="P82" s="75"/>
      <c r="Q82" s="75"/>
      <c r="R82" s="75"/>
      <c r="S82" s="75"/>
      <c r="T82" s="75"/>
      <c r="U82" s="79"/>
    </row>
    <row r="83" spans="1:21" ht="15.75" thickBot="1" x14ac:dyDescent="0.3">
      <c r="A83" s="101">
        <f t="shared" si="14"/>
        <v>74</v>
      </c>
      <c r="B83" s="135">
        <v>46141</v>
      </c>
      <c r="C83" s="103">
        <v>40000747</v>
      </c>
      <c r="D83" s="103">
        <v>76802214</v>
      </c>
      <c r="E83" s="104">
        <v>50.35</v>
      </c>
      <c r="F83" s="31">
        <v>1016.01</v>
      </c>
      <c r="G83" s="557">
        <f t="shared" si="12"/>
        <v>51156.103499999997</v>
      </c>
      <c r="H83" s="611">
        <v>76.889799999999994</v>
      </c>
      <c r="I83" s="39">
        <f t="shared" si="13"/>
        <v>3871.4014299999999</v>
      </c>
      <c r="J83" s="137" t="s">
        <v>22</v>
      </c>
      <c r="K83" s="558" t="s">
        <v>23</v>
      </c>
      <c r="L83" s="221"/>
      <c r="M83" s="80"/>
      <c r="N83" s="88"/>
      <c r="O83" s="88"/>
      <c r="P83" s="88"/>
      <c r="Q83" s="88"/>
      <c r="R83" s="88"/>
      <c r="S83" s="88"/>
      <c r="T83" s="88"/>
      <c r="U83" s="89"/>
    </row>
    <row r="84" spans="1:21" ht="15.75" thickBot="1" x14ac:dyDescent="0.3">
      <c r="A84" s="201"/>
      <c r="B84" s="115"/>
      <c r="C84" s="115"/>
      <c r="D84" s="115"/>
      <c r="E84" s="116">
        <f>SUM(E66:E83)</f>
        <v>1038.8</v>
      </c>
      <c r="F84" s="115"/>
      <c r="G84" s="550">
        <f>SUM(G66:G83)</f>
        <v>1055431.1879999998</v>
      </c>
      <c r="H84" s="117"/>
      <c r="I84" s="518">
        <f>SUM(I66:I83)</f>
        <v>79873.124240000005</v>
      </c>
      <c r="J84" s="115"/>
      <c r="K84" s="120"/>
      <c r="L84" s="121"/>
      <c r="M84" s="560"/>
      <c r="N84" s="561"/>
      <c r="O84" s="561"/>
      <c r="P84" s="561"/>
      <c r="Q84" s="561"/>
      <c r="R84" s="561"/>
      <c r="S84" s="561"/>
      <c r="T84" s="561"/>
      <c r="U84" s="562"/>
    </row>
    <row r="85" spans="1:21" x14ac:dyDescent="0.25">
      <c r="A85" s="207">
        <v>75</v>
      </c>
      <c r="B85" s="71">
        <v>46141</v>
      </c>
      <c r="C85" s="152">
        <v>40000814</v>
      </c>
      <c r="D85" s="152">
        <v>50054543</v>
      </c>
      <c r="E85" s="153">
        <v>61.05</v>
      </c>
      <c r="F85" s="31">
        <v>1016.01</v>
      </c>
      <c r="G85" s="228">
        <f t="shared" ref="G85:G146" si="15">E85*F85</f>
        <v>62027.410499999998</v>
      </c>
      <c r="H85" s="611">
        <v>76.889799999999994</v>
      </c>
      <c r="I85" s="35">
        <f t="shared" ref="I85:I146" si="16">E85*H85</f>
        <v>4694.1222899999993</v>
      </c>
      <c r="J85" s="212" t="s">
        <v>22</v>
      </c>
      <c r="K85" s="554" t="s">
        <v>23</v>
      </c>
      <c r="L85" s="143"/>
      <c r="M85" s="57"/>
      <c r="N85" s="68"/>
      <c r="O85" s="68"/>
      <c r="P85" s="68"/>
      <c r="Q85" s="68"/>
      <c r="R85" s="68"/>
      <c r="S85" s="68"/>
      <c r="T85" s="68"/>
      <c r="U85" s="69"/>
    </row>
    <row r="86" spans="1:21" x14ac:dyDescent="0.25">
      <c r="A86" s="70">
        <f>A85+1</f>
        <v>76</v>
      </c>
      <c r="B86" s="98">
        <v>46141</v>
      </c>
      <c r="C86" s="73">
        <v>40000814</v>
      </c>
      <c r="D86" s="73">
        <v>50218692</v>
      </c>
      <c r="E86" s="74">
        <v>60.15</v>
      </c>
      <c r="F86" s="31">
        <v>1016.01</v>
      </c>
      <c r="G86" s="556">
        <f t="shared" si="15"/>
        <v>61113.001499999998</v>
      </c>
      <c r="H86" s="611">
        <v>76.889799999999994</v>
      </c>
      <c r="I86" s="37">
        <f t="shared" si="16"/>
        <v>4624.9214699999993</v>
      </c>
      <c r="J86" s="114" t="s">
        <v>22</v>
      </c>
      <c r="K86" s="502" t="s">
        <v>23</v>
      </c>
      <c r="L86" s="146"/>
      <c r="M86" s="70"/>
      <c r="N86" s="75"/>
      <c r="O86" s="75"/>
      <c r="P86" s="75"/>
      <c r="Q86" s="75"/>
      <c r="R86" s="75"/>
      <c r="S86" s="75"/>
      <c r="T86" s="75"/>
      <c r="U86" s="79"/>
    </row>
    <row r="87" spans="1:21" x14ac:dyDescent="0.25">
      <c r="A87" s="70">
        <f t="shared" ref="A87:A146" si="17">A86+1</f>
        <v>77</v>
      </c>
      <c r="B87" s="98">
        <v>46141</v>
      </c>
      <c r="C87" s="73">
        <v>40000811</v>
      </c>
      <c r="D87" s="73">
        <v>50439231</v>
      </c>
      <c r="E87" s="74">
        <v>61.35</v>
      </c>
      <c r="F87" s="31">
        <v>1016.01</v>
      </c>
      <c r="G87" s="556">
        <f t="shared" si="15"/>
        <v>62332.213499999998</v>
      </c>
      <c r="H87" s="611">
        <v>76.889799999999994</v>
      </c>
      <c r="I87" s="37">
        <f t="shared" si="16"/>
        <v>4717.18923</v>
      </c>
      <c r="J87" s="114" t="s">
        <v>22</v>
      </c>
      <c r="K87" s="502" t="s">
        <v>23</v>
      </c>
      <c r="L87" s="146"/>
      <c r="M87" s="70"/>
      <c r="N87" s="75"/>
      <c r="O87" s="75"/>
      <c r="P87" s="75"/>
      <c r="Q87" s="75"/>
      <c r="R87" s="75"/>
      <c r="S87" s="75"/>
      <c r="T87" s="75"/>
      <c r="U87" s="79"/>
    </row>
    <row r="88" spans="1:21" x14ac:dyDescent="0.25">
      <c r="A88" s="70">
        <f t="shared" si="17"/>
        <v>78</v>
      </c>
      <c r="B88" s="98">
        <v>46141</v>
      </c>
      <c r="C88" s="73">
        <v>40000813</v>
      </c>
      <c r="D88" s="73">
        <v>50485135</v>
      </c>
      <c r="E88" s="74">
        <v>59.3</v>
      </c>
      <c r="F88" s="31">
        <v>1016.01</v>
      </c>
      <c r="G88" s="556">
        <f t="shared" si="15"/>
        <v>60249.392999999996</v>
      </c>
      <c r="H88" s="611">
        <v>76.889799999999994</v>
      </c>
      <c r="I88" s="37">
        <f t="shared" si="16"/>
        <v>4559.5651399999997</v>
      </c>
      <c r="J88" s="114" t="s">
        <v>22</v>
      </c>
      <c r="K88" s="502" t="s">
        <v>23</v>
      </c>
      <c r="L88" s="146"/>
      <c r="M88" s="70"/>
      <c r="N88" s="75"/>
      <c r="O88" s="75"/>
      <c r="P88" s="75"/>
      <c r="Q88" s="75"/>
      <c r="R88" s="75"/>
      <c r="S88" s="75"/>
      <c r="T88" s="75"/>
      <c r="U88" s="79"/>
    </row>
    <row r="89" spans="1:21" x14ac:dyDescent="0.25">
      <c r="A89" s="70">
        <f t="shared" si="17"/>
        <v>79</v>
      </c>
      <c r="B89" s="98">
        <v>46141</v>
      </c>
      <c r="C89" s="73">
        <v>40000814</v>
      </c>
      <c r="D89" s="73">
        <v>50497221</v>
      </c>
      <c r="E89" s="74">
        <v>60.3</v>
      </c>
      <c r="F89" s="31">
        <v>1016.01</v>
      </c>
      <c r="G89" s="556">
        <f t="shared" si="15"/>
        <v>61265.402999999998</v>
      </c>
      <c r="H89" s="611">
        <v>76.889799999999994</v>
      </c>
      <c r="I89" s="37">
        <f t="shared" si="16"/>
        <v>4636.4549399999996</v>
      </c>
      <c r="J89" s="114" t="s">
        <v>22</v>
      </c>
      <c r="K89" s="502" t="s">
        <v>23</v>
      </c>
      <c r="L89" s="146"/>
      <c r="M89" s="70"/>
      <c r="N89" s="75"/>
      <c r="O89" s="75"/>
      <c r="P89" s="75"/>
      <c r="Q89" s="75"/>
      <c r="R89" s="75"/>
      <c r="S89" s="75"/>
      <c r="T89" s="75"/>
      <c r="U89" s="79"/>
    </row>
    <row r="90" spans="1:21" x14ac:dyDescent="0.25">
      <c r="A90" s="70">
        <f t="shared" si="17"/>
        <v>80</v>
      </c>
      <c r="B90" s="98">
        <v>46141</v>
      </c>
      <c r="C90" s="73">
        <v>40000815</v>
      </c>
      <c r="D90" s="73">
        <v>50753151</v>
      </c>
      <c r="E90" s="74">
        <v>59.65</v>
      </c>
      <c r="F90" s="31">
        <v>1016.01</v>
      </c>
      <c r="G90" s="556">
        <f t="shared" si="15"/>
        <v>60604.996500000001</v>
      </c>
      <c r="H90" s="611">
        <v>76.889799999999994</v>
      </c>
      <c r="I90" s="37">
        <f t="shared" si="16"/>
        <v>4586.4765699999998</v>
      </c>
      <c r="J90" s="114" t="s">
        <v>22</v>
      </c>
      <c r="K90" s="502" t="s">
        <v>23</v>
      </c>
      <c r="L90" s="146"/>
      <c r="M90" s="70"/>
      <c r="N90" s="75"/>
      <c r="O90" s="75"/>
      <c r="P90" s="75"/>
      <c r="Q90" s="75"/>
      <c r="R90" s="75"/>
      <c r="S90" s="75"/>
      <c r="T90" s="75"/>
      <c r="U90" s="79"/>
    </row>
    <row r="91" spans="1:21" x14ac:dyDescent="0.25">
      <c r="A91" s="70">
        <f t="shared" si="17"/>
        <v>81</v>
      </c>
      <c r="B91" s="98">
        <v>46141</v>
      </c>
      <c r="C91" s="73">
        <v>40000815</v>
      </c>
      <c r="D91" s="73">
        <v>51043966</v>
      </c>
      <c r="E91" s="74">
        <v>59.55</v>
      </c>
      <c r="F91" s="31">
        <v>1016.01</v>
      </c>
      <c r="G91" s="556">
        <f t="shared" si="15"/>
        <v>60503.395499999999</v>
      </c>
      <c r="H91" s="611">
        <v>76.889799999999994</v>
      </c>
      <c r="I91" s="37">
        <f t="shared" si="16"/>
        <v>4578.787589999999</v>
      </c>
      <c r="J91" s="114" t="s">
        <v>22</v>
      </c>
      <c r="K91" s="502" t="s">
        <v>23</v>
      </c>
      <c r="L91" s="146"/>
      <c r="M91" s="70"/>
      <c r="N91" s="75"/>
      <c r="O91" s="75"/>
      <c r="P91" s="75"/>
      <c r="Q91" s="75"/>
      <c r="R91" s="75"/>
      <c r="S91" s="75"/>
      <c r="T91" s="75"/>
      <c r="U91" s="79"/>
    </row>
    <row r="92" spans="1:21" x14ac:dyDescent="0.25">
      <c r="A92" s="70">
        <f t="shared" si="17"/>
        <v>82</v>
      </c>
      <c r="B92" s="98">
        <v>46141</v>
      </c>
      <c r="C92" s="73">
        <v>40000814</v>
      </c>
      <c r="D92" s="73">
        <v>51264380</v>
      </c>
      <c r="E92" s="74">
        <v>60.15</v>
      </c>
      <c r="F92" s="31">
        <v>1016.01</v>
      </c>
      <c r="G92" s="556">
        <f t="shared" si="15"/>
        <v>61113.001499999998</v>
      </c>
      <c r="H92" s="611">
        <v>76.889799999999994</v>
      </c>
      <c r="I92" s="37">
        <f t="shared" si="16"/>
        <v>4624.9214699999993</v>
      </c>
      <c r="J92" s="114" t="s">
        <v>22</v>
      </c>
      <c r="K92" s="502" t="s">
        <v>23</v>
      </c>
      <c r="L92" s="146"/>
      <c r="M92" s="70"/>
      <c r="N92" s="75"/>
      <c r="O92" s="75"/>
      <c r="P92" s="75"/>
      <c r="Q92" s="75"/>
      <c r="R92" s="75"/>
      <c r="S92" s="75"/>
      <c r="T92" s="75"/>
      <c r="U92" s="79"/>
    </row>
    <row r="93" spans="1:21" x14ac:dyDescent="0.25">
      <c r="A93" s="70">
        <f t="shared" si="17"/>
        <v>83</v>
      </c>
      <c r="B93" s="98">
        <v>46141</v>
      </c>
      <c r="C93" s="73">
        <v>40000815</v>
      </c>
      <c r="D93" s="73">
        <v>51393718</v>
      </c>
      <c r="E93" s="74">
        <v>58.9</v>
      </c>
      <c r="F93" s="31">
        <v>1016.01</v>
      </c>
      <c r="G93" s="556">
        <f t="shared" si="15"/>
        <v>59842.989000000001</v>
      </c>
      <c r="H93" s="611">
        <v>76.889799999999994</v>
      </c>
      <c r="I93" s="37">
        <f t="shared" si="16"/>
        <v>4528.8092199999992</v>
      </c>
      <c r="J93" s="114" t="s">
        <v>22</v>
      </c>
      <c r="K93" s="502" t="s">
        <v>23</v>
      </c>
      <c r="L93" s="146"/>
      <c r="M93" s="70"/>
      <c r="N93" s="75"/>
      <c r="O93" s="75"/>
      <c r="P93" s="75"/>
      <c r="Q93" s="75"/>
      <c r="R93" s="75"/>
      <c r="S93" s="75"/>
      <c r="T93" s="75"/>
      <c r="U93" s="79"/>
    </row>
    <row r="94" spans="1:21" x14ac:dyDescent="0.25">
      <c r="A94" s="70">
        <f t="shared" si="17"/>
        <v>84</v>
      </c>
      <c r="B94" s="98">
        <v>46141</v>
      </c>
      <c r="C94" s="73">
        <v>40000811</v>
      </c>
      <c r="D94" s="73">
        <v>51401644</v>
      </c>
      <c r="E94" s="74">
        <v>60.1</v>
      </c>
      <c r="F94" s="31">
        <v>1016.01</v>
      </c>
      <c r="G94" s="556">
        <f t="shared" si="15"/>
        <v>61062.201000000001</v>
      </c>
      <c r="H94" s="611">
        <v>76.889799999999994</v>
      </c>
      <c r="I94" s="37">
        <f t="shared" si="16"/>
        <v>4621.0769799999998</v>
      </c>
      <c r="J94" s="114" t="s">
        <v>22</v>
      </c>
      <c r="K94" s="502" t="s">
        <v>23</v>
      </c>
      <c r="L94" s="146"/>
      <c r="M94" s="70"/>
      <c r="N94" s="75"/>
      <c r="O94" s="75"/>
      <c r="P94" s="75"/>
      <c r="Q94" s="75"/>
      <c r="R94" s="75"/>
      <c r="S94" s="75"/>
      <c r="T94" s="75"/>
      <c r="U94" s="79"/>
    </row>
    <row r="95" spans="1:21" x14ac:dyDescent="0.25">
      <c r="A95" s="70">
        <f t="shared" si="17"/>
        <v>85</v>
      </c>
      <c r="B95" s="98">
        <v>46141</v>
      </c>
      <c r="C95" s="73">
        <v>40000813</v>
      </c>
      <c r="D95" s="73">
        <v>51435352</v>
      </c>
      <c r="E95" s="74">
        <v>52.3</v>
      </c>
      <c r="F95" s="31">
        <v>1016.01</v>
      </c>
      <c r="G95" s="556">
        <f t="shared" si="15"/>
        <v>53137.322999999997</v>
      </c>
      <c r="H95" s="611">
        <v>76.889799999999994</v>
      </c>
      <c r="I95" s="37">
        <f t="shared" si="16"/>
        <v>4021.3365399999993</v>
      </c>
      <c r="J95" s="114" t="s">
        <v>22</v>
      </c>
      <c r="K95" s="502" t="s">
        <v>23</v>
      </c>
      <c r="L95" s="146"/>
      <c r="M95" s="70"/>
      <c r="N95" s="75"/>
      <c r="O95" s="75"/>
      <c r="P95" s="75"/>
      <c r="Q95" s="75"/>
      <c r="R95" s="75"/>
      <c r="S95" s="75"/>
      <c r="T95" s="75"/>
      <c r="U95" s="79"/>
    </row>
    <row r="96" spans="1:21" x14ac:dyDescent="0.25">
      <c r="A96" s="70">
        <f t="shared" si="17"/>
        <v>86</v>
      </c>
      <c r="B96" s="98">
        <v>46141</v>
      </c>
      <c r="C96" s="73">
        <v>40000812</v>
      </c>
      <c r="D96" s="73">
        <v>51632065</v>
      </c>
      <c r="E96" s="74">
        <v>51.65</v>
      </c>
      <c r="F96" s="31">
        <v>1016.01</v>
      </c>
      <c r="G96" s="556">
        <f t="shared" si="15"/>
        <v>52476.916499999999</v>
      </c>
      <c r="H96" s="611">
        <v>76.889799999999994</v>
      </c>
      <c r="I96" s="37">
        <f t="shared" si="16"/>
        <v>3971.3581699999995</v>
      </c>
      <c r="J96" s="114" t="s">
        <v>22</v>
      </c>
      <c r="K96" s="502" t="s">
        <v>23</v>
      </c>
      <c r="L96" s="146"/>
      <c r="M96" s="70"/>
      <c r="N96" s="75"/>
      <c r="O96" s="75"/>
      <c r="P96" s="75"/>
      <c r="Q96" s="75"/>
      <c r="R96" s="75"/>
      <c r="S96" s="75"/>
      <c r="T96" s="75"/>
      <c r="U96" s="79"/>
    </row>
    <row r="97" spans="1:21" x14ac:dyDescent="0.25">
      <c r="A97" s="70">
        <f t="shared" si="17"/>
        <v>87</v>
      </c>
      <c r="B97" s="98">
        <v>46141</v>
      </c>
      <c r="C97" s="73">
        <v>40000811</v>
      </c>
      <c r="D97" s="73">
        <v>51769347</v>
      </c>
      <c r="E97" s="74">
        <v>60.5</v>
      </c>
      <c r="F97" s="31">
        <v>1016.01</v>
      </c>
      <c r="G97" s="556">
        <f t="shared" si="15"/>
        <v>61468.604999999996</v>
      </c>
      <c r="H97" s="611">
        <v>76.889799999999994</v>
      </c>
      <c r="I97" s="37">
        <f t="shared" si="16"/>
        <v>4651.8328999999994</v>
      </c>
      <c r="J97" s="114" t="s">
        <v>22</v>
      </c>
      <c r="K97" s="502" t="s">
        <v>23</v>
      </c>
      <c r="L97" s="146"/>
      <c r="M97" s="70"/>
      <c r="N97" s="75"/>
      <c r="O97" s="75"/>
      <c r="P97" s="75"/>
      <c r="Q97" s="75"/>
      <c r="R97" s="75"/>
      <c r="S97" s="75"/>
      <c r="T97" s="75"/>
      <c r="U97" s="79"/>
    </row>
    <row r="98" spans="1:21" x14ac:dyDescent="0.25">
      <c r="A98" s="70">
        <f t="shared" si="17"/>
        <v>88</v>
      </c>
      <c r="B98" s="98">
        <v>46141</v>
      </c>
      <c r="C98" s="73">
        <v>40000815</v>
      </c>
      <c r="D98" s="73">
        <v>51913853</v>
      </c>
      <c r="E98" s="74">
        <v>59.95</v>
      </c>
      <c r="F98" s="31">
        <v>1016.01</v>
      </c>
      <c r="G98" s="556">
        <f t="shared" si="15"/>
        <v>60909.799500000001</v>
      </c>
      <c r="H98" s="611">
        <v>76.889799999999994</v>
      </c>
      <c r="I98" s="37">
        <f t="shared" si="16"/>
        <v>4609.5435099999995</v>
      </c>
      <c r="J98" s="114" t="s">
        <v>22</v>
      </c>
      <c r="K98" s="502" t="s">
        <v>23</v>
      </c>
      <c r="L98" s="146"/>
      <c r="M98" s="70"/>
      <c r="N98" s="75"/>
      <c r="O98" s="75"/>
      <c r="P98" s="75"/>
      <c r="Q98" s="75"/>
      <c r="R98" s="75"/>
      <c r="S98" s="75"/>
      <c r="T98" s="75"/>
      <c r="U98" s="79"/>
    </row>
    <row r="99" spans="1:21" x14ac:dyDescent="0.25">
      <c r="A99" s="70">
        <f t="shared" si="17"/>
        <v>89</v>
      </c>
      <c r="B99" s="98">
        <v>46141</v>
      </c>
      <c r="C99" s="73">
        <v>40000811</v>
      </c>
      <c r="D99" s="73">
        <v>53952388</v>
      </c>
      <c r="E99" s="74">
        <v>61.45</v>
      </c>
      <c r="F99" s="31">
        <v>1016.01</v>
      </c>
      <c r="G99" s="556">
        <f t="shared" si="15"/>
        <v>62433.8145</v>
      </c>
      <c r="H99" s="611">
        <v>76.889799999999994</v>
      </c>
      <c r="I99" s="37">
        <f t="shared" si="16"/>
        <v>4724.8782099999999</v>
      </c>
      <c r="J99" s="114" t="s">
        <v>22</v>
      </c>
      <c r="K99" s="502" t="s">
        <v>23</v>
      </c>
      <c r="L99" s="146"/>
      <c r="M99" s="70"/>
      <c r="N99" s="75"/>
      <c r="O99" s="75"/>
      <c r="P99" s="75"/>
      <c r="Q99" s="75"/>
      <c r="R99" s="75"/>
      <c r="S99" s="75"/>
      <c r="T99" s="75"/>
      <c r="U99" s="79"/>
    </row>
    <row r="100" spans="1:21" x14ac:dyDescent="0.25">
      <c r="A100" s="70">
        <f t="shared" si="17"/>
        <v>90</v>
      </c>
      <c r="B100" s="98">
        <v>46141</v>
      </c>
      <c r="C100" s="73">
        <v>40000811</v>
      </c>
      <c r="D100" s="73">
        <v>53973087</v>
      </c>
      <c r="E100" s="74">
        <v>51.95</v>
      </c>
      <c r="F100" s="31">
        <v>1016.01</v>
      </c>
      <c r="G100" s="556">
        <f t="shared" si="15"/>
        <v>52781.719499999999</v>
      </c>
      <c r="H100" s="611">
        <v>76.889799999999994</v>
      </c>
      <c r="I100" s="37">
        <f t="shared" si="16"/>
        <v>3994.4251099999997</v>
      </c>
      <c r="J100" s="114" t="s">
        <v>22</v>
      </c>
      <c r="K100" s="502" t="s">
        <v>23</v>
      </c>
      <c r="L100" s="146"/>
      <c r="M100" s="70"/>
      <c r="N100" s="75"/>
      <c r="O100" s="75"/>
      <c r="P100" s="75"/>
      <c r="Q100" s="75"/>
      <c r="R100" s="75"/>
      <c r="S100" s="75"/>
      <c r="T100" s="75"/>
      <c r="U100" s="79"/>
    </row>
    <row r="101" spans="1:21" x14ac:dyDescent="0.25">
      <c r="A101" s="70">
        <f t="shared" si="17"/>
        <v>91</v>
      </c>
      <c r="B101" s="98">
        <v>46141</v>
      </c>
      <c r="C101" s="73">
        <v>40000814</v>
      </c>
      <c r="D101" s="73">
        <v>54630355</v>
      </c>
      <c r="E101" s="74">
        <v>60.4</v>
      </c>
      <c r="F101" s="31">
        <v>1016.01</v>
      </c>
      <c r="G101" s="556">
        <f t="shared" si="15"/>
        <v>61367.004000000001</v>
      </c>
      <c r="H101" s="611">
        <v>76.889799999999994</v>
      </c>
      <c r="I101" s="37">
        <f t="shared" si="16"/>
        <v>4644.1439199999995</v>
      </c>
      <c r="J101" s="114" t="s">
        <v>22</v>
      </c>
      <c r="K101" s="502" t="s">
        <v>23</v>
      </c>
      <c r="L101" s="146"/>
      <c r="M101" s="70"/>
      <c r="N101" s="75"/>
      <c r="O101" s="75"/>
      <c r="P101" s="75"/>
      <c r="Q101" s="75"/>
      <c r="R101" s="75"/>
      <c r="S101" s="75"/>
      <c r="T101" s="75"/>
      <c r="U101" s="79"/>
    </row>
    <row r="102" spans="1:21" x14ac:dyDescent="0.25">
      <c r="A102" s="70">
        <f t="shared" si="17"/>
        <v>92</v>
      </c>
      <c r="B102" s="98">
        <v>46141</v>
      </c>
      <c r="C102" s="73">
        <v>40000811</v>
      </c>
      <c r="D102" s="73">
        <v>54699319</v>
      </c>
      <c r="E102" s="74">
        <v>61.7</v>
      </c>
      <c r="F102" s="31">
        <v>1016.01</v>
      </c>
      <c r="G102" s="556">
        <f t="shared" si="15"/>
        <v>62687.817000000003</v>
      </c>
      <c r="H102" s="611">
        <v>76.889799999999994</v>
      </c>
      <c r="I102" s="37">
        <f t="shared" si="16"/>
        <v>4744.1006600000001</v>
      </c>
      <c r="J102" s="114" t="s">
        <v>22</v>
      </c>
      <c r="K102" s="502" t="s">
        <v>23</v>
      </c>
      <c r="L102" s="146"/>
      <c r="M102" s="70"/>
      <c r="N102" s="75"/>
      <c r="O102" s="75"/>
      <c r="P102" s="75"/>
      <c r="Q102" s="75"/>
      <c r="R102" s="75"/>
      <c r="S102" s="75"/>
      <c r="T102" s="75"/>
      <c r="U102" s="79"/>
    </row>
    <row r="103" spans="1:21" x14ac:dyDescent="0.25">
      <c r="A103" s="70">
        <f t="shared" si="17"/>
        <v>93</v>
      </c>
      <c r="B103" s="98">
        <v>46141</v>
      </c>
      <c r="C103" s="73">
        <v>40000811</v>
      </c>
      <c r="D103" s="73">
        <v>56907934</v>
      </c>
      <c r="E103" s="74">
        <v>59.8</v>
      </c>
      <c r="F103" s="31">
        <v>1016.01</v>
      </c>
      <c r="G103" s="556">
        <f t="shared" si="15"/>
        <v>60757.397999999994</v>
      </c>
      <c r="H103" s="611">
        <v>76.889799999999994</v>
      </c>
      <c r="I103" s="37">
        <f t="shared" si="16"/>
        <v>4598.0100399999992</v>
      </c>
      <c r="J103" s="114" t="s">
        <v>22</v>
      </c>
      <c r="K103" s="502" t="s">
        <v>23</v>
      </c>
      <c r="L103" s="146"/>
      <c r="M103" s="70"/>
      <c r="N103" s="75"/>
      <c r="O103" s="75"/>
      <c r="P103" s="75"/>
      <c r="Q103" s="75"/>
      <c r="R103" s="75"/>
      <c r="S103" s="75"/>
      <c r="T103" s="75"/>
      <c r="U103" s="79"/>
    </row>
    <row r="104" spans="1:21" x14ac:dyDescent="0.25">
      <c r="A104" s="70">
        <f t="shared" si="17"/>
        <v>94</v>
      </c>
      <c r="B104" s="98">
        <v>46141</v>
      </c>
      <c r="C104" s="73">
        <v>40000815</v>
      </c>
      <c r="D104" s="73">
        <v>57175358</v>
      </c>
      <c r="E104" s="74">
        <v>60</v>
      </c>
      <c r="F104" s="31">
        <v>1016.01</v>
      </c>
      <c r="G104" s="556">
        <f t="shared" si="15"/>
        <v>60960.6</v>
      </c>
      <c r="H104" s="611">
        <v>76.889799999999994</v>
      </c>
      <c r="I104" s="37">
        <f t="shared" si="16"/>
        <v>4613.3879999999999</v>
      </c>
      <c r="J104" s="114" t="s">
        <v>22</v>
      </c>
      <c r="K104" s="502" t="s">
        <v>23</v>
      </c>
      <c r="L104" s="146"/>
      <c r="M104" s="70"/>
      <c r="N104" s="75"/>
      <c r="O104" s="75"/>
      <c r="P104" s="75"/>
      <c r="Q104" s="75"/>
      <c r="R104" s="75"/>
      <c r="S104" s="75"/>
      <c r="T104" s="75"/>
      <c r="U104" s="79"/>
    </row>
    <row r="105" spans="1:21" x14ac:dyDescent="0.25">
      <c r="A105" s="70">
        <f t="shared" si="17"/>
        <v>95</v>
      </c>
      <c r="B105" s="98">
        <v>46141</v>
      </c>
      <c r="C105" s="73">
        <v>40000811</v>
      </c>
      <c r="D105" s="73">
        <v>57191751</v>
      </c>
      <c r="E105" s="74">
        <v>60.3</v>
      </c>
      <c r="F105" s="31">
        <v>1016.01</v>
      </c>
      <c r="G105" s="556">
        <f t="shared" si="15"/>
        <v>61265.402999999998</v>
      </c>
      <c r="H105" s="611">
        <v>76.889799999999994</v>
      </c>
      <c r="I105" s="37">
        <f t="shared" si="16"/>
        <v>4636.4549399999996</v>
      </c>
      <c r="J105" s="114" t="s">
        <v>22</v>
      </c>
      <c r="K105" s="502" t="s">
        <v>23</v>
      </c>
      <c r="L105" s="146"/>
      <c r="M105" s="70"/>
      <c r="N105" s="75"/>
      <c r="O105" s="75"/>
      <c r="P105" s="75"/>
      <c r="Q105" s="75"/>
      <c r="R105" s="75"/>
      <c r="S105" s="75"/>
      <c r="T105" s="75"/>
      <c r="U105" s="79"/>
    </row>
    <row r="106" spans="1:21" x14ac:dyDescent="0.25">
      <c r="A106" s="70">
        <f t="shared" si="17"/>
        <v>96</v>
      </c>
      <c r="B106" s="98">
        <v>46141</v>
      </c>
      <c r="C106" s="73">
        <v>40000811</v>
      </c>
      <c r="D106" s="73">
        <v>57205486</v>
      </c>
      <c r="E106" s="74">
        <v>60.7</v>
      </c>
      <c r="F106" s="31">
        <v>1016.01</v>
      </c>
      <c r="G106" s="556">
        <f t="shared" si="15"/>
        <v>61671.807000000001</v>
      </c>
      <c r="H106" s="611">
        <v>76.889799999999994</v>
      </c>
      <c r="I106" s="37">
        <f t="shared" si="16"/>
        <v>4667.2108600000001</v>
      </c>
      <c r="J106" s="114" t="s">
        <v>22</v>
      </c>
      <c r="K106" s="502" t="s">
        <v>23</v>
      </c>
      <c r="L106" s="146"/>
      <c r="M106" s="70"/>
      <c r="N106" s="75"/>
      <c r="O106" s="75"/>
      <c r="P106" s="75"/>
      <c r="Q106" s="75"/>
      <c r="R106" s="75"/>
      <c r="S106" s="75"/>
      <c r="T106" s="75"/>
      <c r="U106" s="79"/>
    </row>
    <row r="107" spans="1:21" x14ac:dyDescent="0.25">
      <c r="A107" s="70">
        <f t="shared" si="17"/>
        <v>97</v>
      </c>
      <c r="B107" s="98">
        <v>46141</v>
      </c>
      <c r="C107" s="73">
        <v>40000814</v>
      </c>
      <c r="D107" s="73">
        <v>57431694</v>
      </c>
      <c r="E107" s="74">
        <v>61.3</v>
      </c>
      <c r="F107" s="31">
        <v>1016.01</v>
      </c>
      <c r="G107" s="556">
        <f t="shared" si="15"/>
        <v>62281.412999999993</v>
      </c>
      <c r="H107" s="611">
        <v>76.889799999999994</v>
      </c>
      <c r="I107" s="37">
        <f t="shared" si="16"/>
        <v>4713.3447399999995</v>
      </c>
      <c r="J107" s="114" t="s">
        <v>22</v>
      </c>
      <c r="K107" s="502" t="s">
        <v>23</v>
      </c>
      <c r="L107" s="146"/>
      <c r="M107" s="70"/>
      <c r="N107" s="75"/>
      <c r="O107" s="75"/>
      <c r="P107" s="75"/>
      <c r="Q107" s="75"/>
      <c r="R107" s="75"/>
      <c r="S107" s="75"/>
      <c r="T107" s="75"/>
      <c r="U107" s="79"/>
    </row>
    <row r="108" spans="1:21" x14ac:dyDescent="0.25">
      <c r="A108" s="70">
        <f t="shared" si="17"/>
        <v>98</v>
      </c>
      <c r="B108" s="98">
        <v>46141</v>
      </c>
      <c r="C108" s="73">
        <v>40000813</v>
      </c>
      <c r="D108" s="73">
        <v>73000481</v>
      </c>
      <c r="E108" s="74">
        <v>61.6</v>
      </c>
      <c r="F108" s="31">
        <v>1016.01</v>
      </c>
      <c r="G108" s="556">
        <f t="shared" si="15"/>
        <v>62586.216</v>
      </c>
      <c r="H108" s="611">
        <v>76.889799999999994</v>
      </c>
      <c r="I108" s="37">
        <f t="shared" si="16"/>
        <v>4736.4116800000002</v>
      </c>
      <c r="J108" s="114" t="s">
        <v>22</v>
      </c>
      <c r="K108" s="502" t="s">
        <v>23</v>
      </c>
      <c r="L108" s="146"/>
      <c r="M108" s="70"/>
      <c r="N108" s="75"/>
      <c r="O108" s="75"/>
      <c r="P108" s="75"/>
      <c r="Q108" s="75"/>
      <c r="R108" s="75"/>
      <c r="S108" s="75"/>
      <c r="T108" s="75"/>
      <c r="U108" s="79"/>
    </row>
    <row r="109" spans="1:21" x14ac:dyDescent="0.25">
      <c r="A109" s="70">
        <f t="shared" si="17"/>
        <v>99</v>
      </c>
      <c r="B109" s="98">
        <v>46141</v>
      </c>
      <c r="C109" s="73">
        <v>40000813</v>
      </c>
      <c r="D109" s="73">
        <v>73001307</v>
      </c>
      <c r="E109" s="74">
        <v>63.4</v>
      </c>
      <c r="F109" s="31">
        <v>1016.01</v>
      </c>
      <c r="G109" s="556">
        <f t="shared" si="15"/>
        <v>64415.034</v>
      </c>
      <c r="H109" s="611">
        <v>76.889799999999994</v>
      </c>
      <c r="I109" s="37">
        <f t="shared" si="16"/>
        <v>4874.8133199999993</v>
      </c>
      <c r="J109" s="114" t="s">
        <v>22</v>
      </c>
      <c r="K109" s="502" t="s">
        <v>23</v>
      </c>
      <c r="L109" s="146"/>
      <c r="M109" s="70"/>
      <c r="N109" s="75"/>
      <c r="O109" s="75"/>
      <c r="P109" s="75"/>
      <c r="Q109" s="75"/>
      <c r="R109" s="75"/>
      <c r="S109" s="75"/>
      <c r="T109" s="75"/>
      <c r="U109" s="79"/>
    </row>
    <row r="110" spans="1:21" x14ac:dyDescent="0.25">
      <c r="A110" s="70">
        <f t="shared" si="17"/>
        <v>100</v>
      </c>
      <c r="B110" s="98">
        <v>46141</v>
      </c>
      <c r="C110" s="73">
        <v>40000813</v>
      </c>
      <c r="D110" s="73">
        <v>73001570</v>
      </c>
      <c r="E110" s="74">
        <v>61.75</v>
      </c>
      <c r="F110" s="31">
        <v>1016.01</v>
      </c>
      <c r="G110" s="556">
        <f t="shared" si="15"/>
        <v>62738.6175</v>
      </c>
      <c r="H110" s="611">
        <v>76.889799999999994</v>
      </c>
      <c r="I110" s="37">
        <f t="shared" si="16"/>
        <v>4747.9451499999996</v>
      </c>
      <c r="J110" s="114" t="s">
        <v>22</v>
      </c>
      <c r="K110" s="502" t="s">
        <v>23</v>
      </c>
      <c r="L110" s="146"/>
      <c r="M110" s="70"/>
      <c r="N110" s="75"/>
      <c r="O110" s="75"/>
      <c r="P110" s="75"/>
      <c r="Q110" s="75"/>
      <c r="R110" s="75"/>
      <c r="S110" s="75"/>
      <c r="T110" s="75"/>
      <c r="U110" s="79"/>
    </row>
    <row r="111" spans="1:21" x14ac:dyDescent="0.25">
      <c r="A111" s="70">
        <f t="shared" si="17"/>
        <v>101</v>
      </c>
      <c r="B111" s="98">
        <v>46141</v>
      </c>
      <c r="C111" s="73">
        <v>40000813</v>
      </c>
      <c r="D111" s="73">
        <v>73005977</v>
      </c>
      <c r="E111" s="74">
        <v>61.85</v>
      </c>
      <c r="F111" s="31">
        <v>1016.01</v>
      </c>
      <c r="G111" s="556">
        <f t="shared" si="15"/>
        <v>62840.218500000003</v>
      </c>
      <c r="H111" s="611">
        <v>76.889799999999994</v>
      </c>
      <c r="I111" s="37">
        <f t="shared" si="16"/>
        <v>4755.6341299999995</v>
      </c>
      <c r="J111" s="114" t="s">
        <v>22</v>
      </c>
      <c r="K111" s="502" t="s">
        <v>23</v>
      </c>
      <c r="L111" s="146"/>
      <c r="M111" s="70"/>
      <c r="N111" s="75"/>
      <c r="O111" s="75"/>
      <c r="P111" s="75"/>
      <c r="Q111" s="75"/>
      <c r="R111" s="75"/>
      <c r="S111" s="75"/>
      <c r="T111" s="75"/>
      <c r="U111" s="79"/>
    </row>
    <row r="112" spans="1:21" x14ac:dyDescent="0.25">
      <c r="A112" s="70">
        <f t="shared" si="17"/>
        <v>102</v>
      </c>
      <c r="B112" s="98">
        <v>46141</v>
      </c>
      <c r="C112" s="73">
        <v>40000813</v>
      </c>
      <c r="D112" s="73">
        <v>73007064</v>
      </c>
      <c r="E112" s="74">
        <v>60.25</v>
      </c>
      <c r="F112" s="31">
        <v>1016.01</v>
      </c>
      <c r="G112" s="556">
        <f t="shared" si="15"/>
        <v>61214.602500000001</v>
      </c>
      <c r="H112" s="611">
        <v>76.889799999999994</v>
      </c>
      <c r="I112" s="37">
        <f t="shared" si="16"/>
        <v>4632.6104499999992</v>
      </c>
      <c r="J112" s="114" t="s">
        <v>22</v>
      </c>
      <c r="K112" s="502" t="s">
        <v>23</v>
      </c>
      <c r="L112" s="146"/>
      <c r="M112" s="70"/>
      <c r="N112" s="75"/>
      <c r="O112" s="75"/>
      <c r="P112" s="75"/>
      <c r="Q112" s="75"/>
      <c r="R112" s="75"/>
      <c r="S112" s="75"/>
      <c r="T112" s="75"/>
      <c r="U112" s="79"/>
    </row>
    <row r="113" spans="1:21" x14ac:dyDescent="0.25">
      <c r="A113" s="70">
        <f t="shared" si="17"/>
        <v>103</v>
      </c>
      <c r="B113" s="98">
        <v>46141</v>
      </c>
      <c r="C113" s="73">
        <v>40000813</v>
      </c>
      <c r="D113" s="73">
        <v>73007684</v>
      </c>
      <c r="E113" s="74">
        <v>59.85</v>
      </c>
      <c r="F113" s="31">
        <v>1016.01</v>
      </c>
      <c r="G113" s="556">
        <f t="shared" si="15"/>
        <v>60808.198499999999</v>
      </c>
      <c r="H113" s="611">
        <v>76.889799999999994</v>
      </c>
      <c r="I113" s="37">
        <f t="shared" si="16"/>
        <v>4601.8545299999996</v>
      </c>
      <c r="J113" s="114" t="s">
        <v>22</v>
      </c>
      <c r="K113" s="502" t="s">
        <v>23</v>
      </c>
      <c r="L113" s="146"/>
      <c r="M113" s="70"/>
      <c r="N113" s="75"/>
      <c r="O113" s="75"/>
      <c r="P113" s="75"/>
      <c r="Q113" s="75"/>
      <c r="R113" s="75"/>
      <c r="S113" s="75"/>
      <c r="T113" s="75"/>
      <c r="U113" s="79"/>
    </row>
    <row r="114" spans="1:21" x14ac:dyDescent="0.25">
      <c r="A114" s="70">
        <f t="shared" si="17"/>
        <v>104</v>
      </c>
      <c r="B114" s="98">
        <v>46141</v>
      </c>
      <c r="C114" s="73">
        <v>40000813</v>
      </c>
      <c r="D114" s="73">
        <v>73010761</v>
      </c>
      <c r="E114" s="74">
        <v>61.5</v>
      </c>
      <c r="F114" s="31">
        <v>1016.01</v>
      </c>
      <c r="G114" s="556">
        <f t="shared" si="15"/>
        <v>62484.614999999998</v>
      </c>
      <c r="H114" s="611">
        <v>76.889799999999994</v>
      </c>
      <c r="I114" s="37">
        <f t="shared" si="16"/>
        <v>4728.7226999999993</v>
      </c>
      <c r="J114" s="114" t="s">
        <v>22</v>
      </c>
      <c r="K114" s="502" t="s">
        <v>23</v>
      </c>
      <c r="L114" s="146"/>
      <c r="M114" s="70"/>
      <c r="N114" s="75"/>
      <c r="O114" s="75"/>
      <c r="P114" s="75"/>
      <c r="Q114" s="75"/>
      <c r="R114" s="75"/>
      <c r="S114" s="75"/>
      <c r="T114" s="75"/>
      <c r="U114" s="79"/>
    </row>
    <row r="115" spans="1:21" x14ac:dyDescent="0.25">
      <c r="A115" s="70">
        <f t="shared" si="17"/>
        <v>105</v>
      </c>
      <c r="B115" s="98">
        <v>46141</v>
      </c>
      <c r="C115" s="73">
        <v>40000813</v>
      </c>
      <c r="D115" s="73">
        <v>73010969</v>
      </c>
      <c r="E115" s="74">
        <v>61.65</v>
      </c>
      <c r="F115" s="31">
        <v>1016.01</v>
      </c>
      <c r="G115" s="556">
        <f t="shared" si="15"/>
        <v>62637.016499999998</v>
      </c>
      <c r="H115" s="611">
        <v>76.889799999999994</v>
      </c>
      <c r="I115" s="37">
        <f t="shared" si="16"/>
        <v>4740.2561699999997</v>
      </c>
      <c r="J115" s="114" t="s">
        <v>22</v>
      </c>
      <c r="K115" s="502" t="s">
        <v>23</v>
      </c>
      <c r="L115" s="146"/>
      <c r="M115" s="70"/>
      <c r="N115" s="75"/>
      <c r="O115" s="75"/>
      <c r="P115" s="75"/>
      <c r="Q115" s="75"/>
      <c r="R115" s="75"/>
      <c r="S115" s="75"/>
      <c r="T115" s="75"/>
      <c r="U115" s="79"/>
    </row>
    <row r="116" spans="1:21" x14ac:dyDescent="0.25">
      <c r="A116" s="70">
        <f t="shared" si="17"/>
        <v>106</v>
      </c>
      <c r="B116" s="98">
        <v>46141</v>
      </c>
      <c r="C116" s="73">
        <v>40000813</v>
      </c>
      <c r="D116" s="73">
        <v>73011827</v>
      </c>
      <c r="E116" s="74">
        <v>61</v>
      </c>
      <c r="F116" s="31">
        <v>1016.01</v>
      </c>
      <c r="G116" s="556">
        <f t="shared" si="15"/>
        <v>61976.61</v>
      </c>
      <c r="H116" s="611">
        <v>76.889799999999994</v>
      </c>
      <c r="I116" s="37">
        <f t="shared" si="16"/>
        <v>4690.2777999999998</v>
      </c>
      <c r="J116" s="114" t="s">
        <v>22</v>
      </c>
      <c r="K116" s="502" t="s">
        <v>23</v>
      </c>
      <c r="L116" s="146"/>
      <c r="M116" s="70"/>
      <c r="N116" s="75"/>
      <c r="O116" s="75"/>
      <c r="P116" s="75"/>
      <c r="Q116" s="75"/>
      <c r="R116" s="75"/>
      <c r="S116" s="75"/>
      <c r="T116" s="75"/>
      <c r="U116" s="79"/>
    </row>
    <row r="117" spans="1:21" x14ac:dyDescent="0.25">
      <c r="A117" s="70">
        <f t="shared" si="17"/>
        <v>107</v>
      </c>
      <c r="B117" s="98">
        <v>46141</v>
      </c>
      <c r="C117" s="73">
        <v>40000811</v>
      </c>
      <c r="D117" s="73">
        <v>73072803</v>
      </c>
      <c r="E117" s="74">
        <v>61.4</v>
      </c>
      <c r="F117" s="31">
        <v>1016.01</v>
      </c>
      <c r="G117" s="556">
        <f t="shared" si="15"/>
        <v>62383.013999999996</v>
      </c>
      <c r="H117" s="611">
        <v>76.889799999999994</v>
      </c>
      <c r="I117" s="37">
        <f t="shared" si="16"/>
        <v>4721.0337199999994</v>
      </c>
      <c r="J117" s="114" t="s">
        <v>22</v>
      </c>
      <c r="K117" s="502" t="s">
        <v>23</v>
      </c>
      <c r="L117" s="146"/>
      <c r="M117" s="70"/>
      <c r="N117" s="75"/>
      <c r="O117" s="75"/>
      <c r="P117" s="75"/>
      <c r="Q117" s="75"/>
      <c r="R117" s="75"/>
      <c r="S117" s="75"/>
      <c r="T117" s="75"/>
      <c r="U117" s="79"/>
    </row>
    <row r="118" spans="1:21" x14ac:dyDescent="0.25">
      <c r="A118" s="70">
        <f t="shared" si="17"/>
        <v>108</v>
      </c>
      <c r="B118" s="98">
        <v>46141</v>
      </c>
      <c r="C118" s="73">
        <v>40000814</v>
      </c>
      <c r="D118" s="73">
        <v>73093056</v>
      </c>
      <c r="E118" s="74">
        <v>60.45</v>
      </c>
      <c r="F118" s="31">
        <v>1016.01</v>
      </c>
      <c r="G118" s="556">
        <f t="shared" si="15"/>
        <v>61417.804500000006</v>
      </c>
      <c r="H118" s="611">
        <v>76.889799999999994</v>
      </c>
      <c r="I118" s="37">
        <f t="shared" si="16"/>
        <v>4647.9884099999999</v>
      </c>
      <c r="J118" s="114" t="s">
        <v>22</v>
      </c>
      <c r="K118" s="502" t="s">
        <v>23</v>
      </c>
      <c r="L118" s="146"/>
      <c r="M118" s="70"/>
      <c r="N118" s="75"/>
      <c r="O118" s="75"/>
      <c r="P118" s="75"/>
      <c r="Q118" s="75"/>
      <c r="R118" s="75"/>
      <c r="S118" s="75"/>
      <c r="T118" s="75"/>
      <c r="U118" s="79"/>
    </row>
    <row r="119" spans="1:21" x14ac:dyDescent="0.25">
      <c r="A119" s="70">
        <f t="shared" si="17"/>
        <v>109</v>
      </c>
      <c r="B119" s="98">
        <v>46141</v>
      </c>
      <c r="C119" s="73">
        <v>40000813</v>
      </c>
      <c r="D119" s="73">
        <v>73094328</v>
      </c>
      <c r="E119" s="74">
        <v>59.75</v>
      </c>
      <c r="F119" s="31">
        <v>1016.01</v>
      </c>
      <c r="G119" s="556">
        <f t="shared" si="15"/>
        <v>60706.597499999996</v>
      </c>
      <c r="H119" s="611">
        <v>76.889799999999994</v>
      </c>
      <c r="I119" s="37">
        <f t="shared" si="16"/>
        <v>4594.1655499999997</v>
      </c>
      <c r="J119" s="114" t="s">
        <v>22</v>
      </c>
      <c r="K119" s="502" t="s">
        <v>23</v>
      </c>
      <c r="L119" s="146"/>
      <c r="M119" s="70"/>
      <c r="N119" s="75"/>
      <c r="O119" s="75"/>
      <c r="P119" s="75"/>
      <c r="Q119" s="75"/>
      <c r="R119" s="75"/>
      <c r="S119" s="75"/>
      <c r="T119" s="75"/>
      <c r="U119" s="79"/>
    </row>
    <row r="120" spans="1:21" x14ac:dyDescent="0.25">
      <c r="A120" s="70">
        <f t="shared" si="17"/>
        <v>110</v>
      </c>
      <c r="B120" s="98">
        <v>46141</v>
      </c>
      <c r="C120" s="73">
        <v>40000814</v>
      </c>
      <c r="D120" s="73">
        <v>73114944</v>
      </c>
      <c r="E120" s="74">
        <v>59.8</v>
      </c>
      <c r="F120" s="31">
        <v>1016.01</v>
      </c>
      <c r="G120" s="556">
        <f t="shared" si="15"/>
        <v>60757.397999999994</v>
      </c>
      <c r="H120" s="611">
        <v>76.889799999999994</v>
      </c>
      <c r="I120" s="37">
        <f t="shared" si="16"/>
        <v>4598.0100399999992</v>
      </c>
      <c r="J120" s="114" t="s">
        <v>22</v>
      </c>
      <c r="K120" s="502" t="s">
        <v>23</v>
      </c>
      <c r="L120" s="146"/>
      <c r="M120" s="70"/>
      <c r="N120" s="75"/>
      <c r="O120" s="75"/>
      <c r="P120" s="75"/>
      <c r="Q120" s="75"/>
      <c r="R120" s="75"/>
      <c r="S120" s="75"/>
      <c r="T120" s="75"/>
      <c r="U120" s="79"/>
    </row>
    <row r="121" spans="1:21" x14ac:dyDescent="0.25">
      <c r="A121" s="70">
        <f t="shared" si="17"/>
        <v>111</v>
      </c>
      <c r="B121" s="98">
        <v>46141</v>
      </c>
      <c r="C121" s="73">
        <v>40000813</v>
      </c>
      <c r="D121" s="73">
        <v>73121816</v>
      </c>
      <c r="E121" s="74">
        <v>59.5</v>
      </c>
      <c r="F121" s="31">
        <v>1016.01</v>
      </c>
      <c r="G121" s="556">
        <f t="shared" si="15"/>
        <v>60452.595000000001</v>
      </c>
      <c r="H121" s="611">
        <v>76.889799999999994</v>
      </c>
      <c r="I121" s="37">
        <f t="shared" si="16"/>
        <v>4574.9430999999995</v>
      </c>
      <c r="J121" s="114" t="s">
        <v>22</v>
      </c>
      <c r="K121" s="502" t="s">
        <v>23</v>
      </c>
      <c r="L121" s="146"/>
      <c r="M121" s="70"/>
      <c r="N121" s="75"/>
      <c r="O121" s="75"/>
      <c r="P121" s="75"/>
      <c r="Q121" s="75"/>
      <c r="R121" s="75"/>
      <c r="S121" s="75"/>
      <c r="T121" s="75"/>
      <c r="U121" s="79"/>
    </row>
    <row r="122" spans="1:21" x14ac:dyDescent="0.25">
      <c r="A122" s="70">
        <f t="shared" si="17"/>
        <v>112</v>
      </c>
      <c r="B122" s="98">
        <v>46141</v>
      </c>
      <c r="C122" s="73">
        <v>40000813</v>
      </c>
      <c r="D122" s="73">
        <v>73131716</v>
      </c>
      <c r="E122" s="74">
        <v>59.6</v>
      </c>
      <c r="F122" s="31">
        <v>1016.01</v>
      </c>
      <c r="G122" s="556">
        <f t="shared" si="15"/>
        <v>60554.196000000004</v>
      </c>
      <c r="H122" s="611">
        <v>76.889799999999994</v>
      </c>
      <c r="I122" s="37">
        <f t="shared" si="16"/>
        <v>4582.6320799999994</v>
      </c>
      <c r="J122" s="114" t="s">
        <v>22</v>
      </c>
      <c r="K122" s="502" t="s">
        <v>23</v>
      </c>
      <c r="L122" s="146"/>
      <c r="M122" s="70"/>
      <c r="N122" s="75"/>
      <c r="O122" s="75"/>
      <c r="P122" s="75"/>
      <c r="Q122" s="75"/>
      <c r="R122" s="75"/>
      <c r="S122" s="75"/>
      <c r="T122" s="75"/>
      <c r="U122" s="79"/>
    </row>
    <row r="123" spans="1:21" x14ac:dyDescent="0.25">
      <c r="A123" s="70">
        <f t="shared" si="17"/>
        <v>113</v>
      </c>
      <c r="B123" s="98">
        <v>46141</v>
      </c>
      <c r="C123" s="73">
        <v>40000813</v>
      </c>
      <c r="D123" s="73">
        <v>73136087</v>
      </c>
      <c r="E123" s="74">
        <v>59.95</v>
      </c>
      <c r="F123" s="31">
        <v>1016.01</v>
      </c>
      <c r="G123" s="556">
        <f t="shared" si="15"/>
        <v>60909.799500000001</v>
      </c>
      <c r="H123" s="611">
        <v>76.889799999999994</v>
      </c>
      <c r="I123" s="37">
        <f t="shared" si="16"/>
        <v>4609.5435099999995</v>
      </c>
      <c r="J123" s="114" t="s">
        <v>22</v>
      </c>
      <c r="K123" s="502" t="s">
        <v>23</v>
      </c>
      <c r="L123" s="146"/>
      <c r="M123" s="70"/>
      <c r="N123" s="75"/>
      <c r="O123" s="75"/>
      <c r="P123" s="75"/>
      <c r="Q123" s="75"/>
      <c r="R123" s="75"/>
      <c r="S123" s="75"/>
      <c r="T123" s="75"/>
      <c r="U123" s="79"/>
    </row>
    <row r="124" spans="1:21" x14ac:dyDescent="0.25">
      <c r="A124" s="70">
        <f t="shared" si="17"/>
        <v>114</v>
      </c>
      <c r="B124" s="98">
        <v>46141</v>
      </c>
      <c r="C124" s="73">
        <v>40000811</v>
      </c>
      <c r="D124" s="73">
        <v>73152530</v>
      </c>
      <c r="E124" s="74">
        <v>58.9</v>
      </c>
      <c r="F124" s="31">
        <v>1016.01</v>
      </c>
      <c r="G124" s="556">
        <f t="shared" si="15"/>
        <v>59842.989000000001</v>
      </c>
      <c r="H124" s="611">
        <v>76.889799999999994</v>
      </c>
      <c r="I124" s="37">
        <f t="shared" si="16"/>
        <v>4528.8092199999992</v>
      </c>
      <c r="J124" s="114" t="s">
        <v>22</v>
      </c>
      <c r="K124" s="502" t="s">
        <v>23</v>
      </c>
      <c r="L124" s="146"/>
      <c r="M124" s="70"/>
      <c r="N124" s="75"/>
      <c r="O124" s="75"/>
      <c r="P124" s="75"/>
      <c r="Q124" s="75"/>
      <c r="R124" s="75"/>
      <c r="S124" s="75"/>
      <c r="T124" s="75"/>
      <c r="U124" s="79"/>
    </row>
    <row r="125" spans="1:21" x14ac:dyDescent="0.25">
      <c r="A125" s="70">
        <f t="shared" si="17"/>
        <v>115</v>
      </c>
      <c r="B125" s="98">
        <v>46141</v>
      </c>
      <c r="C125" s="73">
        <v>40000813</v>
      </c>
      <c r="D125" s="73">
        <v>73171969</v>
      </c>
      <c r="E125" s="74">
        <v>59.85</v>
      </c>
      <c r="F125" s="31">
        <v>1016.01</v>
      </c>
      <c r="G125" s="556">
        <f t="shared" si="15"/>
        <v>60808.198499999999</v>
      </c>
      <c r="H125" s="611">
        <v>76.889799999999994</v>
      </c>
      <c r="I125" s="37">
        <f t="shared" si="16"/>
        <v>4601.8545299999996</v>
      </c>
      <c r="J125" s="114" t="s">
        <v>22</v>
      </c>
      <c r="K125" s="502" t="s">
        <v>23</v>
      </c>
      <c r="L125" s="146"/>
      <c r="M125" s="70"/>
      <c r="N125" s="75"/>
      <c r="O125" s="75"/>
      <c r="P125" s="75"/>
      <c r="Q125" s="75"/>
      <c r="R125" s="75"/>
      <c r="S125" s="75"/>
      <c r="T125" s="75"/>
      <c r="U125" s="79"/>
    </row>
    <row r="126" spans="1:21" x14ac:dyDescent="0.25">
      <c r="A126" s="70">
        <f t="shared" si="17"/>
        <v>116</v>
      </c>
      <c r="B126" s="98">
        <v>46141</v>
      </c>
      <c r="C126" s="73">
        <v>40000813</v>
      </c>
      <c r="D126" s="73">
        <v>73174047</v>
      </c>
      <c r="E126" s="74">
        <v>59.65</v>
      </c>
      <c r="F126" s="31">
        <v>1016.01</v>
      </c>
      <c r="G126" s="556">
        <f t="shared" si="15"/>
        <v>60604.996500000001</v>
      </c>
      <c r="H126" s="611">
        <v>76.889799999999994</v>
      </c>
      <c r="I126" s="37">
        <f t="shared" si="16"/>
        <v>4586.4765699999998</v>
      </c>
      <c r="J126" s="114" t="s">
        <v>22</v>
      </c>
      <c r="K126" s="502" t="s">
        <v>23</v>
      </c>
      <c r="L126" s="146"/>
      <c r="M126" s="70"/>
      <c r="N126" s="75"/>
      <c r="O126" s="75"/>
      <c r="P126" s="75"/>
      <c r="Q126" s="75"/>
      <c r="R126" s="75"/>
      <c r="S126" s="75"/>
      <c r="T126" s="75"/>
      <c r="U126" s="79"/>
    </row>
    <row r="127" spans="1:21" x14ac:dyDescent="0.25">
      <c r="A127" s="70">
        <f t="shared" si="17"/>
        <v>117</v>
      </c>
      <c r="B127" s="98">
        <v>46141</v>
      </c>
      <c r="C127" s="73">
        <v>40000814</v>
      </c>
      <c r="D127" s="73">
        <v>73184616</v>
      </c>
      <c r="E127" s="74">
        <v>60.7</v>
      </c>
      <c r="F127" s="31">
        <v>1016.01</v>
      </c>
      <c r="G127" s="556">
        <f t="shared" si="15"/>
        <v>61671.807000000001</v>
      </c>
      <c r="H127" s="611">
        <v>76.889799999999994</v>
      </c>
      <c r="I127" s="37">
        <f t="shared" si="16"/>
        <v>4667.2108600000001</v>
      </c>
      <c r="J127" s="114" t="s">
        <v>22</v>
      </c>
      <c r="K127" s="502" t="s">
        <v>23</v>
      </c>
      <c r="L127" s="146"/>
      <c r="M127" s="70"/>
      <c r="N127" s="75"/>
      <c r="O127" s="75"/>
      <c r="P127" s="75"/>
      <c r="Q127" s="75"/>
      <c r="R127" s="75"/>
      <c r="S127" s="75"/>
      <c r="T127" s="75"/>
      <c r="U127" s="79"/>
    </row>
    <row r="128" spans="1:21" x14ac:dyDescent="0.25">
      <c r="A128" s="70">
        <f t="shared" si="17"/>
        <v>118</v>
      </c>
      <c r="B128" s="98">
        <v>46141</v>
      </c>
      <c r="C128" s="73">
        <v>40000811</v>
      </c>
      <c r="D128" s="73">
        <v>73187882</v>
      </c>
      <c r="E128" s="74">
        <v>59.75</v>
      </c>
      <c r="F128" s="31">
        <v>1016.01</v>
      </c>
      <c r="G128" s="556">
        <f t="shared" si="15"/>
        <v>60706.597499999996</v>
      </c>
      <c r="H128" s="611">
        <v>76.889799999999994</v>
      </c>
      <c r="I128" s="37">
        <f t="shared" si="16"/>
        <v>4594.1655499999997</v>
      </c>
      <c r="J128" s="114" t="s">
        <v>22</v>
      </c>
      <c r="K128" s="502" t="s">
        <v>23</v>
      </c>
      <c r="L128" s="146"/>
      <c r="M128" s="70"/>
      <c r="N128" s="75"/>
      <c r="O128" s="75"/>
      <c r="P128" s="75"/>
      <c r="Q128" s="75"/>
      <c r="R128" s="75"/>
      <c r="S128" s="75"/>
      <c r="T128" s="75"/>
      <c r="U128" s="79"/>
    </row>
    <row r="129" spans="1:21" x14ac:dyDescent="0.25">
      <c r="A129" s="70">
        <f t="shared" si="17"/>
        <v>119</v>
      </c>
      <c r="B129" s="98">
        <v>46141</v>
      </c>
      <c r="C129" s="73">
        <v>40000811</v>
      </c>
      <c r="D129" s="73">
        <v>73188765</v>
      </c>
      <c r="E129" s="74">
        <v>60.2</v>
      </c>
      <c r="F129" s="31">
        <v>1016.01</v>
      </c>
      <c r="G129" s="556">
        <f t="shared" si="15"/>
        <v>61163.802000000003</v>
      </c>
      <c r="H129" s="611">
        <v>76.889799999999994</v>
      </c>
      <c r="I129" s="37">
        <f t="shared" si="16"/>
        <v>4628.7659599999997</v>
      </c>
      <c r="J129" s="114" t="s">
        <v>22</v>
      </c>
      <c r="K129" s="502" t="s">
        <v>23</v>
      </c>
      <c r="L129" s="146"/>
      <c r="M129" s="70"/>
      <c r="N129" s="75"/>
      <c r="O129" s="75"/>
      <c r="P129" s="75"/>
      <c r="Q129" s="75"/>
      <c r="R129" s="75"/>
      <c r="S129" s="75"/>
      <c r="T129" s="75"/>
      <c r="U129" s="79"/>
    </row>
    <row r="130" spans="1:21" x14ac:dyDescent="0.25">
      <c r="A130" s="70">
        <f t="shared" si="17"/>
        <v>120</v>
      </c>
      <c r="B130" s="98">
        <v>46141</v>
      </c>
      <c r="C130" s="73">
        <v>40000811</v>
      </c>
      <c r="D130" s="73">
        <v>73191041</v>
      </c>
      <c r="E130" s="74">
        <v>61.35</v>
      </c>
      <c r="F130" s="31">
        <v>1016.01</v>
      </c>
      <c r="G130" s="556">
        <f t="shared" si="15"/>
        <v>62332.213499999998</v>
      </c>
      <c r="H130" s="611">
        <v>76.889799999999994</v>
      </c>
      <c r="I130" s="37">
        <f t="shared" si="16"/>
        <v>4717.18923</v>
      </c>
      <c r="J130" s="114" t="s">
        <v>22</v>
      </c>
      <c r="K130" s="502" t="s">
        <v>23</v>
      </c>
      <c r="L130" s="146"/>
      <c r="M130" s="70"/>
      <c r="N130" s="75"/>
      <c r="O130" s="75"/>
      <c r="P130" s="75"/>
      <c r="Q130" s="75"/>
      <c r="R130" s="75"/>
      <c r="S130" s="75"/>
      <c r="T130" s="75"/>
      <c r="U130" s="79"/>
    </row>
    <row r="131" spans="1:21" x14ac:dyDescent="0.25">
      <c r="A131" s="70">
        <f t="shared" si="17"/>
        <v>121</v>
      </c>
      <c r="B131" s="98">
        <v>46141</v>
      </c>
      <c r="C131" s="73">
        <v>40000811</v>
      </c>
      <c r="D131" s="73">
        <v>73191215</v>
      </c>
      <c r="E131" s="74">
        <v>60.2</v>
      </c>
      <c r="F131" s="31">
        <v>1016.01</v>
      </c>
      <c r="G131" s="556">
        <f t="shared" si="15"/>
        <v>61163.802000000003</v>
      </c>
      <c r="H131" s="611">
        <v>76.889799999999994</v>
      </c>
      <c r="I131" s="37">
        <f t="shared" si="16"/>
        <v>4628.7659599999997</v>
      </c>
      <c r="J131" s="114" t="s">
        <v>22</v>
      </c>
      <c r="K131" s="502" t="s">
        <v>23</v>
      </c>
      <c r="L131" s="146"/>
      <c r="M131" s="70"/>
      <c r="N131" s="75"/>
      <c r="O131" s="75"/>
      <c r="P131" s="75"/>
      <c r="Q131" s="75"/>
      <c r="R131" s="75"/>
      <c r="S131" s="75"/>
      <c r="T131" s="75"/>
      <c r="U131" s="79"/>
    </row>
    <row r="132" spans="1:21" x14ac:dyDescent="0.25">
      <c r="A132" s="70">
        <f t="shared" si="17"/>
        <v>122</v>
      </c>
      <c r="B132" s="98">
        <v>46141</v>
      </c>
      <c r="C132" s="73">
        <v>40000812</v>
      </c>
      <c r="D132" s="73">
        <v>73207268</v>
      </c>
      <c r="E132" s="74">
        <v>60.6</v>
      </c>
      <c r="F132" s="31">
        <v>1016.01</v>
      </c>
      <c r="G132" s="556">
        <f t="shared" si="15"/>
        <v>61570.205999999998</v>
      </c>
      <c r="H132" s="611">
        <v>76.889799999999994</v>
      </c>
      <c r="I132" s="37">
        <f t="shared" si="16"/>
        <v>4659.5218799999993</v>
      </c>
      <c r="J132" s="114" t="s">
        <v>22</v>
      </c>
      <c r="K132" s="502" t="s">
        <v>23</v>
      </c>
      <c r="L132" s="146"/>
      <c r="M132" s="70"/>
      <c r="N132" s="75"/>
      <c r="O132" s="75"/>
      <c r="P132" s="75"/>
      <c r="Q132" s="75"/>
      <c r="R132" s="75"/>
      <c r="S132" s="75"/>
      <c r="T132" s="75"/>
      <c r="U132" s="79"/>
    </row>
    <row r="133" spans="1:21" x14ac:dyDescent="0.25">
      <c r="A133" s="70">
        <f t="shared" si="17"/>
        <v>123</v>
      </c>
      <c r="B133" s="98">
        <v>46141</v>
      </c>
      <c r="C133" s="73">
        <v>40000813</v>
      </c>
      <c r="D133" s="73">
        <v>73230336</v>
      </c>
      <c r="E133" s="74">
        <v>60.8</v>
      </c>
      <c r="F133" s="31">
        <v>1016.01</v>
      </c>
      <c r="G133" s="556">
        <f t="shared" si="15"/>
        <v>61773.407999999996</v>
      </c>
      <c r="H133" s="611">
        <v>76.889799999999994</v>
      </c>
      <c r="I133" s="37">
        <f t="shared" si="16"/>
        <v>4674.8998399999991</v>
      </c>
      <c r="J133" s="114" t="s">
        <v>22</v>
      </c>
      <c r="K133" s="502" t="s">
        <v>23</v>
      </c>
      <c r="L133" s="146"/>
      <c r="M133" s="70"/>
      <c r="N133" s="75"/>
      <c r="O133" s="75"/>
      <c r="P133" s="75"/>
      <c r="Q133" s="75"/>
      <c r="R133" s="75"/>
      <c r="S133" s="75"/>
      <c r="T133" s="75"/>
      <c r="U133" s="79"/>
    </row>
    <row r="134" spans="1:21" x14ac:dyDescent="0.25">
      <c r="A134" s="70">
        <f t="shared" si="17"/>
        <v>124</v>
      </c>
      <c r="B134" s="98">
        <v>46141</v>
      </c>
      <c r="C134" s="73">
        <v>40000813</v>
      </c>
      <c r="D134" s="73">
        <v>73241838</v>
      </c>
      <c r="E134" s="74">
        <v>61.35</v>
      </c>
      <c r="F134" s="31">
        <v>1016.01</v>
      </c>
      <c r="G134" s="556">
        <f t="shared" si="15"/>
        <v>62332.213499999998</v>
      </c>
      <c r="H134" s="611">
        <v>76.889799999999994</v>
      </c>
      <c r="I134" s="37">
        <f t="shared" si="16"/>
        <v>4717.18923</v>
      </c>
      <c r="J134" s="114" t="s">
        <v>22</v>
      </c>
      <c r="K134" s="502" t="s">
        <v>23</v>
      </c>
      <c r="L134" s="146"/>
      <c r="M134" s="70"/>
      <c r="N134" s="75"/>
      <c r="O134" s="75"/>
      <c r="P134" s="75"/>
      <c r="Q134" s="75"/>
      <c r="R134" s="75"/>
      <c r="S134" s="75"/>
      <c r="T134" s="75"/>
      <c r="U134" s="79"/>
    </row>
    <row r="135" spans="1:21" x14ac:dyDescent="0.25">
      <c r="A135" s="70">
        <f t="shared" si="17"/>
        <v>125</v>
      </c>
      <c r="B135" s="98">
        <v>46141</v>
      </c>
      <c r="C135" s="73">
        <v>40000812</v>
      </c>
      <c r="D135" s="73">
        <v>73978488</v>
      </c>
      <c r="E135" s="74">
        <v>60.25</v>
      </c>
      <c r="F135" s="31">
        <v>1016.01</v>
      </c>
      <c r="G135" s="556">
        <f t="shared" si="15"/>
        <v>61214.602500000001</v>
      </c>
      <c r="H135" s="611">
        <v>76.889799999999994</v>
      </c>
      <c r="I135" s="37">
        <f t="shared" si="16"/>
        <v>4632.6104499999992</v>
      </c>
      <c r="J135" s="114" t="s">
        <v>22</v>
      </c>
      <c r="K135" s="502" t="s">
        <v>23</v>
      </c>
      <c r="L135" s="146"/>
      <c r="M135" s="70"/>
      <c r="N135" s="75"/>
      <c r="O135" s="75"/>
      <c r="P135" s="75"/>
      <c r="Q135" s="75"/>
      <c r="R135" s="75"/>
      <c r="S135" s="75"/>
      <c r="T135" s="75"/>
      <c r="U135" s="79"/>
    </row>
    <row r="136" spans="1:21" x14ac:dyDescent="0.25">
      <c r="A136" s="70">
        <f t="shared" si="17"/>
        <v>126</v>
      </c>
      <c r="B136" s="98">
        <v>46141</v>
      </c>
      <c r="C136" s="73">
        <v>40000815</v>
      </c>
      <c r="D136" s="73">
        <v>74979766</v>
      </c>
      <c r="E136" s="74">
        <v>60.1</v>
      </c>
      <c r="F136" s="31">
        <v>1016.01</v>
      </c>
      <c r="G136" s="556">
        <f t="shared" si="15"/>
        <v>61062.201000000001</v>
      </c>
      <c r="H136" s="611">
        <v>76.889799999999994</v>
      </c>
      <c r="I136" s="37">
        <f t="shared" si="16"/>
        <v>4621.0769799999998</v>
      </c>
      <c r="J136" s="114" t="s">
        <v>22</v>
      </c>
      <c r="K136" s="502" t="s">
        <v>23</v>
      </c>
      <c r="L136" s="146"/>
      <c r="M136" s="70"/>
      <c r="N136" s="75"/>
      <c r="O136" s="75"/>
      <c r="P136" s="75"/>
      <c r="Q136" s="75"/>
      <c r="R136" s="75"/>
      <c r="S136" s="75"/>
      <c r="T136" s="75"/>
      <c r="U136" s="79"/>
    </row>
    <row r="137" spans="1:21" x14ac:dyDescent="0.25">
      <c r="A137" s="70">
        <f t="shared" si="17"/>
        <v>127</v>
      </c>
      <c r="B137" s="98">
        <v>46141</v>
      </c>
      <c r="C137" s="73">
        <v>40000812</v>
      </c>
      <c r="D137" s="73">
        <v>75109322</v>
      </c>
      <c r="E137" s="74">
        <v>61</v>
      </c>
      <c r="F137" s="31">
        <v>1016.01</v>
      </c>
      <c r="G137" s="556">
        <f t="shared" si="15"/>
        <v>61976.61</v>
      </c>
      <c r="H137" s="611">
        <v>76.889799999999994</v>
      </c>
      <c r="I137" s="37">
        <f t="shared" si="16"/>
        <v>4690.2777999999998</v>
      </c>
      <c r="J137" s="114" t="s">
        <v>22</v>
      </c>
      <c r="K137" s="502" t="s">
        <v>23</v>
      </c>
      <c r="L137" s="146"/>
      <c r="M137" s="70"/>
      <c r="N137" s="75"/>
      <c r="O137" s="75"/>
      <c r="P137" s="75"/>
      <c r="Q137" s="75"/>
      <c r="R137" s="75"/>
      <c r="S137" s="75"/>
      <c r="T137" s="75"/>
      <c r="U137" s="79"/>
    </row>
    <row r="138" spans="1:21" x14ac:dyDescent="0.25">
      <c r="A138" s="70">
        <f t="shared" si="17"/>
        <v>128</v>
      </c>
      <c r="B138" s="98">
        <v>46141</v>
      </c>
      <c r="C138" s="73">
        <v>40000811</v>
      </c>
      <c r="D138" s="73">
        <v>75112714</v>
      </c>
      <c r="E138" s="74">
        <v>61.3</v>
      </c>
      <c r="F138" s="31">
        <v>1016.01</v>
      </c>
      <c r="G138" s="556">
        <f t="shared" si="15"/>
        <v>62281.412999999993</v>
      </c>
      <c r="H138" s="611">
        <v>76.889799999999994</v>
      </c>
      <c r="I138" s="37">
        <f t="shared" si="16"/>
        <v>4713.3447399999995</v>
      </c>
      <c r="J138" s="114" t="s">
        <v>22</v>
      </c>
      <c r="K138" s="502" t="s">
        <v>23</v>
      </c>
      <c r="L138" s="146"/>
      <c r="M138" s="70"/>
      <c r="N138" s="75"/>
      <c r="O138" s="75"/>
      <c r="P138" s="75"/>
      <c r="Q138" s="75"/>
      <c r="R138" s="75"/>
      <c r="S138" s="75"/>
      <c r="T138" s="75"/>
      <c r="U138" s="79"/>
    </row>
    <row r="139" spans="1:21" x14ac:dyDescent="0.25">
      <c r="A139" s="70">
        <f t="shared" si="17"/>
        <v>129</v>
      </c>
      <c r="B139" s="98">
        <v>46141</v>
      </c>
      <c r="C139" s="73">
        <v>40000812</v>
      </c>
      <c r="D139" s="73">
        <v>75126763</v>
      </c>
      <c r="E139" s="74">
        <v>60.3</v>
      </c>
      <c r="F139" s="31">
        <v>1016.01</v>
      </c>
      <c r="G139" s="556">
        <f t="shared" si="15"/>
        <v>61265.402999999998</v>
      </c>
      <c r="H139" s="611">
        <v>76.889799999999994</v>
      </c>
      <c r="I139" s="37">
        <f t="shared" si="16"/>
        <v>4636.4549399999996</v>
      </c>
      <c r="J139" s="114" t="s">
        <v>22</v>
      </c>
      <c r="K139" s="502" t="s">
        <v>23</v>
      </c>
      <c r="L139" s="146"/>
      <c r="M139" s="70"/>
      <c r="N139" s="75"/>
      <c r="O139" s="75"/>
      <c r="P139" s="75"/>
      <c r="Q139" s="75"/>
      <c r="R139" s="75"/>
      <c r="S139" s="75"/>
      <c r="T139" s="75"/>
      <c r="U139" s="79"/>
    </row>
    <row r="140" spans="1:21" x14ac:dyDescent="0.25">
      <c r="A140" s="70">
        <f t="shared" si="17"/>
        <v>130</v>
      </c>
      <c r="B140" s="98">
        <v>46141</v>
      </c>
      <c r="C140" s="73">
        <v>40000812</v>
      </c>
      <c r="D140" s="73">
        <v>75208124</v>
      </c>
      <c r="E140" s="74">
        <v>62.3</v>
      </c>
      <c r="F140" s="31">
        <v>1016.01</v>
      </c>
      <c r="G140" s="556">
        <f t="shared" si="15"/>
        <v>63297.422999999995</v>
      </c>
      <c r="H140" s="611">
        <v>76.889799999999994</v>
      </c>
      <c r="I140" s="37">
        <f t="shared" si="16"/>
        <v>4790.2345399999995</v>
      </c>
      <c r="J140" s="114" t="s">
        <v>22</v>
      </c>
      <c r="K140" s="502" t="s">
        <v>23</v>
      </c>
      <c r="L140" s="146"/>
      <c r="M140" s="70"/>
      <c r="N140" s="75"/>
      <c r="O140" s="75"/>
      <c r="P140" s="75"/>
      <c r="Q140" s="75"/>
      <c r="R140" s="75"/>
      <c r="S140" s="75"/>
      <c r="T140" s="75"/>
      <c r="U140" s="79"/>
    </row>
    <row r="141" spans="1:21" x14ac:dyDescent="0.25">
      <c r="A141" s="70">
        <f t="shared" si="17"/>
        <v>131</v>
      </c>
      <c r="B141" s="98">
        <v>46141</v>
      </c>
      <c r="C141" s="73">
        <v>40000814</v>
      </c>
      <c r="D141" s="73">
        <v>75223958</v>
      </c>
      <c r="E141" s="74">
        <v>60.95</v>
      </c>
      <c r="F141" s="31">
        <v>1016.01</v>
      </c>
      <c r="G141" s="556">
        <f t="shared" si="15"/>
        <v>61925.809500000003</v>
      </c>
      <c r="H141" s="611">
        <v>76.889799999999994</v>
      </c>
      <c r="I141" s="37">
        <f t="shared" si="16"/>
        <v>4686.4333099999994</v>
      </c>
      <c r="J141" s="114" t="s">
        <v>22</v>
      </c>
      <c r="K141" s="502" t="s">
        <v>23</v>
      </c>
      <c r="L141" s="146"/>
      <c r="M141" s="70"/>
      <c r="N141" s="75"/>
      <c r="O141" s="75"/>
      <c r="P141" s="75"/>
      <c r="Q141" s="75"/>
      <c r="R141" s="75"/>
      <c r="S141" s="75"/>
      <c r="T141" s="75"/>
      <c r="U141" s="79"/>
    </row>
    <row r="142" spans="1:21" x14ac:dyDescent="0.25">
      <c r="A142" s="70">
        <f t="shared" si="17"/>
        <v>132</v>
      </c>
      <c r="B142" s="98">
        <v>46141</v>
      </c>
      <c r="C142" s="73">
        <v>40000812</v>
      </c>
      <c r="D142" s="73">
        <v>75281378</v>
      </c>
      <c r="E142" s="74">
        <v>61.6</v>
      </c>
      <c r="F142" s="31">
        <v>1016.01</v>
      </c>
      <c r="G142" s="556">
        <f t="shared" si="15"/>
        <v>62586.216</v>
      </c>
      <c r="H142" s="611">
        <v>76.889799999999994</v>
      </c>
      <c r="I142" s="37">
        <f t="shared" si="16"/>
        <v>4736.4116800000002</v>
      </c>
      <c r="J142" s="114" t="s">
        <v>22</v>
      </c>
      <c r="K142" s="502" t="s">
        <v>23</v>
      </c>
      <c r="L142" s="146"/>
      <c r="M142" s="70"/>
      <c r="N142" s="75"/>
      <c r="O142" s="75"/>
      <c r="P142" s="75"/>
      <c r="Q142" s="75"/>
      <c r="R142" s="75"/>
      <c r="S142" s="75"/>
      <c r="T142" s="75"/>
      <c r="U142" s="79"/>
    </row>
    <row r="143" spans="1:21" x14ac:dyDescent="0.25">
      <c r="A143" s="70">
        <f t="shared" si="17"/>
        <v>133</v>
      </c>
      <c r="B143" s="98">
        <v>46141</v>
      </c>
      <c r="C143" s="73">
        <v>40000812</v>
      </c>
      <c r="D143" s="73">
        <v>75292433</v>
      </c>
      <c r="E143" s="74">
        <v>61.7</v>
      </c>
      <c r="F143" s="31">
        <v>1016.01</v>
      </c>
      <c r="G143" s="556">
        <f t="shared" si="15"/>
        <v>62687.817000000003</v>
      </c>
      <c r="H143" s="611">
        <v>76.889799999999994</v>
      </c>
      <c r="I143" s="37">
        <f t="shared" si="16"/>
        <v>4744.1006600000001</v>
      </c>
      <c r="J143" s="114" t="s">
        <v>22</v>
      </c>
      <c r="K143" s="502" t="s">
        <v>23</v>
      </c>
      <c r="L143" s="146"/>
      <c r="M143" s="70"/>
      <c r="N143" s="75"/>
      <c r="O143" s="75"/>
      <c r="P143" s="75"/>
      <c r="Q143" s="75"/>
      <c r="R143" s="75"/>
      <c r="S143" s="75"/>
      <c r="T143" s="75"/>
      <c r="U143" s="79"/>
    </row>
    <row r="144" spans="1:21" x14ac:dyDescent="0.25">
      <c r="A144" s="70">
        <f t="shared" si="17"/>
        <v>134</v>
      </c>
      <c r="B144" s="98">
        <v>46141</v>
      </c>
      <c r="C144" s="73">
        <v>40000812</v>
      </c>
      <c r="D144" s="73">
        <v>75857698</v>
      </c>
      <c r="E144" s="74">
        <v>61.7</v>
      </c>
      <c r="F144" s="31">
        <v>1016.01</v>
      </c>
      <c r="G144" s="556">
        <f t="shared" si="15"/>
        <v>62687.817000000003</v>
      </c>
      <c r="H144" s="611">
        <v>76.889799999999994</v>
      </c>
      <c r="I144" s="37">
        <f t="shared" si="16"/>
        <v>4744.1006600000001</v>
      </c>
      <c r="J144" s="114" t="s">
        <v>22</v>
      </c>
      <c r="K144" s="502" t="s">
        <v>23</v>
      </c>
      <c r="L144" s="146"/>
      <c r="M144" s="70"/>
      <c r="N144" s="75"/>
      <c r="O144" s="75"/>
      <c r="P144" s="75"/>
      <c r="Q144" s="75"/>
      <c r="R144" s="75"/>
      <c r="S144" s="75"/>
      <c r="T144" s="75"/>
      <c r="U144" s="79"/>
    </row>
    <row r="145" spans="1:21" x14ac:dyDescent="0.25">
      <c r="A145" s="70">
        <f t="shared" si="17"/>
        <v>135</v>
      </c>
      <c r="B145" s="98">
        <v>46141</v>
      </c>
      <c r="C145" s="73">
        <v>40000813</v>
      </c>
      <c r="D145" s="73">
        <v>76597798</v>
      </c>
      <c r="E145" s="74">
        <v>60.7</v>
      </c>
      <c r="F145" s="31">
        <v>1016.01</v>
      </c>
      <c r="G145" s="556">
        <f t="shared" si="15"/>
        <v>61671.807000000001</v>
      </c>
      <c r="H145" s="611">
        <v>76.889799999999994</v>
      </c>
      <c r="I145" s="37">
        <f t="shared" si="16"/>
        <v>4667.2108600000001</v>
      </c>
      <c r="J145" s="114" t="s">
        <v>22</v>
      </c>
      <c r="K145" s="502" t="s">
        <v>23</v>
      </c>
      <c r="L145" s="146"/>
      <c r="M145" s="70"/>
      <c r="N145" s="75"/>
      <c r="O145" s="75"/>
      <c r="P145" s="75"/>
      <c r="Q145" s="75"/>
      <c r="R145" s="75"/>
      <c r="S145" s="75"/>
      <c r="T145" s="75"/>
      <c r="U145" s="79"/>
    </row>
    <row r="146" spans="1:21" ht="15.75" thickBot="1" x14ac:dyDescent="0.3">
      <c r="A146" s="101">
        <f t="shared" si="17"/>
        <v>136</v>
      </c>
      <c r="B146" s="135">
        <v>46141</v>
      </c>
      <c r="C146" s="103">
        <v>40000812</v>
      </c>
      <c r="D146" s="103">
        <v>76921394</v>
      </c>
      <c r="E146" s="104">
        <v>60.35</v>
      </c>
      <c r="F146" s="31">
        <v>1016.01</v>
      </c>
      <c r="G146" s="557">
        <f t="shared" si="15"/>
        <v>61316.203500000003</v>
      </c>
      <c r="H146" s="611">
        <v>76.889799999999994</v>
      </c>
      <c r="I146" s="39">
        <f t="shared" si="16"/>
        <v>4640.29943</v>
      </c>
      <c r="J146" s="137" t="s">
        <v>22</v>
      </c>
      <c r="K146" s="558" t="s">
        <v>23</v>
      </c>
      <c r="L146" s="149"/>
      <c r="M146" s="80"/>
      <c r="N146" s="88"/>
      <c r="O146" s="88"/>
      <c r="P146" s="88"/>
      <c r="Q146" s="88"/>
      <c r="R146" s="88"/>
      <c r="S146" s="88"/>
      <c r="T146" s="88"/>
      <c r="U146" s="89"/>
    </row>
    <row r="147" spans="1:21" ht="15.75" thickBot="1" x14ac:dyDescent="0.3">
      <c r="A147" s="491"/>
      <c r="B147" s="160"/>
      <c r="C147" s="160"/>
      <c r="D147" s="160"/>
      <c r="E147" s="159">
        <f>SUM(E85:E146)</f>
        <v>3731.3999999999987</v>
      </c>
      <c r="F147" s="160"/>
      <c r="G147" s="612">
        <f>SUM(G85:G146)</f>
        <v>3791139.7139999997</v>
      </c>
      <c r="H147" s="165"/>
      <c r="I147" s="488">
        <f>SUM(I85:I146)</f>
        <v>286906.59972</v>
      </c>
      <c r="J147" s="160"/>
      <c r="K147" s="166"/>
      <c r="L147" s="551"/>
      <c r="M147" s="560"/>
      <c r="N147" s="561"/>
      <c r="O147" s="561"/>
      <c r="P147" s="561"/>
      <c r="Q147" s="561"/>
      <c r="R147" s="561"/>
      <c r="S147" s="561"/>
      <c r="T147" s="561"/>
      <c r="U147" s="562"/>
    </row>
    <row r="148" spans="1:21" x14ac:dyDescent="0.25">
      <c r="A148" s="57">
        <v>137</v>
      </c>
      <c r="B148" s="58">
        <v>46143</v>
      </c>
      <c r="C148" s="60">
        <v>40001022</v>
      </c>
      <c r="D148" s="60">
        <v>50414218</v>
      </c>
      <c r="E148" s="61">
        <v>59.9</v>
      </c>
      <c r="F148" s="29">
        <v>1016.01</v>
      </c>
      <c r="G148" s="358">
        <f t="shared" ref="G148:G151" si="18">E148*F148</f>
        <v>60858.998999999996</v>
      </c>
      <c r="H148" s="611">
        <v>76.889799999999994</v>
      </c>
      <c r="I148" s="360">
        <f t="shared" ref="I148:I151" si="19">E148*H148</f>
        <v>4605.6990199999991</v>
      </c>
      <c r="J148" s="408" t="s">
        <v>22</v>
      </c>
      <c r="K148" s="510" t="s">
        <v>23</v>
      </c>
      <c r="L148" s="69"/>
      <c r="M148" s="57"/>
      <c r="N148" s="68"/>
      <c r="O148" s="68"/>
      <c r="P148" s="68"/>
      <c r="Q148" s="68"/>
      <c r="R148" s="68"/>
      <c r="S148" s="68"/>
      <c r="T148" s="68"/>
      <c r="U148" s="69"/>
    </row>
    <row r="149" spans="1:21" x14ac:dyDescent="0.25">
      <c r="A149" s="70">
        <f>A148+1</f>
        <v>138</v>
      </c>
      <c r="B149" s="98">
        <v>46143</v>
      </c>
      <c r="C149" s="73">
        <v>40001018</v>
      </c>
      <c r="D149" s="73">
        <v>73011587</v>
      </c>
      <c r="E149" s="74">
        <v>60.25</v>
      </c>
      <c r="F149" s="31">
        <v>1016.01</v>
      </c>
      <c r="G149" s="556">
        <f t="shared" si="18"/>
        <v>61214.602500000001</v>
      </c>
      <c r="H149" s="611">
        <v>76.889799999999994</v>
      </c>
      <c r="I149" s="37">
        <f t="shared" si="19"/>
        <v>4632.6104499999992</v>
      </c>
      <c r="J149" s="114" t="s">
        <v>22</v>
      </c>
      <c r="K149" s="502" t="s">
        <v>23</v>
      </c>
      <c r="L149" s="79"/>
      <c r="M149" s="70"/>
      <c r="N149" s="75"/>
      <c r="O149" s="75"/>
      <c r="P149" s="75"/>
      <c r="Q149" s="75"/>
      <c r="R149" s="75"/>
      <c r="S149" s="75"/>
      <c r="T149" s="75"/>
      <c r="U149" s="79"/>
    </row>
    <row r="150" spans="1:21" x14ac:dyDescent="0.25">
      <c r="A150" s="70">
        <f t="shared" ref="A150:A151" si="20">A149+1</f>
        <v>139</v>
      </c>
      <c r="B150" s="98">
        <v>46143</v>
      </c>
      <c r="C150" s="73">
        <v>40001020</v>
      </c>
      <c r="D150" s="73">
        <v>75342170</v>
      </c>
      <c r="E150" s="74">
        <v>60.95</v>
      </c>
      <c r="F150" s="31">
        <v>1016.01</v>
      </c>
      <c r="G150" s="556">
        <f t="shared" si="18"/>
        <v>61925.809500000003</v>
      </c>
      <c r="H150" s="611">
        <v>76.889799999999994</v>
      </c>
      <c r="I150" s="37">
        <f t="shared" si="19"/>
        <v>4686.4333099999994</v>
      </c>
      <c r="J150" s="114" t="s">
        <v>22</v>
      </c>
      <c r="K150" s="502" t="s">
        <v>23</v>
      </c>
      <c r="L150" s="79"/>
      <c r="M150" s="70"/>
      <c r="N150" s="75"/>
      <c r="O150" s="75"/>
      <c r="P150" s="75"/>
      <c r="Q150" s="75"/>
      <c r="R150" s="75"/>
      <c r="S150" s="75"/>
      <c r="T150" s="75"/>
      <c r="U150" s="79"/>
    </row>
    <row r="151" spans="1:21" ht="15.75" thickBot="1" x14ac:dyDescent="0.3">
      <c r="A151" s="80">
        <f t="shared" si="20"/>
        <v>140</v>
      </c>
      <c r="B151" s="99">
        <v>46143</v>
      </c>
      <c r="C151" s="83">
        <v>40001021</v>
      </c>
      <c r="D151" s="83">
        <v>75342220</v>
      </c>
      <c r="E151" s="84">
        <v>60.75</v>
      </c>
      <c r="F151" s="217">
        <v>1016.01</v>
      </c>
      <c r="G151" s="613">
        <f t="shared" si="18"/>
        <v>61722.607499999998</v>
      </c>
      <c r="H151" s="611">
        <v>76.889799999999994</v>
      </c>
      <c r="I151" s="42">
        <f t="shared" si="19"/>
        <v>4671.0553499999996</v>
      </c>
      <c r="J151" s="219" t="s">
        <v>22</v>
      </c>
      <c r="K151" s="511" t="s">
        <v>23</v>
      </c>
      <c r="L151" s="89"/>
      <c r="M151" s="80"/>
      <c r="N151" s="88"/>
      <c r="O151" s="88"/>
      <c r="P151" s="88"/>
      <c r="Q151" s="88"/>
      <c r="R151" s="88"/>
      <c r="S151" s="88"/>
      <c r="T151" s="88"/>
      <c r="U151" s="89"/>
    </row>
    <row r="152" spans="1:21" ht="15.75" thickBot="1" x14ac:dyDescent="0.3">
      <c r="A152" s="614"/>
      <c r="B152" s="563"/>
      <c r="C152" s="563"/>
      <c r="D152" s="563"/>
      <c r="E152" s="615">
        <f>SUM(E148:E151)</f>
        <v>241.85000000000002</v>
      </c>
      <c r="F152" s="563"/>
      <c r="G152" s="616">
        <f>SUM(G148:G151)</f>
        <v>245722.01850000001</v>
      </c>
      <c r="H152" s="617"/>
      <c r="I152" s="618">
        <f>SUM(I148:I151)</f>
        <v>18595.798129999996</v>
      </c>
      <c r="J152" s="563"/>
      <c r="K152" s="565"/>
      <c r="L152" s="552"/>
      <c r="M152" s="491"/>
      <c r="N152" s="160"/>
      <c r="O152" s="160"/>
      <c r="P152" s="160"/>
      <c r="Q152" s="160"/>
      <c r="R152" s="160"/>
      <c r="S152" s="160"/>
      <c r="T152" s="160"/>
      <c r="U152" s="166"/>
    </row>
    <row r="153" spans="1:21" x14ac:dyDescent="0.25">
      <c r="A153" s="57">
        <v>141</v>
      </c>
      <c r="B153" s="58">
        <v>46145</v>
      </c>
      <c r="C153" s="60">
        <v>40001023</v>
      </c>
      <c r="D153" s="60">
        <v>51487452</v>
      </c>
      <c r="E153" s="61">
        <v>59.55</v>
      </c>
      <c r="F153" s="29">
        <v>1016.01</v>
      </c>
      <c r="G153" s="358">
        <f t="shared" ref="G153:G162" si="21">E153*F153</f>
        <v>60503.395499999999</v>
      </c>
      <c r="H153" s="611">
        <v>76.889799999999994</v>
      </c>
      <c r="I153" s="360">
        <f t="shared" ref="I153:I162" si="22">E153*H153</f>
        <v>4578.787589999999</v>
      </c>
      <c r="J153" s="408" t="s">
        <v>22</v>
      </c>
      <c r="K153" s="510" t="s">
        <v>23</v>
      </c>
      <c r="L153" s="373"/>
      <c r="M153" s="57"/>
      <c r="N153" s="68"/>
      <c r="O153" s="68"/>
      <c r="P153" s="68"/>
      <c r="Q153" s="68"/>
      <c r="R153" s="68"/>
      <c r="S153" s="68"/>
      <c r="T153" s="68"/>
      <c r="U153" s="69"/>
    </row>
    <row r="154" spans="1:21" x14ac:dyDescent="0.25">
      <c r="A154" s="70">
        <f>A153+1</f>
        <v>142</v>
      </c>
      <c r="B154" s="71">
        <v>46145</v>
      </c>
      <c r="C154" s="73">
        <v>40001023</v>
      </c>
      <c r="D154" s="73">
        <v>51893618</v>
      </c>
      <c r="E154" s="74">
        <v>60.35</v>
      </c>
      <c r="F154" s="31">
        <v>1016.01</v>
      </c>
      <c r="G154" s="556">
        <f t="shared" si="21"/>
        <v>61316.203500000003</v>
      </c>
      <c r="H154" s="611">
        <v>76.889799999999994</v>
      </c>
      <c r="I154" s="37">
        <f t="shared" si="22"/>
        <v>4640.29943</v>
      </c>
      <c r="J154" s="114" t="s">
        <v>22</v>
      </c>
      <c r="K154" s="502" t="s">
        <v>23</v>
      </c>
      <c r="L154" s="246"/>
      <c r="M154" s="70"/>
      <c r="N154" s="75"/>
      <c r="O154" s="75"/>
      <c r="P154" s="75"/>
      <c r="Q154" s="75"/>
      <c r="R154" s="75"/>
      <c r="S154" s="75"/>
      <c r="T154" s="75"/>
      <c r="U154" s="79"/>
    </row>
    <row r="155" spans="1:21" x14ac:dyDescent="0.25">
      <c r="A155" s="70">
        <f t="shared" ref="A155:A162" si="23">A154+1</f>
        <v>143</v>
      </c>
      <c r="B155" s="71">
        <v>46145</v>
      </c>
      <c r="C155" s="73">
        <v>40001023</v>
      </c>
      <c r="D155" s="73">
        <v>51921211</v>
      </c>
      <c r="E155" s="74">
        <v>51.9</v>
      </c>
      <c r="F155" s="31">
        <v>1016.01</v>
      </c>
      <c r="G155" s="556">
        <f t="shared" si="21"/>
        <v>52730.919000000002</v>
      </c>
      <c r="H155" s="611">
        <v>76.889799999999994</v>
      </c>
      <c r="I155" s="37">
        <f t="shared" si="22"/>
        <v>3990.5806199999997</v>
      </c>
      <c r="J155" s="114" t="s">
        <v>22</v>
      </c>
      <c r="K155" s="502" t="s">
        <v>23</v>
      </c>
      <c r="L155" s="246"/>
      <c r="M155" s="70"/>
      <c r="N155" s="75"/>
      <c r="O155" s="75"/>
      <c r="P155" s="75"/>
      <c r="Q155" s="75"/>
      <c r="R155" s="75"/>
      <c r="S155" s="75"/>
      <c r="T155" s="75"/>
      <c r="U155" s="79"/>
    </row>
    <row r="156" spans="1:21" x14ac:dyDescent="0.25">
      <c r="A156" s="70">
        <f t="shared" si="23"/>
        <v>144</v>
      </c>
      <c r="B156" s="71">
        <v>46145</v>
      </c>
      <c r="C156" s="73">
        <v>40001023</v>
      </c>
      <c r="D156" s="73">
        <v>53945887</v>
      </c>
      <c r="E156" s="74">
        <v>50.5</v>
      </c>
      <c r="F156" s="31">
        <v>1016.01</v>
      </c>
      <c r="G156" s="556">
        <f t="shared" si="21"/>
        <v>51308.504999999997</v>
      </c>
      <c r="H156" s="611">
        <v>76.889799999999994</v>
      </c>
      <c r="I156" s="37">
        <f t="shared" si="22"/>
        <v>3882.9348999999997</v>
      </c>
      <c r="J156" s="114" t="s">
        <v>22</v>
      </c>
      <c r="K156" s="502" t="s">
        <v>23</v>
      </c>
      <c r="L156" s="246"/>
      <c r="M156" s="70"/>
      <c r="N156" s="75"/>
      <c r="O156" s="75"/>
      <c r="P156" s="75"/>
      <c r="Q156" s="75"/>
      <c r="R156" s="75"/>
      <c r="S156" s="75"/>
      <c r="T156" s="75"/>
      <c r="U156" s="79"/>
    </row>
    <row r="157" spans="1:21" x14ac:dyDescent="0.25">
      <c r="A157" s="70">
        <f t="shared" si="23"/>
        <v>145</v>
      </c>
      <c r="B157" s="71">
        <v>46145</v>
      </c>
      <c r="C157" s="73">
        <v>40001023</v>
      </c>
      <c r="D157" s="73">
        <v>54027016</v>
      </c>
      <c r="E157" s="74">
        <v>59.8</v>
      </c>
      <c r="F157" s="31">
        <v>1016.01</v>
      </c>
      <c r="G157" s="556">
        <f t="shared" si="21"/>
        <v>60757.397999999994</v>
      </c>
      <c r="H157" s="611">
        <v>76.889799999999994</v>
      </c>
      <c r="I157" s="37">
        <f t="shared" si="22"/>
        <v>4598.0100399999992</v>
      </c>
      <c r="J157" s="114" t="s">
        <v>22</v>
      </c>
      <c r="K157" s="502" t="s">
        <v>23</v>
      </c>
      <c r="L157" s="246"/>
      <c r="M157" s="70"/>
      <c r="N157" s="75"/>
      <c r="O157" s="75"/>
      <c r="P157" s="75"/>
      <c r="Q157" s="75"/>
      <c r="R157" s="75"/>
      <c r="S157" s="75"/>
      <c r="T157" s="75"/>
      <c r="U157" s="79"/>
    </row>
    <row r="158" spans="1:21" x14ac:dyDescent="0.25">
      <c r="A158" s="70">
        <f t="shared" si="23"/>
        <v>146</v>
      </c>
      <c r="B158" s="71">
        <v>46145</v>
      </c>
      <c r="C158" s="73">
        <v>40001023</v>
      </c>
      <c r="D158" s="73">
        <v>54046370</v>
      </c>
      <c r="E158" s="74">
        <v>59.8</v>
      </c>
      <c r="F158" s="31">
        <v>1016.01</v>
      </c>
      <c r="G158" s="556">
        <f t="shared" si="21"/>
        <v>60757.397999999994</v>
      </c>
      <c r="H158" s="611">
        <v>76.889799999999994</v>
      </c>
      <c r="I158" s="37">
        <f t="shared" si="22"/>
        <v>4598.0100399999992</v>
      </c>
      <c r="J158" s="114" t="s">
        <v>22</v>
      </c>
      <c r="K158" s="502" t="s">
        <v>23</v>
      </c>
      <c r="L158" s="246"/>
      <c r="M158" s="70"/>
      <c r="N158" s="75"/>
      <c r="O158" s="75"/>
      <c r="P158" s="75"/>
      <c r="Q158" s="75"/>
      <c r="R158" s="75"/>
      <c r="S158" s="75"/>
      <c r="T158" s="75"/>
      <c r="U158" s="79"/>
    </row>
    <row r="159" spans="1:21" x14ac:dyDescent="0.25">
      <c r="A159" s="70">
        <f t="shared" si="23"/>
        <v>147</v>
      </c>
      <c r="B159" s="71">
        <v>46145</v>
      </c>
      <c r="C159" s="73">
        <v>40001023</v>
      </c>
      <c r="D159" s="73">
        <v>58638453</v>
      </c>
      <c r="E159" s="74">
        <v>59.7</v>
      </c>
      <c r="F159" s="31">
        <v>1016.01</v>
      </c>
      <c r="G159" s="556">
        <f t="shared" si="21"/>
        <v>60655.797000000006</v>
      </c>
      <c r="H159" s="611">
        <v>76.889799999999994</v>
      </c>
      <c r="I159" s="37">
        <f t="shared" si="22"/>
        <v>4590.3210600000002</v>
      </c>
      <c r="J159" s="114" t="s">
        <v>22</v>
      </c>
      <c r="K159" s="502" t="s">
        <v>23</v>
      </c>
      <c r="L159" s="246"/>
      <c r="M159" s="70"/>
      <c r="N159" s="75"/>
      <c r="O159" s="75"/>
      <c r="P159" s="75"/>
      <c r="Q159" s="75"/>
      <c r="R159" s="75"/>
      <c r="S159" s="75"/>
      <c r="T159" s="75"/>
      <c r="U159" s="79"/>
    </row>
    <row r="160" spans="1:21" x14ac:dyDescent="0.25">
      <c r="A160" s="70">
        <f t="shared" si="23"/>
        <v>148</v>
      </c>
      <c r="B160" s="71">
        <v>46145</v>
      </c>
      <c r="C160" s="73">
        <v>40001113</v>
      </c>
      <c r="D160" s="73">
        <v>73117855</v>
      </c>
      <c r="E160" s="74">
        <v>60.25</v>
      </c>
      <c r="F160" s="31">
        <v>1016.01</v>
      </c>
      <c r="G160" s="556">
        <f t="shared" si="21"/>
        <v>61214.602500000001</v>
      </c>
      <c r="H160" s="611">
        <v>76.889799999999994</v>
      </c>
      <c r="I160" s="37">
        <f t="shared" si="22"/>
        <v>4632.6104499999992</v>
      </c>
      <c r="J160" s="114" t="s">
        <v>22</v>
      </c>
      <c r="K160" s="502" t="s">
        <v>23</v>
      </c>
      <c r="L160" s="246"/>
      <c r="M160" s="70"/>
      <c r="N160" s="75"/>
      <c r="O160" s="75"/>
      <c r="P160" s="75"/>
      <c r="Q160" s="75"/>
      <c r="R160" s="75"/>
      <c r="S160" s="75"/>
      <c r="T160" s="75"/>
      <c r="U160" s="79"/>
    </row>
    <row r="161" spans="1:21" x14ac:dyDescent="0.25">
      <c r="A161" s="70">
        <f t="shared" si="23"/>
        <v>149</v>
      </c>
      <c r="B161" s="71">
        <v>46145</v>
      </c>
      <c r="C161" s="73">
        <v>40001112</v>
      </c>
      <c r="D161" s="73">
        <v>73228405</v>
      </c>
      <c r="E161" s="74">
        <v>60.35</v>
      </c>
      <c r="F161" s="31">
        <v>1016.01</v>
      </c>
      <c r="G161" s="556">
        <f t="shared" si="21"/>
        <v>61316.203500000003</v>
      </c>
      <c r="H161" s="611">
        <v>76.889799999999994</v>
      </c>
      <c r="I161" s="37">
        <f t="shared" si="22"/>
        <v>4640.29943</v>
      </c>
      <c r="J161" s="114" t="s">
        <v>22</v>
      </c>
      <c r="K161" s="502" t="s">
        <v>23</v>
      </c>
      <c r="L161" s="246"/>
      <c r="M161" s="70"/>
      <c r="N161" s="75"/>
      <c r="O161" s="75"/>
      <c r="P161" s="75"/>
      <c r="Q161" s="75"/>
      <c r="R161" s="75"/>
      <c r="S161" s="75"/>
      <c r="T161" s="75"/>
      <c r="U161" s="79"/>
    </row>
    <row r="162" spans="1:21" ht="15.75" thickBot="1" x14ac:dyDescent="0.3">
      <c r="A162" s="80">
        <f t="shared" si="23"/>
        <v>150</v>
      </c>
      <c r="B162" s="81">
        <v>46145</v>
      </c>
      <c r="C162" s="83">
        <v>40001023</v>
      </c>
      <c r="D162" s="83">
        <v>74979964</v>
      </c>
      <c r="E162" s="84">
        <v>59.85</v>
      </c>
      <c r="F162" s="217">
        <v>1016.01</v>
      </c>
      <c r="G162" s="613">
        <f t="shared" si="21"/>
        <v>60808.198499999999</v>
      </c>
      <c r="H162" s="611">
        <v>76.889799999999994</v>
      </c>
      <c r="I162" s="42">
        <f t="shared" si="22"/>
        <v>4601.8545299999996</v>
      </c>
      <c r="J162" s="219" t="s">
        <v>22</v>
      </c>
      <c r="K162" s="511" t="s">
        <v>23</v>
      </c>
      <c r="L162" s="380"/>
      <c r="M162" s="80"/>
      <c r="N162" s="88"/>
      <c r="O162" s="88"/>
      <c r="P162" s="88"/>
      <c r="Q162" s="88"/>
      <c r="R162" s="88"/>
      <c r="S162" s="88"/>
      <c r="T162" s="88"/>
      <c r="U162" s="89"/>
    </row>
    <row r="163" spans="1:21" ht="15.75" thickBot="1" x14ac:dyDescent="0.3">
      <c r="A163" s="201"/>
      <c r="B163" s="115"/>
      <c r="C163" s="115"/>
      <c r="D163" s="115"/>
      <c r="E163" s="116">
        <f>SUM(E153:E162)</f>
        <v>582.05000000000007</v>
      </c>
      <c r="F163" s="115"/>
      <c r="G163" s="550">
        <f>SUM(G153:G162)</f>
        <v>591368.62049999996</v>
      </c>
      <c r="H163" s="117"/>
      <c r="I163" s="518">
        <f>SUM(I153:I162)</f>
        <v>44753.70809</v>
      </c>
      <c r="J163" s="115"/>
      <c r="K163" s="202"/>
      <c r="L163" s="121"/>
      <c r="M163" s="122"/>
      <c r="N163" s="115"/>
      <c r="O163" s="115"/>
      <c r="P163" s="115"/>
      <c r="Q163" s="115"/>
      <c r="R163" s="115"/>
      <c r="S163" s="115"/>
      <c r="T163" s="115"/>
      <c r="U163" s="120"/>
    </row>
    <row r="164" spans="1:21" x14ac:dyDescent="0.25">
      <c r="A164" s="57">
        <v>151</v>
      </c>
      <c r="B164" s="58">
        <v>46145</v>
      </c>
      <c r="C164" s="60">
        <v>40001182</v>
      </c>
      <c r="D164" s="60">
        <v>50786581</v>
      </c>
      <c r="E164" s="61">
        <v>50.85</v>
      </c>
      <c r="F164" s="29">
        <v>1016.01</v>
      </c>
      <c r="G164" s="358">
        <f t="shared" ref="G164:G179" si="24">E164*F164</f>
        <v>51664.108500000002</v>
      </c>
      <c r="H164" s="611">
        <v>76.889799999999994</v>
      </c>
      <c r="I164" s="360">
        <f t="shared" ref="I164:I179" si="25">E164*H164</f>
        <v>3909.8463299999999</v>
      </c>
      <c r="J164" s="408" t="s">
        <v>22</v>
      </c>
      <c r="K164" s="510" t="s">
        <v>23</v>
      </c>
      <c r="L164" s="363"/>
      <c r="M164" s="57"/>
      <c r="N164" s="68"/>
      <c r="O164" s="68"/>
      <c r="P164" s="68"/>
      <c r="Q164" s="68"/>
      <c r="R164" s="68"/>
      <c r="S164" s="68"/>
      <c r="T164" s="68"/>
      <c r="U164" s="69"/>
    </row>
    <row r="165" spans="1:21" x14ac:dyDescent="0.25">
      <c r="A165" s="70">
        <f>A164+1</f>
        <v>152</v>
      </c>
      <c r="B165" s="71">
        <v>46145</v>
      </c>
      <c r="C165" s="73">
        <v>40001182</v>
      </c>
      <c r="D165" s="73">
        <v>51427177</v>
      </c>
      <c r="E165" s="74">
        <v>50.5</v>
      </c>
      <c r="F165" s="31">
        <v>1016.01</v>
      </c>
      <c r="G165" s="556">
        <f t="shared" si="24"/>
        <v>51308.504999999997</v>
      </c>
      <c r="H165" s="611">
        <v>76.889799999999994</v>
      </c>
      <c r="I165" s="37">
        <f t="shared" si="25"/>
        <v>3882.9348999999997</v>
      </c>
      <c r="J165" s="114" t="s">
        <v>22</v>
      </c>
      <c r="K165" s="502" t="s">
        <v>23</v>
      </c>
      <c r="L165" s="146"/>
      <c r="M165" s="70"/>
      <c r="N165" s="75"/>
      <c r="O165" s="75"/>
      <c r="P165" s="75"/>
      <c r="Q165" s="75"/>
      <c r="R165" s="75"/>
      <c r="S165" s="75"/>
      <c r="T165" s="75"/>
      <c r="U165" s="79"/>
    </row>
    <row r="166" spans="1:21" x14ac:dyDescent="0.25">
      <c r="A166" s="70">
        <f t="shared" ref="A166:A179" si="26">A165+1</f>
        <v>153</v>
      </c>
      <c r="B166" s="71">
        <v>46145</v>
      </c>
      <c r="C166" s="73">
        <v>40001182</v>
      </c>
      <c r="D166" s="73">
        <v>51689016</v>
      </c>
      <c r="E166" s="74">
        <v>60</v>
      </c>
      <c r="F166" s="31">
        <v>1016.01</v>
      </c>
      <c r="G166" s="556">
        <f t="shared" si="24"/>
        <v>60960.6</v>
      </c>
      <c r="H166" s="611">
        <v>76.889799999999994</v>
      </c>
      <c r="I166" s="37">
        <f t="shared" si="25"/>
        <v>4613.3879999999999</v>
      </c>
      <c r="J166" s="114" t="s">
        <v>22</v>
      </c>
      <c r="K166" s="502" t="s">
        <v>23</v>
      </c>
      <c r="L166" s="146"/>
      <c r="M166" s="70"/>
      <c r="N166" s="75"/>
      <c r="O166" s="75"/>
      <c r="P166" s="75"/>
      <c r="Q166" s="75"/>
      <c r="R166" s="75"/>
      <c r="S166" s="75"/>
      <c r="T166" s="75"/>
      <c r="U166" s="79"/>
    </row>
    <row r="167" spans="1:21" x14ac:dyDescent="0.25">
      <c r="A167" s="70">
        <f t="shared" si="26"/>
        <v>154</v>
      </c>
      <c r="B167" s="71">
        <v>46145</v>
      </c>
      <c r="C167" s="73">
        <v>40001182</v>
      </c>
      <c r="D167" s="73">
        <v>51921138</v>
      </c>
      <c r="E167" s="74">
        <v>51.9</v>
      </c>
      <c r="F167" s="31">
        <v>1016.01</v>
      </c>
      <c r="G167" s="556">
        <f t="shared" si="24"/>
        <v>52730.919000000002</v>
      </c>
      <c r="H167" s="611">
        <v>76.889799999999994</v>
      </c>
      <c r="I167" s="37">
        <f t="shared" si="25"/>
        <v>3990.5806199999997</v>
      </c>
      <c r="J167" s="114" t="s">
        <v>22</v>
      </c>
      <c r="K167" s="502" t="s">
        <v>23</v>
      </c>
      <c r="L167" s="146"/>
      <c r="M167" s="70"/>
      <c r="N167" s="75"/>
      <c r="O167" s="75"/>
      <c r="P167" s="75"/>
      <c r="Q167" s="75"/>
      <c r="R167" s="75"/>
      <c r="S167" s="75"/>
      <c r="T167" s="75"/>
      <c r="U167" s="79"/>
    </row>
    <row r="168" spans="1:21" x14ac:dyDescent="0.25">
      <c r="A168" s="70">
        <f t="shared" si="26"/>
        <v>155</v>
      </c>
      <c r="B168" s="71">
        <v>46145</v>
      </c>
      <c r="C168" s="73">
        <v>40001182</v>
      </c>
      <c r="D168" s="73">
        <v>54047030</v>
      </c>
      <c r="E168" s="74">
        <v>59.75</v>
      </c>
      <c r="F168" s="31">
        <v>1016.01</v>
      </c>
      <c r="G168" s="556">
        <f t="shared" si="24"/>
        <v>60706.597499999996</v>
      </c>
      <c r="H168" s="611">
        <v>76.889799999999994</v>
      </c>
      <c r="I168" s="37">
        <f t="shared" si="25"/>
        <v>4594.1655499999997</v>
      </c>
      <c r="J168" s="114" t="s">
        <v>22</v>
      </c>
      <c r="K168" s="502" t="s">
        <v>23</v>
      </c>
      <c r="L168" s="146"/>
      <c r="M168" s="70"/>
      <c r="N168" s="75"/>
      <c r="O168" s="75"/>
      <c r="P168" s="75"/>
      <c r="Q168" s="75"/>
      <c r="R168" s="75"/>
      <c r="S168" s="75"/>
      <c r="T168" s="75"/>
      <c r="U168" s="79"/>
    </row>
    <row r="169" spans="1:21" x14ac:dyDescent="0.25">
      <c r="A169" s="70">
        <f t="shared" si="26"/>
        <v>156</v>
      </c>
      <c r="B169" s="71">
        <v>46145</v>
      </c>
      <c r="C169" s="73">
        <v>40001183</v>
      </c>
      <c r="D169" s="73">
        <v>54070727</v>
      </c>
      <c r="E169" s="74">
        <v>59.75</v>
      </c>
      <c r="F169" s="31">
        <v>1016.01</v>
      </c>
      <c r="G169" s="556">
        <f t="shared" si="24"/>
        <v>60706.597499999996</v>
      </c>
      <c r="H169" s="611">
        <v>76.889799999999994</v>
      </c>
      <c r="I169" s="37">
        <f t="shared" si="25"/>
        <v>4594.1655499999997</v>
      </c>
      <c r="J169" s="114" t="s">
        <v>22</v>
      </c>
      <c r="K169" s="502" t="s">
        <v>23</v>
      </c>
      <c r="L169" s="146"/>
      <c r="M169" s="70"/>
      <c r="N169" s="75"/>
      <c r="O169" s="75"/>
      <c r="P169" s="75"/>
      <c r="Q169" s="75"/>
      <c r="R169" s="75"/>
      <c r="S169" s="75"/>
      <c r="T169" s="75"/>
      <c r="U169" s="79"/>
    </row>
    <row r="170" spans="1:21" x14ac:dyDescent="0.25">
      <c r="A170" s="70">
        <f t="shared" si="26"/>
        <v>157</v>
      </c>
      <c r="B170" s="71">
        <v>46145</v>
      </c>
      <c r="C170" s="73">
        <v>40001182</v>
      </c>
      <c r="D170" s="73">
        <v>54247598</v>
      </c>
      <c r="E170" s="74">
        <v>60.35</v>
      </c>
      <c r="F170" s="31">
        <v>1016.01</v>
      </c>
      <c r="G170" s="556">
        <f t="shared" si="24"/>
        <v>61316.203500000003</v>
      </c>
      <c r="H170" s="611">
        <v>76.889799999999994</v>
      </c>
      <c r="I170" s="37">
        <f t="shared" si="25"/>
        <v>4640.29943</v>
      </c>
      <c r="J170" s="114" t="s">
        <v>22</v>
      </c>
      <c r="K170" s="502" t="s">
        <v>23</v>
      </c>
      <c r="L170" s="146"/>
      <c r="M170" s="70"/>
      <c r="N170" s="75"/>
      <c r="O170" s="75"/>
      <c r="P170" s="75"/>
      <c r="Q170" s="75"/>
      <c r="R170" s="75"/>
      <c r="S170" s="75"/>
      <c r="T170" s="75"/>
      <c r="U170" s="79"/>
    </row>
    <row r="171" spans="1:21" x14ac:dyDescent="0.25">
      <c r="A171" s="70">
        <f t="shared" si="26"/>
        <v>158</v>
      </c>
      <c r="B171" s="71">
        <v>46145</v>
      </c>
      <c r="C171" s="73">
        <v>40001182</v>
      </c>
      <c r="D171" s="73">
        <v>57134389</v>
      </c>
      <c r="E171" s="74">
        <v>60.05</v>
      </c>
      <c r="F171" s="31">
        <v>1016.01</v>
      </c>
      <c r="G171" s="556">
        <f t="shared" si="24"/>
        <v>61011.400499999996</v>
      </c>
      <c r="H171" s="611">
        <v>76.889799999999994</v>
      </c>
      <c r="I171" s="37">
        <f t="shared" si="25"/>
        <v>4617.2324899999994</v>
      </c>
      <c r="J171" s="114" t="s">
        <v>22</v>
      </c>
      <c r="K171" s="502" t="s">
        <v>23</v>
      </c>
      <c r="L171" s="146"/>
      <c r="M171" s="70"/>
      <c r="N171" s="75"/>
      <c r="O171" s="75"/>
      <c r="P171" s="75"/>
      <c r="Q171" s="75"/>
      <c r="R171" s="75"/>
      <c r="S171" s="75"/>
      <c r="T171" s="75"/>
      <c r="U171" s="79"/>
    </row>
    <row r="172" spans="1:21" x14ac:dyDescent="0.25">
      <c r="A172" s="70">
        <f t="shared" si="26"/>
        <v>159</v>
      </c>
      <c r="B172" s="71">
        <v>46145</v>
      </c>
      <c r="C172" s="73">
        <v>40001182</v>
      </c>
      <c r="D172" s="73">
        <v>58708447</v>
      </c>
      <c r="E172" s="74">
        <v>60.15</v>
      </c>
      <c r="F172" s="31">
        <v>1016.01</v>
      </c>
      <c r="G172" s="556">
        <f t="shared" si="24"/>
        <v>61113.001499999998</v>
      </c>
      <c r="H172" s="611">
        <v>76.889799999999994</v>
      </c>
      <c r="I172" s="37">
        <f t="shared" si="25"/>
        <v>4624.9214699999993</v>
      </c>
      <c r="J172" s="114" t="s">
        <v>22</v>
      </c>
      <c r="K172" s="502" t="s">
        <v>23</v>
      </c>
      <c r="L172" s="146"/>
      <c r="M172" s="70"/>
      <c r="N172" s="75"/>
      <c r="O172" s="75"/>
      <c r="P172" s="75"/>
      <c r="Q172" s="75"/>
      <c r="R172" s="75"/>
      <c r="S172" s="75"/>
      <c r="T172" s="75"/>
      <c r="U172" s="79"/>
    </row>
    <row r="173" spans="1:21" x14ac:dyDescent="0.25">
      <c r="A173" s="70">
        <f t="shared" si="26"/>
        <v>160</v>
      </c>
      <c r="B173" s="71">
        <v>46145</v>
      </c>
      <c r="C173" s="73">
        <v>40001183</v>
      </c>
      <c r="D173" s="73">
        <v>73112658</v>
      </c>
      <c r="E173" s="74">
        <v>60.25</v>
      </c>
      <c r="F173" s="31">
        <v>1016.01</v>
      </c>
      <c r="G173" s="556">
        <f t="shared" si="24"/>
        <v>61214.602500000001</v>
      </c>
      <c r="H173" s="611">
        <v>76.889799999999994</v>
      </c>
      <c r="I173" s="37">
        <f t="shared" si="25"/>
        <v>4632.6104499999992</v>
      </c>
      <c r="J173" s="114" t="s">
        <v>22</v>
      </c>
      <c r="K173" s="502" t="s">
        <v>23</v>
      </c>
      <c r="L173" s="146"/>
      <c r="M173" s="70"/>
      <c r="N173" s="75"/>
      <c r="O173" s="75"/>
      <c r="P173" s="75"/>
      <c r="Q173" s="75"/>
      <c r="R173" s="75"/>
      <c r="S173" s="75"/>
      <c r="T173" s="75"/>
      <c r="U173" s="79"/>
    </row>
    <row r="174" spans="1:21" x14ac:dyDescent="0.25">
      <c r="A174" s="70">
        <f t="shared" si="26"/>
        <v>161</v>
      </c>
      <c r="B174" s="71">
        <v>46145</v>
      </c>
      <c r="C174" s="73">
        <v>40001183</v>
      </c>
      <c r="D174" s="73">
        <v>73179244</v>
      </c>
      <c r="E174" s="74">
        <v>60.45</v>
      </c>
      <c r="F174" s="31">
        <v>1016.01</v>
      </c>
      <c r="G174" s="556">
        <f t="shared" si="24"/>
        <v>61417.804500000006</v>
      </c>
      <c r="H174" s="611">
        <v>76.889799999999994</v>
      </c>
      <c r="I174" s="37">
        <f t="shared" si="25"/>
        <v>4647.9884099999999</v>
      </c>
      <c r="J174" s="114" t="s">
        <v>22</v>
      </c>
      <c r="K174" s="502" t="s">
        <v>23</v>
      </c>
      <c r="L174" s="146"/>
      <c r="M174" s="70"/>
      <c r="N174" s="75"/>
      <c r="O174" s="75"/>
      <c r="P174" s="75"/>
      <c r="Q174" s="75"/>
      <c r="R174" s="75"/>
      <c r="S174" s="75"/>
      <c r="T174" s="75"/>
      <c r="U174" s="79"/>
    </row>
    <row r="175" spans="1:21" x14ac:dyDescent="0.25">
      <c r="A175" s="70">
        <f t="shared" si="26"/>
        <v>162</v>
      </c>
      <c r="B175" s="71">
        <v>46145</v>
      </c>
      <c r="C175" s="73">
        <v>40001182</v>
      </c>
      <c r="D175" s="73">
        <v>75004911</v>
      </c>
      <c r="E175" s="74">
        <v>59.8</v>
      </c>
      <c r="F175" s="31">
        <v>1016.01</v>
      </c>
      <c r="G175" s="556">
        <f t="shared" si="24"/>
        <v>60757.397999999994</v>
      </c>
      <c r="H175" s="611">
        <v>76.889799999999994</v>
      </c>
      <c r="I175" s="37">
        <f t="shared" si="25"/>
        <v>4598.0100399999992</v>
      </c>
      <c r="J175" s="114" t="s">
        <v>22</v>
      </c>
      <c r="K175" s="502" t="s">
        <v>23</v>
      </c>
      <c r="L175" s="146"/>
      <c r="M175" s="70"/>
      <c r="N175" s="75"/>
      <c r="O175" s="75"/>
      <c r="P175" s="75"/>
      <c r="Q175" s="75"/>
      <c r="R175" s="75"/>
      <c r="S175" s="75"/>
      <c r="T175" s="75"/>
      <c r="U175" s="79"/>
    </row>
    <row r="176" spans="1:21" x14ac:dyDescent="0.25">
      <c r="A176" s="70">
        <f t="shared" si="26"/>
        <v>163</v>
      </c>
      <c r="B176" s="71">
        <v>46145</v>
      </c>
      <c r="C176" s="73">
        <v>40001182</v>
      </c>
      <c r="D176" s="73">
        <v>75005264</v>
      </c>
      <c r="E176" s="74">
        <v>59.65</v>
      </c>
      <c r="F176" s="31">
        <v>1016.01</v>
      </c>
      <c r="G176" s="556">
        <f t="shared" si="24"/>
        <v>60604.996500000001</v>
      </c>
      <c r="H176" s="611">
        <v>76.889799999999994</v>
      </c>
      <c r="I176" s="37">
        <f t="shared" si="25"/>
        <v>4586.4765699999998</v>
      </c>
      <c r="J176" s="114" t="s">
        <v>22</v>
      </c>
      <c r="K176" s="502" t="s">
        <v>23</v>
      </c>
      <c r="L176" s="146"/>
      <c r="M176" s="70"/>
      <c r="N176" s="75"/>
      <c r="O176" s="75"/>
      <c r="P176" s="75"/>
      <c r="Q176" s="75"/>
      <c r="R176" s="75"/>
      <c r="S176" s="75"/>
      <c r="T176" s="75"/>
      <c r="U176" s="79"/>
    </row>
    <row r="177" spans="1:21" x14ac:dyDescent="0.25">
      <c r="A177" s="70">
        <f t="shared" si="26"/>
        <v>164</v>
      </c>
      <c r="B177" s="71">
        <v>46145</v>
      </c>
      <c r="C177" s="73">
        <v>40001182</v>
      </c>
      <c r="D177" s="73">
        <v>75046334</v>
      </c>
      <c r="E177" s="74">
        <v>59.7</v>
      </c>
      <c r="F177" s="31">
        <v>1016.01</v>
      </c>
      <c r="G177" s="556">
        <f t="shared" si="24"/>
        <v>60655.797000000006</v>
      </c>
      <c r="H177" s="611">
        <v>76.889799999999994</v>
      </c>
      <c r="I177" s="37">
        <f t="shared" si="25"/>
        <v>4590.3210600000002</v>
      </c>
      <c r="J177" s="114" t="s">
        <v>22</v>
      </c>
      <c r="K177" s="502" t="s">
        <v>23</v>
      </c>
      <c r="L177" s="146"/>
      <c r="M177" s="70"/>
      <c r="N177" s="75"/>
      <c r="O177" s="75"/>
      <c r="P177" s="75"/>
      <c r="Q177" s="75"/>
      <c r="R177" s="75"/>
      <c r="S177" s="75"/>
      <c r="T177" s="75"/>
      <c r="U177" s="79"/>
    </row>
    <row r="178" spans="1:21" x14ac:dyDescent="0.25">
      <c r="A178" s="70">
        <f t="shared" si="26"/>
        <v>165</v>
      </c>
      <c r="B178" s="71">
        <v>46145</v>
      </c>
      <c r="C178" s="73">
        <v>40001183</v>
      </c>
      <c r="D178" s="73">
        <v>75250639</v>
      </c>
      <c r="E178" s="74">
        <v>60.75</v>
      </c>
      <c r="F178" s="31">
        <v>1016.01</v>
      </c>
      <c r="G178" s="556">
        <f t="shared" si="24"/>
        <v>61722.607499999998</v>
      </c>
      <c r="H178" s="611">
        <v>76.889799999999994</v>
      </c>
      <c r="I178" s="37">
        <f t="shared" si="25"/>
        <v>4671.0553499999996</v>
      </c>
      <c r="J178" s="114" t="s">
        <v>22</v>
      </c>
      <c r="K178" s="502" t="s">
        <v>23</v>
      </c>
      <c r="L178" s="146"/>
      <c r="M178" s="70"/>
      <c r="N178" s="75"/>
      <c r="O178" s="75"/>
      <c r="P178" s="75"/>
      <c r="Q178" s="75"/>
      <c r="R178" s="75"/>
      <c r="S178" s="75"/>
      <c r="T178" s="75"/>
      <c r="U178" s="79"/>
    </row>
    <row r="179" spans="1:21" ht="15.75" thickBot="1" x14ac:dyDescent="0.3">
      <c r="A179" s="101">
        <f t="shared" si="26"/>
        <v>166</v>
      </c>
      <c r="B179" s="188">
        <v>46145</v>
      </c>
      <c r="C179" s="103">
        <v>40001183</v>
      </c>
      <c r="D179" s="103">
        <v>75260166</v>
      </c>
      <c r="E179" s="104">
        <v>60.8</v>
      </c>
      <c r="F179" s="106">
        <v>1016.01</v>
      </c>
      <c r="G179" s="557">
        <f t="shared" si="24"/>
        <v>61773.407999999996</v>
      </c>
      <c r="H179" s="619">
        <v>76.889799999999994</v>
      </c>
      <c r="I179" s="39">
        <f t="shared" si="25"/>
        <v>4674.8998399999991</v>
      </c>
      <c r="J179" s="137" t="s">
        <v>22</v>
      </c>
      <c r="K179" s="558" t="s">
        <v>23</v>
      </c>
      <c r="L179" s="221"/>
      <c r="M179" s="80"/>
      <c r="N179" s="88"/>
      <c r="O179" s="88"/>
      <c r="P179" s="88"/>
      <c r="Q179" s="88"/>
      <c r="R179" s="88"/>
      <c r="S179" s="88"/>
      <c r="T179" s="88"/>
      <c r="U179" s="89"/>
    </row>
    <row r="180" spans="1:21" ht="15.75" thickBot="1" x14ac:dyDescent="0.3">
      <c r="A180" s="201"/>
      <c r="B180" s="115"/>
      <c r="C180" s="115"/>
      <c r="D180" s="115"/>
      <c r="E180" s="116">
        <f>SUM(E164:E179)</f>
        <v>934.7</v>
      </c>
      <c r="F180" s="115"/>
      <c r="G180" s="550">
        <f>SUM(G164:G179)</f>
        <v>949664.54700000002</v>
      </c>
      <c r="H180" s="117"/>
      <c r="I180" s="518">
        <f>SUM(I164:I179)</f>
        <v>71868.896059999999</v>
      </c>
      <c r="J180" s="115"/>
      <c r="K180" s="120"/>
      <c r="L180" s="552"/>
      <c r="M180" s="560"/>
      <c r="N180" s="561"/>
      <c r="O180" s="561"/>
      <c r="P180" s="561"/>
      <c r="Q180" s="561"/>
      <c r="R180" s="561"/>
      <c r="S180" s="561"/>
      <c r="T180" s="561"/>
      <c r="U180" s="562"/>
    </row>
    <row r="181" spans="1:21" x14ac:dyDescent="0.25">
      <c r="A181" s="207">
        <v>167</v>
      </c>
      <c r="B181" s="71">
        <v>46146</v>
      </c>
      <c r="C181" s="152">
        <v>40001190</v>
      </c>
      <c r="D181" s="152">
        <v>73108755</v>
      </c>
      <c r="E181" s="153">
        <v>60.25</v>
      </c>
      <c r="F181" s="620">
        <v>1016.01</v>
      </c>
      <c r="G181" s="228">
        <f t="shared" ref="G181:G182" si="27">E181*F181</f>
        <v>61214.602500000001</v>
      </c>
      <c r="H181" s="621">
        <v>76.889799999999994</v>
      </c>
      <c r="I181" s="35">
        <f t="shared" ref="I181:I182" si="28">E181*H181</f>
        <v>4632.6104499999992</v>
      </c>
      <c r="J181" s="212" t="s">
        <v>22</v>
      </c>
      <c r="K181" s="554" t="s">
        <v>23</v>
      </c>
      <c r="L181" s="230"/>
      <c r="M181" s="57"/>
      <c r="N181" s="68"/>
      <c r="O181" s="68"/>
      <c r="P181" s="68"/>
      <c r="Q181" s="68"/>
      <c r="R181" s="68"/>
      <c r="S181" s="68"/>
      <c r="T181" s="68"/>
      <c r="U181" s="69"/>
    </row>
    <row r="182" spans="1:21" ht="15.75" thickBot="1" x14ac:dyDescent="0.3">
      <c r="A182" s="101">
        <v>168</v>
      </c>
      <c r="B182" s="135">
        <v>46146</v>
      </c>
      <c r="C182" s="103">
        <v>40001189</v>
      </c>
      <c r="D182" s="103">
        <v>73166886</v>
      </c>
      <c r="E182" s="104">
        <v>60.2</v>
      </c>
      <c r="F182" s="622">
        <v>1016.01</v>
      </c>
      <c r="G182" s="557">
        <f t="shared" si="27"/>
        <v>61163.802000000003</v>
      </c>
      <c r="H182" s="619">
        <v>76.889799999999994</v>
      </c>
      <c r="I182" s="39">
        <f t="shared" si="28"/>
        <v>4628.7659599999997</v>
      </c>
      <c r="J182" s="137" t="s">
        <v>22</v>
      </c>
      <c r="K182" s="558" t="s">
        <v>23</v>
      </c>
      <c r="L182" s="258"/>
      <c r="M182" s="80"/>
      <c r="N182" s="88"/>
      <c r="O182" s="88"/>
      <c r="P182" s="88"/>
      <c r="Q182" s="88"/>
      <c r="R182" s="88"/>
      <c r="S182" s="88"/>
      <c r="T182" s="88"/>
      <c r="U182" s="89"/>
    </row>
    <row r="183" spans="1:21" ht="15.75" thickBot="1" x14ac:dyDescent="0.3">
      <c r="A183" s="201"/>
      <c r="B183" s="115"/>
      <c r="C183" s="115"/>
      <c r="D183" s="115"/>
      <c r="E183" s="116">
        <f>SUM(E181:E182)</f>
        <v>120.45</v>
      </c>
      <c r="F183" s="115"/>
      <c r="G183" s="550">
        <f>SUM(G181:G182)</f>
        <v>122378.4045</v>
      </c>
      <c r="H183" s="117"/>
      <c r="I183" s="518">
        <f>SUM(I181:I182)</f>
        <v>9261.3764099999989</v>
      </c>
      <c r="J183" s="115"/>
      <c r="K183" s="120"/>
      <c r="L183" s="623"/>
      <c r="M183" s="564"/>
      <c r="N183" s="563"/>
      <c r="O183" s="563"/>
      <c r="P183" s="563"/>
      <c r="Q183" s="563"/>
      <c r="R183" s="563"/>
      <c r="S183" s="563"/>
      <c r="T183" s="563"/>
      <c r="U183" s="565"/>
    </row>
    <row r="184" spans="1:21" ht="15.75" thickBot="1" x14ac:dyDescent="0.3">
      <c r="A184" s="566"/>
      <c r="B184" s="567"/>
      <c r="C184" s="567"/>
      <c r="D184" s="567"/>
      <c r="E184" s="568">
        <f>E22+E44+E60+E65+E84+E147+E152+E163+E180+E183</f>
        <v>9982.7000000000007</v>
      </c>
      <c r="F184" s="567"/>
      <c r="G184" s="569">
        <f>G22+G44+G60+G65+G84+G147+G152+G163+G180+G183</f>
        <v>10142523.174999999</v>
      </c>
      <c r="H184" s="570"/>
      <c r="I184" s="571">
        <f>I22+I44+I60+I65+I84+I147+I152+I163+I180+I183</f>
        <v>767567.80646000011</v>
      </c>
      <c r="J184" s="567"/>
      <c r="K184" s="572"/>
      <c r="L184" s="573"/>
      <c r="M184" s="574"/>
      <c r="N184" s="567"/>
      <c r="O184" s="567"/>
      <c r="P184" s="567"/>
      <c r="Q184" s="567"/>
      <c r="R184" s="567"/>
      <c r="S184" s="567"/>
      <c r="T184" s="567"/>
      <c r="U184" s="575"/>
    </row>
    <row r="186" spans="1:21" ht="15.75" thickBot="1" x14ac:dyDescent="0.3"/>
    <row r="187" spans="1:21" x14ac:dyDescent="0.25">
      <c r="B187" s="664" t="s">
        <v>24</v>
      </c>
      <c r="C187" s="665"/>
      <c r="D187" s="123"/>
      <c r="E187" s="204">
        <v>10000</v>
      </c>
    </row>
    <row r="188" spans="1:21" x14ac:dyDescent="0.25">
      <c r="B188" s="125" t="s">
        <v>25</v>
      </c>
      <c r="C188" s="126"/>
      <c r="D188" s="127"/>
      <c r="E188" s="205">
        <f>E184</f>
        <v>9982.7000000000007</v>
      </c>
    </row>
    <row r="189" spans="1:21" ht="15.75" thickBot="1" x14ac:dyDescent="0.3">
      <c r="B189" s="129" t="s">
        <v>26</v>
      </c>
      <c r="C189" s="130"/>
      <c r="D189" s="131"/>
      <c r="E189" s="206">
        <f>E187-E188</f>
        <v>17.299999999999272</v>
      </c>
    </row>
    <row r="190" spans="1:21" ht="21.75" customHeight="1" x14ac:dyDescent="0.25"/>
  </sheetData>
  <mergeCells count="4">
    <mergeCell ref="A1:K1"/>
    <mergeCell ref="T1:U2"/>
    <mergeCell ref="A2:K2"/>
    <mergeCell ref="B187:C18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90"/>
  <sheetViews>
    <sheetView tabSelected="1" topLeftCell="A159" workbookViewId="0">
      <selection activeCell="H186" sqref="H186"/>
    </sheetView>
  </sheetViews>
  <sheetFormatPr defaultColWidth="9.140625" defaultRowHeight="15" x14ac:dyDescent="0.25"/>
  <cols>
    <col min="1" max="3" width="9.140625" style="226"/>
    <col min="4" max="4" width="15.7109375" style="226" bestFit="1" customWidth="1"/>
    <col min="5" max="5" width="12.5703125" style="226" customWidth="1"/>
    <col min="6" max="6" width="10.28515625" style="226" customWidth="1"/>
    <col min="7" max="7" width="16.140625" style="226" customWidth="1"/>
    <col min="8" max="8" width="12.140625" style="226" customWidth="1"/>
    <col min="9" max="9" width="18.140625" style="226" customWidth="1"/>
    <col min="10" max="10" width="16.140625" style="226" customWidth="1"/>
    <col min="11" max="11" width="9.140625" style="226"/>
    <col min="12" max="12" width="0.85546875" style="226" customWidth="1"/>
    <col min="13" max="16384" width="9.140625" style="226"/>
  </cols>
  <sheetData>
    <row r="1" spans="1:21" x14ac:dyDescent="0.25">
      <c r="A1" s="667" t="s">
        <v>11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224"/>
      <c r="M1" s="224"/>
      <c r="N1" s="224"/>
      <c r="O1" s="224"/>
      <c r="P1" s="224"/>
      <c r="T1" s="666" t="s">
        <v>29</v>
      </c>
      <c r="U1" s="666"/>
    </row>
    <row r="2" spans="1:21" x14ac:dyDescent="0.25">
      <c r="A2" s="667" t="s">
        <v>146</v>
      </c>
      <c r="B2" s="668"/>
      <c r="C2" s="668"/>
      <c r="D2" s="668"/>
      <c r="E2" s="668"/>
      <c r="F2" s="668"/>
      <c r="G2" s="668"/>
      <c r="H2" s="668"/>
      <c r="I2" s="668"/>
      <c r="J2" s="668"/>
      <c r="K2" s="668"/>
      <c r="L2" s="225"/>
      <c r="M2" s="225"/>
      <c r="N2" s="225"/>
      <c r="O2" s="225"/>
      <c r="P2" s="225"/>
      <c r="T2" s="666"/>
      <c r="U2" s="666"/>
    </row>
    <row r="3" spans="1:21" ht="15.75" thickBot="1" x14ac:dyDescent="0.3">
      <c r="F3" s="43" t="s">
        <v>147</v>
      </c>
      <c r="H3" s="44"/>
      <c r="I3" s="44"/>
      <c r="L3" s="28"/>
      <c r="M3" s="45"/>
      <c r="N3" s="45"/>
      <c r="O3" s="46"/>
      <c r="P3" s="46"/>
      <c r="T3" s="698" t="s">
        <v>102</v>
      </c>
      <c r="U3" s="698"/>
    </row>
    <row r="4" spans="1:21" ht="75.75" thickBot="1" x14ac:dyDescent="0.3">
      <c r="A4" s="47" t="s">
        <v>12</v>
      </c>
      <c r="B4" s="48" t="s">
        <v>1</v>
      </c>
      <c r="C4" s="49" t="s">
        <v>8</v>
      </c>
      <c r="D4" s="48" t="s">
        <v>13</v>
      </c>
      <c r="E4" s="48" t="s">
        <v>14</v>
      </c>
      <c r="F4" s="50" t="s">
        <v>148</v>
      </c>
      <c r="G4" s="50" t="s">
        <v>9</v>
      </c>
      <c r="H4" s="51" t="s">
        <v>15</v>
      </c>
      <c r="I4" s="51" t="s">
        <v>9</v>
      </c>
      <c r="J4" s="48" t="s">
        <v>10</v>
      </c>
      <c r="K4" s="548" t="s">
        <v>16</v>
      </c>
      <c r="L4" s="549"/>
      <c r="M4" s="412" t="s">
        <v>88</v>
      </c>
      <c r="N4" s="413" t="s">
        <v>9</v>
      </c>
      <c r="O4" s="414" t="s">
        <v>89</v>
      </c>
      <c r="P4" s="415" t="s">
        <v>9</v>
      </c>
      <c r="Q4" s="416" t="s">
        <v>17</v>
      </c>
      <c r="R4" s="417" t="s">
        <v>18</v>
      </c>
      <c r="S4" s="417" t="s">
        <v>19</v>
      </c>
      <c r="T4" s="417" t="s">
        <v>20</v>
      </c>
      <c r="U4" s="418" t="s">
        <v>21</v>
      </c>
    </row>
    <row r="5" spans="1:21" ht="17.25" customHeight="1" x14ac:dyDescent="0.25">
      <c r="A5" s="207">
        <v>1</v>
      </c>
      <c r="B5" s="71">
        <v>46149</v>
      </c>
      <c r="C5" s="73">
        <v>40001542</v>
      </c>
      <c r="D5" s="73">
        <v>50071216</v>
      </c>
      <c r="E5" s="74">
        <v>51.4</v>
      </c>
      <c r="F5" s="32">
        <f>'[6]Platt''s 2026'!Z34-41</f>
        <v>1086.1447368421052</v>
      </c>
      <c r="G5" s="228">
        <f>E5*F5</f>
        <v>55827.839473684209</v>
      </c>
      <c r="H5" s="36">
        <v>82601.11</v>
      </c>
      <c r="I5" s="35">
        <f>E5*H5</f>
        <v>4245697.0539999995</v>
      </c>
      <c r="J5" s="114" t="s">
        <v>22</v>
      </c>
      <c r="K5" s="422" t="s">
        <v>23</v>
      </c>
      <c r="L5" s="230"/>
      <c r="M5" s="57"/>
      <c r="N5" s="68"/>
      <c r="O5" s="68"/>
      <c r="P5" s="69"/>
      <c r="Q5" s="245"/>
      <c r="R5" s="68"/>
      <c r="S5" s="68"/>
      <c r="T5" s="68"/>
      <c r="U5" s="69"/>
    </row>
    <row r="6" spans="1:21" x14ac:dyDescent="0.25">
      <c r="A6" s="75">
        <f>A5+1</f>
        <v>2</v>
      </c>
      <c r="B6" s="71">
        <v>46149</v>
      </c>
      <c r="C6" s="73">
        <v>40001542</v>
      </c>
      <c r="D6" s="73">
        <v>50391234</v>
      </c>
      <c r="E6" s="74">
        <v>58.95</v>
      </c>
      <c r="F6" s="31">
        <v>1086.1400000000001</v>
      </c>
      <c r="G6" s="228">
        <f>E6*F6</f>
        <v>64027.953000000009</v>
      </c>
      <c r="H6" s="36">
        <v>82601.11</v>
      </c>
      <c r="I6" s="35">
        <f t="shared" ref="I6:I24" si="0">E6*H6</f>
        <v>4869335.4345000004</v>
      </c>
      <c r="J6" s="114" t="s">
        <v>22</v>
      </c>
      <c r="K6" s="422" t="s">
        <v>23</v>
      </c>
      <c r="L6" s="231"/>
      <c r="M6" s="70"/>
      <c r="N6" s="75"/>
      <c r="O6" s="75"/>
      <c r="P6" s="79"/>
      <c r="Q6" s="247"/>
      <c r="R6" s="75"/>
      <c r="S6" s="75"/>
      <c r="T6" s="75"/>
      <c r="U6" s="79"/>
    </row>
    <row r="7" spans="1:21" x14ac:dyDescent="0.25">
      <c r="A7" s="75">
        <f t="shared" ref="A7:A24" si="1">A6+1</f>
        <v>3</v>
      </c>
      <c r="B7" s="71">
        <v>46149</v>
      </c>
      <c r="C7" s="73">
        <v>40001542</v>
      </c>
      <c r="D7" s="73">
        <v>50768233</v>
      </c>
      <c r="E7" s="74">
        <v>50.15</v>
      </c>
      <c r="F7" s="31">
        <v>1086.1400000000001</v>
      </c>
      <c r="G7" s="228">
        <f t="shared" ref="G7:G24" si="2">E7*F7</f>
        <v>54469.921000000002</v>
      </c>
      <c r="H7" s="36">
        <v>82601.11</v>
      </c>
      <c r="I7" s="35">
        <f t="shared" si="0"/>
        <v>4142445.6664999998</v>
      </c>
      <c r="J7" s="114" t="s">
        <v>22</v>
      </c>
      <c r="K7" s="422" t="s">
        <v>23</v>
      </c>
      <c r="L7" s="231"/>
      <c r="M7" s="70"/>
      <c r="N7" s="75"/>
      <c r="O7" s="75"/>
      <c r="P7" s="79"/>
      <c r="Q7" s="247"/>
      <c r="R7" s="75"/>
      <c r="S7" s="75"/>
      <c r="T7" s="75"/>
      <c r="U7" s="79"/>
    </row>
    <row r="8" spans="1:21" x14ac:dyDescent="0.25">
      <c r="A8" s="75">
        <f t="shared" si="1"/>
        <v>4</v>
      </c>
      <c r="B8" s="71">
        <v>46149</v>
      </c>
      <c r="C8" s="73">
        <v>40001542</v>
      </c>
      <c r="D8" s="73">
        <v>50774322</v>
      </c>
      <c r="E8" s="74">
        <v>50.55</v>
      </c>
      <c r="F8" s="31">
        <v>1086.1400000000001</v>
      </c>
      <c r="G8" s="228">
        <f t="shared" si="2"/>
        <v>54904.377</v>
      </c>
      <c r="H8" s="36">
        <v>82601.11</v>
      </c>
      <c r="I8" s="35">
        <f t="shared" si="0"/>
        <v>4175486.1105</v>
      </c>
      <c r="J8" s="114" t="s">
        <v>22</v>
      </c>
      <c r="K8" s="422" t="s">
        <v>23</v>
      </c>
      <c r="L8" s="231"/>
      <c r="M8" s="70"/>
      <c r="N8" s="75"/>
      <c r="O8" s="75"/>
      <c r="P8" s="79"/>
      <c r="Q8" s="247"/>
      <c r="R8" s="75"/>
      <c r="S8" s="75"/>
      <c r="T8" s="75"/>
      <c r="U8" s="79"/>
    </row>
    <row r="9" spans="1:21" x14ac:dyDescent="0.25">
      <c r="A9" s="75">
        <f t="shared" si="1"/>
        <v>5</v>
      </c>
      <c r="B9" s="71">
        <v>46149</v>
      </c>
      <c r="C9" s="73">
        <v>40001542</v>
      </c>
      <c r="D9" s="73">
        <v>50778943</v>
      </c>
      <c r="E9" s="74">
        <v>50.45</v>
      </c>
      <c r="F9" s="31">
        <v>1086.1400000000001</v>
      </c>
      <c r="G9" s="228">
        <f t="shared" si="2"/>
        <v>54795.763000000006</v>
      </c>
      <c r="H9" s="36">
        <v>82601.11</v>
      </c>
      <c r="I9" s="35">
        <f t="shared" si="0"/>
        <v>4167225.9995000004</v>
      </c>
      <c r="J9" s="114" t="s">
        <v>22</v>
      </c>
      <c r="K9" s="422" t="s">
        <v>23</v>
      </c>
      <c r="L9" s="231"/>
      <c r="M9" s="70"/>
      <c r="N9" s="75"/>
      <c r="O9" s="75"/>
      <c r="P9" s="79"/>
      <c r="Q9" s="247"/>
      <c r="R9" s="75"/>
      <c r="S9" s="75"/>
      <c r="T9" s="75"/>
      <c r="U9" s="79"/>
    </row>
    <row r="10" spans="1:21" x14ac:dyDescent="0.25">
      <c r="A10" s="75">
        <f t="shared" si="1"/>
        <v>6</v>
      </c>
      <c r="B10" s="71">
        <v>46149</v>
      </c>
      <c r="C10" s="73">
        <v>40001542</v>
      </c>
      <c r="D10" s="73">
        <v>50786771</v>
      </c>
      <c r="E10" s="74">
        <v>50.15</v>
      </c>
      <c r="F10" s="31">
        <v>1086.1400000000001</v>
      </c>
      <c r="G10" s="228">
        <f t="shared" si="2"/>
        <v>54469.921000000002</v>
      </c>
      <c r="H10" s="36">
        <v>82601.11</v>
      </c>
      <c r="I10" s="35">
        <f t="shared" si="0"/>
        <v>4142445.6664999998</v>
      </c>
      <c r="J10" s="114" t="s">
        <v>22</v>
      </c>
      <c r="K10" s="422" t="s">
        <v>23</v>
      </c>
      <c r="L10" s="231"/>
      <c r="M10" s="70"/>
      <c r="N10" s="75"/>
      <c r="O10" s="75"/>
      <c r="P10" s="79"/>
      <c r="Q10" s="247"/>
      <c r="R10" s="75"/>
      <c r="S10" s="75"/>
      <c r="T10" s="75"/>
      <c r="U10" s="79"/>
    </row>
    <row r="11" spans="1:21" x14ac:dyDescent="0.25">
      <c r="A11" s="75">
        <f t="shared" si="1"/>
        <v>7</v>
      </c>
      <c r="B11" s="71">
        <v>46149</v>
      </c>
      <c r="C11" s="73">
        <v>40001542</v>
      </c>
      <c r="D11" s="73">
        <v>50960707</v>
      </c>
      <c r="E11" s="74">
        <v>59.1</v>
      </c>
      <c r="F11" s="31">
        <v>1086.1400000000001</v>
      </c>
      <c r="G11" s="228">
        <f t="shared" si="2"/>
        <v>64190.874000000011</v>
      </c>
      <c r="H11" s="36">
        <v>82601.11</v>
      </c>
      <c r="I11" s="35">
        <f t="shared" si="0"/>
        <v>4881725.6009999998</v>
      </c>
      <c r="J11" s="114" t="s">
        <v>22</v>
      </c>
      <c r="K11" s="422" t="s">
        <v>23</v>
      </c>
      <c r="L11" s="231"/>
      <c r="M11" s="70"/>
      <c r="N11" s="75"/>
      <c r="O11" s="75"/>
      <c r="P11" s="79"/>
      <c r="Q11" s="247"/>
      <c r="R11" s="75"/>
      <c r="S11" s="75"/>
      <c r="T11" s="75"/>
      <c r="U11" s="79"/>
    </row>
    <row r="12" spans="1:21" x14ac:dyDescent="0.25">
      <c r="A12" s="75">
        <f t="shared" si="1"/>
        <v>8</v>
      </c>
      <c r="B12" s="71">
        <v>46149</v>
      </c>
      <c r="C12" s="73">
        <v>40001542</v>
      </c>
      <c r="D12" s="73">
        <v>51217610</v>
      </c>
      <c r="E12" s="74">
        <v>50.8</v>
      </c>
      <c r="F12" s="31">
        <v>1086.1400000000001</v>
      </c>
      <c r="G12" s="228">
        <f t="shared" si="2"/>
        <v>55175.912000000004</v>
      </c>
      <c r="H12" s="36">
        <v>82601.11</v>
      </c>
      <c r="I12" s="35">
        <f t="shared" si="0"/>
        <v>4196136.3879999993</v>
      </c>
      <c r="J12" s="114" t="s">
        <v>22</v>
      </c>
      <c r="K12" s="422" t="s">
        <v>23</v>
      </c>
      <c r="L12" s="231"/>
      <c r="M12" s="70"/>
      <c r="N12" s="75"/>
      <c r="O12" s="75"/>
      <c r="P12" s="79"/>
      <c r="Q12" s="247"/>
      <c r="R12" s="75"/>
      <c r="S12" s="75"/>
      <c r="T12" s="75"/>
      <c r="U12" s="79"/>
    </row>
    <row r="13" spans="1:21" x14ac:dyDescent="0.25">
      <c r="A13" s="75">
        <f t="shared" si="1"/>
        <v>9</v>
      </c>
      <c r="B13" s="71">
        <v>46149</v>
      </c>
      <c r="C13" s="73">
        <v>40001542</v>
      </c>
      <c r="D13" s="73">
        <v>51231413</v>
      </c>
      <c r="E13" s="74">
        <v>50.75</v>
      </c>
      <c r="F13" s="31">
        <v>1086.1400000000001</v>
      </c>
      <c r="G13" s="228">
        <f t="shared" si="2"/>
        <v>55121.605000000003</v>
      </c>
      <c r="H13" s="36">
        <v>82601.11</v>
      </c>
      <c r="I13" s="35">
        <f t="shared" si="0"/>
        <v>4192006.3325</v>
      </c>
      <c r="J13" s="114" t="s">
        <v>22</v>
      </c>
      <c r="K13" s="422" t="s">
        <v>23</v>
      </c>
      <c r="L13" s="231"/>
      <c r="M13" s="70"/>
      <c r="N13" s="75"/>
      <c r="O13" s="75"/>
      <c r="P13" s="79"/>
      <c r="Q13" s="247"/>
      <c r="R13" s="75"/>
      <c r="S13" s="75"/>
      <c r="T13" s="75"/>
      <c r="U13" s="79"/>
    </row>
    <row r="14" spans="1:21" x14ac:dyDescent="0.25">
      <c r="A14" s="75">
        <f t="shared" si="1"/>
        <v>10</v>
      </c>
      <c r="B14" s="71">
        <v>46149</v>
      </c>
      <c r="C14" s="73">
        <v>40001542</v>
      </c>
      <c r="D14" s="73">
        <v>51289874</v>
      </c>
      <c r="E14" s="74">
        <v>50.2</v>
      </c>
      <c r="F14" s="31">
        <v>1086.1400000000001</v>
      </c>
      <c r="G14" s="228">
        <f t="shared" si="2"/>
        <v>54524.22800000001</v>
      </c>
      <c r="H14" s="36">
        <v>82601.11</v>
      </c>
      <c r="I14" s="35">
        <f t="shared" si="0"/>
        <v>4146575.7220000001</v>
      </c>
      <c r="J14" s="114" t="s">
        <v>22</v>
      </c>
      <c r="K14" s="422" t="s">
        <v>23</v>
      </c>
      <c r="L14" s="231"/>
      <c r="M14" s="70"/>
      <c r="N14" s="75"/>
      <c r="O14" s="75"/>
      <c r="P14" s="79"/>
      <c r="Q14" s="247"/>
      <c r="R14" s="75"/>
      <c r="S14" s="75"/>
      <c r="T14" s="75"/>
      <c r="U14" s="79"/>
    </row>
    <row r="15" spans="1:21" x14ac:dyDescent="0.25">
      <c r="A15" s="75">
        <f t="shared" si="1"/>
        <v>11</v>
      </c>
      <c r="B15" s="71">
        <v>46149</v>
      </c>
      <c r="C15" s="73">
        <v>40001542</v>
      </c>
      <c r="D15" s="73">
        <v>51487775</v>
      </c>
      <c r="E15" s="74">
        <v>58.85</v>
      </c>
      <c r="F15" s="31">
        <v>1086.1400000000001</v>
      </c>
      <c r="G15" s="228">
        <f t="shared" si="2"/>
        <v>63919.339000000007</v>
      </c>
      <c r="H15" s="36">
        <v>82601.11</v>
      </c>
      <c r="I15" s="35">
        <f t="shared" si="0"/>
        <v>4861075.3234999999</v>
      </c>
      <c r="J15" s="114" t="s">
        <v>22</v>
      </c>
      <c r="K15" s="422" t="s">
        <v>23</v>
      </c>
      <c r="L15" s="231"/>
      <c r="M15" s="70"/>
      <c r="N15" s="75"/>
      <c r="O15" s="75"/>
      <c r="P15" s="79"/>
      <c r="Q15" s="247"/>
      <c r="R15" s="75"/>
      <c r="S15" s="75"/>
      <c r="T15" s="75"/>
      <c r="U15" s="79"/>
    </row>
    <row r="16" spans="1:21" x14ac:dyDescent="0.25">
      <c r="A16" s="75">
        <f t="shared" si="1"/>
        <v>12</v>
      </c>
      <c r="B16" s="71">
        <v>46149</v>
      </c>
      <c r="C16" s="73">
        <v>40001542</v>
      </c>
      <c r="D16" s="73">
        <v>51630762</v>
      </c>
      <c r="E16" s="74">
        <v>49.85</v>
      </c>
      <c r="F16" s="31">
        <v>1086.1400000000001</v>
      </c>
      <c r="G16" s="228">
        <f t="shared" si="2"/>
        <v>54144.079000000005</v>
      </c>
      <c r="H16" s="36">
        <v>82601.11</v>
      </c>
      <c r="I16" s="35">
        <f t="shared" si="0"/>
        <v>4117665.3335000002</v>
      </c>
      <c r="J16" s="114" t="s">
        <v>22</v>
      </c>
      <c r="K16" s="422" t="s">
        <v>23</v>
      </c>
      <c r="L16" s="231"/>
      <c r="M16" s="70"/>
      <c r="N16" s="75"/>
      <c r="O16" s="75"/>
      <c r="P16" s="79"/>
      <c r="Q16" s="247"/>
      <c r="R16" s="75"/>
      <c r="S16" s="75"/>
      <c r="T16" s="75"/>
      <c r="U16" s="79"/>
    </row>
    <row r="17" spans="1:21" x14ac:dyDescent="0.25">
      <c r="A17" s="75">
        <f t="shared" si="1"/>
        <v>13</v>
      </c>
      <c r="B17" s="71">
        <v>46149</v>
      </c>
      <c r="C17" s="73">
        <v>40001542</v>
      </c>
      <c r="D17" s="73">
        <v>51812808</v>
      </c>
      <c r="E17" s="74">
        <v>59.05</v>
      </c>
      <c r="F17" s="31">
        <v>1086.1400000000001</v>
      </c>
      <c r="G17" s="228">
        <f t="shared" si="2"/>
        <v>64136.567000000003</v>
      </c>
      <c r="H17" s="36">
        <v>82601.11</v>
      </c>
      <c r="I17" s="35">
        <f t="shared" si="0"/>
        <v>4877595.5455</v>
      </c>
      <c r="J17" s="114" t="s">
        <v>22</v>
      </c>
      <c r="K17" s="422" t="s">
        <v>23</v>
      </c>
      <c r="L17" s="231"/>
      <c r="M17" s="70"/>
      <c r="N17" s="75"/>
      <c r="O17" s="75"/>
      <c r="P17" s="79"/>
      <c r="Q17" s="247"/>
      <c r="R17" s="75"/>
      <c r="S17" s="75"/>
      <c r="T17" s="75"/>
      <c r="U17" s="79"/>
    </row>
    <row r="18" spans="1:21" x14ac:dyDescent="0.25">
      <c r="A18" s="75">
        <f t="shared" si="1"/>
        <v>14</v>
      </c>
      <c r="B18" s="71">
        <v>46149</v>
      </c>
      <c r="C18" s="73">
        <v>40001542</v>
      </c>
      <c r="D18" s="73">
        <v>51813038</v>
      </c>
      <c r="E18" s="74">
        <v>59.15</v>
      </c>
      <c r="F18" s="31">
        <v>1086.1400000000001</v>
      </c>
      <c r="G18" s="228">
        <f t="shared" si="2"/>
        <v>64245.181000000004</v>
      </c>
      <c r="H18" s="36">
        <v>82601.11</v>
      </c>
      <c r="I18" s="35">
        <f t="shared" si="0"/>
        <v>4885855.6564999996</v>
      </c>
      <c r="J18" s="114" t="s">
        <v>22</v>
      </c>
      <c r="K18" s="422" t="s">
        <v>23</v>
      </c>
      <c r="L18" s="231"/>
      <c r="M18" s="70"/>
      <c r="N18" s="75"/>
      <c r="O18" s="75"/>
      <c r="P18" s="79"/>
      <c r="Q18" s="247"/>
      <c r="R18" s="75"/>
      <c r="S18" s="75"/>
      <c r="T18" s="75"/>
      <c r="U18" s="79"/>
    </row>
    <row r="19" spans="1:21" x14ac:dyDescent="0.25">
      <c r="A19" s="75">
        <f t="shared" si="1"/>
        <v>15</v>
      </c>
      <c r="B19" s="71">
        <v>46149</v>
      </c>
      <c r="C19" s="73">
        <v>40001542</v>
      </c>
      <c r="D19" s="73">
        <v>53887576</v>
      </c>
      <c r="E19" s="74">
        <v>59.15</v>
      </c>
      <c r="F19" s="31">
        <v>1086.1400000000001</v>
      </c>
      <c r="G19" s="228">
        <f t="shared" si="2"/>
        <v>64245.181000000004</v>
      </c>
      <c r="H19" s="36">
        <v>82601.11</v>
      </c>
      <c r="I19" s="35">
        <f t="shared" si="0"/>
        <v>4885855.6564999996</v>
      </c>
      <c r="J19" s="114" t="s">
        <v>22</v>
      </c>
      <c r="K19" s="422" t="s">
        <v>23</v>
      </c>
      <c r="L19" s="231"/>
      <c r="M19" s="70"/>
      <c r="N19" s="75"/>
      <c r="O19" s="75"/>
      <c r="P19" s="79"/>
      <c r="Q19" s="247"/>
      <c r="R19" s="75"/>
      <c r="S19" s="75"/>
      <c r="T19" s="75"/>
      <c r="U19" s="79"/>
    </row>
    <row r="20" spans="1:21" x14ac:dyDescent="0.25">
      <c r="A20" s="75">
        <f t="shared" si="1"/>
        <v>16</v>
      </c>
      <c r="B20" s="71">
        <v>46149</v>
      </c>
      <c r="C20" s="73">
        <v>40001542</v>
      </c>
      <c r="D20" s="73">
        <v>53945978</v>
      </c>
      <c r="E20" s="74">
        <v>49.8</v>
      </c>
      <c r="F20" s="31">
        <v>1086.1400000000001</v>
      </c>
      <c r="G20" s="228">
        <f t="shared" si="2"/>
        <v>54089.772000000004</v>
      </c>
      <c r="H20" s="36">
        <v>82601.11</v>
      </c>
      <c r="I20" s="35">
        <f t="shared" si="0"/>
        <v>4113535.2779999999</v>
      </c>
      <c r="J20" s="114" t="s">
        <v>22</v>
      </c>
      <c r="K20" s="422" t="s">
        <v>23</v>
      </c>
      <c r="L20" s="231"/>
      <c r="M20" s="70"/>
      <c r="N20" s="75"/>
      <c r="O20" s="75"/>
      <c r="P20" s="79"/>
      <c r="Q20" s="247"/>
      <c r="R20" s="75"/>
      <c r="S20" s="75"/>
      <c r="T20" s="75"/>
      <c r="U20" s="79"/>
    </row>
    <row r="21" spans="1:21" x14ac:dyDescent="0.25">
      <c r="A21" s="75">
        <f t="shared" si="1"/>
        <v>17</v>
      </c>
      <c r="B21" s="71">
        <v>46149</v>
      </c>
      <c r="C21" s="73">
        <v>40001542</v>
      </c>
      <c r="D21" s="73">
        <v>54258231</v>
      </c>
      <c r="E21" s="74">
        <v>58.8</v>
      </c>
      <c r="F21" s="31">
        <v>1086.1400000000001</v>
      </c>
      <c r="G21" s="228">
        <f t="shared" si="2"/>
        <v>63865.031999999999</v>
      </c>
      <c r="H21" s="36">
        <v>82601.11</v>
      </c>
      <c r="I21" s="35">
        <f t="shared" si="0"/>
        <v>4856945.2680000002</v>
      </c>
      <c r="J21" s="114" t="s">
        <v>22</v>
      </c>
      <c r="K21" s="422" t="s">
        <v>23</v>
      </c>
      <c r="L21" s="231"/>
      <c r="M21" s="70"/>
      <c r="N21" s="75"/>
      <c r="O21" s="75"/>
      <c r="P21" s="79"/>
      <c r="Q21" s="247"/>
      <c r="R21" s="75"/>
      <c r="S21" s="75"/>
      <c r="T21" s="75"/>
      <c r="U21" s="79"/>
    </row>
    <row r="22" spans="1:21" x14ac:dyDescent="0.25">
      <c r="A22" s="75">
        <f t="shared" si="1"/>
        <v>18</v>
      </c>
      <c r="B22" s="71">
        <v>46149</v>
      </c>
      <c r="C22" s="73">
        <v>40001542</v>
      </c>
      <c r="D22" s="73">
        <v>54677646</v>
      </c>
      <c r="E22" s="74">
        <v>58.9</v>
      </c>
      <c r="F22" s="31">
        <v>1086.1400000000001</v>
      </c>
      <c r="G22" s="228">
        <f t="shared" si="2"/>
        <v>63973.646000000008</v>
      </c>
      <c r="H22" s="36">
        <v>82601.11</v>
      </c>
      <c r="I22" s="35">
        <f t="shared" si="0"/>
        <v>4865205.3789999997</v>
      </c>
      <c r="J22" s="114" t="s">
        <v>22</v>
      </c>
      <c r="K22" s="422" t="s">
        <v>23</v>
      </c>
      <c r="L22" s="231"/>
      <c r="M22" s="70"/>
      <c r="N22" s="75"/>
      <c r="O22" s="75"/>
      <c r="P22" s="79"/>
      <c r="Q22" s="247"/>
      <c r="R22" s="75"/>
      <c r="S22" s="75"/>
      <c r="T22" s="75"/>
      <c r="U22" s="79"/>
    </row>
    <row r="23" spans="1:21" x14ac:dyDescent="0.25">
      <c r="A23" s="75">
        <f t="shared" si="1"/>
        <v>19</v>
      </c>
      <c r="B23" s="71">
        <v>46149</v>
      </c>
      <c r="C23" s="73">
        <v>40001542</v>
      </c>
      <c r="D23" s="73">
        <v>57214421</v>
      </c>
      <c r="E23" s="74">
        <v>59.05</v>
      </c>
      <c r="F23" s="31">
        <v>1086.1400000000001</v>
      </c>
      <c r="G23" s="228">
        <f t="shared" si="2"/>
        <v>64136.567000000003</v>
      </c>
      <c r="H23" s="36">
        <v>82601.11</v>
      </c>
      <c r="I23" s="35">
        <f t="shared" si="0"/>
        <v>4877595.5455</v>
      </c>
      <c r="J23" s="114" t="s">
        <v>22</v>
      </c>
      <c r="K23" s="422" t="s">
        <v>23</v>
      </c>
      <c r="L23" s="231"/>
      <c r="M23" s="70"/>
      <c r="N23" s="75"/>
      <c r="O23" s="75"/>
      <c r="P23" s="79"/>
      <c r="Q23" s="247"/>
      <c r="R23" s="75"/>
      <c r="S23" s="75"/>
      <c r="T23" s="75"/>
      <c r="U23" s="79"/>
    </row>
    <row r="24" spans="1:21" ht="15.75" thickBot="1" x14ac:dyDescent="0.3">
      <c r="A24" s="75">
        <f t="shared" si="1"/>
        <v>20</v>
      </c>
      <c r="B24" s="71">
        <v>46149</v>
      </c>
      <c r="C24" s="103">
        <v>40001542</v>
      </c>
      <c r="D24" s="103">
        <v>73131427</v>
      </c>
      <c r="E24" s="104">
        <v>59.35</v>
      </c>
      <c r="F24" s="31">
        <v>1086.1400000000001</v>
      </c>
      <c r="G24" s="228">
        <f t="shared" si="2"/>
        <v>64462.409000000007</v>
      </c>
      <c r="H24" s="38">
        <v>82601.11</v>
      </c>
      <c r="I24" s="35">
        <f t="shared" si="0"/>
        <v>4902375.8785000006</v>
      </c>
      <c r="J24" s="114" t="s">
        <v>22</v>
      </c>
      <c r="K24" s="422" t="s">
        <v>23</v>
      </c>
      <c r="L24" s="232"/>
      <c r="M24" s="80"/>
      <c r="N24" s="88"/>
      <c r="O24" s="88"/>
      <c r="P24" s="89"/>
      <c r="Q24" s="250"/>
      <c r="R24" s="88"/>
      <c r="S24" s="88"/>
      <c r="T24" s="88"/>
      <c r="U24" s="89"/>
    </row>
    <row r="25" spans="1:21" ht="15.75" thickBot="1" x14ac:dyDescent="0.3">
      <c r="A25" s="233"/>
      <c r="B25" s="234"/>
      <c r="C25" s="234"/>
      <c r="D25" s="234"/>
      <c r="E25" s="235">
        <f>SUM(E5:E24)</f>
        <v>1094.4499999999998</v>
      </c>
      <c r="F25" s="624"/>
      <c r="G25" s="237">
        <f>SUM(G5:G24)</f>
        <v>1188726.1664736844</v>
      </c>
      <c r="H25" s="624"/>
      <c r="I25" s="238">
        <f>SUM(I5:I24)</f>
        <v>90402784.839499995</v>
      </c>
      <c r="J25" s="234"/>
      <c r="K25" s="239"/>
      <c r="L25" s="240"/>
      <c r="M25" s="241"/>
      <c r="N25" s="242"/>
      <c r="O25" s="242"/>
      <c r="P25" s="243"/>
      <c r="Q25" s="625"/>
      <c r="R25" s="242"/>
      <c r="S25" s="242"/>
      <c r="T25" s="242"/>
      <c r="U25" s="243"/>
    </row>
    <row r="26" spans="1:21" x14ac:dyDescent="0.25">
      <c r="A26" s="207">
        <v>21</v>
      </c>
      <c r="B26" s="71">
        <v>46150</v>
      </c>
      <c r="C26" s="140">
        <v>40001614</v>
      </c>
      <c r="D26" s="140">
        <v>73765687</v>
      </c>
      <c r="E26" s="142">
        <v>59.35</v>
      </c>
      <c r="F26" s="31">
        <v>1086.1400000000001</v>
      </c>
      <c r="G26" s="228">
        <f t="shared" ref="G26:G38" si="3">E26*F26</f>
        <v>64462.409000000007</v>
      </c>
      <c r="H26" s="34">
        <v>82601.11</v>
      </c>
      <c r="I26" s="35">
        <f t="shared" ref="I26:I38" si="4">E26*H26</f>
        <v>4902375.8785000006</v>
      </c>
      <c r="J26" s="212" t="s">
        <v>22</v>
      </c>
      <c r="K26" s="554" t="s">
        <v>23</v>
      </c>
      <c r="L26" s="230"/>
      <c r="M26" s="57"/>
      <c r="N26" s="68"/>
      <c r="O26" s="68"/>
      <c r="P26" s="69"/>
      <c r="Q26" s="57"/>
      <c r="R26" s="68"/>
      <c r="S26" s="68"/>
      <c r="T26" s="68"/>
      <c r="U26" s="69"/>
    </row>
    <row r="27" spans="1:21" x14ac:dyDescent="0.25">
      <c r="A27" s="70">
        <f>A26+1</f>
        <v>22</v>
      </c>
      <c r="B27" s="98">
        <v>46150</v>
      </c>
      <c r="C27" s="75">
        <v>40001614</v>
      </c>
      <c r="D27" s="75">
        <v>50411693</v>
      </c>
      <c r="E27" s="145">
        <v>59.4</v>
      </c>
      <c r="F27" s="31">
        <v>1086.1400000000001</v>
      </c>
      <c r="G27" s="228">
        <f t="shared" si="3"/>
        <v>64516.716000000008</v>
      </c>
      <c r="H27" s="36">
        <v>82601.11</v>
      </c>
      <c r="I27" s="35">
        <f t="shared" si="4"/>
        <v>4906505.9340000004</v>
      </c>
      <c r="J27" s="114" t="s">
        <v>22</v>
      </c>
      <c r="K27" s="502" t="s">
        <v>23</v>
      </c>
      <c r="L27" s="231"/>
      <c r="M27" s="70"/>
      <c r="N27" s="75"/>
      <c r="O27" s="75"/>
      <c r="P27" s="79"/>
      <c r="Q27" s="70"/>
      <c r="R27" s="75"/>
      <c r="S27" s="75"/>
      <c r="T27" s="75"/>
      <c r="U27" s="79"/>
    </row>
    <row r="28" spans="1:21" x14ac:dyDescent="0.25">
      <c r="A28" s="70">
        <f t="shared" ref="A28:A38" si="5">A27+1</f>
        <v>23</v>
      </c>
      <c r="B28" s="98">
        <v>46150</v>
      </c>
      <c r="C28" s="75">
        <v>40001614</v>
      </c>
      <c r="D28" s="75">
        <v>75852699</v>
      </c>
      <c r="E28" s="145">
        <v>59.95</v>
      </c>
      <c r="F28" s="31">
        <v>1086.1400000000001</v>
      </c>
      <c r="G28" s="228">
        <f t="shared" si="3"/>
        <v>65114.093000000008</v>
      </c>
      <c r="H28" s="36">
        <v>82601.11</v>
      </c>
      <c r="I28" s="35">
        <f t="shared" si="4"/>
        <v>4951936.5444999998</v>
      </c>
      <c r="J28" s="114" t="s">
        <v>22</v>
      </c>
      <c r="K28" s="502" t="s">
        <v>23</v>
      </c>
      <c r="L28" s="231"/>
      <c r="M28" s="70"/>
      <c r="N28" s="75"/>
      <c r="O28" s="75"/>
      <c r="P28" s="79"/>
      <c r="Q28" s="70"/>
      <c r="R28" s="75"/>
      <c r="S28" s="75"/>
      <c r="T28" s="75"/>
      <c r="U28" s="79"/>
    </row>
    <row r="29" spans="1:21" x14ac:dyDescent="0.25">
      <c r="A29" s="70">
        <f t="shared" si="5"/>
        <v>24</v>
      </c>
      <c r="B29" s="98">
        <v>46150</v>
      </c>
      <c r="C29" s="75">
        <v>40001614</v>
      </c>
      <c r="D29" s="75">
        <v>75008144</v>
      </c>
      <c r="E29" s="145">
        <v>59.25</v>
      </c>
      <c r="F29" s="31">
        <v>1086.1400000000001</v>
      </c>
      <c r="G29" s="228">
        <f t="shared" si="3"/>
        <v>64353.795000000006</v>
      </c>
      <c r="H29" s="36">
        <v>82601.11</v>
      </c>
      <c r="I29" s="35">
        <f t="shared" si="4"/>
        <v>4894115.7675000001</v>
      </c>
      <c r="J29" s="114" t="s">
        <v>22</v>
      </c>
      <c r="K29" s="502" t="s">
        <v>23</v>
      </c>
      <c r="L29" s="231"/>
      <c r="M29" s="70"/>
      <c r="N29" s="75"/>
      <c r="O29" s="75"/>
      <c r="P29" s="79"/>
      <c r="Q29" s="70"/>
      <c r="R29" s="75"/>
      <c r="S29" s="75"/>
      <c r="T29" s="75"/>
      <c r="U29" s="79"/>
    </row>
    <row r="30" spans="1:21" x14ac:dyDescent="0.25">
      <c r="A30" s="70">
        <f t="shared" si="5"/>
        <v>25</v>
      </c>
      <c r="B30" s="98">
        <v>46150</v>
      </c>
      <c r="C30" s="75">
        <v>40001614</v>
      </c>
      <c r="D30" s="75">
        <v>75207852</v>
      </c>
      <c r="E30" s="145">
        <v>60.1</v>
      </c>
      <c r="F30" s="31">
        <v>1086.1400000000001</v>
      </c>
      <c r="G30" s="228">
        <f t="shared" si="3"/>
        <v>65277.01400000001</v>
      </c>
      <c r="H30" s="36">
        <v>82601.11</v>
      </c>
      <c r="I30" s="35">
        <f t="shared" si="4"/>
        <v>4964326.7110000001</v>
      </c>
      <c r="J30" s="114" t="s">
        <v>22</v>
      </c>
      <c r="K30" s="502" t="s">
        <v>23</v>
      </c>
      <c r="L30" s="231"/>
      <c r="M30" s="70"/>
      <c r="N30" s="75"/>
      <c r="O30" s="75"/>
      <c r="P30" s="79"/>
      <c r="Q30" s="70"/>
      <c r="R30" s="75"/>
      <c r="S30" s="75"/>
      <c r="T30" s="75"/>
      <c r="U30" s="79"/>
    </row>
    <row r="31" spans="1:21" x14ac:dyDescent="0.25">
      <c r="A31" s="70">
        <f t="shared" si="5"/>
        <v>26</v>
      </c>
      <c r="B31" s="98">
        <v>46150</v>
      </c>
      <c r="C31" s="75">
        <v>40001614</v>
      </c>
      <c r="D31" s="75">
        <v>76307594</v>
      </c>
      <c r="E31" s="145">
        <v>59.9</v>
      </c>
      <c r="F31" s="31">
        <v>1086.1400000000001</v>
      </c>
      <c r="G31" s="228">
        <f t="shared" si="3"/>
        <v>65059.786000000007</v>
      </c>
      <c r="H31" s="36">
        <v>82601.11</v>
      </c>
      <c r="I31" s="35">
        <f t="shared" si="4"/>
        <v>4947806.4890000001</v>
      </c>
      <c r="J31" s="114" t="s">
        <v>22</v>
      </c>
      <c r="K31" s="502" t="s">
        <v>23</v>
      </c>
      <c r="L31" s="231"/>
      <c r="M31" s="70"/>
      <c r="N31" s="75"/>
      <c r="O31" s="75"/>
      <c r="P31" s="79"/>
      <c r="Q31" s="70"/>
      <c r="R31" s="75"/>
      <c r="S31" s="75"/>
      <c r="T31" s="75"/>
      <c r="U31" s="79"/>
    </row>
    <row r="32" spans="1:21" x14ac:dyDescent="0.25">
      <c r="A32" s="70">
        <f t="shared" si="5"/>
        <v>27</v>
      </c>
      <c r="B32" s="98">
        <v>46150</v>
      </c>
      <c r="C32" s="75">
        <v>40001614</v>
      </c>
      <c r="D32" s="75">
        <v>50438233</v>
      </c>
      <c r="E32" s="145">
        <v>59.45</v>
      </c>
      <c r="F32" s="31">
        <v>1086.1400000000001</v>
      </c>
      <c r="G32" s="228">
        <f t="shared" si="3"/>
        <v>64571.023000000008</v>
      </c>
      <c r="H32" s="36">
        <v>82601.11</v>
      </c>
      <c r="I32" s="35">
        <f t="shared" si="4"/>
        <v>4910635.9895000001</v>
      </c>
      <c r="J32" s="114" t="s">
        <v>22</v>
      </c>
      <c r="K32" s="502" t="s">
        <v>23</v>
      </c>
      <c r="L32" s="231"/>
      <c r="M32" s="70"/>
      <c r="N32" s="75"/>
      <c r="O32" s="75"/>
      <c r="P32" s="79"/>
      <c r="Q32" s="70"/>
      <c r="R32" s="75"/>
      <c r="S32" s="75"/>
      <c r="T32" s="75"/>
      <c r="U32" s="79"/>
    </row>
    <row r="33" spans="1:21" x14ac:dyDescent="0.25">
      <c r="A33" s="70">
        <f t="shared" si="5"/>
        <v>28</v>
      </c>
      <c r="B33" s="98">
        <v>46150</v>
      </c>
      <c r="C33" s="75">
        <v>40001614</v>
      </c>
      <c r="D33" s="75">
        <v>51551216</v>
      </c>
      <c r="E33" s="145">
        <v>49.8</v>
      </c>
      <c r="F33" s="31">
        <v>1086.1400000000001</v>
      </c>
      <c r="G33" s="228">
        <f t="shared" si="3"/>
        <v>54089.772000000004</v>
      </c>
      <c r="H33" s="36">
        <v>82601.11</v>
      </c>
      <c r="I33" s="35">
        <f t="shared" si="4"/>
        <v>4113535.2779999999</v>
      </c>
      <c r="J33" s="114" t="s">
        <v>22</v>
      </c>
      <c r="K33" s="502" t="s">
        <v>23</v>
      </c>
      <c r="L33" s="231"/>
      <c r="M33" s="70"/>
      <c r="N33" s="75"/>
      <c r="O33" s="75"/>
      <c r="P33" s="79"/>
      <c r="Q33" s="70"/>
      <c r="R33" s="75"/>
      <c r="S33" s="75"/>
      <c r="T33" s="75"/>
      <c r="U33" s="79"/>
    </row>
    <row r="34" spans="1:21" x14ac:dyDescent="0.25">
      <c r="A34" s="70">
        <f t="shared" si="5"/>
        <v>29</v>
      </c>
      <c r="B34" s="98">
        <v>46150</v>
      </c>
      <c r="C34" s="75">
        <v>40001614</v>
      </c>
      <c r="D34" s="75">
        <v>57201899</v>
      </c>
      <c r="E34" s="145">
        <v>59.35</v>
      </c>
      <c r="F34" s="31">
        <v>1086.1400000000001</v>
      </c>
      <c r="G34" s="228">
        <f t="shared" si="3"/>
        <v>64462.409000000007</v>
      </c>
      <c r="H34" s="36">
        <v>82601.11</v>
      </c>
      <c r="I34" s="35">
        <f t="shared" si="4"/>
        <v>4902375.8785000006</v>
      </c>
      <c r="J34" s="114" t="s">
        <v>22</v>
      </c>
      <c r="K34" s="502" t="s">
        <v>23</v>
      </c>
      <c r="L34" s="231"/>
      <c r="M34" s="70"/>
      <c r="N34" s="75"/>
      <c r="O34" s="75"/>
      <c r="P34" s="79"/>
      <c r="Q34" s="70"/>
      <c r="R34" s="75"/>
      <c r="S34" s="75"/>
      <c r="T34" s="75"/>
      <c r="U34" s="79"/>
    </row>
    <row r="35" spans="1:21" x14ac:dyDescent="0.25">
      <c r="A35" s="70">
        <f t="shared" si="5"/>
        <v>30</v>
      </c>
      <c r="B35" s="98">
        <v>46150</v>
      </c>
      <c r="C35" s="75">
        <v>40001614</v>
      </c>
      <c r="D35" s="75">
        <v>57028649</v>
      </c>
      <c r="E35" s="145">
        <v>58.85</v>
      </c>
      <c r="F35" s="31">
        <v>1086.1400000000001</v>
      </c>
      <c r="G35" s="228">
        <f t="shared" si="3"/>
        <v>63919.339000000007</v>
      </c>
      <c r="H35" s="36">
        <v>82601.11</v>
      </c>
      <c r="I35" s="35">
        <f t="shared" si="4"/>
        <v>4861075.3234999999</v>
      </c>
      <c r="J35" s="114" t="s">
        <v>22</v>
      </c>
      <c r="K35" s="502" t="s">
        <v>23</v>
      </c>
      <c r="L35" s="231"/>
      <c r="M35" s="70"/>
      <c r="N35" s="75"/>
      <c r="O35" s="75"/>
      <c r="P35" s="79"/>
      <c r="Q35" s="70"/>
      <c r="R35" s="75"/>
      <c r="S35" s="75"/>
      <c r="T35" s="75"/>
      <c r="U35" s="79"/>
    </row>
    <row r="36" spans="1:21" x14ac:dyDescent="0.25">
      <c r="A36" s="70">
        <f t="shared" si="5"/>
        <v>31</v>
      </c>
      <c r="B36" s="98">
        <v>46150</v>
      </c>
      <c r="C36" s="75">
        <v>40001614</v>
      </c>
      <c r="D36" s="75">
        <v>51228310</v>
      </c>
      <c r="E36" s="145">
        <v>59</v>
      </c>
      <c r="F36" s="31">
        <v>1086.1400000000001</v>
      </c>
      <c r="G36" s="228">
        <f t="shared" si="3"/>
        <v>64082.260000000009</v>
      </c>
      <c r="H36" s="36">
        <v>82601.11</v>
      </c>
      <c r="I36" s="35">
        <f t="shared" si="4"/>
        <v>4873465.49</v>
      </c>
      <c r="J36" s="114" t="s">
        <v>22</v>
      </c>
      <c r="K36" s="502" t="s">
        <v>23</v>
      </c>
      <c r="L36" s="231"/>
      <c r="M36" s="70"/>
      <c r="N36" s="75"/>
      <c r="O36" s="75"/>
      <c r="P36" s="79"/>
      <c r="Q36" s="70"/>
      <c r="R36" s="75"/>
      <c r="S36" s="75"/>
      <c r="T36" s="75"/>
      <c r="U36" s="79"/>
    </row>
    <row r="37" spans="1:21" x14ac:dyDescent="0.25">
      <c r="A37" s="70">
        <f t="shared" si="5"/>
        <v>32</v>
      </c>
      <c r="B37" s="98">
        <v>46150</v>
      </c>
      <c r="C37" s="75">
        <v>40001614</v>
      </c>
      <c r="D37" s="75">
        <v>55551824</v>
      </c>
      <c r="E37" s="145">
        <v>59.45</v>
      </c>
      <c r="F37" s="31">
        <v>1086.1400000000001</v>
      </c>
      <c r="G37" s="228">
        <f t="shared" si="3"/>
        <v>64571.023000000008</v>
      </c>
      <c r="H37" s="36">
        <v>82601.11</v>
      </c>
      <c r="I37" s="35">
        <f t="shared" si="4"/>
        <v>4910635.9895000001</v>
      </c>
      <c r="J37" s="114" t="s">
        <v>22</v>
      </c>
      <c r="K37" s="502" t="s">
        <v>23</v>
      </c>
      <c r="L37" s="231"/>
      <c r="M37" s="70"/>
      <c r="N37" s="75"/>
      <c r="O37" s="75"/>
      <c r="P37" s="79"/>
      <c r="Q37" s="70"/>
      <c r="R37" s="75"/>
      <c r="S37" s="75"/>
      <c r="T37" s="75"/>
      <c r="U37" s="79"/>
    </row>
    <row r="38" spans="1:21" ht="15.75" thickBot="1" x14ac:dyDescent="0.3">
      <c r="A38" s="101">
        <f t="shared" si="5"/>
        <v>33</v>
      </c>
      <c r="B38" s="135">
        <v>46150</v>
      </c>
      <c r="C38" s="105">
        <v>40001614</v>
      </c>
      <c r="D38" s="105">
        <v>75113159</v>
      </c>
      <c r="E38" s="148">
        <v>59.35</v>
      </c>
      <c r="F38" s="31">
        <v>1086.1400000000001</v>
      </c>
      <c r="G38" s="248">
        <f t="shared" si="3"/>
        <v>64462.409000000007</v>
      </c>
      <c r="H38" s="38">
        <v>82601.11</v>
      </c>
      <c r="I38" s="40">
        <f t="shared" si="4"/>
        <v>4902375.8785000006</v>
      </c>
      <c r="J38" s="137" t="s">
        <v>22</v>
      </c>
      <c r="K38" s="558" t="s">
        <v>23</v>
      </c>
      <c r="L38" s="258"/>
      <c r="M38" s="80"/>
      <c r="N38" s="88"/>
      <c r="O38" s="88"/>
      <c r="P38" s="89"/>
      <c r="Q38" s="80"/>
      <c r="R38" s="88"/>
      <c r="S38" s="88"/>
      <c r="T38" s="88"/>
      <c r="U38" s="89"/>
    </row>
    <row r="39" spans="1:21" ht="15.75" thickBot="1" x14ac:dyDescent="0.3">
      <c r="A39" s="233"/>
      <c r="B39" s="234"/>
      <c r="C39" s="234"/>
      <c r="D39" s="234"/>
      <c r="E39" s="235">
        <f>SUM(E26:E38)</f>
        <v>763.2</v>
      </c>
      <c r="F39" s="624"/>
      <c r="G39" s="237">
        <f>SUM(G26:G38)</f>
        <v>828942.04800000018</v>
      </c>
      <c r="H39" s="624"/>
      <c r="I39" s="238">
        <f>SUM(I26:I38)</f>
        <v>63041167.151999995</v>
      </c>
      <c r="J39" s="234"/>
      <c r="K39" s="239"/>
      <c r="L39" s="252"/>
      <c r="M39" s="253"/>
      <c r="N39" s="254"/>
      <c r="O39" s="254"/>
      <c r="P39" s="255"/>
      <c r="Q39" s="256"/>
      <c r="R39" s="254"/>
      <c r="S39" s="254"/>
      <c r="T39" s="254"/>
      <c r="U39" s="255"/>
    </row>
    <row r="40" spans="1:21" x14ac:dyDescent="0.25">
      <c r="A40" s="207">
        <v>34</v>
      </c>
      <c r="B40" s="140" t="s">
        <v>149</v>
      </c>
      <c r="C40" s="140">
        <v>40001709</v>
      </c>
      <c r="D40" s="140">
        <v>54095757</v>
      </c>
      <c r="E40" s="142">
        <v>58.8</v>
      </c>
      <c r="F40" s="31">
        <v>1086.1400000000001</v>
      </c>
      <c r="G40" s="228">
        <f t="shared" ref="G40:G57" si="6">E40*F40</f>
        <v>63865.031999999999</v>
      </c>
      <c r="H40" s="34">
        <v>82601.11</v>
      </c>
      <c r="I40" s="35">
        <f t="shared" ref="I40:I57" si="7">E40*H40</f>
        <v>4856945.2680000002</v>
      </c>
      <c r="J40" s="212" t="s">
        <v>22</v>
      </c>
      <c r="K40" s="554" t="s">
        <v>23</v>
      </c>
      <c r="L40" s="146"/>
      <c r="M40" s="57"/>
      <c r="N40" s="68"/>
      <c r="O40" s="68"/>
      <c r="P40" s="69"/>
      <c r="Q40" s="57"/>
      <c r="R40" s="68"/>
      <c r="S40" s="68"/>
      <c r="T40" s="68"/>
      <c r="U40" s="69"/>
    </row>
    <row r="41" spans="1:21" x14ac:dyDescent="0.25">
      <c r="A41" s="70">
        <f>A40+1</f>
        <v>35</v>
      </c>
      <c r="B41" s="75" t="s">
        <v>149</v>
      </c>
      <c r="C41" s="75">
        <v>40001709</v>
      </c>
      <c r="D41" s="75">
        <v>57431595</v>
      </c>
      <c r="E41" s="145">
        <v>58.8</v>
      </c>
      <c r="F41" s="31">
        <v>1086.1400000000001</v>
      </c>
      <c r="G41" s="228">
        <f t="shared" si="6"/>
        <v>63865.031999999999</v>
      </c>
      <c r="H41" s="36">
        <v>82601.11</v>
      </c>
      <c r="I41" s="35">
        <f t="shared" si="7"/>
        <v>4856945.2680000002</v>
      </c>
      <c r="J41" s="114" t="s">
        <v>22</v>
      </c>
      <c r="K41" s="502" t="s">
        <v>23</v>
      </c>
      <c r="L41" s="146"/>
      <c r="M41" s="70"/>
      <c r="N41" s="75"/>
      <c r="O41" s="75"/>
      <c r="P41" s="79"/>
      <c r="Q41" s="70"/>
      <c r="R41" s="75"/>
      <c r="S41" s="75"/>
      <c r="T41" s="75"/>
      <c r="U41" s="79"/>
    </row>
    <row r="42" spans="1:21" x14ac:dyDescent="0.25">
      <c r="A42" s="70">
        <f t="shared" ref="A42:A57" si="8">A41+1</f>
        <v>36</v>
      </c>
      <c r="B42" s="75" t="s">
        <v>149</v>
      </c>
      <c r="C42" s="75">
        <v>40001709</v>
      </c>
      <c r="D42" s="75">
        <v>51622850</v>
      </c>
      <c r="E42" s="145">
        <v>58.55</v>
      </c>
      <c r="F42" s="31">
        <v>1086.1400000000001</v>
      </c>
      <c r="G42" s="228">
        <f t="shared" si="6"/>
        <v>63593.497000000003</v>
      </c>
      <c r="H42" s="36">
        <v>82601.11</v>
      </c>
      <c r="I42" s="35">
        <f t="shared" si="7"/>
        <v>4836294.9904999994</v>
      </c>
      <c r="J42" s="114" t="s">
        <v>22</v>
      </c>
      <c r="K42" s="502" t="s">
        <v>23</v>
      </c>
      <c r="L42" s="146"/>
      <c r="M42" s="70"/>
      <c r="N42" s="75"/>
      <c r="O42" s="75"/>
      <c r="P42" s="79"/>
      <c r="Q42" s="70"/>
      <c r="R42" s="75"/>
      <c r="S42" s="75"/>
      <c r="T42" s="75"/>
      <c r="U42" s="79"/>
    </row>
    <row r="43" spans="1:21" x14ac:dyDescent="0.25">
      <c r="A43" s="70">
        <f t="shared" si="8"/>
        <v>37</v>
      </c>
      <c r="B43" s="75" t="s">
        <v>149</v>
      </c>
      <c r="C43" s="75">
        <v>40001709</v>
      </c>
      <c r="D43" s="75">
        <v>51622801</v>
      </c>
      <c r="E43" s="145">
        <v>58.6</v>
      </c>
      <c r="F43" s="31">
        <v>1086.1400000000001</v>
      </c>
      <c r="G43" s="228">
        <f t="shared" si="6"/>
        <v>63647.804000000011</v>
      </c>
      <c r="H43" s="36">
        <v>82601.11</v>
      </c>
      <c r="I43" s="35">
        <f t="shared" si="7"/>
        <v>4840425.0460000001</v>
      </c>
      <c r="J43" s="114" t="s">
        <v>22</v>
      </c>
      <c r="K43" s="502" t="s">
        <v>23</v>
      </c>
      <c r="L43" s="146"/>
      <c r="M43" s="70"/>
      <c r="N43" s="75"/>
      <c r="O43" s="75"/>
      <c r="P43" s="79"/>
      <c r="Q43" s="70"/>
      <c r="R43" s="75"/>
      <c r="S43" s="75"/>
      <c r="T43" s="75"/>
      <c r="U43" s="79"/>
    </row>
    <row r="44" spans="1:21" x14ac:dyDescent="0.25">
      <c r="A44" s="70">
        <f t="shared" si="8"/>
        <v>38</v>
      </c>
      <c r="B44" s="75" t="s">
        <v>149</v>
      </c>
      <c r="C44" s="75">
        <v>40001709</v>
      </c>
      <c r="D44" s="75">
        <v>73144529</v>
      </c>
      <c r="E44" s="145">
        <v>59.3</v>
      </c>
      <c r="F44" s="31">
        <v>1086.1400000000001</v>
      </c>
      <c r="G44" s="228">
        <f t="shared" si="6"/>
        <v>64408.102000000006</v>
      </c>
      <c r="H44" s="36">
        <v>82601.11</v>
      </c>
      <c r="I44" s="35">
        <f t="shared" si="7"/>
        <v>4898245.8229999999</v>
      </c>
      <c r="J44" s="114" t="s">
        <v>22</v>
      </c>
      <c r="K44" s="502" t="s">
        <v>23</v>
      </c>
      <c r="L44" s="146"/>
      <c r="M44" s="70"/>
      <c r="N44" s="75"/>
      <c r="O44" s="75"/>
      <c r="P44" s="79"/>
      <c r="Q44" s="70"/>
      <c r="R44" s="75"/>
      <c r="S44" s="75"/>
      <c r="T44" s="75"/>
      <c r="U44" s="79"/>
    </row>
    <row r="45" spans="1:21" x14ac:dyDescent="0.25">
      <c r="A45" s="70">
        <f t="shared" si="8"/>
        <v>39</v>
      </c>
      <c r="B45" s="75" t="s">
        <v>149</v>
      </c>
      <c r="C45" s="75">
        <v>40001709</v>
      </c>
      <c r="D45" s="75">
        <v>73228728</v>
      </c>
      <c r="E45" s="145">
        <v>59.3</v>
      </c>
      <c r="F45" s="31">
        <v>1086.1400000000001</v>
      </c>
      <c r="G45" s="228">
        <f t="shared" si="6"/>
        <v>64408.102000000006</v>
      </c>
      <c r="H45" s="36">
        <v>82601.11</v>
      </c>
      <c r="I45" s="35">
        <f t="shared" si="7"/>
        <v>4898245.8229999999</v>
      </c>
      <c r="J45" s="114" t="s">
        <v>22</v>
      </c>
      <c r="K45" s="502" t="s">
        <v>23</v>
      </c>
      <c r="L45" s="146"/>
      <c r="M45" s="70"/>
      <c r="N45" s="75"/>
      <c r="O45" s="75"/>
      <c r="P45" s="79"/>
      <c r="Q45" s="70"/>
      <c r="R45" s="75"/>
      <c r="S45" s="75"/>
      <c r="T45" s="75"/>
      <c r="U45" s="79"/>
    </row>
    <row r="46" spans="1:21" x14ac:dyDescent="0.25">
      <c r="A46" s="70">
        <f t="shared" si="8"/>
        <v>40</v>
      </c>
      <c r="B46" s="75" t="s">
        <v>149</v>
      </c>
      <c r="C46" s="75">
        <v>40001709</v>
      </c>
      <c r="D46" s="75">
        <v>73157679</v>
      </c>
      <c r="E46" s="145">
        <v>59.3</v>
      </c>
      <c r="F46" s="31">
        <v>1086.1400000000001</v>
      </c>
      <c r="G46" s="228">
        <f t="shared" si="6"/>
        <v>64408.102000000006</v>
      </c>
      <c r="H46" s="36">
        <v>82601.11</v>
      </c>
      <c r="I46" s="35">
        <f t="shared" si="7"/>
        <v>4898245.8229999999</v>
      </c>
      <c r="J46" s="114" t="s">
        <v>22</v>
      </c>
      <c r="K46" s="502" t="s">
        <v>23</v>
      </c>
      <c r="L46" s="146"/>
      <c r="M46" s="70"/>
      <c r="N46" s="75"/>
      <c r="O46" s="75"/>
      <c r="P46" s="79"/>
      <c r="Q46" s="70"/>
      <c r="R46" s="75"/>
      <c r="S46" s="75"/>
      <c r="T46" s="75"/>
      <c r="U46" s="79"/>
    </row>
    <row r="47" spans="1:21" x14ac:dyDescent="0.25">
      <c r="A47" s="70">
        <f t="shared" si="8"/>
        <v>41</v>
      </c>
      <c r="B47" s="75" t="s">
        <v>149</v>
      </c>
      <c r="C47" s="75">
        <v>40001709</v>
      </c>
      <c r="D47" s="75">
        <v>73038879</v>
      </c>
      <c r="E47" s="145">
        <v>59.3</v>
      </c>
      <c r="F47" s="31">
        <v>1086.1400000000001</v>
      </c>
      <c r="G47" s="228">
        <f t="shared" si="6"/>
        <v>64408.102000000006</v>
      </c>
      <c r="H47" s="36">
        <v>82601.11</v>
      </c>
      <c r="I47" s="35">
        <f t="shared" si="7"/>
        <v>4898245.8229999999</v>
      </c>
      <c r="J47" s="114" t="s">
        <v>22</v>
      </c>
      <c r="K47" s="502" t="s">
        <v>23</v>
      </c>
      <c r="L47" s="146"/>
      <c r="M47" s="70"/>
      <c r="N47" s="75"/>
      <c r="O47" s="75"/>
      <c r="P47" s="79"/>
      <c r="Q47" s="70"/>
      <c r="R47" s="75"/>
      <c r="S47" s="75"/>
      <c r="T47" s="75"/>
      <c r="U47" s="79"/>
    </row>
    <row r="48" spans="1:21" x14ac:dyDescent="0.25">
      <c r="A48" s="70">
        <f t="shared" si="8"/>
        <v>42</v>
      </c>
      <c r="B48" s="75" t="s">
        <v>149</v>
      </c>
      <c r="C48" s="75">
        <v>40001709</v>
      </c>
      <c r="D48" s="75">
        <v>73000309</v>
      </c>
      <c r="E48" s="145">
        <v>59.45</v>
      </c>
      <c r="F48" s="31">
        <v>1086.1400000000001</v>
      </c>
      <c r="G48" s="228">
        <f t="shared" si="6"/>
        <v>64571.023000000008</v>
      </c>
      <c r="H48" s="36">
        <v>82601.11</v>
      </c>
      <c r="I48" s="35">
        <f t="shared" si="7"/>
        <v>4910635.9895000001</v>
      </c>
      <c r="J48" s="114" t="s">
        <v>22</v>
      </c>
      <c r="K48" s="502" t="s">
        <v>23</v>
      </c>
      <c r="L48" s="146"/>
      <c r="M48" s="70"/>
      <c r="N48" s="75"/>
      <c r="O48" s="75"/>
      <c r="P48" s="79"/>
      <c r="Q48" s="70"/>
      <c r="R48" s="75"/>
      <c r="S48" s="75"/>
      <c r="T48" s="75"/>
      <c r="U48" s="79"/>
    </row>
    <row r="49" spans="1:21" x14ac:dyDescent="0.25">
      <c r="A49" s="70">
        <f t="shared" si="8"/>
        <v>43</v>
      </c>
      <c r="B49" s="75" t="s">
        <v>149</v>
      </c>
      <c r="C49" s="75">
        <v>40001709</v>
      </c>
      <c r="D49" s="75">
        <v>73237182</v>
      </c>
      <c r="E49" s="145">
        <v>59.25</v>
      </c>
      <c r="F49" s="31">
        <v>1086.1400000000001</v>
      </c>
      <c r="G49" s="228">
        <f t="shared" si="6"/>
        <v>64353.795000000006</v>
      </c>
      <c r="H49" s="36">
        <v>82601.11</v>
      </c>
      <c r="I49" s="35">
        <f t="shared" si="7"/>
        <v>4894115.7675000001</v>
      </c>
      <c r="J49" s="114" t="s">
        <v>22</v>
      </c>
      <c r="K49" s="502" t="s">
        <v>23</v>
      </c>
      <c r="L49" s="146"/>
      <c r="M49" s="70"/>
      <c r="N49" s="75"/>
      <c r="O49" s="75"/>
      <c r="P49" s="79"/>
      <c r="Q49" s="70"/>
      <c r="R49" s="75"/>
      <c r="S49" s="75"/>
      <c r="T49" s="75"/>
      <c r="U49" s="79"/>
    </row>
    <row r="50" spans="1:21" x14ac:dyDescent="0.25">
      <c r="A50" s="70">
        <f t="shared" si="8"/>
        <v>44</v>
      </c>
      <c r="B50" s="75" t="s">
        <v>149</v>
      </c>
      <c r="C50" s="75">
        <v>40001709</v>
      </c>
      <c r="D50" s="75">
        <v>57527426</v>
      </c>
      <c r="E50" s="145">
        <v>59.35</v>
      </c>
      <c r="F50" s="31">
        <v>1086.1400000000001</v>
      </c>
      <c r="G50" s="228">
        <f t="shared" si="6"/>
        <v>64462.409000000007</v>
      </c>
      <c r="H50" s="36">
        <v>82601.11</v>
      </c>
      <c r="I50" s="35">
        <f t="shared" si="7"/>
        <v>4902375.8785000006</v>
      </c>
      <c r="J50" s="114" t="s">
        <v>22</v>
      </c>
      <c r="K50" s="502" t="s">
        <v>23</v>
      </c>
      <c r="L50" s="146"/>
      <c r="M50" s="70"/>
      <c r="N50" s="75"/>
      <c r="O50" s="75"/>
      <c r="P50" s="79"/>
      <c r="Q50" s="70"/>
      <c r="R50" s="75"/>
      <c r="S50" s="75"/>
      <c r="T50" s="75"/>
      <c r="U50" s="79"/>
    </row>
    <row r="51" spans="1:21" x14ac:dyDescent="0.25">
      <c r="A51" s="70">
        <f t="shared" si="8"/>
        <v>45</v>
      </c>
      <c r="B51" s="75" t="s">
        <v>149</v>
      </c>
      <c r="C51" s="75">
        <v>40001709</v>
      </c>
      <c r="D51" s="75">
        <v>57016156</v>
      </c>
      <c r="E51" s="145">
        <v>58.9</v>
      </c>
      <c r="F51" s="31">
        <v>1086.1400000000001</v>
      </c>
      <c r="G51" s="228">
        <f t="shared" si="6"/>
        <v>63973.646000000008</v>
      </c>
      <c r="H51" s="36">
        <v>82601.11</v>
      </c>
      <c r="I51" s="35">
        <f t="shared" si="7"/>
        <v>4865205.3789999997</v>
      </c>
      <c r="J51" s="114" t="s">
        <v>22</v>
      </c>
      <c r="K51" s="502" t="s">
        <v>23</v>
      </c>
      <c r="L51" s="146"/>
      <c r="M51" s="70"/>
      <c r="N51" s="75"/>
      <c r="O51" s="75"/>
      <c r="P51" s="79"/>
      <c r="Q51" s="70"/>
      <c r="R51" s="75"/>
      <c r="S51" s="75"/>
      <c r="T51" s="75"/>
      <c r="U51" s="79"/>
    </row>
    <row r="52" spans="1:21" x14ac:dyDescent="0.25">
      <c r="A52" s="70">
        <f t="shared" si="8"/>
        <v>46</v>
      </c>
      <c r="B52" s="75" t="s">
        <v>149</v>
      </c>
      <c r="C52" s="75">
        <v>40001709</v>
      </c>
      <c r="D52" s="75">
        <v>73231037</v>
      </c>
      <c r="E52" s="145">
        <v>59.35</v>
      </c>
      <c r="F52" s="31">
        <v>1086.1400000000001</v>
      </c>
      <c r="G52" s="228">
        <f t="shared" si="6"/>
        <v>64462.409000000007</v>
      </c>
      <c r="H52" s="36">
        <v>82601.11</v>
      </c>
      <c r="I52" s="35">
        <f t="shared" si="7"/>
        <v>4902375.8785000006</v>
      </c>
      <c r="J52" s="114" t="s">
        <v>22</v>
      </c>
      <c r="K52" s="502" t="s">
        <v>23</v>
      </c>
      <c r="L52" s="146"/>
      <c r="M52" s="70"/>
      <c r="N52" s="75"/>
      <c r="O52" s="75"/>
      <c r="P52" s="79"/>
      <c r="Q52" s="70"/>
      <c r="R52" s="75"/>
      <c r="S52" s="75"/>
      <c r="T52" s="75"/>
      <c r="U52" s="79"/>
    </row>
    <row r="53" spans="1:21" x14ac:dyDescent="0.25">
      <c r="A53" s="70">
        <f t="shared" si="8"/>
        <v>47</v>
      </c>
      <c r="B53" s="75" t="s">
        <v>149</v>
      </c>
      <c r="C53" s="75">
        <v>40001709</v>
      </c>
      <c r="D53" s="75">
        <v>73159048</v>
      </c>
      <c r="E53" s="145">
        <v>59.35</v>
      </c>
      <c r="F53" s="31">
        <v>1086.1400000000001</v>
      </c>
      <c r="G53" s="228">
        <f t="shared" si="6"/>
        <v>64462.409000000007</v>
      </c>
      <c r="H53" s="36">
        <v>82601.11</v>
      </c>
      <c r="I53" s="35">
        <f t="shared" si="7"/>
        <v>4902375.8785000006</v>
      </c>
      <c r="J53" s="114" t="s">
        <v>22</v>
      </c>
      <c r="K53" s="502" t="s">
        <v>23</v>
      </c>
      <c r="L53" s="146"/>
      <c r="M53" s="70"/>
      <c r="N53" s="75"/>
      <c r="O53" s="75"/>
      <c r="P53" s="79"/>
      <c r="Q53" s="70"/>
      <c r="R53" s="75"/>
      <c r="S53" s="75"/>
      <c r="T53" s="75"/>
      <c r="U53" s="79"/>
    </row>
    <row r="54" spans="1:21" x14ac:dyDescent="0.25">
      <c r="A54" s="70">
        <f t="shared" si="8"/>
        <v>48</v>
      </c>
      <c r="B54" s="75" t="s">
        <v>149</v>
      </c>
      <c r="C54" s="75">
        <v>40001709</v>
      </c>
      <c r="D54" s="75">
        <v>75205484</v>
      </c>
      <c r="E54" s="145">
        <v>59.85</v>
      </c>
      <c r="F54" s="31">
        <v>1086.1400000000001</v>
      </c>
      <c r="G54" s="228">
        <f t="shared" si="6"/>
        <v>65005.479000000007</v>
      </c>
      <c r="H54" s="36">
        <v>82601.11</v>
      </c>
      <c r="I54" s="35">
        <f t="shared" si="7"/>
        <v>4943676.4335000003</v>
      </c>
      <c r="J54" s="114" t="s">
        <v>22</v>
      </c>
      <c r="K54" s="502" t="s">
        <v>23</v>
      </c>
      <c r="L54" s="146"/>
      <c r="M54" s="70"/>
      <c r="N54" s="75"/>
      <c r="O54" s="75"/>
      <c r="P54" s="79"/>
      <c r="Q54" s="70"/>
      <c r="R54" s="75"/>
      <c r="S54" s="75"/>
      <c r="T54" s="75"/>
      <c r="U54" s="79"/>
    </row>
    <row r="55" spans="1:21" x14ac:dyDescent="0.25">
      <c r="A55" s="70">
        <f t="shared" si="8"/>
        <v>49</v>
      </c>
      <c r="B55" s="75" t="s">
        <v>149</v>
      </c>
      <c r="C55" s="75">
        <v>40001709</v>
      </c>
      <c r="D55" s="75">
        <v>51519825</v>
      </c>
      <c r="E55" s="145">
        <v>50.35</v>
      </c>
      <c r="F55" s="31">
        <v>1086.1400000000001</v>
      </c>
      <c r="G55" s="228">
        <f t="shared" si="6"/>
        <v>54687.149000000005</v>
      </c>
      <c r="H55" s="36">
        <v>82601.11</v>
      </c>
      <c r="I55" s="35">
        <f t="shared" si="7"/>
        <v>4158965.8885000004</v>
      </c>
      <c r="J55" s="114" t="s">
        <v>22</v>
      </c>
      <c r="K55" s="502" t="s">
        <v>23</v>
      </c>
      <c r="L55" s="146"/>
      <c r="M55" s="70"/>
      <c r="N55" s="75"/>
      <c r="O55" s="75"/>
      <c r="P55" s="79"/>
      <c r="Q55" s="70"/>
      <c r="R55" s="75"/>
      <c r="S55" s="75"/>
      <c r="T55" s="75"/>
      <c r="U55" s="79"/>
    </row>
    <row r="56" spans="1:21" x14ac:dyDescent="0.25">
      <c r="A56" s="70">
        <f t="shared" si="8"/>
        <v>50</v>
      </c>
      <c r="B56" s="75" t="s">
        <v>149</v>
      </c>
      <c r="C56" s="75">
        <v>40001709</v>
      </c>
      <c r="D56" s="75">
        <v>73237422</v>
      </c>
      <c r="E56" s="145">
        <v>59.3</v>
      </c>
      <c r="F56" s="31">
        <v>1086.1400000000001</v>
      </c>
      <c r="G56" s="228">
        <f t="shared" si="6"/>
        <v>64408.102000000006</v>
      </c>
      <c r="H56" s="36">
        <v>82601.11</v>
      </c>
      <c r="I56" s="35">
        <f t="shared" si="7"/>
        <v>4898245.8229999999</v>
      </c>
      <c r="J56" s="114" t="s">
        <v>22</v>
      </c>
      <c r="K56" s="502" t="s">
        <v>23</v>
      </c>
      <c r="L56" s="146"/>
      <c r="M56" s="70"/>
      <c r="N56" s="75"/>
      <c r="O56" s="75"/>
      <c r="P56" s="79"/>
      <c r="Q56" s="70"/>
      <c r="R56" s="75"/>
      <c r="S56" s="75"/>
      <c r="T56" s="75"/>
      <c r="U56" s="79"/>
    </row>
    <row r="57" spans="1:21" ht="15.75" thickBot="1" x14ac:dyDescent="0.3">
      <c r="A57" s="101">
        <f t="shared" si="8"/>
        <v>51</v>
      </c>
      <c r="B57" s="105" t="s">
        <v>149</v>
      </c>
      <c r="C57" s="105">
        <v>40001709</v>
      </c>
      <c r="D57" s="105">
        <v>50034628</v>
      </c>
      <c r="E57" s="148">
        <v>58.8</v>
      </c>
      <c r="F57" s="31">
        <v>1086.1400000000001</v>
      </c>
      <c r="G57" s="248">
        <f t="shared" si="6"/>
        <v>63865.031999999999</v>
      </c>
      <c r="H57" s="38">
        <v>82601.11</v>
      </c>
      <c r="I57" s="40">
        <f t="shared" si="7"/>
        <v>4856945.2680000002</v>
      </c>
      <c r="J57" s="137" t="s">
        <v>22</v>
      </c>
      <c r="K57" s="558" t="s">
        <v>23</v>
      </c>
      <c r="L57" s="149"/>
      <c r="M57" s="101"/>
      <c r="N57" s="105"/>
      <c r="O57" s="105"/>
      <c r="P57" s="112"/>
      <c r="Q57" s="101"/>
      <c r="R57" s="105"/>
      <c r="S57" s="105"/>
      <c r="T57" s="105"/>
      <c r="U57" s="112"/>
    </row>
    <row r="58" spans="1:21" ht="15.75" thickBot="1" x14ac:dyDescent="0.3">
      <c r="A58" s="233"/>
      <c r="B58" s="234"/>
      <c r="C58" s="234"/>
      <c r="D58" s="234"/>
      <c r="E58" s="235">
        <f>SUM(E40:E57)</f>
        <v>1055.9000000000001</v>
      </c>
      <c r="F58" s="624"/>
      <c r="G58" s="237">
        <f>SUM(G40:G57)</f>
        <v>1146855.226</v>
      </c>
      <c r="H58" s="624"/>
      <c r="I58" s="238">
        <f>SUM(I40:I57)</f>
        <v>87218512.04900001</v>
      </c>
      <c r="J58" s="234"/>
      <c r="K58" s="369"/>
      <c r="L58" s="370"/>
      <c r="M58" s="233"/>
      <c r="N58" s="234"/>
      <c r="O58" s="234"/>
      <c r="P58" s="239"/>
      <c r="Q58" s="371"/>
      <c r="R58" s="234"/>
      <c r="S58" s="234"/>
      <c r="T58" s="234"/>
      <c r="U58" s="239"/>
    </row>
    <row r="59" spans="1:21" x14ac:dyDescent="0.25">
      <c r="A59" s="140">
        <v>52</v>
      </c>
      <c r="B59" s="71">
        <v>46152</v>
      </c>
      <c r="C59" s="140">
        <v>40001739</v>
      </c>
      <c r="D59" s="140">
        <v>75110064</v>
      </c>
      <c r="E59" s="142">
        <v>59.45</v>
      </c>
      <c r="F59" s="31">
        <v>1086.1400000000001</v>
      </c>
      <c r="G59" s="228">
        <f t="shared" ref="G59:G98" si="9">E59*F59</f>
        <v>64571.023000000008</v>
      </c>
      <c r="H59" s="34">
        <v>82601.11</v>
      </c>
      <c r="I59" s="35">
        <f t="shared" ref="I59:I98" si="10">E59*H59</f>
        <v>4910635.9895000001</v>
      </c>
      <c r="J59" s="212" t="s">
        <v>22</v>
      </c>
      <c r="K59" s="554" t="s">
        <v>23</v>
      </c>
      <c r="L59" s="143"/>
      <c r="M59" s="57"/>
      <c r="N59" s="68"/>
      <c r="O59" s="68"/>
      <c r="P59" s="69"/>
      <c r="Q59" s="57"/>
      <c r="R59" s="68"/>
      <c r="S59" s="68"/>
      <c r="T59" s="68"/>
      <c r="U59" s="69"/>
    </row>
    <row r="60" spans="1:21" x14ac:dyDescent="0.25">
      <c r="A60" s="207">
        <f>A59+1</f>
        <v>53</v>
      </c>
      <c r="B60" s="188">
        <v>46152</v>
      </c>
      <c r="C60" s="140">
        <v>40001740</v>
      </c>
      <c r="D60" s="140">
        <v>57129678</v>
      </c>
      <c r="E60" s="142">
        <v>59.15</v>
      </c>
      <c r="F60" s="31">
        <v>1086.1400000000001</v>
      </c>
      <c r="G60" s="228">
        <f t="shared" si="9"/>
        <v>64245.181000000004</v>
      </c>
      <c r="H60" s="34">
        <v>82601.11</v>
      </c>
      <c r="I60" s="35">
        <f t="shared" si="10"/>
        <v>4885855.6564999996</v>
      </c>
      <c r="J60" s="212" t="s">
        <v>22</v>
      </c>
      <c r="K60" s="554" t="s">
        <v>23</v>
      </c>
      <c r="L60" s="67"/>
      <c r="M60" s="207"/>
      <c r="N60" s="140"/>
      <c r="O60" s="140"/>
      <c r="P60" s="210"/>
      <c r="Q60" s="207"/>
      <c r="R60" s="140"/>
      <c r="S60" s="140"/>
      <c r="T60" s="140"/>
      <c r="U60" s="210"/>
    </row>
    <row r="61" spans="1:21" x14ac:dyDescent="0.25">
      <c r="A61" s="70">
        <f>A60+1</f>
        <v>54</v>
      </c>
      <c r="B61" s="98">
        <v>46152</v>
      </c>
      <c r="C61" s="75">
        <v>40001741</v>
      </c>
      <c r="D61" s="75">
        <v>57106288</v>
      </c>
      <c r="E61" s="145">
        <v>59</v>
      </c>
      <c r="F61" s="31">
        <v>1086.1400000000001</v>
      </c>
      <c r="G61" s="228">
        <f t="shared" si="9"/>
        <v>64082.260000000009</v>
      </c>
      <c r="H61" s="36">
        <v>82601.11</v>
      </c>
      <c r="I61" s="35">
        <f t="shared" si="10"/>
        <v>4873465.49</v>
      </c>
      <c r="J61" s="114" t="s">
        <v>22</v>
      </c>
      <c r="K61" s="502" t="s">
        <v>23</v>
      </c>
      <c r="L61" s="78"/>
      <c r="M61" s="70"/>
      <c r="N61" s="75"/>
      <c r="O61" s="75"/>
      <c r="P61" s="79"/>
      <c r="Q61" s="70"/>
      <c r="R61" s="75"/>
      <c r="S61" s="75"/>
      <c r="T61" s="75"/>
      <c r="U61" s="79"/>
    </row>
    <row r="62" spans="1:21" x14ac:dyDescent="0.25">
      <c r="A62" s="70">
        <f t="shared" ref="A62:A79" si="11">A61+1</f>
        <v>55</v>
      </c>
      <c r="B62" s="98">
        <v>46152</v>
      </c>
      <c r="C62" s="75">
        <v>40001810</v>
      </c>
      <c r="D62" s="75">
        <v>73064677</v>
      </c>
      <c r="E62" s="145">
        <v>59.65</v>
      </c>
      <c r="F62" s="31">
        <v>1086.1400000000001</v>
      </c>
      <c r="G62" s="228">
        <f t="shared" si="9"/>
        <v>64788.251000000004</v>
      </c>
      <c r="H62" s="36">
        <v>82601.11</v>
      </c>
      <c r="I62" s="35">
        <f t="shared" si="10"/>
        <v>4927156.2115000002</v>
      </c>
      <c r="J62" s="114" t="s">
        <v>22</v>
      </c>
      <c r="K62" s="502" t="s">
        <v>23</v>
      </c>
      <c r="L62" s="78"/>
      <c r="M62" s="70"/>
      <c r="N62" s="75"/>
      <c r="O62" s="75"/>
      <c r="P62" s="79"/>
      <c r="Q62" s="70"/>
      <c r="R62" s="75"/>
      <c r="S62" s="75"/>
      <c r="T62" s="75"/>
      <c r="U62" s="79"/>
    </row>
    <row r="63" spans="1:21" x14ac:dyDescent="0.25">
      <c r="A63" s="70">
        <f t="shared" si="11"/>
        <v>56</v>
      </c>
      <c r="B63" s="98">
        <v>46152</v>
      </c>
      <c r="C63" s="75">
        <v>40001811</v>
      </c>
      <c r="D63" s="75">
        <v>54092564</v>
      </c>
      <c r="E63" s="145">
        <v>59</v>
      </c>
      <c r="F63" s="31">
        <v>1086.1400000000001</v>
      </c>
      <c r="G63" s="228">
        <f t="shared" si="9"/>
        <v>64082.260000000009</v>
      </c>
      <c r="H63" s="36">
        <v>82601.11</v>
      </c>
      <c r="I63" s="35">
        <f t="shared" si="10"/>
        <v>4873465.49</v>
      </c>
      <c r="J63" s="114" t="s">
        <v>22</v>
      </c>
      <c r="K63" s="502" t="s">
        <v>23</v>
      </c>
      <c r="L63" s="78"/>
      <c r="M63" s="70"/>
      <c r="N63" s="75"/>
      <c r="O63" s="75"/>
      <c r="P63" s="79"/>
      <c r="Q63" s="70"/>
      <c r="R63" s="75"/>
      <c r="S63" s="75"/>
      <c r="T63" s="75"/>
      <c r="U63" s="79"/>
    </row>
    <row r="64" spans="1:21" x14ac:dyDescent="0.25">
      <c r="A64" s="70">
        <f t="shared" si="11"/>
        <v>57</v>
      </c>
      <c r="B64" s="98">
        <v>46152</v>
      </c>
      <c r="C64" s="75">
        <v>40001812</v>
      </c>
      <c r="D64" s="75">
        <v>73223208</v>
      </c>
      <c r="E64" s="145">
        <v>59.5</v>
      </c>
      <c r="F64" s="31">
        <v>1086.1400000000001</v>
      </c>
      <c r="G64" s="228">
        <f t="shared" si="9"/>
        <v>64625.330000000009</v>
      </c>
      <c r="H64" s="36">
        <v>82601.11</v>
      </c>
      <c r="I64" s="35">
        <f t="shared" si="10"/>
        <v>4914766.0449999999</v>
      </c>
      <c r="J64" s="114" t="s">
        <v>22</v>
      </c>
      <c r="K64" s="502" t="s">
        <v>23</v>
      </c>
      <c r="L64" s="78"/>
      <c r="M64" s="70"/>
      <c r="N64" s="75"/>
      <c r="O64" s="75"/>
      <c r="P64" s="79"/>
      <c r="Q64" s="70"/>
      <c r="R64" s="75"/>
      <c r="S64" s="75"/>
      <c r="T64" s="75"/>
      <c r="U64" s="79"/>
    </row>
    <row r="65" spans="1:21" x14ac:dyDescent="0.25">
      <c r="A65" s="70">
        <f t="shared" si="11"/>
        <v>58</v>
      </c>
      <c r="B65" s="98">
        <v>46152</v>
      </c>
      <c r="C65" s="75">
        <v>40001813</v>
      </c>
      <c r="D65" s="75">
        <v>73054603</v>
      </c>
      <c r="E65" s="145">
        <v>59.55</v>
      </c>
      <c r="F65" s="31">
        <v>1086.1400000000001</v>
      </c>
      <c r="G65" s="228">
        <f t="shared" si="9"/>
        <v>64679.637000000002</v>
      </c>
      <c r="H65" s="36">
        <v>82601.11</v>
      </c>
      <c r="I65" s="35">
        <f t="shared" si="10"/>
        <v>4918896.1004999997</v>
      </c>
      <c r="J65" s="114" t="s">
        <v>22</v>
      </c>
      <c r="K65" s="502" t="s">
        <v>23</v>
      </c>
      <c r="L65" s="78"/>
      <c r="M65" s="70"/>
      <c r="N65" s="75"/>
      <c r="O65" s="75"/>
      <c r="P65" s="79"/>
      <c r="Q65" s="70"/>
      <c r="R65" s="75"/>
      <c r="S65" s="75"/>
      <c r="T65" s="75"/>
      <c r="U65" s="79"/>
    </row>
    <row r="66" spans="1:21" x14ac:dyDescent="0.25">
      <c r="A66" s="70">
        <f t="shared" si="11"/>
        <v>59</v>
      </c>
      <c r="B66" s="98">
        <v>46152</v>
      </c>
      <c r="C66" s="75">
        <v>40001814</v>
      </c>
      <c r="D66" s="75">
        <v>75332551</v>
      </c>
      <c r="E66" s="145">
        <v>59.85</v>
      </c>
      <c r="F66" s="31">
        <v>1086.1400000000001</v>
      </c>
      <c r="G66" s="228">
        <f t="shared" si="9"/>
        <v>65005.479000000007</v>
      </c>
      <c r="H66" s="36">
        <v>82601.11</v>
      </c>
      <c r="I66" s="35">
        <f t="shared" si="10"/>
        <v>4943676.4335000003</v>
      </c>
      <c r="J66" s="114" t="s">
        <v>22</v>
      </c>
      <c r="K66" s="502" t="s">
        <v>23</v>
      </c>
      <c r="L66" s="78"/>
      <c r="M66" s="70"/>
      <c r="N66" s="75"/>
      <c r="O66" s="75"/>
      <c r="P66" s="79"/>
      <c r="Q66" s="70"/>
      <c r="R66" s="75"/>
      <c r="S66" s="75"/>
      <c r="T66" s="75"/>
      <c r="U66" s="79"/>
    </row>
    <row r="67" spans="1:21" x14ac:dyDescent="0.25">
      <c r="A67" s="70">
        <f t="shared" si="11"/>
        <v>60</v>
      </c>
      <c r="B67" s="98">
        <v>46152</v>
      </c>
      <c r="C67" s="75">
        <v>40001814</v>
      </c>
      <c r="D67" s="75">
        <v>50914118</v>
      </c>
      <c r="E67" s="145">
        <v>59.15</v>
      </c>
      <c r="F67" s="31">
        <v>1086.1400000000001</v>
      </c>
      <c r="G67" s="228">
        <f t="shared" si="9"/>
        <v>64245.181000000004</v>
      </c>
      <c r="H67" s="36">
        <v>82601.11</v>
      </c>
      <c r="I67" s="35">
        <f t="shared" si="10"/>
        <v>4885855.6564999996</v>
      </c>
      <c r="J67" s="114" t="s">
        <v>22</v>
      </c>
      <c r="K67" s="502" t="s">
        <v>23</v>
      </c>
      <c r="L67" s="78"/>
      <c r="M67" s="70"/>
      <c r="N67" s="75"/>
      <c r="O67" s="75"/>
      <c r="P67" s="79"/>
      <c r="Q67" s="70"/>
      <c r="R67" s="75"/>
      <c r="S67" s="75"/>
      <c r="T67" s="75"/>
      <c r="U67" s="79"/>
    </row>
    <row r="68" spans="1:21" x14ac:dyDescent="0.25">
      <c r="A68" s="70">
        <f t="shared" si="11"/>
        <v>61</v>
      </c>
      <c r="B68" s="98">
        <v>46152</v>
      </c>
      <c r="C68" s="75">
        <v>40001814</v>
      </c>
      <c r="D68" s="75">
        <v>51498236</v>
      </c>
      <c r="E68" s="145">
        <v>49.7</v>
      </c>
      <c r="F68" s="31">
        <v>1086.1400000000001</v>
      </c>
      <c r="G68" s="228">
        <f t="shared" si="9"/>
        <v>53981.15800000001</v>
      </c>
      <c r="H68" s="36">
        <v>82601.11</v>
      </c>
      <c r="I68" s="35">
        <f t="shared" si="10"/>
        <v>4105275.1670000004</v>
      </c>
      <c r="J68" s="114" t="s">
        <v>22</v>
      </c>
      <c r="K68" s="502" t="s">
        <v>23</v>
      </c>
      <c r="L68" s="78"/>
      <c r="M68" s="70"/>
      <c r="N68" s="75"/>
      <c r="O68" s="75"/>
      <c r="P68" s="79"/>
      <c r="Q68" s="70"/>
      <c r="R68" s="75"/>
      <c r="S68" s="75"/>
      <c r="T68" s="75"/>
      <c r="U68" s="79"/>
    </row>
    <row r="69" spans="1:21" x14ac:dyDescent="0.25">
      <c r="A69" s="70">
        <f t="shared" si="11"/>
        <v>62</v>
      </c>
      <c r="B69" s="98">
        <v>46152</v>
      </c>
      <c r="C69" s="75">
        <v>40001814</v>
      </c>
      <c r="D69" s="75">
        <v>73218018</v>
      </c>
      <c r="E69" s="145">
        <v>59.7</v>
      </c>
      <c r="F69" s="31">
        <v>1086.1400000000001</v>
      </c>
      <c r="G69" s="228">
        <f t="shared" si="9"/>
        <v>64842.558000000012</v>
      </c>
      <c r="H69" s="36">
        <v>82601.11</v>
      </c>
      <c r="I69" s="35">
        <f t="shared" si="10"/>
        <v>4931286.267</v>
      </c>
      <c r="J69" s="114" t="s">
        <v>22</v>
      </c>
      <c r="K69" s="502" t="s">
        <v>23</v>
      </c>
      <c r="L69" s="78"/>
      <c r="M69" s="70"/>
      <c r="N69" s="75"/>
      <c r="O69" s="75"/>
      <c r="P69" s="79"/>
      <c r="Q69" s="70"/>
      <c r="R69" s="75"/>
      <c r="S69" s="75"/>
      <c r="T69" s="75"/>
      <c r="U69" s="79"/>
    </row>
    <row r="70" spans="1:21" x14ac:dyDescent="0.25">
      <c r="A70" s="70">
        <f t="shared" si="11"/>
        <v>63</v>
      </c>
      <c r="B70" s="98">
        <v>46152</v>
      </c>
      <c r="C70" s="75">
        <v>40001814</v>
      </c>
      <c r="D70" s="75">
        <v>73242448</v>
      </c>
      <c r="E70" s="145">
        <v>59.4</v>
      </c>
      <c r="F70" s="31">
        <v>1086.1400000000001</v>
      </c>
      <c r="G70" s="228">
        <f t="shared" si="9"/>
        <v>64516.716000000008</v>
      </c>
      <c r="H70" s="36">
        <v>82601.11</v>
      </c>
      <c r="I70" s="35">
        <f t="shared" si="10"/>
        <v>4906505.9340000004</v>
      </c>
      <c r="J70" s="114" t="s">
        <v>22</v>
      </c>
      <c r="K70" s="502" t="s">
        <v>23</v>
      </c>
      <c r="L70" s="78"/>
      <c r="M70" s="70"/>
      <c r="N70" s="75"/>
      <c r="O70" s="75"/>
      <c r="P70" s="79"/>
      <c r="Q70" s="70"/>
      <c r="R70" s="75"/>
      <c r="S70" s="75"/>
      <c r="T70" s="75"/>
      <c r="U70" s="79"/>
    </row>
    <row r="71" spans="1:21" x14ac:dyDescent="0.25">
      <c r="A71" s="70">
        <f t="shared" si="11"/>
        <v>64</v>
      </c>
      <c r="B71" s="98">
        <v>46152</v>
      </c>
      <c r="C71" s="75">
        <v>40001814</v>
      </c>
      <c r="D71" s="75">
        <v>73179806</v>
      </c>
      <c r="E71" s="145">
        <v>59.65</v>
      </c>
      <c r="F71" s="31">
        <v>1086.1400000000001</v>
      </c>
      <c r="G71" s="228">
        <f t="shared" si="9"/>
        <v>64788.251000000004</v>
      </c>
      <c r="H71" s="36">
        <v>82601.11</v>
      </c>
      <c r="I71" s="35">
        <f t="shared" si="10"/>
        <v>4927156.2115000002</v>
      </c>
      <c r="J71" s="114" t="s">
        <v>22</v>
      </c>
      <c r="K71" s="502" t="s">
        <v>23</v>
      </c>
      <c r="L71" s="78"/>
      <c r="M71" s="70"/>
      <c r="N71" s="75"/>
      <c r="O71" s="75"/>
      <c r="P71" s="79"/>
      <c r="Q71" s="70"/>
      <c r="R71" s="75"/>
      <c r="S71" s="75"/>
      <c r="T71" s="75"/>
      <c r="U71" s="79"/>
    </row>
    <row r="72" spans="1:21" x14ac:dyDescent="0.25">
      <c r="A72" s="70">
        <f t="shared" si="11"/>
        <v>65</v>
      </c>
      <c r="B72" s="98">
        <v>46152</v>
      </c>
      <c r="C72" s="75">
        <v>40001814</v>
      </c>
      <c r="D72" s="75">
        <v>73101610</v>
      </c>
      <c r="E72" s="145">
        <v>59.4</v>
      </c>
      <c r="F72" s="31">
        <v>1086.1400000000001</v>
      </c>
      <c r="G72" s="228">
        <f t="shared" si="9"/>
        <v>64516.716000000008</v>
      </c>
      <c r="H72" s="36">
        <v>82601.11</v>
      </c>
      <c r="I72" s="35">
        <f t="shared" si="10"/>
        <v>4906505.9340000004</v>
      </c>
      <c r="J72" s="114" t="s">
        <v>22</v>
      </c>
      <c r="K72" s="502" t="s">
        <v>23</v>
      </c>
      <c r="L72" s="78"/>
      <c r="M72" s="70"/>
      <c r="N72" s="75"/>
      <c r="O72" s="75"/>
      <c r="P72" s="79"/>
      <c r="Q72" s="70"/>
      <c r="R72" s="75"/>
      <c r="S72" s="75"/>
      <c r="T72" s="75"/>
      <c r="U72" s="79"/>
    </row>
    <row r="73" spans="1:21" x14ac:dyDescent="0.25">
      <c r="A73" s="101">
        <f t="shared" si="11"/>
        <v>66</v>
      </c>
      <c r="B73" s="135">
        <v>46152</v>
      </c>
      <c r="C73" s="105">
        <v>40001814</v>
      </c>
      <c r="D73" s="105">
        <v>73095770</v>
      </c>
      <c r="E73" s="148">
        <v>59.6</v>
      </c>
      <c r="F73" s="31">
        <v>1086.1400000000001</v>
      </c>
      <c r="G73" s="248">
        <f t="shared" si="9"/>
        <v>64733.94400000001</v>
      </c>
      <c r="H73" s="38">
        <v>82601.11</v>
      </c>
      <c r="I73" s="40">
        <f t="shared" si="10"/>
        <v>4923026.1560000004</v>
      </c>
      <c r="J73" s="137" t="s">
        <v>22</v>
      </c>
      <c r="K73" s="558" t="s">
        <v>23</v>
      </c>
      <c r="L73" s="87"/>
      <c r="M73" s="101"/>
      <c r="N73" s="105"/>
      <c r="O73" s="105"/>
      <c r="P73" s="112"/>
      <c r="Q73" s="101"/>
      <c r="R73" s="105"/>
      <c r="S73" s="105"/>
      <c r="T73" s="105"/>
      <c r="U73" s="112"/>
    </row>
    <row r="74" spans="1:21" x14ac:dyDescent="0.25">
      <c r="A74" s="101">
        <f t="shared" si="11"/>
        <v>67</v>
      </c>
      <c r="B74" s="135">
        <v>46152</v>
      </c>
      <c r="C74" s="75">
        <v>40001815</v>
      </c>
      <c r="D74" s="75">
        <v>75179580</v>
      </c>
      <c r="E74" s="133">
        <v>60.85</v>
      </c>
      <c r="F74" s="31">
        <v>1086.1400000000001</v>
      </c>
      <c r="G74" s="556">
        <f t="shared" si="9"/>
        <v>66091.619000000006</v>
      </c>
      <c r="H74" s="36">
        <v>82601.11</v>
      </c>
      <c r="I74" s="37">
        <f t="shared" si="10"/>
        <v>5026277.5435000006</v>
      </c>
      <c r="J74" s="114" t="s">
        <v>22</v>
      </c>
      <c r="K74" s="502" t="s">
        <v>23</v>
      </c>
      <c r="L74" s="78"/>
      <c r="M74" s="70"/>
      <c r="N74" s="75"/>
      <c r="O74" s="75"/>
      <c r="P74" s="79"/>
      <c r="Q74" s="70"/>
      <c r="R74" s="75"/>
      <c r="S74" s="75"/>
      <c r="T74" s="75"/>
      <c r="U74" s="79"/>
    </row>
    <row r="75" spans="1:21" x14ac:dyDescent="0.25">
      <c r="A75" s="101">
        <f t="shared" si="11"/>
        <v>68</v>
      </c>
      <c r="B75" s="135">
        <v>46152</v>
      </c>
      <c r="C75" s="75">
        <v>40001815</v>
      </c>
      <c r="D75" s="75">
        <v>54243753</v>
      </c>
      <c r="E75" s="145">
        <v>59.35</v>
      </c>
      <c r="F75" s="31">
        <v>1086.1400000000001</v>
      </c>
      <c r="G75" s="556">
        <f t="shared" si="9"/>
        <v>64462.409000000007</v>
      </c>
      <c r="H75" s="36">
        <v>82601.11</v>
      </c>
      <c r="I75" s="37">
        <f t="shared" si="10"/>
        <v>4902375.8785000006</v>
      </c>
      <c r="J75" s="114" t="s">
        <v>22</v>
      </c>
      <c r="K75" s="502" t="s">
        <v>23</v>
      </c>
      <c r="L75" s="78"/>
      <c r="M75" s="70"/>
      <c r="N75" s="75"/>
      <c r="O75" s="75"/>
      <c r="P75" s="79"/>
      <c r="Q75" s="70"/>
      <c r="R75" s="75"/>
      <c r="S75" s="75"/>
      <c r="T75" s="75"/>
      <c r="U75" s="79"/>
    </row>
    <row r="76" spans="1:21" x14ac:dyDescent="0.25">
      <c r="A76" s="101">
        <f t="shared" si="11"/>
        <v>69</v>
      </c>
      <c r="B76" s="135">
        <v>46152</v>
      </c>
      <c r="C76" s="75">
        <v>40001815</v>
      </c>
      <c r="D76" s="75">
        <v>51404457</v>
      </c>
      <c r="E76" s="145">
        <v>58.9</v>
      </c>
      <c r="F76" s="31">
        <v>1086.1400000000001</v>
      </c>
      <c r="G76" s="556">
        <f t="shared" si="9"/>
        <v>63973.646000000008</v>
      </c>
      <c r="H76" s="36">
        <v>82601.11</v>
      </c>
      <c r="I76" s="37">
        <f t="shared" si="10"/>
        <v>4865205.3789999997</v>
      </c>
      <c r="J76" s="114" t="s">
        <v>22</v>
      </c>
      <c r="K76" s="502" t="s">
        <v>23</v>
      </c>
      <c r="L76" s="78"/>
      <c r="M76" s="70"/>
      <c r="N76" s="75"/>
      <c r="O76" s="75"/>
      <c r="P76" s="79"/>
      <c r="Q76" s="70"/>
      <c r="R76" s="75"/>
      <c r="S76" s="75"/>
      <c r="T76" s="75"/>
      <c r="U76" s="79"/>
    </row>
    <row r="77" spans="1:21" x14ac:dyDescent="0.25">
      <c r="A77" s="101">
        <f t="shared" si="11"/>
        <v>70</v>
      </c>
      <c r="B77" s="135">
        <v>46152</v>
      </c>
      <c r="C77" s="75">
        <v>40001815</v>
      </c>
      <c r="D77" s="75">
        <v>73920654</v>
      </c>
      <c r="E77" s="145">
        <v>58.9</v>
      </c>
      <c r="F77" s="31">
        <v>1086.1400000000001</v>
      </c>
      <c r="G77" s="556">
        <f t="shared" si="9"/>
        <v>63973.646000000008</v>
      </c>
      <c r="H77" s="36">
        <v>82601.11</v>
      </c>
      <c r="I77" s="37">
        <f t="shared" si="10"/>
        <v>4865205.3789999997</v>
      </c>
      <c r="J77" s="114" t="s">
        <v>22</v>
      </c>
      <c r="K77" s="502" t="s">
        <v>23</v>
      </c>
      <c r="L77" s="78"/>
      <c r="M77" s="70"/>
      <c r="N77" s="75"/>
      <c r="O77" s="75"/>
      <c r="P77" s="79"/>
      <c r="Q77" s="70"/>
      <c r="R77" s="75"/>
      <c r="S77" s="75"/>
      <c r="T77" s="75"/>
      <c r="U77" s="79"/>
    </row>
    <row r="78" spans="1:21" x14ac:dyDescent="0.25">
      <c r="A78" s="101">
        <f t="shared" si="11"/>
        <v>71</v>
      </c>
      <c r="B78" s="135">
        <v>46152</v>
      </c>
      <c r="C78" s="75">
        <v>40001815</v>
      </c>
      <c r="D78" s="75">
        <v>50576792</v>
      </c>
      <c r="E78" s="145">
        <v>59.05</v>
      </c>
      <c r="F78" s="31">
        <v>1086.1400000000001</v>
      </c>
      <c r="G78" s="556">
        <f t="shared" si="9"/>
        <v>64136.567000000003</v>
      </c>
      <c r="H78" s="36">
        <v>82601.11</v>
      </c>
      <c r="I78" s="37">
        <f t="shared" si="10"/>
        <v>4877595.5455</v>
      </c>
      <c r="J78" s="114" t="s">
        <v>22</v>
      </c>
      <c r="K78" s="502" t="s">
        <v>23</v>
      </c>
      <c r="L78" s="78"/>
      <c r="M78" s="70"/>
      <c r="N78" s="75"/>
      <c r="O78" s="75"/>
      <c r="P78" s="79"/>
      <c r="Q78" s="70"/>
      <c r="R78" s="75"/>
      <c r="S78" s="75"/>
      <c r="T78" s="75"/>
      <c r="U78" s="79"/>
    </row>
    <row r="79" spans="1:21" x14ac:dyDescent="0.25">
      <c r="A79" s="70">
        <f t="shared" si="11"/>
        <v>72</v>
      </c>
      <c r="B79" s="98">
        <v>46152</v>
      </c>
      <c r="C79" s="75">
        <v>40001815</v>
      </c>
      <c r="D79" s="75">
        <v>50770213</v>
      </c>
      <c r="E79" s="145">
        <v>50.05</v>
      </c>
      <c r="F79" s="31">
        <v>1086.1400000000001</v>
      </c>
      <c r="G79" s="556">
        <f t="shared" si="9"/>
        <v>54361.307000000001</v>
      </c>
      <c r="H79" s="36">
        <v>82601.11</v>
      </c>
      <c r="I79" s="37">
        <f t="shared" si="10"/>
        <v>4134185.5554999998</v>
      </c>
      <c r="J79" s="114" t="s">
        <v>22</v>
      </c>
      <c r="K79" s="502" t="s">
        <v>23</v>
      </c>
      <c r="L79" s="78"/>
      <c r="M79" s="70"/>
      <c r="N79" s="75"/>
      <c r="O79" s="75"/>
      <c r="P79" s="79"/>
      <c r="Q79" s="70"/>
      <c r="R79" s="75"/>
      <c r="S79" s="75"/>
      <c r="T79" s="75"/>
      <c r="U79" s="79"/>
    </row>
    <row r="80" spans="1:21" x14ac:dyDescent="0.25">
      <c r="A80" s="140">
        <f>A79+1</f>
        <v>73</v>
      </c>
      <c r="B80" s="71">
        <v>46152</v>
      </c>
      <c r="C80" s="140">
        <v>40001818</v>
      </c>
      <c r="D80" s="140">
        <v>53970901</v>
      </c>
      <c r="E80" s="142">
        <v>50</v>
      </c>
      <c r="F80" s="31">
        <v>1086.1400000000001</v>
      </c>
      <c r="G80" s="556">
        <f t="shared" si="9"/>
        <v>54307.000000000007</v>
      </c>
      <c r="H80" s="36">
        <v>82601.11</v>
      </c>
      <c r="I80" s="37">
        <f t="shared" si="10"/>
        <v>4130055.5</v>
      </c>
      <c r="J80" s="114" t="s">
        <v>22</v>
      </c>
      <c r="K80" s="502" t="s">
        <v>23</v>
      </c>
      <c r="L80" s="143"/>
      <c r="M80" s="207"/>
      <c r="N80" s="140"/>
      <c r="O80" s="140"/>
      <c r="P80" s="210"/>
      <c r="Q80" s="207"/>
      <c r="R80" s="140"/>
      <c r="S80" s="140"/>
      <c r="T80" s="140"/>
      <c r="U80" s="210"/>
    </row>
    <row r="81" spans="1:21" x14ac:dyDescent="0.25">
      <c r="A81" s="75">
        <f>A80+1</f>
        <v>74</v>
      </c>
      <c r="B81" s="71">
        <v>46152</v>
      </c>
      <c r="C81" s="140">
        <v>40001818</v>
      </c>
      <c r="D81" s="75">
        <v>51459469</v>
      </c>
      <c r="E81" s="145">
        <v>58.85</v>
      </c>
      <c r="F81" s="31">
        <v>1086.1400000000001</v>
      </c>
      <c r="G81" s="556">
        <f t="shared" si="9"/>
        <v>63919.339000000007</v>
      </c>
      <c r="H81" s="36">
        <v>82601.11</v>
      </c>
      <c r="I81" s="37">
        <f t="shared" si="10"/>
        <v>4861075.3234999999</v>
      </c>
      <c r="J81" s="114" t="s">
        <v>22</v>
      </c>
      <c r="K81" s="502" t="s">
        <v>23</v>
      </c>
      <c r="L81" s="146"/>
      <c r="M81" s="70"/>
      <c r="N81" s="75"/>
      <c r="O81" s="75"/>
      <c r="P81" s="79"/>
      <c r="Q81" s="70"/>
      <c r="R81" s="75"/>
      <c r="S81" s="75"/>
      <c r="T81" s="75"/>
      <c r="U81" s="79"/>
    </row>
    <row r="82" spans="1:21" x14ac:dyDescent="0.25">
      <c r="A82" s="75">
        <f t="shared" ref="A82:A98" si="12">A81+1</f>
        <v>75</v>
      </c>
      <c r="B82" s="71">
        <v>46152</v>
      </c>
      <c r="C82" s="140">
        <v>40001818</v>
      </c>
      <c r="D82" s="75">
        <v>75071209</v>
      </c>
      <c r="E82" s="145">
        <v>59.55</v>
      </c>
      <c r="F82" s="31">
        <v>1086.1400000000001</v>
      </c>
      <c r="G82" s="556">
        <f t="shared" si="9"/>
        <v>64679.637000000002</v>
      </c>
      <c r="H82" s="36">
        <v>82601.11</v>
      </c>
      <c r="I82" s="37">
        <f t="shared" si="10"/>
        <v>4918896.1004999997</v>
      </c>
      <c r="J82" s="114" t="s">
        <v>22</v>
      </c>
      <c r="K82" s="502" t="s">
        <v>23</v>
      </c>
      <c r="L82" s="146"/>
      <c r="M82" s="70"/>
      <c r="N82" s="75"/>
      <c r="O82" s="75"/>
      <c r="P82" s="79"/>
      <c r="Q82" s="70"/>
      <c r="R82" s="75"/>
      <c r="S82" s="75"/>
      <c r="T82" s="75"/>
      <c r="U82" s="79"/>
    </row>
    <row r="83" spans="1:21" x14ac:dyDescent="0.25">
      <c r="A83" s="75">
        <f t="shared" si="12"/>
        <v>76</v>
      </c>
      <c r="B83" s="71">
        <v>46152</v>
      </c>
      <c r="C83" s="140">
        <v>40001818</v>
      </c>
      <c r="D83" s="75">
        <v>53856910</v>
      </c>
      <c r="E83" s="145">
        <v>59.55</v>
      </c>
      <c r="F83" s="31">
        <v>1086.1400000000001</v>
      </c>
      <c r="G83" s="556">
        <f t="shared" si="9"/>
        <v>64679.637000000002</v>
      </c>
      <c r="H83" s="36">
        <v>82601.11</v>
      </c>
      <c r="I83" s="37">
        <f t="shared" si="10"/>
        <v>4918896.1004999997</v>
      </c>
      <c r="J83" s="114" t="s">
        <v>22</v>
      </c>
      <c r="K83" s="502" t="s">
        <v>23</v>
      </c>
      <c r="L83" s="146"/>
      <c r="M83" s="70"/>
      <c r="N83" s="75"/>
      <c r="O83" s="75"/>
      <c r="P83" s="79"/>
      <c r="Q83" s="70"/>
      <c r="R83" s="75"/>
      <c r="S83" s="75"/>
      <c r="T83" s="75"/>
      <c r="U83" s="79"/>
    </row>
    <row r="84" spans="1:21" x14ac:dyDescent="0.25">
      <c r="A84" s="75">
        <f t="shared" si="12"/>
        <v>77</v>
      </c>
      <c r="B84" s="71">
        <v>46152</v>
      </c>
      <c r="C84" s="140">
        <v>40001818</v>
      </c>
      <c r="D84" s="75">
        <v>73213332</v>
      </c>
      <c r="E84" s="145">
        <v>59.65</v>
      </c>
      <c r="F84" s="31">
        <v>1086.1400000000001</v>
      </c>
      <c r="G84" s="556">
        <f t="shared" si="9"/>
        <v>64788.251000000004</v>
      </c>
      <c r="H84" s="36">
        <v>82601.11</v>
      </c>
      <c r="I84" s="37">
        <f t="shared" si="10"/>
        <v>4927156.2115000002</v>
      </c>
      <c r="J84" s="114" t="s">
        <v>22</v>
      </c>
      <c r="K84" s="502" t="s">
        <v>23</v>
      </c>
      <c r="L84" s="146"/>
      <c r="M84" s="70"/>
      <c r="N84" s="75"/>
      <c r="O84" s="75"/>
      <c r="P84" s="79"/>
      <c r="Q84" s="70"/>
      <c r="R84" s="75"/>
      <c r="S84" s="75"/>
      <c r="T84" s="75"/>
      <c r="U84" s="79"/>
    </row>
    <row r="85" spans="1:21" x14ac:dyDescent="0.25">
      <c r="A85" s="75">
        <f t="shared" si="12"/>
        <v>78</v>
      </c>
      <c r="B85" s="71">
        <v>46152</v>
      </c>
      <c r="C85" s="140">
        <v>40001818</v>
      </c>
      <c r="D85" s="75">
        <v>53985693</v>
      </c>
      <c r="E85" s="145">
        <v>50</v>
      </c>
      <c r="F85" s="31">
        <v>1086.1400000000001</v>
      </c>
      <c r="G85" s="556">
        <f t="shared" si="9"/>
        <v>54307.000000000007</v>
      </c>
      <c r="H85" s="36">
        <v>82601.11</v>
      </c>
      <c r="I85" s="37">
        <f t="shared" si="10"/>
        <v>4130055.5</v>
      </c>
      <c r="J85" s="114" t="s">
        <v>22</v>
      </c>
      <c r="K85" s="502" t="s">
        <v>23</v>
      </c>
      <c r="L85" s="146"/>
      <c r="M85" s="70"/>
      <c r="N85" s="75"/>
      <c r="O85" s="75"/>
      <c r="P85" s="79"/>
      <c r="Q85" s="70"/>
      <c r="R85" s="75"/>
      <c r="S85" s="75"/>
      <c r="T85" s="75"/>
      <c r="U85" s="79"/>
    </row>
    <row r="86" spans="1:21" x14ac:dyDescent="0.25">
      <c r="A86" s="75">
        <f t="shared" si="12"/>
        <v>79</v>
      </c>
      <c r="B86" s="71">
        <v>46152</v>
      </c>
      <c r="C86" s="140">
        <v>40001818</v>
      </c>
      <c r="D86" s="75">
        <v>73086522</v>
      </c>
      <c r="E86" s="145">
        <v>59.6</v>
      </c>
      <c r="F86" s="31">
        <v>1086.1400000000001</v>
      </c>
      <c r="G86" s="556">
        <f t="shared" si="9"/>
        <v>64733.94400000001</v>
      </c>
      <c r="H86" s="36">
        <v>82601.11</v>
      </c>
      <c r="I86" s="37">
        <f t="shared" si="10"/>
        <v>4923026.1560000004</v>
      </c>
      <c r="J86" s="114" t="s">
        <v>22</v>
      </c>
      <c r="K86" s="502" t="s">
        <v>23</v>
      </c>
      <c r="L86" s="146"/>
      <c r="M86" s="70"/>
      <c r="N86" s="75"/>
      <c r="O86" s="75"/>
      <c r="P86" s="79"/>
      <c r="Q86" s="70"/>
      <c r="R86" s="75"/>
      <c r="S86" s="75"/>
      <c r="T86" s="75"/>
      <c r="U86" s="79"/>
    </row>
    <row r="87" spans="1:21" x14ac:dyDescent="0.25">
      <c r="A87" s="75">
        <f t="shared" si="12"/>
        <v>80</v>
      </c>
      <c r="B87" s="71">
        <v>46152</v>
      </c>
      <c r="C87" s="140">
        <v>40001818</v>
      </c>
      <c r="D87" s="75">
        <v>74909680</v>
      </c>
      <c r="E87" s="145">
        <v>59.85</v>
      </c>
      <c r="F87" s="31">
        <v>1086.1400000000001</v>
      </c>
      <c r="G87" s="556">
        <f t="shared" si="9"/>
        <v>65005.479000000007</v>
      </c>
      <c r="H87" s="36">
        <v>82601.11</v>
      </c>
      <c r="I87" s="37">
        <f t="shared" si="10"/>
        <v>4943676.4335000003</v>
      </c>
      <c r="J87" s="114" t="s">
        <v>22</v>
      </c>
      <c r="K87" s="502" t="s">
        <v>23</v>
      </c>
      <c r="L87" s="146"/>
      <c r="M87" s="70"/>
      <c r="N87" s="75"/>
      <c r="O87" s="75"/>
      <c r="P87" s="79"/>
      <c r="Q87" s="70"/>
      <c r="R87" s="75"/>
      <c r="S87" s="75"/>
      <c r="T87" s="75"/>
      <c r="U87" s="79"/>
    </row>
    <row r="88" spans="1:21" x14ac:dyDescent="0.25">
      <c r="A88" s="75">
        <f t="shared" si="12"/>
        <v>81</v>
      </c>
      <c r="B88" s="71">
        <v>46152</v>
      </c>
      <c r="C88" s="140">
        <v>40001818</v>
      </c>
      <c r="D88" s="75">
        <v>51344463</v>
      </c>
      <c r="E88" s="145">
        <v>50.3</v>
      </c>
      <c r="F88" s="31">
        <v>1086.1400000000001</v>
      </c>
      <c r="G88" s="556">
        <f t="shared" si="9"/>
        <v>54632.842000000004</v>
      </c>
      <c r="H88" s="36">
        <v>82601.11</v>
      </c>
      <c r="I88" s="37">
        <f t="shared" si="10"/>
        <v>4154835.8329999996</v>
      </c>
      <c r="J88" s="114" t="s">
        <v>22</v>
      </c>
      <c r="K88" s="502" t="s">
        <v>23</v>
      </c>
      <c r="L88" s="146"/>
      <c r="M88" s="70"/>
      <c r="N88" s="75"/>
      <c r="O88" s="75"/>
      <c r="P88" s="79"/>
      <c r="Q88" s="70"/>
      <c r="R88" s="75"/>
      <c r="S88" s="75"/>
      <c r="T88" s="75"/>
      <c r="U88" s="79"/>
    </row>
    <row r="89" spans="1:21" x14ac:dyDescent="0.25">
      <c r="A89" s="75">
        <f t="shared" si="12"/>
        <v>82</v>
      </c>
      <c r="B89" s="71">
        <v>46152</v>
      </c>
      <c r="C89" s="140">
        <v>40001818</v>
      </c>
      <c r="D89" s="75">
        <v>76828490</v>
      </c>
      <c r="E89" s="145">
        <v>60.1</v>
      </c>
      <c r="F89" s="31">
        <v>1086.1400000000001</v>
      </c>
      <c r="G89" s="556">
        <f t="shared" si="9"/>
        <v>65277.01400000001</v>
      </c>
      <c r="H89" s="36">
        <v>82601.11</v>
      </c>
      <c r="I89" s="37">
        <f t="shared" si="10"/>
        <v>4964326.7110000001</v>
      </c>
      <c r="J89" s="114" t="s">
        <v>22</v>
      </c>
      <c r="K89" s="502" t="s">
        <v>23</v>
      </c>
      <c r="L89" s="146"/>
      <c r="M89" s="70"/>
      <c r="N89" s="75"/>
      <c r="O89" s="75"/>
      <c r="P89" s="79"/>
      <c r="Q89" s="70"/>
      <c r="R89" s="75"/>
      <c r="S89" s="75"/>
      <c r="T89" s="75"/>
      <c r="U89" s="79"/>
    </row>
    <row r="90" spans="1:21" x14ac:dyDescent="0.25">
      <c r="A90" s="75">
        <f t="shared" si="12"/>
        <v>83</v>
      </c>
      <c r="B90" s="71">
        <v>46152</v>
      </c>
      <c r="C90" s="140">
        <v>40001818</v>
      </c>
      <c r="D90" s="75">
        <v>75131177</v>
      </c>
      <c r="E90" s="145">
        <v>60.2</v>
      </c>
      <c r="F90" s="31">
        <v>1086.1400000000001</v>
      </c>
      <c r="G90" s="556">
        <f t="shared" si="9"/>
        <v>65385.628000000012</v>
      </c>
      <c r="H90" s="36">
        <v>82601.11</v>
      </c>
      <c r="I90" s="37">
        <f t="shared" si="10"/>
        <v>4972586.8220000006</v>
      </c>
      <c r="J90" s="114" t="s">
        <v>22</v>
      </c>
      <c r="K90" s="502" t="s">
        <v>23</v>
      </c>
      <c r="L90" s="146"/>
      <c r="M90" s="70"/>
      <c r="N90" s="75"/>
      <c r="O90" s="75"/>
      <c r="P90" s="79"/>
      <c r="Q90" s="70"/>
      <c r="R90" s="75"/>
      <c r="S90" s="75"/>
      <c r="T90" s="75"/>
      <c r="U90" s="79"/>
    </row>
    <row r="91" spans="1:21" x14ac:dyDescent="0.25">
      <c r="A91" s="75">
        <f t="shared" si="12"/>
        <v>84</v>
      </c>
      <c r="B91" s="71">
        <v>46152</v>
      </c>
      <c r="C91" s="140">
        <v>40001818</v>
      </c>
      <c r="D91" s="75">
        <v>75104141</v>
      </c>
      <c r="E91" s="145">
        <v>59.45</v>
      </c>
      <c r="F91" s="31">
        <v>1086.1400000000001</v>
      </c>
      <c r="G91" s="556">
        <f t="shared" si="9"/>
        <v>64571.023000000008</v>
      </c>
      <c r="H91" s="36">
        <v>82601.11</v>
      </c>
      <c r="I91" s="37">
        <f t="shared" si="10"/>
        <v>4910635.9895000001</v>
      </c>
      <c r="J91" s="114" t="s">
        <v>22</v>
      </c>
      <c r="K91" s="502" t="s">
        <v>23</v>
      </c>
      <c r="L91" s="146"/>
      <c r="M91" s="70"/>
      <c r="N91" s="75"/>
      <c r="O91" s="75"/>
      <c r="P91" s="79"/>
      <c r="Q91" s="70"/>
      <c r="R91" s="75"/>
      <c r="S91" s="75"/>
      <c r="T91" s="75"/>
      <c r="U91" s="79"/>
    </row>
    <row r="92" spans="1:21" x14ac:dyDescent="0.25">
      <c r="A92" s="75">
        <f t="shared" si="12"/>
        <v>85</v>
      </c>
      <c r="B92" s="71">
        <v>46152</v>
      </c>
      <c r="C92" s="140">
        <v>40001818</v>
      </c>
      <c r="D92" s="75">
        <v>75015164</v>
      </c>
      <c r="E92" s="145">
        <v>59.1</v>
      </c>
      <c r="F92" s="31">
        <v>1086.1400000000001</v>
      </c>
      <c r="G92" s="556">
        <f t="shared" si="9"/>
        <v>64190.874000000011</v>
      </c>
      <c r="H92" s="36">
        <v>82601.11</v>
      </c>
      <c r="I92" s="37">
        <f t="shared" si="10"/>
        <v>4881725.6009999998</v>
      </c>
      <c r="J92" s="114" t="s">
        <v>22</v>
      </c>
      <c r="K92" s="502" t="s">
        <v>23</v>
      </c>
      <c r="L92" s="146"/>
      <c r="M92" s="70"/>
      <c r="N92" s="75"/>
      <c r="O92" s="75"/>
      <c r="P92" s="79"/>
      <c r="Q92" s="70"/>
      <c r="R92" s="75"/>
      <c r="S92" s="75"/>
      <c r="T92" s="75"/>
      <c r="U92" s="79"/>
    </row>
    <row r="93" spans="1:21" x14ac:dyDescent="0.25">
      <c r="A93" s="75">
        <f t="shared" si="12"/>
        <v>86</v>
      </c>
      <c r="B93" s="71">
        <v>46152</v>
      </c>
      <c r="C93" s="140">
        <v>40001818</v>
      </c>
      <c r="D93" s="75">
        <v>51705556</v>
      </c>
      <c r="E93" s="145">
        <v>51.45</v>
      </c>
      <c r="F93" s="31">
        <v>1086.1400000000001</v>
      </c>
      <c r="G93" s="556">
        <f t="shared" si="9"/>
        <v>55881.903000000006</v>
      </c>
      <c r="H93" s="36">
        <v>82601.11</v>
      </c>
      <c r="I93" s="37">
        <f t="shared" si="10"/>
        <v>4249827.1095000003</v>
      </c>
      <c r="J93" s="114" t="s">
        <v>22</v>
      </c>
      <c r="K93" s="502" t="s">
        <v>23</v>
      </c>
      <c r="L93" s="146"/>
      <c r="M93" s="70"/>
      <c r="N93" s="75"/>
      <c r="O93" s="75"/>
      <c r="P93" s="79"/>
      <c r="Q93" s="70"/>
      <c r="R93" s="75"/>
      <c r="S93" s="75"/>
      <c r="T93" s="75"/>
      <c r="U93" s="79"/>
    </row>
    <row r="94" spans="1:21" x14ac:dyDescent="0.25">
      <c r="A94" s="75">
        <f t="shared" si="12"/>
        <v>87</v>
      </c>
      <c r="B94" s="71">
        <v>46152</v>
      </c>
      <c r="C94" s="140">
        <v>40001818</v>
      </c>
      <c r="D94" s="75">
        <v>73098428</v>
      </c>
      <c r="E94" s="145">
        <v>59.65</v>
      </c>
      <c r="F94" s="31">
        <v>1086.1400000000001</v>
      </c>
      <c r="G94" s="556">
        <f t="shared" si="9"/>
        <v>64788.251000000004</v>
      </c>
      <c r="H94" s="36">
        <v>82601.11</v>
      </c>
      <c r="I94" s="37">
        <f t="shared" si="10"/>
        <v>4927156.2115000002</v>
      </c>
      <c r="J94" s="114" t="s">
        <v>22</v>
      </c>
      <c r="K94" s="502" t="s">
        <v>23</v>
      </c>
      <c r="L94" s="146"/>
      <c r="M94" s="70"/>
      <c r="N94" s="75"/>
      <c r="O94" s="75"/>
      <c r="P94" s="79"/>
      <c r="Q94" s="70"/>
      <c r="R94" s="75"/>
      <c r="S94" s="75"/>
      <c r="T94" s="75"/>
      <c r="U94" s="79"/>
    </row>
    <row r="95" spans="1:21" x14ac:dyDescent="0.25">
      <c r="A95" s="75">
        <f t="shared" si="12"/>
        <v>88</v>
      </c>
      <c r="B95" s="71">
        <v>46152</v>
      </c>
      <c r="C95" s="140">
        <v>40001818</v>
      </c>
      <c r="D95" s="73">
        <v>75062232</v>
      </c>
      <c r="E95" s="133">
        <v>59.5</v>
      </c>
      <c r="F95" s="31">
        <v>1086.1400000000001</v>
      </c>
      <c r="G95" s="556">
        <f t="shared" si="9"/>
        <v>64625.330000000009</v>
      </c>
      <c r="H95" s="36">
        <v>82601.11</v>
      </c>
      <c r="I95" s="37">
        <f t="shared" si="10"/>
        <v>4914766.0449999999</v>
      </c>
      <c r="J95" s="114" t="s">
        <v>22</v>
      </c>
      <c r="K95" s="502" t="s">
        <v>23</v>
      </c>
      <c r="L95" s="146"/>
      <c r="M95" s="70"/>
      <c r="N95" s="75"/>
      <c r="O95" s="75"/>
      <c r="P95" s="79"/>
      <c r="Q95" s="70"/>
      <c r="R95" s="75"/>
      <c r="S95" s="75"/>
      <c r="T95" s="75"/>
      <c r="U95" s="79"/>
    </row>
    <row r="96" spans="1:21" x14ac:dyDescent="0.25">
      <c r="A96" s="75">
        <f t="shared" si="12"/>
        <v>89</v>
      </c>
      <c r="B96" s="71">
        <v>46152</v>
      </c>
      <c r="C96" s="140">
        <v>40001818</v>
      </c>
      <c r="D96" s="75">
        <v>52090099</v>
      </c>
      <c r="E96" s="145">
        <v>59.65</v>
      </c>
      <c r="F96" s="31">
        <v>1086.1400000000001</v>
      </c>
      <c r="G96" s="556">
        <f t="shared" si="9"/>
        <v>64788.251000000004</v>
      </c>
      <c r="H96" s="36">
        <v>82601.11</v>
      </c>
      <c r="I96" s="37">
        <f t="shared" si="10"/>
        <v>4927156.2115000002</v>
      </c>
      <c r="J96" s="114" t="s">
        <v>22</v>
      </c>
      <c r="K96" s="502" t="s">
        <v>23</v>
      </c>
      <c r="L96" s="146"/>
      <c r="M96" s="70"/>
      <c r="N96" s="75"/>
      <c r="O96" s="75"/>
      <c r="P96" s="79"/>
      <c r="Q96" s="70"/>
      <c r="R96" s="75"/>
      <c r="S96" s="75"/>
      <c r="T96" s="75"/>
      <c r="U96" s="79"/>
    </row>
    <row r="97" spans="1:21" x14ac:dyDescent="0.25">
      <c r="A97" s="75">
        <f t="shared" si="12"/>
        <v>90</v>
      </c>
      <c r="B97" s="71">
        <v>46152</v>
      </c>
      <c r="C97" s="140">
        <v>40001818</v>
      </c>
      <c r="D97" s="75">
        <v>53944740</v>
      </c>
      <c r="E97" s="145">
        <v>50</v>
      </c>
      <c r="F97" s="31">
        <v>1086.1400000000001</v>
      </c>
      <c r="G97" s="556">
        <f t="shared" si="9"/>
        <v>54307.000000000007</v>
      </c>
      <c r="H97" s="36">
        <v>82601.11</v>
      </c>
      <c r="I97" s="37">
        <f t="shared" si="10"/>
        <v>4130055.5</v>
      </c>
      <c r="J97" s="114" t="s">
        <v>22</v>
      </c>
      <c r="K97" s="502" t="s">
        <v>23</v>
      </c>
      <c r="L97" s="146"/>
      <c r="M97" s="70"/>
      <c r="N97" s="75"/>
      <c r="O97" s="75"/>
      <c r="P97" s="79"/>
      <c r="Q97" s="70"/>
      <c r="R97" s="75"/>
      <c r="S97" s="75"/>
      <c r="T97" s="75"/>
      <c r="U97" s="79"/>
    </row>
    <row r="98" spans="1:21" ht="15.75" thickBot="1" x14ac:dyDescent="0.3">
      <c r="A98" s="105">
        <f t="shared" si="12"/>
        <v>91</v>
      </c>
      <c r="B98" s="188">
        <v>46152</v>
      </c>
      <c r="C98" s="155">
        <v>40001818</v>
      </c>
      <c r="D98" s="105">
        <v>73214736</v>
      </c>
      <c r="E98" s="148">
        <v>59.6</v>
      </c>
      <c r="F98" s="31">
        <v>1086.1400000000001</v>
      </c>
      <c r="G98" s="557">
        <f t="shared" si="9"/>
        <v>64733.94400000001</v>
      </c>
      <c r="H98" s="38">
        <v>82601.11</v>
      </c>
      <c r="I98" s="39">
        <f t="shared" si="10"/>
        <v>4923026.1560000004</v>
      </c>
      <c r="J98" s="137" t="s">
        <v>22</v>
      </c>
      <c r="K98" s="558" t="s">
        <v>23</v>
      </c>
      <c r="L98" s="149"/>
      <c r="M98" s="80"/>
      <c r="N98" s="88"/>
      <c r="O98" s="88"/>
      <c r="P98" s="89"/>
      <c r="Q98" s="80"/>
      <c r="R98" s="88"/>
      <c r="S98" s="88"/>
      <c r="T98" s="88"/>
      <c r="U98" s="89"/>
    </row>
    <row r="99" spans="1:21" ht="15.75" thickBot="1" x14ac:dyDescent="0.3">
      <c r="A99" s="233"/>
      <c r="B99" s="234"/>
      <c r="C99" s="234"/>
      <c r="D99" s="234"/>
      <c r="E99" s="235">
        <f>SUM(E59:E98)</f>
        <v>2314.8999999999996</v>
      </c>
      <c r="F99" s="624"/>
      <c r="G99" s="237">
        <f>SUM(G60:G98)</f>
        <v>2449734.4630000009</v>
      </c>
      <c r="H99" s="624"/>
      <c r="I99" s="238">
        <f>SUM(I60:I98)</f>
        <v>186302673.54949993</v>
      </c>
      <c r="J99" s="234"/>
      <c r="K99" s="239"/>
      <c r="L99" s="370"/>
      <c r="M99" s="253"/>
      <c r="N99" s="254"/>
      <c r="O99" s="254"/>
      <c r="P99" s="255"/>
      <c r="Q99" s="253"/>
      <c r="R99" s="254"/>
      <c r="S99" s="254"/>
      <c r="T99" s="254"/>
      <c r="U99" s="255"/>
    </row>
    <row r="100" spans="1:21" x14ac:dyDescent="0.25">
      <c r="A100" s="207">
        <f>A98+1</f>
        <v>92</v>
      </c>
      <c r="B100" s="71">
        <v>46157</v>
      </c>
      <c r="C100" s="152">
        <v>40002242</v>
      </c>
      <c r="D100" s="152">
        <v>50434166</v>
      </c>
      <c r="E100" s="153">
        <v>51.25</v>
      </c>
      <c r="F100" s="31">
        <v>1086.1400000000001</v>
      </c>
      <c r="G100" s="228">
        <f t="shared" ref="G100:G107" si="13">E100*F100</f>
        <v>55664.675000000003</v>
      </c>
      <c r="H100" s="34">
        <v>82601.11</v>
      </c>
      <c r="I100" s="35">
        <f t="shared" ref="I100:I107" si="14">E100*H100</f>
        <v>4233306.8875000002</v>
      </c>
      <c r="J100" s="212" t="s">
        <v>22</v>
      </c>
      <c r="K100" s="554" t="s">
        <v>23</v>
      </c>
      <c r="L100" s="143"/>
      <c r="M100" s="57"/>
      <c r="N100" s="68"/>
      <c r="O100" s="68"/>
      <c r="P100" s="69"/>
      <c r="Q100" s="245"/>
      <c r="R100" s="68"/>
      <c r="S100" s="68"/>
      <c r="T100" s="68"/>
      <c r="U100" s="69"/>
    </row>
    <row r="101" spans="1:21" x14ac:dyDescent="0.25">
      <c r="A101" s="70">
        <f>A100+1</f>
        <v>93</v>
      </c>
      <c r="B101" s="98">
        <v>46157</v>
      </c>
      <c r="C101" s="73">
        <v>40002242</v>
      </c>
      <c r="D101" s="73">
        <v>51142453</v>
      </c>
      <c r="E101" s="74">
        <v>50.7</v>
      </c>
      <c r="F101" s="31">
        <v>1086.1400000000001</v>
      </c>
      <c r="G101" s="556">
        <f t="shared" si="13"/>
        <v>55067.29800000001</v>
      </c>
      <c r="H101" s="36">
        <v>82601.11</v>
      </c>
      <c r="I101" s="37">
        <f t="shared" si="14"/>
        <v>4187876.2770000002</v>
      </c>
      <c r="J101" s="114" t="s">
        <v>22</v>
      </c>
      <c r="K101" s="502" t="s">
        <v>23</v>
      </c>
      <c r="L101" s="146"/>
      <c r="M101" s="70"/>
      <c r="N101" s="75"/>
      <c r="O101" s="75"/>
      <c r="P101" s="79"/>
      <c r="Q101" s="247"/>
      <c r="R101" s="75"/>
      <c r="S101" s="75"/>
      <c r="T101" s="75"/>
      <c r="U101" s="79"/>
    </row>
    <row r="102" spans="1:21" x14ac:dyDescent="0.25">
      <c r="A102" s="70">
        <f t="shared" ref="A102:A107" si="15">A101+1</f>
        <v>94</v>
      </c>
      <c r="B102" s="98">
        <v>46157</v>
      </c>
      <c r="C102" s="73">
        <v>40002242</v>
      </c>
      <c r="D102" s="73">
        <v>54712708</v>
      </c>
      <c r="E102" s="74">
        <v>59.4</v>
      </c>
      <c r="F102" s="31">
        <v>1086.1400000000001</v>
      </c>
      <c r="G102" s="556">
        <f t="shared" si="13"/>
        <v>64516.716000000008</v>
      </c>
      <c r="H102" s="36">
        <v>82601.11</v>
      </c>
      <c r="I102" s="37">
        <f t="shared" si="14"/>
        <v>4906505.9340000004</v>
      </c>
      <c r="J102" s="114" t="s">
        <v>22</v>
      </c>
      <c r="K102" s="502" t="s">
        <v>23</v>
      </c>
      <c r="L102" s="146"/>
      <c r="M102" s="70"/>
      <c r="N102" s="75"/>
      <c r="O102" s="75"/>
      <c r="P102" s="79"/>
      <c r="Q102" s="247"/>
      <c r="R102" s="75"/>
      <c r="S102" s="75"/>
      <c r="T102" s="75"/>
      <c r="U102" s="79"/>
    </row>
    <row r="103" spans="1:21" x14ac:dyDescent="0.25">
      <c r="A103" s="70">
        <f t="shared" si="15"/>
        <v>95</v>
      </c>
      <c r="B103" s="98">
        <v>46157</v>
      </c>
      <c r="C103" s="73">
        <v>40002242</v>
      </c>
      <c r="D103" s="73">
        <v>73186652</v>
      </c>
      <c r="E103" s="74">
        <v>59.5</v>
      </c>
      <c r="F103" s="31">
        <v>1086.1400000000001</v>
      </c>
      <c r="G103" s="556">
        <f t="shared" si="13"/>
        <v>64625.330000000009</v>
      </c>
      <c r="H103" s="36">
        <v>82601.11</v>
      </c>
      <c r="I103" s="37">
        <f t="shared" si="14"/>
        <v>4914766.0449999999</v>
      </c>
      <c r="J103" s="114" t="s">
        <v>22</v>
      </c>
      <c r="K103" s="502" t="s">
        <v>23</v>
      </c>
      <c r="L103" s="146"/>
      <c r="M103" s="70"/>
      <c r="N103" s="75"/>
      <c r="O103" s="75"/>
      <c r="P103" s="79"/>
      <c r="Q103" s="247"/>
      <c r="R103" s="75"/>
      <c r="S103" s="75"/>
      <c r="T103" s="75"/>
      <c r="U103" s="79"/>
    </row>
    <row r="104" spans="1:21" x14ac:dyDescent="0.25">
      <c r="A104" s="70">
        <f t="shared" si="15"/>
        <v>96</v>
      </c>
      <c r="B104" s="98">
        <v>46157</v>
      </c>
      <c r="C104" s="73">
        <v>40002242</v>
      </c>
      <c r="D104" s="73">
        <v>73197212</v>
      </c>
      <c r="E104" s="74">
        <v>59.6</v>
      </c>
      <c r="F104" s="31">
        <v>1086.1400000000001</v>
      </c>
      <c r="G104" s="556">
        <f t="shared" si="13"/>
        <v>64733.94400000001</v>
      </c>
      <c r="H104" s="36">
        <v>82601.11</v>
      </c>
      <c r="I104" s="37">
        <f t="shared" si="14"/>
        <v>4923026.1560000004</v>
      </c>
      <c r="J104" s="114" t="s">
        <v>22</v>
      </c>
      <c r="K104" s="502" t="s">
        <v>23</v>
      </c>
      <c r="L104" s="146"/>
      <c r="M104" s="70"/>
      <c r="N104" s="75"/>
      <c r="O104" s="75"/>
      <c r="P104" s="79"/>
      <c r="Q104" s="247"/>
      <c r="R104" s="75"/>
      <c r="S104" s="75"/>
      <c r="T104" s="75"/>
      <c r="U104" s="79"/>
    </row>
    <row r="105" spans="1:21" x14ac:dyDescent="0.25">
      <c r="A105" s="70">
        <f t="shared" si="15"/>
        <v>97</v>
      </c>
      <c r="B105" s="98">
        <v>46157</v>
      </c>
      <c r="C105" s="73">
        <v>40002242</v>
      </c>
      <c r="D105" s="73">
        <v>75110650</v>
      </c>
      <c r="E105" s="74">
        <v>59.35</v>
      </c>
      <c r="F105" s="31">
        <v>1086.1400000000001</v>
      </c>
      <c r="G105" s="556">
        <f t="shared" si="13"/>
        <v>64462.409000000007</v>
      </c>
      <c r="H105" s="36">
        <v>82601.11</v>
      </c>
      <c r="I105" s="37">
        <f t="shared" si="14"/>
        <v>4902375.8785000006</v>
      </c>
      <c r="J105" s="114" t="s">
        <v>22</v>
      </c>
      <c r="K105" s="502" t="s">
        <v>23</v>
      </c>
      <c r="L105" s="146"/>
      <c r="M105" s="70"/>
      <c r="N105" s="75"/>
      <c r="O105" s="75"/>
      <c r="P105" s="79"/>
      <c r="Q105" s="247"/>
      <c r="R105" s="75"/>
      <c r="S105" s="75"/>
      <c r="T105" s="75"/>
      <c r="U105" s="79"/>
    </row>
    <row r="106" spans="1:21" x14ac:dyDescent="0.25">
      <c r="A106" s="70">
        <f t="shared" si="15"/>
        <v>98</v>
      </c>
      <c r="B106" s="98">
        <v>46157</v>
      </c>
      <c r="C106" s="73">
        <v>40002242</v>
      </c>
      <c r="D106" s="73">
        <v>75216929</v>
      </c>
      <c r="E106" s="74">
        <v>59.95</v>
      </c>
      <c r="F106" s="31">
        <v>1086.1400000000001</v>
      </c>
      <c r="G106" s="556">
        <f t="shared" si="13"/>
        <v>65114.093000000008</v>
      </c>
      <c r="H106" s="36">
        <v>82601.11</v>
      </c>
      <c r="I106" s="37">
        <f t="shared" si="14"/>
        <v>4951936.5444999998</v>
      </c>
      <c r="J106" s="114" t="s">
        <v>22</v>
      </c>
      <c r="K106" s="502" t="s">
        <v>23</v>
      </c>
      <c r="L106" s="146"/>
      <c r="M106" s="70"/>
      <c r="N106" s="75"/>
      <c r="O106" s="75"/>
      <c r="P106" s="79"/>
      <c r="Q106" s="247"/>
      <c r="R106" s="75"/>
      <c r="S106" s="75"/>
      <c r="T106" s="75"/>
      <c r="U106" s="79"/>
    </row>
    <row r="107" spans="1:21" ht="15.75" thickBot="1" x14ac:dyDescent="0.3">
      <c r="A107" s="101">
        <f t="shared" si="15"/>
        <v>99</v>
      </c>
      <c r="B107" s="135">
        <v>46157</v>
      </c>
      <c r="C107" s="103">
        <v>40002242</v>
      </c>
      <c r="D107" s="103">
        <v>75290882</v>
      </c>
      <c r="E107" s="104">
        <v>59.95</v>
      </c>
      <c r="F107" s="31">
        <v>1086.1400000000001</v>
      </c>
      <c r="G107" s="557">
        <f t="shared" si="13"/>
        <v>65114.093000000008</v>
      </c>
      <c r="H107" s="38">
        <v>82601.11</v>
      </c>
      <c r="I107" s="39">
        <f t="shared" si="14"/>
        <v>4951936.5444999998</v>
      </c>
      <c r="J107" s="137" t="s">
        <v>22</v>
      </c>
      <c r="K107" s="558" t="s">
        <v>23</v>
      </c>
      <c r="L107" s="149"/>
      <c r="M107" s="80"/>
      <c r="N107" s="88"/>
      <c r="O107" s="88"/>
      <c r="P107" s="89"/>
      <c r="Q107" s="250"/>
      <c r="R107" s="88"/>
      <c r="S107" s="88"/>
      <c r="T107" s="88"/>
      <c r="U107" s="89"/>
    </row>
    <row r="108" spans="1:21" ht="15.75" thickBot="1" x14ac:dyDescent="0.3">
      <c r="A108" s="233"/>
      <c r="B108" s="234"/>
      <c r="C108" s="234"/>
      <c r="D108" s="234"/>
      <c r="E108" s="235">
        <f>SUM(E100:E107)</f>
        <v>459.7</v>
      </c>
      <c r="F108" s="624"/>
      <c r="G108" s="237">
        <f>SUM(G100:G107)</f>
        <v>499298.55800000002</v>
      </c>
      <c r="H108" s="624"/>
      <c r="I108" s="238">
        <f>SUM(I100:I107)</f>
        <v>37971730.266999997</v>
      </c>
      <c r="J108" s="234"/>
      <c r="K108" s="239"/>
      <c r="L108" s="240"/>
      <c r="M108" s="253"/>
      <c r="N108" s="254"/>
      <c r="O108" s="254"/>
      <c r="P108" s="255"/>
      <c r="Q108" s="256"/>
      <c r="R108" s="254"/>
      <c r="S108" s="254"/>
      <c r="T108" s="254"/>
      <c r="U108" s="255"/>
    </row>
    <row r="109" spans="1:21" x14ac:dyDescent="0.25">
      <c r="A109" s="207">
        <f>A107+1</f>
        <v>100</v>
      </c>
      <c r="B109" s="71">
        <v>46163</v>
      </c>
      <c r="C109" s="649">
        <v>40003013</v>
      </c>
      <c r="D109" s="649">
        <v>50913524</v>
      </c>
      <c r="E109" s="650">
        <v>59.05</v>
      </c>
      <c r="F109" s="31">
        <v>1086.1400000000001</v>
      </c>
      <c r="G109" s="228">
        <f t="shared" ref="G109:G123" si="16">E109*F109</f>
        <v>64136.567000000003</v>
      </c>
      <c r="H109" s="34">
        <v>82601.11</v>
      </c>
      <c r="I109" s="35">
        <f t="shared" ref="I109:I123" si="17">E109*H109</f>
        <v>4877595.5455</v>
      </c>
      <c r="J109" s="212" t="s">
        <v>22</v>
      </c>
      <c r="K109" s="554" t="s">
        <v>23</v>
      </c>
      <c r="L109" s="230"/>
      <c r="M109" s="57"/>
      <c r="N109" s="68"/>
      <c r="O109" s="68"/>
      <c r="P109" s="69"/>
      <c r="Q109" s="245"/>
      <c r="R109" s="68"/>
      <c r="S109" s="68"/>
      <c r="T109" s="68"/>
      <c r="U109" s="69"/>
    </row>
    <row r="110" spans="1:21" x14ac:dyDescent="0.25">
      <c r="A110" s="70">
        <f>A109+1</f>
        <v>101</v>
      </c>
      <c r="B110" s="98">
        <v>46163</v>
      </c>
      <c r="C110" s="535">
        <v>40003013</v>
      </c>
      <c r="D110" s="535">
        <v>54717392</v>
      </c>
      <c r="E110" s="536">
        <v>58.9</v>
      </c>
      <c r="F110" s="31">
        <v>1086.1400000000001</v>
      </c>
      <c r="G110" s="556">
        <f t="shared" si="16"/>
        <v>63973.646000000008</v>
      </c>
      <c r="H110" s="36">
        <v>82601.11</v>
      </c>
      <c r="I110" s="37">
        <f t="shared" si="17"/>
        <v>4865205.3789999997</v>
      </c>
      <c r="J110" s="114" t="s">
        <v>22</v>
      </c>
      <c r="K110" s="502" t="s">
        <v>23</v>
      </c>
      <c r="L110" s="231"/>
      <c r="M110" s="70"/>
      <c r="N110" s="75"/>
      <c r="O110" s="75"/>
      <c r="P110" s="79"/>
      <c r="Q110" s="247"/>
      <c r="R110" s="75"/>
      <c r="S110" s="75"/>
      <c r="T110" s="75"/>
      <c r="U110" s="79"/>
    </row>
    <row r="111" spans="1:21" x14ac:dyDescent="0.25">
      <c r="A111" s="70">
        <f t="shared" ref="A111:A123" si="18">A110+1</f>
        <v>102</v>
      </c>
      <c r="B111" s="98">
        <v>46163</v>
      </c>
      <c r="C111" s="535">
        <v>40003013</v>
      </c>
      <c r="D111" s="535">
        <v>54746367</v>
      </c>
      <c r="E111" s="536">
        <v>58.95</v>
      </c>
      <c r="F111" s="31">
        <v>1086.1400000000001</v>
      </c>
      <c r="G111" s="556">
        <f t="shared" si="16"/>
        <v>64027.953000000009</v>
      </c>
      <c r="H111" s="36">
        <v>82601.11</v>
      </c>
      <c r="I111" s="37">
        <f t="shared" si="17"/>
        <v>4869335.4345000004</v>
      </c>
      <c r="J111" s="114" t="s">
        <v>22</v>
      </c>
      <c r="K111" s="502" t="s">
        <v>23</v>
      </c>
      <c r="L111" s="231"/>
      <c r="M111" s="70"/>
      <c r="N111" s="75"/>
      <c r="O111" s="75"/>
      <c r="P111" s="79"/>
      <c r="Q111" s="247"/>
      <c r="R111" s="75"/>
      <c r="S111" s="75"/>
      <c r="T111" s="75"/>
      <c r="U111" s="79"/>
    </row>
    <row r="112" spans="1:21" x14ac:dyDescent="0.25">
      <c r="A112" s="70">
        <f t="shared" si="18"/>
        <v>103</v>
      </c>
      <c r="B112" s="98">
        <v>46163</v>
      </c>
      <c r="C112" s="535">
        <v>40003013</v>
      </c>
      <c r="D112" s="535">
        <v>73009631</v>
      </c>
      <c r="E112" s="536">
        <v>59.35</v>
      </c>
      <c r="F112" s="31">
        <v>1086.1400000000001</v>
      </c>
      <c r="G112" s="556">
        <f t="shared" si="16"/>
        <v>64462.409000000007</v>
      </c>
      <c r="H112" s="36">
        <v>82601.11</v>
      </c>
      <c r="I112" s="37">
        <f t="shared" si="17"/>
        <v>4902375.8785000006</v>
      </c>
      <c r="J112" s="114" t="s">
        <v>22</v>
      </c>
      <c r="K112" s="502" t="s">
        <v>23</v>
      </c>
      <c r="L112" s="231"/>
      <c r="M112" s="70"/>
      <c r="N112" s="75"/>
      <c r="O112" s="75"/>
      <c r="P112" s="79"/>
      <c r="Q112" s="247"/>
      <c r="R112" s="75"/>
      <c r="S112" s="75"/>
      <c r="T112" s="75"/>
      <c r="U112" s="79"/>
    </row>
    <row r="113" spans="1:21" x14ac:dyDescent="0.25">
      <c r="A113" s="70">
        <f t="shared" si="18"/>
        <v>104</v>
      </c>
      <c r="B113" s="98">
        <v>46163</v>
      </c>
      <c r="C113" s="535">
        <v>40003013</v>
      </c>
      <c r="D113" s="535">
        <v>73049934</v>
      </c>
      <c r="E113" s="536">
        <v>59.6</v>
      </c>
      <c r="F113" s="31">
        <v>1086.1400000000001</v>
      </c>
      <c r="G113" s="556">
        <f t="shared" si="16"/>
        <v>64733.94400000001</v>
      </c>
      <c r="H113" s="36">
        <v>82601.11</v>
      </c>
      <c r="I113" s="37">
        <f t="shared" si="17"/>
        <v>4923026.1560000004</v>
      </c>
      <c r="J113" s="114" t="s">
        <v>22</v>
      </c>
      <c r="K113" s="502" t="s">
        <v>23</v>
      </c>
      <c r="L113" s="231"/>
      <c r="M113" s="70"/>
      <c r="N113" s="75"/>
      <c r="O113" s="75"/>
      <c r="P113" s="79"/>
      <c r="Q113" s="247"/>
      <c r="R113" s="75"/>
      <c r="S113" s="75"/>
      <c r="T113" s="75"/>
      <c r="U113" s="79"/>
    </row>
    <row r="114" spans="1:21" x14ac:dyDescent="0.25">
      <c r="A114" s="70">
        <f t="shared" si="18"/>
        <v>105</v>
      </c>
      <c r="B114" s="98">
        <v>46163</v>
      </c>
      <c r="C114" s="535">
        <v>40003013</v>
      </c>
      <c r="D114" s="535">
        <v>73102048</v>
      </c>
      <c r="E114" s="536">
        <v>59.35</v>
      </c>
      <c r="F114" s="31">
        <v>1086.1400000000001</v>
      </c>
      <c r="G114" s="556">
        <f t="shared" si="16"/>
        <v>64462.409000000007</v>
      </c>
      <c r="H114" s="36">
        <v>82601.11</v>
      </c>
      <c r="I114" s="37">
        <f t="shared" si="17"/>
        <v>4902375.8785000006</v>
      </c>
      <c r="J114" s="114" t="s">
        <v>22</v>
      </c>
      <c r="K114" s="502" t="s">
        <v>23</v>
      </c>
      <c r="L114" s="231"/>
      <c r="M114" s="70"/>
      <c r="N114" s="75"/>
      <c r="O114" s="75"/>
      <c r="P114" s="79"/>
      <c r="Q114" s="247"/>
      <c r="R114" s="75"/>
      <c r="S114" s="75"/>
      <c r="T114" s="75"/>
      <c r="U114" s="79"/>
    </row>
    <row r="115" spans="1:21" x14ac:dyDescent="0.25">
      <c r="A115" s="70">
        <f t="shared" si="18"/>
        <v>106</v>
      </c>
      <c r="B115" s="98">
        <v>46163</v>
      </c>
      <c r="C115" s="535">
        <v>40003013</v>
      </c>
      <c r="D115" s="535">
        <v>73102907</v>
      </c>
      <c r="E115" s="536">
        <v>59.3</v>
      </c>
      <c r="F115" s="31">
        <v>1086.1400000000001</v>
      </c>
      <c r="G115" s="556">
        <f t="shared" si="16"/>
        <v>64408.102000000006</v>
      </c>
      <c r="H115" s="36">
        <v>82601.11</v>
      </c>
      <c r="I115" s="37">
        <f t="shared" si="17"/>
        <v>4898245.8229999999</v>
      </c>
      <c r="J115" s="114" t="s">
        <v>22</v>
      </c>
      <c r="K115" s="502" t="s">
        <v>23</v>
      </c>
      <c r="L115" s="231"/>
      <c r="M115" s="70"/>
      <c r="N115" s="75"/>
      <c r="O115" s="75"/>
      <c r="P115" s="79"/>
      <c r="Q115" s="247"/>
      <c r="R115" s="75"/>
      <c r="S115" s="75"/>
      <c r="T115" s="75"/>
      <c r="U115" s="79"/>
    </row>
    <row r="116" spans="1:21" x14ac:dyDescent="0.25">
      <c r="A116" s="70">
        <f t="shared" si="18"/>
        <v>107</v>
      </c>
      <c r="B116" s="98">
        <v>46163</v>
      </c>
      <c r="C116" s="535">
        <v>40003013</v>
      </c>
      <c r="D116" s="535">
        <v>73118515</v>
      </c>
      <c r="E116" s="536">
        <v>59.6</v>
      </c>
      <c r="F116" s="31">
        <v>1086.1400000000001</v>
      </c>
      <c r="G116" s="556">
        <f t="shared" si="16"/>
        <v>64733.94400000001</v>
      </c>
      <c r="H116" s="36">
        <v>82601.11</v>
      </c>
      <c r="I116" s="37">
        <f t="shared" si="17"/>
        <v>4923026.1560000004</v>
      </c>
      <c r="J116" s="114" t="s">
        <v>22</v>
      </c>
      <c r="K116" s="502" t="s">
        <v>23</v>
      </c>
      <c r="L116" s="231"/>
      <c r="M116" s="70"/>
      <c r="N116" s="75"/>
      <c r="O116" s="75"/>
      <c r="P116" s="79"/>
      <c r="Q116" s="247"/>
      <c r="R116" s="75"/>
      <c r="S116" s="75"/>
      <c r="T116" s="75"/>
      <c r="U116" s="79"/>
    </row>
    <row r="117" spans="1:21" x14ac:dyDescent="0.25">
      <c r="A117" s="70">
        <f t="shared" si="18"/>
        <v>108</v>
      </c>
      <c r="B117" s="98">
        <v>46163</v>
      </c>
      <c r="C117" s="535">
        <v>40003013</v>
      </c>
      <c r="D117" s="535">
        <v>73133571</v>
      </c>
      <c r="E117" s="536">
        <v>59.4</v>
      </c>
      <c r="F117" s="31">
        <v>1086.1400000000001</v>
      </c>
      <c r="G117" s="556">
        <f t="shared" si="16"/>
        <v>64516.716000000008</v>
      </c>
      <c r="H117" s="36">
        <v>82601.11</v>
      </c>
      <c r="I117" s="37">
        <f t="shared" si="17"/>
        <v>4906505.9340000004</v>
      </c>
      <c r="J117" s="114" t="s">
        <v>22</v>
      </c>
      <c r="K117" s="502" t="s">
        <v>23</v>
      </c>
      <c r="L117" s="231"/>
      <c r="M117" s="70"/>
      <c r="N117" s="75"/>
      <c r="O117" s="75"/>
      <c r="P117" s="79"/>
      <c r="Q117" s="247"/>
      <c r="R117" s="75"/>
      <c r="S117" s="75"/>
      <c r="T117" s="75"/>
      <c r="U117" s="79"/>
    </row>
    <row r="118" spans="1:21" x14ac:dyDescent="0.25">
      <c r="A118" s="70">
        <f t="shared" si="18"/>
        <v>109</v>
      </c>
      <c r="B118" s="98">
        <v>46163</v>
      </c>
      <c r="C118" s="535">
        <v>40003013</v>
      </c>
      <c r="D118" s="535">
        <v>73168833</v>
      </c>
      <c r="E118" s="536">
        <v>59.4</v>
      </c>
      <c r="F118" s="31">
        <v>1086.1400000000001</v>
      </c>
      <c r="G118" s="556">
        <f t="shared" si="16"/>
        <v>64516.716000000008</v>
      </c>
      <c r="H118" s="36">
        <v>82601.11</v>
      </c>
      <c r="I118" s="37">
        <f t="shared" si="17"/>
        <v>4906505.9340000004</v>
      </c>
      <c r="J118" s="114" t="s">
        <v>22</v>
      </c>
      <c r="K118" s="502" t="s">
        <v>23</v>
      </c>
      <c r="L118" s="231"/>
      <c r="M118" s="70"/>
      <c r="N118" s="75"/>
      <c r="O118" s="75"/>
      <c r="P118" s="79"/>
      <c r="Q118" s="247"/>
      <c r="R118" s="75"/>
      <c r="S118" s="75"/>
      <c r="T118" s="75"/>
      <c r="U118" s="79"/>
    </row>
    <row r="119" spans="1:21" x14ac:dyDescent="0.25">
      <c r="A119" s="70">
        <f t="shared" si="18"/>
        <v>110</v>
      </c>
      <c r="B119" s="98">
        <v>46163</v>
      </c>
      <c r="C119" s="535">
        <v>40003013</v>
      </c>
      <c r="D119" s="535">
        <v>73229882</v>
      </c>
      <c r="E119" s="536">
        <v>59.5</v>
      </c>
      <c r="F119" s="31">
        <v>1086.1400000000001</v>
      </c>
      <c r="G119" s="556">
        <f t="shared" si="16"/>
        <v>64625.330000000009</v>
      </c>
      <c r="H119" s="36">
        <v>82601.11</v>
      </c>
      <c r="I119" s="37">
        <f t="shared" si="17"/>
        <v>4914766.0449999999</v>
      </c>
      <c r="J119" s="114" t="s">
        <v>22</v>
      </c>
      <c r="K119" s="502" t="s">
        <v>23</v>
      </c>
      <c r="L119" s="231"/>
      <c r="M119" s="70"/>
      <c r="N119" s="75"/>
      <c r="O119" s="75"/>
      <c r="P119" s="79"/>
      <c r="Q119" s="247"/>
      <c r="R119" s="75"/>
      <c r="S119" s="75"/>
      <c r="T119" s="75"/>
      <c r="U119" s="79"/>
    </row>
    <row r="120" spans="1:21" x14ac:dyDescent="0.25">
      <c r="A120" s="70">
        <f t="shared" si="18"/>
        <v>111</v>
      </c>
      <c r="B120" s="98">
        <v>46163</v>
      </c>
      <c r="C120" s="535">
        <v>40003013</v>
      </c>
      <c r="D120" s="535">
        <v>73236978</v>
      </c>
      <c r="E120" s="536">
        <v>59.6</v>
      </c>
      <c r="F120" s="31">
        <v>1086.1400000000001</v>
      </c>
      <c r="G120" s="556">
        <f t="shared" si="16"/>
        <v>64733.94400000001</v>
      </c>
      <c r="H120" s="36">
        <v>82601.11</v>
      </c>
      <c r="I120" s="37">
        <f t="shared" si="17"/>
        <v>4923026.1560000004</v>
      </c>
      <c r="J120" s="114" t="s">
        <v>22</v>
      </c>
      <c r="K120" s="502" t="s">
        <v>23</v>
      </c>
      <c r="L120" s="231"/>
      <c r="M120" s="70"/>
      <c r="N120" s="75"/>
      <c r="O120" s="75"/>
      <c r="P120" s="79"/>
      <c r="Q120" s="247"/>
      <c r="R120" s="75"/>
      <c r="S120" s="75"/>
      <c r="T120" s="75"/>
      <c r="U120" s="79"/>
    </row>
    <row r="121" spans="1:21" x14ac:dyDescent="0.25">
      <c r="A121" s="70">
        <f t="shared" si="18"/>
        <v>112</v>
      </c>
      <c r="B121" s="98">
        <v>46163</v>
      </c>
      <c r="C121" s="535">
        <v>40003013</v>
      </c>
      <c r="D121" s="535">
        <v>73240533</v>
      </c>
      <c r="E121" s="536">
        <v>59.3</v>
      </c>
      <c r="F121" s="31">
        <v>1086.1400000000001</v>
      </c>
      <c r="G121" s="556">
        <f t="shared" si="16"/>
        <v>64408.102000000006</v>
      </c>
      <c r="H121" s="36">
        <v>82601.11</v>
      </c>
      <c r="I121" s="37">
        <f t="shared" si="17"/>
        <v>4898245.8229999999</v>
      </c>
      <c r="J121" s="114" t="s">
        <v>22</v>
      </c>
      <c r="K121" s="502" t="s">
        <v>23</v>
      </c>
      <c r="L121" s="231"/>
      <c r="M121" s="70"/>
      <c r="N121" s="75"/>
      <c r="O121" s="75"/>
      <c r="P121" s="79"/>
      <c r="Q121" s="247"/>
      <c r="R121" s="75"/>
      <c r="S121" s="75"/>
      <c r="T121" s="75"/>
      <c r="U121" s="79"/>
    </row>
    <row r="122" spans="1:21" x14ac:dyDescent="0.25">
      <c r="A122" s="70">
        <f t="shared" si="18"/>
        <v>113</v>
      </c>
      <c r="B122" s="98">
        <v>46163</v>
      </c>
      <c r="C122" s="535">
        <v>40003013</v>
      </c>
      <c r="D122" s="535">
        <v>73241630</v>
      </c>
      <c r="E122" s="536">
        <v>59.7</v>
      </c>
      <c r="F122" s="31">
        <v>1086.1400000000001</v>
      </c>
      <c r="G122" s="556">
        <f t="shared" si="16"/>
        <v>64842.558000000012</v>
      </c>
      <c r="H122" s="36">
        <v>82601.11</v>
      </c>
      <c r="I122" s="37">
        <f t="shared" si="17"/>
        <v>4931286.267</v>
      </c>
      <c r="J122" s="114" t="s">
        <v>22</v>
      </c>
      <c r="K122" s="502" t="s">
        <v>23</v>
      </c>
      <c r="L122" s="231"/>
      <c r="M122" s="70"/>
      <c r="N122" s="75"/>
      <c r="O122" s="75"/>
      <c r="P122" s="79"/>
      <c r="Q122" s="247"/>
      <c r="R122" s="75"/>
      <c r="S122" s="75"/>
      <c r="T122" s="75"/>
      <c r="U122" s="79"/>
    </row>
    <row r="123" spans="1:21" ht="15.75" thickBot="1" x14ac:dyDescent="0.3">
      <c r="A123" s="101">
        <f t="shared" si="18"/>
        <v>114</v>
      </c>
      <c r="B123" s="135">
        <v>46163</v>
      </c>
      <c r="C123" s="180">
        <v>40003013</v>
      </c>
      <c r="D123" s="180">
        <v>74985227</v>
      </c>
      <c r="E123" s="181">
        <v>59.2</v>
      </c>
      <c r="F123" s="31">
        <v>1086.1400000000001</v>
      </c>
      <c r="G123" s="557">
        <f t="shared" si="16"/>
        <v>64299.488000000012</v>
      </c>
      <c r="H123" s="38">
        <v>82601.11</v>
      </c>
      <c r="I123" s="39">
        <f t="shared" si="17"/>
        <v>4889985.7120000003</v>
      </c>
      <c r="J123" s="137" t="s">
        <v>22</v>
      </c>
      <c r="K123" s="558" t="s">
        <v>23</v>
      </c>
      <c r="L123" s="258"/>
      <c r="M123" s="80"/>
      <c r="N123" s="88"/>
      <c r="O123" s="88"/>
      <c r="P123" s="89"/>
      <c r="Q123" s="250"/>
      <c r="R123" s="88"/>
      <c r="S123" s="88"/>
      <c r="T123" s="88"/>
      <c r="U123" s="89"/>
    </row>
    <row r="124" spans="1:21" ht="15.75" thickBot="1" x14ac:dyDescent="0.3">
      <c r="A124" s="233"/>
      <c r="B124" s="234"/>
      <c r="C124" s="234"/>
      <c r="D124" s="234"/>
      <c r="E124" s="235">
        <f>SUM(E109:E123)</f>
        <v>890.2</v>
      </c>
      <c r="F124" s="624"/>
      <c r="G124" s="237">
        <f>SUM(G109:G123)</f>
        <v>966881.82799999998</v>
      </c>
      <c r="H124" s="624"/>
      <c r="I124" s="238">
        <f>SUM(I109:I123)</f>
        <v>73531508.122000009</v>
      </c>
      <c r="J124" s="234"/>
      <c r="K124" s="239"/>
      <c r="L124" s="252"/>
      <c r="M124" s="253"/>
      <c r="N124" s="254"/>
      <c r="O124" s="254"/>
      <c r="P124" s="255"/>
      <c r="Q124" s="256"/>
      <c r="R124" s="254"/>
      <c r="S124" s="254"/>
      <c r="T124" s="254"/>
      <c r="U124" s="255"/>
    </row>
    <row r="125" spans="1:21" x14ac:dyDescent="0.25">
      <c r="A125" s="57">
        <v>115</v>
      </c>
      <c r="B125" s="58">
        <v>46167</v>
      </c>
      <c r="C125" s="532">
        <v>40003434</v>
      </c>
      <c r="D125" s="532">
        <v>50217793</v>
      </c>
      <c r="E125" s="533">
        <v>58.75</v>
      </c>
      <c r="F125" s="31">
        <v>1086.1400000000001</v>
      </c>
      <c r="G125" s="358">
        <f t="shared" ref="G125:G144" si="19">E125*F125</f>
        <v>63810.725000000006</v>
      </c>
      <c r="H125" s="460">
        <v>82601.11</v>
      </c>
      <c r="I125" s="360">
        <f t="shared" ref="I125:I144" si="20">E125*H125</f>
        <v>4852815.2125000004</v>
      </c>
      <c r="J125" s="408" t="s">
        <v>22</v>
      </c>
      <c r="K125" s="510" t="s">
        <v>23</v>
      </c>
      <c r="L125" s="69"/>
      <c r="M125" s="57"/>
      <c r="N125" s="68"/>
      <c r="O125" s="68"/>
      <c r="P125" s="69"/>
      <c r="Q125" s="57"/>
      <c r="R125" s="68"/>
      <c r="S125" s="68"/>
      <c r="T125" s="68"/>
      <c r="U125" s="69"/>
    </row>
    <row r="126" spans="1:21" x14ac:dyDescent="0.25">
      <c r="A126" s="70">
        <f>A125+1</f>
        <v>116</v>
      </c>
      <c r="B126" s="98">
        <v>46167</v>
      </c>
      <c r="C126" s="535">
        <v>40003434</v>
      </c>
      <c r="D126" s="535">
        <v>54072236</v>
      </c>
      <c r="E126" s="536">
        <v>58.8</v>
      </c>
      <c r="F126" s="31">
        <v>1086.1400000000001</v>
      </c>
      <c r="G126" s="556">
        <f t="shared" si="19"/>
        <v>63865.031999999999</v>
      </c>
      <c r="H126" s="36">
        <v>82601.11</v>
      </c>
      <c r="I126" s="37">
        <f t="shared" si="20"/>
        <v>4856945.2680000002</v>
      </c>
      <c r="J126" s="114" t="s">
        <v>22</v>
      </c>
      <c r="K126" s="502" t="s">
        <v>23</v>
      </c>
      <c r="L126" s="79"/>
      <c r="M126" s="70"/>
      <c r="N126" s="75"/>
      <c r="O126" s="75"/>
      <c r="P126" s="79"/>
      <c r="Q126" s="70"/>
      <c r="R126" s="75"/>
      <c r="S126" s="75"/>
      <c r="T126" s="75"/>
      <c r="U126" s="79"/>
    </row>
    <row r="127" spans="1:21" x14ac:dyDescent="0.25">
      <c r="A127" s="70">
        <f t="shared" ref="A127:A144" si="21">A126+1</f>
        <v>117</v>
      </c>
      <c r="B127" s="98">
        <v>46167</v>
      </c>
      <c r="C127" s="535">
        <v>40003434</v>
      </c>
      <c r="D127" s="535">
        <v>73001810</v>
      </c>
      <c r="E127" s="536">
        <v>58.4</v>
      </c>
      <c r="F127" s="31">
        <v>1086.1400000000001</v>
      </c>
      <c r="G127" s="556">
        <f t="shared" si="19"/>
        <v>63430.576000000001</v>
      </c>
      <c r="H127" s="36">
        <v>82601.11</v>
      </c>
      <c r="I127" s="37">
        <f t="shared" si="20"/>
        <v>4823904.824</v>
      </c>
      <c r="J127" s="114" t="s">
        <v>22</v>
      </c>
      <c r="K127" s="502" t="s">
        <v>23</v>
      </c>
      <c r="L127" s="79"/>
      <c r="M127" s="70"/>
      <c r="N127" s="75"/>
      <c r="O127" s="75"/>
      <c r="P127" s="79"/>
      <c r="Q127" s="70"/>
      <c r="R127" s="75"/>
      <c r="S127" s="75"/>
      <c r="T127" s="75"/>
      <c r="U127" s="79"/>
    </row>
    <row r="128" spans="1:21" x14ac:dyDescent="0.25">
      <c r="A128" s="70">
        <f t="shared" si="21"/>
        <v>118</v>
      </c>
      <c r="B128" s="98">
        <v>46167</v>
      </c>
      <c r="C128" s="535">
        <v>40003434</v>
      </c>
      <c r="D128" s="535">
        <v>73004251</v>
      </c>
      <c r="E128" s="536">
        <v>58.35</v>
      </c>
      <c r="F128" s="31">
        <v>1086.1400000000001</v>
      </c>
      <c r="G128" s="556">
        <f t="shared" si="19"/>
        <v>63376.269000000008</v>
      </c>
      <c r="H128" s="36">
        <v>82601.11</v>
      </c>
      <c r="I128" s="37">
        <f t="shared" si="20"/>
        <v>4819774.7685000002</v>
      </c>
      <c r="J128" s="114" t="s">
        <v>22</v>
      </c>
      <c r="K128" s="502" t="s">
        <v>23</v>
      </c>
      <c r="L128" s="79"/>
      <c r="M128" s="70"/>
      <c r="N128" s="75"/>
      <c r="O128" s="75"/>
      <c r="P128" s="79"/>
      <c r="Q128" s="70"/>
      <c r="R128" s="75"/>
      <c r="S128" s="75"/>
      <c r="T128" s="75"/>
      <c r="U128" s="79"/>
    </row>
    <row r="129" spans="1:21" x14ac:dyDescent="0.25">
      <c r="A129" s="70">
        <f t="shared" si="21"/>
        <v>119</v>
      </c>
      <c r="B129" s="98">
        <v>46167</v>
      </c>
      <c r="C129" s="535">
        <v>40003434</v>
      </c>
      <c r="D129" s="535">
        <v>73062887</v>
      </c>
      <c r="E129" s="536">
        <v>58.4</v>
      </c>
      <c r="F129" s="31">
        <v>1086.1400000000001</v>
      </c>
      <c r="G129" s="556">
        <f t="shared" si="19"/>
        <v>63430.576000000001</v>
      </c>
      <c r="H129" s="36">
        <v>82601.11</v>
      </c>
      <c r="I129" s="37">
        <f t="shared" si="20"/>
        <v>4823904.824</v>
      </c>
      <c r="J129" s="114" t="s">
        <v>22</v>
      </c>
      <c r="K129" s="502" t="s">
        <v>23</v>
      </c>
      <c r="L129" s="79"/>
      <c r="M129" s="70"/>
      <c r="N129" s="75"/>
      <c r="O129" s="75"/>
      <c r="P129" s="79"/>
      <c r="Q129" s="70"/>
      <c r="R129" s="75"/>
      <c r="S129" s="75"/>
      <c r="T129" s="75"/>
      <c r="U129" s="79"/>
    </row>
    <row r="130" spans="1:21" x14ac:dyDescent="0.25">
      <c r="A130" s="70">
        <f t="shared" si="21"/>
        <v>120</v>
      </c>
      <c r="B130" s="98">
        <v>46167</v>
      </c>
      <c r="C130" s="535">
        <v>40003434</v>
      </c>
      <c r="D130" s="535">
        <v>73080731</v>
      </c>
      <c r="E130" s="536">
        <v>58.5</v>
      </c>
      <c r="F130" s="31">
        <v>1086.1400000000001</v>
      </c>
      <c r="G130" s="556">
        <f t="shared" si="19"/>
        <v>63539.19</v>
      </c>
      <c r="H130" s="36">
        <v>82601.11</v>
      </c>
      <c r="I130" s="37">
        <f t="shared" si="20"/>
        <v>4832164.9349999996</v>
      </c>
      <c r="J130" s="114" t="s">
        <v>22</v>
      </c>
      <c r="K130" s="502" t="s">
        <v>23</v>
      </c>
      <c r="L130" s="79"/>
      <c r="M130" s="70"/>
      <c r="N130" s="75"/>
      <c r="O130" s="75"/>
      <c r="P130" s="79"/>
      <c r="Q130" s="70"/>
      <c r="R130" s="75"/>
      <c r="S130" s="75"/>
      <c r="T130" s="75"/>
      <c r="U130" s="79"/>
    </row>
    <row r="131" spans="1:21" x14ac:dyDescent="0.25">
      <c r="A131" s="70">
        <f t="shared" si="21"/>
        <v>121</v>
      </c>
      <c r="B131" s="98">
        <v>46167</v>
      </c>
      <c r="C131" s="535">
        <v>40003434</v>
      </c>
      <c r="D131" s="535">
        <v>73118036</v>
      </c>
      <c r="E131" s="536">
        <v>58.4</v>
      </c>
      <c r="F131" s="31">
        <v>1086.1400000000001</v>
      </c>
      <c r="G131" s="556">
        <f t="shared" si="19"/>
        <v>63430.576000000001</v>
      </c>
      <c r="H131" s="36">
        <v>82601.11</v>
      </c>
      <c r="I131" s="37">
        <f t="shared" si="20"/>
        <v>4823904.824</v>
      </c>
      <c r="J131" s="114" t="s">
        <v>22</v>
      </c>
      <c r="K131" s="502" t="s">
        <v>23</v>
      </c>
      <c r="L131" s="79"/>
      <c r="M131" s="70"/>
      <c r="N131" s="75"/>
      <c r="O131" s="75"/>
      <c r="P131" s="79"/>
      <c r="Q131" s="70"/>
      <c r="R131" s="75"/>
      <c r="S131" s="75"/>
      <c r="T131" s="75"/>
      <c r="U131" s="79"/>
    </row>
    <row r="132" spans="1:21" x14ac:dyDescent="0.25">
      <c r="A132" s="70">
        <f t="shared" si="21"/>
        <v>122</v>
      </c>
      <c r="B132" s="98">
        <v>46167</v>
      </c>
      <c r="C132" s="535">
        <v>40003434</v>
      </c>
      <c r="D132" s="535">
        <v>73121105</v>
      </c>
      <c r="E132" s="536">
        <v>58.55</v>
      </c>
      <c r="F132" s="31">
        <v>1086.1400000000001</v>
      </c>
      <c r="G132" s="556">
        <f t="shared" si="19"/>
        <v>63593.497000000003</v>
      </c>
      <c r="H132" s="36">
        <v>82601.11</v>
      </c>
      <c r="I132" s="37">
        <f t="shared" si="20"/>
        <v>4836294.9904999994</v>
      </c>
      <c r="J132" s="114" t="s">
        <v>22</v>
      </c>
      <c r="K132" s="502" t="s">
        <v>23</v>
      </c>
      <c r="L132" s="79"/>
      <c r="M132" s="70"/>
      <c r="N132" s="75"/>
      <c r="O132" s="75"/>
      <c r="P132" s="79"/>
      <c r="Q132" s="70"/>
      <c r="R132" s="75"/>
      <c r="S132" s="75"/>
      <c r="T132" s="75"/>
      <c r="U132" s="79"/>
    </row>
    <row r="133" spans="1:21" x14ac:dyDescent="0.25">
      <c r="A133" s="70">
        <f t="shared" si="21"/>
        <v>123</v>
      </c>
      <c r="B133" s="98">
        <v>46167</v>
      </c>
      <c r="C133" s="535">
        <v>40003434</v>
      </c>
      <c r="D133" s="535">
        <v>73122558</v>
      </c>
      <c r="E133" s="536">
        <v>58.65</v>
      </c>
      <c r="F133" s="31">
        <v>1086.1400000000001</v>
      </c>
      <c r="G133" s="556">
        <f t="shared" si="19"/>
        <v>63702.111000000004</v>
      </c>
      <c r="H133" s="36">
        <v>82601.11</v>
      </c>
      <c r="I133" s="37">
        <f t="shared" si="20"/>
        <v>4844555.1014999999</v>
      </c>
      <c r="J133" s="114" t="s">
        <v>22</v>
      </c>
      <c r="K133" s="502" t="s">
        <v>23</v>
      </c>
      <c r="L133" s="79"/>
      <c r="M133" s="70"/>
      <c r="N133" s="75"/>
      <c r="O133" s="75"/>
      <c r="P133" s="79"/>
      <c r="Q133" s="70"/>
      <c r="R133" s="75"/>
      <c r="S133" s="75"/>
      <c r="T133" s="75"/>
      <c r="U133" s="79"/>
    </row>
    <row r="134" spans="1:21" x14ac:dyDescent="0.25">
      <c r="A134" s="70">
        <f t="shared" si="21"/>
        <v>124</v>
      </c>
      <c r="B134" s="98">
        <v>46167</v>
      </c>
      <c r="C134" s="535">
        <v>40003434</v>
      </c>
      <c r="D134" s="535">
        <v>73133878</v>
      </c>
      <c r="E134" s="536">
        <v>58.45</v>
      </c>
      <c r="F134" s="31">
        <v>1086.1400000000001</v>
      </c>
      <c r="G134" s="556">
        <f t="shared" si="19"/>
        <v>63484.883000000009</v>
      </c>
      <c r="H134" s="36">
        <v>82601.11</v>
      </c>
      <c r="I134" s="37">
        <f t="shared" si="20"/>
        <v>4828034.8794999998</v>
      </c>
      <c r="J134" s="114" t="s">
        <v>22</v>
      </c>
      <c r="K134" s="502" t="s">
        <v>23</v>
      </c>
      <c r="L134" s="79"/>
      <c r="M134" s="70"/>
      <c r="N134" s="75"/>
      <c r="O134" s="75"/>
      <c r="P134" s="79"/>
      <c r="Q134" s="70"/>
      <c r="R134" s="75"/>
      <c r="S134" s="75"/>
      <c r="T134" s="75"/>
      <c r="U134" s="79"/>
    </row>
    <row r="135" spans="1:21" x14ac:dyDescent="0.25">
      <c r="A135" s="70">
        <f t="shared" si="21"/>
        <v>125</v>
      </c>
      <c r="B135" s="98">
        <v>46167</v>
      </c>
      <c r="C135" s="535">
        <v>40003434</v>
      </c>
      <c r="D135" s="535">
        <v>73145054</v>
      </c>
      <c r="E135" s="536">
        <v>58.45</v>
      </c>
      <c r="F135" s="31">
        <v>1086.1400000000001</v>
      </c>
      <c r="G135" s="556">
        <f t="shared" si="19"/>
        <v>63484.883000000009</v>
      </c>
      <c r="H135" s="36">
        <v>82601.11</v>
      </c>
      <c r="I135" s="37">
        <f t="shared" si="20"/>
        <v>4828034.8794999998</v>
      </c>
      <c r="J135" s="114" t="s">
        <v>22</v>
      </c>
      <c r="K135" s="502" t="s">
        <v>23</v>
      </c>
      <c r="L135" s="79"/>
      <c r="M135" s="70"/>
      <c r="N135" s="75"/>
      <c r="O135" s="75"/>
      <c r="P135" s="79"/>
      <c r="Q135" s="70"/>
      <c r="R135" s="75"/>
      <c r="S135" s="75"/>
      <c r="T135" s="75"/>
      <c r="U135" s="79"/>
    </row>
    <row r="136" spans="1:21" x14ac:dyDescent="0.25">
      <c r="A136" s="70">
        <f t="shared" si="21"/>
        <v>126</v>
      </c>
      <c r="B136" s="98">
        <v>46167</v>
      </c>
      <c r="C136" s="535">
        <v>40003434</v>
      </c>
      <c r="D136" s="535">
        <v>73162059</v>
      </c>
      <c r="E136" s="536">
        <v>58.4</v>
      </c>
      <c r="F136" s="31">
        <v>1086.1400000000001</v>
      </c>
      <c r="G136" s="556">
        <f t="shared" si="19"/>
        <v>63430.576000000001</v>
      </c>
      <c r="H136" s="36">
        <v>82601.11</v>
      </c>
      <c r="I136" s="37">
        <f t="shared" si="20"/>
        <v>4823904.824</v>
      </c>
      <c r="J136" s="114" t="s">
        <v>22</v>
      </c>
      <c r="K136" s="502" t="s">
        <v>23</v>
      </c>
      <c r="L136" s="79"/>
      <c r="M136" s="70"/>
      <c r="N136" s="75"/>
      <c r="O136" s="75"/>
      <c r="P136" s="79"/>
      <c r="Q136" s="70"/>
      <c r="R136" s="75"/>
      <c r="S136" s="75"/>
      <c r="T136" s="75"/>
      <c r="U136" s="79"/>
    </row>
    <row r="137" spans="1:21" x14ac:dyDescent="0.25">
      <c r="A137" s="70">
        <f t="shared" si="21"/>
        <v>127</v>
      </c>
      <c r="B137" s="98">
        <v>46167</v>
      </c>
      <c r="C137" s="535">
        <v>40003434</v>
      </c>
      <c r="D137" s="535">
        <v>73183261</v>
      </c>
      <c r="E137" s="536">
        <v>58.2</v>
      </c>
      <c r="F137" s="31">
        <v>1086.1400000000001</v>
      </c>
      <c r="G137" s="556">
        <f t="shared" si="19"/>
        <v>63213.348000000005</v>
      </c>
      <c r="H137" s="36">
        <v>82601.11</v>
      </c>
      <c r="I137" s="37">
        <f t="shared" si="20"/>
        <v>4807384.602</v>
      </c>
      <c r="J137" s="114" t="s">
        <v>22</v>
      </c>
      <c r="K137" s="502" t="s">
        <v>23</v>
      </c>
      <c r="L137" s="79"/>
      <c r="M137" s="70"/>
      <c r="N137" s="75"/>
      <c r="O137" s="75"/>
      <c r="P137" s="79"/>
      <c r="Q137" s="70"/>
      <c r="R137" s="75"/>
      <c r="S137" s="75"/>
      <c r="T137" s="75"/>
      <c r="U137" s="79"/>
    </row>
    <row r="138" spans="1:21" x14ac:dyDescent="0.25">
      <c r="A138" s="70">
        <f t="shared" si="21"/>
        <v>128</v>
      </c>
      <c r="B138" s="98">
        <v>46167</v>
      </c>
      <c r="C138" s="535">
        <v>40003434</v>
      </c>
      <c r="D138" s="535">
        <v>73217556</v>
      </c>
      <c r="E138" s="536">
        <v>58.25</v>
      </c>
      <c r="F138" s="31">
        <v>1086.1400000000001</v>
      </c>
      <c r="G138" s="556">
        <f t="shared" si="19"/>
        <v>63267.655000000006</v>
      </c>
      <c r="H138" s="36">
        <v>82601.11</v>
      </c>
      <c r="I138" s="37">
        <f t="shared" si="20"/>
        <v>4811514.6574999997</v>
      </c>
      <c r="J138" s="114" t="s">
        <v>22</v>
      </c>
      <c r="K138" s="502" t="s">
        <v>23</v>
      </c>
      <c r="L138" s="79"/>
      <c r="M138" s="70"/>
      <c r="N138" s="75"/>
      <c r="O138" s="75"/>
      <c r="P138" s="79"/>
      <c r="Q138" s="70"/>
      <c r="R138" s="75"/>
      <c r="S138" s="75"/>
      <c r="T138" s="75"/>
      <c r="U138" s="79"/>
    </row>
    <row r="139" spans="1:21" x14ac:dyDescent="0.25">
      <c r="A139" s="70">
        <f t="shared" si="21"/>
        <v>129</v>
      </c>
      <c r="B139" s="98">
        <v>46167</v>
      </c>
      <c r="C139" s="535">
        <v>40003434</v>
      </c>
      <c r="D139" s="535">
        <v>73219164</v>
      </c>
      <c r="E139" s="536">
        <v>58.4</v>
      </c>
      <c r="F139" s="31">
        <v>1086.1400000000001</v>
      </c>
      <c r="G139" s="556">
        <f t="shared" si="19"/>
        <v>63430.576000000001</v>
      </c>
      <c r="H139" s="36">
        <v>82601.11</v>
      </c>
      <c r="I139" s="37">
        <f t="shared" si="20"/>
        <v>4823904.824</v>
      </c>
      <c r="J139" s="114" t="s">
        <v>22</v>
      </c>
      <c r="K139" s="502" t="s">
        <v>23</v>
      </c>
      <c r="L139" s="79"/>
      <c r="M139" s="70"/>
      <c r="N139" s="75"/>
      <c r="O139" s="75"/>
      <c r="P139" s="79"/>
      <c r="Q139" s="70"/>
      <c r="R139" s="75"/>
      <c r="S139" s="75"/>
      <c r="T139" s="75"/>
      <c r="U139" s="79"/>
    </row>
    <row r="140" spans="1:21" x14ac:dyDescent="0.25">
      <c r="A140" s="70">
        <f t="shared" si="21"/>
        <v>130</v>
      </c>
      <c r="B140" s="98">
        <v>46167</v>
      </c>
      <c r="C140" s="535">
        <v>40003434</v>
      </c>
      <c r="D140" s="535">
        <v>73240152</v>
      </c>
      <c r="E140" s="536">
        <v>58.45</v>
      </c>
      <c r="F140" s="31">
        <v>1086.1400000000001</v>
      </c>
      <c r="G140" s="556">
        <f t="shared" si="19"/>
        <v>63484.883000000009</v>
      </c>
      <c r="H140" s="36">
        <v>82601.11</v>
      </c>
      <c r="I140" s="37">
        <f t="shared" si="20"/>
        <v>4828034.8794999998</v>
      </c>
      <c r="J140" s="114" t="s">
        <v>22</v>
      </c>
      <c r="K140" s="502" t="s">
        <v>23</v>
      </c>
      <c r="L140" s="79"/>
      <c r="M140" s="70"/>
      <c r="N140" s="75"/>
      <c r="O140" s="75"/>
      <c r="P140" s="79"/>
      <c r="Q140" s="70"/>
      <c r="R140" s="75"/>
      <c r="S140" s="75"/>
      <c r="T140" s="75"/>
      <c r="U140" s="79"/>
    </row>
    <row r="141" spans="1:21" x14ac:dyDescent="0.25">
      <c r="A141" s="70">
        <f t="shared" si="21"/>
        <v>131</v>
      </c>
      <c r="B141" s="98">
        <v>46167</v>
      </c>
      <c r="C141" s="535">
        <v>40003434</v>
      </c>
      <c r="D141" s="535">
        <v>73240251</v>
      </c>
      <c r="E141" s="536">
        <v>58.25</v>
      </c>
      <c r="F141" s="31">
        <v>1086.1400000000001</v>
      </c>
      <c r="G141" s="556">
        <f t="shared" si="19"/>
        <v>63267.655000000006</v>
      </c>
      <c r="H141" s="36">
        <v>82601.11</v>
      </c>
      <c r="I141" s="37">
        <f t="shared" si="20"/>
        <v>4811514.6574999997</v>
      </c>
      <c r="J141" s="114" t="s">
        <v>22</v>
      </c>
      <c r="K141" s="502" t="s">
        <v>23</v>
      </c>
      <c r="L141" s="79"/>
      <c r="M141" s="70"/>
      <c r="N141" s="75"/>
      <c r="O141" s="75"/>
      <c r="P141" s="79"/>
      <c r="Q141" s="70"/>
      <c r="R141" s="75"/>
      <c r="S141" s="75"/>
      <c r="T141" s="75"/>
      <c r="U141" s="79"/>
    </row>
    <row r="142" spans="1:21" x14ac:dyDescent="0.25">
      <c r="A142" s="70">
        <f t="shared" si="21"/>
        <v>132</v>
      </c>
      <c r="B142" s="98">
        <v>46167</v>
      </c>
      <c r="C142" s="535">
        <v>40003434</v>
      </c>
      <c r="D142" s="535">
        <v>75223933</v>
      </c>
      <c r="E142" s="536">
        <v>58.65</v>
      </c>
      <c r="F142" s="31">
        <v>1086.1400000000001</v>
      </c>
      <c r="G142" s="556">
        <f t="shared" si="19"/>
        <v>63702.111000000004</v>
      </c>
      <c r="H142" s="36">
        <v>82601.11</v>
      </c>
      <c r="I142" s="37">
        <f t="shared" si="20"/>
        <v>4844555.1014999999</v>
      </c>
      <c r="J142" s="114" t="s">
        <v>22</v>
      </c>
      <c r="K142" s="502" t="s">
        <v>23</v>
      </c>
      <c r="L142" s="79"/>
      <c r="M142" s="70"/>
      <c r="N142" s="75"/>
      <c r="O142" s="75"/>
      <c r="P142" s="79"/>
      <c r="Q142" s="70"/>
      <c r="R142" s="75"/>
      <c r="S142" s="75"/>
      <c r="T142" s="75"/>
      <c r="U142" s="79"/>
    </row>
    <row r="143" spans="1:21" x14ac:dyDescent="0.25">
      <c r="A143" s="70">
        <f t="shared" si="21"/>
        <v>133</v>
      </c>
      <c r="B143" s="98">
        <v>46167</v>
      </c>
      <c r="C143" s="535">
        <v>40003434</v>
      </c>
      <c r="D143" s="535">
        <v>75319053</v>
      </c>
      <c r="E143" s="536">
        <v>58.8</v>
      </c>
      <c r="F143" s="31">
        <v>1086.1400000000001</v>
      </c>
      <c r="G143" s="556">
        <f t="shared" si="19"/>
        <v>63865.031999999999</v>
      </c>
      <c r="H143" s="36">
        <v>82601.11</v>
      </c>
      <c r="I143" s="37">
        <f t="shared" si="20"/>
        <v>4856945.2680000002</v>
      </c>
      <c r="J143" s="114" t="s">
        <v>22</v>
      </c>
      <c r="K143" s="502" t="s">
        <v>23</v>
      </c>
      <c r="L143" s="79"/>
      <c r="M143" s="70"/>
      <c r="N143" s="75"/>
      <c r="O143" s="75"/>
      <c r="P143" s="79"/>
      <c r="Q143" s="70"/>
      <c r="R143" s="75"/>
      <c r="S143" s="75"/>
      <c r="T143" s="75"/>
      <c r="U143" s="79"/>
    </row>
    <row r="144" spans="1:21" ht="15.75" thickBot="1" x14ac:dyDescent="0.3">
      <c r="A144" s="101">
        <f t="shared" si="21"/>
        <v>134</v>
      </c>
      <c r="B144" s="135">
        <v>46167</v>
      </c>
      <c r="C144" s="180">
        <v>40003434</v>
      </c>
      <c r="D144" s="180">
        <v>76982792</v>
      </c>
      <c r="E144" s="181">
        <v>58.7</v>
      </c>
      <c r="F144" s="106">
        <v>1086.1400000000001</v>
      </c>
      <c r="G144" s="557">
        <f t="shared" si="19"/>
        <v>63756.418000000012</v>
      </c>
      <c r="H144" s="38">
        <v>82601.11</v>
      </c>
      <c r="I144" s="39">
        <f t="shared" si="20"/>
        <v>4848685.1570000006</v>
      </c>
      <c r="J144" s="137" t="s">
        <v>22</v>
      </c>
      <c r="K144" s="558" t="s">
        <v>23</v>
      </c>
      <c r="L144" s="112"/>
      <c r="M144" s="80"/>
      <c r="N144" s="88"/>
      <c r="O144" s="88"/>
      <c r="P144" s="89"/>
      <c r="Q144" s="80"/>
      <c r="R144" s="88"/>
      <c r="S144" s="88"/>
      <c r="T144" s="88"/>
      <c r="U144" s="89"/>
    </row>
    <row r="145" spans="1:21" ht="15.75" thickBot="1" x14ac:dyDescent="0.3">
      <c r="A145" s="233"/>
      <c r="B145" s="234"/>
      <c r="C145" s="234"/>
      <c r="D145" s="234"/>
      <c r="E145" s="235">
        <f>SUM(E125:E144)</f>
        <v>1169.8000000000002</v>
      </c>
      <c r="F145" s="624"/>
      <c r="G145" s="237">
        <f>SUM(G125:G144)</f>
        <v>1270566.5720000002</v>
      </c>
      <c r="H145" s="624"/>
      <c r="I145" s="238">
        <f>SUM(I125:I144)</f>
        <v>96626778.47800003</v>
      </c>
      <c r="J145" s="234"/>
      <c r="K145" s="369"/>
      <c r="L145" s="370"/>
      <c r="M145" s="253"/>
      <c r="N145" s="254"/>
      <c r="O145" s="254"/>
      <c r="P145" s="255"/>
      <c r="Q145" s="256"/>
      <c r="R145" s="254"/>
      <c r="S145" s="254"/>
      <c r="T145" s="254"/>
      <c r="U145" s="255"/>
    </row>
    <row r="146" spans="1:21" x14ac:dyDescent="0.25">
      <c r="A146" s="207">
        <v>135</v>
      </c>
      <c r="B146" s="188">
        <v>46169</v>
      </c>
      <c r="C146" s="651" t="s">
        <v>155</v>
      </c>
      <c r="D146" s="652" t="s">
        <v>156</v>
      </c>
      <c r="E146" s="653">
        <v>58.85</v>
      </c>
      <c r="F146" s="32">
        <v>1086.1400000000001</v>
      </c>
      <c r="G146" s="228">
        <f t="shared" ref="G146:G150" si="22">E146*F146</f>
        <v>63919.339000000007</v>
      </c>
      <c r="H146" s="34">
        <v>82601.11</v>
      </c>
      <c r="I146" s="35">
        <f t="shared" ref="I146:I150" si="23">E146*H146</f>
        <v>4861075.3234999999</v>
      </c>
      <c r="J146" s="212" t="s">
        <v>22</v>
      </c>
      <c r="K146" s="554" t="s">
        <v>23</v>
      </c>
      <c r="L146" s="143"/>
      <c r="M146" s="57"/>
      <c r="N146" s="68"/>
      <c r="O146" s="68"/>
      <c r="P146" s="69"/>
      <c r="Q146" s="57"/>
      <c r="R146" s="68"/>
      <c r="S146" s="68"/>
      <c r="T146" s="68"/>
      <c r="U146" s="69"/>
    </row>
    <row r="147" spans="1:21" x14ac:dyDescent="0.25">
      <c r="A147" s="70">
        <f>A146+1</f>
        <v>136</v>
      </c>
      <c r="B147" s="98">
        <v>46169</v>
      </c>
      <c r="C147" s="654" t="s">
        <v>155</v>
      </c>
      <c r="D147" s="654" t="s">
        <v>157</v>
      </c>
      <c r="E147" s="655">
        <v>59.95</v>
      </c>
      <c r="F147" s="31">
        <v>1086.1400000000001</v>
      </c>
      <c r="G147" s="556">
        <f t="shared" si="22"/>
        <v>65114.093000000008</v>
      </c>
      <c r="H147" s="36">
        <v>82601.11</v>
      </c>
      <c r="I147" s="37">
        <f t="shared" si="23"/>
        <v>4951936.5444999998</v>
      </c>
      <c r="J147" s="114" t="s">
        <v>22</v>
      </c>
      <c r="K147" s="502" t="s">
        <v>23</v>
      </c>
      <c r="L147" s="146"/>
      <c r="M147" s="70"/>
      <c r="N147" s="75"/>
      <c r="O147" s="75"/>
      <c r="P147" s="79"/>
      <c r="Q147" s="70"/>
      <c r="R147" s="75"/>
      <c r="S147" s="75"/>
      <c r="T147" s="75"/>
      <c r="U147" s="79"/>
    </row>
    <row r="148" spans="1:21" x14ac:dyDescent="0.25">
      <c r="A148" s="70">
        <f t="shared" ref="A148:A150" si="24">A147+1</f>
        <v>137</v>
      </c>
      <c r="B148" s="98">
        <v>46169</v>
      </c>
      <c r="C148" s="654" t="s">
        <v>155</v>
      </c>
      <c r="D148" s="654" t="s">
        <v>158</v>
      </c>
      <c r="E148" s="655">
        <v>60.3</v>
      </c>
      <c r="F148" s="31">
        <v>1086.1400000000001</v>
      </c>
      <c r="G148" s="556">
        <f t="shared" si="22"/>
        <v>65494.242000000006</v>
      </c>
      <c r="H148" s="36">
        <v>82601.11</v>
      </c>
      <c r="I148" s="37">
        <f t="shared" si="23"/>
        <v>4980846.9330000002</v>
      </c>
      <c r="J148" s="114" t="s">
        <v>22</v>
      </c>
      <c r="K148" s="502" t="s">
        <v>23</v>
      </c>
      <c r="L148" s="146"/>
      <c r="M148" s="70"/>
      <c r="N148" s="75"/>
      <c r="O148" s="75"/>
      <c r="P148" s="79"/>
      <c r="Q148" s="70"/>
      <c r="R148" s="75"/>
      <c r="S148" s="75"/>
      <c r="T148" s="75"/>
      <c r="U148" s="79"/>
    </row>
    <row r="149" spans="1:21" x14ac:dyDescent="0.25">
      <c r="A149" s="70">
        <f t="shared" si="24"/>
        <v>138</v>
      </c>
      <c r="B149" s="98">
        <v>46169</v>
      </c>
      <c r="C149" s="654" t="s">
        <v>155</v>
      </c>
      <c r="D149" s="654" t="s">
        <v>159</v>
      </c>
      <c r="E149" s="655">
        <v>60.25</v>
      </c>
      <c r="F149" s="31">
        <v>1086.1400000000001</v>
      </c>
      <c r="G149" s="556">
        <f t="shared" si="22"/>
        <v>65439.935000000005</v>
      </c>
      <c r="H149" s="36">
        <v>82601.11</v>
      </c>
      <c r="I149" s="37">
        <f t="shared" si="23"/>
        <v>4976716.8775000004</v>
      </c>
      <c r="J149" s="114" t="s">
        <v>22</v>
      </c>
      <c r="K149" s="502" t="s">
        <v>23</v>
      </c>
      <c r="L149" s="146"/>
      <c r="M149" s="70"/>
      <c r="N149" s="75"/>
      <c r="O149" s="75"/>
      <c r="P149" s="79"/>
      <c r="Q149" s="70"/>
      <c r="R149" s="75"/>
      <c r="S149" s="75"/>
      <c r="T149" s="75"/>
      <c r="U149" s="79"/>
    </row>
    <row r="150" spans="1:21" ht="15.75" thickBot="1" x14ac:dyDescent="0.3">
      <c r="A150" s="101">
        <f t="shared" si="24"/>
        <v>139</v>
      </c>
      <c r="B150" s="135">
        <v>46169</v>
      </c>
      <c r="C150" s="656" t="s">
        <v>155</v>
      </c>
      <c r="D150" s="656" t="s">
        <v>160</v>
      </c>
      <c r="E150" s="657">
        <v>60.25</v>
      </c>
      <c r="F150" s="31">
        <v>1086.1400000000001</v>
      </c>
      <c r="G150" s="557">
        <f t="shared" si="22"/>
        <v>65439.935000000005</v>
      </c>
      <c r="H150" s="38">
        <v>82601.11</v>
      </c>
      <c r="I150" s="39">
        <f t="shared" si="23"/>
        <v>4976716.8775000004</v>
      </c>
      <c r="J150" s="137" t="s">
        <v>22</v>
      </c>
      <c r="K150" s="558" t="s">
        <v>23</v>
      </c>
      <c r="L150" s="149"/>
      <c r="M150" s="80"/>
      <c r="N150" s="88"/>
      <c r="O150" s="88"/>
      <c r="P150" s="89"/>
      <c r="Q150" s="80"/>
      <c r="R150" s="88"/>
      <c r="S150" s="88"/>
      <c r="T150" s="88"/>
      <c r="U150" s="89"/>
    </row>
    <row r="151" spans="1:21" ht="15.75" thickBot="1" x14ac:dyDescent="0.3">
      <c r="A151" s="233"/>
      <c r="B151" s="234"/>
      <c r="C151" s="234"/>
      <c r="D151" s="234"/>
      <c r="E151" s="235">
        <f>SUM(E146:E150)</f>
        <v>299.60000000000002</v>
      </c>
      <c r="F151" s="624"/>
      <c r="G151" s="237">
        <f>SUM(G146:G150)</f>
        <v>325407.54400000005</v>
      </c>
      <c r="H151" s="624"/>
      <c r="I151" s="238">
        <f>SUM(I146:I150)</f>
        <v>24747292.556000002</v>
      </c>
      <c r="J151" s="234"/>
      <c r="K151" s="369"/>
      <c r="L151" s="370"/>
      <c r="M151" s="253"/>
      <c r="N151" s="254"/>
      <c r="O151" s="254"/>
      <c r="P151" s="255"/>
      <c r="Q151" s="256"/>
      <c r="R151" s="254"/>
      <c r="S151" s="254"/>
      <c r="T151" s="254"/>
      <c r="U151" s="255"/>
    </row>
    <row r="152" spans="1:21" x14ac:dyDescent="0.25">
      <c r="A152" s="140">
        <v>140</v>
      </c>
      <c r="B152" s="71">
        <v>46170</v>
      </c>
      <c r="C152" s="651" t="s">
        <v>161</v>
      </c>
      <c r="D152" s="652" t="s">
        <v>162</v>
      </c>
      <c r="E152" s="653">
        <v>58.5</v>
      </c>
      <c r="F152" s="31">
        <v>1086.1400000000001</v>
      </c>
      <c r="G152" s="228">
        <f t="shared" ref="G152:G184" si="25">E152*F152</f>
        <v>63539.19</v>
      </c>
      <c r="H152" s="34">
        <v>82601.11</v>
      </c>
      <c r="I152" s="35">
        <f t="shared" ref="I152:I184" si="26">E152*H152</f>
        <v>4832164.9349999996</v>
      </c>
      <c r="J152" s="212" t="s">
        <v>22</v>
      </c>
      <c r="K152" s="554" t="s">
        <v>23</v>
      </c>
      <c r="L152" s="143"/>
      <c r="M152" s="57"/>
      <c r="N152" s="68"/>
      <c r="O152" s="68"/>
      <c r="P152" s="69"/>
      <c r="Q152" s="57"/>
      <c r="R152" s="68"/>
      <c r="S152" s="68"/>
      <c r="T152" s="68"/>
      <c r="U152" s="69"/>
    </row>
    <row r="153" spans="1:21" x14ac:dyDescent="0.25">
      <c r="A153" s="75">
        <f>A152+1</f>
        <v>141</v>
      </c>
      <c r="B153" s="98">
        <v>46170</v>
      </c>
      <c r="C153" s="654" t="s">
        <v>161</v>
      </c>
      <c r="D153" s="654" t="s">
        <v>163</v>
      </c>
      <c r="E153" s="655">
        <v>50.4</v>
      </c>
      <c r="F153" s="31">
        <v>1086.1400000000001</v>
      </c>
      <c r="G153" s="556">
        <f t="shared" si="25"/>
        <v>54741.456000000006</v>
      </c>
      <c r="H153" s="36">
        <v>82601.11</v>
      </c>
      <c r="I153" s="37">
        <f t="shared" si="26"/>
        <v>4163095.9440000001</v>
      </c>
      <c r="J153" s="114" t="s">
        <v>22</v>
      </c>
      <c r="K153" s="502" t="s">
        <v>23</v>
      </c>
      <c r="L153" s="146"/>
      <c r="M153" s="70"/>
      <c r="N153" s="75"/>
      <c r="O153" s="75"/>
      <c r="P153" s="79"/>
      <c r="Q153" s="70"/>
      <c r="R153" s="75"/>
      <c r="S153" s="75"/>
      <c r="T153" s="75"/>
      <c r="U153" s="79"/>
    </row>
    <row r="154" spans="1:21" x14ac:dyDescent="0.25">
      <c r="A154" s="75">
        <f t="shared" ref="A154:A171" si="27">A153+1</f>
        <v>142</v>
      </c>
      <c r="B154" s="98">
        <v>46170</v>
      </c>
      <c r="C154" s="654" t="s">
        <v>161</v>
      </c>
      <c r="D154" s="654" t="s">
        <v>164</v>
      </c>
      <c r="E154" s="655">
        <v>58.9</v>
      </c>
      <c r="F154" s="31">
        <v>1086.1400000000001</v>
      </c>
      <c r="G154" s="556">
        <f t="shared" si="25"/>
        <v>63973.646000000008</v>
      </c>
      <c r="H154" s="36">
        <v>82601.11</v>
      </c>
      <c r="I154" s="37">
        <f t="shared" si="26"/>
        <v>4865205.3789999997</v>
      </c>
      <c r="J154" s="114" t="s">
        <v>22</v>
      </c>
      <c r="K154" s="502" t="s">
        <v>23</v>
      </c>
      <c r="L154" s="146"/>
      <c r="M154" s="70"/>
      <c r="N154" s="75"/>
      <c r="O154" s="75"/>
      <c r="P154" s="79"/>
      <c r="Q154" s="70"/>
      <c r="R154" s="75"/>
      <c r="S154" s="75"/>
      <c r="T154" s="75"/>
      <c r="U154" s="79"/>
    </row>
    <row r="155" spans="1:21" x14ac:dyDescent="0.25">
      <c r="A155" s="75">
        <f t="shared" si="27"/>
        <v>143</v>
      </c>
      <c r="B155" s="98">
        <v>46170</v>
      </c>
      <c r="C155" s="654" t="s">
        <v>161</v>
      </c>
      <c r="D155" s="654" t="s">
        <v>165</v>
      </c>
      <c r="E155" s="655">
        <v>58.4</v>
      </c>
      <c r="F155" s="31">
        <v>1086.1400000000001</v>
      </c>
      <c r="G155" s="556">
        <f t="shared" si="25"/>
        <v>63430.576000000001</v>
      </c>
      <c r="H155" s="36">
        <v>82601.11</v>
      </c>
      <c r="I155" s="37">
        <f t="shared" si="26"/>
        <v>4823904.824</v>
      </c>
      <c r="J155" s="114" t="s">
        <v>22</v>
      </c>
      <c r="K155" s="502" t="s">
        <v>23</v>
      </c>
      <c r="L155" s="146"/>
      <c r="M155" s="70"/>
      <c r="N155" s="75"/>
      <c r="O155" s="75"/>
      <c r="P155" s="79"/>
      <c r="Q155" s="70"/>
      <c r="R155" s="75"/>
      <c r="S155" s="75"/>
      <c r="T155" s="75"/>
      <c r="U155" s="79"/>
    </row>
    <row r="156" spans="1:21" x14ac:dyDescent="0.25">
      <c r="A156" s="75">
        <f t="shared" si="27"/>
        <v>144</v>
      </c>
      <c r="B156" s="98">
        <v>46170</v>
      </c>
      <c r="C156" s="654" t="s">
        <v>161</v>
      </c>
      <c r="D156" s="654" t="s">
        <v>166</v>
      </c>
      <c r="E156" s="655">
        <v>58.3</v>
      </c>
      <c r="F156" s="31">
        <v>1086.1400000000001</v>
      </c>
      <c r="G156" s="556">
        <f t="shared" si="25"/>
        <v>63321.962</v>
      </c>
      <c r="H156" s="36">
        <v>82601.11</v>
      </c>
      <c r="I156" s="37">
        <f t="shared" si="26"/>
        <v>4815644.7129999995</v>
      </c>
      <c r="J156" s="114" t="s">
        <v>22</v>
      </c>
      <c r="K156" s="502" t="s">
        <v>23</v>
      </c>
      <c r="L156" s="146"/>
      <c r="M156" s="70"/>
      <c r="N156" s="75"/>
      <c r="O156" s="75"/>
      <c r="P156" s="79"/>
      <c r="Q156" s="70"/>
      <c r="R156" s="75"/>
      <c r="S156" s="75"/>
      <c r="T156" s="75"/>
      <c r="U156" s="79"/>
    </row>
    <row r="157" spans="1:21" x14ac:dyDescent="0.25">
      <c r="A157" s="75">
        <f t="shared" si="27"/>
        <v>145</v>
      </c>
      <c r="B157" s="98">
        <v>46170</v>
      </c>
      <c r="C157" s="654" t="s">
        <v>161</v>
      </c>
      <c r="D157" s="654" t="s">
        <v>167</v>
      </c>
      <c r="E157" s="655">
        <v>58.4</v>
      </c>
      <c r="F157" s="31">
        <v>1086.1400000000001</v>
      </c>
      <c r="G157" s="556">
        <f t="shared" si="25"/>
        <v>63430.576000000001</v>
      </c>
      <c r="H157" s="36">
        <v>82601.11</v>
      </c>
      <c r="I157" s="37">
        <f t="shared" si="26"/>
        <v>4823904.824</v>
      </c>
      <c r="J157" s="114" t="s">
        <v>22</v>
      </c>
      <c r="K157" s="502" t="s">
        <v>23</v>
      </c>
      <c r="L157" s="146"/>
      <c r="M157" s="70"/>
      <c r="N157" s="75"/>
      <c r="O157" s="75"/>
      <c r="P157" s="79"/>
      <c r="Q157" s="70"/>
      <c r="R157" s="75"/>
      <c r="S157" s="75"/>
      <c r="T157" s="75"/>
      <c r="U157" s="79"/>
    </row>
    <row r="158" spans="1:21" x14ac:dyDescent="0.25">
      <c r="A158" s="75">
        <f t="shared" si="27"/>
        <v>146</v>
      </c>
      <c r="B158" s="98">
        <v>46170</v>
      </c>
      <c r="C158" s="654" t="s">
        <v>161</v>
      </c>
      <c r="D158" s="654" t="s">
        <v>168</v>
      </c>
      <c r="E158" s="655">
        <v>58.95</v>
      </c>
      <c r="F158" s="31">
        <v>1086.1400000000001</v>
      </c>
      <c r="G158" s="556">
        <f t="shared" si="25"/>
        <v>64027.953000000009</v>
      </c>
      <c r="H158" s="36">
        <v>82601.11</v>
      </c>
      <c r="I158" s="37">
        <f t="shared" si="26"/>
        <v>4869335.4345000004</v>
      </c>
      <c r="J158" s="114" t="s">
        <v>22</v>
      </c>
      <c r="K158" s="502" t="s">
        <v>23</v>
      </c>
      <c r="L158" s="146"/>
      <c r="M158" s="70"/>
      <c r="N158" s="75"/>
      <c r="O158" s="75"/>
      <c r="P158" s="79"/>
      <c r="Q158" s="70"/>
      <c r="R158" s="75"/>
      <c r="S158" s="75"/>
      <c r="T158" s="75"/>
      <c r="U158" s="79"/>
    </row>
    <row r="159" spans="1:21" x14ac:dyDescent="0.25">
      <c r="A159" s="75">
        <f t="shared" si="27"/>
        <v>147</v>
      </c>
      <c r="B159" s="98">
        <v>46170</v>
      </c>
      <c r="C159" s="654" t="s">
        <v>161</v>
      </c>
      <c r="D159" s="654" t="s">
        <v>169</v>
      </c>
      <c r="E159" s="655">
        <v>58.9</v>
      </c>
      <c r="F159" s="31">
        <v>1086.1400000000001</v>
      </c>
      <c r="G159" s="556">
        <f t="shared" si="25"/>
        <v>63973.646000000008</v>
      </c>
      <c r="H159" s="36">
        <v>82601.11</v>
      </c>
      <c r="I159" s="37">
        <f t="shared" si="26"/>
        <v>4865205.3789999997</v>
      </c>
      <c r="J159" s="114" t="s">
        <v>22</v>
      </c>
      <c r="K159" s="502" t="s">
        <v>23</v>
      </c>
      <c r="L159" s="146"/>
      <c r="M159" s="70"/>
      <c r="N159" s="75"/>
      <c r="O159" s="75"/>
      <c r="P159" s="79"/>
      <c r="Q159" s="70"/>
      <c r="R159" s="75"/>
      <c r="S159" s="75"/>
      <c r="T159" s="75"/>
      <c r="U159" s="79"/>
    </row>
    <row r="160" spans="1:21" x14ac:dyDescent="0.25">
      <c r="A160" s="75">
        <f t="shared" si="27"/>
        <v>148</v>
      </c>
      <c r="B160" s="98">
        <v>46170</v>
      </c>
      <c r="C160" s="654" t="s">
        <v>161</v>
      </c>
      <c r="D160" s="654" t="s">
        <v>170</v>
      </c>
      <c r="E160" s="655">
        <v>59</v>
      </c>
      <c r="F160" s="31">
        <v>1086.1400000000001</v>
      </c>
      <c r="G160" s="556">
        <f t="shared" si="25"/>
        <v>64082.260000000009</v>
      </c>
      <c r="H160" s="36">
        <v>82601.11</v>
      </c>
      <c r="I160" s="37">
        <f t="shared" si="26"/>
        <v>4873465.49</v>
      </c>
      <c r="J160" s="114" t="s">
        <v>22</v>
      </c>
      <c r="K160" s="502" t="s">
        <v>23</v>
      </c>
      <c r="L160" s="146"/>
      <c r="M160" s="70"/>
      <c r="N160" s="75"/>
      <c r="O160" s="75"/>
      <c r="P160" s="79"/>
      <c r="Q160" s="70"/>
      <c r="R160" s="75"/>
      <c r="S160" s="75"/>
      <c r="T160" s="75"/>
      <c r="U160" s="79"/>
    </row>
    <row r="161" spans="1:21" x14ac:dyDescent="0.25">
      <c r="A161" s="75">
        <f t="shared" si="27"/>
        <v>149</v>
      </c>
      <c r="B161" s="98">
        <v>46170</v>
      </c>
      <c r="C161" s="654" t="s">
        <v>161</v>
      </c>
      <c r="D161" s="654" t="s">
        <v>171</v>
      </c>
      <c r="E161" s="655">
        <v>59</v>
      </c>
      <c r="F161" s="31">
        <v>1086.1400000000001</v>
      </c>
      <c r="G161" s="556">
        <f t="shared" si="25"/>
        <v>64082.260000000009</v>
      </c>
      <c r="H161" s="36">
        <v>82601.11</v>
      </c>
      <c r="I161" s="37">
        <f t="shared" si="26"/>
        <v>4873465.49</v>
      </c>
      <c r="J161" s="114" t="s">
        <v>22</v>
      </c>
      <c r="K161" s="502" t="s">
        <v>23</v>
      </c>
      <c r="L161" s="146"/>
      <c r="M161" s="70"/>
      <c r="N161" s="75"/>
      <c r="O161" s="75"/>
      <c r="P161" s="79"/>
      <c r="Q161" s="70"/>
      <c r="R161" s="75"/>
      <c r="S161" s="75"/>
      <c r="T161" s="75"/>
      <c r="U161" s="79"/>
    </row>
    <row r="162" spans="1:21" x14ac:dyDescent="0.25">
      <c r="A162" s="75">
        <f t="shared" si="27"/>
        <v>150</v>
      </c>
      <c r="B162" s="98">
        <v>46170</v>
      </c>
      <c r="C162" s="654" t="s">
        <v>161</v>
      </c>
      <c r="D162" s="654" t="s">
        <v>172</v>
      </c>
      <c r="E162" s="655">
        <v>58.95</v>
      </c>
      <c r="F162" s="31">
        <v>1086.1400000000001</v>
      </c>
      <c r="G162" s="556">
        <f t="shared" si="25"/>
        <v>64027.953000000009</v>
      </c>
      <c r="H162" s="36">
        <v>82601.11</v>
      </c>
      <c r="I162" s="37">
        <f t="shared" si="26"/>
        <v>4869335.4345000004</v>
      </c>
      <c r="J162" s="114" t="s">
        <v>22</v>
      </c>
      <c r="K162" s="502" t="s">
        <v>23</v>
      </c>
      <c r="L162" s="146"/>
      <c r="M162" s="70"/>
      <c r="N162" s="75"/>
      <c r="O162" s="75"/>
      <c r="P162" s="79"/>
      <c r="Q162" s="70"/>
      <c r="R162" s="75"/>
      <c r="S162" s="75"/>
      <c r="T162" s="75"/>
      <c r="U162" s="79"/>
    </row>
    <row r="163" spans="1:21" x14ac:dyDescent="0.25">
      <c r="A163" s="75">
        <f t="shared" si="27"/>
        <v>151</v>
      </c>
      <c r="B163" s="98">
        <v>46170</v>
      </c>
      <c r="C163" s="654" t="s">
        <v>161</v>
      </c>
      <c r="D163" s="654" t="s">
        <v>173</v>
      </c>
      <c r="E163" s="655">
        <v>58.9</v>
      </c>
      <c r="F163" s="31">
        <v>1086.1400000000001</v>
      </c>
      <c r="G163" s="556">
        <f t="shared" si="25"/>
        <v>63973.646000000008</v>
      </c>
      <c r="H163" s="36">
        <v>82601.11</v>
      </c>
      <c r="I163" s="37">
        <f t="shared" si="26"/>
        <v>4865205.3789999997</v>
      </c>
      <c r="J163" s="114" t="s">
        <v>22</v>
      </c>
      <c r="K163" s="502" t="s">
        <v>23</v>
      </c>
      <c r="L163" s="146"/>
      <c r="M163" s="70"/>
      <c r="N163" s="75"/>
      <c r="O163" s="75"/>
      <c r="P163" s="79"/>
      <c r="Q163" s="70"/>
      <c r="R163" s="75"/>
      <c r="S163" s="75"/>
      <c r="T163" s="75"/>
      <c r="U163" s="79"/>
    </row>
    <row r="164" spans="1:21" x14ac:dyDescent="0.25">
      <c r="A164" s="75">
        <f t="shared" si="27"/>
        <v>152</v>
      </c>
      <c r="B164" s="98">
        <v>46170</v>
      </c>
      <c r="C164" s="654" t="s">
        <v>161</v>
      </c>
      <c r="D164" s="654" t="s">
        <v>174</v>
      </c>
      <c r="E164" s="655">
        <v>58.95</v>
      </c>
      <c r="F164" s="31">
        <v>1086.1400000000001</v>
      </c>
      <c r="G164" s="556">
        <f t="shared" si="25"/>
        <v>64027.953000000009</v>
      </c>
      <c r="H164" s="36">
        <v>82601.11</v>
      </c>
      <c r="I164" s="37">
        <f t="shared" si="26"/>
        <v>4869335.4345000004</v>
      </c>
      <c r="J164" s="114" t="s">
        <v>22</v>
      </c>
      <c r="K164" s="502" t="s">
        <v>23</v>
      </c>
      <c r="L164" s="146"/>
      <c r="M164" s="70"/>
      <c r="N164" s="75"/>
      <c r="O164" s="75"/>
      <c r="P164" s="79"/>
      <c r="Q164" s="70"/>
      <c r="R164" s="75"/>
      <c r="S164" s="75"/>
      <c r="T164" s="75"/>
      <c r="U164" s="79"/>
    </row>
    <row r="165" spans="1:21" x14ac:dyDescent="0.25">
      <c r="A165" s="75">
        <f t="shared" si="27"/>
        <v>153</v>
      </c>
      <c r="B165" s="98">
        <v>46170</v>
      </c>
      <c r="C165" s="654" t="s">
        <v>161</v>
      </c>
      <c r="D165" s="654" t="s">
        <v>175</v>
      </c>
      <c r="E165" s="655">
        <v>58.95</v>
      </c>
      <c r="F165" s="31">
        <v>1086.1400000000001</v>
      </c>
      <c r="G165" s="556">
        <f t="shared" si="25"/>
        <v>64027.953000000009</v>
      </c>
      <c r="H165" s="36">
        <v>82601.11</v>
      </c>
      <c r="I165" s="37">
        <f t="shared" si="26"/>
        <v>4869335.4345000004</v>
      </c>
      <c r="J165" s="114" t="s">
        <v>22</v>
      </c>
      <c r="K165" s="502" t="s">
        <v>23</v>
      </c>
      <c r="L165" s="146"/>
      <c r="M165" s="70"/>
      <c r="N165" s="75"/>
      <c r="O165" s="75"/>
      <c r="P165" s="79"/>
      <c r="Q165" s="70"/>
      <c r="R165" s="75"/>
      <c r="S165" s="75"/>
      <c r="T165" s="75"/>
      <c r="U165" s="79"/>
    </row>
    <row r="166" spans="1:21" x14ac:dyDescent="0.25">
      <c r="A166" s="75">
        <f t="shared" si="27"/>
        <v>154</v>
      </c>
      <c r="B166" s="98">
        <v>46170</v>
      </c>
      <c r="C166" s="654" t="s">
        <v>161</v>
      </c>
      <c r="D166" s="654" t="s">
        <v>176</v>
      </c>
      <c r="E166" s="655">
        <v>58.9</v>
      </c>
      <c r="F166" s="31">
        <v>1086.1400000000001</v>
      </c>
      <c r="G166" s="556">
        <f t="shared" si="25"/>
        <v>63973.646000000008</v>
      </c>
      <c r="H166" s="36">
        <v>82601.11</v>
      </c>
      <c r="I166" s="37">
        <f t="shared" si="26"/>
        <v>4865205.3789999997</v>
      </c>
      <c r="J166" s="114" t="s">
        <v>22</v>
      </c>
      <c r="K166" s="502" t="s">
        <v>23</v>
      </c>
      <c r="L166" s="146"/>
      <c r="M166" s="70"/>
      <c r="N166" s="75"/>
      <c r="O166" s="75"/>
      <c r="P166" s="79"/>
      <c r="Q166" s="70"/>
      <c r="R166" s="75"/>
      <c r="S166" s="75"/>
      <c r="T166" s="75"/>
      <c r="U166" s="79"/>
    </row>
    <row r="167" spans="1:21" x14ac:dyDescent="0.25">
      <c r="A167" s="75">
        <f t="shared" si="27"/>
        <v>155</v>
      </c>
      <c r="B167" s="98">
        <v>46170</v>
      </c>
      <c r="C167" s="654" t="s">
        <v>161</v>
      </c>
      <c r="D167" s="654" t="s">
        <v>177</v>
      </c>
      <c r="E167" s="655">
        <v>59.1</v>
      </c>
      <c r="F167" s="31">
        <v>1086.1400000000001</v>
      </c>
      <c r="G167" s="556">
        <f t="shared" si="25"/>
        <v>64190.874000000011</v>
      </c>
      <c r="H167" s="36">
        <v>82601.11</v>
      </c>
      <c r="I167" s="37">
        <f t="shared" si="26"/>
        <v>4881725.6009999998</v>
      </c>
      <c r="J167" s="114" t="s">
        <v>22</v>
      </c>
      <c r="K167" s="502" t="s">
        <v>23</v>
      </c>
      <c r="L167" s="146"/>
      <c r="M167" s="70"/>
      <c r="N167" s="75"/>
      <c r="O167" s="75"/>
      <c r="P167" s="79"/>
      <c r="Q167" s="70"/>
      <c r="R167" s="75"/>
      <c r="S167" s="75"/>
      <c r="T167" s="75"/>
      <c r="U167" s="79"/>
    </row>
    <row r="168" spans="1:21" x14ac:dyDescent="0.25">
      <c r="A168" s="75">
        <f t="shared" si="27"/>
        <v>156</v>
      </c>
      <c r="B168" s="98">
        <v>46170</v>
      </c>
      <c r="C168" s="654" t="s">
        <v>161</v>
      </c>
      <c r="D168" s="654" t="s">
        <v>178</v>
      </c>
      <c r="E168" s="655">
        <v>58.85</v>
      </c>
      <c r="F168" s="31">
        <v>1086.1400000000001</v>
      </c>
      <c r="G168" s="556">
        <f t="shared" si="25"/>
        <v>63919.339000000007</v>
      </c>
      <c r="H168" s="36">
        <v>82601.11</v>
      </c>
      <c r="I168" s="37">
        <f t="shared" si="26"/>
        <v>4861075.3234999999</v>
      </c>
      <c r="J168" s="114" t="s">
        <v>22</v>
      </c>
      <c r="K168" s="502" t="s">
        <v>23</v>
      </c>
      <c r="L168" s="146"/>
      <c r="M168" s="70"/>
      <c r="N168" s="75"/>
      <c r="O168" s="75"/>
      <c r="P168" s="79"/>
      <c r="Q168" s="70"/>
      <c r="R168" s="75"/>
      <c r="S168" s="75"/>
      <c r="T168" s="75"/>
      <c r="U168" s="79"/>
    </row>
    <row r="169" spans="1:21" x14ac:dyDescent="0.25">
      <c r="A169" s="75">
        <f t="shared" si="27"/>
        <v>157</v>
      </c>
      <c r="B169" s="98">
        <v>46170</v>
      </c>
      <c r="C169" s="654" t="s">
        <v>161</v>
      </c>
      <c r="D169" s="654" t="s">
        <v>179</v>
      </c>
      <c r="E169" s="655">
        <v>59.5</v>
      </c>
      <c r="F169" s="31">
        <v>1086.1400000000001</v>
      </c>
      <c r="G169" s="556">
        <f t="shared" si="25"/>
        <v>64625.330000000009</v>
      </c>
      <c r="H169" s="36">
        <v>82601.11</v>
      </c>
      <c r="I169" s="37">
        <f t="shared" si="26"/>
        <v>4914766.0449999999</v>
      </c>
      <c r="J169" s="114" t="s">
        <v>22</v>
      </c>
      <c r="K169" s="502" t="s">
        <v>23</v>
      </c>
      <c r="L169" s="146"/>
      <c r="M169" s="70"/>
      <c r="N169" s="75"/>
      <c r="O169" s="75"/>
      <c r="P169" s="79"/>
      <c r="Q169" s="70"/>
      <c r="R169" s="75"/>
      <c r="S169" s="75"/>
      <c r="T169" s="75"/>
      <c r="U169" s="79"/>
    </row>
    <row r="170" spans="1:21" x14ac:dyDescent="0.25">
      <c r="A170" s="75">
        <f t="shared" si="27"/>
        <v>158</v>
      </c>
      <c r="B170" s="98">
        <v>46170</v>
      </c>
      <c r="C170" s="654" t="s">
        <v>161</v>
      </c>
      <c r="D170" s="654" t="s">
        <v>180</v>
      </c>
      <c r="E170" s="655">
        <v>59.55</v>
      </c>
      <c r="F170" s="31">
        <v>1086.1400000000001</v>
      </c>
      <c r="G170" s="556">
        <f t="shared" si="25"/>
        <v>64679.637000000002</v>
      </c>
      <c r="H170" s="36">
        <v>82601.11</v>
      </c>
      <c r="I170" s="37">
        <f t="shared" si="26"/>
        <v>4918896.1004999997</v>
      </c>
      <c r="J170" s="114" t="s">
        <v>22</v>
      </c>
      <c r="K170" s="502" t="s">
        <v>23</v>
      </c>
      <c r="L170" s="146"/>
      <c r="M170" s="70"/>
      <c r="N170" s="75"/>
      <c r="O170" s="75"/>
      <c r="P170" s="79"/>
      <c r="Q170" s="70"/>
      <c r="R170" s="75"/>
      <c r="S170" s="75"/>
      <c r="T170" s="75"/>
      <c r="U170" s="79"/>
    </row>
    <row r="171" spans="1:21" x14ac:dyDescent="0.25">
      <c r="A171" s="75">
        <f t="shared" si="27"/>
        <v>159</v>
      </c>
      <c r="B171" s="98">
        <v>46170</v>
      </c>
      <c r="C171" s="654" t="s">
        <v>161</v>
      </c>
      <c r="D171" s="654" t="s">
        <v>181</v>
      </c>
      <c r="E171" s="655">
        <v>59.5</v>
      </c>
      <c r="F171" s="31">
        <v>1086.1400000000001</v>
      </c>
      <c r="G171" s="556">
        <f t="shared" si="25"/>
        <v>64625.330000000009</v>
      </c>
      <c r="H171" s="36">
        <v>82601.11</v>
      </c>
      <c r="I171" s="37">
        <f t="shared" si="26"/>
        <v>4914766.0449999999</v>
      </c>
      <c r="J171" s="114" t="s">
        <v>22</v>
      </c>
      <c r="K171" s="502" t="s">
        <v>23</v>
      </c>
      <c r="L171" s="146"/>
      <c r="M171" s="70"/>
      <c r="N171" s="75"/>
      <c r="O171" s="75"/>
      <c r="P171" s="79"/>
      <c r="Q171" s="70"/>
      <c r="R171" s="75"/>
      <c r="S171" s="75"/>
      <c r="T171" s="75"/>
      <c r="U171" s="79"/>
    </row>
    <row r="172" spans="1:21" x14ac:dyDescent="0.25">
      <c r="A172" s="207">
        <v>160</v>
      </c>
      <c r="B172" s="188">
        <v>46170</v>
      </c>
      <c r="C172" s="651" t="s">
        <v>182</v>
      </c>
      <c r="D172" s="652" t="s">
        <v>183</v>
      </c>
      <c r="E172" s="653">
        <v>58.4</v>
      </c>
      <c r="F172" s="32">
        <v>1086.1400000000001</v>
      </c>
      <c r="G172" s="228">
        <f t="shared" si="25"/>
        <v>63430.576000000001</v>
      </c>
      <c r="H172" s="34">
        <v>82601.11</v>
      </c>
      <c r="I172" s="35">
        <f t="shared" si="26"/>
        <v>4823904.824</v>
      </c>
      <c r="J172" s="212" t="s">
        <v>22</v>
      </c>
      <c r="K172" s="554" t="s">
        <v>23</v>
      </c>
      <c r="L172" s="210"/>
      <c r="M172" s="207"/>
      <c r="N172" s="140"/>
      <c r="O172" s="140"/>
      <c r="P172" s="210"/>
      <c r="Q172" s="207"/>
      <c r="R172" s="140"/>
      <c r="S172" s="140"/>
      <c r="T172" s="140"/>
      <c r="U172" s="210"/>
    </row>
    <row r="173" spans="1:21" x14ac:dyDescent="0.25">
      <c r="A173" s="70">
        <f>A172+1</f>
        <v>161</v>
      </c>
      <c r="B173" s="98">
        <v>46170</v>
      </c>
      <c r="C173" s="654" t="s">
        <v>182</v>
      </c>
      <c r="D173" s="654" t="s">
        <v>184</v>
      </c>
      <c r="E173" s="655">
        <v>58.6</v>
      </c>
      <c r="F173" s="31">
        <v>1086.1400000000001</v>
      </c>
      <c r="G173" s="556">
        <f t="shared" si="25"/>
        <v>63647.804000000011</v>
      </c>
      <c r="H173" s="36">
        <v>82601.11</v>
      </c>
      <c r="I173" s="37">
        <f t="shared" si="26"/>
        <v>4840425.0460000001</v>
      </c>
      <c r="J173" s="114" t="s">
        <v>22</v>
      </c>
      <c r="K173" s="502" t="s">
        <v>23</v>
      </c>
      <c r="L173" s="79"/>
      <c r="M173" s="70"/>
      <c r="N173" s="75"/>
      <c r="O173" s="75"/>
      <c r="P173" s="79"/>
      <c r="Q173" s="70"/>
      <c r="R173" s="75"/>
      <c r="S173" s="75"/>
      <c r="T173" s="75"/>
      <c r="U173" s="79"/>
    </row>
    <row r="174" spans="1:21" x14ac:dyDescent="0.25">
      <c r="A174" s="70">
        <f t="shared" ref="A174:A184" si="28">A173+1</f>
        <v>162</v>
      </c>
      <c r="B174" s="98">
        <v>46170</v>
      </c>
      <c r="C174" s="654" t="s">
        <v>182</v>
      </c>
      <c r="D174" s="654" t="s">
        <v>185</v>
      </c>
      <c r="E174" s="655">
        <v>58.5</v>
      </c>
      <c r="F174" s="31">
        <v>1086.1400000000001</v>
      </c>
      <c r="G174" s="556">
        <f t="shared" si="25"/>
        <v>63539.19</v>
      </c>
      <c r="H174" s="36">
        <v>82601.11</v>
      </c>
      <c r="I174" s="37">
        <f t="shared" si="26"/>
        <v>4832164.9349999996</v>
      </c>
      <c r="J174" s="114" t="s">
        <v>22</v>
      </c>
      <c r="K174" s="502" t="s">
        <v>23</v>
      </c>
      <c r="L174" s="79"/>
      <c r="M174" s="70"/>
      <c r="N174" s="75"/>
      <c r="O174" s="75"/>
      <c r="P174" s="79"/>
      <c r="Q174" s="70"/>
      <c r="R174" s="75"/>
      <c r="S174" s="75"/>
      <c r="T174" s="75"/>
      <c r="U174" s="79"/>
    </row>
    <row r="175" spans="1:21" x14ac:dyDescent="0.25">
      <c r="A175" s="70">
        <f t="shared" si="28"/>
        <v>163</v>
      </c>
      <c r="B175" s="98">
        <v>46170</v>
      </c>
      <c r="C175" s="654" t="s">
        <v>182</v>
      </c>
      <c r="D175" s="654" t="s">
        <v>186</v>
      </c>
      <c r="E175" s="655">
        <v>58.95</v>
      </c>
      <c r="F175" s="31">
        <v>1086.1400000000001</v>
      </c>
      <c r="G175" s="556">
        <f t="shared" si="25"/>
        <v>64027.953000000009</v>
      </c>
      <c r="H175" s="36">
        <v>82601.11</v>
      </c>
      <c r="I175" s="37">
        <f t="shared" si="26"/>
        <v>4869335.4345000004</v>
      </c>
      <c r="J175" s="114" t="s">
        <v>22</v>
      </c>
      <c r="K175" s="502" t="s">
        <v>23</v>
      </c>
      <c r="L175" s="79"/>
      <c r="M175" s="70"/>
      <c r="N175" s="75"/>
      <c r="O175" s="75"/>
      <c r="P175" s="79"/>
      <c r="Q175" s="70"/>
      <c r="R175" s="75"/>
      <c r="S175" s="75"/>
      <c r="T175" s="75"/>
      <c r="U175" s="79"/>
    </row>
    <row r="176" spans="1:21" x14ac:dyDescent="0.25">
      <c r="A176" s="70">
        <f t="shared" si="28"/>
        <v>164</v>
      </c>
      <c r="B176" s="98">
        <v>46170</v>
      </c>
      <c r="C176" s="654" t="s">
        <v>182</v>
      </c>
      <c r="D176" s="654" t="s">
        <v>187</v>
      </c>
      <c r="E176" s="655">
        <v>58.95</v>
      </c>
      <c r="F176" s="31">
        <v>1086.1400000000001</v>
      </c>
      <c r="G176" s="556">
        <f t="shared" si="25"/>
        <v>64027.953000000009</v>
      </c>
      <c r="H176" s="36">
        <v>82601.11</v>
      </c>
      <c r="I176" s="37">
        <f t="shared" si="26"/>
        <v>4869335.4345000004</v>
      </c>
      <c r="J176" s="114" t="s">
        <v>22</v>
      </c>
      <c r="K176" s="502" t="s">
        <v>23</v>
      </c>
      <c r="L176" s="79"/>
      <c r="M176" s="70"/>
      <c r="N176" s="75"/>
      <c r="O176" s="75"/>
      <c r="P176" s="79"/>
      <c r="Q176" s="70"/>
      <c r="R176" s="75"/>
      <c r="S176" s="75"/>
      <c r="T176" s="75"/>
      <c r="U176" s="79"/>
    </row>
    <row r="177" spans="1:21" x14ac:dyDescent="0.25">
      <c r="A177" s="70">
        <f t="shared" si="28"/>
        <v>165</v>
      </c>
      <c r="B177" s="98">
        <v>46170</v>
      </c>
      <c r="C177" s="654" t="s">
        <v>182</v>
      </c>
      <c r="D177" s="654" t="s">
        <v>188</v>
      </c>
      <c r="E177" s="655">
        <v>58.9</v>
      </c>
      <c r="F177" s="31">
        <v>1086.1400000000001</v>
      </c>
      <c r="G177" s="556">
        <f t="shared" si="25"/>
        <v>63973.646000000008</v>
      </c>
      <c r="H177" s="36">
        <v>82601.11</v>
      </c>
      <c r="I177" s="37">
        <f t="shared" si="26"/>
        <v>4865205.3789999997</v>
      </c>
      <c r="J177" s="114" t="s">
        <v>22</v>
      </c>
      <c r="K177" s="502" t="s">
        <v>23</v>
      </c>
      <c r="L177" s="79"/>
      <c r="M177" s="70"/>
      <c r="N177" s="75"/>
      <c r="O177" s="75"/>
      <c r="P177" s="79"/>
      <c r="Q177" s="70"/>
      <c r="R177" s="75"/>
      <c r="S177" s="75"/>
      <c r="T177" s="75"/>
      <c r="U177" s="79"/>
    </row>
    <row r="178" spans="1:21" x14ac:dyDescent="0.25">
      <c r="A178" s="70">
        <f t="shared" si="28"/>
        <v>166</v>
      </c>
      <c r="B178" s="98">
        <v>46170</v>
      </c>
      <c r="C178" s="654" t="s">
        <v>182</v>
      </c>
      <c r="D178" s="654" t="s">
        <v>189</v>
      </c>
      <c r="E178" s="655">
        <v>59.15</v>
      </c>
      <c r="F178" s="31">
        <v>1086.1400000000001</v>
      </c>
      <c r="G178" s="556">
        <f t="shared" si="25"/>
        <v>64245.181000000004</v>
      </c>
      <c r="H178" s="36">
        <v>82601.11</v>
      </c>
      <c r="I178" s="37">
        <f t="shared" si="26"/>
        <v>4885855.6564999996</v>
      </c>
      <c r="J178" s="114" t="s">
        <v>22</v>
      </c>
      <c r="K178" s="502" t="s">
        <v>23</v>
      </c>
      <c r="L178" s="79"/>
      <c r="M178" s="70"/>
      <c r="N178" s="75"/>
      <c r="O178" s="75"/>
      <c r="P178" s="79"/>
      <c r="Q178" s="70"/>
      <c r="R178" s="75"/>
      <c r="S178" s="75"/>
      <c r="T178" s="75"/>
      <c r="U178" s="79"/>
    </row>
    <row r="179" spans="1:21" x14ac:dyDescent="0.25">
      <c r="A179" s="70">
        <f t="shared" si="28"/>
        <v>167</v>
      </c>
      <c r="B179" s="98">
        <v>46170</v>
      </c>
      <c r="C179" s="654" t="s">
        <v>182</v>
      </c>
      <c r="D179" s="654" t="s">
        <v>190</v>
      </c>
      <c r="E179" s="655">
        <v>58.95</v>
      </c>
      <c r="F179" s="31">
        <v>1086.1400000000001</v>
      </c>
      <c r="G179" s="556">
        <f t="shared" si="25"/>
        <v>64027.953000000009</v>
      </c>
      <c r="H179" s="36">
        <v>82601.11</v>
      </c>
      <c r="I179" s="37">
        <f t="shared" si="26"/>
        <v>4869335.4345000004</v>
      </c>
      <c r="J179" s="114" t="s">
        <v>22</v>
      </c>
      <c r="K179" s="502" t="s">
        <v>23</v>
      </c>
      <c r="L179" s="79"/>
      <c r="M179" s="70"/>
      <c r="N179" s="75"/>
      <c r="O179" s="75"/>
      <c r="P179" s="79"/>
      <c r="Q179" s="70"/>
      <c r="R179" s="75"/>
      <c r="S179" s="75"/>
      <c r="T179" s="75"/>
      <c r="U179" s="79"/>
    </row>
    <row r="180" spans="1:21" x14ac:dyDescent="0.25">
      <c r="A180" s="70">
        <f t="shared" si="28"/>
        <v>168</v>
      </c>
      <c r="B180" s="98">
        <v>46170</v>
      </c>
      <c r="C180" s="654" t="s">
        <v>182</v>
      </c>
      <c r="D180" s="654" t="s">
        <v>191</v>
      </c>
      <c r="E180" s="655">
        <v>58.85</v>
      </c>
      <c r="F180" s="31">
        <v>1086.1400000000001</v>
      </c>
      <c r="G180" s="556">
        <f t="shared" si="25"/>
        <v>63919.339000000007</v>
      </c>
      <c r="H180" s="36">
        <v>82601.11</v>
      </c>
      <c r="I180" s="37">
        <f t="shared" si="26"/>
        <v>4861075.3234999999</v>
      </c>
      <c r="J180" s="114" t="s">
        <v>22</v>
      </c>
      <c r="K180" s="502" t="s">
        <v>23</v>
      </c>
      <c r="L180" s="79"/>
      <c r="M180" s="70"/>
      <c r="N180" s="75"/>
      <c r="O180" s="75"/>
      <c r="P180" s="79"/>
      <c r="Q180" s="70"/>
      <c r="R180" s="75"/>
      <c r="S180" s="75"/>
      <c r="T180" s="75"/>
      <c r="U180" s="79"/>
    </row>
    <row r="181" spans="1:21" x14ac:dyDescent="0.25">
      <c r="A181" s="70">
        <f t="shared" si="28"/>
        <v>169</v>
      </c>
      <c r="B181" s="98">
        <v>46170</v>
      </c>
      <c r="C181" s="654" t="s">
        <v>182</v>
      </c>
      <c r="D181" s="654" t="s">
        <v>192</v>
      </c>
      <c r="E181" s="655">
        <v>59.5</v>
      </c>
      <c r="F181" s="31">
        <v>1086.1400000000001</v>
      </c>
      <c r="G181" s="556">
        <f t="shared" si="25"/>
        <v>64625.330000000009</v>
      </c>
      <c r="H181" s="36">
        <v>82601.11</v>
      </c>
      <c r="I181" s="37">
        <f t="shared" si="26"/>
        <v>4914766.0449999999</v>
      </c>
      <c r="J181" s="114" t="s">
        <v>22</v>
      </c>
      <c r="K181" s="502" t="s">
        <v>23</v>
      </c>
      <c r="L181" s="79"/>
      <c r="M181" s="70"/>
      <c r="N181" s="75"/>
      <c r="O181" s="75"/>
      <c r="P181" s="79"/>
      <c r="Q181" s="70"/>
      <c r="R181" s="75"/>
      <c r="S181" s="75"/>
      <c r="T181" s="75"/>
      <c r="U181" s="79"/>
    </row>
    <row r="182" spans="1:21" x14ac:dyDescent="0.25">
      <c r="A182" s="70">
        <f t="shared" si="28"/>
        <v>170</v>
      </c>
      <c r="B182" s="98">
        <v>46170</v>
      </c>
      <c r="C182" s="654" t="s">
        <v>182</v>
      </c>
      <c r="D182" s="654" t="s">
        <v>193</v>
      </c>
      <c r="E182" s="655">
        <v>59.35</v>
      </c>
      <c r="F182" s="31">
        <v>1086.1400000000001</v>
      </c>
      <c r="G182" s="556">
        <f t="shared" si="25"/>
        <v>64462.409000000007</v>
      </c>
      <c r="H182" s="36">
        <v>82601.11</v>
      </c>
      <c r="I182" s="37">
        <f t="shared" si="26"/>
        <v>4902375.8785000006</v>
      </c>
      <c r="J182" s="114" t="s">
        <v>22</v>
      </c>
      <c r="K182" s="502" t="s">
        <v>23</v>
      </c>
      <c r="L182" s="79"/>
      <c r="M182" s="70"/>
      <c r="N182" s="75"/>
      <c r="O182" s="75"/>
      <c r="P182" s="79"/>
      <c r="Q182" s="70"/>
      <c r="R182" s="75"/>
      <c r="S182" s="75"/>
      <c r="T182" s="75"/>
      <c r="U182" s="79"/>
    </row>
    <row r="183" spans="1:21" x14ac:dyDescent="0.25">
      <c r="A183" s="70">
        <f t="shared" si="28"/>
        <v>171</v>
      </c>
      <c r="B183" s="98">
        <v>46170</v>
      </c>
      <c r="C183" s="654" t="s">
        <v>182</v>
      </c>
      <c r="D183" s="654" t="s">
        <v>194</v>
      </c>
      <c r="E183" s="655">
        <v>59.55</v>
      </c>
      <c r="F183" s="31">
        <v>1086.1400000000001</v>
      </c>
      <c r="G183" s="556">
        <f t="shared" si="25"/>
        <v>64679.637000000002</v>
      </c>
      <c r="H183" s="36">
        <v>82601.11</v>
      </c>
      <c r="I183" s="37">
        <f t="shared" si="26"/>
        <v>4918896.1004999997</v>
      </c>
      <c r="J183" s="114" t="s">
        <v>22</v>
      </c>
      <c r="K183" s="502" t="s">
        <v>23</v>
      </c>
      <c r="L183" s="79"/>
      <c r="M183" s="70"/>
      <c r="N183" s="75"/>
      <c r="O183" s="75"/>
      <c r="P183" s="79"/>
      <c r="Q183" s="70"/>
      <c r="R183" s="75"/>
      <c r="S183" s="75"/>
      <c r="T183" s="75"/>
      <c r="U183" s="79"/>
    </row>
    <row r="184" spans="1:21" ht="15.75" thickBot="1" x14ac:dyDescent="0.3">
      <c r="A184" s="101">
        <f t="shared" si="28"/>
        <v>172</v>
      </c>
      <c r="B184" s="135">
        <v>46170</v>
      </c>
      <c r="C184" s="656" t="s">
        <v>182</v>
      </c>
      <c r="D184" s="656" t="s">
        <v>195</v>
      </c>
      <c r="E184" s="657">
        <v>59.7</v>
      </c>
      <c r="F184" s="106">
        <v>1086.1400000000001</v>
      </c>
      <c r="G184" s="557">
        <f t="shared" si="25"/>
        <v>64842.558000000012</v>
      </c>
      <c r="H184" s="38">
        <v>82601.11</v>
      </c>
      <c r="I184" s="39">
        <f t="shared" si="26"/>
        <v>4931286.267</v>
      </c>
      <c r="J184" s="137" t="s">
        <v>22</v>
      </c>
      <c r="K184" s="558" t="s">
        <v>23</v>
      </c>
      <c r="L184" s="89"/>
      <c r="M184" s="80"/>
      <c r="N184" s="88"/>
      <c r="O184" s="88"/>
      <c r="P184" s="89"/>
      <c r="Q184" s="80"/>
      <c r="R184" s="88"/>
      <c r="S184" s="88"/>
      <c r="T184" s="88"/>
      <c r="U184" s="89"/>
    </row>
    <row r="185" spans="1:21" ht="15.75" thickBot="1" x14ac:dyDescent="0.3">
      <c r="A185" s="233"/>
      <c r="B185" s="234"/>
      <c r="C185" s="234"/>
      <c r="D185" s="234"/>
      <c r="E185" s="235">
        <f>SUM(E152:E184)</f>
        <v>1937.2500000000002</v>
      </c>
      <c r="F185" s="624"/>
      <c r="G185" s="237">
        <f>SUM(G152:G184)</f>
        <v>2104124.7150000003</v>
      </c>
      <c r="H185" s="624"/>
      <c r="I185" s="238">
        <f>SUM(I152:I184)</f>
        <v>160019000.34749997</v>
      </c>
      <c r="J185" s="234"/>
      <c r="K185" s="239"/>
      <c r="L185" s="259"/>
      <c r="M185" s="253"/>
      <c r="N185" s="254"/>
      <c r="O185" s="254"/>
      <c r="P185" s="255"/>
      <c r="Q185" s="256"/>
      <c r="R185" s="254"/>
      <c r="S185" s="254"/>
      <c r="T185" s="254"/>
      <c r="U185" s="255"/>
    </row>
    <row r="186" spans="1:21" ht="15.75" thickBot="1" x14ac:dyDescent="0.3">
      <c r="A186" s="626"/>
      <c r="B186" s="627"/>
      <c r="C186" s="627"/>
      <c r="D186" s="627"/>
      <c r="E186" s="628">
        <f>E25+E39+E58+E99+E108+E124+E145+E151+E185</f>
        <v>9985</v>
      </c>
      <c r="F186" s="629"/>
      <c r="G186" s="630">
        <f>G25+G39+G58+G99+G108+G124+G145+G151+G185</f>
        <v>10780537.120473685</v>
      </c>
      <c r="H186" s="629"/>
      <c r="I186" s="631">
        <f>I25+I39+I58+I99+I108+I124+I145+I151+I185</f>
        <v>819861447.36049998</v>
      </c>
      <c r="J186" s="627"/>
      <c r="K186" s="632"/>
      <c r="L186" s="633"/>
      <c r="M186" s="626"/>
      <c r="N186" s="627"/>
      <c r="O186" s="627"/>
      <c r="P186" s="634"/>
      <c r="Q186" s="635"/>
      <c r="R186" s="627"/>
      <c r="S186" s="627"/>
      <c r="T186" s="627"/>
      <c r="U186" s="634"/>
    </row>
    <row r="187" spans="1:21" ht="15.75" thickBot="1" x14ac:dyDescent="0.3"/>
    <row r="188" spans="1:21" x14ac:dyDescent="0.25">
      <c r="B188" s="664" t="s">
        <v>24</v>
      </c>
      <c r="C188" s="690"/>
      <c r="D188" s="691"/>
      <c r="E188" s="204">
        <v>10000</v>
      </c>
    </row>
    <row r="189" spans="1:21" x14ac:dyDescent="0.25">
      <c r="B189" s="692" t="s">
        <v>25</v>
      </c>
      <c r="C189" s="693"/>
      <c r="D189" s="694"/>
      <c r="E189" s="205">
        <f>E186</f>
        <v>9985</v>
      </c>
    </row>
    <row r="190" spans="1:21" ht="15.75" thickBot="1" x14ac:dyDescent="0.3">
      <c r="B190" s="695" t="s">
        <v>26</v>
      </c>
      <c r="C190" s="696"/>
      <c r="D190" s="697"/>
      <c r="E190" s="206">
        <f>E188-E189</f>
        <v>15</v>
      </c>
    </row>
  </sheetData>
  <mergeCells count="7">
    <mergeCell ref="B188:D188"/>
    <mergeCell ref="B189:D189"/>
    <mergeCell ref="B190:D190"/>
    <mergeCell ref="A1:K1"/>
    <mergeCell ref="T1:U2"/>
    <mergeCell ref="A2:K2"/>
    <mergeCell ref="T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Account </vt:lpstr>
      <vt:lpstr>Rent </vt:lpstr>
      <vt:lpstr>14170 MT</vt:lpstr>
      <vt:lpstr>830 MT</vt:lpstr>
      <vt:lpstr> 34-M AI-92 -15000 MT </vt:lpstr>
      <vt:lpstr>35 - M -15000 MT Diesel</vt:lpstr>
      <vt:lpstr>37 - M -15000 MT Gasoline -70</vt:lpstr>
      <vt:lpstr>38 - M # 10000#APRIL -44</vt:lpstr>
      <vt:lpstr>39 - M # 10000 # MAY -41</vt:lpstr>
      <vt:lpstr>'Account '!Print_Area</vt:lpstr>
      <vt:lpstr>'Rent '!Print_Area</vt:lpstr>
      <vt:lpstr>'Account '!Print_Titles</vt:lpstr>
      <vt:lpstr>'Rent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2026-08-02T06:23:10Z</dcterms:modified>
</cp:coreProperties>
</file>