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hidePivotFieldList="1"/>
  <bookViews>
    <workbookView windowWidth="28800" windowHeight="11700" tabRatio="926" activeTab="6"/>
  </bookViews>
  <sheets>
    <sheet name="Account " sheetId="21" r:id="rId1"/>
    <sheet name="Rent " sheetId="22" r:id="rId2"/>
    <sheet name="14170 MT" sheetId="18" r:id="rId3"/>
    <sheet name="830 MT" sheetId="19" r:id="rId4"/>
    <sheet name=" 34-M AI-92 -15000 MT " sheetId="20" r:id="rId5"/>
    <sheet name="35 - M -15000 MT Diesel" sheetId="23" r:id="rId6"/>
    <sheet name="37 - M -15000 MT Gasoline -70" sheetId="24" r:id="rId7"/>
    <sheet name="38 - M # 10000#APRIL -44" sheetId="26" r:id="rId8"/>
    <sheet name="39 - M # 10000 # MAY -41" sheetId="28" r:id="rId9"/>
  </sheets>
  <externalReferences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0" hidden="1">'Account '!$A$2:$N$198</definedName>
    <definedName name="_xlnm._FilterDatabase" localSheetId="2" hidden="1">'14170 MT'!$A$4:$U$224</definedName>
    <definedName name="_xlnm.Print_Area" localSheetId="0">'Account '!$A$1:$N$204</definedName>
    <definedName name="_xlnm.Print_Area" localSheetId="1">'Rent '!$A$1:$M$42</definedName>
    <definedName name="_xlnm.Print_Titles" localSheetId="0">'Account '!$2:$2</definedName>
    <definedName name="_xlnm.Print_Titles" localSheetId="1">'Rent '!$2:$2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<sst xmlns="http://schemas.openxmlformats.org/spreadsheetml/2006/main" count="3041" uniqueCount="199">
  <si>
    <r>
      <rPr>
        <b/>
        <i/>
        <sz val="22"/>
        <color rgb="FF7030A0"/>
        <rFont val="Arial"/>
        <charset val="134"/>
      </rPr>
      <t xml:space="preserve">BNK - </t>
    </r>
    <r>
      <rPr>
        <b/>
        <i/>
        <sz val="22"/>
        <color rgb="FFFF0000"/>
        <rFont val="Arial"/>
        <charset val="134"/>
      </rPr>
      <t>Humor</t>
    </r>
  </si>
  <si>
    <t>No</t>
  </si>
  <si>
    <t>Contract</t>
  </si>
  <si>
    <t>Date</t>
  </si>
  <si>
    <t>Details</t>
  </si>
  <si>
    <t>M-Tone</t>
  </si>
  <si>
    <t>Unit Price</t>
  </si>
  <si>
    <t>T-Credit</t>
  </si>
  <si>
    <t>T-Debit</t>
  </si>
  <si>
    <t>Balance</t>
  </si>
  <si>
    <t>Rate</t>
  </si>
  <si>
    <t>شروع</t>
  </si>
  <si>
    <t>M - 32</t>
  </si>
  <si>
    <t>Recived 199 Wagons # Avarage december -121.31 #</t>
  </si>
  <si>
    <t>17/12/2025</t>
  </si>
  <si>
    <t>Paid recipt no 648 by Sarafi Noorzad</t>
  </si>
  <si>
    <t>23/12/2025</t>
  </si>
  <si>
    <t>Paid recipt no 666 by Sarafi Noorzad # 200 M</t>
  </si>
  <si>
    <t>24/12/2025</t>
  </si>
  <si>
    <t>From contract M - 30</t>
  </si>
  <si>
    <t>From contract M - 29</t>
  </si>
  <si>
    <t>From contract M - 33</t>
  </si>
  <si>
    <t>28.01.2026</t>
  </si>
  <si>
    <t>Recived to contract  35-М</t>
  </si>
  <si>
    <t>09.02.2026</t>
  </si>
  <si>
    <t>Recived to Rent of wagons Account</t>
  </si>
  <si>
    <t>06.03.2026</t>
  </si>
  <si>
    <t>Recived to Solvex - March loading</t>
  </si>
  <si>
    <t>24.03.2026</t>
  </si>
  <si>
    <t>Recived to contract M - 37</t>
  </si>
  <si>
    <t>M - 33</t>
  </si>
  <si>
    <t>From contract M - 32</t>
  </si>
  <si>
    <t>Recived 14  Wagons # Avarage of December -122.43 #</t>
  </si>
  <si>
    <t>M - 34</t>
  </si>
  <si>
    <t>Paid recipt no 2 by Sarafi Noorzad</t>
  </si>
  <si>
    <t>Paid by Jalaledin - we must pay in Kabul</t>
  </si>
  <si>
    <t>13/1/2026</t>
  </si>
  <si>
    <t>Paid recipt no 2 by Sarafi Noorzad # 400 M</t>
  </si>
  <si>
    <t>15000 MT Gasoline</t>
  </si>
  <si>
    <t>Recived 248 Wagons Gasoline</t>
  </si>
  <si>
    <t>M -35</t>
  </si>
  <si>
    <t>16/1/2026</t>
  </si>
  <si>
    <t>Paid recipt no 14 by Monib Omar # 300 M</t>
  </si>
  <si>
    <t>23/1/2026</t>
  </si>
  <si>
    <t>Paid recipt no 93 by Sarafi Noorzad # 100 M</t>
  </si>
  <si>
    <t>from contract  M-32</t>
  </si>
  <si>
    <t>Paid recipt no 139 by Noorzad Dubai 150 M</t>
  </si>
  <si>
    <t>Paid recipt no 93 by Noorzad Dubai</t>
  </si>
  <si>
    <t>15000 MT DIESEL</t>
  </si>
  <si>
    <t>Recived 148 Wagons Diesel</t>
  </si>
  <si>
    <t>24.04.2026</t>
  </si>
  <si>
    <t>Recived to contract 38-М</t>
  </si>
  <si>
    <t>29.04.2026</t>
  </si>
  <si>
    <t>M-37</t>
  </si>
  <si>
    <t>15000 MT</t>
  </si>
  <si>
    <t>Recived Gasoline 92 # Avarage April -70</t>
  </si>
  <si>
    <t>24/3/2026</t>
  </si>
  <si>
    <t>From contract M-30</t>
  </si>
  <si>
    <t>From contract 32-М</t>
  </si>
  <si>
    <t>From contract  M - 33</t>
  </si>
  <si>
    <t>25/3/2026</t>
  </si>
  <si>
    <t>Paid recipt no 432 by Noorzad Dubai</t>
  </si>
  <si>
    <t>Paid recipt no 477 by Noorzad Dubai</t>
  </si>
  <si>
    <t>26/3/2026</t>
  </si>
  <si>
    <t>Paid recipt no 437 by Noorzad Dubai</t>
  </si>
  <si>
    <t>30/3/2026</t>
  </si>
  <si>
    <t>Paid recipt no 461 by Noorzad Dubai</t>
  </si>
  <si>
    <t>Paid recipt no 476 by Noorzad Dubai</t>
  </si>
  <si>
    <t>M-38</t>
  </si>
  <si>
    <t>Paid recipt no 477 by Sarafi Sadra</t>
  </si>
  <si>
    <t>17/4/2026</t>
  </si>
  <si>
    <t>Paid recipt no 521 by Noorzad Dubai</t>
  </si>
  <si>
    <t>Paid recipt no 522 by Noorzad Dubai</t>
  </si>
  <si>
    <t>10000 MT</t>
  </si>
  <si>
    <t>Recived Gasoline 92 # Avarage April - 44</t>
  </si>
  <si>
    <t>From contract 35-М</t>
  </si>
  <si>
    <t>M-39</t>
  </si>
  <si>
    <t>Paid recipt no 571 by Sarafi Sadra</t>
  </si>
  <si>
    <t>Paid recipt no 360 by Norzad Dubai</t>
  </si>
  <si>
    <t>Paid recipt no 569 by Norzad Dubai</t>
  </si>
  <si>
    <t>19/5/2026</t>
  </si>
  <si>
    <t>Paid recipt no 7 by Sarafi Sadra</t>
  </si>
  <si>
    <t>22/5/2026</t>
  </si>
  <si>
    <t>Paid Recipt no 20 by Noorzad Dubai</t>
  </si>
  <si>
    <t>Paid Recipt no 72 by Noorzad Dubai</t>
  </si>
  <si>
    <t>10000 MT Gasoline # Avarage May - 41</t>
  </si>
  <si>
    <t>M - 35</t>
  </si>
  <si>
    <t>M - 37</t>
  </si>
  <si>
    <t>=</t>
  </si>
  <si>
    <t>Recived recipt no 7 to HOMUR BNK</t>
  </si>
  <si>
    <t>Total</t>
  </si>
  <si>
    <t>BNK # Rent of Wagons</t>
  </si>
  <si>
    <t>Rent of wagons # contract  M - 32</t>
  </si>
  <si>
    <t>Rent of wagons # contract  M - 33</t>
  </si>
  <si>
    <t>Contract 15000 MT Gasoline #  M - 34</t>
  </si>
  <si>
    <t>Акт взаимозачет №3-М/8-4-13/66 из ДС-32М</t>
  </si>
  <si>
    <t>02.02.2026</t>
  </si>
  <si>
    <t>Contract 15000 MT Diesel #  M - 35</t>
  </si>
  <si>
    <t>From contract  M - 37</t>
  </si>
  <si>
    <t>Contract 15000 MT Gasoline #  M - 37</t>
  </si>
  <si>
    <t>From contract  M - 38</t>
  </si>
  <si>
    <t>Contract 10000 MT Gasoline #  M - 38</t>
  </si>
  <si>
    <t xml:space="preserve"> Contract BNK-KHM/9-4-12/140 dd 29.07.2022, between "BNK-FZCO" (UAE) and "KHUMOR" LLC (KYRGYZ REPUBLIC) </t>
  </si>
  <si>
    <t>AI-92-K5</t>
  </si>
  <si>
    <t>ADDENDUM № 32-M dd 17.12.25 (FCA BARBAROV)  14'170 mt</t>
  </si>
  <si>
    <t>-121,31$</t>
  </si>
  <si>
    <t>№</t>
  </si>
  <si>
    <t>RWB No</t>
  </si>
  <si>
    <t xml:space="preserve">Wagons No </t>
  </si>
  <si>
    <t>Loaded quantity (MT)</t>
  </si>
  <si>
    <t>Price in  December 01.12.25-31.12.25 $</t>
  </si>
  <si>
    <t xml:space="preserve">Fix price in rub </t>
  </si>
  <si>
    <t>Consignee</t>
  </si>
  <si>
    <t>Destination</t>
  </si>
  <si>
    <t>transport included in the product price</t>
  </si>
  <si>
    <t>Date of arrival of wagons</t>
  </si>
  <si>
    <t>Date of leak</t>
  </si>
  <si>
    <t>Quantity</t>
  </si>
  <si>
    <t>Difference</t>
  </si>
  <si>
    <t>Remarks</t>
  </si>
  <si>
    <t>Terminal Ilinka</t>
  </si>
  <si>
    <t>Barbarov</t>
  </si>
  <si>
    <t>09109874</t>
  </si>
  <si>
    <t>09109875</t>
  </si>
  <si>
    <t>FULL TONNAGE</t>
  </si>
  <si>
    <t>LOADED</t>
  </si>
  <si>
    <t>BALANCE</t>
  </si>
  <si>
    <t>ADDENDUM № 33-M dd 17.12.25 (FCA NOVOPOLOTSK)  830 mt</t>
  </si>
  <si>
    <t>-122,43$</t>
  </si>
  <si>
    <t>Novopolotsk</t>
  </si>
  <si>
    <t>ADDENDUM № 34-M dd 06.01.26 (FCA BARBAROV) 15'000 mt</t>
  </si>
  <si>
    <t>-121,57$</t>
  </si>
  <si>
    <t>Price in January 01.01.26-31.01.26 $</t>
  </si>
  <si>
    <t>Totall in January:</t>
  </si>
  <si>
    <t>08610697</t>
  </si>
  <si>
    <t>08610698</t>
  </si>
  <si>
    <t>Totall in February:</t>
  </si>
  <si>
    <t>Diesel DT-E-K5</t>
  </si>
  <si>
    <t>ADDENDUM № 35-M dd 12.01.26 (FCA BARBAROV) 15'000 mt</t>
  </si>
  <si>
    <t>-138,57$</t>
  </si>
  <si>
    <t>08610998</t>
  </si>
  <si>
    <t>08611065</t>
  </si>
  <si>
    <t>08611069</t>
  </si>
  <si>
    <t>ADDENDUM № 37-M dd 19.03.26 (DAP TRUSOVO) 15'000 mt</t>
  </si>
  <si>
    <t>-70$</t>
  </si>
  <si>
    <t>Price in January 01.03.26-31.03.26 $</t>
  </si>
  <si>
    <t xml:space="preserve">Transport in rub </t>
  </si>
  <si>
    <t>Transport in $ (preliminary)</t>
  </si>
  <si>
    <t>Trusowo</t>
  </si>
  <si>
    <r>
      <rPr>
        <b/>
        <sz val="11"/>
        <rFont val="Times New Roman"/>
        <charset val="204"/>
      </rPr>
      <t xml:space="preserve">ADDENDUM № 38-M dd </t>
    </r>
    <r>
      <rPr>
        <b/>
        <sz val="11"/>
        <color rgb="FFFF0000"/>
        <rFont val="Times New Roman"/>
        <charset val="204"/>
      </rPr>
      <t>22.04.26</t>
    </r>
    <r>
      <rPr>
        <b/>
        <sz val="11"/>
        <rFont val="Times New Roman"/>
        <charset val="204"/>
      </rPr>
      <t xml:space="preserve"> (DAP TRUSOVO) </t>
    </r>
  </si>
  <si>
    <t>Agreement № 1 dd 22.04.2026</t>
  </si>
  <si>
    <t>10'000mt</t>
  </si>
  <si>
    <t>-44$</t>
  </si>
  <si>
    <t>Price in april 01.04.26-30.04.26 $</t>
  </si>
  <si>
    <r>
      <rPr>
        <b/>
        <sz val="11"/>
        <rFont val="Times New Roman"/>
        <charset val="204"/>
      </rPr>
      <t>ADDENDUM № 39-M dd 30</t>
    </r>
    <r>
      <rPr>
        <b/>
        <sz val="11"/>
        <color rgb="FFFF0000"/>
        <rFont val="Times New Roman"/>
        <charset val="204"/>
      </rPr>
      <t>.</t>
    </r>
    <r>
      <rPr>
        <b/>
        <sz val="11"/>
        <rFont val="Times New Roman"/>
        <charset val="204"/>
      </rPr>
      <t xml:space="preserve">04.26 (DAP TRUSOVO) </t>
    </r>
  </si>
  <si>
    <t>-41$</t>
  </si>
  <si>
    <t>Price in may 01.05.26-31.05.26 $</t>
  </si>
  <si>
    <t xml:space="preserve">09 05 26 </t>
  </si>
  <si>
    <t>40003600</t>
  </si>
  <si>
    <t>50592815</t>
  </si>
  <si>
    <t>71061055</t>
  </si>
  <si>
    <t>71061188</t>
  </si>
  <si>
    <t>75248211</t>
  </si>
  <si>
    <t>76953694</t>
  </si>
  <si>
    <t>40003736</t>
  </si>
  <si>
    <t>50175223</t>
  </si>
  <si>
    <t>53914727</t>
  </si>
  <si>
    <t>54082805</t>
  </si>
  <si>
    <t>54088083</t>
  </si>
  <si>
    <t>54088257</t>
  </si>
  <si>
    <t>57434094</t>
  </si>
  <si>
    <t>73034845</t>
  </si>
  <si>
    <t>73105108</t>
  </si>
  <si>
    <t>73107708</t>
  </si>
  <si>
    <t>73112161</t>
  </si>
  <si>
    <t>73112344</t>
  </si>
  <si>
    <t>73166670</t>
  </si>
  <si>
    <t>73167389</t>
  </si>
  <si>
    <t>73168205</t>
  </si>
  <si>
    <t>73172959</t>
  </si>
  <si>
    <t>73233025</t>
  </si>
  <si>
    <t>73912123</t>
  </si>
  <si>
    <t>75200303</t>
  </si>
  <si>
    <t>75230615</t>
  </si>
  <si>
    <t>75278507</t>
  </si>
  <si>
    <t>40003737</t>
  </si>
  <si>
    <t>51814168</t>
  </si>
  <si>
    <t>54629860</t>
  </si>
  <si>
    <t>58706763</t>
  </si>
  <si>
    <t>73010639</t>
  </si>
  <si>
    <t>73168270</t>
  </si>
  <si>
    <t>73168452</t>
  </si>
  <si>
    <t>73180010</t>
  </si>
  <si>
    <t>73230864</t>
  </si>
  <si>
    <t>73231839</t>
  </si>
  <si>
    <t>74903253</t>
  </si>
  <si>
    <t>75330068</t>
  </si>
  <si>
    <t>75332536</t>
  </si>
  <si>
    <t>75342816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</si>
</sst>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9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dd\.mm\.yy"/>
    <numFmt numFmtId="178" formatCode="0.000"/>
    <numFmt numFmtId="179" formatCode="[$$-C09]#,##0.00"/>
    <numFmt numFmtId="180" formatCode="[$$-C09]#,##0.000"/>
    <numFmt numFmtId="181" formatCode="#,##0.00\ &quot;₽&quot;"/>
    <numFmt numFmtId="182" formatCode="#,##0.000\ &quot;₽&quot;"/>
    <numFmt numFmtId="183" formatCode="#,##0.000"/>
    <numFmt numFmtId="184" formatCode="#,##0.00;[Red]#,##0.00"/>
    <numFmt numFmtId="185" formatCode="#,##0.000;[Red]#,##0.000"/>
    <numFmt numFmtId="186" formatCode="#,##0.0000\ [$₽-419]"/>
    <numFmt numFmtId="187" formatCode="00000000"/>
    <numFmt numFmtId="188" formatCode="#,##0.00\ [$₽-419]"/>
    <numFmt numFmtId="189" formatCode="#,##0.000\ [$₽-419]"/>
    <numFmt numFmtId="190" formatCode="[$$-2809]#,##0.00"/>
    <numFmt numFmtId="191" formatCode="[$$-2809]#,##0.000"/>
    <numFmt numFmtId="192" formatCode="#,##0;[Red]#,##0"/>
    <numFmt numFmtId="193" formatCode="&quot;$&quot;#,##0"/>
    <numFmt numFmtId="194" formatCode="_(&quot;$&quot;* #,##0_);_(&quot;$&quot;* \(#,##0\);_(&quot;$&quot;* &quot;-&quot;??_);_(@_)"/>
    <numFmt numFmtId="195" formatCode="_-* #,##0.000\ [$₽-419]_-;\-* #,##0.000\ [$₽-419]_-;_-* &quot;-&quot;??\ [$₽-419]_-;_-@_-"/>
    <numFmt numFmtId="196" formatCode="_-* #,##0\ [$₽-419]_-;\-* #,##0\ [$₽-419]_-;_-* &quot;-&quot;??\ [$₽-419]_-;_-@_-"/>
    <numFmt numFmtId="197" formatCode="_-* #,##0.00\ [$₽-419]_-;\-* #,##0.00\ [$₽-419]_-;_-* &quot;-&quot;??\ [$₽-419]_-;_-@_-"/>
    <numFmt numFmtId="198" formatCode="0.0000"/>
    <numFmt numFmtId="199" formatCode="_-* #,##0.00000\ [$₽-419]_-;\-* #,##0.00000\ [$₽-419]_-;_-* &quot;-&quot;??\ [$₽-419]_-;_-@_-"/>
    <numFmt numFmtId="200" formatCode="_(&quot;$&quot;* #,##0.0000_);_(&quot;$&quot;* \(#,##0.0000\);_(&quot;$&quot;* &quot;-&quot;??_);_(@_)"/>
    <numFmt numFmtId="201" formatCode="_(&quot;$&quot;* #,##0.00000_);_(&quot;$&quot;* \(#,##0.00000\);_(&quot;$&quot;* &quot;-&quot;??_);_(@_)"/>
  </numFmts>
  <fonts count="58">
    <font>
      <sz val="11"/>
      <color theme="1"/>
      <name val="Calibri"/>
      <charset val="134"/>
      <scheme val="minor"/>
    </font>
    <font>
      <sz val="11"/>
      <name val="Times New Roman"/>
      <charset val="204"/>
    </font>
    <font>
      <b/>
      <sz val="11"/>
      <name val="Times New Roman"/>
      <charset val="204"/>
    </font>
    <font>
      <b/>
      <sz val="11"/>
      <color rgb="FF660033"/>
      <name val="Times New Roman"/>
      <charset val="204"/>
    </font>
    <font>
      <b/>
      <sz val="11"/>
      <color rgb="FFA50021"/>
      <name val="Times New Roman"/>
      <charset val="204"/>
    </font>
    <font>
      <b/>
      <i/>
      <sz val="11"/>
      <name val="Times New Roman"/>
      <charset val="204"/>
    </font>
    <font>
      <sz val="11"/>
      <color rgb="FF800000"/>
      <name val="Times New Roman"/>
      <charset val="204"/>
    </font>
    <font>
      <b/>
      <i/>
      <sz val="11"/>
      <color rgb="FF800000"/>
      <name val="Times New Roman"/>
      <charset val="204"/>
    </font>
    <font>
      <sz val="11"/>
      <color rgb="FFFF0000"/>
      <name val="Times New Roman"/>
      <charset val="204"/>
    </font>
    <font>
      <b/>
      <i/>
      <sz val="11"/>
      <color rgb="FF660066"/>
      <name val="Times New Roman"/>
      <charset val="204"/>
    </font>
    <font>
      <b/>
      <i/>
      <sz val="11"/>
      <color rgb="FF00B050"/>
      <name val="Times New Roman"/>
      <charset val="204"/>
    </font>
    <font>
      <i/>
      <sz val="11"/>
      <name val="Times New Roman"/>
      <charset val="204"/>
    </font>
    <font>
      <b/>
      <i/>
      <sz val="11"/>
      <color rgb="FFFF0000"/>
      <name val="Times New Roman"/>
      <charset val="204"/>
    </font>
    <font>
      <sz val="10"/>
      <name val="Arial"/>
      <charset val="134"/>
    </font>
    <font>
      <b/>
      <i/>
      <sz val="16"/>
      <name val="Arial"/>
      <charset val="134"/>
    </font>
    <font>
      <b/>
      <sz val="11"/>
      <name val="Arial"/>
      <charset val="134"/>
    </font>
    <font>
      <b/>
      <sz val="10"/>
      <name val="Arial"/>
      <charset val="134"/>
    </font>
    <font>
      <b/>
      <sz val="9"/>
      <name val="Arial"/>
      <charset val="134"/>
    </font>
    <font>
      <b/>
      <sz val="10"/>
      <color rgb="FFFF00FF"/>
      <name val="Arial"/>
      <charset val="134"/>
    </font>
    <font>
      <b/>
      <sz val="11"/>
      <color rgb="FF632523"/>
      <name val="Times New Roman"/>
      <charset val="204"/>
    </font>
    <font>
      <b/>
      <sz val="11"/>
      <color rgb="FF230AB6"/>
      <name val="Times New Roman"/>
      <charset val="204"/>
    </font>
    <font>
      <b/>
      <sz val="11"/>
      <color rgb="FFFF0000"/>
      <name val="Times New Roman"/>
      <charset val="204"/>
    </font>
    <font>
      <b/>
      <sz val="10"/>
      <color rgb="FF7030A0"/>
      <name val="Arial"/>
      <charset val="134"/>
    </font>
    <font>
      <b/>
      <sz val="10"/>
      <color rgb="FF0000FF"/>
      <name val="Arial"/>
      <charset val="134"/>
    </font>
    <font>
      <b/>
      <sz val="10"/>
      <color rgb="FFFF0000"/>
      <name val="Arial"/>
      <charset val="134"/>
    </font>
    <font>
      <b/>
      <sz val="11"/>
      <color rgb="FF7030A0"/>
      <name val="Times New Roman"/>
      <charset val="204"/>
    </font>
    <font>
      <b/>
      <sz val="10"/>
      <color rgb="FF632523"/>
      <name val="Times New Roman"/>
      <charset val="204"/>
    </font>
    <font>
      <b/>
      <sz val="11"/>
      <name val="Times New Roman"/>
      <charset val="134"/>
    </font>
    <font>
      <sz val="11"/>
      <color theme="1"/>
      <name val="Times New Roman"/>
      <charset val="204"/>
    </font>
    <font>
      <b/>
      <i/>
      <sz val="22"/>
      <color rgb="FF7030A0"/>
      <name val="Arial"/>
      <charset val="134"/>
    </font>
    <font>
      <b/>
      <sz val="10"/>
      <color rgb="FF230AB6"/>
      <name val="Times New Roman"/>
      <charset val="204"/>
    </font>
    <font>
      <b/>
      <sz val="10"/>
      <color rgb="FFFF0000"/>
      <name val="Times New Roman"/>
      <charset val="204"/>
    </font>
    <font>
      <sz val="9"/>
      <name val="Arial"/>
      <charset val="134"/>
    </font>
    <font>
      <b/>
      <sz val="10"/>
      <name val="Times New Roman"/>
      <charset val="204"/>
    </font>
    <font>
      <sz val="12"/>
      <name val="Arial"/>
      <charset val="134"/>
    </font>
    <font>
      <b/>
      <sz val="10"/>
      <color theme="5" tint="-0.499984740745262"/>
      <name val="Arial"/>
      <charset val="134"/>
    </font>
    <font>
      <b/>
      <sz val="10"/>
      <color rgb="FF993366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204"/>
      <scheme val="minor"/>
    </font>
    <font>
      <b/>
      <i/>
      <sz val="22"/>
      <color rgb="FFFF0000"/>
      <name val="Arial"/>
      <charset val="134"/>
    </font>
  </fonts>
  <fills count="52">
    <fill>
      <patternFill patternType="none"/>
    </fill>
    <fill>
      <patternFill patternType="gray125"/>
    </fill>
    <fill>
      <patternFill patternType="solid">
        <fgColor rgb="FFFFE598"/>
        <bgColor rgb="FFFFE598"/>
      </patternFill>
    </fill>
    <fill>
      <patternFill patternType="solid">
        <fgColor rgb="FFFFE699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9" tint="0.599993896298105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9" tint="0.799981688894314"/>
        <bgColor rgb="FF000000"/>
      </patternFill>
    </fill>
    <fill>
      <patternFill patternType="solid">
        <fgColor theme="8" tint="0.799981688894314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rgb="FF000000"/>
      </right>
      <top style="medium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medium">
        <color auto="1"/>
      </top>
      <bottom style="medium">
        <color auto="1"/>
      </bottom>
      <diagonal/>
    </border>
    <border>
      <left style="thin">
        <color rgb="FF000000"/>
      </left>
      <right/>
      <top style="medium">
        <color auto="1"/>
      </top>
      <bottom style="medium">
        <color auto="1"/>
      </bottom>
      <diagonal/>
    </border>
    <border>
      <left style="thin">
        <color rgb="FF000000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rgb="FF000000"/>
      </right>
      <top style="medium">
        <color auto="1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auto="1"/>
      </top>
      <bottom/>
      <diagonal/>
    </border>
    <border>
      <left style="thin">
        <color rgb="FF000000"/>
      </left>
      <right style="thin">
        <color rgb="FF000000"/>
      </right>
      <top style="medium">
        <color auto="1"/>
      </top>
      <bottom/>
      <diagonal/>
    </border>
    <border>
      <left style="thin">
        <color rgb="FF000000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auto="1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medium">
        <color rgb="FF000000"/>
      </right>
      <top style="medium">
        <color auto="1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auto="1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rgb="FF000000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rgb="FF000000"/>
      </right>
      <top style="medium">
        <color auto="1"/>
      </top>
      <bottom style="medium">
        <color auto="1"/>
      </bottom>
      <diagonal/>
    </border>
    <border>
      <left style="medium">
        <color rgb="FF000000"/>
      </left>
      <right style="thin">
        <color rgb="FF000000"/>
      </right>
      <top style="medium">
        <color auto="1"/>
      </top>
      <bottom style="medium">
        <color auto="1"/>
      </bottom>
      <diagonal/>
    </border>
    <border>
      <left style="thin">
        <color rgb="FF000000"/>
      </left>
      <right style="medium">
        <color auto="1"/>
      </right>
      <top style="medium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auto="1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 style="thin">
        <color rgb="FF000000"/>
      </left>
      <right style="medium">
        <color auto="1"/>
      </right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medium">
        <color auto="1"/>
      </right>
      <top/>
      <bottom style="thin">
        <color rgb="FF000000"/>
      </bottom>
      <diagonal/>
    </border>
    <border>
      <left style="thin">
        <color rgb="FF000000"/>
      </left>
      <right style="medium">
        <color auto="1"/>
      </right>
      <top style="thin">
        <color rgb="FF000000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 style="medium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0" fillId="21" borderId="125" applyNumberFormat="0" applyFont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126" applyNumberFormat="0" applyFill="0" applyAlignment="0" applyProtection="0">
      <alignment vertical="center"/>
    </xf>
    <xf numFmtId="0" fontId="43" fillId="0" borderId="126" applyNumberFormat="0" applyFill="0" applyAlignment="0" applyProtection="0">
      <alignment vertical="center"/>
    </xf>
    <xf numFmtId="0" fontId="44" fillId="0" borderId="127" applyNumberFormat="0" applyFill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22" borderId="128" applyNumberFormat="0" applyAlignment="0" applyProtection="0">
      <alignment vertical="center"/>
    </xf>
    <xf numFmtId="0" fontId="46" fillId="23" borderId="129" applyNumberFormat="0" applyAlignment="0" applyProtection="0">
      <alignment vertical="center"/>
    </xf>
    <xf numFmtId="0" fontId="47" fillId="23" borderId="128" applyNumberFormat="0" applyAlignment="0" applyProtection="0">
      <alignment vertical="center"/>
    </xf>
    <xf numFmtId="0" fontId="48" fillId="24" borderId="130" applyNumberFormat="0" applyAlignment="0" applyProtection="0">
      <alignment vertical="center"/>
    </xf>
    <xf numFmtId="0" fontId="49" fillId="0" borderId="131" applyNumberFormat="0" applyFill="0" applyAlignment="0" applyProtection="0">
      <alignment vertical="center"/>
    </xf>
    <xf numFmtId="0" fontId="50" fillId="0" borderId="132" applyNumberFormat="0" applyFill="0" applyAlignment="0" applyProtection="0">
      <alignment vertical="center"/>
    </xf>
    <xf numFmtId="0" fontId="51" fillId="25" borderId="0" applyNumberFormat="0" applyBorder="0" applyAlignment="0" applyProtection="0">
      <alignment vertical="center"/>
    </xf>
    <xf numFmtId="0" fontId="52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4" fillId="28" borderId="0" applyNumberFormat="0" applyBorder="0" applyAlignment="0" applyProtection="0">
      <alignment vertical="center"/>
    </xf>
    <xf numFmtId="0" fontId="55" fillId="29" borderId="0" applyNumberFormat="0" applyBorder="0" applyAlignment="0" applyProtection="0">
      <alignment vertical="center"/>
    </xf>
    <xf numFmtId="0" fontId="55" fillId="30" borderId="0" applyNumberFormat="0" applyBorder="0" applyAlignment="0" applyProtection="0">
      <alignment vertical="center"/>
    </xf>
    <xf numFmtId="0" fontId="54" fillId="31" borderId="0" applyNumberFormat="0" applyBorder="0" applyAlignment="0" applyProtection="0">
      <alignment vertical="center"/>
    </xf>
    <xf numFmtId="0" fontId="54" fillId="32" borderId="0" applyNumberFormat="0" applyBorder="0" applyAlignment="0" applyProtection="0">
      <alignment vertical="center"/>
    </xf>
    <xf numFmtId="0" fontId="55" fillId="33" borderId="0" applyNumberFormat="0" applyBorder="0" applyAlignment="0" applyProtection="0">
      <alignment vertical="center"/>
    </xf>
    <xf numFmtId="0" fontId="55" fillId="34" borderId="0" applyNumberFormat="0" applyBorder="0" applyAlignment="0" applyProtection="0">
      <alignment vertical="center"/>
    </xf>
    <xf numFmtId="0" fontId="54" fillId="35" borderId="0" applyNumberFormat="0" applyBorder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55" fillId="37" borderId="0" applyNumberFormat="0" applyBorder="0" applyAlignment="0" applyProtection="0">
      <alignment vertical="center"/>
    </xf>
    <xf numFmtId="0" fontId="55" fillId="38" borderId="0" applyNumberFormat="0" applyBorder="0" applyAlignment="0" applyProtection="0">
      <alignment vertical="center"/>
    </xf>
    <xf numFmtId="0" fontId="54" fillId="39" borderId="0" applyNumberFormat="0" applyBorder="0" applyAlignment="0" applyProtection="0">
      <alignment vertical="center"/>
    </xf>
    <xf numFmtId="0" fontId="54" fillId="40" borderId="0" applyNumberFormat="0" applyBorder="0" applyAlignment="0" applyProtection="0">
      <alignment vertical="center"/>
    </xf>
    <xf numFmtId="0" fontId="55" fillId="41" borderId="0" applyNumberFormat="0" applyBorder="0" applyAlignment="0" applyProtection="0">
      <alignment vertical="center"/>
    </xf>
    <xf numFmtId="0" fontId="55" fillId="42" borderId="0" applyNumberFormat="0" applyBorder="0" applyAlignment="0" applyProtection="0">
      <alignment vertical="center"/>
    </xf>
    <xf numFmtId="0" fontId="54" fillId="43" borderId="0" applyNumberFormat="0" applyBorder="0" applyAlignment="0" applyProtection="0">
      <alignment vertical="center"/>
    </xf>
    <xf numFmtId="0" fontId="54" fillId="44" borderId="0" applyNumberFormat="0" applyBorder="0" applyAlignment="0" applyProtection="0">
      <alignment vertical="center"/>
    </xf>
    <xf numFmtId="0" fontId="55" fillId="45" borderId="0" applyNumberFormat="0" applyBorder="0" applyAlignment="0" applyProtection="0">
      <alignment vertical="center"/>
    </xf>
    <xf numFmtId="0" fontId="55" fillId="46" borderId="0" applyNumberFormat="0" applyBorder="0" applyAlignment="0" applyProtection="0">
      <alignment vertical="center"/>
    </xf>
    <xf numFmtId="0" fontId="54" fillId="47" borderId="0" applyNumberFormat="0" applyBorder="0" applyAlignment="0" applyProtection="0">
      <alignment vertical="center"/>
    </xf>
    <xf numFmtId="0" fontId="54" fillId="48" borderId="0" applyNumberFormat="0" applyBorder="0" applyAlignment="0" applyProtection="0">
      <alignment vertical="center"/>
    </xf>
    <xf numFmtId="0" fontId="55" fillId="49" borderId="0" applyNumberFormat="0" applyBorder="0" applyAlignment="0" applyProtection="0">
      <alignment vertical="center"/>
    </xf>
    <xf numFmtId="0" fontId="55" fillId="50" borderId="0" applyNumberFormat="0" applyBorder="0" applyAlignment="0" applyProtection="0">
      <alignment vertical="center"/>
    </xf>
    <xf numFmtId="0" fontId="54" fillId="51" borderId="0" applyNumberFormat="0" applyBorder="0" applyAlignment="0" applyProtection="0">
      <alignment vertical="center"/>
    </xf>
    <xf numFmtId="0" fontId="56" fillId="0" borderId="0"/>
  </cellStyleXfs>
  <cellXfs count="65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 wrapText="1"/>
    </xf>
    <xf numFmtId="177" fontId="5" fillId="0" borderId="3" xfId="0" applyNumberFormat="1" applyFont="1" applyBorder="1" applyAlignment="1">
      <alignment horizontal="center" vertical="center" wrapText="1"/>
    </xf>
    <xf numFmtId="49" fontId="5" fillId="0" borderId="3" xfId="0" applyNumberFormat="1" applyFont="1" applyBorder="1" applyAlignment="1">
      <alignment horizontal="center" vertical="center" wrapText="1"/>
    </xf>
    <xf numFmtId="177" fontId="9" fillId="0" borderId="4" xfId="0" applyNumberFormat="1" applyFont="1" applyBorder="1" applyAlignment="1">
      <alignment horizontal="center" vertical="center" wrapText="1"/>
    </xf>
    <xf numFmtId="177" fontId="10" fillId="0" borderId="4" xfId="0" applyNumberFormat="1" applyFont="1" applyBorder="1" applyAlignment="1">
      <alignment horizontal="center" vertical="center" wrapText="1"/>
    </xf>
    <xf numFmtId="177" fontId="5" fillId="0" borderId="5" xfId="0" applyNumberFormat="1" applyFont="1" applyBorder="1" applyAlignment="1">
      <alignment horizontal="center" vertical="center" wrapText="1"/>
    </xf>
    <xf numFmtId="177" fontId="5" fillId="0" borderId="6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177" fontId="5" fillId="0" borderId="8" xfId="0" applyNumberFormat="1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177" fontId="5" fillId="0" borderId="10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/>
    </xf>
    <xf numFmtId="58" fontId="1" fillId="0" borderId="15" xfId="0" applyNumberFormat="1" applyFont="1" applyBorder="1" applyAlignment="1">
      <alignment horizontal="center"/>
    </xf>
    <xf numFmtId="1" fontId="1" fillId="0" borderId="16" xfId="0" applyNumberFormat="1" applyFont="1" applyBorder="1" applyAlignment="1">
      <alignment horizontal="center"/>
    </xf>
    <xf numFmtId="178" fontId="1" fillId="0" borderId="16" xfId="0" applyNumberFormat="1" applyFont="1" applyBorder="1" applyAlignment="1">
      <alignment horizontal="center" wrapText="1"/>
    </xf>
    <xf numFmtId="179" fontId="1" fillId="0" borderId="15" xfId="0" applyNumberFormat="1" applyFont="1" applyBorder="1" applyAlignment="1">
      <alignment horizontal="center"/>
    </xf>
    <xf numFmtId="180" fontId="1" fillId="0" borderId="15" xfId="0" applyNumberFormat="1" applyFont="1" applyBorder="1" applyAlignment="1">
      <alignment horizontal="center"/>
    </xf>
    <xf numFmtId="181" fontId="1" fillId="0" borderId="16" xfId="0" applyNumberFormat="1" applyFont="1" applyBorder="1" applyAlignment="1">
      <alignment horizontal="center" vertical="center"/>
    </xf>
    <xf numFmtId="182" fontId="1" fillId="0" borderId="15" xfId="0" applyNumberFormat="1" applyFont="1" applyBorder="1" applyAlignment="1">
      <alignment horizontal="center"/>
    </xf>
    <xf numFmtId="179" fontId="11" fillId="0" borderId="16" xfId="0" applyNumberFormat="1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79" fontId="1" fillId="0" borderId="16" xfId="0" applyNumberFormat="1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1" fontId="1" fillId="0" borderId="27" xfId="0" applyNumberFormat="1" applyFont="1" applyBorder="1" applyAlignment="1">
      <alignment horizontal="center"/>
    </xf>
    <xf numFmtId="178" fontId="1" fillId="0" borderId="27" xfId="0" applyNumberFormat="1" applyFont="1" applyBorder="1" applyAlignment="1">
      <alignment horizontal="center" wrapText="1"/>
    </xf>
    <xf numFmtId="181" fontId="1" fillId="0" borderId="27" xfId="0" applyNumberFormat="1" applyFont="1" applyBorder="1" applyAlignment="1">
      <alignment horizontal="center" vertical="center"/>
    </xf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4" borderId="33" xfId="0" applyFont="1" applyFill="1" applyBorder="1" applyAlignment="1">
      <alignment horizontal="center"/>
    </xf>
    <xf numFmtId="0" fontId="1" fillId="4" borderId="34" xfId="0" applyFont="1" applyFill="1" applyBorder="1" applyAlignment="1">
      <alignment horizontal="center"/>
    </xf>
    <xf numFmtId="183" fontId="2" fillId="4" borderId="34" xfId="0" applyNumberFormat="1" applyFont="1" applyFill="1" applyBorder="1" applyAlignment="1">
      <alignment horizontal="center"/>
    </xf>
    <xf numFmtId="0" fontId="2" fillId="4" borderId="34" xfId="0" applyFont="1" applyFill="1" applyBorder="1" applyAlignment="1">
      <alignment horizontal="center"/>
    </xf>
    <xf numFmtId="180" fontId="2" fillId="4" borderId="34" xfId="0" applyNumberFormat="1" applyFont="1" applyFill="1" applyBorder="1" applyAlignment="1">
      <alignment horizontal="center"/>
    </xf>
    <xf numFmtId="182" fontId="2" fillId="4" borderId="34" xfId="0" applyNumberFormat="1" applyFont="1" applyFill="1" applyBorder="1" applyAlignment="1">
      <alignment horizontal="center"/>
    </xf>
    <xf numFmtId="0" fontId="1" fillId="4" borderId="35" xfId="0" applyFont="1" applyFill="1" applyBorder="1" applyAlignment="1">
      <alignment horizontal="center"/>
    </xf>
    <xf numFmtId="0" fontId="1" fillId="4" borderId="36" xfId="0" applyFont="1" applyFill="1" applyBorder="1" applyAlignment="1">
      <alignment horizontal="center"/>
    </xf>
    <xf numFmtId="0" fontId="1" fillId="4" borderId="37" xfId="0" applyFont="1" applyFill="1" applyBorder="1" applyAlignment="1">
      <alignment horizontal="center"/>
    </xf>
    <xf numFmtId="0" fontId="1" fillId="4" borderId="38" xfId="0" applyFont="1" applyFill="1" applyBorder="1" applyAlignment="1">
      <alignment horizontal="center"/>
    </xf>
    <xf numFmtId="0" fontId="1" fillId="4" borderId="39" xfId="0" applyFont="1" applyFill="1" applyBorder="1" applyAlignment="1">
      <alignment horizontal="center"/>
    </xf>
    <xf numFmtId="0" fontId="1" fillId="4" borderId="40" xfId="0" applyFont="1" applyFill="1" applyBorder="1" applyAlignment="1">
      <alignment horizontal="center"/>
    </xf>
    <xf numFmtId="0" fontId="1" fillId="0" borderId="15" xfId="0" applyFont="1" applyBorder="1" applyAlignment="1">
      <alignment horizontal="center"/>
    </xf>
    <xf numFmtId="183" fontId="1" fillId="0" borderId="15" xfId="0" applyNumberFormat="1" applyFont="1" applyBorder="1" applyAlignment="1">
      <alignment horizontal="center"/>
    </xf>
    <xf numFmtId="181" fontId="1" fillId="0" borderId="15" xfId="0" applyNumberFormat="1" applyFont="1" applyBorder="1" applyAlignment="1">
      <alignment horizontal="center" vertical="center"/>
    </xf>
    <xf numFmtId="179" fontId="11" fillId="0" borderId="15" xfId="0" applyNumberFormat="1" applyFont="1" applyBorder="1" applyAlignment="1">
      <alignment horizontal="center" vertical="center" wrapText="1"/>
    </xf>
    <xf numFmtId="0" fontId="11" fillId="0" borderId="41" xfId="0" applyFont="1" applyBorder="1" applyAlignment="1">
      <alignment horizontal="center" vertical="center" wrapText="1"/>
    </xf>
    <xf numFmtId="58" fontId="1" fillId="0" borderId="16" xfId="0" applyNumberFormat="1" applyFont="1" applyBorder="1" applyAlignment="1">
      <alignment horizontal="center"/>
    </xf>
    <xf numFmtId="183" fontId="1" fillId="0" borderId="16" xfId="0" applyNumberFormat="1" applyFont="1" applyBorder="1" applyAlignment="1">
      <alignment horizontal="center"/>
    </xf>
    <xf numFmtId="0" fontId="11" fillId="0" borderId="25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/>
    </xf>
    <xf numFmtId="58" fontId="1" fillId="0" borderId="27" xfId="0" applyNumberFormat="1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183" fontId="1" fillId="0" borderId="27" xfId="0" applyNumberFormat="1" applyFont="1" applyBorder="1" applyAlignment="1">
      <alignment horizontal="center"/>
    </xf>
    <xf numFmtId="180" fontId="1" fillId="0" borderId="43" xfId="0" applyNumberFormat="1" applyFont="1" applyBorder="1" applyAlignment="1">
      <alignment horizontal="center"/>
    </xf>
    <xf numFmtId="182" fontId="1" fillId="0" borderId="43" xfId="0" applyNumberFormat="1" applyFont="1" applyBorder="1" applyAlignment="1">
      <alignment horizontal="center"/>
    </xf>
    <xf numFmtId="179" fontId="11" fillId="0" borderId="27" xfId="0" applyNumberFormat="1" applyFont="1" applyBorder="1" applyAlignment="1">
      <alignment horizontal="center" vertical="center" wrapText="1"/>
    </xf>
    <xf numFmtId="0" fontId="11" fillId="0" borderId="44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/>
    </xf>
    <xf numFmtId="0" fontId="1" fillId="4" borderId="46" xfId="0" applyFont="1" applyFill="1" applyBorder="1" applyAlignment="1">
      <alignment horizontal="center"/>
    </xf>
    <xf numFmtId="0" fontId="1" fillId="4" borderId="47" xfId="0" applyFont="1" applyFill="1" applyBorder="1" applyAlignment="1">
      <alignment horizontal="center"/>
    </xf>
    <xf numFmtId="0" fontId="1" fillId="4" borderId="43" xfId="0" applyFont="1" applyFill="1" applyBorder="1" applyAlignment="1">
      <alignment horizontal="center"/>
    </xf>
    <xf numFmtId="0" fontId="1" fillId="4" borderId="48" xfId="0" applyFont="1" applyFill="1" applyBorder="1" applyAlignment="1">
      <alignment horizontal="center"/>
    </xf>
    <xf numFmtId="0" fontId="1" fillId="4" borderId="49" xfId="0" applyFont="1" applyFill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50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4" borderId="51" xfId="0" applyFont="1" applyFill="1" applyBorder="1" applyAlignment="1">
      <alignment horizontal="center"/>
    </xf>
    <xf numFmtId="0" fontId="1" fillId="4" borderId="52" xfId="0" applyFont="1" applyFill="1" applyBorder="1" applyAlignment="1">
      <alignment horizontal="center"/>
    </xf>
    <xf numFmtId="0" fontId="1" fillId="4" borderId="53" xfId="0" applyFont="1" applyFill="1" applyBorder="1" applyAlignment="1">
      <alignment horizontal="center"/>
    </xf>
    <xf numFmtId="0" fontId="1" fillId="0" borderId="54" xfId="0" applyFont="1" applyBorder="1" applyAlignment="1">
      <alignment horizontal="center"/>
    </xf>
    <xf numFmtId="58" fontId="1" fillId="0" borderId="43" xfId="0" applyNumberFormat="1" applyFont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56" xfId="0" applyFont="1" applyBorder="1" applyAlignment="1">
      <alignment horizontal="center"/>
    </xf>
    <xf numFmtId="0" fontId="1" fillId="0" borderId="57" xfId="0" applyFont="1" applyBorder="1" applyAlignment="1">
      <alignment horizontal="center"/>
    </xf>
    <xf numFmtId="178" fontId="1" fillId="0" borderId="16" xfId="0" applyNumberFormat="1" applyFont="1" applyBorder="1" applyAlignment="1">
      <alignment horizontal="center"/>
    </xf>
    <xf numFmtId="180" fontId="1" fillId="0" borderId="16" xfId="0" applyNumberFormat="1" applyFont="1" applyBorder="1" applyAlignment="1">
      <alignment horizontal="center"/>
    </xf>
    <xf numFmtId="182" fontId="1" fillId="0" borderId="16" xfId="0" applyNumberFormat="1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180" fontId="1" fillId="0" borderId="27" xfId="0" applyNumberFormat="1" applyFont="1" applyBorder="1" applyAlignment="1">
      <alignment horizontal="center"/>
    </xf>
    <xf numFmtId="182" fontId="1" fillId="0" borderId="27" xfId="0" applyNumberFormat="1" applyFont="1" applyBorder="1" applyAlignment="1">
      <alignment horizontal="center"/>
    </xf>
    <xf numFmtId="1" fontId="1" fillId="0" borderId="15" xfId="0" applyNumberFormat="1" applyFont="1" applyBorder="1" applyAlignment="1">
      <alignment horizontal="center"/>
    </xf>
    <xf numFmtId="178" fontId="1" fillId="0" borderId="15" xfId="0" applyNumberFormat="1" applyFont="1" applyBorder="1" applyAlignment="1">
      <alignment horizontal="center" wrapText="1"/>
    </xf>
    <xf numFmtId="1" fontId="1" fillId="0" borderId="58" xfId="0" applyNumberFormat="1" applyFont="1" applyBorder="1" applyAlignment="1">
      <alignment horizontal="center"/>
    </xf>
    <xf numFmtId="178" fontId="1" fillId="0" borderId="58" xfId="0" applyNumberFormat="1" applyFont="1" applyBorder="1" applyAlignment="1">
      <alignment horizontal="center" wrapText="1"/>
    </xf>
    <xf numFmtId="1" fontId="1" fillId="0" borderId="59" xfId="0" applyNumberFormat="1" applyFont="1" applyBorder="1" applyAlignment="1">
      <alignment horizontal="center"/>
    </xf>
    <xf numFmtId="178" fontId="1" fillId="0" borderId="59" xfId="0" applyNumberFormat="1" applyFont="1" applyBorder="1" applyAlignment="1">
      <alignment horizontal="center" wrapText="1"/>
    </xf>
    <xf numFmtId="1" fontId="1" fillId="0" borderId="60" xfId="0" applyNumberFormat="1" applyFont="1" applyBorder="1" applyAlignment="1">
      <alignment horizontal="center"/>
    </xf>
    <xf numFmtId="178" fontId="1" fillId="0" borderId="60" xfId="0" applyNumberFormat="1" applyFont="1" applyBorder="1" applyAlignment="1">
      <alignment horizontal="center" wrapText="1"/>
    </xf>
    <xf numFmtId="58" fontId="1" fillId="0" borderId="20" xfId="0" applyNumberFormat="1" applyFont="1" applyBorder="1" applyAlignment="1">
      <alignment horizontal="center"/>
    </xf>
    <xf numFmtId="1" fontId="1" fillId="0" borderId="61" xfId="0" applyNumberFormat="1" applyFont="1" applyBorder="1" applyAlignment="1">
      <alignment horizontal="center"/>
    </xf>
    <xf numFmtId="178" fontId="1" fillId="0" borderId="61" xfId="0" applyNumberFormat="1" applyFont="1" applyBorder="1" applyAlignment="1">
      <alignment horizontal="center" wrapText="1"/>
    </xf>
    <xf numFmtId="180" fontId="1" fillId="0" borderId="20" xfId="0" applyNumberFormat="1" applyFont="1" applyBorder="1" applyAlignment="1">
      <alignment horizontal="center"/>
    </xf>
    <xf numFmtId="181" fontId="1" fillId="0" borderId="20" xfId="0" applyNumberFormat="1" applyFont="1" applyBorder="1" applyAlignment="1">
      <alignment horizontal="center" vertical="center"/>
    </xf>
    <xf numFmtId="182" fontId="1" fillId="0" borderId="20" xfId="0" applyNumberFormat="1" applyFont="1" applyBorder="1" applyAlignment="1">
      <alignment horizontal="center"/>
    </xf>
    <xf numFmtId="179" fontId="11" fillId="0" borderId="20" xfId="0" applyNumberFormat="1" applyFont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179" fontId="1" fillId="0" borderId="27" xfId="0" applyNumberFormat="1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78" fontId="1" fillId="0" borderId="15" xfId="0" applyNumberFormat="1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78" fontId="1" fillId="0" borderId="16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178" fontId="1" fillId="0" borderId="27" xfId="0" applyNumberFormat="1" applyFont="1" applyBorder="1" applyAlignment="1">
      <alignment horizontal="center" vertical="center"/>
    </xf>
    <xf numFmtId="0" fontId="1" fillId="4" borderId="62" xfId="0" applyFont="1" applyFill="1" applyBorder="1" applyAlignment="1">
      <alignment horizontal="center"/>
    </xf>
    <xf numFmtId="0" fontId="1" fillId="5" borderId="33" xfId="0" applyFont="1" applyFill="1" applyBorder="1" applyAlignment="1">
      <alignment horizontal="center"/>
    </xf>
    <xf numFmtId="0" fontId="1" fillId="5" borderId="34" xfId="0" applyFont="1" applyFill="1" applyBorder="1" applyAlignment="1">
      <alignment horizontal="center"/>
    </xf>
    <xf numFmtId="183" fontId="2" fillId="5" borderId="34" xfId="0" applyNumberFormat="1" applyFont="1" applyFill="1" applyBorder="1" applyAlignment="1">
      <alignment horizontal="center"/>
    </xf>
    <xf numFmtId="0" fontId="2" fillId="5" borderId="34" xfId="0" applyFont="1" applyFill="1" applyBorder="1" applyAlignment="1">
      <alignment horizontal="center"/>
    </xf>
    <xf numFmtId="180" fontId="2" fillId="5" borderId="34" xfId="0" applyNumberFormat="1" applyFont="1" applyFill="1" applyBorder="1" applyAlignment="1">
      <alignment horizontal="center"/>
    </xf>
    <xf numFmtId="182" fontId="2" fillId="5" borderId="34" xfId="0" applyNumberFormat="1" applyFont="1" applyFill="1" applyBorder="1" applyAlignment="1">
      <alignment horizontal="center"/>
    </xf>
    <xf numFmtId="0" fontId="1" fillId="5" borderId="51" xfId="0" applyFont="1" applyFill="1" applyBorder="1" applyAlignment="1">
      <alignment horizontal="center"/>
    </xf>
    <xf numFmtId="0" fontId="1" fillId="5" borderId="52" xfId="0" applyFont="1" applyFill="1" applyBorder="1" applyAlignment="1">
      <alignment horizontal="center"/>
    </xf>
    <xf numFmtId="0" fontId="1" fillId="5" borderId="35" xfId="0" applyFont="1" applyFill="1" applyBorder="1" applyAlignment="1">
      <alignment horizontal="center"/>
    </xf>
    <xf numFmtId="0" fontId="1" fillId="5" borderId="53" xfId="0" applyFont="1" applyFill="1" applyBorder="1" applyAlignment="1">
      <alignment horizontal="center"/>
    </xf>
    <xf numFmtId="0" fontId="2" fillId="0" borderId="63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184" fontId="2" fillId="0" borderId="66" xfId="0" applyNumberFormat="1" applyFont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185" fontId="2" fillId="0" borderId="70" xfId="0" applyNumberFormat="1" applyFont="1" applyBorder="1" applyAlignment="1">
      <alignment horizontal="center" vertical="center"/>
    </xf>
    <xf numFmtId="0" fontId="2" fillId="0" borderId="71" xfId="0" applyFont="1" applyBorder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185" fontId="12" fillId="0" borderId="74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186" fontId="1" fillId="0" borderId="16" xfId="0" applyNumberFormat="1" applyFont="1" applyBorder="1" applyAlignment="1">
      <alignment horizontal="center" vertical="center"/>
    </xf>
    <xf numFmtId="58" fontId="1" fillId="0" borderId="30" xfId="0" applyNumberFormat="1" applyFont="1" applyBorder="1" applyAlignment="1">
      <alignment horizontal="center"/>
    </xf>
    <xf numFmtId="1" fontId="1" fillId="0" borderId="30" xfId="0" applyNumberFormat="1" applyFont="1" applyBorder="1" applyAlignment="1">
      <alignment horizontal="center"/>
    </xf>
    <xf numFmtId="0" fontId="11" fillId="0" borderId="54" xfId="0" applyFont="1" applyBorder="1" applyAlignment="1">
      <alignment horizontal="center" vertical="center" wrapText="1"/>
    </xf>
    <xf numFmtId="0" fontId="11" fillId="0" borderId="50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/>
    </xf>
    <xf numFmtId="178" fontId="1" fillId="0" borderId="30" xfId="0" applyNumberFormat="1" applyFont="1" applyBorder="1" applyAlignment="1">
      <alignment horizontal="center" wrapText="1"/>
    </xf>
    <xf numFmtId="180" fontId="1" fillId="0" borderId="75" xfId="0" applyNumberFormat="1" applyFont="1" applyBorder="1" applyAlignment="1">
      <alignment horizontal="center"/>
    </xf>
    <xf numFmtId="182" fontId="1" fillId="0" borderId="75" xfId="0" applyNumberFormat="1" applyFont="1" applyBorder="1" applyAlignment="1">
      <alignment horizontal="center"/>
    </xf>
    <xf numFmtId="179" fontId="11" fillId="0" borderId="30" xfId="0" applyNumberFormat="1" applyFont="1" applyBorder="1" applyAlignment="1">
      <alignment horizontal="center" vertical="center" wrapText="1"/>
    </xf>
    <xf numFmtId="0" fontId="11" fillId="0" borderId="76" xfId="0" applyFont="1" applyBorder="1" applyAlignment="1">
      <alignment horizontal="center" vertical="center" wrapText="1"/>
    </xf>
    <xf numFmtId="0" fontId="1" fillId="0" borderId="62" xfId="0" applyFont="1" applyBorder="1" applyAlignment="1">
      <alignment horizontal="center"/>
    </xf>
    <xf numFmtId="0" fontId="1" fillId="0" borderId="77" xfId="0" applyFont="1" applyBorder="1" applyAlignment="1">
      <alignment horizontal="center"/>
    </xf>
    <xf numFmtId="0" fontId="1" fillId="0" borderId="75" xfId="0" applyFont="1" applyBorder="1" applyAlignment="1">
      <alignment horizontal="center"/>
    </xf>
    <xf numFmtId="0" fontId="1" fillId="0" borderId="78" xfId="0" applyFont="1" applyBorder="1" applyAlignment="1">
      <alignment horizontal="center"/>
    </xf>
    <xf numFmtId="0" fontId="1" fillId="0" borderId="79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39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80" xfId="0" applyFont="1" applyBorder="1" applyAlignment="1">
      <alignment horizontal="center"/>
    </xf>
    <xf numFmtId="1" fontId="1" fillId="0" borderId="20" xfId="0" applyNumberFormat="1" applyFont="1" applyBorder="1" applyAlignment="1">
      <alignment horizontal="center"/>
    </xf>
    <xf numFmtId="178" fontId="1" fillId="0" borderId="20" xfId="0" applyNumberFormat="1" applyFont="1" applyBorder="1" applyAlignment="1">
      <alignment horizontal="center" wrapText="1"/>
    </xf>
    <xf numFmtId="0" fontId="1" fillId="0" borderId="81" xfId="0" applyFont="1" applyBorder="1" applyAlignment="1">
      <alignment horizontal="center"/>
    </xf>
    <xf numFmtId="0" fontId="1" fillId="0" borderId="76" xfId="0" applyFont="1" applyBorder="1" applyAlignment="1">
      <alignment horizontal="center"/>
    </xf>
    <xf numFmtId="179" fontId="1" fillId="0" borderId="20" xfId="0" applyNumberFormat="1" applyFont="1" applyBorder="1" applyAlignment="1">
      <alignment horizontal="center"/>
    </xf>
    <xf numFmtId="179" fontId="1" fillId="0" borderId="30" xfId="0" applyNumberFormat="1" applyFont="1" applyBorder="1" applyAlignment="1">
      <alignment horizontal="center"/>
    </xf>
    <xf numFmtId="180" fontId="1" fillId="0" borderId="30" xfId="0" applyNumberFormat="1" applyFont="1" applyBorder="1" applyAlignment="1">
      <alignment horizontal="center"/>
    </xf>
    <xf numFmtId="182" fontId="1" fillId="0" borderId="30" xfId="0" applyNumberFormat="1" applyFont="1" applyBorder="1" applyAlignment="1">
      <alignment horizontal="center"/>
    </xf>
    <xf numFmtId="0" fontId="11" fillId="0" borderId="31" xfId="0" applyFont="1" applyBorder="1" applyAlignment="1">
      <alignment horizontal="center" vertical="center" wrapText="1"/>
    </xf>
    <xf numFmtId="0" fontId="1" fillId="0" borderId="82" xfId="0" applyFont="1" applyBorder="1" applyAlignment="1">
      <alignment horizontal="center"/>
    </xf>
    <xf numFmtId="0" fontId="1" fillId="0" borderId="83" xfId="0" applyFont="1" applyBorder="1" applyAlignment="1">
      <alignment horizontal="center"/>
    </xf>
    <xf numFmtId="58" fontId="1" fillId="0" borderId="75" xfId="0" applyNumberFormat="1" applyFont="1" applyBorder="1" applyAlignment="1">
      <alignment horizontal="center"/>
    </xf>
    <xf numFmtId="0" fontId="1" fillId="0" borderId="84" xfId="0" applyFont="1" applyBorder="1" applyAlignment="1">
      <alignment horizontal="center"/>
    </xf>
    <xf numFmtId="186" fontId="1" fillId="0" borderId="27" xfId="0" applyNumberFormat="1" applyFont="1" applyBorder="1" applyAlignment="1">
      <alignment horizontal="center" vertical="center"/>
    </xf>
    <xf numFmtId="179" fontId="1" fillId="0" borderId="85" xfId="0" applyNumberFormat="1" applyFont="1" applyBorder="1" applyAlignment="1">
      <alignment horizontal="center"/>
    </xf>
    <xf numFmtId="186" fontId="1" fillId="0" borderId="15" xfId="0" applyNumberFormat="1" applyFont="1" applyBorder="1" applyAlignment="1">
      <alignment horizontal="center" vertical="center"/>
    </xf>
    <xf numFmtId="179" fontId="1" fillId="0" borderId="86" xfId="0" applyNumberFormat="1" applyFont="1" applyBorder="1" applyAlignment="1">
      <alignment horizontal="center"/>
    </xf>
    <xf numFmtId="0" fontId="1" fillId="6" borderId="33" xfId="0" applyFont="1" applyFill="1" applyBorder="1" applyAlignment="1">
      <alignment horizontal="center"/>
    </xf>
    <xf numFmtId="0" fontId="1" fillId="6" borderId="34" xfId="0" applyFont="1" applyFill="1" applyBorder="1" applyAlignment="1">
      <alignment horizontal="center"/>
    </xf>
    <xf numFmtId="183" fontId="2" fillId="6" borderId="34" xfId="0" applyNumberFormat="1" applyFont="1" applyFill="1" applyBorder="1" applyAlignment="1">
      <alignment horizontal="center"/>
    </xf>
    <xf numFmtId="180" fontId="2" fillId="6" borderId="34" xfId="0" applyNumberFormat="1" applyFont="1" applyFill="1" applyBorder="1" applyAlignment="1">
      <alignment horizontal="center"/>
    </xf>
    <xf numFmtId="0" fontId="2" fillId="6" borderId="34" xfId="0" applyFont="1" applyFill="1" applyBorder="1" applyAlignment="1">
      <alignment horizontal="center"/>
    </xf>
    <xf numFmtId="182" fontId="2" fillId="6" borderId="34" xfId="0" applyNumberFormat="1" applyFont="1" applyFill="1" applyBorder="1" applyAlignment="1">
      <alignment horizontal="center"/>
    </xf>
    <xf numFmtId="0" fontId="1" fillId="6" borderId="51" xfId="0" applyFont="1" applyFill="1" applyBorder="1" applyAlignment="1">
      <alignment horizontal="center"/>
    </xf>
    <xf numFmtId="0" fontId="1" fillId="6" borderId="52" xfId="0" applyFont="1" applyFill="1" applyBorder="1" applyAlignment="1">
      <alignment horizontal="center"/>
    </xf>
    <xf numFmtId="0" fontId="1" fillId="6" borderId="53" xfId="0" applyFont="1" applyFill="1" applyBorder="1" applyAlignment="1">
      <alignment horizontal="center"/>
    </xf>
    <xf numFmtId="0" fontId="1" fillId="6" borderId="35" xfId="0" applyFont="1" applyFill="1" applyBorder="1" applyAlignment="1">
      <alignment horizontal="center"/>
    </xf>
    <xf numFmtId="0" fontId="1" fillId="0" borderId="64" xfId="0" applyFont="1" applyBorder="1" applyAlignment="1">
      <alignment horizontal="center"/>
    </xf>
    <xf numFmtId="177" fontId="5" fillId="0" borderId="87" xfId="0" applyNumberFormat="1" applyFont="1" applyBorder="1" applyAlignment="1">
      <alignment horizontal="center" vertical="center" wrapText="1"/>
    </xf>
    <xf numFmtId="177" fontId="5" fillId="0" borderId="88" xfId="0" applyNumberFormat="1" applyFont="1" applyBorder="1" applyAlignment="1">
      <alignment horizontal="center" vertical="center" wrapText="1"/>
    </xf>
    <xf numFmtId="187" fontId="1" fillId="0" borderId="16" xfId="0" applyNumberFormat="1" applyFont="1" applyBorder="1" applyAlignment="1">
      <alignment horizontal="center"/>
    </xf>
    <xf numFmtId="188" fontId="1" fillId="0" borderId="16" xfId="0" applyNumberFormat="1" applyFont="1" applyBorder="1" applyAlignment="1">
      <alignment horizontal="center" vertical="center"/>
    </xf>
    <xf numFmtId="189" fontId="1" fillId="0" borderId="15" xfId="0" applyNumberFormat="1" applyFont="1" applyBorder="1" applyAlignment="1">
      <alignment horizontal="center"/>
    </xf>
    <xf numFmtId="179" fontId="11" fillId="0" borderId="89" xfId="0" applyNumberFormat="1" applyFont="1" applyBorder="1" applyAlignment="1">
      <alignment horizontal="center" vertical="center" wrapText="1"/>
    </xf>
    <xf numFmtId="0" fontId="11" fillId="0" borderId="90" xfId="0" applyFont="1" applyBorder="1" applyAlignment="1">
      <alignment horizontal="center" vertical="center" wrapText="1"/>
    </xf>
    <xf numFmtId="190" fontId="8" fillId="0" borderId="20" xfId="0" applyNumberFormat="1" applyFont="1" applyBorder="1" applyAlignment="1">
      <alignment horizontal="center"/>
    </xf>
    <xf numFmtId="191" fontId="8" fillId="0" borderId="20" xfId="0" applyNumberFormat="1" applyFont="1" applyBorder="1" applyAlignment="1">
      <alignment horizontal="center"/>
    </xf>
    <xf numFmtId="190" fontId="8" fillId="0" borderId="15" xfId="0" applyNumberFormat="1" applyFont="1" applyBorder="1" applyAlignment="1">
      <alignment horizontal="center"/>
    </xf>
    <xf numFmtId="191" fontId="8" fillId="0" borderId="15" xfId="0" applyNumberFormat="1" applyFont="1" applyBorder="1" applyAlignment="1">
      <alignment horizontal="center"/>
    </xf>
    <xf numFmtId="187" fontId="1" fillId="0" borderId="27" xfId="0" applyNumberFormat="1" applyFont="1" applyBorder="1" applyAlignment="1">
      <alignment horizontal="center"/>
    </xf>
    <xf numFmtId="179" fontId="1" fillId="0" borderId="43" xfId="0" applyNumberFormat="1" applyFont="1" applyBorder="1" applyAlignment="1">
      <alignment horizontal="center"/>
    </xf>
    <xf numFmtId="189" fontId="1" fillId="0" borderId="43" xfId="0" applyNumberFormat="1" applyFont="1" applyBorder="1" applyAlignment="1">
      <alignment horizontal="center"/>
    </xf>
    <xf numFmtId="190" fontId="8" fillId="0" borderId="75" xfId="0" applyNumberFormat="1" applyFont="1" applyBorder="1" applyAlignment="1">
      <alignment horizontal="center"/>
    </xf>
    <xf numFmtId="191" fontId="8" fillId="0" borderId="75" xfId="0" applyNumberFormat="1" applyFont="1" applyBorder="1" applyAlignment="1">
      <alignment horizontal="center"/>
    </xf>
    <xf numFmtId="187" fontId="1" fillId="0" borderId="15" xfId="0" applyNumberFormat="1" applyFont="1" applyBorder="1" applyAlignment="1">
      <alignment horizontal="center"/>
    </xf>
    <xf numFmtId="4" fontId="2" fillId="0" borderId="20" xfId="0" applyNumberFormat="1" applyFont="1" applyBorder="1" applyAlignment="1">
      <alignment horizontal="center"/>
    </xf>
    <xf numFmtId="4" fontId="2" fillId="0" borderId="21" xfId="0" applyNumberFormat="1" applyFont="1" applyBorder="1" applyAlignment="1">
      <alignment horizontal="center"/>
    </xf>
    <xf numFmtId="4" fontId="2" fillId="0" borderId="16" xfId="0" applyNumberFormat="1" applyFont="1" applyBorder="1" applyAlignment="1">
      <alignment horizontal="center"/>
    </xf>
    <xf numFmtId="4" fontId="2" fillId="0" borderId="25" xfId="0" applyNumberFormat="1" applyFont="1" applyBorder="1" applyAlignment="1">
      <alignment horizontal="center"/>
    </xf>
    <xf numFmtId="187" fontId="1" fillId="0" borderId="30" xfId="0" applyNumberFormat="1" applyFont="1" applyBorder="1" applyAlignment="1">
      <alignment horizontal="center"/>
    </xf>
    <xf numFmtId="179" fontId="1" fillId="0" borderId="75" xfId="0" applyNumberFormat="1" applyFont="1" applyBorder="1" applyAlignment="1">
      <alignment horizontal="center"/>
    </xf>
    <xf numFmtId="189" fontId="1" fillId="0" borderId="75" xfId="0" applyNumberFormat="1" applyFont="1" applyBorder="1" applyAlignment="1">
      <alignment horizontal="center"/>
    </xf>
    <xf numFmtId="4" fontId="2" fillId="0" borderId="30" xfId="0" applyNumberFormat="1" applyFont="1" applyBorder="1" applyAlignment="1">
      <alignment horizontal="center"/>
    </xf>
    <xf numFmtId="4" fontId="2" fillId="0" borderId="31" xfId="0" applyNumberFormat="1" applyFont="1" applyBorder="1" applyAlignment="1">
      <alignment horizontal="center"/>
    </xf>
    <xf numFmtId="0" fontId="1" fillId="0" borderId="91" xfId="0" applyFont="1" applyBorder="1" applyAlignment="1">
      <alignment horizontal="center"/>
    </xf>
    <xf numFmtId="187" fontId="1" fillId="0" borderId="20" xfId="0" applyNumberFormat="1" applyFont="1" applyBorder="1" applyAlignment="1">
      <alignment horizontal="center"/>
    </xf>
    <xf numFmtId="189" fontId="1" fillId="0" borderId="20" xfId="0" applyNumberFormat="1" applyFont="1" applyBorder="1" applyAlignment="1">
      <alignment horizontal="center"/>
    </xf>
    <xf numFmtId="0" fontId="11" fillId="0" borderId="81" xfId="0" applyFont="1" applyBorder="1" applyAlignment="1">
      <alignment horizontal="center" vertical="center" wrapText="1"/>
    </xf>
    <xf numFmtId="189" fontId="1" fillId="0" borderId="16" xfId="0" applyNumberFormat="1" applyFont="1" applyBorder="1" applyAlignment="1">
      <alignment horizontal="center"/>
    </xf>
    <xf numFmtId="190" fontId="8" fillId="0" borderId="16" xfId="0" applyNumberFormat="1" applyFont="1" applyBorder="1" applyAlignment="1">
      <alignment horizontal="center"/>
    </xf>
    <xf numFmtId="191" fontId="8" fillId="0" borderId="16" xfId="0" applyNumberFormat="1" applyFont="1" applyBorder="1" applyAlignment="1">
      <alignment horizontal="center"/>
    </xf>
    <xf numFmtId="189" fontId="1" fillId="0" borderId="30" xfId="0" applyNumberFormat="1" applyFont="1" applyBorder="1" applyAlignment="1">
      <alignment horizontal="center"/>
    </xf>
    <xf numFmtId="190" fontId="8" fillId="0" borderId="30" xfId="0" applyNumberFormat="1" applyFont="1" applyBorder="1" applyAlignment="1">
      <alignment horizontal="center"/>
    </xf>
    <xf numFmtId="191" fontId="8" fillId="0" borderId="30" xfId="0" applyNumberFormat="1" applyFont="1" applyBorder="1" applyAlignment="1">
      <alignment horizontal="center"/>
    </xf>
    <xf numFmtId="58" fontId="1" fillId="0" borderId="38" xfId="0" applyNumberFormat="1" applyFont="1" applyBorder="1" applyAlignment="1">
      <alignment horizontal="center"/>
    </xf>
    <xf numFmtId="4" fontId="2" fillId="0" borderId="38" xfId="0" applyNumberFormat="1" applyFont="1" applyBorder="1" applyAlignment="1">
      <alignment horizontal="center"/>
    </xf>
    <xf numFmtId="4" fontId="2" fillId="0" borderId="39" xfId="0" applyNumberFormat="1" applyFont="1" applyBorder="1" applyAlignment="1">
      <alignment horizontal="center"/>
    </xf>
    <xf numFmtId="4" fontId="2" fillId="0" borderId="75" xfId="0" applyNumberFormat="1" applyFont="1" applyBorder="1" applyAlignment="1">
      <alignment horizontal="center"/>
    </xf>
    <xf numFmtId="4" fontId="2" fillId="0" borderId="78" xfId="0" applyNumberFormat="1" applyFont="1" applyBorder="1" applyAlignment="1">
      <alignment horizontal="center"/>
    </xf>
    <xf numFmtId="187" fontId="1" fillId="0" borderId="61" xfId="0" applyNumberFormat="1" applyFont="1" applyBorder="1" applyAlignment="1">
      <alignment horizontal="center"/>
    </xf>
    <xf numFmtId="187" fontId="1" fillId="0" borderId="59" xfId="0" applyNumberFormat="1" applyFont="1" applyBorder="1" applyAlignment="1">
      <alignment horizontal="center"/>
    </xf>
    <xf numFmtId="187" fontId="1" fillId="0" borderId="60" xfId="0" applyNumberFormat="1" applyFont="1" applyBorder="1" applyAlignment="1">
      <alignment horizontal="center"/>
    </xf>
    <xf numFmtId="189" fontId="1" fillId="0" borderId="27" xfId="0" applyNumberFormat="1" applyFont="1" applyBorder="1" applyAlignment="1">
      <alignment horizontal="center"/>
    </xf>
    <xf numFmtId="0" fontId="1" fillId="0" borderId="86" xfId="0" applyFont="1" applyBorder="1" applyAlignment="1">
      <alignment horizontal="center"/>
    </xf>
    <xf numFmtId="190" fontId="8" fillId="0" borderId="27" xfId="0" applyNumberFormat="1" applyFont="1" applyBorder="1" applyAlignment="1">
      <alignment horizontal="center"/>
    </xf>
    <xf numFmtId="191" fontId="8" fillId="0" borderId="27" xfId="0" applyNumberFormat="1" applyFont="1" applyBorder="1" applyAlignment="1">
      <alignment horizontal="center"/>
    </xf>
    <xf numFmtId="4" fontId="2" fillId="0" borderId="27" xfId="0" applyNumberFormat="1" applyFont="1" applyBorder="1" applyAlignment="1">
      <alignment horizontal="center"/>
    </xf>
    <xf numFmtId="4" fontId="2" fillId="0" borderId="44" xfId="0" applyNumberFormat="1" applyFont="1" applyBorder="1" applyAlignment="1">
      <alignment horizontal="center"/>
    </xf>
    <xf numFmtId="0" fontId="1" fillId="4" borderId="80" xfId="0" applyFont="1" applyFill="1" applyBorder="1" applyAlignment="1">
      <alignment horizontal="center"/>
    </xf>
    <xf numFmtId="0" fontId="1" fillId="4" borderId="75" xfId="0" applyFont="1" applyFill="1" applyBorder="1" applyAlignment="1">
      <alignment horizontal="center"/>
    </xf>
    <xf numFmtId="4" fontId="2" fillId="4" borderId="75" xfId="0" applyNumberFormat="1" applyFont="1" applyFill="1" applyBorder="1" applyAlignment="1">
      <alignment horizontal="center"/>
    </xf>
    <xf numFmtId="4" fontId="2" fillId="4" borderId="92" xfId="0" applyNumberFormat="1" applyFont="1" applyFill="1" applyBorder="1" applyAlignment="1">
      <alignment horizontal="center"/>
    </xf>
    <xf numFmtId="4" fontId="2" fillId="4" borderId="62" xfId="0" applyNumberFormat="1" applyFont="1" applyFill="1" applyBorder="1" applyAlignment="1">
      <alignment horizontal="center"/>
    </xf>
    <xf numFmtId="4" fontId="2" fillId="4" borderId="77" xfId="0" applyNumberFormat="1" applyFont="1" applyFill="1" applyBorder="1" applyAlignment="1">
      <alignment horizontal="center"/>
    </xf>
    <xf numFmtId="4" fontId="2" fillId="4" borderId="78" xfId="0" applyNumberFormat="1" applyFont="1" applyFill="1" applyBorder="1" applyAlignment="1">
      <alignment horizontal="center"/>
    </xf>
    <xf numFmtId="4" fontId="1" fillId="0" borderId="16" xfId="0" applyNumberFormat="1" applyFont="1" applyBorder="1" applyAlignment="1">
      <alignment horizontal="center" vertical="center"/>
    </xf>
    <xf numFmtId="0" fontId="5" fillId="0" borderId="93" xfId="0" applyFont="1" applyBorder="1" applyAlignment="1">
      <alignment horizontal="center" vertical="center" wrapText="1"/>
    </xf>
    <xf numFmtId="0" fontId="1" fillId="0" borderId="94" xfId="0" applyFont="1" applyBorder="1" applyAlignment="1">
      <alignment horizontal="center"/>
    </xf>
    <xf numFmtId="0" fontId="1" fillId="0" borderId="95" xfId="0" applyFont="1" applyBorder="1" applyAlignment="1">
      <alignment horizontal="center"/>
    </xf>
    <xf numFmtId="0" fontId="5" fillId="0" borderId="9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2" fontId="1" fillId="0" borderId="38" xfId="0" applyNumberFormat="1" applyFont="1" applyBorder="1" applyAlignment="1">
      <alignment horizontal="center"/>
    </xf>
    <xf numFmtId="0" fontId="11" fillId="0" borderId="97" xfId="0" applyFont="1" applyBorder="1" applyAlignment="1">
      <alignment horizontal="center" vertical="center" wrapText="1"/>
    </xf>
    <xf numFmtId="0" fontId="1" fillId="0" borderId="85" xfId="0" applyFont="1" applyBorder="1" applyAlignment="1">
      <alignment horizontal="center"/>
    </xf>
    <xf numFmtId="2" fontId="1" fillId="0" borderId="16" xfId="0" applyNumberFormat="1" applyFont="1" applyBorder="1" applyAlignment="1">
      <alignment horizontal="center"/>
    </xf>
    <xf numFmtId="179" fontId="11" fillId="0" borderId="98" xfId="0" applyNumberFormat="1" applyFont="1" applyBorder="1" applyAlignment="1">
      <alignment horizontal="center" vertical="center" wrapText="1"/>
    </xf>
    <xf numFmtId="0" fontId="11" fillId="0" borderId="99" xfId="0" applyFont="1" applyBorder="1" applyAlignment="1">
      <alignment horizontal="center" vertical="center" wrapText="1"/>
    </xf>
    <xf numFmtId="181" fontId="1" fillId="0" borderId="30" xfId="0" applyNumberFormat="1" applyFont="1" applyBorder="1" applyAlignment="1">
      <alignment horizontal="center" vertical="center"/>
    </xf>
    <xf numFmtId="179" fontId="11" fillId="0" borderId="100" xfId="0" applyNumberFormat="1" applyFont="1" applyBorder="1" applyAlignment="1">
      <alignment horizontal="center" vertical="center" wrapText="1"/>
    </xf>
    <xf numFmtId="0" fontId="11" fillId="0" borderId="101" xfId="0" applyFont="1" applyBorder="1" applyAlignment="1">
      <alignment horizontal="center" vertical="center" wrapText="1"/>
    </xf>
    <xf numFmtId="0" fontId="1" fillId="0" borderId="102" xfId="0" applyFont="1" applyBorder="1" applyAlignment="1">
      <alignment horizontal="center"/>
    </xf>
    <xf numFmtId="0" fontId="1" fillId="7" borderId="37" xfId="0" applyFont="1" applyFill="1" applyBorder="1" applyAlignment="1">
      <alignment horizontal="center"/>
    </xf>
    <xf numFmtId="0" fontId="1" fillId="7" borderId="38" xfId="0" applyFont="1" applyFill="1" applyBorder="1" applyAlignment="1">
      <alignment horizontal="center"/>
    </xf>
    <xf numFmtId="183" fontId="2" fillId="7" borderId="38" xfId="0" applyNumberFormat="1" applyFont="1" applyFill="1" applyBorder="1" applyAlignment="1">
      <alignment horizontal="center"/>
    </xf>
    <xf numFmtId="179" fontId="2" fillId="7" borderId="38" xfId="0" applyNumberFormat="1" applyFont="1" applyFill="1" applyBorder="1" applyAlignment="1">
      <alignment horizontal="center"/>
    </xf>
    <xf numFmtId="0" fontId="2" fillId="7" borderId="38" xfId="0" applyFont="1" applyFill="1" applyBorder="1" applyAlignment="1">
      <alignment horizontal="center"/>
    </xf>
    <xf numFmtId="182" fontId="2" fillId="7" borderId="38" xfId="0" applyNumberFormat="1" applyFont="1" applyFill="1" applyBorder="1" applyAlignment="1">
      <alignment horizontal="center"/>
    </xf>
    <xf numFmtId="0" fontId="1" fillId="7" borderId="39" xfId="0" applyFont="1" applyFill="1" applyBorder="1" applyAlignment="1">
      <alignment horizontal="center"/>
    </xf>
    <xf numFmtId="0" fontId="1" fillId="7" borderId="103" xfId="0" applyFont="1" applyFill="1" applyBorder="1" applyAlignment="1">
      <alignment horizontal="center"/>
    </xf>
    <xf numFmtId="0" fontId="1" fillId="7" borderId="40" xfId="0" applyFont="1" applyFill="1" applyBorder="1" applyAlignment="1">
      <alignment horizontal="center"/>
    </xf>
    <xf numFmtId="2" fontId="1" fillId="0" borderId="20" xfId="0" applyNumberFormat="1" applyFont="1" applyBorder="1" applyAlignment="1">
      <alignment horizontal="center"/>
    </xf>
    <xf numFmtId="2" fontId="1" fillId="0" borderId="30" xfId="0" applyNumberFormat="1" applyFont="1" applyBorder="1" applyAlignment="1">
      <alignment horizontal="center"/>
    </xf>
    <xf numFmtId="0" fontId="1" fillId="7" borderId="33" xfId="0" applyFont="1" applyFill="1" applyBorder="1" applyAlignment="1">
      <alignment horizontal="center"/>
    </xf>
    <xf numFmtId="0" fontId="1" fillId="7" borderId="34" xfId="0" applyFont="1" applyFill="1" applyBorder="1" applyAlignment="1">
      <alignment horizontal="center"/>
    </xf>
    <xf numFmtId="183" fontId="2" fillId="7" borderId="34" xfId="0" applyNumberFormat="1" applyFont="1" applyFill="1" applyBorder="1" applyAlignment="1">
      <alignment horizontal="center"/>
    </xf>
    <xf numFmtId="179" fontId="2" fillId="7" borderId="34" xfId="0" applyNumberFormat="1" applyFont="1" applyFill="1" applyBorder="1" applyAlignment="1">
      <alignment horizontal="center"/>
    </xf>
    <xf numFmtId="0" fontId="2" fillId="7" borderId="34" xfId="0" applyFont="1" applyFill="1" applyBorder="1" applyAlignment="1">
      <alignment horizontal="center"/>
    </xf>
    <xf numFmtId="182" fontId="2" fillId="7" borderId="34" xfId="0" applyNumberFormat="1" applyFont="1" applyFill="1" applyBorder="1" applyAlignment="1">
      <alignment horizontal="center"/>
    </xf>
    <xf numFmtId="0" fontId="1" fillId="7" borderId="104" xfId="0" applyFont="1" applyFill="1" applyBorder="1" applyAlignment="1">
      <alignment horizontal="center"/>
    </xf>
    <xf numFmtId="0" fontId="1" fillId="7" borderId="94" xfId="0" applyFont="1" applyFill="1" applyBorder="1" applyAlignment="1">
      <alignment horizontal="center"/>
    </xf>
    <xf numFmtId="0" fontId="1" fillId="7" borderId="35" xfId="0" applyFont="1" applyFill="1" applyBorder="1" applyAlignment="1">
      <alignment horizontal="center"/>
    </xf>
    <xf numFmtId="0" fontId="1" fillId="7" borderId="53" xfId="0" applyFont="1" applyFill="1" applyBorder="1" applyAlignment="1">
      <alignment horizontal="center"/>
    </xf>
    <xf numFmtId="2" fontId="1" fillId="0" borderId="15" xfId="0" applyNumberFormat="1" applyFont="1" applyBorder="1" applyAlignment="1">
      <alignment horizontal="center"/>
    </xf>
    <xf numFmtId="179" fontId="11" fillId="0" borderId="105" xfId="0" applyNumberFormat="1" applyFont="1" applyBorder="1" applyAlignment="1">
      <alignment horizontal="center" vertical="center" wrapText="1"/>
    </xf>
    <xf numFmtId="0" fontId="11" fillId="0" borderId="106" xfId="0" applyFont="1" applyBorder="1" applyAlignment="1">
      <alignment horizontal="center" vertical="center" wrapText="1"/>
    </xf>
    <xf numFmtId="0" fontId="11" fillId="0" borderId="107" xfId="0" applyFont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/>
    </xf>
    <xf numFmtId="0" fontId="1" fillId="7" borderId="43" xfId="0" applyFont="1" applyFill="1" applyBorder="1" applyAlignment="1">
      <alignment horizontal="center"/>
    </xf>
    <xf numFmtId="0" fontId="1" fillId="7" borderId="48" xfId="0" applyFont="1" applyFill="1" applyBorder="1" applyAlignment="1">
      <alignment horizontal="center"/>
    </xf>
    <xf numFmtId="0" fontId="1" fillId="7" borderId="49" xfId="0" applyFont="1" applyFill="1" applyBorder="1" applyAlignment="1">
      <alignment horizontal="center"/>
    </xf>
    <xf numFmtId="0" fontId="1" fillId="7" borderId="79" xfId="0" applyFont="1" applyFill="1" applyBorder="1" applyAlignment="1">
      <alignment horizontal="center"/>
    </xf>
    <xf numFmtId="0" fontId="2" fillId="8" borderId="108" xfId="0" applyFont="1" applyFill="1" applyBorder="1" applyAlignment="1">
      <alignment horizontal="center"/>
    </xf>
    <xf numFmtId="0" fontId="2" fillId="8" borderId="94" xfId="0" applyFont="1" applyFill="1" applyBorder="1" applyAlignment="1">
      <alignment horizontal="center"/>
    </xf>
    <xf numFmtId="0" fontId="2" fillId="8" borderId="53" xfId="0" applyFont="1" applyFill="1" applyBorder="1" applyAlignment="1">
      <alignment horizontal="center"/>
    </xf>
    <xf numFmtId="183" fontId="2" fillId="8" borderId="38" xfId="0" applyNumberFormat="1" applyFont="1" applyFill="1" applyBorder="1" applyAlignment="1">
      <alignment horizontal="center"/>
    </xf>
    <xf numFmtId="0" fontId="1" fillId="8" borderId="38" xfId="0" applyFont="1" applyFill="1" applyBorder="1" applyAlignment="1">
      <alignment horizontal="center"/>
    </xf>
    <xf numFmtId="179" fontId="2" fillId="8" borderId="38" xfId="0" applyNumberFormat="1" applyFont="1" applyFill="1" applyBorder="1" applyAlignment="1">
      <alignment horizontal="center"/>
    </xf>
    <xf numFmtId="0" fontId="2" fillId="8" borderId="38" xfId="0" applyFont="1" applyFill="1" applyBorder="1" applyAlignment="1">
      <alignment horizontal="center"/>
    </xf>
    <xf numFmtId="182" fontId="2" fillId="8" borderId="38" xfId="0" applyNumberFormat="1" applyFont="1" applyFill="1" applyBorder="1" applyAlignment="1">
      <alignment horizontal="center"/>
    </xf>
    <xf numFmtId="0" fontId="1" fillId="8" borderId="79" xfId="0" applyFont="1" applyFill="1" applyBorder="1" applyAlignment="1">
      <alignment horizontal="center"/>
    </xf>
    <xf numFmtId="0" fontId="1" fillId="8" borderId="103" xfId="0" applyFont="1" applyFill="1" applyBorder="1" applyAlignment="1">
      <alignment horizontal="center"/>
    </xf>
    <xf numFmtId="0" fontId="1" fillId="8" borderId="37" xfId="0" applyFont="1" applyFill="1" applyBorder="1" applyAlignment="1">
      <alignment horizontal="center"/>
    </xf>
    <xf numFmtId="0" fontId="1" fillId="8" borderId="39" xfId="0" applyFont="1" applyFill="1" applyBorder="1" applyAlignment="1">
      <alignment horizontal="center"/>
    </xf>
    <xf numFmtId="0" fontId="1" fillId="8" borderId="40" xfId="0" applyFont="1" applyFill="1" applyBorder="1" applyAlignment="1">
      <alignment horizontal="center"/>
    </xf>
    <xf numFmtId="183" fontId="2" fillId="7" borderId="43" xfId="0" applyNumberFormat="1" applyFont="1" applyFill="1" applyBorder="1" applyAlignment="1">
      <alignment horizontal="center"/>
    </xf>
    <xf numFmtId="179" fontId="2" fillId="7" borderId="43" xfId="0" applyNumberFormat="1" applyFont="1" applyFill="1" applyBorder="1" applyAlignment="1">
      <alignment horizontal="center"/>
    </xf>
    <xf numFmtId="0" fontId="2" fillId="7" borderId="43" xfId="0" applyFont="1" applyFill="1" applyBorder="1" applyAlignment="1">
      <alignment horizontal="center"/>
    </xf>
    <xf numFmtId="182" fontId="2" fillId="7" borderId="43" xfId="0" applyNumberFormat="1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49" fontId="1" fillId="0" borderId="20" xfId="0" applyNumberFormat="1" applyFont="1" applyBorder="1" applyAlignment="1">
      <alignment horizontal="center"/>
    </xf>
    <xf numFmtId="183" fontId="1" fillId="0" borderId="20" xfId="0" applyNumberFormat="1" applyFont="1" applyBorder="1" applyAlignment="1">
      <alignment horizontal="center"/>
    </xf>
    <xf numFmtId="179" fontId="1" fillId="0" borderId="38" xfId="0" applyNumberFormat="1" applyFont="1" applyBorder="1" applyAlignment="1">
      <alignment horizontal="center"/>
    </xf>
    <xf numFmtId="181" fontId="1" fillId="0" borderId="38" xfId="0" applyNumberFormat="1" applyFont="1" applyBorder="1" applyAlignment="1">
      <alignment horizontal="center" vertical="center"/>
    </xf>
    <xf numFmtId="182" fontId="1" fillId="0" borderId="38" xfId="0" applyNumberFormat="1" applyFont="1" applyBorder="1" applyAlignment="1">
      <alignment horizontal="center"/>
    </xf>
    <xf numFmtId="0" fontId="11" fillId="0" borderId="13" xfId="0" applyFont="1" applyBorder="1" applyAlignment="1">
      <alignment horizontal="center" vertical="center" wrapText="1"/>
    </xf>
    <xf numFmtId="49" fontId="1" fillId="0" borderId="16" xfId="0" applyNumberFormat="1" applyFont="1" applyBorder="1" applyAlignment="1">
      <alignment horizontal="center"/>
    </xf>
    <xf numFmtId="49" fontId="1" fillId="0" borderId="30" xfId="0" applyNumberFormat="1" applyFont="1" applyBorder="1" applyAlignment="1">
      <alignment horizontal="center"/>
    </xf>
    <xf numFmtId="183" fontId="1" fillId="0" borderId="30" xfId="0" applyNumberFormat="1" applyFont="1" applyBorder="1" applyAlignment="1">
      <alignment horizontal="center"/>
    </xf>
    <xf numFmtId="2" fontId="1" fillId="0" borderId="75" xfId="0" applyNumberFormat="1" applyFont="1" applyBorder="1" applyAlignment="1">
      <alignment horizontal="center"/>
    </xf>
    <xf numFmtId="181" fontId="1" fillId="0" borderId="75" xfId="0" applyNumberFormat="1" applyFont="1" applyBorder="1" applyAlignment="1">
      <alignment horizontal="center" vertical="center"/>
    </xf>
    <xf numFmtId="179" fontId="11" fillId="0" borderId="109" xfId="0" applyNumberFormat="1" applyFont="1" applyBorder="1" applyAlignment="1">
      <alignment horizontal="center" vertical="center" wrapText="1"/>
    </xf>
    <xf numFmtId="0" fontId="11" fillId="0" borderId="110" xfId="0" applyFont="1" applyBorder="1" applyAlignment="1">
      <alignment horizontal="center" vertical="center" wrapText="1"/>
    </xf>
    <xf numFmtId="0" fontId="1" fillId="7" borderId="111" xfId="0" applyFont="1" applyFill="1" applyBorder="1" applyAlignment="1">
      <alignment horizontal="center"/>
    </xf>
    <xf numFmtId="2" fontId="1" fillId="0" borderId="43" xfId="0" applyNumberFormat="1" applyFont="1" applyBorder="1" applyAlignment="1">
      <alignment horizontal="center"/>
    </xf>
    <xf numFmtId="0" fontId="1" fillId="7" borderId="52" xfId="0" applyFont="1" applyFill="1" applyBorder="1" applyAlignment="1">
      <alignment horizontal="center"/>
    </xf>
    <xf numFmtId="0" fontId="1" fillId="7" borderId="80" xfId="0" applyFont="1" applyFill="1" applyBorder="1" applyAlignment="1">
      <alignment horizontal="center"/>
    </xf>
    <xf numFmtId="0" fontId="1" fillId="7" borderId="75" xfId="0" applyFont="1" applyFill="1" applyBorder="1" applyAlignment="1">
      <alignment horizontal="center"/>
    </xf>
    <xf numFmtId="0" fontId="1" fillId="7" borderId="78" xfId="0" applyFont="1" applyFill="1" applyBorder="1" applyAlignment="1">
      <alignment horizontal="center"/>
    </xf>
    <xf numFmtId="0" fontId="1" fillId="7" borderId="77" xfId="0" applyFont="1" applyFill="1" applyBorder="1" applyAlignment="1">
      <alignment horizontal="center"/>
    </xf>
    <xf numFmtId="183" fontId="2" fillId="8" borderId="34" xfId="0" applyNumberFormat="1" applyFont="1" applyFill="1" applyBorder="1" applyAlignment="1">
      <alignment horizontal="center"/>
    </xf>
    <xf numFmtId="0" fontId="1" fillId="8" borderId="34" xfId="0" applyFont="1" applyFill="1" applyBorder="1" applyAlignment="1">
      <alignment horizontal="center"/>
    </xf>
    <xf numFmtId="179" fontId="2" fillId="8" borderId="34" xfId="0" applyNumberFormat="1" applyFont="1" applyFill="1" applyBorder="1" applyAlignment="1">
      <alignment horizontal="center"/>
    </xf>
    <xf numFmtId="0" fontId="2" fillId="8" borderId="34" xfId="0" applyFont="1" applyFill="1" applyBorder="1" applyAlignment="1">
      <alignment horizontal="center"/>
    </xf>
    <xf numFmtId="182" fontId="2" fillId="8" borderId="34" xfId="0" applyNumberFormat="1" applyFont="1" applyFill="1" applyBorder="1" applyAlignment="1">
      <alignment horizontal="center"/>
    </xf>
    <xf numFmtId="0" fontId="1" fillId="8" borderId="35" xfId="0" applyFont="1" applyFill="1" applyBorder="1" applyAlignment="1">
      <alignment horizontal="center"/>
    </xf>
    <xf numFmtId="0" fontId="1" fillId="8" borderId="94" xfId="0" applyFont="1" applyFill="1" applyBorder="1" applyAlignment="1">
      <alignment horizontal="center"/>
    </xf>
    <xf numFmtId="0" fontId="1" fillId="8" borderId="33" xfId="0" applyFont="1" applyFill="1" applyBorder="1" applyAlignment="1">
      <alignment horizontal="center"/>
    </xf>
    <xf numFmtId="0" fontId="1" fillId="8" borderId="53" xfId="0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4" xfId="0" applyFont="1" applyFill="1" applyBorder="1" applyAlignment="1">
      <alignment horizontal="center"/>
    </xf>
    <xf numFmtId="183" fontId="2" fillId="3" borderId="34" xfId="0" applyNumberFormat="1" applyFont="1" applyFill="1" applyBorder="1" applyAlignment="1">
      <alignment horizontal="center"/>
    </xf>
    <xf numFmtId="179" fontId="2" fillId="3" borderId="34" xfId="0" applyNumberFormat="1" applyFont="1" applyFill="1" applyBorder="1" applyAlignment="1">
      <alignment horizontal="center"/>
    </xf>
    <xf numFmtId="0" fontId="2" fillId="3" borderId="34" xfId="0" applyFont="1" applyFill="1" applyBorder="1" applyAlignment="1">
      <alignment horizontal="center"/>
    </xf>
    <xf numFmtId="182" fontId="2" fillId="3" borderId="34" xfId="0" applyNumberFormat="1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0" fontId="1" fillId="3" borderId="94" xfId="0" applyFont="1" applyFill="1" applyBorder="1" applyAlignment="1">
      <alignment horizontal="center"/>
    </xf>
    <xf numFmtId="0" fontId="1" fillId="3" borderId="53" xfId="0" applyFont="1" applyFill="1" applyBorder="1" applyAlignment="1">
      <alignment horizontal="center"/>
    </xf>
    <xf numFmtId="181" fontId="1" fillId="0" borderId="15" xfId="0" applyNumberFormat="1" applyFont="1" applyBorder="1" applyAlignment="1">
      <alignment horizontal="center"/>
    </xf>
    <xf numFmtId="0" fontId="11" fillId="0" borderId="70" xfId="0" applyFont="1" applyBorder="1" applyAlignment="1">
      <alignment horizontal="center" vertical="center" wrapText="1"/>
    </xf>
    <xf numFmtId="179" fontId="2" fillId="4" borderId="34" xfId="0" applyNumberFormat="1" applyFont="1" applyFill="1" applyBorder="1" applyAlignment="1">
      <alignment horizontal="center"/>
    </xf>
    <xf numFmtId="0" fontId="1" fillId="0" borderId="112" xfId="0" applyFont="1" applyBorder="1" applyAlignment="1">
      <alignment horizontal="center"/>
    </xf>
    <xf numFmtId="187" fontId="1" fillId="0" borderId="26" xfId="0" applyNumberFormat="1" applyFont="1" applyBorder="1" applyAlignment="1">
      <alignment horizontal="center"/>
    </xf>
    <xf numFmtId="178" fontId="2" fillId="4" borderId="34" xfId="0" applyNumberFormat="1" applyFont="1" applyFill="1" applyBorder="1" applyAlignment="1">
      <alignment horizontal="center"/>
    </xf>
    <xf numFmtId="181" fontId="1" fillId="0" borderId="43" xfId="0" applyNumberFormat="1" applyFont="1" applyBorder="1" applyAlignment="1">
      <alignment horizontal="center"/>
    </xf>
    <xf numFmtId="0" fontId="1" fillId="4" borderId="78" xfId="0" applyFont="1" applyFill="1" applyBorder="1" applyAlignment="1">
      <alignment horizontal="center"/>
    </xf>
    <xf numFmtId="0" fontId="1" fillId="4" borderId="77" xfId="0" applyFont="1" applyFill="1" applyBorder="1" applyAlignment="1">
      <alignment horizontal="center"/>
    </xf>
    <xf numFmtId="0" fontId="1" fillId="0" borderId="33" xfId="0" applyFont="1" applyBorder="1" applyAlignment="1">
      <alignment horizontal="center"/>
    </xf>
    <xf numFmtId="58" fontId="1" fillId="0" borderId="34" xfId="0" applyNumberFormat="1" applyFont="1" applyBorder="1" applyAlignment="1">
      <alignment horizontal="center"/>
    </xf>
    <xf numFmtId="181" fontId="1" fillId="0" borderId="75" xfId="0" applyNumberFormat="1" applyFont="1" applyBorder="1" applyAlignment="1">
      <alignment horizontal="center"/>
    </xf>
    <xf numFmtId="178" fontId="1" fillId="0" borderId="0" xfId="0" applyNumberFormat="1" applyFont="1" applyAlignment="1">
      <alignment horizontal="center"/>
    </xf>
    <xf numFmtId="0" fontId="1" fillId="4" borderId="79" xfId="0" applyFont="1" applyFill="1" applyBorder="1" applyAlignment="1">
      <alignment horizontal="center"/>
    </xf>
    <xf numFmtId="0" fontId="2" fillId="9" borderId="108" xfId="0" applyFont="1" applyFill="1" applyBorder="1" applyAlignment="1">
      <alignment horizontal="center"/>
    </xf>
    <xf numFmtId="0" fontId="2" fillId="9" borderId="94" xfId="0" applyFont="1" applyFill="1" applyBorder="1" applyAlignment="1">
      <alignment horizontal="center"/>
    </xf>
    <xf numFmtId="0" fontId="2" fillId="9" borderId="53" xfId="0" applyFont="1" applyFill="1" applyBorder="1" applyAlignment="1">
      <alignment horizontal="center"/>
    </xf>
    <xf numFmtId="183" fontId="2" fillId="9" borderId="34" xfId="0" applyNumberFormat="1" applyFont="1" applyFill="1" applyBorder="1" applyAlignment="1">
      <alignment horizontal="center"/>
    </xf>
    <xf numFmtId="179" fontId="2" fillId="9" borderId="34" xfId="0" applyNumberFormat="1" applyFont="1" applyFill="1" applyBorder="1" applyAlignment="1">
      <alignment horizontal="center"/>
    </xf>
    <xf numFmtId="180" fontId="2" fillId="9" borderId="34" xfId="0" applyNumberFormat="1" applyFont="1" applyFill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182" fontId="2" fillId="9" borderId="34" xfId="0" applyNumberFormat="1" applyFont="1" applyFill="1" applyBorder="1" applyAlignment="1">
      <alignment horizontal="center"/>
    </xf>
    <xf numFmtId="0" fontId="1" fillId="9" borderId="94" xfId="0" applyFont="1" applyFill="1" applyBorder="1" applyAlignment="1">
      <alignment horizontal="center"/>
    </xf>
    <xf numFmtId="0" fontId="1" fillId="9" borderId="104" xfId="0" applyFont="1" applyFill="1" applyBorder="1" applyAlignment="1">
      <alignment horizontal="center"/>
    </xf>
    <xf numFmtId="0" fontId="1" fillId="9" borderId="33" xfId="0" applyFont="1" applyFill="1" applyBorder="1" applyAlignment="1">
      <alignment horizontal="center"/>
    </xf>
    <xf numFmtId="0" fontId="1" fillId="9" borderId="35" xfId="0" applyFont="1" applyFill="1" applyBorder="1" applyAlignment="1">
      <alignment horizontal="center"/>
    </xf>
    <xf numFmtId="0" fontId="1" fillId="9" borderId="53" xfId="0" applyFont="1" applyFill="1" applyBorder="1" applyAlignment="1">
      <alignment horizontal="center"/>
    </xf>
    <xf numFmtId="0" fontId="1" fillId="4" borderId="104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49" fontId="1" fillId="0" borderId="15" xfId="0" applyNumberFormat="1" applyFont="1" applyBorder="1" applyAlignment="1">
      <alignment horizontal="center"/>
    </xf>
    <xf numFmtId="178" fontId="1" fillId="0" borderId="15" xfId="0" applyNumberFormat="1" applyFont="1" applyBorder="1" applyAlignment="1">
      <alignment horizontal="center"/>
    </xf>
    <xf numFmtId="49" fontId="1" fillId="0" borderId="27" xfId="0" applyNumberFormat="1" applyFont="1" applyBorder="1" applyAlignment="1">
      <alignment horizontal="center"/>
    </xf>
    <xf numFmtId="178" fontId="1" fillId="0" borderId="27" xfId="0" applyNumberFormat="1" applyFont="1" applyBorder="1" applyAlignment="1">
      <alignment horizontal="center"/>
    </xf>
    <xf numFmtId="0" fontId="1" fillId="4" borderId="94" xfId="0" applyFont="1" applyFill="1" applyBorder="1" applyAlignment="1">
      <alignment horizontal="center"/>
    </xf>
    <xf numFmtId="0" fontId="1" fillId="0" borderId="113" xfId="0" applyFont="1" applyBorder="1" applyAlignment="1">
      <alignment horizontal="center"/>
    </xf>
    <xf numFmtId="0" fontId="11" fillId="0" borderId="114" xfId="0" applyFont="1" applyBorder="1" applyAlignment="1">
      <alignment horizontal="center" vertical="center" wrapText="1"/>
    </xf>
    <xf numFmtId="0" fontId="1" fillId="0" borderId="115" xfId="0" applyFont="1" applyBorder="1" applyAlignment="1">
      <alignment horizontal="center"/>
    </xf>
    <xf numFmtId="0" fontId="11" fillId="0" borderId="116" xfId="0" applyFont="1" applyBorder="1" applyAlignment="1">
      <alignment horizontal="center" vertical="center" wrapText="1"/>
    </xf>
    <xf numFmtId="0" fontId="11" fillId="0" borderId="117" xfId="0" applyFont="1" applyBorder="1" applyAlignment="1">
      <alignment horizontal="center" vertical="center" wrapText="1"/>
    </xf>
    <xf numFmtId="181" fontId="1" fillId="0" borderId="20" xfId="0" applyNumberFormat="1" applyFont="1" applyBorder="1" applyAlignment="1">
      <alignment horizontal="center"/>
    </xf>
    <xf numFmtId="183" fontId="2" fillId="4" borderId="75" xfId="0" applyNumberFormat="1" applyFont="1" applyFill="1" applyBorder="1" applyAlignment="1">
      <alignment horizontal="center"/>
    </xf>
    <xf numFmtId="179" fontId="2" fillId="4" borderId="75" xfId="0" applyNumberFormat="1" applyFont="1" applyFill="1" applyBorder="1" applyAlignment="1">
      <alignment horizontal="center"/>
    </xf>
    <xf numFmtId="180" fontId="2" fillId="4" borderId="75" xfId="0" applyNumberFormat="1" applyFont="1" applyFill="1" applyBorder="1" applyAlignment="1">
      <alignment horizontal="center"/>
    </xf>
    <xf numFmtId="182" fontId="2" fillId="4" borderId="75" xfId="0" applyNumberFormat="1" applyFont="1" applyFill="1" applyBorder="1" applyAlignment="1">
      <alignment horizontal="center"/>
    </xf>
    <xf numFmtId="0" fontId="1" fillId="4" borderId="92" xfId="0" applyFont="1" applyFill="1" applyBorder="1" applyAlignment="1">
      <alignment horizontal="center"/>
    </xf>
    <xf numFmtId="0" fontId="1" fillId="9" borderId="51" xfId="0" applyFont="1" applyFill="1" applyBorder="1" applyAlignment="1">
      <alignment horizontal="center"/>
    </xf>
    <xf numFmtId="0" fontId="1" fillId="9" borderId="52" xfId="0" applyFont="1" applyFill="1" applyBorder="1" applyAlignment="1">
      <alignment horizontal="center"/>
    </xf>
    <xf numFmtId="180" fontId="2" fillId="3" borderId="34" xfId="0" applyNumberFormat="1" applyFont="1" applyFill="1" applyBorder="1" applyAlignment="1">
      <alignment horizontal="center"/>
    </xf>
    <xf numFmtId="0" fontId="1" fillId="3" borderId="51" xfId="0" applyFont="1" applyFill="1" applyBorder="1" applyAlignment="1">
      <alignment horizontal="center"/>
    </xf>
    <xf numFmtId="0" fontId="1" fillId="3" borderId="52" xfId="0" applyFont="1" applyFill="1" applyBorder="1" applyAlignment="1">
      <alignment horizontal="center"/>
    </xf>
    <xf numFmtId="58" fontId="1" fillId="0" borderId="118" xfId="0" applyNumberFormat="1" applyFont="1" applyBorder="1" applyAlignment="1">
      <alignment horizontal="center"/>
    </xf>
    <xf numFmtId="179" fontId="1" fillId="0" borderId="119" xfId="0" applyNumberFormat="1" applyFont="1" applyBorder="1" applyAlignment="1">
      <alignment horizontal="center"/>
    </xf>
    <xf numFmtId="188" fontId="1" fillId="0" borderId="38" xfId="0" applyNumberFormat="1" applyFont="1" applyBorder="1" applyAlignment="1">
      <alignment horizontal="center" vertical="center"/>
    </xf>
    <xf numFmtId="189" fontId="1" fillId="0" borderId="118" xfId="0" applyNumberFormat="1" applyFont="1" applyBorder="1" applyAlignment="1">
      <alignment horizontal="center"/>
    </xf>
    <xf numFmtId="179" fontId="11" fillId="0" borderId="60" xfId="0" applyNumberFormat="1" applyFont="1" applyBorder="1" applyAlignment="1">
      <alignment horizontal="center" vertical="center" wrapText="1"/>
    </xf>
    <xf numFmtId="0" fontId="11" fillId="0" borderId="120" xfId="0" applyFont="1" applyBorder="1" applyAlignment="1">
      <alignment horizontal="center" vertical="center" wrapText="1"/>
    </xf>
    <xf numFmtId="188" fontId="1" fillId="0" borderId="15" xfId="0" applyNumberFormat="1" applyFont="1" applyBorder="1" applyAlignment="1">
      <alignment horizontal="center" vertical="center"/>
    </xf>
    <xf numFmtId="0" fontId="1" fillId="10" borderId="33" xfId="0" applyFont="1" applyFill="1" applyBorder="1" applyAlignment="1">
      <alignment horizontal="center"/>
    </xf>
    <xf numFmtId="0" fontId="1" fillId="10" borderId="34" xfId="0" applyFont="1" applyFill="1" applyBorder="1" applyAlignment="1">
      <alignment horizontal="center"/>
    </xf>
    <xf numFmtId="178" fontId="2" fillId="10" borderId="34" xfId="0" applyNumberFormat="1" applyFont="1" applyFill="1" applyBorder="1" applyAlignment="1">
      <alignment horizontal="center"/>
    </xf>
    <xf numFmtId="179" fontId="2" fillId="10" borderId="34" xfId="0" applyNumberFormat="1" applyFont="1" applyFill="1" applyBorder="1" applyAlignment="1">
      <alignment horizontal="center"/>
    </xf>
    <xf numFmtId="0" fontId="2" fillId="10" borderId="34" xfId="0" applyFont="1" applyFill="1" applyBorder="1" applyAlignment="1">
      <alignment horizontal="center"/>
    </xf>
    <xf numFmtId="189" fontId="2" fillId="10" borderId="34" xfId="0" applyNumberFormat="1" applyFont="1" applyFill="1" applyBorder="1" applyAlignment="1">
      <alignment horizontal="center"/>
    </xf>
    <xf numFmtId="0" fontId="1" fillId="10" borderId="51" xfId="0" applyFont="1" applyFill="1" applyBorder="1" applyAlignment="1">
      <alignment horizontal="center"/>
    </xf>
    <xf numFmtId="0" fontId="1" fillId="10" borderId="108" xfId="0" applyFont="1" applyFill="1" applyBorder="1" applyAlignment="1">
      <alignment horizontal="center"/>
    </xf>
    <xf numFmtId="0" fontId="1" fillId="10" borderId="35" xfId="0" applyFont="1" applyFill="1" applyBorder="1" applyAlignment="1">
      <alignment horizontal="center"/>
    </xf>
    <xf numFmtId="0" fontId="1" fillId="10" borderId="53" xfId="0" applyFont="1" applyFill="1" applyBorder="1" applyAlignment="1">
      <alignment horizontal="center"/>
    </xf>
    <xf numFmtId="178" fontId="2" fillId="8" borderId="34" xfId="0" applyNumberFormat="1" applyFont="1" applyFill="1" applyBorder="1" applyAlignment="1">
      <alignment horizontal="center"/>
    </xf>
    <xf numFmtId="189" fontId="2" fillId="8" borderId="34" xfId="0" applyNumberFormat="1" applyFont="1" applyFill="1" applyBorder="1" applyAlignment="1">
      <alignment horizontal="center"/>
    </xf>
    <xf numFmtId="0" fontId="1" fillId="8" borderId="51" xfId="0" applyFont="1" applyFill="1" applyBorder="1" applyAlignment="1">
      <alignment horizontal="center"/>
    </xf>
    <xf numFmtId="0" fontId="1" fillId="8" borderId="108" xfId="0" applyFont="1" applyFill="1" applyBorder="1" applyAlignment="1">
      <alignment horizontal="center"/>
    </xf>
    <xf numFmtId="188" fontId="1" fillId="0" borderId="20" xfId="0" applyNumberFormat="1" applyFont="1" applyBorder="1" applyAlignment="1">
      <alignment horizontal="center" vertical="center"/>
    </xf>
    <xf numFmtId="179" fontId="11" fillId="0" borderId="59" xfId="0" applyNumberFormat="1" applyFont="1" applyBorder="1" applyAlignment="1">
      <alignment horizontal="center" vertical="center" wrapText="1"/>
    </xf>
    <xf numFmtId="188" fontId="1" fillId="0" borderId="30" xfId="0" applyNumberFormat="1" applyFont="1" applyBorder="1" applyAlignment="1">
      <alignment horizontal="center" vertical="center"/>
    </xf>
    <xf numFmtId="178" fontId="1" fillId="0" borderId="20" xfId="0" applyNumberFormat="1" applyFont="1" applyBorder="1" applyAlignment="1">
      <alignment horizontal="center"/>
    </xf>
    <xf numFmtId="179" fontId="11" fillId="0" borderId="58" xfId="0" applyNumberFormat="1" applyFont="1" applyBorder="1" applyAlignment="1">
      <alignment horizontal="center" vertical="center" wrapText="1"/>
    </xf>
    <xf numFmtId="0" fontId="11" fillId="0" borderId="121" xfId="0" applyFont="1" applyBorder="1" applyAlignment="1">
      <alignment horizontal="center" vertical="center" wrapText="1"/>
    </xf>
    <xf numFmtId="188" fontId="1" fillId="0" borderId="27" xfId="0" applyNumberFormat="1" applyFont="1" applyBorder="1" applyAlignment="1">
      <alignment horizontal="center" vertical="center"/>
    </xf>
    <xf numFmtId="179" fontId="11" fillId="0" borderId="61" xfId="0" applyNumberFormat="1" applyFont="1" applyBorder="1" applyAlignment="1">
      <alignment horizontal="center" vertical="center" wrapText="1"/>
    </xf>
    <xf numFmtId="0" fontId="1" fillId="11" borderId="33" xfId="0" applyFont="1" applyFill="1" applyBorder="1" applyAlignment="1">
      <alignment horizontal="center"/>
    </xf>
    <xf numFmtId="0" fontId="1" fillId="11" borderId="34" xfId="0" applyFont="1" applyFill="1" applyBorder="1" applyAlignment="1">
      <alignment horizontal="center"/>
    </xf>
    <xf numFmtId="183" fontId="2" fillId="11" borderId="34" xfId="0" applyNumberFormat="1" applyFont="1" applyFill="1" applyBorder="1" applyAlignment="1">
      <alignment horizontal="center"/>
    </xf>
    <xf numFmtId="0" fontId="2" fillId="11" borderId="34" xfId="0" applyFont="1" applyFill="1" applyBorder="1" applyAlignment="1">
      <alignment horizontal="center"/>
    </xf>
    <xf numFmtId="179" fontId="2" fillId="11" borderId="34" xfId="0" applyNumberFormat="1" applyFont="1" applyFill="1" applyBorder="1" applyAlignment="1">
      <alignment horizontal="center"/>
    </xf>
    <xf numFmtId="189" fontId="2" fillId="11" borderId="34" xfId="0" applyNumberFormat="1" applyFont="1" applyFill="1" applyBorder="1" applyAlignment="1">
      <alignment horizontal="center"/>
    </xf>
    <xf numFmtId="0" fontId="1" fillId="11" borderId="35" xfId="0" applyFont="1" applyFill="1" applyBorder="1" applyAlignment="1">
      <alignment horizontal="center"/>
    </xf>
    <xf numFmtId="0" fontId="1" fillId="11" borderId="52" xfId="0" applyFont="1" applyFill="1" applyBorder="1" applyAlignment="1">
      <alignment horizontal="center"/>
    </xf>
    <xf numFmtId="0" fontId="1" fillId="11" borderId="53" xfId="0" applyFont="1" applyFill="1" applyBorder="1" applyAlignment="1">
      <alignment horizontal="center"/>
    </xf>
    <xf numFmtId="4" fontId="2" fillId="11" borderId="34" xfId="0" applyNumberFormat="1" applyFont="1" applyFill="1" applyBorder="1" applyAlignment="1">
      <alignment horizontal="center"/>
    </xf>
    <xf numFmtId="178" fontId="2" fillId="11" borderId="34" xfId="0" applyNumberFormat="1" applyFont="1" applyFill="1" applyBorder="1" applyAlignment="1">
      <alignment horizontal="center"/>
    </xf>
    <xf numFmtId="58" fontId="1" fillId="0" borderId="0" xfId="0" applyNumberFormat="1" applyFont="1" applyAlignment="1">
      <alignment horizontal="center"/>
    </xf>
    <xf numFmtId="0" fontId="1" fillId="11" borderId="51" xfId="0" applyFont="1" applyFill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8" borderId="52" xfId="0" applyFont="1" applyFill="1" applyBorder="1" applyAlignment="1">
      <alignment horizontal="center"/>
    </xf>
    <xf numFmtId="4" fontId="2" fillId="8" borderId="34" xfId="0" applyNumberFormat="1" applyFont="1" applyFill="1" applyBorder="1" applyAlignment="1">
      <alignment horizontal="center"/>
    </xf>
    <xf numFmtId="1" fontId="1" fillId="0" borderId="15" xfId="0" applyNumberFormat="1" applyFont="1" applyBorder="1" applyAlignment="1">
      <alignment horizontal="left"/>
    </xf>
    <xf numFmtId="0" fontId="2" fillId="0" borderId="15" xfId="0" applyFont="1" applyBorder="1" applyAlignment="1">
      <alignment horizontal="center"/>
    </xf>
    <xf numFmtId="1" fontId="1" fillId="0" borderId="16" xfId="0" applyNumberFormat="1" applyFont="1" applyBorder="1" applyAlignment="1">
      <alignment horizontal="left"/>
    </xf>
    <xf numFmtId="0" fontId="2" fillId="0" borderId="16" xfId="0" applyFont="1" applyBorder="1" applyAlignment="1">
      <alignment horizontal="center"/>
    </xf>
    <xf numFmtId="1" fontId="1" fillId="0" borderId="30" xfId="0" applyNumberFormat="1" applyFont="1" applyBorder="1" applyAlignment="1">
      <alignment horizontal="left"/>
    </xf>
    <xf numFmtId="0" fontId="11" fillId="0" borderId="122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/>
    </xf>
    <xf numFmtId="0" fontId="1" fillId="11" borderId="108" xfId="0" applyFont="1" applyFill="1" applyBorder="1" applyAlignment="1">
      <alignment horizontal="center"/>
    </xf>
    <xf numFmtId="0" fontId="1" fillId="11" borderId="94" xfId="0" applyFont="1" applyFill="1" applyBorder="1" applyAlignment="1">
      <alignment horizontal="center"/>
    </xf>
    <xf numFmtId="0" fontId="2" fillId="8" borderId="123" xfId="0" applyFont="1" applyFill="1" applyBorder="1" applyAlignment="1">
      <alignment horizontal="center"/>
    </xf>
    <xf numFmtId="0" fontId="2" fillId="8" borderId="79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189" fontId="2" fillId="8" borderId="38" xfId="0" applyNumberFormat="1" applyFont="1" applyFill="1" applyBorder="1" applyAlignment="1">
      <alignment horizontal="center"/>
    </xf>
    <xf numFmtId="0" fontId="1" fillId="8" borderId="124" xfId="0" applyFont="1" applyFill="1" applyBorder="1" applyAlignment="1">
      <alignment horizontal="center"/>
    </xf>
    <xf numFmtId="0" fontId="2" fillId="12" borderId="108" xfId="0" applyFont="1" applyFill="1" applyBorder="1" applyAlignment="1">
      <alignment horizontal="center"/>
    </xf>
    <xf numFmtId="0" fontId="2" fillId="12" borderId="94" xfId="0" applyFont="1" applyFill="1" applyBorder="1" applyAlignment="1">
      <alignment horizontal="center"/>
    </xf>
    <xf numFmtId="0" fontId="2" fillId="12" borderId="53" xfId="0" applyFont="1" applyFill="1" applyBorder="1" applyAlignment="1">
      <alignment horizontal="center"/>
    </xf>
    <xf numFmtId="183" fontId="2" fillId="12" borderId="34" xfId="0" applyNumberFormat="1" applyFont="1" applyFill="1" applyBorder="1" applyAlignment="1">
      <alignment horizontal="center"/>
    </xf>
    <xf numFmtId="0" fontId="1" fillId="12" borderId="34" xfId="0" applyFont="1" applyFill="1" applyBorder="1" applyAlignment="1">
      <alignment horizontal="center"/>
    </xf>
    <xf numFmtId="179" fontId="2" fillId="12" borderId="34" xfId="0" applyNumberFormat="1" applyFont="1" applyFill="1" applyBorder="1" applyAlignment="1">
      <alignment horizontal="center"/>
    </xf>
    <xf numFmtId="189" fontId="2" fillId="12" borderId="34" xfId="0" applyNumberFormat="1" applyFont="1" applyFill="1" applyBorder="1" applyAlignment="1">
      <alignment horizontal="center"/>
    </xf>
    <xf numFmtId="0" fontId="1" fillId="12" borderId="51" xfId="0" applyFont="1" applyFill="1" applyBorder="1" applyAlignment="1">
      <alignment horizontal="center"/>
    </xf>
    <xf numFmtId="0" fontId="1" fillId="12" borderId="52" xfId="0" applyFont="1" applyFill="1" applyBorder="1" applyAlignment="1">
      <alignment horizontal="center"/>
    </xf>
    <xf numFmtId="0" fontId="1" fillId="12" borderId="53" xfId="0" applyFont="1" applyFill="1" applyBorder="1" applyAlignment="1">
      <alignment horizontal="center"/>
    </xf>
    <xf numFmtId="4" fontId="2" fillId="12" borderId="34" xfId="0" applyNumberFormat="1" applyFont="1" applyFill="1" applyBorder="1" applyAlignment="1">
      <alignment horizontal="center"/>
    </xf>
    <xf numFmtId="178" fontId="2" fillId="12" borderId="34" xfId="0" applyNumberFormat="1" applyFont="1" applyFill="1" applyBorder="1" applyAlignment="1">
      <alignment horizontal="center"/>
    </xf>
    <xf numFmtId="0" fontId="1" fillId="12" borderId="35" xfId="0" applyFont="1" applyFill="1" applyBorder="1" applyAlignment="1">
      <alignment horizontal="center"/>
    </xf>
    <xf numFmtId="192" fontId="2" fillId="0" borderId="66" xfId="0" applyNumberFormat="1" applyFont="1" applyBorder="1" applyAlignment="1">
      <alignment horizontal="center" vertical="center"/>
    </xf>
    <xf numFmtId="184" fontId="2" fillId="0" borderId="70" xfId="0" applyNumberFormat="1" applyFont="1" applyBorder="1" applyAlignment="1">
      <alignment horizontal="center" vertical="center"/>
    </xf>
    <xf numFmtId="184" fontId="12" fillId="0" borderId="74" xfId="0" applyNumberFormat="1" applyFont="1" applyBorder="1" applyAlignment="1">
      <alignment horizontal="center" vertical="center"/>
    </xf>
    <xf numFmtId="0" fontId="13" fillId="13" borderId="0" xfId="0" applyFont="1" applyFill="1"/>
    <xf numFmtId="0" fontId="13" fillId="13" borderId="0" xfId="0" applyFont="1" applyFill="1" applyAlignment="1">
      <alignment horizontal="left"/>
    </xf>
    <xf numFmtId="178" fontId="13" fillId="13" borderId="0" xfId="0" applyNumberFormat="1" applyFont="1" applyFill="1" applyAlignment="1">
      <alignment horizontal="center"/>
    </xf>
    <xf numFmtId="3" fontId="13" fillId="13" borderId="0" xfId="0" applyNumberFormat="1" applyFont="1" applyFill="1" applyAlignment="1">
      <alignment horizontal="center"/>
    </xf>
    <xf numFmtId="1" fontId="13" fillId="13" borderId="0" xfId="0" applyNumberFormat="1" applyFont="1" applyFill="1" applyAlignment="1">
      <alignment horizontal="center" vertical="top"/>
    </xf>
    <xf numFmtId="193" fontId="13" fillId="13" borderId="0" xfId="0" applyNumberFormat="1" applyFont="1" applyFill="1" applyAlignment="1">
      <alignment horizontal="center" vertical="center"/>
    </xf>
    <xf numFmtId="0" fontId="14" fillId="13" borderId="0" xfId="0" applyFont="1" applyFill="1" applyAlignment="1">
      <alignment horizontal="center" vertical="center"/>
    </xf>
    <xf numFmtId="0" fontId="15" fillId="14" borderId="37" xfId="0" applyFont="1" applyFill="1" applyBorder="1" applyAlignment="1">
      <alignment horizontal="center" vertical="center"/>
    </xf>
    <xf numFmtId="0" fontId="15" fillId="14" borderId="38" xfId="0" applyFont="1" applyFill="1" applyBorder="1" applyAlignment="1">
      <alignment horizontal="center" vertical="center"/>
    </xf>
    <xf numFmtId="0" fontId="16" fillId="14" borderId="38" xfId="0" applyFont="1" applyFill="1" applyBorder="1" applyAlignment="1">
      <alignment horizontal="center" vertical="center"/>
    </xf>
    <xf numFmtId="3" fontId="15" fillId="14" borderId="38" xfId="0" applyNumberFormat="1" applyFont="1" applyFill="1" applyBorder="1" applyAlignment="1">
      <alignment horizontal="center" vertical="center"/>
    </xf>
    <xf numFmtId="194" fontId="15" fillId="14" borderId="38" xfId="2" applyNumberFormat="1" applyFont="1" applyFill="1" applyBorder="1" applyAlignment="1">
      <alignment horizontal="center" vertical="center"/>
    </xf>
    <xf numFmtId="1" fontId="15" fillId="14" borderId="39" xfId="0" applyNumberFormat="1" applyFont="1" applyFill="1" applyBorder="1" applyAlignment="1">
      <alignment horizontal="center" vertical="center"/>
    </xf>
    <xf numFmtId="1" fontId="15" fillId="13" borderId="0" xfId="0" applyNumberFormat="1" applyFont="1" applyFill="1" applyAlignment="1">
      <alignment horizontal="center" vertical="center"/>
    </xf>
    <xf numFmtId="3" fontId="15" fillId="15" borderId="33" xfId="0" applyNumberFormat="1" applyFont="1" applyFill="1" applyBorder="1" applyAlignment="1">
      <alignment horizontal="center" vertical="center"/>
    </xf>
    <xf numFmtId="3" fontId="15" fillId="15" borderId="34" xfId="0" applyNumberFormat="1" applyFont="1" applyFill="1" applyBorder="1" applyAlignment="1">
      <alignment horizontal="center" vertical="center"/>
    </xf>
    <xf numFmtId="194" fontId="15" fillId="15" borderId="34" xfId="2" applyNumberFormat="1" applyFont="1" applyFill="1" applyBorder="1" applyAlignment="1">
      <alignment horizontal="center" vertical="center"/>
    </xf>
    <xf numFmtId="1" fontId="15" fillId="15" borderId="35" xfId="0" applyNumberFormat="1" applyFont="1" applyFill="1" applyBorder="1" applyAlignment="1">
      <alignment horizontal="center" vertical="center"/>
    </xf>
    <xf numFmtId="0" fontId="17" fillId="13" borderId="19" xfId="0" applyFont="1" applyFill="1" applyBorder="1" applyAlignment="1">
      <alignment horizontal="center" vertical="center"/>
    </xf>
    <xf numFmtId="58" fontId="17" fillId="16" borderId="20" xfId="0" applyNumberFormat="1" applyFont="1" applyFill="1" applyBorder="1" applyAlignment="1">
      <alignment horizontal="center" vertical="center"/>
    </xf>
    <xf numFmtId="0" fontId="17" fillId="16" borderId="20" xfId="0" applyFont="1" applyFill="1" applyBorder="1" applyAlignment="1">
      <alignment horizontal="left" vertical="center"/>
    </xf>
    <xf numFmtId="178" fontId="18" fillId="16" borderId="20" xfId="0" applyNumberFormat="1" applyFont="1" applyFill="1" applyBorder="1" applyAlignment="1">
      <alignment horizontal="center" vertical="center"/>
    </xf>
    <xf numFmtId="195" fontId="19" fillId="16" borderId="20" xfId="0" applyNumberFormat="1" applyFont="1" applyFill="1" applyBorder="1" applyAlignment="1">
      <alignment horizontal="left" vertical="center"/>
    </xf>
    <xf numFmtId="196" fontId="20" fillId="16" borderId="20" xfId="0" applyNumberFormat="1" applyFont="1" applyFill="1" applyBorder="1" applyAlignment="1">
      <alignment horizontal="left" vertical="center"/>
    </xf>
    <xf numFmtId="197" fontId="21" fillId="16" borderId="20" xfId="0" applyNumberFormat="1" applyFont="1" applyFill="1" applyBorder="1" applyAlignment="1">
      <alignment horizontal="left" vertical="center"/>
    </xf>
    <xf numFmtId="196" fontId="20" fillId="16" borderId="21" xfId="0" applyNumberFormat="1" applyFont="1" applyFill="1" applyBorder="1" applyAlignment="1">
      <alignment horizontal="left" vertical="center"/>
    </xf>
    <xf numFmtId="194" fontId="22" fillId="16" borderId="0" xfId="2" applyNumberFormat="1" applyFont="1" applyFill="1" applyBorder="1" applyAlignment="1">
      <alignment horizontal="center" vertical="center"/>
    </xf>
    <xf numFmtId="198" fontId="19" fillId="16" borderId="19" xfId="0" applyNumberFormat="1" applyFont="1" applyFill="1" applyBorder="1" applyAlignment="1">
      <alignment horizontal="center" vertical="center"/>
    </xf>
    <xf numFmtId="194" fontId="23" fillId="16" borderId="20" xfId="2" applyNumberFormat="1" applyFont="1" applyFill="1" applyBorder="1" applyAlignment="1">
      <alignment horizontal="center" vertical="center"/>
    </xf>
    <xf numFmtId="194" fontId="24" fillId="16" borderId="20" xfId="2" applyNumberFormat="1" applyFont="1" applyFill="1" applyBorder="1" applyAlignment="1">
      <alignment horizontal="center" vertical="center"/>
    </xf>
    <xf numFmtId="194" fontId="25" fillId="16" borderId="21" xfId="2" applyNumberFormat="1" applyFont="1" applyFill="1" applyBorder="1" applyAlignment="1">
      <alignment horizontal="left" vertical="center"/>
    </xf>
    <xf numFmtId="0" fontId="17" fillId="13" borderId="24" xfId="0" applyFont="1" applyFill="1" applyBorder="1" applyAlignment="1">
      <alignment horizontal="center" vertical="center"/>
    </xf>
    <xf numFmtId="58" fontId="17" fillId="16" borderId="16" xfId="0" applyNumberFormat="1" applyFont="1" applyFill="1" applyBorder="1" applyAlignment="1">
      <alignment horizontal="center" vertical="center"/>
    </xf>
    <xf numFmtId="0" fontId="17" fillId="16" borderId="16" xfId="0" applyFont="1" applyFill="1" applyBorder="1" applyAlignment="1">
      <alignment horizontal="left" vertical="center"/>
    </xf>
    <xf numFmtId="178" fontId="18" fillId="16" borderId="16" xfId="0" applyNumberFormat="1" applyFont="1" applyFill="1" applyBorder="1" applyAlignment="1">
      <alignment horizontal="center" vertical="center"/>
    </xf>
    <xf numFmtId="195" fontId="19" fillId="16" borderId="16" xfId="0" applyNumberFormat="1" applyFont="1" applyFill="1" applyBorder="1" applyAlignment="1">
      <alignment horizontal="left" vertical="center"/>
    </xf>
    <xf numFmtId="196" fontId="20" fillId="16" borderId="16" xfId="0" applyNumberFormat="1" applyFont="1" applyFill="1" applyBorder="1" applyAlignment="1">
      <alignment horizontal="left" vertical="center"/>
    </xf>
    <xf numFmtId="196" fontId="21" fillId="16" borderId="16" xfId="0" applyNumberFormat="1" applyFont="1" applyFill="1" applyBorder="1" applyAlignment="1">
      <alignment horizontal="left" vertical="center"/>
    </xf>
    <xf numFmtId="196" fontId="20" fillId="16" borderId="25" xfId="0" applyNumberFormat="1" applyFont="1" applyFill="1" applyBorder="1" applyAlignment="1">
      <alignment horizontal="left" vertical="center"/>
    </xf>
    <xf numFmtId="198" fontId="19" fillId="16" borderId="24" xfId="0" applyNumberFormat="1" applyFont="1" applyFill="1" applyBorder="1" applyAlignment="1">
      <alignment horizontal="center" vertical="center"/>
    </xf>
    <xf numFmtId="194" fontId="23" fillId="16" borderId="16" xfId="2" applyNumberFormat="1" applyFont="1" applyFill="1" applyBorder="1" applyAlignment="1">
      <alignment horizontal="center" vertical="center"/>
    </xf>
    <xf numFmtId="194" fontId="24" fillId="16" borderId="15" xfId="2" applyNumberFormat="1" applyFont="1" applyFill="1" applyBorder="1" applyAlignment="1">
      <alignment horizontal="center" vertical="center"/>
    </xf>
    <xf numFmtId="194" fontId="25" fillId="16" borderId="25" xfId="2" applyNumberFormat="1" applyFont="1" applyFill="1" applyBorder="1" applyAlignment="1">
      <alignment horizontal="left" vertical="center"/>
    </xf>
    <xf numFmtId="0" fontId="13" fillId="13" borderId="16" xfId="0" applyFont="1" applyFill="1" applyBorder="1"/>
    <xf numFmtId="178" fontId="26" fillId="16" borderId="0" xfId="0" applyNumberFormat="1" applyFont="1" applyFill="1" applyAlignment="1">
      <alignment horizontal="center" vertical="center"/>
    </xf>
    <xf numFmtId="197" fontId="27" fillId="0" borderId="16" xfId="49" applyNumberFormat="1" applyFont="1" applyBorder="1" applyAlignment="1">
      <alignment vertical="center"/>
    </xf>
    <xf numFmtId="44" fontId="23" fillId="16" borderId="16" xfId="2" applyFont="1" applyFill="1" applyBorder="1" applyAlignment="1">
      <alignment horizontal="center" vertical="center"/>
    </xf>
    <xf numFmtId="197" fontId="28" fillId="0" borderId="16" xfId="49" applyNumberFormat="1" applyFont="1" applyBorder="1" applyAlignment="1">
      <alignment vertical="center"/>
    </xf>
    <xf numFmtId="197" fontId="21" fillId="16" borderId="16" xfId="0" applyNumberFormat="1" applyFont="1" applyFill="1" applyBorder="1" applyAlignment="1">
      <alignment horizontal="left" vertical="center"/>
    </xf>
    <xf numFmtId="197" fontId="13" fillId="13" borderId="0" xfId="0" applyNumberFormat="1" applyFont="1" applyFill="1"/>
    <xf numFmtId="0" fontId="16" fillId="13" borderId="29" xfId="0" applyFont="1" applyFill="1" applyBorder="1" applyAlignment="1">
      <alignment horizontal="center" vertical="center"/>
    </xf>
    <xf numFmtId="0" fontId="16" fillId="13" borderId="30" xfId="0" applyFont="1" applyFill="1" applyBorder="1" applyAlignment="1">
      <alignment horizontal="center" vertical="center"/>
    </xf>
    <xf numFmtId="0" fontId="16" fillId="13" borderId="30" xfId="0" applyFont="1" applyFill="1" applyBorder="1" applyAlignment="1">
      <alignment horizontal="left" vertical="center"/>
    </xf>
    <xf numFmtId="178" fontId="18" fillId="13" borderId="30" xfId="0" applyNumberFormat="1" applyFont="1" applyFill="1" applyBorder="1" applyAlignment="1">
      <alignment horizontal="center" vertical="center"/>
    </xf>
    <xf numFmtId="194" fontId="16" fillId="13" borderId="30" xfId="2" applyNumberFormat="1" applyFont="1" applyFill="1" applyBorder="1" applyAlignment="1">
      <alignment horizontal="center" vertical="center"/>
    </xf>
    <xf numFmtId="194" fontId="23" fillId="13" borderId="30" xfId="2" applyNumberFormat="1" applyFont="1" applyFill="1" applyBorder="1" applyAlignment="1">
      <alignment horizontal="center" vertical="center"/>
    </xf>
    <xf numFmtId="194" fontId="24" fillId="13" borderId="30" xfId="2" applyNumberFormat="1" applyFont="1" applyFill="1" applyBorder="1" applyAlignment="1">
      <alignment horizontal="center" vertical="center"/>
    </xf>
    <xf numFmtId="193" fontId="16" fillId="13" borderId="31" xfId="0" applyNumberFormat="1" applyFont="1" applyFill="1" applyBorder="1" applyAlignment="1">
      <alignment horizontal="center" vertical="center"/>
    </xf>
    <xf numFmtId="193" fontId="16" fillId="13" borderId="0" xfId="0" applyNumberFormat="1" applyFont="1" applyFill="1" applyAlignment="1">
      <alignment horizontal="center" vertical="center"/>
    </xf>
    <xf numFmtId="0" fontId="13" fillId="13" borderId="29" xfId="0" applyFont="1" applyFill="1" applyBorder="1"/>
    <xf numFmtId="0" fontId="13" fillId="13" borderId="30" xfId="0" applyFont="1" applyFill="1" applyBorder="1"/>
    <xf numFmtId="0" fontId="13" fillId="13" borderId="31" xfId="0" applyFont="1" applyFill="1" applyBorder="1"/>
    <xf numFmtId="0" fontId="13" fillId="16" borderId="0" xfId="0" applyFont="1" applyFill="1"/>
    <xf numFmtId="0" fontId="29" fillId="13" borderId="0" xfId="0" applyFont="1" applyFill="1" applyAlignment="1">
      <alignment horizontal="center" vertical="center"/>
    </xf>
    <xf numFmtId="0" fontId="15" fillId="15" borderId="37" xfId="0" applyFont="1" applyFill="1" applyBorder="1" applyAlignment="1">
      <alignment horizontal="center" vertical="center"/>
    </xf>
    <xf numFmtId="0" fontId="17" fillId="15" borderId="40" xfId="0" applyFont="1" applyFill="1" applyBorder="1" applyAlignment="1">
      <alignment horizontal="center" vertical="center" wrapText="1"/>
    </xf>
    <xf numFmtId="0" fontId="15" fillId="15" borderId="38" xfId="0" applyFont="1" applyFill="1" applyBorder="1" applyAlignment="1">
      <alignment horizontal="center" vertical="center"/>
    </xf>
    <xf numFmtId="0" fontId="16" fillId="15" borderId="38" xfId="0" applyFont="1" applyFill="1" applyBorder="1" applyAlignment="1">
      <alignment horizontal="center" vertical="center"/>
    </xf>
    <xf numFmtId="3" fontId="15" fillId="15" borderId="38" xfId="0" applyNumberFormat="1" applyFont="1" applyFill="1" applyBorder="1" applyAlignment="1">
      <alignment horizontal="center" vertical="center"/>
    </xf>
    <xf numFmtId="194" fontId="15" fillId="15" borderId="38" xfId="2" applyNumberFormat="1" applyFont="1" applyFill="1" applyBorder="1" applyAlignment="1">
      <alignment horizontal="center" vertical="center"/>
    </xf>
    <xf numFmtId="1" fontId="15" fillId="15" borderId="39" xfId="0" applyNumberFormat="1" applyFont="1" applyFill="1" applyBorder="1" applyAlignment="1">
      <alignment horizontal="center" vertical="center"/>
    </xf>
    <xf numFmtId="3" fontId="15" fillId="15" borderId="37" xfId="0" applyNumberFormat="1" applyFont="1" applyFill="1" applyBorder="1" applyAlignment="1">
      <alignment horizontal="center" vertical="center"/>
    </xf>
    <xf numFmtId="0" fontId="13" fillId="13" borderId="20" xfId="0" applyFont="1" applyFill="1" applyBorder="1"/>
    <xf numFmtId="194" fontId="22" fillId="16" borderId="20" xfId="2" applyNumberFormat="1" applyFont="1" applyFill="1" applyBorder="1" applyAlignment="1">
      <alignment horizontal="center" vertical="center"/>
    </xf>
    <xf numFmtId="198" fontId="19" fillId="16" borderId="20" xfId="0" applyNumberFormat="1" applyFont="1" applyFill="1" applyBorder="1" applyAlignment="1">
      <alignment horizontal="center" vertical="center"/>
    </xf>
    <xf numFmtId="0" fontId="17" fillId="13" borderId="16" xfId="0" applyFont="1" applyFill="1" applyBorder="1" applyAlignment="1">
      <alignment horizontal="center" vertical="center"/>
    </xf>
    <xf numFmtId="58" fontId="17" fillId="17" borderId="16" xfId="0" applyNumberFormat="1" applyFont="1" applyFill="1" applyBorder="1" applyAlignment="1">
      <alignment horizontal="center" vertical="center"/>
    </xf>
    <xf numFmtId="0" fontId="17" fillId="17" borderId="16" xfId="0" applyFont="1" applyFill="1" applyBorder="1" applyAlignment="1">
      <alignment horizontal="left" vertical="center"/>
    </xf>
    <xf numFmtId="178" fontId="18" fillId="17" borderId="16" xfId="0" applyNumberFormat="1" applyFont="1" applyFill="1" applyBorder="1" applyAlignment="1">
      <alignment horizontal="center" vertical="center"/>
    </xf>
    <xf numFmtId="196" fontId="30" fillId="16" borderId="16" xfId="0" applyNumberFormat="1" applyFont="1" applyFill="1" applyBorder="1" applyAlignment="1">
      <alignment horizontal="left" vertical="center"/>
    </xf>
    <xf numFmtId="197" fontId="31" fillId="16" borderId="16" xfId="0" applyNumberFormat="1" applyFont="1" applyFill="1" applyBorder="1" applyAlignment="1">
      <alignment horizontal="left" vertical="center"/>
    </xf>
    <xf numFmtId="194" fontId="22" fillId="16" borderId="16" xfId="2" applyNumberFormat="1" applyFont="1" applyFill="1" applyBorder="1" applyAlignment="1">
      <alignment horizontal="center" vertical="center"/>
    </xf>
    <xf numFmtId="198" fontId="26" fillId="16" borderId="16" xfId="0" applyNumberFormat="1" applyFont="1" applyFill="1" applyBorder="1" applyAlignment="1">
      <alignment horizontal="center" vertical="center"/>
    </xf>
    <xf numFmtId="194" fontId="24" fillId="16" borderId="16" xfId="2" applyNumberFormat="1" applyFont="1" applyFill="1" applyBorder="1" applyAlignment="1">
      <alignment horizontal="center" vertical="center"/>
    </xf>
    <xf numFmtId="195" fontId="26" fillId="16" borderId="16" xfId="0" applyNumberFormat="1" applyFont="1" applyFill="1" applyBorder="1" applyAlignment="1">
      <alignment horizontal="left" vertical="center"/>
    </xf>
    <xf numFmtId="196" fontId="31" fillId="16" borderId="16" xfId="0" applyNumberFormat="1" applyFont="1" applyFill="1" applyBorder="1" applyAlignment="1">
      <alignment horizontal="left" vertical="center"/>
    </xf>
    <xf numFmtId="199" fontId="13" fillId="13" borderId="0" xfId="0" applyNumberFormat="1" applyFont="1" applyFill="1"/>
    <xf numFmtId="58" fontId="17" fillId="18" borderId="16" xfId="0" applyNumberFormat="1" applyFont="1" applyFill="1" applyBorder="1" applyAlignment="1">
      <alignment horizontal="center" vertical="center"/>
    </xf>
    <xf numFmtId="0" fontId="17" fillId="18" borderId="16" xfId="0" applyFont="1" applyFill="1" applyBorder="1" applyAlignment="1">
      <alignment horizontal="left" vertical="center"/>
    </xf>
    <xf numFmtId="178" fontId="18" fillId="18" borderId="16" xfId="0" applyNumberFormat="1" applyFont="1" applyFill="1" applyBorder="1" applyAlignment="1">
      <alignment horizontal="center" vertical="center"/>
    </xf>
    <xf numFmtId="194" fontId="13" fillId="13" borderId="0" xfId="0" applyNumberFormat="1" applyFont="1" applyFill="1"/>
    <xf numFmtId="178" fontId="26" fillId="16" borderId="16" xfId="0" applyNumberFormat="1" applyFont="1" applyFill="1" applyBorder="1" applyAlignment="1">
      <alignment horizontal="center" vertical="center"/>
    </xf>
    <xf numFmtId="200" fontId="23" fillId="16" borderId="16" xfId="2" applyNumberFormat="1" applyFont="1" applyFill="1" applyBorder="1" applyAlignment="1">
      <alignment horizontal="center" vertical="center"/>
    </xf>
    <xf numFmtId="0" fontId="32" fillId="17" borderId="16" xfId="0" applyFont="1" applyFill="1" applyBorder="1"/>
    <xf numFmtId="0" fontId="13" fillId="17" borderId="16" xfId="0" applyFont="1" applyFill="1" applyBorder="1"/>
    <xf numFmtId="0" fontId="13" fillId="16" borderId="16" xfId="0" applyFont="1" applyFill="1" applyBorder="1"/>
    <xf numFmtId="0" fontId="32" fillId="13" borderId="16" xfId="0" applyFont="1" applyFill="1" applyBorder="1"/>
    <xf numFmtId="0" fontId="32" fillId="18" borderId="16" xfId="0" applyFont="1" applyFill="1" applyBorder="1"/>
    <xf numFmtId="0" fontId="13" fillId="18" borderId="16" xfId="0" applyFont="1" applyFill="1" applyBorder="1"/>
    <xf numFmtId="0" fontId="17" fillId="17" borderId="16" xfId="0" applyFont="1" applyFill="1" applyBorder="1" applyAlignment="1">
      <alignment horizontal="center" vertical="center"/>
    </xf>
    <xf numFmtId="196" fontId="13" fillId="16" borderId="16" xfId="0" applyNumberFormat="1" applyFont="1" applyFill="1" applyBorder="1"/>
    <xf numFmtId="0" fontId="17" fillId="18" borderId="16" xfId="0" applyFont="1" applyFill="1" applyBorder="1" applyAlignment="1">
      <alignment horizontal="center" vertical="center"/>
    </xf>
    <xf numFmtId="2" fontId="26" fillId="16" borderId="16" xfId="0" applyNumberFormat="1" applyFont="1" applyFill="1" applyBorder="1" applyAlignment="1">
      <alignment horizontal="center" vertical="center"/>
    </xf>
    <xf numFmtId="196" fontId="20" fillId="17" borderId="16" xfId="0" applyNumberFormat="1" applyFont="1" applyFill="1" applyBorder="1" applyAlignment="1">
      <alignment horizontal="left" vertical="center"/>
    </xf>
    <xf numFmtId="196" fontId="20" fillId="18" borderId="16" xfId="0" applyNumberFormat="1" applyFont="1" applyFill="1" applyBorder="1" applyAlignment="1">
      <alignment horizontal="left" vertical="center"/>
    </xf>
    <xf numFmtId="0" fontId="17" fillId="13" borderId="16" xfId="0" applyFont="1" applyFill="1" applyBorder="1" applyAlignment="1">
      <alignment horizontal="left" vertical="center"/>
    </xf>
    <xf numFmtId="0" fontId="17" fillId="13" borderId="27" xfId="0" applyFont="1" applyFill="1" applyBorder="1" applyAlignment="1">
      <alignment horizontal="center" vertical="center"/>
    </xf>
    <xf numFmtId="195" fontId="26" fillId="13" borderId="16" xfId="0" applyNumberFormat="1" applyFont="1" applyFill="1" applyBorder="1" applyAlignment="1">
      <alignment horizontal="left" vertical="center"/>
    </xf>
    <xf numFmtId="201" fontId="23" fillId="16" borderId="16" xfId="2" applyNumberFormat="1" applyFont="1" applyFill="1" applyBorder="1" applyAlignment="1">
      <alignment horizontal="center" vertical="center"/>
    </xf>
    <xf numFmtId="0" fontId="17" fillId="13" borderId="43" xfId="0" applyFont="1" applyFill="1" applyBorder="1" applyAlignment="1">
      <alignment horizontal="center" vertical="center"/>
    </xf>
    <xf numFmtId="178" fontId="13" fillId="18" borderId="16" xfId="0" applyNumberFormat="1" applyFont="1" applyFill="1" applyBorder="1" applyAlignment="1">
      <alignment horizontal="center"/>
    </xf>
    <xf numFmtId="197" fontId="13" fillId="18" borderId="16" xfId="0" applyNumberFormat="1" applyFont="1" applyFill="1" applyBorder="1"/>
    <xf numFmtId="0" fontId="17" fillId="13" borderId="15" xfId="0" applyFont="1" applyFill="1" applyBorder="1" applyAlignment="1">
      <alignment horizontal="center" vertical="center"/>
    </xf>
    <xf numFmtId="58" fontId="17" fillId="13" borderId="16" xfId="0" applyNumberFormat="1" applyFont="1" applyFill="1" applyBorder="1" applyAlignment="1">
      <alignment horizontal="center" vertical="center"/>
    </xf>
    <xf numFmtId="44" fontId="13" fillId="13" borderId="0" xfId="0" applyNumberFormat="1" applyFont="1" applyFill="1"/>
    <xf numFmtId="58" fontId="17" fillId="18" borderId="16" xfId="0" applyNumberFormat="1" applyFont="1" applyFill="1" applyBorder="1" applyAlignment="1">
      <alignment horizontal="center" vertical="center" wrapText="1"/>
    </xf>
    <xf numFmtId="196" fontId="30" fillId="16" borderId="0" xfId="0" applyNumberFormat="1" applyFont="1" applyFill="1" applyAlignment="1">
      <alignment horizontal="left" vertical="center"/>
    </xf>
    <xf numFmtId="58" fontId="17" fillId="17" borderId="16" xfId="0" applyNumberFormat="1" applyFont="1" applyFill="1" applyBorder="1" applyAlignment="1">
      <alignment horizontal="center" vertical="center" wrapText="1"/>
    </xf>
    <xf numFmtId="0" fontId="13" fillId="17" borderId="0" xfId="0" applyFont="1" applyFill="1"/>
    <xf numFmtId="194" fontId="13" fillId="16" borderId="0" xfId="0" applyNumberFormat="1" applyFont="1" applyFill="1"/>
    <xf numFmtId="178" fontId="18" fillId="17" borderId="17" xfId="0" applyNumberFormat="1" applyFont="1" applyFill="1" applyBorder="1" applyAlignment="1">
      <alignment horizontal="center" vertical="center"/>
    </xf>
    <xf numFmtId="0" fontId="17" fillId="16" borderId="16" xfId="0" applyFont="1" applyFill="1" applyBorder="1" applyAlignment="1">
      <alignment horizontal="center" vertical="center"/>
    </xf>
    <xf numFmtId="58" fontId="17" fillId="16" borderId="16" xfId="0" applyNumberFormat="1" applyFont="1" applyFill="1" applyBorder="1" applyAlignment="1">
      <alignment horizontal="center" vertical="center" wrapText="1"/>
    </xf>
    <xf numFmtId="178" fontId="18" fillId="16" borderId="17" xfId="0" applyNumberFormat="1" applyFont="1" applyFill="1" applyBorder="1" applyAlignment="1">
      <alignment horizontal="center" vertical="center"/>
    </xf>
    <xf numFmtId="196" fontId="33" fillId="19" borderId="16" xfId="0" applyNumberFormat="1" applyFont="1" applyFill="1" applyBorder="1" applyAlignment="1">
      <alignment horizontal="left" vertical="center"/>
    </xf>
    <xf numFmtId="0" fontId="17" fillId="16" borderId="27" xfId="0" applyFont="1" applyFill="1" applyBorder="1" applyAlignment="1">
      <alignment horizontal="center" vertical="center"/>
    </xf>
    <xf numFmtId="197" fontId="13" fillId="16" borderId="0" xfId="0" applyNumberFormat="1" applyFont="1" applyFill="1"/>
    <xf numFmtId="0" fontId="17" fillId="16" borderId="43" xfId="0" applyFont="1" applyFill="1" applyBorder="1" applyAlignment="1">
      <alignment horizontal="center" vertical="center"/>
    </xf>
    <xf numFmtId="199" fontId="13" fillId="16" borderId="0" xfId="0" applyNumberFormat="1" applyFont="1" applyFill="1"/>
    <xf numFmtId="44" fontId="13" fillId="16" borderId="0" xfId="0" applyNumberFormat="1" applyFont="1" applyFill="1"/>
    <xf numFmtId="0" fontId="17" fillId="16" borderId="15" xfId="0" applyFont="1" applyFill="1" applyBorder="1" applyAlignment="1">
      <alignment horizontal="center" vertical="center"/>
    </xf>
    <xf numFmtId="197" fontId="33" fillId="19" borderId="16" xfId="0" applyNumberFormat="1" applyFont="1" applyFill="1" applyBorder="1" applyAlignment="1">
      <alignment horizontal="left" vertical="center"/>
    </xf>
    <xf numFmtId="195" fontId="26" fillId="16" borderId="0" xfId="0" applyNumberFormat="1" applyFont="1" applyFill="1" applyAlignment="1">
      <alignment horizontal="left" vertical="center"/>
    </xf>
    <xf numFmtId="58" fontId="17" fillId="16" borderId="27" xfId="0" applyNumberFormat="1" applyFont="1" applyFill="1" applyBorder="1" applyAlignment="1">
      <alignment horizontal="center" vertical="center"/>
    </xf>
    <xf numFmtId="178" fontId="18" fillId="16" borderId="27" xfId="0" applyNumberFormat="1" applyFont="1" applyFill="1" applyBorder="1" applyAlignment="1">
      <alignment horizontal="center" vertical="center"/>
    </xf>
    <xf numFmtId="195" fontId="26" fillId="16" borderId="27" xfId="0" applyNumberFormat="1" applyFont="1" applyFill="1" applyBorder="1" applyAlignment="1">
      <alignment horizontal="left" vertical="center"/>
    </xf>
    <xf numFmtId="196" fontId="30" fillId="16" borderId="27" xfId="0" applyNumberFormat="1" applyFont="1" applyFill="1" applyBorder="1" applyAlignment="1">
      <alignment horizontal="left" vertical="center"/>
    </xf>
    <xf numFmtId="197" fontId="31" fillId="16" borderId="27" xfId="0" applyNumberFormat="1" applyFont="1" applyFill="1" applyBorder="1" applyAlignment="1">
      <alignment horizontal="left" vertical="center"/>
    </xf>
    <xf numFmtId="194" fontId="22" fillId="16" borderId="27" xfId="2" applyNumberFormat="1" applyFont="1" applyFill="1" applyBorder="1" applyAlignment="1">
      <alignment horizontal="center" vertical="center"/>
    </xf>
    <xf numFmtId="198" fontId="26" fillId="16" borderId="27" xfId="0" applyNumberFormat="1" applyFont="1" applyFill="1" applyBorder="1" applyAlignment="1">
      <alignment horizontal="center" vertical="center"/>
    </xf>
    <xf numFmtId="194" fontId="23" fillId="16" borderId="27" xfId="2" applyNumberFormat="1" applyFont="1" applyFill="1" applyBorder="1" applyAlignment="1">
      <alignment horizontal="center" vertical="center"/>
    </xf>
    <xf numFmtId="194" fontId="24" fillId="16" borderId="27" xfId="2" applyNumberFormat="1" applyFont="1" applyFill="1" applyBorder="1" applyAlignment="1">
      <alignment horizontal="center" vertical="center"/>
    </xf>
    <xf numFmtId="0" fontId="17" fillId="16" borderId="27" xfId="0" applyFont="1" applyFill="1" applyBorder="1" applyAlignment="1">
      <alignment horizontal="left" vertical="center"/>
    </xf>
    <xf numFmtId="196" fontId="31" fillId="16" borderId="27" xfId="0" applyNumberFormat="1" applyFont="1" applyFill="1" applyBorder="1" applyAlignment="1">
      <alignment horizontal="left" vertical="center"/>
    </xf>
    <xf numFmtId="193" fontId="16" fillId="13" borderId="30" xfId="0" applyNumberFormat="1" applyFont="1" applyFill="1" applyBorder="1" applyAlignment="1">
      <alignment horizontal="center" vertical="center"/>
    </xf>
    <xf numFmtId="196" fontId="20" fillId="16" borderId="0" xfId="0" applyNumberFormat="1" applyFont="1" applyFill="1" applyAlignment="1">
      <alignment horizontal="left" vertical="center"/>
    </xf>
    <xf numFmtId="0" fontId="34" fillId="14" borderId="0" xfId="0" applyFont="1" applyFill="1" applyAlignment="1">
      <alignment horizontal="center" vertical="center"/>
    </xf>
    <xf numFmtId="178" fontId="13" fillId="14" borderId="0" xfId="0" applyNumberFormat="1" applyFont="1" applyFill="1" applyAlignment="1">
      <alignment horizontal="center"/>
    </xf>
    <xf numFmtId="0" fontId="20" fillId="14" borderId="0" xfId="0" applyFont="1" applyFill="1" applyAlignment="1">
      <alignment horizontal="center" vertical="center"/>
    </xf>
    <xf numFmtId="0" fontId="16" fillId="16" borderId="27" xfId="0" applyFont="1" applyFill="1" applyBorder="1" applyAlignment="1">
      <alignment horizontal="left" vertical="center"/>
    </xf>
    <xf numFmtId="0" fontId="35" fillId="16" borderId="27" xfId="0" applyFont="1" applyFill="1" applyBorder="1" applyAlignment="1">
      <alignment horizontal="center" vertical="center"/>
    </xf>
    <xf numFmtId="0" fontId="36" fillId="16" borderId="27" xfId="2" applyNumberFormat="1" applyFont="1" applyFill="1" applyBorder="1" applyAlignment="1">
      <alignment horizontal="center" vertical="center"/>
    </xf>
    <xf numFmtId="44" fontId="16" fillId="16" borderId="27" xfId="2" applyFont="1" applyFill="1" applyBorder="1" applyAlignment="1">
      <alignment horizontal="center" vertical="center"/>
    </xf>
    <xf numFmtId="58" fontId="17" fillId="16" borderId="0" xfId="0" applyNumberFormat="1" applyFont="1" applyFill="1" applyAlignment="1">
      <alignment horizontal="center" vertical="center"/>
    </xf>
    <xf numFmtId="0" fontId="16" fillId="16" borderId="0" xfId="0" applyFont="1" applyFill="1" applyAlignment="1">
      <alignment horizontal="left" vertical="center"/>
    </xf>
    <xf numFmtId="0" fontId="17" fillId="16" borderId="0" xfId="0" applyFont="1" applyFill="1" applyAlignment="1">
      <alignment horizontal="center" vertical="center"/>
    </xf>
    <xf numFmtId="0" fontId="13" fillId="13" borderId="0" xfId="0" applyFont="1" applyFill="1" applyAlignment="1">
      <alignment horizontal="center"/>
    </xf>
    <xf numFmtId="0" fontId="16" fillId="13" borderId="0" xfId="0" applyFont="1" applyFill="1" applyAlignment="1">
      <alignment horizontal="center" vertical="center"/>
    </xf>
    <xf numFmtId="43" fontId="20" fillId="20" borderId="0" xfId="1" applyFont="1" applyFill="1" applyBorder="1" applyAlignment="1">
      <alignment horizontal="center"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Обычный 2 2" xfId="49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externalLink" Target="externalLinks/externalLink5.xml"/><Relationship Id="rId13" Type="http://schemas.openxmlformats.org/officeDocument/2006/relationships/externalLink" Target="externalLinks/externalLink4.xml"/><Relationship Id="rId12" Type="http://schemas.openxmlformats.org/officeDocument/2006/relationships/externalLink" Target="externalLinks/externalLink3.xml"/><Relationship Id="rId11" Type="http://schemas.openxmlformats.org/officeDocument/2006/relationships/externalLink" Target="externalLinks/externalLink2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F:\Users\fawad S G C\Downloads\Humor bnc (7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F:\Users\fawad S G C\Downloads\Humor bnc (2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F:\Users\fawad S G C\Downloads\2026 - Loading of Khumor - BNK (LAST)-1 (5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F:\Users\Ali Ahmad\Downloads\2026 - Loading of Khumor - BNK (LAST)-1 (8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F:\Users\Ali Ahmad\Downloads\2026 - Loading of Khumor - BNK (LAST)-1 (13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I-92-K5 -EURO"/>
      <sheetName val="ACCOUNT 2024-15M"/>
      <sheetName val="Add Agreement15-M-16"/>
      <sheetName val="Add Agreement M-17"/>
      <sheetName val="Add Agreement M-18"/>
      <sheetName val="Add Agreement M-19"/>
      <sheetName val="Add Agreement M-20"/>
      <sheetName val="Add Agreement M-21"/>
      <sheetName val="Add Agreement M-22"/>
      <sheetName val="23-М"/>
      <sheetName val="AddAgreement 24-C"/>
      <sheetName val="Add Agreement 25-H"/>
      <sheetName val="Add Agreement 26-M"/>
      <sheetName val="Add Agreement 27-M"/>
      <sheetName val="28-M"/>
      <sheetName val="29-H"/>
      <sheetName val="Add Agreement 30-M"/>
      <sheetName val="32-M"/>
      <sheetName val="33-М"/>
      <sheetName val="34-М"/>
      <sheetName val="Platts2025"/>
      <sheetName val="Acc AGR. M-16;17;18;19;20;21"/>
      <sheetName val="Vessels"/>
      <sheetName val="R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>
        <row r="34">
          <cell r="AD34">
            <v>651.880952380952</v>
          </cell>
        </row>
        <row r="34">
          <cell r="AH34">
            <v>634.764705882353</v>
          </cell>
        </row>
      </sheetData>
      <sheetData sheetId="21" refreshError="1"/>
      <sheetData sheetId="22" refreshError="1"/>
      <sheetData sheetId="23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I-92-K5 -EURO"/>
      <sheetName val="ACCOUNT 2024-15M"/>
      <sheetName val="Add Agreement15-M-16"/>
      <sheetName val="Add Agreement M-17"/>
      <sheetName val="Add Agreement M-18"/>
      <sheetName val="Add Agreement M-19"/>
      <sheetName val="Add Agreement M-20"/>
      <sheetName val="Add Agreement M-21"/>
      <sheetName val="Add Agreement M-22"/>
      <sheetName val="23-М"/>
      <sheetName val="AddAgreement 24-C"/>
      <sheetName val="Add Agreement 25-H"/>
      <sheetName val="Add Agreement 26-M"/>
      <sheetName val="Add Agreement 27-M"/>
      <sheetName val="28-M"/>
      <sheetName val="29-H"/>
      <sheetName val="Add Agreement 30-M"/>
      <sheetName val="32-M"/>
      <sheetName val="33-М"/>
      <sheetName val=" 34-M AI-92"/>
      <sheetName val="35-М Diesel DT-E-K5"/>
      <sheetName val="Platts2025"/>
      <sheetName val="Platt's 2026"/>
      <sheetName val="Acc AGR. M-16;17;18;19;20;21"/>
      <sheetName val="Vessels"/>
      <sheetName val="R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>
        <row r="34">
          <cell r="B34">
            <v>641.681818181818</v>
          </cell>
        </row>
      </sheetData>
      <sheetData sheetId="23" refreshError="1"/>
      <sheetData sheetId="24" refreshError="1"/>
      <sheetData sheetId="25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33-М"/>
      <sheetName val=" 34-M AI-92"/>
      <sheetName val="35-М Diesel DT-E-K5"/>
      <sheetName val="37-М AI-92 15000"/>
      <sheetName val="Platt's 2026"/>
      <sheetName val="Vessels"/>
      <sheetName val="R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31">
          <cell r="O31">
            <v>683.925</v>
          </cell>
        </row>
        <row r="34">
          <cell r="F34">
            <v>634.363636363636</v>
          </cell>
        </row>
      </sheetData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33-М"/>
      <sheetName val=" 34-M AI-92"/>
      <sheetName val="35-М Diesel DT-E-K5"/>
      <sheetName val="37-М AI-92 15000"/>
      <sheetName val="38-М "/>
      <sheetName val="39-М"/>
      <sheetName val="Platt's 2026"/>
      <sheetName val="Vessels"/>
      <sheetName val="R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33">
          <cell r="V33">
            <v>1060.0125</v>
          </cell>
        </row>
      </sheetData>
      <sheetData sheetId="7" refreshError="1"/>
      <sheetData sheetId="8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33-М"/>
      <sheetName val=" 34-M AI-92"/>
      <sheetName val="35-М Diesel DT-E-K5"/>
      <sheetName val="37-М AI-92 15000"/>
      <sheetName val="38-М "/>
      <sheetName val="39-М"/>
      <sheetName val="Platt's 2026"/>
      <sheetName val="Vessels"/>
      <sheetName val="R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34">
          <cell r="Z34">
            <v>1127.14473684211</v>
          </cell>
        </row>
      </sheetData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4"/>
  <sheetViews>
    <sheetView zoomScale="115" zoomScaleNormal="115" workbookViewId="0">
      <pane xSplit="12" ySplit="11" topLeftCell="M162" activePane="bottomRight" state="frozen"/>
      <selection/>
      <selection pane="topRight"/>
      <selection pane="bottomLeft"/>
      <selection pane="bottomRight" activeCell="M165" sqref="M165"/>
    </sheetView>
  </sheetViews>
  <sheetFormatPr defaultColWidth="9" defaultRowHeight="12.75"/>
  <cols>
    <col min="1" max="1" width="4.57142857142857" style="491" customWidth="1"/>
    <col min="2" max="2" width="5.85714285714286" style="491" customWidth="1"/>
    <col min="3" max="3" width="10.1428571428571" style="491" customWidth="1"/>
    <col min="4" max="4" width="36.4285714285714" style="492" customWidth="1"/>
    <col min="5" max="5" width="10.7142857142857" style="493" customWidth="1"/>
    <col min="6" max="6" width="18.8571428571429" style="493" customWidth="1"/>
    <col min="7" max="7" width="14" style="494" customWidth="1"/>
    <col min="8" max="8" width="23.8571428571429" style="495" customWidth="1"/>
    <col min="9" max="9" width="15.1428571428571" style="496" customWidth="1"/>
    <col min="10" max="10" width="0.428571428571429" style="496" customWidth="1"/>
    <col min="11" max="11" width="9.42857142857143" style="491" customWidth="1"/>
    <col min="12" max="12" width="14.4285714285714" style="491" customWidth="1"/>
    <col min="13" max="13" width="13.2857142857143" style="491" customWidth="1"/>
    <col min="14" max="14" width="14.4285714285714" style="491" customWidth="1"/>
    <col min="15" max="15" width="1.71428571428571" style="491" customWidth="1"/>
    <col min="16" max="16" width="15.7142857142857" style="491" customWidth="1"/>
    <col min="17" max="17" width="14.7142857142857" style="491" customWidth="1"/>
    <col min="18" max="19" width="8.85714285714286" style="491"/>
    <col min="20" max="20" width="12.8571428571429" style="491"/>
    <col min="21" max="21" width="16.4285714285714" style="491" customWidth="1"/>
    <col min="22" max="22" width="15.7142857142857" style="491" customWidth="1"/>
    <col min="23" max="250" width="8.85714285714286" style="491"/>
    <col min="251" max="251" width="5.57142857142857" style="491" customWidth="1"/>
    <col min="252" max="252" width="9.28571428571429" style="491" customWidth="1"/>
    <col min="253" max="253" width="24.7142857142857" style="491" customWidth="1"/>
    <col min="254" max="254" width="11" style="491" customWidth="1"/>
    <col min="255" max="255" width="7.57142857142857" style="491" customWidth="1"/>
    <col min="256" max="256" width="13.5714285714286" style="491" customWidth="1"/>
    <col min="257" max="257" width="5.42857142857143" style="491" customWidth="1"/>
    <col min="258" max="258" width="11.2857142857143" style="491" customWidth="1"/>
    <col min="259" max="259" width="5.71428571428571" style="491" customWidth="1"/>
    <col min="260" max="260" width="12" style="491" customWidth="1"/>
    <col min="261" max="261" width="15.4285714285714" style="491" customWidth="1"/>
    <col min="262" max="263" width="15.1428571428571" style="491" customWidth="1"/>
    <col min="264" max="264" width="14.2857142857143" style="491" customWidth="1"/>
    <col min="265" max="265" width="3.14285714285714" style="491" customWidth="1"/>
    <col min="266" max="266" width="6.42857142857143" style="491" customWidth="1"/>
    <col min="267" max="506" width="8.85714285714286" style="491"/>
    <col min="507" max="507" width="5.57142857142857" style="491" customWidth="1"/>
    <col min="508" max="508" width="9.28571428571429" style="491" customWidth="1"/>
    <col min="509" max="509" width="24.7142857142857" style="491" customWidth="1"/>
    <col min="510" max="510" width="11" style="491" customWidth="1"/>
    <col min="511" max="511" width="7.57142857142857" style="491" customWidth="1"/>
    <col min="512" max="512" width="13.5714285714286" style="491" customWidth="1"/>
    <col min="513" max="513" width="5.42857142857143" style="491" customWidth="1"/>
    <col min="514" max="514" width="11.2857142857143" style="491" customWidth="1"/>
    <col min="515" max="515" width="5.71428571428571" style="491" customWidth="1"/>
    <col min="516" max="516" width="12" style="491" customWidth="1"/>
    <col min="517" max="517" width="15.4285714285714" style="491" customWidth="1"/>
    <col min="518" max="519" width="15.1428571428571" style="491" customWidth="1"/>
    <col min="520" max="520" width="14.2857142857143" style="491" customWidth="1"/>
    <col min="521" max="521" width="3.14285714285714" style="491" customWidth="1"/>
    <col min="522" max="522" width="6.42857142857143" style="491" customWidth="1"/>
    <col min="523" max="762" width="8.85714285714286" style="491"/>
    <col min="763" max="763" width="5.57142857142857" style="491" customWidth="1"/>
    <col min="764" max="764" width="9.28571428571429" style="491" customWidth="1"/>
    <col min="765" max="765" width="24.7142857142857" style="491" customWidth="1"/>
    <col min="766" max="766" width="11" style="491" customWidth="1"/>
    <col min="767" max="767" width="7.57142857142857" style="491" customWidth="1"/>
    <col min="768" max="768" width="13.5714285714286" style="491" customWidth="1"/>
    <col min="769" max="769" width="5.42857142857143" style="491" customWidth="1"/>
    <col min="770" max="770" width="11.2857142857143" style="491" customWidth="1"/>
    <col min="771" max="771" width="5.71428571428571" style="491" customWidth="1"/>
    <col min="772" max="772" width="12" style="491" customWidth="1"/>
    <col min="773" max="773" width="15.4285714285714" style="491" customWidth="1"/>
    <col min="774" max="775" width="15.1428571428571" style="491" customWidth="1"/>
    <col min="776" max="776" width="14.2857142857143" style="491" customWidth="1"/>
    <col min="777" max="777" width="3.14285714285714" style="491" customWidth="1"/>
    <col min="778" max="778" width="6.42857142857143" style="491" customWidth="1"/>
    <col min="779" max="1018" width="8.85714285714286" style="491"/>
    <col min="1019" max="1019" width="5.57142857142857" style="491" customWidth="1"/>
    <col min="1020" max="1020" width="9.28571428571429" style="491" customWidth="1"/>
    <col min="1021" max="1021" width="24.7142857142857" style="491" customWidth="1"/>
    <col min="1022" max="1022" width="11" style="491" customWidth="1"/>
    <col min="1023" max="1023" width="7.57142857142857" style="491" customWidth="1"/>
    <col min="1024" max="1024" width="13.5714285714286" style="491" customWidth="1"/>
    <col min="1025" max="1025" width="5.42857142857143" style="491" customWidth="1"/>
    <col min="1026" max="1026" width="11.2857142857143" style="491" customWidth="1"/>
    <col min="1027" max="1027" width="5.71428571428571" style="491" customWidth="1"/>
    <col min="1028" max="1028" width="12" style="491" customWidth="1"/>
    <col min="1029" max="1029" width="15.4285714285714" style="491" customWidth="1"/>
    <col min="1030" max="1031" width="15.1428571428571" style="491" customWidth="1"/>
    <col min="1032" max="1032" width="14.2857142857143" style="491" customWidth="1"/>
    <col min="1033" max="1033" width="3.14285714285714" style="491" customWidth="1"/>
    <col min="1034" max="1034" width="6.42857142857143" style="491" customWidth="1"/>
    <col min="1035" max="1274" width="8.85714285714286" style="491"/>
    <col min="1275" max="1275" width="5.57142857142857" style="491" customWidth="1"/>
    <col min="1276" max="1276" width="9.28571428571429" style="491" customWidth="1"/>
    <col min="1277" max="1277" width="24.7142857142857" style="491" customWidth="1"/>
    <col min="1278" max="1278" width="11" style="491" customWidth="1"/>
    <col min="1279" max="1279" width="7.57142857142857" style="491" customWidth="1"/>
    <col min="1280" max="1280" width="13.5714285714286" style="491" customWidth="1"/>
    <col min="1281" max="1281" width="5.42857142857143" style="491" customWidth="1"/>
    <col min="1282" max="1282" width="11.2857142857143" style="491" customWidth="1"/>
    <col min="1283" max="1283" width="5.71428571428571" style="491" customWidth="1"/>
    <col min="1284" max="1284" width="12" style="491" customWidth="1"/>
    <col min="1285" max="1285" width="15.4285714285714" style="491" customWidth="1"/>
    <col min="1286" max="1287" width="15.1428571428571" style="491" customWidth="1"/>
    <col min="1288" max="1288" width="14.2857142857143" style="491" customWidth="1"/>
    <col min="1289" max="1289" width="3.14285714285714" style="491" customWidth="1"/>
    <col min="1290" max="1290" width="6.42857142857143" style="491" customWidth="1"/>
    <col min="1291" max="1530" width="8.85714285714286" style="491"/>
    <col min="1531" max="1531" width="5.57142857142857" style="491" customWidth="1"/>
    <col min="1532" max="1532" width="9.28571428571429" style="491" customWidth="1"/>
    <col min="1533" max="1533" width="24.7142857142857" style="491" customWidth="1"/>
    <col min="1534" max="1534" width="11" style="491" customWidth="1"/>
    <col min="1535" max="1535" width="7.57142857142857" style="491" customWidth="1"/>
    <col min="1536" max="1536" width="13.5714285714286" style="491" customWidth="1"/>
    <col min="1537" max="1537" width="5.42857142857143" style="491" customWidth="1"/>
    <col min="1538" max="1538" width="11.2857142857143" style="491" customWidth="1"/>
    <col min="1539" max="1539" width="5.71428571428571" style="491" customWidth="1"/>
    <col min="1540" max="1540" width="12" style="491" customWidth="1"/>
    <col min="1541" max="1541" width="15.4285714285714" style="491" customWidth="1"/>
    <col min="1542" max="1543" width="15.1428571428571" style="491" customWidth="1"/>
    <col min="1544" max="1544" width="14.2857142857143" style="491" customWidth="1"/>
    <col min="1545" max="1545" width="3.14285714285714" style="491" customWidth="1"/>
    <col min="1546" max="1546" width="6.42857142857143" style="491" customWidth="1"/>
    <col min="1547" max="1786" width="8.85714285714286" style="491"/>
    <col min="1787" max="1787" width="5.57142857142857" style="491" customWidth="1"/>
    <col min="1788" max="1788" width="9.28571428571429" style="491" customWidth="1"/>
    <col min="1789" max="1789" width="24.7142857142857" style="491" customWidth="1"/>
    <col min="1790" max="1790" width="11" style="491" customWidth="1"/>
    <col min="1791" max="1791" width="7.57142857142857" style="491" customWidth="1"/>
    <col min="1792" max="1792" width="13.5714285714286" style="491" customWidth="1"/>
    <col min="1793" max="1793" width="5.42857142857143" style="491" customWidth="1"/>
    <col min="1794" max="1794" width="11.2857142857143" style="491" customWidth="1"/>
    <col min="1795" max="1795" width="5.71428571428571" style="491" customWidth="1"/>
    <col min="1796" max="1796" width="12" style="491" customWidth="1"/>
    <col min="1797" max="1797" width="15.4285714285714" style="491" customWidth="1"/>
    <col min="1798" max="1799" width="15.1428571428571" style="491" customWidth="1"/>
    <col min="1800" max="1800" width="14.2857142857143" style="491" customWidth="1"/>
    <col min="1801" max="1801" width="3.14285714285714" style="491" customWidth="1"/>
    <col min="1802" max="1802" width="6.42857142857143" style="491" customWidth="1"/>
    <col min="1803" max="2042" width="8.85714285714286" style="491"/>
    <col min="2043" max="2043" width="5.57142857142857" style="491" customWidth="1"/>
    <col min="2044" max="2044" width="9.28571428571429" style="491" customWidth="1"/>
    <col min="2045" max="2045" width="24.7142857142857" style="491" customWidth="1"/>
    <col min="2046" max="2046" width="11" style="491" customWidth="1"/>
    <col min="2047" max="2047" width="7.57142857142857" style="491" customWidth="1"/>
    <col min="2048" max="2048" width="13.5714285714286" style="491" customWidth="1"/>
    <col min="2049" max="2049" width="5.42857142857143" style="491" customWidth="1"/>
    <col min="2050" max="2050" width="11.2857142857143" style="491" customWidth="1"/>
    <col min="2051" max="2051" width="5.71428571428571" style="491" customWidth="1"/>
    <col min="2052" max="2052" width="12" style="491" customWidth="1"/>
    <col min="2053" max="2053" width="15.4285714285714" style="491" customWidth="1"/>
    <col min="2054" max="2055" width="15.1428571428571" style="491" customWidth="1"/>
    <col min="2056" max="2056" width="14.2857142857143" style="491" customWidth="1"/>
    <col min="2057" max="2057" width="3.14285714285714" style="491" customWidth="1"/>
    <col min="2058" max="2058" width="6.42857142857143" style="491" customWidth="1"/>
    <col min="2059" max="2298" width="8.85714285714286" style="491"/>
    <col min="2299" max="2299" width="5.57142857142857" style="491" customWidth="1"/>
    <col min="2300" max="2300" width="9.28571428571429" style="491" customWidth="1"/>
    <col min="2301" max="2301" width="24.7142857142857" style="491" customWidth="1"/>
    <col min="2302" max="2302" width="11" style="491" customWidth="1"/>
    <col min="2303" max="2303" width="7.57142857142857" style="491" customWidth="1"/>
    <col min="2304" max="2304" width="13.5714285714286" style="491" customWidth="1"/>
    <col min="2305" max="2305" width="5.42857142857143" style="491" customWidth="1"/>
    <col min="2306" max="2306" width="11.2857142857143" style="491" customWidth="1"/>
    <col min="2307" max="2307" width="5.71428571428571" style="491" customWidth="1"/>
    <col min="2308" max="2308" width="12" style="491" customWidth="1"/>
    <col min="2309" max="2309" width="15.4285714285714" style="491" customWidth="1"/>
    <col min="2310" max="2311" width="15.1428571428571" style="491" customWidth="1"/>
    <col min="2312" max="2312" width="14.2857142857143" style="491" customWidth="1"/>
    <col min="2313" max="2313" width="3.14285714285714" style="491" customWidth="1"/>
    <col min="2314" max="2314" width="6.42857142857143" style="491" customWidth="1"/>
    <col min="2315" max="2554" width="8.85714285714286" style="491"/>
    <col min="2555" max="2555" width="5.57142857142857" style="491" customWidth="1"/>
    <col min="2556" max="2556" width="9.28571428571429" style="491" customWidth="1"/>
    <col min="2557" max="2557" width="24.7142857142857" style="491" customWidth="1"/>
    <col min="2558" max="2558" width="11" style="491" customWidth="1"/>
    <col min="2559" max="2559" width="7.57142857142857" style="491" customWidth="1"/>
    <col min="2560" max="2560" width="13.5714285714286" style="491" customWidth="1"/>
    <col min="2561" max="2561" width="5.42857142857143" style="491" customWidth="1"/>
    <col min="2562" max="2562" width="11.2857142857143" style="491" customWidth="1"/>
    <col min="2563" max="2563" width="5.71428571428571" style="491" customWidth="1"/>
    <col min="2564" max="2564" width="12" style="491" customWidth="1"/>
    <col min="2565" max="2565" width="15.4285714285714" style="491" customWidth="1"/>
    <col min="2566" max="2567" width="15.1428571428571" style="491" customWidth="1"/>
    <col min="2568" max="2568" width="14.2857142857143" style="491" customWidth="1"/>
    <col min="2569" max="2569" width="3.14285714285714" style="491" customWidth="1"/>
    <col min="2570" max="2570" width="6.42857142857143" style="491" customWidth="1"/>
    <col min="2571" max="2810" width="8.85714285714286" style="491"/>
    <col min="2811" max="2811" width="5.57142857142857" style="491" customWidth="1"/>
    <col min="2812" max="2812" width="9.28571428571429" style="491" customWidth="1"/>
    <col min="2813" max="2813" width="24.7142857142857" style="491" customWidth="1"/>
    <col min="2814" max="2814" width="11" style="491" customWidth="1"/>
    <col min="2815" max="2815" width="7.57142857142857" style="491" customWidth="1"/>
    <col min="2816" max="2816" width="13.5714285714286" style="491" customWidth="1"/>
    <col min="2817" max="2817" width="5.42857142857143" style="491" customWidth="1"/>
    <col min="2818" max="2818" width="11.2857142857143" style="491" customWidth="1"/>
    <col min="2819" max="2819" width="5.71428571428571" style="491" customWidth="1"/>
    <col min="2820" max="2820" width="12" style="491" customWidth="1"/>
    <col min="2821" max="2821" width="15.4285714285714" style="491" customWidth="1"/>
    <col min="2822" max="2823" width="15.1428571428571" style="491" customWidth="1"/>
    <col min="2824" max="2824" width="14.2857142857143" style="491" customWidth="1"/>
    <col min="2825" max="2825" width="3.14285714285714" style="491" customWidth="1"/>
    <col min="2826" max="2826" width="6.42857142857143" style="491" customWidth="1"/>
    <col min="2827" max="3066" width="8.85714285714286" style="491"/>
    <col min="3067" max="3067" width="5.57142857142857" style="491" customWidth="1"/>
    <col min="3068" max="3068" width="9.28571428571429" style="491" customWidth="1"/>
    <col min="3069" max="3069" width="24.7142857142857" style="491" customWidth="1"/>
    <col min="3070" max="3070" width="11" style="491" customWidth="1"/>
    <col min="3071" max="3071" width="7.57142857142857" style="491" customWidth="1"/>
    <col min="3072" max="3072" width="13.5714285714286" style="491" customWidth="1"/>
    <col min="3073" max="3073" width="5.42857142857143" style="491" customWidth="1"/>
    <col min="3074" max="3074" width="11.2857142857143" style="491" customWidth="1"/>
    <col min="3075" max="3075" width="5.71428571428571" style="491" customWidth="1"/>
    <col min="3076" max="3076" width="12" style="491" customWidth="1"/>
    <col min="3077" max="3077" width="15.4285714285714" style="491" customWidth="1"/>
    <col min="3078" max="3079" width="15.1428571428571" style="491" customWidth="1"/>
    <col min="3080" max="3080" width="14.2857142857143" style="491" customWidth="1"/>
    <col min="3081" max="3081" width="3.14285714285714" style="491" customWidth="1"/>
    <col min="3082" max="3082" width="6.42857142857143" style="491" customWidth="1"/>
    <col min="3083" max="3322" width="8.85714285714286" style="491"/>
    <col min="3323" max="3323" width="5.57142857142857" style="491" customWidth="1"/>
    <col min="3324" max="3324" width="9.28571428571429" style="491" customWidth="1"/>
    <col min="3325" max="3325" width="24.7142857142857" style="491" customWidth="1"/>
    <col min="3326" max="3326" width="11" style="491" customWidth="1"/>
    <col min="3327" max="3327" width="7.57142857142857" style="491" customWidth="1"/>
    <col min="3328" max="3328" width="13.5714285714286" style="491" customWidth="1"/>
    <col min="3329" max="3329" width="5.42857142857143" style="491" customWidth="1"/>
    <col min="3330" max="3330" width="11.2857142857143" style="491" customWidth="1"/>
    <col min="3331" max="3331" width="5.71428571428571" style="491" customWidth="1"/>
    <col min="3332" max="3332" width="12" style="491" customWidth="1"/>
    <col min="3333" max="3333" width="15.4285714285714" style="491" customWidth="1"/>
    <col min="3334" max="3335" width="15.1428571428571" style="491" customWidth="1"/>
    <col min="3336" max="3336" width="14.2857142857143" style="491" customWidth="1"/>
    <col min="3337" max="3337" width="3.14285714285714" style="491" customWidth="1"/>
    <col min="3338" max="3338" width="6.42857142857143" style="491" customWidth="1"/>
    <col min="3339" max="3578" width="8.85714285714286" style="491"/>
    <col min="3579" max="3579" width="5.57142857142857" style="491" customWidth="1"/>
    <col min="3580" max="3580" width="9.28571428571429" style="491" customWidth="1"/>
    <col min="3581" max="3581" width="24.7142857142857" style="491" customWidth="1"/>
    <col min="3582" max="3582" width="11" style="491" customWidth="1"/>
    <col min="3583" max="3583" width="7.57142857142857" style="491" customWidth="1"/>
    <col min="3584" max="3584" width="13.5714285714286" style="491" customWidth="1"/>
    <col min="3585" max="3585" width="5.42857142857143" style="491" customWidth="1"/>
    <col min="3586" max="3586" width="11.2857142857143" style="491" customWidth="1"/>
    <col min="3587" max="3587" width="5.71428571428571" style="491" customWidth="1"/>
    <col min="3588" max="3588" width="12" style="491" customWidth="1"/>
    <col min="3589" max="3589" width="15.4285714285714" style="491" customWidth="1"/>
    <col min="3590" max="3591" width="15.1428571428571" style="491" customWidth="1"/>
    <col min="3592" max="3592" width="14.2857142857143" style="491" customWidth="1"/>
    <col min="3593" max="3593" width="3.14285714285714" style="491" customWidth="1"/>
    <col min="3594" max="3594" width="6.42857142857143" style="491" customWidth="1"/>
    <col min="3595" max="3834" width="8.85714285714286" style="491"/>
    <col min="3835" max="3835" width="5.57142857142857" style="491" customWidth="1"/>
    <col min="3836" max="3836" width="9.28571428571429" style="491" customWidth="1"/>
    <col min="3837" max="3837" width="24.7142857142857" style="491" customWidth="1"/>
    <col min="3838" max="3838" width="11" style="491" customWidth="1"/>
    <col min="3839" max="3839" width="7.57142857142857" style="491" customWidth="1"/>
    <col min="3840" max="3840" width="13.5714285714286" style="491" customWidth="1"/>
    <col min="3841" max="3841" width="5.42857142857143" style="491" customWidth="1"/>
    <col min="3842" max="3842" width="11.2857142857143" style="491" customWidth="1"/>
    <col min="3843" max="3843" width="5.71428571428571" style="491" customWidth="1"/>
    <col min="3844" max="3844" width="12" style="491" customWidth="1"/>
    <col min="3845" max="3845" width="15.4285714285714" style="491" customWidth="1"/>
    <col min="3846" max="3847" width="15.1428571428571" style="491" customWidth="1"/>
    <col min="3848" max="3848" width="14.2857142857143" style="491" customWidth="1"/>
    <col min="3849" max="3849" width="3.14285714285714" style="491" customWidth="1"/>
    <col min="3850" max="3850" width="6.42857142857143" style="491" customWidth="1"/>
    <col min="3851" max="4090" width="8.85714285714286" style="491"/>
    <col min="4091" max="4091" width="5.57142857142857" style="491" customWidth="1"/>
    <col min="4092" max="4092" width="9.28571428571429" style="491" customWidth="1"/>
    <col min="4093" max="4093" width="24.7142857142857" style="491" customWidth="1"/>
    <col min="4094" max="4094" width="11" style="491" customWidth="1"/>
    <col min="4095" max="4095" width="7.57142857142857" style="491" customWidth="1"/>
    <col min="4096" max="4096" width="13.5714285714286" style="491" customWidth="1"/>
    <col min="4097" max="4097" width="5.42857142857143" style="491" customWidth="1"/>
    <col min="4098" max="4098" width="11.2857142857143" style="491" customWidth="1"/>
    <col min="4099" max="4099" width="5.71428571428571" style="491" customWidth="1"/>
    <col min="4100" max="4100" width="12" style="491" customWidth="1"/>
    <col min="4101" max="4101" width="15.4285714285714" style="491" customWidth="1"/>
    <col min="4102" max="4103" width="15.1428571428571" style="491" customWidth="1"/>
    <col min="4104" max="4104" width="14.2857142857143" style="491" customWidth="1"/>
    <col min="4105" max="4105" width="3.14285714285714" style="491" customWidth="1"/>
    <col min="4106" max="4106" width="6.42857142857143" style="491" customWidth="1"/>
    <col min="4107" max="4346" width="8.85714285714286" style="491"/>
    <col min="4347" max="4347" width="5.57142857142857" style="491" customWidth="1"/>
    <col min="4348" max="4348" width="9.28571428571429" style="491" customWidth="1"/>
    <col min="4349" max="4349" width="24.7142857142857" style="491" customWidth="1"/>
    <col min="4350" max="4350" width="11" style="491" customWidth="1"/>
    <col min="4351" max="4351" width="7.57142857142857" style="491" customWidth="1"/>
    <col min="4352" max="4352" width="13.5714285714286" style="491" customWidth="1"/>
    <col min="4353" max="4353" width="5.42857142857143" style="491" customWidth="1"/>
    <col min="4354" max="4354" width="11.2857142857143" style="491" customWidth="1"/>
    <col min="4355" max="4355" width="5.71428571428571" style="491" customWidth="1"/>
    <col min="4356" max="4356" width="12" style="491" customWidth="1"/>
    <col min="4357" max="4357" width="15.4285714285714" style="491" customWidth="1"/>
    <col min="4358" max="4359" width="15.1428571428571" style="491" customWidth="1"/>
    <col min="4360" max="4360" width="14.2857142857143" style="491" customWidth="1"/>
    <col min="4361" max="4361" width="3.14285714285714" style="491" customWidth="1"/>
    <col min="4362" max="4362" width="6.42857142857143" style="491" customWidth="1"/>
    <col min="4363" max="4602" width="8.85714285714286" style="491"/>
    <col min="4603" max="4603" width="5.57142857142857" style="491" customWidth="1"/>
    <col min="4604" max="4604" width="9.28571428571429" style="491" customWidth="1"/>
    <col min="4605" max="4605" width="24.7142857142857" style="491" customWidth="1"/>
    <col min="4606" max="4606" width="11" style="491" customWidth="1"/>
    <col min="4607" max="4607" width="7.57142857142857" style="491" customWidth="1"/>
    <col min="4608" max="4608" width="13.5714285714286" style="491" customWidth="1"/>
    <col min="4609" max="4609" width="5.42857142857143" style="491" customWidth="1"/>
    <col min="4610" max="4610" width="11.2857142857143" style="491" customWidth="1"/>
    <col min="4611" max="4611" width="5.71428571428571" style="491" customWidth="1"/>
    <col min="4612" max="4612" width="12" style="491" customWidth="1"/>
    <col min="4613" max="4613" width="15.4285714285714" style="491" customWidth="1"/>
    <col min="4614" max="4615" width="15.1428571428571" style="491" customWidth="1"/>
    <col min="4616" max="4616" width="14.2857142857143" style="491" customWidth="1"/>
    <col min="4617" max="4617" width="3.14285714285714" style="491" customWidth="1"/>
    <col min="4618" max="4618" width="6.42857142857143" style="491" customWidth="1"/>
    <col min="4619" max="4858" width="8.85714285714286" style="491"/>
    <col min="4859" max="4859" width="5.57142857142857" style="491" customWidth="1"/>
    <col min="4860" max="4860" width="9.28571428571429" style="491" customWidth="1"/>
    <col min="4861" max="4861" width="24.7142857142857" style="491" customWidth="1"/>
    <col min="4862" max="4862" width="11" style="491" customWidth="1"/>
    <col min="4863" max="4863" width="7.57142857142857" style="491" customWidth="1"/>
    <col min="4864" max="4864" width="13.5714285714286" style="491" customWidth="1"/>
    <col min="4865" max="4865" width="5.42857142857143" style="491" customWidth="1"/>
    <col min="4866" max="4866" width="11.2857142857143" style="491" customWidth="1"/>
    <col min="4867" max="4867" width="5.71428571428571" style="491" customWidth="1"/>
    <col min="4868" max="4868" width="12" style="491" customWidth="1"/>
    <col min="4869" max="4869" width="15.4285714285714" style="491" customWidth="1"/>
    <col min="4870" max="4871" width="15.1428571428571" style="491" customWidth="1"/>
    <col min="4872" max="4872" width="14.2857142857143" style="491" customWidth="1"/>
    <col min="4873" max="4873" width="3.14285714285714" style="491" customWidth="1"/>
    <col min="4874" max="4874" width="6.42857142857143" style="491" customWidth="1"/>
    <col min="4875" max="5114" width="8.85714285714286" style="491"/>
    <col min="5115" max="5115" width="5.57142857142857" style="491" customWidth="1"/>
    <col min="5116" max="5116" width="9.28571428571429" style="491" customWidth="1"/>
    <col min="5117" max="5117" width="24.7142857142857" style="491" customWidth="1"/>
    <col min="5118" max="5118" width="11" style="491" customWidth="1"/>
    <col min="5119" max="5119" width="7.57142857142857" style="491" customWidth="1"/>
    <col min="5120" max="5120" width="13.5714285714286" style="491" customWidth="1"/>
    <col min="5121" max="5121" width="5.42857142857143" style="491" customWidth="1"/>
    <col min="5122" max="5122" width="11.2857142857143" style="491" customWidth="1"/>
    <col min="5123" max="5123" width="5.71428571428571" style="491" customWidth="1"/>
    <col min="5124" max="5124" width="12" style="491" customWidth="1"/>
    <col min="5125" max="5125" width="15.4285714285714" style="491" customWidth="1"/>
    <col min="5126" max="5127" width="15.1428571428571" style="491" customWidth="1"/>
    <col min="5128" max="5128" width="14.2857142857143" style="491" customWidth="1"/>
    <col min="5129" max="5129" width="3.14285714285714" style="491" customWidth="1"/>
    <col min="5130" max="5130" width="6.42857142857143" style="491" customWidth="1"/>
    <col min="5131" max="5370" width="8.85714285714286" style="491"/>
    <col min="5371" max="5371" width="5.57142857142857" style="491" customWidth="1"/>
    <col min="5372" max="5372" width="9.28571428571429" style="491" customWidth="1"/>
    <col min="5373" max="5373" width="24.7142857142857" style="491" customWidth="1"/>
    <col min="5374" max="5374" width="11" style="491" customWidth="1"/>
    <col min="5375" max="5375" width="7.57142857142857" style="491" customWidth="1"/>
    <col min="5376" max="5376" width="13.5714285714286" style="491" customWidth="1"/>
    <col min="5377" max="5377" width="5.42857142857143" style="491" customWidth="1"/>
    <col min="5378" max="5378" width="11.2857142857143" style="491" customWidth="1"/>
    <col min="5379" max="5379" width="5.71428571428571" style="491" customWidth="1"/>
    <col min="5380" max="5380" width="12" style="491" customWidth="1"/>
    <col min="5381" max="5381" width="15.4285714285714" style="491" customWidth="1"/>
    <col min="5382" max="5383" width="15.1428571428571" style="491" customWidth="1"/>
    <col min="5384" max="5384" width="14.2857142857143" style="491" customWidth="1"/>
    <col min="5385" max="5385" width="3.14285714285714" style="491" customWidth="1"/>
    <col min="5386" max="5386" width="6.42857142857143" style="491" customWidth="1"/>
    <col min="5387" max="5626" width="8.85714285714286" style="491"/>
    <col min="5627" max="5627" width="5.57142857142857" style="491" customWidth="1"/>
    <col min="5628" max="5628" width="9.28571428571429" style="491" customWidth="1"/>
    <col min="5629" max="5629" width="24.7142857142857" style="491" customWidth="1"/>
    <col min="5630" max="5630" width="11" style="491" customWidth="1"/>
    <col min="5631" max="5631" width="7.57142857142857" style="491" customWidth="1"/>
    <col min="5632" max="5632" width="13.5714285714286" style="491" customWidth="1"/>
    <col min="5633" max="5633" width="5.42857142857143" style="491" customWidth="1"/>
    <col min="5634" max="5634" width="11.2857142857143" style="491" customWidth="1"/>
    <col min="5635" max="5635" width="5.71428571428571" style="491" customWidth="1"/>
    <col min="5636" max="5636" width="12" style="491" customWidth="1"/>
    <col min="5637" max="5637" width="15.4285714285714" style="491" customWidth="1"/>
    <col min="5638" max="5639" width="15.1428571428571" style="491" customWidth="1"/>
    <col min="5640" max="5640" width="14.2857142857143" style="491" customWidth="1"/>
    <col min="5641" max="5641" width="3.14285714285714" style="491" customWidth="1"/>
    <col min="5642" max="5642" width="6.42857142857143" style="491" customWidth="1"/>
    <col min="5643" max="5882" width="8.85714285714286" style="491"/>
    <col min="5883" max="5883" width="5.57142857142857" style="491" customWidth="1"/>
    <col min="5884" max="5884" width="9.28571428571429" style="491" customWidth="1"/>
    <col min="5885" max="5885" width="24.7142857142857" style="491" customWidth="1"/>
    <col min="5886" max="5886" width="11" style="491" customWidth="1"/>
    <col min="5887" max="5887" width="7.57142857142857" style="491" customWidth="1"/>
    <col min="5888" max="5888" width="13.5714285714286" style="491" customWidth="1"/>
    <col min="5889" max="5889" width="5.42857142857143" style="491" customWidth="1"/>
    <col min="5890" max="5890" width="11.2857142857143" style="491" customWidth="1"/>
    <col min="5891" max="5891" width="5.71428571428571" style="491" customWidth="1"/>
    <col min="5892" max="5892" width="12" style="491" customWidth="1"/>
    <col min="5893" max="5893" width="15.4285714285714" style="491" customWidth="1"/>
    <col min="5894" max="5895" width="15.1428571428571" style="491" customWidth="1"/>
    <col min="5896" max="5896" width="14.2857142857143" style="491" customWidth="1"/>
    <col min="5897" max="5897" width="3.14285714285714" style="491" customWidth="1"/>
    <col min="5898" max="5898" width="6.42857142857143" style="491" customWidth="1"/>
    <col min="5899" max="6138" width="8.85714285714286" style="491"/>
    <col min="6139" max="6139" width="5.57142857142857" style="491" customWidth="1"/>
    <col min="6140" max="6140" width="9.28571428571429" style="491" customWidth="1"/>
    <col min="6141" max="6141" width="24.7142857142857" style="491" customWidth="1"/>
    <col min="6142" max="6142" width="11" style="491" customWidth="1"/>
    <col min="6143" max="6143" width="7.57142857142857" style="491" customWidth="1"/>
    <col min="6144" max="6144" width="13.5714285714286" style="491" customWidth="1"/>
    <col min="6145" max="6145" width="5.42857142857143" style="491" customWidth="1"/>
    <col min="6146" max="6146" width="11.2857142857143" style="491" customWidth="1"/>
    <col min="6147" max="6147" width="5.71428571428571" style="491" customWidth="1"/>
    <col min="6148" max="6148" width="12" style="491" customWidth="1"/>
    <col min="6149" max="6149" width="15.4285714285714" style="491" customWidth="1"/>
    <col min="6150" max="6151" width="15.1428571428571" style="491" customWidth="1"/>
    <col min="6152" max="6152" width="14.2857142857143" style="491" customWidth="1"/>
    <col min="6153" max="6153" width="3.14285714285714" style="491" customWidth="1"/>
    <col min="6154" max="6154" width="6.42857142857143" style="491" customWidth="1"/>
    <col min="6155" max="6394" width="8.85714285714286" style="491"/>
    <col min="6395" max="6395" width="5.57142857142857" style="491" customWidth="1"/>
    <col min="6396" max="6396" width="9.28571428571429" style="491" customWidth="1"/>
    <col min="6397" max="6397" width="24.7142857142857" style="491" customWidth="1"/>
    <col min="6398" max="6398" width="11" style="491" customWidth="1"/>
    <col min="6399" max="6399" width="7.57142857142857" style="491" customWidth="1"/>
    <col min="6400" max="6400" width="13.5714285714286" style="491" customWidth="1"/>
    <col min="6401" max="6401" width="5.42857142857143" style="491" customWidth="1"/>
    <col min="6402" max="6402" width="11.2857142857143" style="491" customWidth="1"/>
    <col min="6403" max="6403" width="5.71428571428571" style="491" customWidth="1"/>
    <col min="6404" max="6404" width="12" style="491" customWidth="1"/>
    <col min="6405" max="6405" width="15.4285714285714" style="491" customWidth="1"/>
    <col min="6406" max="6407" width="15.1428571428571" style="491" customWidth="1"/>
    <col min="6408" max="6408" width="14.2857142857143" style="491" customWidth="1"/>
    <col min="6409" max="6409" width="3.14285714285714" style="491" customWidth="1"/>
    <col min="6410" max="6410" width="6.42857142857143" style="491" customWidth="1"/>
    <col min="6411" max="6650" width="8.85714285714286" style="491"/>
    <col min="6651" max="6651" width="5.57142857142857" style="491" customWidth="1"/>
    <col min="6652" max="6652" width="9.28571428571429" style="491" customWidth="1"/>
    <col min="6653" max="6653" width="24.7142857142857" style="491" customWidth="1"/>
    <col min="6654" max="6654" width="11" style="491" customWidth="1"/>
    <col min="6655" max="6655" width="7.57142857142857" style="491" customWidth="1"/>
    <col min="6656" max="6656" width="13.5714285714286" style="491" customWidth="1"/>
    <col min="6657" max="6657" width="5.42857142857143" style="491" customWidth="1"/>
    <col min="6658" max="6658" width="11.2857142857143" style="491" customWidth="1"/>
    <col min="6659" max="6659" width="5.71428571428571" style="491" customWidth="1"/>
    <col min="6660" max="6660" width="12" style="491" customWidth="1"/>
    <col min="6661" max="6661" width="15.4285714285714" style="491" customWidth="1"/>
    <col min="6662" max="6663" width="15.1428571428571" style="491" customWidth="1"/>
    <col min="6664" max="6664" width="14.2857142857143" style="491" customWidth="1"/>
    <col min="6665" max="6665" width="3.14285714285714" style="491" customWidth="1"/>
    <col min="6666" max="6666" width="6.42857142857143" style="491" customWidth="1"/>
    <col min="6667" max="6906" width="8.85714285714286" style="491"/>
    <col min="6907" max="6907" width="5.57142857142857" style="491" customWidth="1"/>
    <col min="6908" max="6908" width="9.28571428571429" style="491" customWidth="1"/>
    <col min="6909" max="6909" width="24.7142857142857" style="491" customWidth="1"/>
    <col min="6910" max="6910" width="11" style="491" customWidth="1"/>
    <col min="6911" max="6911" width="7.57142857142857" style="491" customWidth="1"/>
    <col min="6912" max="6912" width="13.5714285714286" style="491" customWidth="1"/>
    <col min="6913" max="6913" width="5.42857142857143" style="491" customWidth="1"/>
    <col min="6914" max="6914" width="11.2857142857143" style="491" customWidth="1"/>
    <col min="6915" max="6915" width="5.71428571428571" style="491" customWidth="1"/>
    <col min="6916" max="6916" width="12" style="491" customWidth="1"/>
    <col min="6917" max="6917" width="15.4285714285714" style="491" customWidth="1"/>
    <col min="6918" max="6919" width="15.1428571428571" style="491" customWidth="1"/>
    <col min="6920" max="6920" width="14.2857142857143" style="491" customWidth="1"/>
    <col min="6921" max="6921" width="3.14285714285714" style="491" customWidth="1"/>
    <col min="6922" max="6922" width="6.42857142857143" style="491" customWidth="1"/>
    <col min="6923" max="7162" width="8.85714285714286" style="491"/>
    <col min="7163" max="7163" width="5.57142857142857" style="491" customWidth="1"/>
    <col min="7164" max="7164" width="9.28571428571429" style="491" customWidth="1"/>
    <col min="7165" max="7165" width="24.7142857142857" style="491" customWidth="1"/>
    <col min="7166" max="7166" width="11" style="491" customWidth="1"/>
    <col min="7167" max="7167" width="7.57142857142857" style="491" customWidth="1"/>
    <col min="7168" max="7168" width="13.5714285714286" style="491" customWidth="1"/>
    <col min="7169" max="7169" width="5.42857142857143" style="491" customWidth="1"/>
    <col min="7170" max="7170" width="11.2857142857143" style="491" customWidth="1"/>
    <col min="7171" max="7171" width="5.71428571428571" style="491" customWidth="1"/>
    <col min="7172" max="7172" width="12" style="491" customWidth="1"/>
    <col min="7173" max="7173" width="15.4285714285714" style="491" customWidth="1"/>
    <col min="7174" max="7175" width="15.1428571428571" style="491" customWidth="1"/>
    <col min="7176" max="7176" width="14.2857142857143" style="491" customWidth="1"/>
    <col min="7177" max="7177" width="3.14285714285714" style="491" customWidth="1"/>
    <col min="7178" max="7178" width="6.42857142857143" style="491" customWidth="1"/>
    <col min="7179" max="7418" width="8.85714285714286" style="491"/>
    <col min="7419" max="7419" width="5.57142857142857" style="491" customWidth="1"/>
    <col min="7420" max="7420" width="9.28571428571429" style="491" customWidth="1"/>
    <col min="7421" max="7421" width="24.7142857142857" style="491" customWidth="1"/>
    <col min="7422" max="7422" width="11" style="491" customWidth="1"/>
    <col min="7423" max="7423" width="7.57142857142857" style="491" customWidth="1"/>
    <col min="7424" max="7424" width="13.5714285714286" style="491" customWidth="1"/>
    <col min="7425" max="7425" width="5.42857142857143" style="491" customWidth="1"/>
    <col min="7426" max="7426" width="11.2857142857143" style="491" customWidth="1"/>
    <col min="7427" max="7427" width="5.71428571428571" style="491" customWidth="1"/>
    <col min="7428" max="7428" width="12" style="491" customWidth="1"/>
    <col min="7429" max="7429" width="15.4285714285714" style="491" customWidth="1"/>
    <col min="7430" max="7431" width="15.1428571428571" style="491" customWidth="1"/>
    <col min="7432" max="7432" width="14.2857142857143" style="491" customWidth="1"/>
    <col min="7433" max="7433" width="3.14285714285714" style="491" customWidth="1"/>
    <col min="7434" max="7434" width="6.42857142857143" style="491" customWidth="1"/>
    <col min="7435" max="7674" width="8.85714285714286" style="491"/>
    <col min="7675" max="7675" width="5.57142857142857" style="491" customWidth="1"/>
    <col min="7676" max="7676" width="9.28571428571429" style="491" customWidth="1"/>
    <col min="7677" max="7677" width="24.7142857142857" style="491" customWidth="1"/>
    <col min="7678" max="7678" width="11" style="491" customWidth="1"/>
    <col min="7679" max="7679" width="7.57142857142857" style="491" customWidth="1"/>
    <col min="7680" max="7680" width="13.5714285714286" style="491" customWidth="1"/>
    <col min="7681" max="7681" width="5.42857142857143" style="491" customWidth="1"/>
    <col min="7682" max="7682" width="11.2857142857143" style="491" customWidth="1"/>
    <col min="7683" max="7683" width="5.71428571428571" style="491" customWidth="1"/>
    <col min="7684" max="7684" width="12" style="491" customWidth="1"/>
    <col min="7685" max="7685" width="15.4285714285714" style="491" customWidth="1"/>
    <col min="7686" max="7687" width="15.1428571428571" style="491" customWidth="1"/>
    <col min="7688" max="7688" width="14.2857142857143" style="491" customWidth="1"/>
    <col min="7689" max="7689" width="3.14285714285714" style="491" customWidth="1"/>
    <col min="7690" max="7690" width="6.42857142857143" style="491" customWidth="1"/>
    <col min="7691" max="7930" width="8.85714285714286" style="491"/>
    <col min="7931" max="7931" width="5.57142857142857" style="491" customWidth="1"/>
    <col min="7932" max="7932" width="9.28571428571429" style="491" customWidth="1"/>
    <col min="7933" max="7933" width="24.7142857142857" style="491" customWidth="1"/>
    <col min="7934" max="7934" width="11" style="491" customWidth="1"/>
    <col min="7935" max="7935" width="7.57142857142857" style="491" customWidth="1"/>
    <col min="7936" max="7936" width="13.5714285714286" style="491" customWidth="1"/>
    <col min="7937" max="7937" width="5.42857142857143" style="491" customWidth="1"/>
    <col min="7938" max="7938" width="11.2857142857143" style="491" customWidth="1"/>
    <col min="7939" max="7939" width="5.71428571428571" style="491" customWidth="1"/>
    <col min="7940" max="7940" width="12" style="491" customWidth="1"/>
    <col min="7941" max="7941" width="15.4285714285714" style="491" customWidth="1"/>
    <col min="7942" max="7943" width="15.1428571428571" style="491" customWidth="1"/>
    <col min="7944" max="7944" width="14.2857142857143" style="491" customWidth="1"/>
    <col min="7945" max="7945" width="3.14285714285714" style="491" customWidth="1"/>
    <col min="7946" max="7946" width="6.42857142857143" style="491" customWidth="1"/>
    <col min="7947" max="8186" width="8.85714285714286" style="491"/>
    <col min="8187" max="8187" width="5.57142857142857" style="491" customWidth="1"/>
    <col min="8188" max="8188" width="9.28571428571429" style="491" customWidth="1"/>
    <col min="8189" max="8189" width="24.7142857142857" style="491" customWidth="1"/>
    <col min="8190" max="8190" width="11" style="491" customWidth="1"/>
    <col min="8191" max="8191" width="7.57142857142857" style="491" customWidth="1"/>
    <col min="8192" max="8192" width="13.5714285714286" style="491" customWidth="1"/>
    <col min="8193" max="8193" width="5.42857142857143" style="491" customWidth="1"/>
    <col min="8194" max="8194" width="11.2857142857143" style="491" customWidth="1"/>
    <col min="8195" max="8195" width="5.71428571428571" style="491" customWidth="1"/>
    <col min="8196" max="8196" width="12" style="491" customWidth="1"/>
    <col min="8197" max="8197" width="15.4285714285714" style="491" customWidth="1"/>
    <col min="8198" max="8199" width="15.1428571428571" style="491" customWidth="1"/>
    <col min="8200" max="8200" width="14.2857142857143" style="491" customWidth="1"/>
    <col min="8201" max="8201" width="3.14285714285714" style="491" customWidth="1"/>
    <col min="8202" max="8202" width="6.42857142857143" style="491" customWidth="1"/>
    <col min="8203" max="8442" width="8.85714285714286" style="491"/>
    <col min="8443" max="8443" width="5.57142857142857" style="491" customWidth="1"/>
    <col min="8444" max="8444" width="9.28571428571429" style="491" customWidth="1"/>
    <col min="8445" max="8445" width="24.7142857142857" style="491" customWidth="1"/>
    <col min="8446" max="8446" width="11" style="491" customWidth="1"/>
    <col min="8447" max="8447" width="7.57142857142857" style="491" customWidth="1"/>
    <col min="8448" max="8448" width="13.5714285714286" style="491" customWidth="1"/>
    <col min="8449" max="8449" width="5.42857142857143" style="491" customWidth="1"/>
    <col min="8450" max="8450" width="11.2857142857143" style="491" customWidth="1"/>
    <col min="8451" max="8451" width="5.71428571428571" style="491" customWidth="1"/>
    <col min="8452" max="8452" width="12" style="491" customWidth="1"/>
    <col min="8453" max="8453" width="15.4285714285714" style="491" customWidth="1"/>
    <col min="8454" max="8455" width="15.1428571428571" style="491" customWidth="1"/>
    <col min="8456" max="8456" width="14.2857142857143" style="491" customWidth="1"/>
    <col min="8457" max="8457" width="3.14285714285714" style="491" customWidth="1"/>
    <col min="8458" max="8458" width="6.42857142857143" style="491" customWidth="1"/>
    <col min="8459" max="8698" width="8.85714285714286" style="491"/>
    <col min="8699" max="8699" width="5.57142857142857" style="491" customWidth="1"/>
    <col min="8700" max="8700" width="9.28571428571429" style="491" customWidth="1"/>
    <col min="8701" max="8701" width="24.7142857142857" style="491" customWidth="1"/>
    <col min="8702" max="8702" width="11" style="491" customWidth="1"/>
    <col min="8703" max="8703" width="7.57142857142857" style="491" customWidth="1"/>
    <col min="8704" max="8704" width="13.5714285714286" style="491" customWidth="1"/>
    <col min="8705" max="8705" width="5.42857142857143" style="491" customWidth="1"/>
    <col min="8706" max="8706" width="11.2857142857143" style="491" customWidth="1"/>
    <col min="8707" max="8707" width="5.71428571428571" style="491" customWidth="1"/>
    <col min="8708" max="8708" width="12" style="491" customWidth="1"/>
    <col min="8709" max="8709" width="15.4285714285714" style="491" customWidth="1"/>
    <col min="8710" max="8711" width="15.1428571428571" style="491" customWidth="1"/>
    <col min="8712" max="8712" width="14.2857142857143" style="491" customWidth="1"/>
    <col min="8713" max="8713" width="3.14285714285714" style="491" customWidth="1"/>
    <col min="8714" max="8714" width="6.42857142857143" style="491" customWidth="1"/>
    <col min="8715" max="8954" width="8.85714285714286" style="491"/>
    <col min="8955" max="8955" width="5.57142857142857" style="491" customWidth="1"/>
    <col min="8956" max="8956" width="9.28571428571429" style="491" customWidth="1"/>
    <col min="8957" max="8957" width="24.7142857142857" style="491" customWidth="1"/>
    <col min="8958" max="8958" width="11" style="491" customWidth="1"/>
    <col min="8959" max="8959" width="7.57142857142857" style="491" customWidth="1"/>
    <col min="8960" max="8960" width="13.5714285714286" style="491" customWidth="1"/>
    <col min="8961" max="8961" width="5.42857142857143" style="491" customWidth="1"/>
    <col min="8962" max="8962" width="11.2857142857143" style="491" customWidth="1"/>
    <col min="8963" max="8963" width="5.71428571428571" style="491" customWidth="1"/>
    <col min="8964" max="8964" width="12" style="491" customWidth="1"/>
    <col min="8965" max="8965" width="15.4285714285714" style="491" customWidth="1"/>
    <col min="8966" max="8967" width="15.1428571428571" style="491" customWidth="1"/>
    <col min="8968" max="8968" width="14.2857142857143" style="491" customWidth="1"/>
    <col min="8969" max="8969" width="3.14285714285714" style="491" customWidth="1"/>
    <col min="8970" max="8970" width="6.42857142857143" style="491" customWidth="1"/>
    <col min="8971" max="9210" width="8.85714285714286" style="491"/>
    <col min="9211" max="9211" width="5.57142857142857" style="491" customWidth="1"/>
    <col min="9212" max="9212" width="9.28571428571429" style="491" customWidth="1"/>
    <col min="9213" max="9213" width="24.7142857142857" style="491" customWidth="1"/>
    <col min="9214" max="9214" width="11" style="491" customWidth="1"/>
    <col min="9215" max="9215" width="7.57142857142857" style="491" customWidth="1"/>
    <col min="9216" max="9216" width="13.5714285714286" style="491" customWidth="1"/>
    <col min="9217" max="9217" width="5.42857142857143" style="491" customWidth="1"/>
    <col min="9218" max="9218" width="11.2857142857143" style="491" customWidth="1"/>
    <col min="9219" max="9219" width="5.71428571428571" style="491" customWidth="1"/>
    <col min="9220" max="9220" width="12" style="491" customWidth="1"/>
    <col min="9221" max="9221" width="15.4285714285714" style="491" customWidth="1"/>
    <col min="9222" max="9223" width="15.1428571428571" style="491" customWidth="1"/>
    <col min="9224" max="9224" width="14.2857142857143" style="491" customWidth="1"/>
    <col min="9225" max="9225" width="3.14285714285714" style="491" customWidth="1"/>
    <col min="9226" max="9226" width="6.42857142857143" style="491" customWidth="1"/>
    <col min="9227" max="9466" width="8.85714285714286" style="491"/>
    <col min="9467" max="9467" width="5.57142857142857" style="491" customWidth="1"/>
    <col min="9468" max="9468" width="9.28571428571429" style="491" customWidth="1"/>
    <col min="9469" max="9469" width="24.7142857142857" style="491" customWidth="1"/>
    <col min="9470" max="9470" width="11" style="491" customWidth="1"/>
    <col min="9471" max="9471" width="7.57142857142857" style="491" customWidth="1"/>
    <col min="9472" max="9472" width="13.5714285714286" style="491" customWidth="1"/>
    <col min="9473" max="9473" width="5.42857142857143" style="491" customWidth="1"/>
    <col min="9474" max="9474" width="11.2857142857143" style="491" customWidth="1"/>
    <col min="9475" max="9475" width="5.71428571428571" style="491" customWidth="1"/>
    <col min="9476" max="9476" width="12" style="491" customWidth="1"/>
    <col min="9477" max="9477" width="15.4285714285714" style="491" customWidth="1"/>
    <col min="9478" max="9479" width="15.1428571428571" style="491" customWidth="1"/>
    <col min="9480" max="9480" width="14.2857142857143" style="491" customWidth="1"/>
    <col min="9481" max="9481" width="3.14285714285714" style="491" customWidth="1"/>
    <col min="9482" max="9482" width="6.42857142857143" style="491" customWidth="1"/>
    <col min="9483" max="9722" width="8.85714285714286" style="491"/>
    <col min="9723" max="9723" width="5.57142857142857" style="491" customWidth="1"/>
    <col min="9724" max="9724" width="9.28571428571429" style="491" customWidth="1"/>
    <col min="9725" max="9725" width="24.7142857142857" style="491" customWidth="1"/>
    <col min="9726" max="9726" width="11" style="491" customWidth="1"/>
    <col min="9727" max="9727" width="7.57142857142857" style="491" customWidth="1"/>
    <col min="9728" max="9728" width="13.5714285714286" style="491" customWidth="1"/>
    <col min="9729" max="9729" width="5.42857142857143" style="491" customWidth="1"/>
    <col min="9730" max="9730" width="11.2857142857143" style="491" customWidth="1"/>
    <col min="9731" max="9731" width="5.71428571428571" style="491" customWidth="1"/>
    <col min="9732" max="9732" width="12" style="491" customWidth="1"/>
    <col min="9733" max="9733" width="15.4285714285714" style="491" customWidth="1"/>
    <col min="9734" max="9735" width="15.1428571428571" style="491" customWidth="1"/>
    <col min="9736" max="9736" width="14.2857142857143" style="491" customWidth="1"/>
    <col min="9737" max="9737" width="3.14285714285714" style="491" customWidth="1"/>
    <col min="9738" max="9738" width="6.42857142857143" style="491" customWidth="1"/>
    <col min="9739" max="9978" width="8.85714285714286" style="491"/>
    <col min="9979" max="9979" width="5.57142857142857" style="491" customWidth="1"/>
    <col min="9980" max="9980" width="9.28571428571429" style="491" customWidth="1"/>
    <col min="9981" max="9981" width="24.7142857142857" style="491" customWidth="1"/>
    <col min="9982" max="9982" width="11" style="491" customWidth="1"/>
    <col min="9983" max="9983" width="7.57142857142857" style="491" customWidth="1"/>
    <col min="9984" max="9984" width="13.5714285714286" style="491" customWidth="1"/>
    <col min="9985" max="9985" width="5.42857142857143" style="491" customWidth="1"/>
    <col min="9986" max="9986" width="11.2857142857143" style="491" customWidth="1"/>
    <col min="9987" max="9987" width="5.71428571428571" style="491" customWidth="1"/>
    <col min="9988" max="9988" width="12" style="491" customWidth="1"/>
    <col min="9989" max="9989" width="15.4285714285714" style="491" customWidth="1"/>
    <col min="9990" max="9991" width="15.1428571428571" style="491" customWidth="1"/>
    <col min="9992" max="9992" width="14.2857142857143" style="491" customWidth="1"/>
    <col min="9993" max="9993" width="3.14285714285714" style="491" customWidth="1"/>
    <col min="9994" max="9994" width="6.42857142857143" style="491" customWidth="1"/>
    <col min="9995" max="10234" width="8.85714285714286" style="491"/>
    <col min="10235" max="10235" width="5.57142857142857" style="491" customWidth="1"/>
    <col min="10236" max="10236" width="9.28571428571429" style="491" customWidth="1"/>
    <col min="10237" max="10237" width="24.7142857142857" style="491" customWidth="1"/>
    <col min="10238" max="10238" width="11" style="491" customWidth="1"/>
    <col min="10239" max="10239" width="7.57142857142857" style="491" customWidth="1"/>
    <col min="10240" max="10240" width="13.5714285714286" style="491" customWidth="1"/>
    <col min="10241" max="10241" width="5.42857142857143" style="491" customWidth="1"/>
    <col min="10242" max="10242" width="11.2857142857143" style="491" customWidth="1"/>
    <col min="10243" max="10243" width="5.71428571428571" style="491" customWidth="1"/>
    <col min="10244" max="10244" width="12" style="491" customWidth="1"/>
    <col min="10245" max="10245" width="15.4285714285714" style="491" customWidth="1"/>
    <col min="10246" max="10247" width="15.1428571428571" style="491" customWidth="1"/>
    <col min="10248" max="10248" width="14.2857142857143" style="491" customWidth="1"/>
    <col min="10249" max="10249" width="3.14285714285714" style="491" customWidth="1"/>
    <col min="10250" max="10250" width="6.42857142857143" style="491" customWidth="1"/>
    <col min="10251" max="10490" width="8.85714285714286" style="491"/>
    <col min="10491" max="10491" width="5.57142857142857" style="491" customWidth="1"/>
    <col min="10492" max="10492" width="9.28571428571429" style="491" customWidth="1"/>
    <col min="10493" max="10493" width="24.7142857142857" style="491" customWidth="1"/>
    <col min="10494" max="10494" width="11" style="491" customWidth="1"/>
    <col min="10495" max="10495" width="7.57142857142857" style="491" customWidth="1"/>
    <col min="10496" max="10496" width="13.5714285714286" style="491" customWidth="1"/>
    <col min="10497" max="10497" width="5.42857142857143" style="491" customWidth="1"/>
    <col min="10498" max="10498" width="11.2857142857143" style="491" customWidth="1"/>
    <col min="10499" max="10499" width="5.71428571428571" style="491" customWidth="1"/>
    <col min="10500" max="10500" width="12" style="491" customWidth="1"/>
    <col min="10501" max="10501" width="15.4285714285714" style="491" customWidth="1"/>
    <col min="10502" max="10503" width="15.1428571428571" style="491" customWidth="1"/>
    <col min="10504" max="10504" width="14.2857142857143" style="491" customWidth="1"/>
    <col min="10505" max="10505" width="3.14285714285714" style="491" customWidth="1"/>
    <col min="10506" max="10506" width="6.42857142857143" style="491" customWidth="1"/>
    <col min="10507" max="10746" width="8.85714285714286" style="491"/>
    <col min="10747" max="10747" width="5.57142857142857" style="491" customWidth="1"/>
    <col min="10748" max="10748" width="9.28571428571429" style="491" customWidth="1"/>
    <col min="10749" max="10749" width="24.7142857142857" style="491" customWidth="1"/>
    <col min="10750" max="10750" width="11" style="491" customWidth="1"/>
    <col min="10751" max="10751" width="7.57142857142857" style="491" customWidth="1"/>
    <col min="10752" max="10752" width="13.5714285714286" style="491" customWidth="1"/>
    <col min="10753" max="10753" width="5.42857142857143" style="491" customWidth="1"/>
    <col min="10754" max="10754" width="11.2857142857143" style="491" customWidth="1"/>
    <col min="10755" max="10755" width="5.71428571428571" style="491" customWidth="1"/>
    <col min="10756" max="10756" width="12" style="491" customWidth="1"/>
    <col min="10757" max="10757" width="15.4285714285714" style="491" customWidth="1"/>
    <col min="10758" max="10759" width="15.1428571428571" style="491" customWidth="1"/>
    <col min="10760" max="10760" width="14.2857142857143" style="491" customWidth="1"/>
    <col min="10761" max="10761" width="3.14285714285714" style="491" customWidth="1"/>
    <col min="10762" max="10762" width="6.42857142857143" style="491" customWidth="1"/>
    <col min="10763" max="11002" width="8.85714285714286" style="491"/>
    <col min="11003" max="11003" width="5.57142857142857" style="491" customWidth="1"/>
    <col min="11004" max="11004" width="9.28571428571429" style="491" customWidth="1"/>
    <col min="11005" max="11005" width="24.7142857142857" style="491" customWidth="1"/>
    <col min="11006" max="11006" width="11" style="491" customWidth="1"/>
    <col min="11007" max="11007" width="7.57142857142857" style="491" customWidth="1"/>
    <col min="11008" max="11008" width="13.5714285714286" style="491" customWidth="1"/>
    <col min="11009" max="11009" width="5.42857142857143" style="491" customWidth="1"/>
    <col min="11010" max="11010" width="11.2857142857143" style="491" customWidth="1"/>
    <col min="11011" max="11011" width="5.71428571428571" style="491" customWidth="1"/>
    <col min="11012" max="11012" width="12" style="491" customWidth="1"/>
    <col min="11013" max="11013" width="15.4285714285714" style="491" customWidth="1"/>
    <col min="11014" max="11015" width="15.1428571428571" style="491" customWidth="1"/>
    <col min="11016" max="11016" width="14.2857142857143" style="491" customWidth="1"/>
    <col min="11017" max="11017" width="3.14285714285714" style="491" customWidth="1"/>
    <col min="11018" max="11018" width="6.42857142857143" style="491" customWidth="1"/>
    <col min="11019" max="11258" width="8.85714285714286" style="491"/>
    <col min="11259" max="11259" width="5.57142857142857" style="491" customWidth="1"/>
    <col min="11260" max="11260" width="9.28571428571429" style="491" customWidth="1"/>
    <col min="11261" max="11261" width="24.7142857142857" style="491" customWidth="1"/>
    <col min="11262" max="11262" width="11" style="491" customWidth="1"/>
    <col min="11263" max="11263" width="7.57142857142857" style="491" customWidth="1"/>
    <col min="11264" max="11264" width="13.5714285714286" style="491" customWidth="1"/>
    <col min="11265" max="11265" width="5.42857142857143" style="491" customWidth="1"/>
    <col min="11266" max="11266" width="11.2857142857143" style="491" customWidth="1"/>
    <col min="11267" max="11267" width="5.71428571428571" style="491" customWidth="1"/>
    <col min="11268" max="11268" width="12" style="491" customWidth="1"/>
    <col min="11269" max="11269" width="15.4285714285714" style="491" customWidth="1"/>
    <col min="11270" max="11271" width="15.1428571428571" style="491" customWidth="1"/>
    <col min="11272" max="11272" width="14.2857142857143" style="491" customWidth="1"/>
    <col min="11273" max="11273" width="3.14285714285714" style="491" customWidth="1"/>
    <col min="11274" max="11274" width="6.42857142857143" style="491" customWidth="1"/>
    <col min="11275" max="11514" width="8.85714285714286" style="491"/>
    <col min="11515" max="11515" width="5.57142857142857" style="491" customWidth="1"/>
    <col min="11516" max="11516" width="9.28571428571429" style="491" customWidth="1"/>
    <col min="11517" max="11517" width="24.7142857142857" style="491" customWidth="1"/>
    <col min="11518" max="11518" width="11" style="491" customWidth="1"/>
    <col min="11519" max="11519" width="7.57142857142857" style="491" customWidth="1"/>
    <col min="11520" max="11520" width="13.5714285714286" style="491" customWidth="1"/>
    <col min="11521" max="11521" width="5.42857142857143" style="491" customWidth="1"/>
    <col min="11522" max="11522" width="11.2857142857143" style="491" customWidth="1"/>
    <col min="11523" max="11523" width="5.71428571428571" style="491" customWidth="1"/>
    <col min="11524" max="11524" width="12" style="491" customWidth="1"/>
    <col min="11525" max="11525" width="15.4285714285714" style="491" customWidth="1"/>
    <col min="11526" max="11527" width="15.1428571428571" style="491" customWidth="1"/>
    <col min="11528" max="11528" width="14.2857142857143" style="491" customWidth="1"/>
    <col min="11529" max="11529" width="3.14285714285714" style="491" customWidth="1"/>
    <col min="11530" max="11530" width="6.42857142857143" style="491" customWidth="1"/>
    <col min="11531" max="11770" width="8.85714285714286" style="491"/>
    <col min="11771" max="11771" width="5.57142857142857" style="491" customWidth="1"/>
    <col min="11772" max="11772" width="9.28571428571429" style="491" customWidth="1"/>
    <col min="11773" max="11773" width="24.7142857142857" style="491" customWidth="1"/>
    <col min="11774" max="11774" width="11" style="491" customWidth="1"/>
    <col min="11775" max="11775" width="7.57142857142857" style="491" customWidth="1"/>
    <col min="11776" max="11776" width="13.5714285714286" style="491" customWidth="1"/>
    <col min="11777" max="11777" width="5.42857142857143" style="491" customWidth="1"/>
    <col min="11778" max="11778" width="11.2857142857143" style="491" customWidth="1"/>
    <col min="11779" max="11779" width="5.71428571428571" style="491" customWidth="1"/>
    <col min="11780" max="11780" width="12" style="491" customWidth="1"/>
    <col min="11781" max="11781" width="15.4285714285714" style="491" customWidth="1"/>
    <col min="11782" max="11783" width="15.1428571428571" style="491" customWidth="1"/>
    <col min="11784" max="11784" width="14.2857142857143" style="491" customWidth="1"/>
    <col min="11785" max="11785" width="3.14285714285714" style="491" customWidth="1"/>
    <col min="11786" max="11786" width="6.42857142857143" style="491" customWidth="1"/>
    <col min="11787" max="12026" width="8.85714285714286" style="491"/>
    <col min="12027" max="12027" width="5.57142857142857" style="491" customWidth="1"/>
    <col min="12028" max="12028" width="9.28571428571429" style="491" customWidth="1"/>
    <col min="12029" max="12029" width="24.7142857142857" style="491" customWidth="1"/>
    <col min="12030" max="12030" width="11" style="491" customWidth="1"/>
    <col min="12031" max="12031" width="7.57142857142857" style="491" customWidth="1"/>
    <col min="12032" max="12032" width="13.5714285714286" style="491" customWidth="1"/>
    <col min="12033" max="12033" width="5.42857142857143" style="491" customWidth="1"/>
    <col min="12034" max="12034" width="11.2857142857143" style="491" customWidth="1"/>
    <col min="12035" max="12035" width="5.71428571428571" style="491" customWidth="1"/>
    <col min="12036" max="12036" width="12" style="491" customWidth="1"/>
    <col min="12037" max="12037" width="15.4285714285714" style="491" customWidth="1"/>
    <col min="12038" max="12039" width="15.1428571428571" style="491" customWidth="1"/>
    <col min="12040" max="12040" width="14.2857142857143" style="491" customWidth="1"/>
    <col min="12041" max="12041" width="3.14285714285714" style="491" customWidth="1"/>
    <col min="12042" max="12042" width="6.42857142857143" style="491" customWidth="1"/>
    <col min="12043" max="12282" width="8.85714285714286" style="491"/>
    <col min="12283" max="12283" width="5.57142857142857" style="491" customWidth="1"/>
    <col min="12284" max="12284" width="9.28571428571429" style="491" customWidth="1"/>
    <col min="12285" max="12285" width="24.7142857142857" style="491" customWidth="1"/>
    <col min="12286" max="12286" width="11" style="491" customWidth="1"/>
    <col min="12287" max="12287" width="7.57142857142857" style="491" customWidth="1"/>
    <col min="12288" max="12288" width="13.5714285714286" style="491" customWidth="1"/>
    <col min="12289" max="12289" width="5.42857142857143" style="491" customWidth="1"/>
    <col min="12290" max="12290" width="11.2857142857143" style="491" customWidth="1"/>
    <col min="12291" max="12291" width="5.71428571428571" style="491" customWidth="1"/>
    <col min="12292" max="12292" width="12" style="491" customWidth="1"/>
    <col min="12293" max="12293" width="15.4285714285714" style="491" customWidth="1"/>
    <col min="12294" max="12295" width="15.1428571428571" style="491" customWidth="1"/>
    <col min="12296" max="12296" width="14.2857142857143" style="491" customWidth="1"/>
    <col min="12297" max="12297" width="3.14285714285714" style="491" customWidth="1"/>
    <col min="12298" max="12298" width="6.42857142857143" style="491" customWidth="1"/>
    <col min="12299" max="12538" width="8.85714285714286" style="491"/>
    <col min="12539" max="12539" width="5.57142857142857" style="491" customWidth="1"/>
    <col min="12540" max="12540" width="9.28571428571429" style="491" customWidth="1"/>
    <col min="12541" max="12541" width="24.7142857142857" style="491" customWidth="1"/>
    <col min="12542" max="12542" width="11" style="491" customWidth="1"/>
    <col min="12543" max="12543" width="7.57142857142857" style="491" customWidth="1"/>
    <col min="12544" max="12544" width="13.5714285714286" style="491" customWidth="1"/>
    <col min="12545" max="12545" width="5.42857142857143" style="491" customWidth="1"/>
    <col min="12546" max="12546" width="11.2857142857143" style="491" customWidth="1"/>
    <col min="12547" max="12547" width="5.71428571428571" style="491" customWidth="1"/>
    <col min="12548" max="12548" width="12" style="491" customWidth="1"/>
    <col min="12549" max="12549" width="15.4285714285714" style="491" customWidth="1"/>
    <col min="12550" max="12551" width="15.1428571428571" style="491" customWidth="1"/>
    <col min="12552" max="12552" width="14.2857142857143" style="491" customWidth="1"/>
    <col min="12553" max="12553" width="3.14285714285714" style="491" customWidth="1"/>
    <col min="12554" max="12554" width="6.42857142857143" style="491" customWidth="1"/>
    <col min="12555" max="12794" width="8.85714285714286" style="491"/>
    <col min="12795" max="12795" width="5.57142857142857" style="491" customWidth="1"/>
    <col min="12796" max="12796" width="9.28571428571429" style="491" customWidth="1"/>
    <col min="12797" max="12797" width="24.7142857142857" style="491" customWidth="1"/>
    <col min="12798" max="12798" width="11" style="491" customWidth="1"/>
    <col min="12799" max="12799" width="7.57142857142857" style="491" customWidth="1"/>
    <col min="12800" max="12800" width="13.5714285714286" style="491" customWidth="1"/>
    <col min="12801" max="12801" width="5.42857142857143" style="491" customWidth="1"/>
    <col min="12802" max="12802" width="11.2857142857143" style="491" customWidth="1"/>
    <col min="12803" max="12803" width="5.71428571428571" style="491" customWidth="1"/>
    <col min="12804" max="12804" width="12" style="491" customWidth="1"/>
    <col min="12805" max="12805" width="15.4285714285714" style="491" customWidth="1"/>
    <col min="12806" max="12807" width="15.1428571428571" style="491" customWidth="1"/>
    <col min="12808" max="12808" width="14.2857142857143" style="491" customWidth="1"/>
    <col min="12809" max="12809" width="3.14285714285714" style="491" customWidth="1"/>
    <col min="12810" max="12810" width="6.42857142857143" style="491" customWidth="1"/>
    <col min="12811" max="13050" width="8.85714285714286" style="491"/>
    <col min="13051" max="13051" width="5.57142857142857" style="491" customWidth="1"/>
    <col min="13052" max="13052" width="9.28571428571429" style="491" customWidth="1"/>
    <col min="13053" max="13053" width="24.7142857142857" style="491" customWidth="1"/>
    <col min="13054" max="13054" width="11" style="491" customWidth="1"/>
    <col min="13055" max="13055" width="7.57142857142857" style="491" customWidth="1"/>
    <col min="13056" max="13056" width="13.5714285714286" style="491" customWidth="1"/>
    <col min="13057" max="13057" width="5.42857142857143" style="491" customWidth="1"/>
    <col min="13058" max="13058" width="11.2857142857143" style="491" customWidth="1"/>
    <col min="13059" max="13059" width="5.71428571428571" style="491" customWidth="1"/>
    <col min="13060" max="13060" width="12" style="491" customWidth="1"/>
    <col min="13061" max="13061" width="15.4285714285714" style="491" customWidth="1"/>
    <col min="13062" max="13063" width="15.1428571428571" style="491" customWidth="1"/>
    <col min="13064" max="13064" width="14.2857142857143" style="491" customWidth="1"/>
    <col min="13065" max="13065" width="3.14285714285714" style="491" customWidth="1"/>
    <col min="13066" max="13066" width="6.42857142857143" style="491" customWidth="1"/>
    <col min="13067" max="13306" width="8.85714285714286" style="491"/>
    <col min="13307" max="13307" width="5.57142857142857" style="491" customWidth="1"/>
    <col min="13308" max="13308" width="9.28571428571429" style="491" customWidth="1"/>
    <col min="13309" max="13309" width="24.7142857142857" style="491" customWidth="1"/>
    <col min="13310" max="13310" width="11" style="491" customWidth="1"/>
    <col min="13311" max="13311" width="7.57142857142857" style="491" customWidth="1"/>
    <col min="13312" max="13312" width="13.5714285714286" style="491" customWidth="1"/>
    <col min="13313" max="13313" width="5.42857142857143" style="491" customWidth="1"/>
    <col min="13314" max="13314" width="11.2857142857143" style="491" customWidth="1"/>
    <col min="13315" max="13315" width="5.71428571428571" style="491" customWidth="1"/>
    <col min="13316" max="13316" width="12" style="491" customWidth="1"/>
    <col min="13317" max="13317" width="15.4285714285714" style="491" customWidth="1"/>
    <col min="13318" max="13319" width="15.1428571428571" style="491" customWidth="1"/>
    <col min="13320" max="13320" width="14.2857142857143" style="491" customWidth="1"/>
    <col min="13321" max="13321" width="3.14285714285714" style="491" customWidth="1"/>
    <col min="13322" max="13322" width="6.42857142857143" style="491" customWidth="1"/>
    <col min="13323" max="13562" width="8.85714285714286" style="491"/>
    <col min="13563" max="13563" width="5.57142857142857" style="491" customWidth="1"/>
    <col min="13564" max="13564" width="9.28571428571429" style="491" customWidth="1"/>
    <col min="13565" max="13565" width="24.7142857142857" style="491" customWidth="1"/>
    <col min="13566" max="13566" width="11" style="491" customWidth="1"/>
    <col min="13567" max="13567" width="7.57142857142857" style="491" customWidth="1"/>
    <col min="13568" max="13568" width="13.5714285714286" style="491" customWidth="1"/>
    <col min="13569" max="13569" width="5.42857142857143" style="491" customWidth="1"/>
    <col min="13570" max="13570" width="11.2857142857143" style="491" customWidth="1"/>
    <col min="13571" max="13571" width="5.71428571428571" style="491" customWidth="1"/>
    <col min="13572" max="13572" width="12" style="491" customWidth="1"/>
    <col min="13573" max="13573" width="15.4285714285714" style="491" customWidth="1"/>
    <col min="13574" max="13575" width="15.1428571428571" style="491" customWidth="1"/>
    <col min="13576" max="13576" width="14.2857142857143" style="491" customWidth="1"/>
    <col min="13577" max="13577" width="3.14285714285714" style="491" customWidth="1"/>
    <col min="13578" max="13578" width="6.42857142857143" style="491" customWidth="1"/>
    <col min="13579" max="13818" width="8.85714285714286" style="491"/>
    <col min="13819" max="13819" width="5.57142857142857" style="491" customWidth="1"/>
    <col min="13820" max="13820" width="9.28571428571429" style="491" customWidth="1"/>
    <col min="13821" max="13821" width="24.7142857142857" style="491" customWidth="1"/>
    <col min="13822" max="13822" width="11" style="491" customWidth="1"/>
    <col min="13823" max="13823" width="7.57142857142857" style="491" customWidth="1"/>
    <col min="13824" max="13824" width="13.5714285714286" style="491" customWidth="1"/>
    <col min="13825" max="13825" width="5.42857142857143" style="491" customWidth="1"/>
    <col min="13826" max="13826" width="11.2857142857143" style="491" customWidth="1"/>
    <col min="13827" max="13827" width="5.71428571428571" style="491" customWidth="1"/>
    <col min="13828" max="13828" width="12" style="491" customWidth="1"/>
    <col min="13829" max="13829" width="15.4285714285714" style="491" customWidth="1"/>
    <col min="13830" max="13831" width="15.1428571428571" style="491" customWidth="1"/>
    <col min="13832" max="13832" width="14.2857142857143" style="491" customWidth="1"/>
    <col min="13833" max="13833" width="3.14285714285714" style="491" customWidth="1"/>
    <col min="13834" max="13834" width="6.42857142857143" style="491" customWidth="1"/>
    <col min="13835" max="14074" width="8.85714285714286" style="491"/>
    <col min="14075" max="14075" width="5.57142857142857" style="491" customWidth="1"/>
    <col min="14076" max="14076" width="9.28571428571429" style="491" customWidth="1"/>
    <col min="14077" max="14077" width="24.7142857142857" style="491" customWidth="1"/>
    <col min="14078" max="14078" width="11" style="491" customWidth="1"/>
    <col min="14079" max="14079" width="7.57142857142857" style="491" customWidth="1"/>
    <col min="14080" max="14080" width="13.5714285714286" style="491" customWidth="1"/>
    <col min="14081" max="14081" width="5.42857142857143" style="491" customWidth="1"/>
    <col min="14082" max="14082" width="11.2857142857143" style="491" customWidth="1"/>
    <col min="14083" max="14083" width="5.71428571428571" style="491" customWidth="1"/>
    <col min="14084" max="14084" width="12" style="491" customWidth="1"/>
    <col min="14085" max="14085" width="15.4285714285714" style="491" customWidth="1"/>
    <col min="14086" max="14087" width="15.1428571428571" style="491" customWidth="1"/>
    <col min="14088" max="14088" width="14.2857142857143" style="491" customWidth="1"/>
    <col min="14089" max="14089" width="3.14285714285714" style="491" customWidth="1"/>
    <col min="14090" max="14090" width="6.42857142857143" style="491" customWidth="1"/>
    <col min="14091" max="14330" width="8.85714285714286" style="491"/>
    <col min="14331" max="14331" width="5.57142857142857" style="491" customWidth="1"/>
    <col min="14332" max="14332" width="9.28571428571429" style="491" customWidth="1"/>
    <col min="14333" max="14333" width="24.7142857142857" style="491" customWidth="1"/>
    <col min="14334" max="14334" width="11" style="491" customWidth="1"/>
    <col min="14335" max="14335" width="7.57142857142857" style="491" customWidth="1"/>
    <col min="14336" max="14336" width="13.5714285714286" style="491" customWidth="1"/>
    <col min="14337" max="14337" width="5.42857142857143" style="491" customWidth="1"/>
    <col min="14338" max="14338" width="11.2857142857143" style="491" customWidth="1"/>
    <col min="14339" max="14339" width="5.71428571428571" style="491" customWidth="1"/>
    <col min="14340" max="14340" width="12" style="491" customWidth="1"/>
    <col min="14341" max="14341" width="15.4285714285714" style="491" customWidth="1"/>
    <col min="14342" max="14343" width="15.1428571428571" style="491" customWidth="1"/>
    <col min="14344" max="14344" width="14.2857142857143" style="491" customWidth="1"/>
    <col min="14345" max="14345" width="3.14285714285714" style="491" customWidth="1"/>
    <col min="14346" max="14346" width="6.42857142857143" style="491" customWidth="1"/>
    <col min="14347" max="14586" width="8.85714285714286" style="491"/>
    <col min="14587" max="14587" width="5.57142857142857" style="491" customWidth="1"/>
    <col min="14588" max="14588" width="9.28571428571429" style="491" customWidth="1"/>
    <col min="14589" max="14589" width="24.7142857142857" style="491" customWidth="1"/>
    <col min="14590" max="14590" width="11" style="491" customWidth="1"/>
    <col min="14591" max="14591" width="7.57142857142857" style="491" customWidth="1"/>
    <col min="14592" max="14592" width="13.5714285714286" style="491" customWidth="1"/>
    <col min="14593" max="14593" width="5.42857142857143" style="491" customWidth="1"/>
    <col min="14594" max="14594" width="11.2857142857143" style="491" customWidth="1"/>
    <col min="14595" max="14595" width="5.71428571428571" style="491" customWidth="1"/>
    <col min="14596" max="14596" width="12" style="491" customWidth="1"/>
    <col min="14597" max="14597" width="15.4285714285714" style="491" customWidth="1"/>
    <col min="14598" max="14599" width="15.1428571428571" style="491" customWidth="1"/>
    <col min="14600" max="14600" width="14.2857142857143" style="491" customWidth="1"/>
    <col min="14601" max="14601" width="3.14285714285714" style="491" customWidth="1"/>
    <col min="14602" max="14602" width="6.42857142857143" style="491" customWidth="1"/>
    <col min="14603" max="14842" width="8.85714285714286" style="491"/>
    <col min="14843" max="14843" width="5.57142857142857" style="491" customWidth="1"/>
    <col min="14844" max="14844" width="9.28571428571429" style="491" customWidth="1"/>
    <col min="14845" max="14845" width="24.7142857142857" style="491" customWidth="1"/>
    <col min="14846" max="14846" width="11" style="491" customWidth="1"/>
    <col min="14847" max="14847" width="7.57142857142857" style="491" customWidth="1"/>
    <col min="14848" max="14848" width="13.5714285714286" style="491" customWidth="1"/>
    <col min="14849" max="14849" width="5.42857142857143" style="491" customWidth="1"/>
    <col min="14850" max="14850" width="11.2857142857143" style="491" customWidth="1"/>
    <col min="14851" max="14851" width="5.71428571428571" style="491" customWidth="1"/>
    <col min="14852" max="14852" width="12" style="491" customWidth="1"/>
    <col min="14853" max="14853" width="15.4285714285714" style="491" customWidth="1"/>
    <col min="14854" max="14855" width="15.1428571428571" style="491" customWidth="1"/>
    <col min="14856" max="14856" width="14.2857142857143" style="491" customWidth="1"/>
    <col min="14857" max="14857" width="3.14285714285714" style="491" customWidth="1"/>
    <col min="14858" max="14858" width="6.42857142857143" style="491" customWidth="1"/>
    <col min="14859" max="15098" width="8.85714285714286" style="491"/>
    <col min="15099" max="15099" width="5.57142857142857" style="491" customWidth="1"/>
    <col min="15100" max="15100" width="9.28571428571429" style="491" customWidth="1"/>
    <col min="15101" max="15101" width="24.7142857142857" style="491" customWidth="1"/>
    <col min="15102" max="15102" width="11" style="491" customWidth="1"/>
    <col min="15103" max="15103" width="7.57142857142857" style="491" customWidth="1"/>
    <col min="15104" max="15104" width="13.5714285714286" style="491" customWidth="1"/>
    <col min="15105" max="15105" width="5.42857142857143" style="491" customWidth="1"/>
    <col min="15106" max="15106" width="11.2857142857143" style="491" customWidth="1"/>
    <col min="15107" max="15107" width="5.71428571428571" style="491" customWidth="1"/>
    <col min="15108" max="15108" width="12" style="491" customWidth="1"/>
    <col min="15109" max="15109" width="15.4285714285714" style="491" customWidth="1"/>
    <col min="15110" max="15111" width="15.1428571428571" style="491" customWidth="1"/>
    <col min="15112" max="15112" width="14.2857142857143" style="491" customWidth="1"/>
    <col min="15113" max="15113" width="3.14285714285714" style="491" customWidth="1"/>
    <col min="15114" max="15114" width="6.42857142857143" style="491" customWidth="1"/>
    <col min="15115" max="15354" width="8.85714285714286" style="491"/>
    <col min="15355" max="15355" width="5.57142857142857" style="491" customWidth="1"/>
    <col min="15356" max="15356" width="9.28571428571429" style="491" customWidth="1"/>
    <col min="15357" max="15357" width="24.7142857142857" style="491" customWidth="1"/>
    <col min="15358" max="15358" width="11" style="491" customWidth="1"/>
    <col min="15359" max="15359" width="7.57142857142857" style="491" customWidth="1"/>
    <col min="15360" max="15360" width="13.5714285714286" style="491" customWidth="1"/>
    <col min="15361" max="15361" width="5.42857142857143" style="491" customWidth="1"/>
    <col min="15362" max="15362" width="11.2857142857143" style="491" customWidth="1"/>
    <col min="15363" max="15363" width="5.71428571428571" style="491" customWidth="1"/>
    <col min="15364" max="15364" width="12" style="491" customWidth="1"/>
    <col min="15365" max="15365" width="15.4285714285714" style="491" customWidth="1"/>
    <col min="15366" max="15367" width="15.1428571428571" style="491" customWidth="1"/>
    <col min="15368" max="15368" width="14.2857142857143" style="491" customWidth="1"/>
    <col min="15369" max="15369" width="3.14285714285714" style="491" customWidth="1"/>
    <col min="15370" max="15370" width="6.42857142857143" style="491" customWidth="1"/>
    <col min="15371" max="15610" width="8.85714285714286" style="491"/>
    <col min="15611" max="15611" width="5.57142857142857" style="491" customWidth="1"/>
    <col min="15612" max="15612" width="9.28571428571429" style="491" customWidth="1"/>
    <col min="15613" max="15613" width="24.7142857142857" style="491" customWidth="1"/>
    <col min="15614" max="15614" width="11" style="491" customWidth="1"/>
    <col min="15615" max="15615" width="7.57142857142857" style="491" customWidth="1"/>
    <col min="15616" max="15616" width="13.5714285714286" style="491" customWidth="1"/>
    <col min="15617" max="15617" width="5.42857142857143" style="491" customWidth="1"/>
    <col min="15618" max="15618" width="11.2857142857143" style="491" customWidth="1"/>
    <col min="15619" max="15619" width="5.71428571428571" style="491" customWidth="1"/>
    <col min="15620" max="15620" width="12" style="491" customWidth="1"/>
    <col min="15621" max="15621" width="15.4285714285714" style="491" customWidth="1"/>
    <col min="15622" max="15623" width="15.1428571428571" style="491" customWidth="1"/>
    <col min="15624" max="15624" width="14.2857142857143" style="491" customWidth="1"/>
    <col min="15625" max="15625" width="3.14285714285714" style="491" customWidth="1"/>
    <col min="15626" max="15626" width="6.42857142857143" style="491" customWidth="1"/>
    <col min="15627" max="15866" width="8.85714285714286" style="491"/>
    <col min="15867" max="15867" width="5.57142857142857" style="491" customWidth="1"/>
    <col min="15868" max="15868" width="9.28571428571429" style="491" customWidth="1"/>
    <col min="15869" max="15869" width="24.7142857142857" style="491" customWidth="1"/>
    <col min="15870" max="15870" width="11" style="491" customWidth="1"/>
    <col min="15871" max="15871" width="7.57142857142857" style="491" customWidth="1"/>
    <col min="15872" max="15872" width="13.5714285714286" style="491" customWidth="1"/>
    <col min="15873" max="15873" width="5.42857142857143" style="491" customWidth="1"/>
    <col min="15874" max="15874" width="11.2857142857143" style="491" customWidth="1"/>
    <col min="15875" max="15875" width="5.71428571428571" style="491" customWidth="1"/>
    <col min="15876" max="15876" width="12" style="491" customWidth="1"/>
    <col min="15877" max="15877" width="15.4285714285714" style="491" customWidth="1"/>
    <col min="15878" max="15879" width="15.1428571428571" style="491" customWidth="1"/>
    <col min="15880" max="15880" width="14.2857142857143" style="491" customWidth="1"/>
    <col min="15881" max="15881" width="3.14285714285714" style="491" customWidth="1"/>
    <col min="15882" max="15882" width="6.42857142857143" style="491" customWidth="1"/>
    <col min="15883" max="16122" width="8.85714285714286" style="491"/>
    <col min="16123" max="16123" width="5.57142857142857" style="491" customWidth="1"/>
    <col min="16124" max="16124" width="9.28571428571429" style="491" customWidth="1"/>
    <col min="16125" max="16125" width="24.7142857142857" style="491" customWidth="1"/>
    <col min="16126" max="16126" width="11" style="491" customWidth="1"/>
    <col min="16127" max="16127" width="7.57142857142857" style="491" customWidth="1"/>
    <col min="16128" max="16128" width="13.5714285714286" style="491" customWidth="1"/>
    <col min="16129" max="16129" width="5.42857142857143" style="491" customWidth="1"/>
    <col min="16130" max="16130" width="11.2857142857143" style="491" customWidth="1"/>
    <col min="16131" max="16131" width="5.71428571428571" style="491" customWidth="1"/>
    <col min="16132" max="16132" width="12" style="491" customWidth="1"/>
    <col min="16133" max="16133" width="15.4285714285714" style="491" customWidth="1"/>
    <col min="16134" max="16135" width="15.1428571428571" style="491" customWidth="1"/>
    <col min="16136" max="16136" width="14.2857142857143" style="491" customWidth="1"/>
    <col min="16137" max="16137" width="3.14285714285714" style="491" customWidth="1"/>
    <col min="16138" max="16138" width="6.42857142857143" style="491" customWidth="1"/>
    <col min="16139" max="16384" width="8.85714285714286" style="491"/>
  </cols>
  <sheetData>
    <row r="1" ht="46.9" customHeight="1" spans="1:16">
      <c r="A1" s="554" t="s">
        <v>0</v>
      </c>
      <c r="B1" s="554"/>
      <c r="C1" s="554"/>
      <c r="D1" s="554"/>
      <c r="E1" s="554"/>
      <c r="F1" s="554"/>
      <c r="G1" s="554"/>
      <c r="H1" s="554"/>
      <c r="I1" s="554"/>
      <c r="J1" s="554"/>
      <c r="K1" s="554"/>
      <c r="L1" s="554"/>
      <c r="M1" s="554"/>
      <c r="N1" s="554"/>
    </row>
    <row r="2" ht="30" customHeight="1" spans="1:16">
      <c r="A2" s="555" t="s">
        <v>1</v>
      </c>
      <c r="B2" s="556" t="s">
        <v>2</v>
      </c>
      <c r="C2" s="557" t="s">
        <v>3</v>
      </c>
      <c r="D2" s="557" t="s">
        <v>4</v>
      </c>
      <c r="E2" s="558" t="s">
        <v>5</v>
      </c>
      <c r="F2" s="558" t="s">
        <v>6</v>
      </c>
      <c r="G2" s="559" t="s">
        <v>7</v>
      </c>
      <c r="H2" s="560" t="s">
        <v>8</v>
      </c>
      <c r="I2" s="561" t="s">
        <v>9</v>
      </c>
      <c r="J2" s="504"/>
      <c r="K2" s="562" t="s">
        <v>10</v>
      </c>
      <c r="L2" s="559" t="s">
        <v>7</v>
      </c>
      <c r="M2" s="560" t="s">
        <v>8</v>
      </c>
      <c r="N2" s="561" t="s">
        <v>9</v>
      </c>
    </row>
    <row r="3" ht="0.75" customHeight="1" spans="1:16">
      <c r="A3" s="509">
        <v>1</v>
      </c>
      <c r="B3" s="563"/>
      <c r="C3" s="510"/>
      <c r="D3" s="511"/>
      <c r="E3" s="512"/>
      <c r="F3" s="513"/>
      <c r="G3" s="514"/>
      <c r="H3" s="515"/>
      <c r="I3" s="514"/>
      <c r="J3" s="564"/>
      <c r="K3" s="565"/>
      <c r="L3" s="519"/>
      <c r="M3" s="520"/>
      <c r="N3" s="521"/>
    </row>
    <row r="4" ht="27" hidden="1" customHeight="1" spans="1:16">
      <c r="A4" s="522">
        <v>2</v>
      </c>
      <c r="B4" s="566"/>
      <c r="C4" s="567"/>
      <c r="D4" s="568"/>
      <c r="E4" s="569"/>
      <c r="F4" s="526"/>
      <c r="G4" s="570"/>
      <c r="H4" s="571"/>
      <c r="I4" s="570"/>
      <c r="J4" s="572"/>
      <c r="K4" s="573"/>
      <c r="L4" s="531"/>
      <c r="M4" s="574"/>
      <c r="N4" s="533"/>
    </row>
    <row r="5" ht="27" hidden="1" customHeight="1" spans="1:16">
      <c r="A5" s="522">
        <v>3</v>
      </c>
      <c r="B5" s="566"/>
      <c r="C5" s="567"/>
      <c r="D5" s="568"/>
      <c r="E5" s="569"/>
      <c r="F5" s="526"/>
      <c r="G5" s="570"/>
      <c r="H5" s="571"/>
      <c r="I5" s="570"/>
      <c r="J5" s="572"/>
      <c r="K5" s="573"/>
      <c r="L5" s="531"/>
      <c r="M5" s="574"/>
      <c r="N5" s="533"/>
    </row>
    <row r="6" ht="27" hidden="1" customHeight="1" spans="1:16">
      <c r="A6" s="522">
        <v>4</v>
      </c>
      <c r="B6" s="566"/>
      <c r="C6" s="567"/>
      <c r="D6" s="568"/>
      <c r="E6" s="569"/>
      <c r="F6" s="575"/>
      <c r="G6" s="570"/>
      <c r="H6" s="576"/>
      <c r="I6" s="570"/>
      <c r="J6" s="572"/>
      <c r="K6" s="573"/>
      <c r="L6" s="531"/>
      <c r="M6" s="574"/>
      <c r="N6" s="533"/>
    </row>
    <row r="7" ht="27" hidden="1" customHeight="1" spans="1:16">
      <c r="A7" s="522">
        <v>5</v>
      </c>
      <c r="B7" s="566"/>
      <c r="C7" s="567"/>
      <c r="D7" s="568"/>
      <c r="E7" s="569"/>
      <c r="F7" s="575"/>
      <c r="G7" s="570"/>
      <c r="H7" s="576"/>
      <c r="I7" s="570"/>
      <c r="J7" s="572"/>
      <c r="K7" s="573"/>
      <c r="L7" s="531"/>
      <c r="M7" s="574"/>
      <c r="N7" s="533"/>
    </row>
    <row r="8" ht="27" hidden="1" customHeight="1" spans="1:16">
      <c r="A8" s="522">
        <v>6</v>
      </c>
      <c r="B8" s="566"/>
      <c r="C8" s="567"/>
      <c r="D8" s="568"/>
      <c r="E8" s="569"/>
      <c r="F8" s="575"/>
      <c r="G8" s="570"/>
      <c r="H8" s="576"/>
      <c r="I8" s="570"/>
      <c r="J8" s="572"/>
      <c r="K8" s="573"/>
      <c r="L8" s="531"/>
      <c r="M8" s="574"/>
      <c r="N8" s="533"/>
      <c r="P8" s="577"/>
    </row>
    <row r="9" ht="27" hidden="1" customHeight="1" spans="1:16">
      <c r="A9" s="522">
        <v>7</v>
      </c>
      <c r="B9" s="566"/>
      <c r="C9" s="567"/>
      <c r="D9" s="568"/>
      <c r="E9" s="569"/>
      <c r="F9" s="575"/>
      <c r="G9" s="570"/>
      <c r="H9" s="576"/>
      <c r="I9" s="570"/>
      <c r="J9" s="572"/>
      <c r="K9" s="573"/>
      <c r="L9" s="531"/>
      <c r="M9" s="574"/>
      <c r="N9" s="533"/>
    </row>
    <row r="10" ht="6.75" hidden="1" customHeight="1" spans="1:16">
      <c r="A10" s="522">
        <v>8</v>
      </c>
      <c r="B10" s="566"/>
      <c r="C10" s="567"/>
      <c r="D10" s="568"/>
      <c r="E10" s="569"/>
      <c r="F10" s="575"/>
      <c r="G10" s="570"/>
      <c r="H10" s="576"/>
      <c r="I10" s="570"/>
      <c r="J10" s="572"/>
      <c r="K10" s="573"/>
      <c r="L10" s="531"/>
      <c r="M10" s="574"/>
      <c r="N10" s="533"/>
    </row>
    <row r="11" ht="27" hidden="1" customHeight="1" spans="1:16">
      <c r="A11" s="522">
        <v>9</v>
      </c>
      <c r="B11" s="566"/>
      <c r="C11" s="523"/>
      <c r="D11" s="524"/>
      <c r="E11" s="525"/>
      <c r="F11" s="575"/>
      <c r="G11" s="570"/>
      <c r="H11" s="571"/>
      <c r="I11" s="570"/>
      <c r="J11" s="572"/>
      <c r="K11" s="573"/>
      <c r="L11" s="531"/>
      <c r="M11" s="574"/>
      <c r="N11" s="533"/>
    </row>
    <row r="12" ht="9" customHeight="1" spans="1:16">
      <c r="A12" s="522">
        <v>10</v>
      </c>
      <c r="B12" s="566"/>
      <c r="C12" s="578"/>
      <c r="D12" s="579"/>
      <c r="E12" s="580"/>
      <c r="F12" s="575"/>
      <c r="G12" s="570"/>
      <c r="H12" s="571"/>
      <c r="I12" s="570"/>
      <c r="J12" s="572"/>
      <c r="K12" s="573"/>
      <c r="L12" s="531"/>
      <c r="M12" s="574"/>
      <c r="N12" s="533"/>
    </row>
    <row r="13" ht="27" hidden="1" customHeight="1" spans="1:16">
      <c r="A13" s="522">
        <v>11</v>
      </c>
      <c r="B13" s="566"/>
      <c r="C13" s="578"/>
      <c r="D13" s="579"/>
      <c r="E13" s="580"/>
      <c r="F13" s="575"/>
      <c r="G13" s="570"/>
      <c r="H13" s="571"/>
      <c r="I13" s="570"/>
      <c r="J13" s="572"/>
      <c r="K13" s="573"/>
      <c r="L13" s="531"/>
      <c r="M13" s="574"/>
      <c r="N13" s="533"/>
      <c r="P13" s="581"/>
    </row>
    <row r="14" ht="27" hidden="1" customHeight="1" spans="1:16">
      <c r="A14" s="522">
        <v>12</v>
      </c>
      <c r="B14" s="566"/>
      <c r="C14" s="578"/>
      <c r="D14" s="579"/>
      <c r="E14" s="580"/>
      <c r="F14" s="575"/>
      <c r="G14" s="570"/>
      <c r="H14" s="571"/>
      <c r="I14" s="570"/>
      <c r="J14" s="572"/>
      <c r="K14" s="573"/>
      <c r="L14" s="531"/>
      <c r="M14" s="574"/>
      <c r="N14" s="533"/>
    </row>
    <row r="15" ht="27" hidden="1" customHeight="1" spans="1:16">
      <c r="A15" s="522">
        <v>13</v>
      </c>
      <c r="B15" s="566"/>
      <c r="C15" s="578"/>
      <c r="D15" s="579"/>
      <c r="E15" s="580"/>
      <c r="F15" s="575"/>
      <c r="G15" s="570"/>
      <c r="H15" s="571"/>
      <c r="I15" s="570"/>
      <c r="J15" s="572"/>
      <c r="K15" s="573"/>
      <c r="L15" s="531"/>
      <c r="M15" s="574"/>
      <c r="N15" s="533"/>
    </row>
    <row r="16" ht="27" hidden="1" customHeight="1" spans="1:16">
      <c r="A16" s="522">
        <v>14</v>
      </c>
      <c r="B16" s="566"/>
      <c r="C16" s="578"/>
      <c r="D16" s="579"/>
      <c r="E16" s="580"/>
      <c r="F16" s="575"/>
      <c r="G16" s="570"/>
      <c r="H16" s="576"/>
      <c r="I16" s="570"/>
      <c r="J16" s="572"/>
      <c r="K16" s="573"/>
      <c r="L16" s="531"/>
      <c r="M16" s="574"/>
      <c r="N16" s="533"/>
    </row>
    <row r="17" ht="27" hidden="1" customHeight="1" spans="1:16">
      <c r="A17" s="522">
        <v>15</v>
      </c>
      <c r="B17" s="566"/>
      <c r="C17" s="578"/>
      <c r="D17" s="579"/>
      <c r="E17" s="580"/>
      <c r="F17" s="575"/>
      <c r="G17" s="570"/>
      <c r="H17" s="576"/>
      <c r="I17" s="570"/>
      <c r="J17" s="572"/>
      <c r="K17" s="573"/>
      <c r="L17" s="531"/>
      <c r="M17" s="574"/>
      <c r="N17" s="533"/>
      <c r="P17" s="581"/>
    </row>
    <row r="18" ht="27" hidden="1" customHeight="1" spans="1:16">
      <c r="A18" s="522">
        <v>16</v>
      </c>
      <c r="B18" s="566"/>
      <c r="C18" s="523"/>
      <c r="D18" s="524"/>
      <c r="E18" s="525"/>
      <c r="F18" s="575"/>
      <c r="G18" s="570"/>
      <c r="H18" s="576"/>
      <c r="I18" s="570"/>
      <c r="J18" s="572"/>
      <c r="K18" s="573"/>
      <c r="L18" s="531"/>
      <c r="M18" s="574"/>
      <c r="N18" s="533"/>
    </row>
    <row r="19" ht="27" hidden="1" customHeight="1" spans="1:16">
      <c r="A19" s="522">
        <v>17</v>
      </c>
      <c r="B19" s="534"/>
      <c r="C19" s="567"/>
      <c r="D19" s="568"/>
      <c r="E19" s="569"/>
      <c r="F19" s="575"/>
      <c r="G19" s="570"/>
      <c r="H19" s="576"/>
      <c r="I19" s="570"/>
      <c r="J19" s="572"/>
      <c r="K19" s="573"/>
      <c r="L19" s="531"/>
      <c r="M19" s="574"/>
      <c r="N19" s="533"/>
    </row>
    <row r="20" ht="27" hidden="1" customHeight="1" spans="1:16">
      <c r="A20" s="522">
        <v>18</v>
      </c>
      <c r="B20" s="566"/>
      <c r="C20" s="567"/>
      <c r="D20" s="568"/>
      <c r="E20" s="569"/>
      <c r="F20" s="575"/>
      <c r="G20" s="570"/>
      <c r="H20" s="576"/>
      <c r="I20" s="570"/>
      <c r="J20" s="572"/>
      <c r="K20" s="573"/>
      <c r="L20" s="531"/>
      <c r="M20" s="574"/>
      <c r="N20" s="533"/>
    </row>
    <row r="21" ht="27" hidden="1" customHeight="1" spans="1:16">
      <c r="A21" s="522">
        <v>19</v>
      </c>
      <c r="B21" s="566"/>
      <c r="C21" s="567"/>
      <c r="D21" s="568"/>
      <c r="E21" s="569"/>
      <c r="F21" s="575"/>
      <c r="G21" s="570"/>
      <c r="H21" s="576"/>
      <c r="I21" s="570"/>
      <c r="J21" s="572"/>
      <c r="K21" s="573"/>
      <c r="L21" s="531"/>
      <c r="M21" s="574"/>
      <c r="N21" s="533"/>
    </row>
    <row r="22" ht="27" hidden="1" customHeight="1" spans="1:16">
      <c r="A22" s="522">
        <v>20</v>
      </c>
      <c r="B22" s="566"/>
      <c r="C22" s="567"/>
      <c r="D22" s="568"/>
      <c r="E22" s="569"/>
      <c r="F22" s="575"/>
      <c r="G22" s="570"/>
      <c r="H22" s="576"/>
      <c r="I22" s="570"/>
      <c r="J22" s="572"/>
      <c r="K22" s="573"/>
      <c r="L22" s="531"/>
      <c r="M22" s="574"/>
      <c r="N22" s="533"/>
    </row>
    <row r="23" ht="27" hidden="1" customHeight="1" spans="1:16">
      <c r="A23" s="522">
        <v>21</v>
      </c>
      <c r="B23" s="566"/>
      <c r="C23" s="567"/>
      <c r="D23" s="568"/>
      <c r="E23" s="569"/>
      <c r="F23" s="575"/>
      <c r="G23" s="570"/>
      <c r="H23" s="576"/>
      <c r="I23" s="570"/>
      <c r="J23" s="572"/>
      <c r="K23" s="573"/>
      <c r="L23" s="531"/>
      <c r="M23" s="574"/>
      <c r="N23" s="533"/>
    </row>
    <row r="24" ht="27" hidden="1" customHeight="1" spans="1:16">
      <c r="A24" s="522">
        <v>22</v>
      </c>
      <c r="B24" s="566"/>
      <c r="C24" s="567"/>
      <c r="D24" s="568"/>
      <c r="E24" s="569"/>
      <c r="F24" s="575"/>
      <c r="G24" s="570"/>
      <c r="H24" s="576"/>
      <c r="I24" s="570"/>
      <c r="J24" s="572"/>
      <c r="K24" s="582"/>
      <c r="L24" s="531"/>
      <c r="M24" s="574"/>
      <c r="N24" s="533"/>
    </row>
    <row r="25" ht="27" hidden="1" customHeight="1" spans="1:16">
      <c r="A25" s="522">
        <v>23</v>
      </c>
      <c r="B25" s="566"/>
      <c r="C25" s="567"/>
      <c r="D25" s="568"/>
      <c r="E25" s="569"/>
      <c r="F25" s="575"/>
      <c r="G25" s="570"/>
      <c r="H25" s="576"/>
      <c r="I25" s="570"/>
      <c r="J25" s="572"/>
      <c r="K25" s="582"/>
      <c r="L25" s="583"/>
      <c r="M25" s="574"/>
      <c r="N25" s="533"/>
    </row>
    <row r="26" ht="27" hidden="1" customHeight="1" spans="1:16">
      <c r="A26" s="522">
        <v>24</v>
      </c>
      <c r="B26" s="566"/>
      <c r="C26" s="567"/>
      <c r="D26" s="568"/>
      <c r="E26" s="569"/>
      <c r="F26" s="575"/>
      <c r="G26" s="570"/>
      <c r="H26" s="576"/>
      <c r="I26" s="570"/>
      <c r="J26" s="572"/>
      <c r="K26" s="573"/>
      <c r="L26" s="537"/>
      <c r="M26" s="574"/>
      <c r="N26" s="533"/>
    </row>
    <row r="27" ht="24" hidden="1" customHeight="1" spans="1:16">
      <c r="A27" s="522">
        <v>25</v>
      </c>
      <c r="B27" s="566"/>
      <c r="C27" s="584"/>
      <c r="D27" s="568"/>
      <c r="E27" s="585"/>
      <c r="F27" s="586"/>
      <c r="G27" s="586"/>
      <c r="H27" s="576"/>
      <c r="I27" s="570"/>
      <c r="J27" s="572"/>
      <c r="K27" s="573"/>
      <c r="L27" s="534"/>
      <c r="M27" s="574"/>
      <c r="N27" s="533"/>
    </row>
    <row r="28" ht="27" hidden="1" customHeight="1" spans="1:16">
      <c r="A28" s="522">
        <v>26</v>
      </c>
      <c r="B28" s="566"/>
      <c r="C28" s="584"/>
      <c r="D28" s="568"/>
      <c r="E28" s="585"/>
      <c r="F28" s="586"/>
      <c r="G28" s="586"/>
      <c r="H28" s="576"/>
      <c r="I28" s="570"/>
      <c r="J28" s="572"/>
      <c r="K28" s="573"/>
      <c r="L28" s="531"/>
      <c r="M28" s="574"/>
      <c r="N28" s="533"/>
    </row>
    <row r="29" ht="27" hidden="1" customHeight="1" spans="1:16">
      <c r="A29" s="522">
        <v>27</v>
      </c>
      <c r="B29" s="566"/>
      <c r="C29" s="584"/>
      <c r="D29" s="568"/>
      <c r="E29" s="585"/>
      <c r="F29" s="586"/>
      <c r="G29" s="586"/>
      <c r="H29" s="576"/>
      <c r="I29" s="570"/>
      <c r="J29" s="572"/>
      <c r="K29" s="573"/>
      <c r="L29" s="531"/>
      <c r="M29" s="574"/>
      <c r="N29" s="533"/>
    </row>
    <row r="30" ht="27" hidden="1" customHeight="1" spans="1:16">
      <c r="A30" s="522">
        <v>28</v>
      </c>
      <c r="B30" s="566"/>
      <c r="C30" s="587"/>
      <c r="D30" s="534"/>
      <c r="E30" s="534"/>
      <c r="F30" s="586"/>
      <c r="G30" s="586"/>
      <c r="H30" s="576"/>
      <c r="I30" s="570"/>
      <c r="J30" s="572"/>
      <c r="K30" s="573"/>
      <c r="L30" s="531"/>
      <c r="M30" s="574"/>
      <c r="N30" s="533"/>
    </row>
    <row r="31" ht="27" hidden="1" customHeight="1" spans="1:16">
      <c r="A31" s="522">
        <v>29</v>
      </c>
      <c r="B31" s="566"/>
      <c r="C31" s="588"/>
      <c r="D31" s="579"/>
      <c r="E31" s="589"/>
      <c r="F31" s="586"/>
      <c r="G31" s="570"/>
      <c r="H31" s="576"/>
      <c r="I31" s="570"/>
      <c r="J31" s="572"/>
      <c r="K31" s="573"/>
      <c r="L31" s="531"/>
      <c r="M31" s="574"/>
      <c r="N31" s="533"/>
    </row>
    <row r="32" ht="27" hidden="1" customHeight="1" spans="1:16">
      <c r="A32" s="522">
        <v>30</v>
      </c>
      <c r="B32" s="566"/>
      <c r="C32" s="578"/>
      <c r="D32" s="579"/>
      <c r="E32" s="580"/>
      <c r="F32" s="575"/>
      <c r="G32" s="570"/>
      <c r="H32" s="576"/>
      <c r="I32" s="570"/>
      <c r="J32" s="572"/>
      <c r="K32" s="573"/>
      <c r="L32" s="531"/>
      <c r="M32" s="574"/>
      <c r="N32" s="533"/>
    </row>
    <row r="33" ht="27" hidden="1" customHeight="1" spans="1:16">
      <c r="A33" s="522">
        <v>31</v>
      </c>
      <c r="B33" s="566"/>
      <c r="C33" s="588"/>
      <c r="D33" s="579"/>
      <c r="E33" s="580"/>
      <c r="F33" s="575"/>
      <c r="G33" s="570"/>
      <c r="H33" s="576"/>
      <c r="I33" s="570"/>
      <c r="J33" s="572"/>
      <c r="K33" s="573"/>
      <c r="L33" s="531"/>
      <c r="M33" s="574"/>
      <c r="N33" s="533"/>
    </row>
    <row r="34" ht="27" hidden="1" customHeight="1" spans="1:16">
      <c r="A34" s="522">
        <v>32</v>
      </c>
      <c r="B34" s="566"/>
      <c r="C34" s="588"/>
      <c r="D34" s="579"/>
      <c r="E34" s="580"/>
      <c r="F34" s="575"/>
      <c r="G34" s="586"/>
      <c r="H34" s="576"/>
      <c r="I34" s="570"/>
      <c r="J34" s="572"/>
      <c r="K34" s="573"/>
      <c r="L34" s="531"/>
      <c r="M34" s="574"/>
      <c r="N34" s="533"/>
    </row>
    <row r="35" ht="27" hidden="1" customHeight="1" spans="1:16">
      <c r="A35" s="522">
        <v>33</v>
      </c>
      <c r="B35" s="566"/>
      <c r="C35" s="588"/>
      <c r="D35" s="579"/>
      <c r="E35" s="580"/>
      <c r="F35" s="575"/>
      <c r="G35" s="586"/>
      <c r="H35" s="576"/>
      <c r="I35" s="570"/>
      <c r="J35" s="572"/>
      <c r="K35" s="573"/>
      <c r="L35" s="531"/>
      <c r="M35" s="574"/>
      <c r="N35" s="533"/>
    </row>
    <row r="36" ht="27" hidden="1" customHeight="1" spans="1:16">
      <c r="A36" s="522">
        <v>34</v>
      </c>
      <c r="B36" s="566"/>
      <c r="C36" s="588"/>
      <c r="D36" s="579"/>
      <c r="E36" s="589"/>
      <c r="F36" s="586"/>
      <c r="G36" s="586"/>
      <c r="H36" s="576"/>
      <c r="I36" s="570"/>
      <c r="J36" s="572"/>
      <c r="K36" s="573"/>
      <c r="L36" s="531"/>
      <c r="M36" s="574"/>
      <c r="N36" s="533"/>
    </row>
    <row r="37" ht="27" hidden="1" customHeight="1" spans="1:16">
      <c r="A37" s="522">
        <v>35</v>
      </c>
      <c r="B37" s="566"/>
      <c r="C37" s="588"/>
      <c r="D37" s="579"/>
      <c r="E37" s="589"/>
      <c r="F37" s="586"/>
      <c r="G37" s="586"/>
      <c r="H37" s="576"/>
      <c r="I37" s="570"/>
      <c r="J37" s="572"/>
      <c r="K37" s="573"/>
      <c r="L37" s="531"/>
      <c r="M37" s="574"/>
      <c r="N37" s="533"/>
    </row>
    <row r="38" ht="27" hidden="1" customHeight="1" spans="1:16">
      <c r="A38" s="522">
        <v>36</v>
      </c>
      <c r="B38" s="566"/>
      <c r="C38" s="588"/>
      <c r="D38" s="579"/>
      <c r="E38" s="589"/>
      <c r="F38" s="586"/>
      <c r="G38" s="570"/>
      <c r="H38" s="576"/>
      <c r="I38" s="570"/>
      <c r="J38" s="572"/>
      <c r="K38" s="573"/>
      <c r="L38" s="531"/>
      <c r="M38" s="574"/>
      <c r="N38" s="533"/>
    </row>
    <row r="39" ht="27" hidden="1" customHeight="1" spans="1:16">
      <c r="A39" s="522">
        <v>37</v>
      </c>
      <c r="B39" s="566"/>
      <c r="C39" s="588"/>
      <c r="D39" s="579"/>
      <c r="E39" s="589"/>
      <c r="F39" s="586"/>
      <c r="G39" s="570"/>
      <c r="H39" s="576"/>
      <c r="I39" s="570"/>
      <c r="J39" s="572"/>
      <c r="K39" s="573"/>
      <c r="L39" s="531"/>
      <c r="M39" s="574"/>
      <c r="N39" s="533"/>
    </row>
    <row r="40" ht="27" hidden="1" customHeight="1" spans="1:16">
      <c r="A40" s="522">
        <v>38</v>
      </c>
      <c r="B40" s="566"/>
      <c r="C40" s="588"/>
      <c r="D40" s="579"/>
      <c r="E40" s="589"/>
      <c r="F40" s="586"/>
      <c r="G40" s="570"/>
      <c r="H40" s="576"/>
      <c r="I40" s="570"/>
      <c r="J40" s="572"/>
      <c r="K40" s="573"/>
      <c r="L40" s="531"/>
      <c r="M40" s="574"/>
      <c r="N40" s="533"/>
    </row>
    <row r="41" ht="27" hidden="1" customHeight="1" spans="1:16">
      <c r="A41" s="522">
        <v>39</v>
      </c>
      <c r="B41" s="566"/>
      <c r="C41" s="587"/>
      <c r="D41" s="534"/>
      <c r="E41" s="534"/>
      <c r="F41" s="586"/>
      <c r="G41" s="570"/>
      <c r="H41" s="576"/>
      <c r="I41" s="570"/>
      <c r="J41" s="572"/>
      <c r="K41" s="573"/>
      <c r="L41" s="531"/>
      <c r="M41" s="574"/>
      <c r="N41" s="533"/>
    </row>
    <row r="42" ht="27" hidden="1" customHeight="1" spans="1:16">
      <c r="A42" s="522">
        <v>40</v>
      </c>
      <c r="B42" s="566"/>
      <c r="C42" s="584"/>
      <c r="D42" s="568"/>
      <c r="E42" s="585"/>
      <c r="F42" s="586"/>
      <c r="G42" s="570"/>
      <c r="H42" s="576"/>
      <c r="I42" s="570"/>
      <c r="J42" s="572"/>
      <c r="K42" s="573"/>
      <c r="L42" s="531"/>
      <c r="M42" s="574"/>
      <c r="N42" s="533"/>
    </row>
    <row r="43" ht="27" hidden="1" customHeight="1" spans="1:16">
      <c r="A43" s="522">
        <v>41</v>
      </c>
      <c r="B43" s="566"/>
      <c r="C43" s="567"/>
      <c r="D43" s="568"/>
      <c r="E43" s="569"/>
      <c r="F43" s="575"/>
      <c r="G43" s="570"/>
      <c r="H43" s="576"/>
      <c r="I43" s="570"/>
      <c r="J43" s="572"/>
      <c r="K43" s="573"/>
      <c r="L43" s="531"/>
      <c r="M43" s="574"/>
      <c r="N43" s="533"/>
    </row>
    <row r="44" ht="27" hidden="1" customHeight="1" spans="1:16">
      <c r="A44" s="522">
        <v>42</v>
      </c>
      <c r="B44" s="566"/>
      <c r="C44" s="567"/>
      <c r="D44" s="568"/>
      <c r="E44" s="569"/>
      <c r="F44" s="575"/>
      <c r="G44" s="570"/>
      <c r="H44" s="576"/>
      <c r="I44" s="570"/>
      <c r="J44" s="572"/>
      <c r="K44" s="573"/>
      <c r="L44" s="531"/>
      <c r="M44" s="574"/>
      <c r="N44" s="533"/>
    </row>
    <row r="45" ht="25.5" hidden="1" customHeight="1" spans="1:16">
      <c r="A45" s="522">
        <v>43</v>
      </c>
      <c r="B45" s="566"/>
      <c r="C45" s="567"/>
      <c r="D45" s="568"/>
      <c r="E45" s="569"/>
      <c r="F45" s="575"/>
      <c r="G45" s="570"/>
      <c r="H45" s="576"/>
      <c r="I45" s="570"/>
      <c r="J45" s="572"/>
      <c r="K45" s="573"/>
      <c r="L45" s="531"/>
      <c r="M45" s="574"/>
      <c r="N45" s="533"/>
    </row>
    <row r="46" ht="27" hidden="1" customHeight="1" spans="1:16">
      <c r="A46" s="522">
        <v>44</v>
      </c>
      <c r="B46" s="566"/>
      <c r="C46" s="584"/>
      <c r="D46" s="568"/>
      <c r="E46" s="569"/>
      <c r="F46" s="575"/>
      <c r="G46" s="586"/>
      <c r="H46" s="576"/>
      <c r="I46" s="570"/>
      <c r="J46" s="572"/>
      <c r="K46" s="582"/>
      <c r="L46" s="531"/>
      <c r="M46" s="574"/>
      <c r="N46" s="533"/>
    </row>
    <row r="47" ht="27" hidden="1" customHeight="1" spans="1:16">
      <c r="A47" s="522">
        <v>45</v>
      </c>
      <c r="B47" s="566"/>
      <c r="C47" s="567"/>
      <c r="D47" s="568"/>
      <c r="E47" s="585"/>
      <c r="F47" s="586"/>
      <c r="G47" s="586"/>
      <c r="H47" s="576"/>
      <c r="I47" s="570"/>
      <c r="J47" s="572"/>
      <c r="K47" s="573"/>
      <c r="L47" s="531"/>
      <c r="M47" s="574"/>
      <c r="N47" s="533"/>
    </row>
    <row r="48" ht="27" hidden="1" customHeight="1" spans="1:16">
      <c r="A48" s="522">
        <v>46</v>
      </c>
      <c r="B48" s="566"/>
      <c r="C48" s="584"/>
      <c r="D48" s="568"/>
      <c r="E48" s="585"/>
      <c r="F48" s="586"/>
      <c r="G48" s="586"/>
      <c r="H48" s="576"/>
      <c r="I48" s="570"/>
      <c r="J48" s="572"/>
      <c r="K48" s="573"/>
      <c r="L48" s="531"/>
      <c r="M48" s="574"/>
      <c r="N48" s="533"/>
      <c r="P48" s="581"/>
    </row>
    <row r="49" ht="27" hidden="1" customHeight="1" spans="1:14">
      <c r="A49" s="522">
        <v>47</v>
      </c>
      <c r="B49" s="566"/>
      <c r="C49" s="584"/>
      <c r="D49" s="568"/>
      <c r="E49" s="585"/>
      <c r="F49" s="586"/>
      <c r="G49" s="586"/>
      <c r="H49" s="576"/>
      <c r="I49" s="570"/>
      <c r="J49" s="572"/>
      <c r="K49" s="573"/>
      <c r="L49" s="531"/>
      <c r="M49" s="574"/>
      <c r="N49" s="533"/>
    </row>
    <row r="50" ht="27" hidden="1" customHeight="1" spans="1:14">
      <c r="A50" s="522">
        <v>48</v>
      </c>
      <c r="B50" s="566"/>
      <c r="C50" s="587"/>
      <c r="D50" s="524"/>
      <c r="E50" s="534"/>
      <c r="F50" s="586"/>
      <c r="G50" s="586"/>
      <c r="H50" s="576"/>
      <c r="I50" s="570"/>
      <c r="J50" s="572"/>
      <c r="K50" s="573"/>
      <c r="L50" s="531"/>
      <c r="M50" s="574"/>
      <c r="N50" s="533"/>
    </row>
    <row r="51" ht="27" hidden="1" customHeight="1" spans="1:14">
      <c r="A51" s="522">
        <v>49</v>
      </c>
      <c r="B51" s="566"/>
      <c r="C51" s="578"/>
      <c r="D51" s="579"/>
      <c r="E51" s="589"/>
      <c r="F51" s="586"/>
      <c r="G51" s="570"/>
      <c r="H51" s="576"/>
      <c r="I51" s="570"/>
      <c r="J51" s="572"/>
      <c r="K51" s="573"/>
      <c r="L51" s="531"/>
      <c r="M51" s="574"/>
      <c r="N51" s="533"/>
    </row>
    <row r="52" ht="27" hidden="1" customHeight="1" spans="1:14">
      <c r="A52" s="522">
        <v>50</v>
      </c>
      <c r="B52" s="566"/>
      <c r="C52" s="578"/>
      <c r="D52" s="579"/>
      <c r="E52" s="589"/>
      <c r="F52" s="586"/>
      <c r="G52" s="570"/>
      <c r="H52" s="576"/>
      <c r="I52" s="570"/>
      <c r="J52" s="572"/>
      <c r="K52" s="573"/>
      <c r="L52" s="531"/>
      <c r="M52" s="574"/>
      <c r="N52" s="533"/>
    </row>
    <row r="53" ht="27" hidden="1" customHeight="1" spans="1:14">
      <c r="A53" s="522">
        <v>51</v>
      </c>
      <c r="B53" s="566"/>
      <c r="C53" s="578"/>
      <c r="D53" s="579"/>
      <c r="E53" s="589"/>
      <c r="F53" s="586"/>
      <c r="G53" s="570"/>
      <c r="H53" s="576"/>
      <c r="I53" s="570"/>
      <c r="J53" s="572"/>
      <c r="K53" s="573"/>
      <c r="L53" s="531"/>
      <c r="M53" s="574"/>
      <c r="N53" s="533"/>
    </row>
    <row r="54" ht="27" hidden="1" customHeight="1" spans="1:14">
      <c r="A54" s="522">
        <v>52</v>
      </c>
      <c r="B54" s="566"/>
      <c r="C54" s="578"/>
      <c r="D54" s="579"/>
      <c r="E54" s="589"/>
      <c r="F54" s="586"/>
      <c r="G54" s="570"/>
      <c r="H54" s="576"/>
      <c r="I54" s="570"/>
      <c r="J54" s="572"/>
      <c r="K54" s="573"/>
      <c r="L54" s="531"/>
      <c r="M54" s="574"/>
      <c r="N54" s="533"/>
    </row>
    <row r="55" ht="27" hidden="1" customHeight="1" spans="1:14">
      <c r="A55" s="522">
        <v>53</v>
      </c>
      <c r="B55" s="566"/>
      <c r="C55" s="578"/>
      <c r="D55" s="579"/>
      <c r="E55" s="589"/>
      <c r="F55" s="586"/>
      <c r="G55" s="570"/>
      <c r="H55" s="576"/>
      <c r="I55" s="570"/>
      <c r="J55" s="572"/>
      <c r="K55" s="573"/>
      <c r="L55" s="531"/>
      <c r="M55" s="574"/>
      <c r="N55" s="533"/>
    </row>
    <row r="56" ht="27" hidden="1" customHeight="1" spans="1:14">
      <c r="A56" s="522">
        <v>54</v>
      </c>
      <c r="B56" s="566"/>
      <c r="C56" s="578"/>
      <c r="D56" s="579"/>
      <c r="E56" s="589"/>
      <c r="F56" s="586"/>
      <c r="G56" s="570"/>
      <c r="H56" s="576"/>
      <c r="I56" s="570"/>
      <c r="J56" s="572"/>
      <c r="K56" s="573"/>
      <c r="L56" s="531"/>
      <c r="M56" s="574"/>
      <c r="N56" s="533"/>
    </row>
    <row r="57" ht="27" hidden="1" customHeight="1" spans="1:14">
      <c r="A57" s="522">
        <v>55</v>
      </c>
      <c r="B57" s="566"/>
      <c r="C57" s="588"/>
      <c r="D57" s="579"/>
      <c r="E57" s="580"/>
      <c r="F57" s="575"/>
      <c r="G57" s="570"/>
      <c r="H57" s="576"/>
      <c r="I57" s="570"/>
      <c r="J57" s="572"/>
      <c r="K57" s="573"/>
      <c r="L57" s="534"/>
      <c r="M57" s="574"/>
      <c r="N57" s="533"/>
    </row>
    <row r="58" ht="27" hidden="1" customHeight="1" spans="1:14">
      <c r="A58" s="522">
        <v>56</v>
      </c>
      <c r="B58" s="566"/>
      <c r="C58" s="588"/>
      <c r="D58" s="579"/>
      <c r="E58" s="589"/>
      <c r="F58" s="586"/>
      <c r="G58" s="586"/>
      <c r="H58" s="576"/>
      <c r="I58" s="570"/>
      <c r="J58" s="572"/>
      <c r="K58" s="573"/>
      <c r="L58" s="534"/>
      <c r="M58" s="574"/>
      <c r="N58" s="533"/>
    </row>
    <row r="59" ht="27" hidden="1" customHeight="1" spans="1:14">
      <c r="A59" s="522">
        <v>57</v>
      </c>
      <c r="B59" s="566"/>
      <c r="C59" s="587"/>
      <c r="D59" s="524"/>
      <c r="E59" s="534"/>
      <c r="F59" s="586"/>
      <c r="G59" s="586"/>
      <c r="H59" s="576"/>
      <c r="I59" s="570"/>
      <c r="J59" s="572"/>
      <c r="K59" s="573"/>
      <c r="L59" s="534"/>
      <c r="M59" s="574"/>
      <c r="N59" s="533"/>
    </row>
    <row r="60" ht="27" hidden="1" customHeight="1" spans="1:14">
      <c r="A60" s="522">
        <v>58</v>
      </c>
      <c r="B60" s="566"/>
      <c r="C60" s="590"/>
      <c r="D60" s="568"/>
      <c r="E60" s="569"/>
      <c r="F60" s="575"/>
      <c r="G60" s="570"/>
      <c r="H60" s="576"/>
      <c r="I60" s="570"/>
      <c r="J60" s="572"/>
      <c r="K60" s="573"/>
      <c r="L60" s="531"/>
      <c r="M60" s="574"/>
      <c r="N60" s="533"/>
    </row>
    <row r="61" ht="27" hidden="1" customHeight="1" spans="1:14">
      <c r="A61" s="522">
        <v>59</v>
      </c>
      <c r="B61" s="566"/>
      <c r="C61" s="590"/>
      <c r="D61" s="568"/>
      <c r="E61" s="569"/>
      <c r="F61" s="575"/>
      <c r="G61" s="570"/>
      <c r="H61" s="576"/>
      <c r="I61" s="570"/>
      <c r="J61" s="572"/>
      <c r="K61" s="573"/>
      <c r="L61" s="531"/>
      <c r="M61" s="574"/>
      <c r="N61" s="533"/>
    </row>
    <row r="62" ht="27" hidden="1" customHeight="1" spans="1:14">
      <c r="A62" s="522">
        <v>60</v>
      </c>
      <c r="B62" s="566"/>
      <c r="C62" s="590"/>
      <c r="D62" s="568"/>
      <c r="E62" s="569"/>
      <c r="F62" s="575"/>
      <c r="G62" s="570"/>
      <c r="H62" s="576"/>
      <c r="I62" s="570"/>
      <c r="J62" s="572"/>
      <c r="K62" s="573"/>
      <c r="L62" s="531"/>
      <c r="M62" s="574"/>
      <c r="N62" s="533"/>
    </row>
    <row r="63" ht="17.25" hidden="1" customHeight="1" spans="1:14">
      <c r="A63" s="522">
        <v>61</v>
      </c>
      <c r="B63" s="566"/>
      <c r="C63" s="567"/>
      <c r="D63" s="568"/>
      <c r="E63" s="569"/>
      <c r="F63" s="575"/>
      <c r="G63" s="570"/>
      <c r="H63" s="576"/>
      <c r="I63" s="570"/>
      <c r="J63" s="572"/>
      <c r="K63" s="573"/>
      <c r="L63" s="531"/>
      <c r="M63" s="574"/>
      <c r="N63" s="533"/>
    </row>
    <row r="64" ht="27" hidden="1" customHeight="1" spans="1:14">
      <c r="A64" s="522">
        <v>62</v>
      </c>
      <c r="B64" s="566"/>
      <c r="C64" s="584"/>
      <c r="D64" s="568"/>
      <c r="E64" s="585"/>
      <c r="F64" s="586"/>
      <c r="G64" s="586"/>
      <c r="H64" s="576"/>
      <c r="I64" s="570"/>
      <c r="J64" s="572"/>
      <c r="K64" s="573"/>
      <c r="L64" s="531"/>
      <c r="M64" s="574"/>
      <c r="N64" s="533"/>
    </row>
    <row r="65" ht="27" hidden="1" customHeight="1" spans="1:14">
      <c r="A65" s="522">
        <v>63</v>
      </c>
      <c r="B65" s="566"/>
      <c r="C65" s="523"/>
      <c r="D65" s="534"/>
      <c r="E65" s="534"/>
      <c r="F65" s="586"/>
      <c r="G65" s="586"/>
      <c r="H65" s="591"/>
      <c r="I65" s="570"/>
      <c r="J65" s="572"/>
      <c r="K65" s="573"/>
      <c r="L65" s="531"/>
      <c r="M65" s="574"/>
      <c r="N65" s="533"/>
    </row>
    <row r="66" ht="27" hidden="1" customHeight="1" spans="1:14">
      <c r="A66" s="522">
        <v>64</v>
      </c>
      <c r="B66" s="566"/>
      <c r="C66" s="592"/>
      <c r="D66" s="579"/>
      <c r="E66" s="580"/>
      <c r="F66" s="575"/>
      <c r="G66" s="570"/>
      <c r="H66" s="576"/>
      <c r="I66" s="570"/>
      <c r="J66" s="572"/>
      <c r="K66" s="573"/>
      <c r="L66" s="531"/>
      <c r="M66" s="574"/>
      <c r="N66" s="533"/>
    </row>
    <row r="67" ht="27" hidden="1" customHeight="1" spans="1:14">
      <c r="A67" s="522">
        <v>65</v>
      </c>
      <c r="B67" s="566"/>
      <c r="C67" s="578"/>
      <c r="D67" s="579"/>
      <c r="E67" s="580"/>
      <c r="F67" s="575"/>
      <c r="G67" s="570"/>
      <c r="H67" s="576"/>
      <c r="I67" s="570"/>
      <c r="J67" s="572"/>
      <c r="K67" s="573"/>
      <c r="L67" s="531"/>
      <c r="M67" s="574"/>
      <c r="N67" s="533"/>
    </row>
    <row r="68" ht="27" hidden="1" customHeight="1" spans="1:14">
      <c r="A68" s="522">
        <v>66</v>
      </c>
      <c r="B68" s="566"/>
      <c r="C68" s="578"/>
      <c r="D68" s="579"/>
      <c r="E68" s="580"/>
      <c r="F68" s="575"/>
      <c r="G68" s="570"/>
      <c r="H68" s="576"/>
      <c r="I68" s="570"/>
      <c r="J68" s="572"/>
      <c r="K68" s="593"/>
      <c r="L68" s="531"/>
      <c r="M68" s="574"/>
      <c r="N68" s="533"/>
    </row>
    <row r="69" ht="27" hidden="1" customHeight="1" spans="1:14">
      <c r="A69" s="522">
        <v>67</v>
      </c>
      <c r="B69" s="566"/>
      <c r="C69" s="578"/>
      <c r="D69" s="579"/>
      <c r="E69" s="580"/>
      <c r="F69" s="575"/>
      <c r="G69" s="570"/>
      <c r="H69" s="576"/>
      <c r="I69" s="570"/>
      <c r="J69" s="572"/>
      <c r="K69" s="573"/>
      <c r="L69" s="531"/>
      <c r="M69" s="574"/>
      <c r="N69" s="533"/>
    </row>
    <row r="70" ht="27" hidden="1" customHeight="1" spans="1:14">
      <c r="A70" s="522">
        <v>68</v>
      </c>
      <c r="B70" s="566"/>
      <c r="C70" s="523"/>
      <c r="D70" s="524"/>
      <c r="E70" s="525"/>
      <c r="F70" s="575"/>
      <c r="G70" s="570"/>
      <c r="H70" s="576"/>
      <c r="I70" s="570"/>
      <c r="J70" s="572"/>
      <c r="K70" s="573"/>
      <c r="L70" s="531"/>
      <c r="M70" s="574"/>
      <c r="N70" s="533"/>
    </row>
    <row r="71" ht="27" hidden="1" customHeight="1" spans="1:14">
      <c r="A71" s="522">
        <v>69</v>
      </c>
      <c r="B71" s="566"/>
      <c r="C71" s="567"/>
      <c r="D71" s="568"/>
      <c r="E71" s="569"/>
      <c r="F71" s="575"/>
      <c r="G71" s="570"/>
      <c r="H71" s="576"/>
      <c r="I71" s="570"/>
      <c r="J71" s="572"/>
      <c r="K71" s="573"/>
      <c r="L71" s="531"/>
      <c r="M71" s="574"/>
      <c r="N71" s="533"/>
    </row>
    <row r="72" ht="27" hidden="1" customHeight="1" spans="1:14">
      <c r="A72" s="522">
        <v>70</v>
      </c>
      <c r="B72" s="566"/>
      <c r="C72" s="567"/>
      <c r="D72" s="568"/>
      <c r="E72" s="569"/>
      <c r="F72" s="575"/>
      <c r="G72" s="570"/>
      <c r="H72" s="576"/>
      <c r="I72" s="570"/>
      <c r="J72" s="572"/>
      <c r="K72" s="573"/>
      <c r="L72" s="531"/>
      <c r="M72" s="574"/>
      <c r="N72" s="533"/>
    </row>
    <row r="73" ht="27" hidden="1" customHeight="1" spans="1:14">
      <c r="A73" s="522">
        <v>71</v>
      </c>
      <c r="B73" s="566"/>
      <c r="C73" s="567"/>
      <c r="D73" s="568"/>
      <c r="E73" s="569"/>
      <c r="F73" s="575"/>
      <c r="G73" s="570"/>
      <c r="H73" s="576"/>
      <c r="I73" s="570"/>
      <c r="J73" s="572"/>
      <c r="K73" s="573"/>
      <c r="L73" s="531"/>
      <c r="M73" s="574"/>
      <c r="N73" s="533"/>
    </row>
    <row r="74" s="553" customFormat="1" ht="27" hidden="1" customHeight="1" spans="1:14">
      <c r="A74" s="522">
        <v>72</v>
      </c>
      <c r="B74" s="566"/>
      <c r="C74" s="567"/>
      <c r="D74" s="568"/>
      <c r="E74" s="569"/>
      <c r="F74" s="575"/>
      <c r="G74" s="570"/>
      <c r="H74" s="576"/>
      <c r="I74" s="570"/>
      <c r="J74" s="572"/>
      <c r="K74" s="573"/>
      <c r="L74" s="531"/>
      <c r="M74" s="574"/>
      <c r="N74" s="533"/>
    </row>
    <row r="75" ht="27" hidden="1" customHeight="1" spans="1:14">
      <c r="A75" s="522">
        <v>73</v>
      </c>
      <c r="B75" s="566"/>
      <c r="C75" s="567"/>
      <c r="D75" s="568"/>
      <c r="E75" s="569"/>
      <c r="F75" s="575"/>
      <c r="G75" s="570"/>
      <c r="H75" s="576"/>
      <c r="I75" s="570"/>
      <c r="J75" s="572"/>
      <c r="K75" s="573"/>
      <c r="L75" s="531"/>
      <c r="M75" s="574"/>
      <c r="N75" s="533"/>
    </row>
    <row r="76" ht="27" hidden="1" customHeight="1" spans="1:14">
      <c r="A76" s="522">
        <v>74</v>
      </c>
      <c r="B76" s="566"/>
      <c r="C76" s="567"/>
      <c r="D76" s="568"/>
      <c r="E76" s="569"/>
      <c r="F76" s="575"/>
      <c r="G76" s="570"/>
      <c r="H76" s="576"/>
      <c r="I76" s="570"/>
      <c r="J76" s="572"/>
      <c r="K76" s="573"/>
      <c r="L76" s="531"/>
      <c r="M76" s="574"/>
      <c r="N76" s="533"/>
    </row>
    <row r="77" ht="27" hidden="1" customHeight="1" spans="1:14">
      <c r="A77" s="522">
        <v>75</v>
      </c>
      <c r="B77" s="566"/>
      <c r="C77" s="567"/>
      <c r="D77" s="568"/>
      <c r="E77" s="569"/>
      <c r="F77" s="575"/>
      <c r="G77" s="570"/>
      <c r="H77" s="576"/>
      <c r="I77" s="570"/>
      <c r="J77" s="572"/>
      <c r="K77" s="573"/>
      <c r="L77" s="531"/>
      <c r="M77" s="574"/>
      <c r="N77" s="533"/>
    </row>
    <row r="78" ht="27" hidden="1" customHeight="1" spans="1:14">
      <c r="A78" s="522">
        <v>76</v>
      </c>
      <c r="B78" s="566"/>
      <c r="C78" s="567"/>
      <c r="D78" s="568"/>
      <c r="E78" s="569"/>
      <c r="F78" s="575"/>
      <c r="G78" s="570"/>
      <c r="H78" s="576"/>
      <c r="I78" s="570"/>
      <c r="J78" s="572"/>
      <c r="K78" s="573"/>
      <c r="L78" s="531"/>
      <c r="M78" s="574"/>
      <c r="N78" s="533"/>
    </row>
    <row r="79" ht="27" hidden="1" customHeight="1" spans="1:14">
      <c r="A79" s="522">
        <v>77</v>
      </c>
      <c r="B79" s="566"/>
      <c r="C79" s="567"/>
      <c r="D79" s="568"/>
      <c r="E79" s="569"/>
      <c r="F79" s="575"/>
      <c r="G79" s="570"/>
      <c r="H79" s="576"/>
      <c r="I79" s="570"/>
      <c r="J79" s="572"/>
      <c r="K79" s="573"/>
      <c r="L79" s="531"/>
      <c r="M79" s="574"/>
      <c r="N79" s="533"/>
    </row>
    <row r="80" ht="27" hidden="1" customHeight="1" spans="1:14">
      <c r="A80" s="522">
        <v>78</v>
      </c>
      <c r="B80" s="566"/>
      <c r="C80" s="567"/>
      <c r="D80" s="568"/>
      <c r="E80" s="594"/>
      <c r="F80" s="575"/>
      <c r="G80" s="570"/>
      <c r="H80" s="576"/>
      <c r="I80" s="570"/>
      <c r="J80" s="572"/>
      <c r="K80" s="573"/>
      <c r="L80" s="531"/>
      <c r="M80" s="574"/>
      <c r="N80" s="533"/>
    </row>
    <row r="81" ht="27" hidden="1" customHeight="1" spans="1:14">
      <c r="A81" s="522">
        <v>79</v>
      </c>
      <c r="B81" s="566"/>
      <c r="C81" s="567"/>
      <c r="D81" s="568"/>
      <c r="E81" s="569"/>
      <c r="F81" s="575"/>
      <c r="G81" s="570"/>
      <c r="H81" s="576"/>
      <c r="I81" s="570"/>
      <c r="J81" s="572"/>
      <c r="K81" s="573"/>
      <c r="L81" s="531"/>
      <c r="M81" s="574"/>
      <c r="N81" s="533"/>
    </row>
    <row r="82" ht="27" hidden="1" customHeight="1" spans="1:14">
      <c r="A82" s="522">
        <v>80</v>
      </c>
      <c r="B82" s="566"/>
      <c r="C82" s="567"/>
      <c r="D82" s="568"/>
      <c r="E82" s="569"/>
      <c r="F82" s="575"/>
      <c r="G82" s="570"/>
      <c r="H82" s="576"/>
      <c r="I82" s="570"/>
      <c r="J82" s="572"/>
      <c r="K82" s="573"/>
      <c r="L82" s="531"/>
      <c r="M82" s="574"/>
      <c r="N82" s="533"/>
    </row>
    <row r="83" ht="27" hidden="1" customHeight="1" spans="1:14">
      <c r="A83" s="522">
        <v>81</v>
      </c>
      <c r="B83" s="566"/>
      <c r="C83" s="567"/>
      <c r="D83" s="568"/>
      <c r="E83" s="569"/>
      <c r="F83" s="575"/>
      <c r="G83" s="570"/>
      <c r="H83" s="576"/>
      <c r="I83" s="570"/>
      <c r="J83" s="572"/>
      <c r="K83" s="573"/>
      <c r="L83" s="531"/>
      <c r="M83" s="574"/>
      <c r="N83" s="533"/>
    </row>
    <row r="84" ht="27" hidden="1" customHeight="1" spans="1:14">
      <c r="A84" s="522">
        <v>82</v>
      </c>
      <c r="B84" s="566"/>
      <c r="C84" s="567"/>
      <c r="D84" s="568"/>
      <c r="E84" s="569"/>
      <c r="F84" s="575"/>
      <c r="G84" s="570"/>
      <c r="H84" s="576"/>
      <c r="I84" s="570"/>
      <c r="J84" s="572"/>
      <c r="K84" s="573"/>
      <c r="L84" s="531"/>
      <c r="M84" s="574"/>
      <c r="N84" s="533"/>
    </row>
    <row r="85" ht="27" hidden="1" customHeight="1" spans="1:14">
      <c r="A85" s="522">
        <v>83</v>
      </c>
      <c r="B85" s="566"/>
      <c r="C85" s="523"/>
      <c r="D85" s="524"/>
      <c r="E85" s="525"/>
      <c r="F85" s="575"/>
      <c r="G85" s="570"/>
      <c r="H85" s="576"/>
      <c r="I85" s="570"/>
      <c r="J85" s="572"/>
      <c r="K85" s="573"/>
      <c r="L85" s="531"/>
      <c r="M85" s="574"/>
      <c r="N85" s="533"/>
    </row>
    <row r="86" ht="27" hidden="1" customHeight="1" spans="1:14">
      <c r="A86" s="522">
        <v>84</v>
      </c>
      <c r="B86" s="566"/>
      <c r="C86" s="578"/>
      <c r="D86" s="579"/>
      <c r="E86" s="580"/>
      <c r="F86" s="575"/>
      <c r="G86" s="570"/>
      <c r="H86" s="576"/>
      <c r="I86" s="570"/>
      <c r="J86" s="572"/>
      <c r="K86" s="573"/>
      <c r="L86" s="531"/>
      <c r="M86" s="574"/>
      <c r="N86" s="533"/>
    </row>
    <row r="87" ht="27" hidden="1" customHeight="1" spans="1:14">
      <c r="A87" s="522">
        <v>85</v>
      </c>
      <c r="B87" s="566"/>
      <c r="C87" s="578"/>
      <c r="D87" s="579"/>
      <c r="E87" s="580"/>
      <c r="F87" s="575"/>
      <c r="G87" s="570"/>
      <c r="H87" s="576"/>
      <c r="I87" s="570"/>
      <c r="J87" s="572"/>
      <c r="K87" s="573"/>
      <c r="L87" s="531"/>
      <c r="M87" s="574"/>
      <c r="N87" s="533"/>
    </row>
    <row r="88" ht="27" hidden="1" customHeight="1" spans="1:14">
      <c r="A88" s="522">
        <v>86</v>
      </c>
      <c r="B88" s="566"/>
      <c r="C88" s="578"/>
      <c r="D88" s="579"/>
      <c r="E88" s="580"/>
      <c r="F88" s="575"/>
      <c r="G88" s="570"/>
      <c r="H88" s="576"/>
      <c r="I88" s="570"/>
      <c r="J88" s="572"/>
      <c r="K88" s="573"/>
      <c r="L88" s="531"/>
      <c r="M88" s="574"/>
      <c r="N88" s="533"/>
    </row>
    <row r="89" ht="27" hidden="1" customHeight="1" spans="1:14">
      <c r="A89" s="522">
        <v>87</v>
      </c>
      <c r="B89" s="566"/>
      <c r="C89" s="578"/>
      <c r="D89" s="579"/>
      <c r="E89" s="580"/>
      <c r="F89" s="575"/>
      <c r="G89" s="570"/>
      <c r="H89" s="576"/>
      <c r="I89" s="570"/>
      <c r="J89" s="572"/>
      <c r="K89" s="573"/>
      <c r="L89" s="531"/>
      <c r="M89" s="574"/>
      <c r="N89" s="533"/>
    </row>
    <row r="90" ht="27" hidden="1" customHeight="1" spans="1:14">
      <c r="A90" s="522">
        <v>88</v>
      </c>
      <c r="B90" s="566"/>
      <c r="C90" s="578"/>
      <c r="D90" s="579"/>
      <c r="E90" s="580"/>
      <c r="F90" s="575"/>
      <c r="G90" s="570"/>
      <c r="H90" s="576"/>
      <c r="I90" s="570"/>
      <c r="J90" s="572"/>
      <c r="K90" s="573"/>
      <c r="L90" s="531"/>
      <c r="M90" s="574"/>
      <c r="N90" s="533"/>
    </row>
    <row r="91" ht="27" hidden="1" customHeight="1" spans="1:14">
      <c r="A91" s="522">
        <v>89</v>
      </c>
      <c r="B91" s="566"/>
      <c r="C91" s="578"/>
      <c r="D91" s="579"/>
      <c r="E91" s="589"/>
      <c r="F91" s="591"/>
      <c r="G91" s="570"/>
      <c r="H91" s="576"/>
      <c r="I91" s="570"/>
      <c r="J91" s="572"/>
      <c r="K91" s="573"/>
      <c r="L91" s="531"/>
      <c r="M91" s="574"/>
      <c r="N91" s="533"/>
    </row>
    <row r="92" ht="27" hidden="1" customHeight="1" spans="1:14">
      <c r="A92" s="522">
        <v>90</v>
      </c>
      <c r="B92" s="566"/>
      <c r="C92" s="578"/>
      <c r="D92" s="579"/>
      <c r="E92" s="580"/>
      <c r="F92" s="575"/>
      <c r="G92" s="570"/>
      <c r="H92" s="576"/>
      <c r="I92" s="570"/>
      <c r="J92" s="572"/>
      <c r="K92" s="573"/>
      <c r="L92" s="531"/>
      <c r="M92" s="574"/>
      <c r="N92" s="533"/>
    </row>
    <row r="93" ht="27" hidden="1" customHeight="1" spans="1:14">
      <c r="A93" s="522">
        <v>91</v>
      </c>
      <c r="B93" s="566"/>
      <c r="C93" s="578"/>
      <c r="D93" s="579"/>
      <c r="E93" s="580"/>
      <c r="F93" s="575"/>
      <c r="G93" s="570"/>
      <c r="H93" s="576"/>
      <c r="I93" s="570"/>
      <c r="J93" s="572"/>
      <c r="K93" s="573"/>
      <c r="L93" s="531"/>
      <c r="M93" s="574"/>
      <c r="N93" s="533"/>
    </row>
    <row r="94" ht="27" hidden="1" customHeight="1" spans="1:14">
      <c r="A94" s="522">
        <v>92</v>
      </c>
      <c r="B94" s="566"/>
      <c r="C94" s="578"/>
      <c r="D94" s="579"/>
      <c r="E94" s="580"/>
      <c r="F94" s="575"/>
      <c r="G94" s="570"/>
      <c r="H94" s="576"/>
      <c r="I94" s="570"/>
      <c r="J94" s="572"/>
      <c r="K94" s="573"/>
      <c r="L94" s="531"/>
      <c r="M94" s="574"/>
      <c r="N94" s="533"/>
    </row>
    <row r="95" ht="27" hidden="1" customHeight="1" spans="1:14">
      <c r="A95" s="522">
        <v>93</v>
      </c>
      <c r="B95" s="566"/>
      <c r="C95" s="523"/>
      <c r="D95" s="524"/>
      <c r="E95" s="525"/>
      <c r="F95" s="575"/>
      <c r="G95" s="570"/>
      <c r="H95" s="576"/>
      <c r="I95" s="570"/>
      <c r="J95" s="572"/>
      <c r="K95" s="573"/>
      <c r="L95" s="531"/>
      <c r="M95" s="574"/>
      <c r="N95" s="533"/>
    </row>
    <row r="96" ht="27" hidden="1" customHeight="1" spans="1:14">
      <c r="A96" s="522">
        <v>94</v>
      </c>
      <c r="B96" s="566"/>
      <c r="C96" s="567"/>
      <c r="D96" s="568"/>
      <c r="E96" s="569"/>
      <c r="F96" s="575"/>
      <c r="G96" s="570"/>
      <c r="H96" s="576"/>
      <c r="I96" s="570"/>
      <c r="J96" s="572"/>
      <c r="K96" s="573"/>
      <c r="L96" s="531"/>
      <c r="M96" s="574"/>
      <c r="N96" s="533"/>
    </row>
    <row r="97" ht="27" hidden="1" customHeight="1" spans="1:14">
      <c r="A97" s="522">
        <v>95</v>
      </c>
      <c r="B97" s="566"/>
      <c r="C97" s="567"/>
      <c r="D97" s="568"/>
      <c r="E97" s="569"/>
      <c r="F97" s="575"/>
      <c r="G97" s="570"/>
      <c r="H97" s="576"/>
      <c r="I97" s="570"/>
      <c r="J97" s="572"/>
      <c r="K97" s="573"/>
      <c r="L97" s="531"/>
      <c r="M97" s="574"/>
      <c r="N97" s="533"/>
    </row>
    <row r="98" ht="27" hidden="1" customHeight="1" spans="1:14">
      <c r="A98" s="522">
        <v>96</v>
      </c>
      <c r="B98" s="566"/>
      <c r="C98" s="567"/>
      <c r="D98" s="568"/>
      <c r="E98" s="569"/>
      <c r="F98" s="575"/>
      <c r="G98" s="570"/>
      <c r="H98" s="576"/>
      <c r="I98" s="570"/>
      <c r="J98" s="572"/>
      <c r="K98" s="573"/>
      <c r="L98" s="531"/>
      <c r="M98" s="574"/>
      <c r="N98" s="533"/>
    </row>
    <row r="99" hidden="1" customHeight="1" spans="1:14">
      <c r="A99" s="522">
        <v>97</v>
      </c>
      <c r="B99" s="566"/>
      <c r="C99" s="523"/>
      <c r="D99" s="524"/>
      <c r="E99" s="525"/>
      <c r="F99" s="575"/>
      <c r="G99" s="570"/>
      <c r="H99" s="576"/>
      <c r="I99" s="570"/>
      <c r="J99" s="572"/>
      <c r="K99" s="573"/>
      <c r="L99" s="531"/>
      <c r="M99" s="574"/>
      <c r="N99" s="533"/>
    </row>
    <row r="100" ht="27" hidden="1" customHeight="1" spans="1:14">
      <c r="A100" s="522">
        <v>98</v>
      </c>
      <c r="B100" s="566"/>
      <c r="C100" s="578"/>
      <c r="D100" s="579"/>
      <c r="E100" s="595"/>
      <c r="F100" s="575"/>
      <c r="G100" s="570"/>
      <c r="H100" s="576"/>
      <c r="I100" s="570"/>
      <c r="J100" s="572"/>
      <c r="K100" s="573"/>
      <c r="L100" s="531"/>
      <c r="M100" s="574"/>
      <c r="N100" s="533"/>
    </row>
    <row r="101" ht="27" hidden="1" customHeight="1" spans="1:14">
      <c r="A101" s="522">
        <v>99</v>
      </c>
      <c r="B101" s="566"/>
      <c r="C101" s="578"/>
      <c r="D101" s="579"/>
      <c r="E101" s="580"/>
      <c r="F101" s="575"/>
      <c r="G101" s="570"/>
      <c r="H101" s="576"/>
      <c r="I101" s="570"/>
      <c r="J101" s="572"/>
      <c r="K101" s="573"/>
      <c r="L101" s="531"/>
      <c r="M101" s="574"/>
      <c r="N101" s="533"/>
    </row>
    <row r="102" ht="27" hidden="1" customHeight="1" spans="1:14">
      <c r="A102" s="522">
        <v>100</v>
      </c>
      <c r="B102" s="566"/>
      <c r="C102" s="578"/>
      <c r="D102" s="579"/>
      <c r="E102" s="580"/>
      <c r="F102" s="575"/>
      <c r="G102" s="570"/>
      <c r="H102" s="576"/>
      <c r="I102" s="570"/>
      <c r="J102" s="572"/>
      <c r="K102" s="573"/>
      <c r="L102" s="531"/>
      <c r="M102" s="574"/>
      <c r="N102" s="533"/>
    </row>
    <row r="103" ht="27" hidden="1" customHeight="1" spans="1:14">
      <c r="A103" s="522">
        <v>101</v>
      </c>
      <c r="B103" s="566"/>
      <c r="C103" s="578"/>
      <c r="D103" s="579"/>
      <c r="E103" s="589"/>
      <c r="F103" s="586"/>
      <c r="G103" s="586"/>
      <c r="H103" s="576"/>
      <c r="I103" s="570"/>
      <c r="J103" s="572"/>
      <c r="K103" s="573"/>
      <c r="L103" s="531"/>
      <c r="M103" s="574"/>
      <c r="N103" s="533"/>
    </row>
    <row r="104" ht="27" hidden="1" customHeight="1" spans="1:14">
      <c r="A104" s="522">
        <v>102</v>
      </c>
      <c r="B104" s="566"/>
      <c r="C104" s="578"/>
      <c r="D104" s="579"/>
      <c r="E104" s="580"/>
      <c r="F104" s="575"/>
      <c r="G104" s="570"/>
      <c r="H104" s="576"/>
      <c r="I104" s="570"/>
      <c r="J104" s="572"/>
      <c r="K104" s="573"/>
      <c r="L104" s="531"/>
      <c r="M104" s="574"/>
      <c r="N104" s="533"/>
    </row>
    <row r="105" ht="27" hidden="1" customHeight="1" spans="1:14">
      <c r="A105" s="522">
        <v>103</v>
      </c>
      <c r="B105" s="566"/>
      <c r="C105" s="578"/>
      <c r="D105" s="579"/>
      <c r="E105" s="580"/>
      <c r="F105" s="575"/>
      <c r="G105" s="570"/>
      <c r="H105" s="576"/>
      <c r="I105" s="570"/>
      <c r="J105" s="572"/>
      <c r="K105" s="573"/>
      <c r="L105" s="531"/>
      <c r="M105" s="574"/>
      <c r="N105" s="533"/>
    </row>
    <row r="106" ht="27" hidden="1" customHeight="1" spans="1:14">
      <c r="A106" s="522">
        <v>104</v>
      </c>
      <c r="B106" s="566"/>
      <c r="C106" s="578"/>
      <c r="D106" s="579"/>
      <c r="E106" s="580"/>
      <c r="F106" s="575"/>
      <c r="G106" s="570"/>
      <c r="H106" s="576"/>
      <c r="I106" s="570"/>
      <c r="J106" s="572"/>
      <c r="K106" s="573"/>
      <c r="L106" s="531"/>
      <c r="M106" s="574"/>
      <c r="N106" s="533"/>
    </row>
    <row r="107" ht="27" hidden="1" customHeight="1" spans="1:14">
      <c r="A107" s="522">
        <v>105</v>
      </c>
      <c r="B107" s="566"/>
      <c r="C107" s="523"/>
      <c r="D107" s="596"/>
      <c r="E107" s="525"/>
      <c r="F107" s="575"/>
      <c r="G107" s="570"/>
      <c r="H107" s="576"/>
      <c r="I107" s="570"/>
      <c r="J107" s="572"/>
      <c r="K107" s="573"/>
      <c r="L107" s="531"/>
      <c r="M107" s="574"/>
      <c r="N107" s="533"/>
    </row>
    <row r="108" ht="27" hidden="1" customHeight="1" spans="1:14">
      <c r="A108" s="522">
        <v>106</v>
      </c>
      <c r="B108" s="566"/>
      <c r="C108" s="567"/>
      <c r="D108" s="568"/>
      <c r="E108" s="569"/>
      <c r="F108" s="575"/>
      <c r="G108" s="570"/>
      <c r="H108" s="576"/>
      <c r="I108" s="570"/>
      <c r="J108" s="572"/>
      <c r="K108" s="573"/>
      <c r="L108" s="531"/>
      <c r="M108" s="574"/>
      <c r="N108" s="533"/>
    </row>
    <row r="109" ht="27" hidden="1" customHeight="1" spans="1:14">
      <c r="A109" s="522">
        <v>107</v>
      </c>
      <c r="B109" s="566"/>
      <c r="C109" s="567"/>
      <c r="D109" s="568"/>
      <c r="E109" s="569"/>
      <c r="F109" s="575"/>
      <c r="G109" s="570"/>
      <c r="H109" s="576"/>
      <c r="I109" s="570"/>
      <c r="J109" s="572"/>
      <c r="K109" s="573"/>
      <c r="L109" s="531"/>
      <c r="M109" s="574"/>
      <c r="N109" s="533"/>
    </row>
    <row r="110" ht="27" hidden="1" customHeight="1" spans="1:14">
      <c r="A110" s="522">
        <v>108</v>
      </c>
      <c r="B110" s="566"/>
      <c r="C110" s="567"/>
      <c r="D110" s="568"/>
      <c r="E110" s="569"/>
      <c r="F110" s="575"/>
      <c r="G110" s="570"/>
      <c r="H110" s="576"/>
      <c r="I110" s="570"/>
      <c r="J110" s="572"/>
      <c r="K110" s="573"/>
      <c r="L110" s="531"/>
      <c r="M110" s="574"/>
      <c r="N110" s="533"/>
    </row>
    <row r="111" ht="27" hidden="1" customHeight="1" spans="1:14">
      <c r="A111" s="522">
        <v>109</v>
      </c>
      <c r="B111" s="566"/>
      <c r="C111" s="567"/>
      <c r="D111" s="568"/>
      <c r="E111" s="569"/>
      <c r="F111" s="575"/>
      <c r="G111" s="570"/>
      <c r="H111" s="576"/>
      <c r="I111" s="570"/>
      <c r="J111" s="572"/>
      <c r="K111" s="573"/>
      <c r="L111" s="531"/>
      <c r="M111" s="574"/>
      <c r="N111" s="533"/>
    </row>
    <row r="112" ht="27" hidden="1" customHeight="1" spans="1:14">
      <c r="A112" s="522">
        <v>110</v>
      </c>
      <c r="B112" s="566"/>
      <c r="C112" s="567"/>
      <c r="D112" s="568"/>
      <c r="E112" s="569"/>
      <c r="F112" s="575"/>
      <c r="G112" s="570"/>
      <c r="H112" s="576"/>
      <c r="I112" s="570"/>
      <c r="J112" s="572"/>
      <c r="K112" s="573"/>
      <c r="L112" s="531"/>
      <c r="M112" s="574"/>
      <c r="N112" s="533"/>
    </row>
    <row r="113" ht="27" hidden="1" customHeight="1" spans="1:18">
      <c r="A113" s="522">
        <v>111</v>
      </c>
      <c r="B113" s="566"/>
      <c r="C113" s="567"/>
      <c r="D113" s="568"/>
      <c r="E113" s="569"/>
      <c r="F113" s="575"/>
      <c r="G113" s="570"/>
      <c r="H113" s="576"/>
      <c r="I113" s="570"/>
      <c r="J113" s="572"/>
      <c r="K113" s="573"/>
      <c r="L113" s="531"/>
      <c r="M113" s="574"/>
      <c r="N113" s="533"/>
    </row>
    <row r="114" ht="27" hidden="1" customHeight="1" spans="1:18">
      <c r="A114" s="522">
        <v>112</v>
      </c>
      <c r="B114" s="566"/>
      <c r="C114" s="567"/>
      <c r="D114" s="568"/>
      <c r="E114" s="569"/>
      <c r="F114" s="575"/>
      <c r="G114" s="570"/>
      <c r="H114" s="576"/>
      <c r="I114" s="570"/>
      <c r="J114" s="572"/>
      <c r="K114" s="573"/>
      <c r="L114" s="531"/>
      <c r="M114" s="574"/>
      <c r="N114" s="533"/>
    </row>
    <row r="115" ht="27" hidden="1" customHeight="1" spans="1:18">
      <c r="A115" s="522">
        <v>113</v>
      </c>
      <c r="B115" s="566"/>
      <c r="C115" s="567"/>
      <c r="D115" s="568"/>
      <c r="E115" s="569"/>
      <c r="F115" s="575"/>
      <c r="G115" s="570"/>
      <c r="H115" s="576"/>
      <c r="I115" s="570"/>
      <c r="J115" s="572"/>
      <c r="K115" s="573"/>
      <c r="L115" s="531"/>
      <c r="M115" s="574"/>
      <c r="N115" s="533"/>
    </row>
    <row r="116" ht="27" hidden="1" customHeight="1" spans="1:18">
      <c r="A116" s="522">
        <v>114</v>
      </c>
      <c r="B116" s="566"/>
      <c r="C116" s="567"/>
      <c r="D116" s="568"/>
      <c r="E116" s="569"/>
      <c r="F116" s="575"/>
      <c r="G116" s="570"/>
      <c r="H116" s="576"/>
      <c r="I116" s="570"/>
      <c r="J116" s="572"/>
      <c r="K116" s="573"/>
      <c r="L116" s="531"/>
      <c r="M116" s="574"/>
      <c r="N116" s="533"/>
    </row>
    <row r="117" ht="1.5" hidden="1" customHeight="1" spans="1:18">
      <c r="A117" s="522">
        <v>115</v>
      </c>
      <c r="B117" s="566"/>
      <c r="C117" s="567"/>
      <c r="D117" s="568"/>
      <c r="E117" s="569"/>
      <c r="F117" s="575"/>
      <c r="G117" s="570"/>
      <c r="H117" s="576"/>
      <c r="I117" s="570"/>
      <c r="J117" s="572"/>
      <c r="K117" s="573"/>
      <c r="L117" s="531"/>
      <c r="M117" s="574"/>
      <c r="N117" s="533"/>
    </row>
    <row r="118" ht="27" hidden="1" customHeight="1" spans="1:18">
      <c r="A118" s="522">
        <v>116</v>
      </c>
      <c r="B118" s="566"/>
      <c r="C118" s="567"/>
      <c r="D118" s="568"/>
      <c r="E118" s="569"/>
      <c r="F118" s="575"/>
      <c r="G118" s="570"/>
      <c r="H118" s="576"/>
      <c r="I118" s="570"/>
      <c r="J118" s="572"/>
      <c r="K118" s="573"/>
      <c r="L118" s="531"/>
      <c r="M118" s="574"/>
      <c r="N118" s="533"/>
    </row>
    <row r="119" ht="27" hidden="1" customHeight="1" spans="1:18">
      <c r="A119" s="522">
        <v>117</v>
      </c>
      <c r="B119" s="566"/>
      <c r="C119" s="567"/>
      <c r="D119" s="568"/>
      <c r="E119" s="569"/>
      <c r="F119" s="575"/>
      <c r="G119" s="570"/>
      <c r="H119" s="576"/>
      <c r="I119" s="570"/>
      <c r="J119" s="572"/>
      <c r="K119" s="573"/>
      <c r="L119" s="531"/>
      <c r="M119" s="574"/>
      <c r="N119" s="533"/>
    </row>
    <row r="120" ht="27" hidden="1" customHeight="1" spans="1:18">
      <c r="A120" s="522">
        <v>118</v>
      </c>
      <c r="B120" s="566"/>
      <c r="C120" s="567"/>
      <c r="D120" s="568"/>
      <c r="E120" s="569"/>
      <c r="F120" s="575"/>
      <c r="G120" s="570"/>
      <c r="H120" s="576"/>
      <c r="I120" s="570"/>
      <c r="J120" s="572"/>
      <c r="K120" s="573"/>
      <c r="L120" s="531"/>
      <c r="M120" s="574"/>
      <c r="N120" s="533"/>
    </row>
    <row r="121" ht="27" hidden="1" customHeight="1" spans="1:18">
      <c r="A121" s="522">
        <v>119</v>
      </c>
      <c r="B121" s="566"/>
      <c r="C121" s="567"/>
      <c r="D121" s="568"/>
      <c r="E121" s="569"/>
      <c r="F121" s="575"/>
      <c r="G121" s="570"/>
      <c r="H121" s="576"/>
      <c r="I121" s="570"/>
      <c r="J121" s="572"/>
      <c r="K121" s="573"/>
      <c r="L121" s="531"/>
      <c r="M121" s="574"/>
      <c r="N121" s="533"/>
      <c r="P121" s="491" t="s">
        <v>11</v>
      </c>
    </row>
    <row r="122" ht="27" hidden="1" customHeight="1" spans="1:18">
      <c r="A122" s="522">
        <v>120</v>
      </c>
      <c r="B122" s="566"/>
      <c r="C122" s="567"/>
      <c r="D122" s="568"/>
      <c r="E122" s="569"/>
      <c r="F122" s="575"/>
      <c r="G122" s="570"/>
      <c r="H122" s="576"/>
      <c r="I122" s="570"/>
      <c r="J122" s="572"/>
      <c r="K122" s="573"/>
      <c r="L122" s="531"/>
      <c r="M122" s="574"/>
      <c r="N122" s="533"/>
    </row>
    <row r="123" ht="27" hidden="1" customHeight="1" spans="1:18">
      <c r="A123" s="522">
        <v>121</v>
      </c>
      <c r="B123" s="566"/>
      <c r="C123" s="567"/>
      <c r="D123" s="568"/>
      <c r="E123" s="569"/>
      <c r="F123" s="575"/>
      <c r="G123" s="570"/>
      <c r="H123" s="576"/>
      <c r="I123" s="570"/>
      <c r="J123" s="572"/>
      <c r="K123" s="573"/>
      <c r="L123" s="531"/>
      <c r="M123" s="574"/>
      <c r="N123" s="533"/>
    </row>
    <row r="124" ht="27" hidden="1" customHeight="1" spans="1:18">
      <c r="A124" s="522">
        <v>122</v>
      </c>
      <c r="B124" s="566"/>
      <c r="C124" s="567"/>
      <c r="D124" s="568"/>
      <c r="E124" s="569"/>
      <c r="F124" s="575"/>
      <c r="G124" s="570"/>
      <c r="H124" s="576"/>
      <c r="I124" s="570"/>
      <c r="J124" s="572"/>
      <c r="K124" s="573"/>
      <c r="L124" s="531"/>
      <c r="M124" s="574"/>
      <c r="N124" s="533"/>
    </row>
    <row r="125" ht="27" hidden="1" customHeight="1" spans="1:18">
      <c r="A125" s="522">
        <v>123</v>
      </c>
      <c r="B125" s="566"/>
      <c r="C125" s="523"/>
      <c r="D125" s="524"/>
      <c r="E125" s="525"/>
      <c r="F125" s="575"/>
      <c r="G125" s="570"/>
      <c r="H125" s="576"/>
      <c r="I125" s="570"/>
      <c r="J125" s="572"/>
      <c r="K125" s="573"/>
      <c r="L125" s="531"/>
      <c r="M125" s="574"/>
      <c r="N125" s="533"/>
    </row>
    <row r="126" ht="27" customHeight="1" spans="1:18">
      <c r="A126" s="522">
        <v>124</v>
      </c>
      <c r="B126" s="566"/>
      <c r="C126" s="523"/>
      <c r="D126" s="524"/>
      <c r="E126" s="525"/>
      <c r="F126" s="575"/>
      <c r="G126" s="570"/>
      <c r="H126" s="576"/>
      <c r="I126" s="570">
        <f>G126-H126+I125</f>
        <v>0</v>
      </c>
      <c r="J126" s="572"/>
      <c r="K126" s="573"/>
      <c r="L126" s="531"/>
      <c r="M126" s="574"/>
      <c r="N126" s="533">
        <f>L126-M126+N125</f>
        <v>0</v>
      </c>
    </row>
    <row r="127" ht="27" customHeight="1" spans="1:18">
      <c r="A127" s="522">
        <v>125</v>
      </c>
      <c r="B127" s="597" t="s">
        <v>12</v>
      </c>
      <c r="C127" s="588"/>
      <c r="D127" s="579" t="s">
        <v>13</v>
      </c>
      <c r="E127" s="580">
        <f>12006.4+2139.35</f>
        <v>14145.75</v>
      </c>
      <c r="F127" s="598">
        <v>41596.75</v>
      </c>
      <c r="G127" s="570"/>
      <c r="H127" s="576">
        <f>E127*F127</f>
        <v>588417226.3125</v>
      </c>
      <c r="I127" s="570">
        <f>G127-H127+I126</f>
        <v>-588417226.3125</v>
      </c>
      <c r="J127" s="572"/>
      <c r="K127" s="582">
        <f>651.88-121.31</f>
        <v>530.57</v>
      </c>
      <c r="L127" s="599"/>
      <c r="M127" s="574">
        <f>E127*K127</f>
        <v>7505310.5775</v>
      </c>
      <c r="N127" s="533">
        <f>L127-M127+N126</f>
        <v>-7505310.5775</v>
      </c>
      <c r="P127" s="491">
        <v>86</v>
      </c>
      <c r="Q127" s="491">
        <v>651.880952380952</v>
      </c>
      <c r="R127" s="491">
        <f>Q127-35</f>
        <v>616.880952380952</v>
      </c>
    </row>
    <row r="128" ht="27" customHeight="1" spans="1:18">
      <c r="A128" s="522">
        <v>126</v>
      </c>
      <c r="B128" s="600"/>
      <c r="C128" s="578" t="s">
        <v>14</v>
      </c>
      <c r="D128" s="579" t="s">
        <v>15</v>
      </c>
      <c r="E128" s="601"/>
      <c r="F128" s="598"/>
      <c r="G128" s="570">
        <v>500000000</v>
      </c>
      <c r="H128" s="576"/>
      <c r="I128" s="570">
        <f>G128-H128+I127</f>
        <v>-88417226.3125</v>
      </c>
      <c r="J128" s="572"/>
      <c r="K128" s="573">
        <v>78.4001168554573</v>
      </c>
      <c r="L128" s="531">
        <f>G128/K128</f>
        <v>6377541.5146616</v>
      </c>
      <c r="M128" s="574"/>
      <c r="N128" s="533">
        <f>L128-M128+N127</f>
        <v>-1127769.0628384</v>
      </c>
    </row>
    <row r="129" ht="27" customHeight="1" spans="1:14">
      <c r="A129" s="522">
        <v>127</v>
      </c>
      <c r="B129" s="600"/>
      <c r="C129" s="578" t="s">
        <v>16</v>
      </c>
      <c r="D129" s="579" t="s">
        <v>17</v>
      </c>
      <c r="E129" s="580"/>
      <c r="F129" s="598"/>
      <c r="G129" s="570">
        <v>101857663.2</v>
      </c>
      <c r="H129" s="576"/>
      <c r="I129" s="570">
        <f>G129-H129+I128</f>
        <v>13440436.8875</v>
      </c>
      <c r="J129" s="572"/>
      <c r="K129" s="573">
        <v>78.4001168554573</v>
      </c>
      <c r="L129" s="531">
        <f>G129/K129</f>
        <v>1299202.95128884</v>
      </c>
      <c r="M129" s="574"/>
      <c r="N129" s="533">
        <f>L129-M129+N128</f>
        <v>171433.888450442</v>
      </c>
    </row>
    <row r="130" ht="27" customHeight="1" spans="1:14">
      <c r="A130" s="522">
        <v>128</v>
      </c>
      <c r="B130" s="600"/>
      <c r="C130" s="578" t="s">
        <v>18</v>
      </c>
      <c r="D130" s="579" t="s">
        <v>19</v>
      </c>
      <c r="E130" s="602"/>
      <c r="F130" s="534"/>
      <c r="G130" s="570">
        <v>194546187.55</v>
      </c>
      <c r="H130" s="576"/>
      <c r="I130" s="570">
        <f>G130-H130+I129</f>
        <v>207986624.4375</v>
      </c>
      <c r="J130" s="572"/>
      <c r="K130" s="573">
        <v>78.4001168554573</v>
      </c>
      <c r="L130" s="531">
        <f>G130/K130</f>
        <v>2481452.77523853</v>
      </c>
      <c r="M130" s="574"/>
      <c r="N130" s="533">
        <f>L130-M130+N129</f>
        <v>2652886.66368898</v>
      </c>
    </row>
    <row r="131" ht="27" customHeight="1" spans="1:14">
      <c r="A131" s="522">
        <v>129</v>
      </c>
      <c r="B131" s="600"/>
      <c r="C131" s="578">
        <v>46174</v>
      </c>
      <c r="D131" s="579" t="s">
        <v>20</v>
      </c>
      <c r="E131" s="589"/>
      <c r="F131" s="534"/>
      <c r="G131" s="570">
        <v>4210124.38</v>
      </c>
      <c r="H131" s="576"/>
      <c r="I131" s="570">
        <f>G131-H131+I130</f>
        <v>212196748.8175</v>
      </c>
      <c r="J131" s="572"/>
      <c r="K131" s="573">
        <v>78.4001168554573</v>
      </c>
      <c r="L131" s="531">
        <f>G131/K131</f>
        <v>53700.4860306779</v>
      </c>
      <c r="M131" s="574"/>
      <c r="N131" s="533">
        <f>L131-M131+N130</f>
        <v>2706587.14971965</v>
      </c>
    </row>
    <row r="132" ht="27" customHeight="1" spans="1:14">
      <c r="A132" s="522">
        <v>130</v>
      </c>
      <c r="B132" s="600"/>
      <c r="C132" s="578">
        <v>46174</v>
      </c>
      <c r="D132" s="579" t="s">
        <v>21</v>
      </c>
      <c r="E132" s="580"/>
      <c r="F132" s="575"/>
      <c r="G132" s="586"/>
      <c r="H132" s="576">
        <v>2752469.48</v>
      </c>
      <c r="I132" s="570">
        <f>G132-H132+I131</f>
        <v>209444279.3375</v>
      </c>
      <c r="J132" s="572"/>
      <c r="K132" s="573">
        <v>78.4001168554573</v>
      </c>
      <c r="L132" s="531"/>
      <c r="M132" s="574">
        <f>H132/K132</f>
        <v>35107.9767530781</v>
      </c>
      <c r="N132" s="533">
        <f>L132-M132+N131</f>
        <v>2671479.17296658</v>
      </c>
    </row>
    <row r="133" ht="27" customHeight="1" spans="1:14">
      <c r="A133" s="522">
        <v>131</v>
      </c>
      <c r="B133" s="600"/>
      <c r="C133" s="578" t="s">
        <v>22</v>
      </c>
      <c r="D133" s="579" t="s">
        <v>23</v>
      </c>
      <c r="E133" s="589"/>
      <c r="F133" s="534"/>
      <c r="G133" s="534"/>
      <c r="H133" s="576">
        <v>114118634.77</v>
      </c>
      <c r="I133" s="570">
        <f>G133-H133+I132</f>
        <v>95325644.5675</v>
      </c>
      <c r="J133" s="572"/>
      <c r="K133" s="573">
        <v>78.4001168554573</v>
      </c>
      <c r="L133" s="531"/>
      <c r="M133" s="574">
        <f>H133/K133</f>
        <v>1455592.66168436</v>
      </c>
      <c r="N133" s="533">
        <f>L133-M133+N132</f>
        <v>1215886.51128222</v>
      </c>
    </row>
    <row r="134" ht="27" customHeight="1" spans="1:14">
      <c r="A134" s="522">
        <v>132</v>
      </c>
      <c r="B134" s="600"/>
      <c r="C134" s="578" t="s">
        <v>24</v>
      </c>
      <c r="D134" s="579" t="s">
        <v>25</v>
      </c>
      <c r="E134" s="589"/>
      <c r="F134" s="534"/>
      <c r="G134" s="534"/>
      <c r="H134" s="576">
        <v>32500168.23</v>
      </c>
      <c r="I134" s="570">
        <f>G134-H134+I133</f>
        <v>62825476.3375</v>
      </c>
      <c r="J134" s="572"/>
      <c r="K134" s="573">
        <v>78.4001168554573</v>
      </c>
      <c r="L134" s="531"/>
      <c r="M134" s="574">
        <f>H134/K134</f>
        <v>414542.344240622</v>
      </c>
      <c r="N134" s="533">
        <f>L134-M134+N133</f>
        <v>801344.167041594</v>
      </c>
    </row>
    <row r="135" ht="27" customHeight="1" spans="1:14">
      <c r="A135" s="522">
        <v>133</v>
      </c>
      <c r="B135" s="600"/>
      <c r="C135" s="578" t="s">
        <v>26</v>
      </c>
      <c r="D135" s="579" t="s">
        <v>27</v>
      </c>
      <c r="E135" s="589"/>
      <c r="F135" s="534"/>
      <c r="G135" s="534"/>
      <c r="H135" s="576">
        <v>39264820.25</v>
      </c>
      <c r="I135" s="570">
        <f>G135-H135+I134</f>
        <v>23560656.0875</v>
      </c>
      <c r="J135" s="572"/>
      <c r="K135" s="573">
        <v>78.4001168554573</v>
      </c>
      <c r="L135" s="531"/>
      <c r="M135" s="574">
        <f>H135/K135</f>
        <v>500826.042420201</v>
      </c>
      <c r="N135" s="533">
        <f>L135-M135+N134</f>
        <v>300518.124621393</v>
      </c>
    </row>
    <row r="136" ht="27" customHeight="1" spans="1:14">
      <c r="A136" s="522">
        <v>134</v>
      </c>
      <c r="B136" s="603"/>
      <c r="C136" s="578" t="s">
        <v>28</v>
      </c>
      <c r="D136" s="579" t="s">
        <v>29</v>
      </c>
      <c r="E136" s="589"/>
      <c r="F136" s="534"/>
      <c r="G136" s="534"/>
      <c r="H136" s="576">
        <v>23560656.07</v>
      </c>
      <c r="I136" s="570">
        <f>G136-H136+I135</f>
        <v>0.0175000056624413</v>
      </c>
      <c r="J136" s="572"/>
      <c r="K136" s="573">
        <v>78.4001168554573</v>
      </c>
      <c r="L136" s="531"/>
      <c r="M136" s="574">
        <f>H136/K136</f>
        <v>300518.124398178</v>
      </c>
      <c r="N136" s="533">
        <f>L136-M136+N135</f>
        <v>0.000223215378355235</v>
      </c>
    </row>
    <row r="137" ht="27" customHeight="1" spans="1:14">
      <c r="A137" s="522">
        <v>135</v>
      </c>
      <c r="B137" s="566"/>
      <c r="C137" s="604"/>
      <c r="D137" s="586"/>
      <c r="E137" s="534"/>
      <c r="F137" s="534"/>
      <c r="G137" s="534"/>
      <c r="H137" s="576"/>
      <c r="I137" s="570">
        <f>G137-H137+I136</f>
        <v>0.0175000056624413</v>
      </c>
      <c r="J137" s="572"/>
      <c r="K137" s="573"/>
      <c r="L137" s="531"/>
      <c r="M137" s="574"/>
      <c r="N137" s="533">
        <f>L137-M137+N136</f>
        <v>0.000223215378355235</v>
      </c>
    </row>
    <row r="138" ht="27" customHeight="1" spans="1:14">
      <c r="A138" s="522">
        <v>136</v>
      </c>
      <c r="B138" s="597" t="s">
        <v>30</v>
      </c>
      <c r="C138" s="567">
        <v>46174</v>
      </c>
      <c r="D138" s="568" t="s">
        <v>20</v>
      </c>
      <c r="E138" s="585"/>
      <c r="F138" s="586"/>
      <c r="G138" s="570">
        <v>2676324.94</v>
      </c>
      <c r="H138" s="576"/>
      <c r="I138" s="570">
        <f>G138-H138+I137</f>
        <v>2676324.95750001</v>
      </c>
      <c r="J138" s="572"/>
      <c r="K138" s="573">
        <v>78.4</v>
      </c>
      <c r="L138" s="531">
        <f>G138/K138</f>
        <v>34136.7977040816</v>
      </c>
      <c r="M138" s="574"/>
      <c r="N138" s="533">
        <f>L138-M138+N137</f>
        <v>34136.797927297</v>
      </c>
    </row>
    <row r="139" ht="27" customHeight="1" spans="1:14">
      <c r="A139" s="522">
        <v>137</v>
      </c>
      <c r="B139" s="600"/>
      <c r="C139" s="567">
        <v>46174</v>
      </c>
      <c r="D139" s="568" t="s">
        <v>19</v>
      </c>
      <c r="E139" s="569"/>
      <c r="F139" s="575"/>
      <c r="G139" s="570">
        <v>22785444.97</v>
      </c>
      <c r="H139" s="576"/>
      <c r="I139" s="570">
        <f>G139-H139+I138</f>
        <v>25461769.9275</v>
      </c>
      <c r="J139" s="572"/>
      <c r="K139" s="573">
        <v>78.4</v>
      </c>
      <c r="L139" s="531">
        <f>G139/K139</f>
        <v>290630.675637755</v>
      </c>
      <c r="M139" s="574"/>
      <c r="N139" s="533">
        <f>L139-M139+N138</f>
        <v>324767.473565052</v>
      </c>
    </row>
    <row r="140" ht="27" customHeight="1" spans="1:14">
      <c r="A140" s="522">
        <v>138</v>
      </c>
      <c r="B140" s="600"/>
      <c r="C140" s="567">
        <v>46174</v>
      </c>
      <c r="D140" s="568" t="s">
        <v>19</v>
      </c>
      <c r="E140" s="569"/>
      <c r="F140" s="575"/>
      <c r="G140" s="570">
        <v>6890484.04</v>
      </c>
      <c r="H140" s="576"/>
      <c r="I140" s="570">
        <f>G140-H140+I139</f>
        <v>32352253.9675</v>
      </c>
      <c r="J140" s="572"/>
      <c r="K140" s="573">
        <v>78.4</v>
      </c>
      <c r="L140" s="531">
        <f>G140/K140</f>
        <v>87888.8270408163</v>
      </c>
      <c r="M140" s="574"/>
      <c r="N140" s="533">
        <f>L140-M140+N139</f>
        <v>412656.300605868</v>
      </c>
    </row>
    <row r="141" ht="27" customHeight="1" spans="1:14">
      <c r="A141" s="522">
        <v>139</v>
      </c>
      <c r="B141" s="600"/>
      <c r="C141" s="567">
        <v>46174</v>
      </c>
      <c r="D141" s="568" t="s">
        <v>19</v>
      </c>
      <c r="E141" s="569"/>
      <c r="F141" s="575"/>
      <c r="G141" s="570">
        <v>6238180.81</v>
      </c>
      <c r="H141" s="576"/>
      <c r="I141" s="570">
        <f>G141-H141+I140</f>
        <v>38590434.7775</v>
      </c>
      <c r="J141" s="572"/>
      <c r="K141" s="573">
        <v>78.4</v>
      </c>
      <c r="L141" s="531">
        <f>G141/K141</f>
        <v>79568.6327806122</v>
      </c>
      <c r="M141" s="574"/>
      <c r="N141" s="533">
        <f>L141-M141+N140</f>
        <v>492224.933386481</v>
      </c>
    </row>
    <row r="142" ht="27" customHeight="1" spans="1:14">
      <c r="A142" s="522">
        <v>140</v>
      </c>
      <c r="B142" s="600"/>
      <c r="C142" s="567">
        <v>46174</v>
      </c>
      <c r="D142" s="568" t="s">
        <v>31</v>
      </c>
      <c r="E142" s="569"/>
      <c r="F142" s="575"/>
      <c r="G142" s="570">
        <v>2752469.48</v>
      </c>
      <c r="H142" s="576"/>
      <c r="I142" s="570">
        <f>G142-H142+I141</f>
        <v>41342904.2575</v>
      </c>
      <c r="J142" s="572"/>
      <c r="K142" s="573">
        <v>78.4</v>
      </c>
      <c r="L142" s="531">
        <f>G142/K142</f>
        <v>35108.0290816327</v>
      </c>
      <c r="M142" s="574"/>
      <c r="N142" s="533">
        <f>L142-M142+N141</f>
        <v>527332.962468113</v>
      </c>
    </row>
    <row r="143" ht="27" customHeight="1" spans="1:14">
      <c r="A143" s="522">
        <v>141</v>
      </c>
      <c r="B143" s="600"/>
      <c r="C143" s="567"/>
      <c r="D143" s="568" t="s">
        <v>32</v>
      </c>
      <c r="E143" s="569">
        <v>824.171</v>
      </c>
      <c r="F143" s="575">
        <v>41508.94</v>
      </c>
      <c r="G143" s="570"/>
      <c r="H143" s="576">
        <f>E143*F143</f>
        <v>34210464.58874</v>
      </c>
      <c r="I143" s="570">
        <f>G143-H143+I142</f>
        <v>7132439.66875999</v>
      </c>
      <c r="J143" s="572"/>
      <c r="K143" s="573">
        <v>529.45</v>
      </c>
      <c r="L143" s="531"/>
      <c r="M143" s="574">
        <f>E143*K143</f>
        <v>436357.33595</v>
      </c>
      <c r="N143" s="533">
        <f>L143-M143+N142</f>
        <v>90975.6265181132</v>
      </c>
    </row>
    <row r="144" ht="27" customHeight="1" spans="1:14">
      <c r="A144" s="522">
        <v>142</v>
      </c>
      <c r="B144" s="600"/>
      <c r="C144" s="567"/>
      <c r="D144" s="568" t="s">
        <v>27</v>
      </c>
      <c r="E144" s="569"/>
      <c r="F144" s="575"/>
      <c r="G144" s="570"/>
      <c r="H144" s="576">
        <v>241955.61</v>
      </c>
      <c r="I144" s="570">
        <f>G144-H144+I143</f>
        <v>6890484.05875999</v>
      </c>
      <c r="J144" s="572"/>
      <c r="K144" s="573">
        <v>78.4</v>
      </c>
      <c r="L144" s="531"/>
      <c r="M144" s="574">
        <f>H144/K144</f>
        <v>3086.16849489796</v>
      </c>
      <c r="N144" s="533">
        <f>L144-M144+N143</f>
        <v>87889.4580232153</v>
      </c>
    </row>
    <row r="145" ht="27" customHeight="1" spans="1:20">
      <c r="A145" s="522">
        <v>143</v>
      </c>
      <c r="B145" s="603"/>
      <c r="C145" s="567"/>
      <c r="D145" s="568" t="s">
        <v>29</v>
      </c>
      <c r="E145" s="569"/>
      <c r="F145" s="575"/>
      <c r="G145" s="570"/>
      <c r="H145" s="576">
        <v>6890484.04</v>
      </c>
      <c r="I145" s="570">
        <f>G145-H145+I144</f>
        <v>0.0187599938362837</v>
      </c>
      <c r="J145" s="572"/>
      <c r="K145" s="573">
        <v>78.4</v>
      </c>
      <c r="L145" s="531"/>
      <c r="M145" s="574">
        <v>87889.4577999999</v>
      </c>
      <c r="N145" s="533">
        <f>L145-M145+N144</f>
        <v>0.000223215436562896</v>
      </c>
    </row>
    <row r="146" ht="27" customHeight="1" spans="1:20">
      <c r="A146" s="522">
        <v>144</v>
      </c>
      <c r="B146" s="566"/>
      <c r="C146" s="523"/>
      <c r="D146" s="524"/>
      <c r="E146" s="525"/>
      <c r="F146" s="575"/>
      <c r="G146" s="570"/>
      <c r="H146" s="576"/>
      <c r="I146" s="570">
        <f>G146-H146+I145</f>
        <v>0.0187599938362837</v>
      </c>
      <c r="J146" s="572"/>
      <c r="K146" s="573"/>
      <c r="L146" s="531"/>
      <c r="M146" s="574"/>
      <c r="N146" s="533">
        <f>L146-M146+N145</f>
        <v>0.000223215436562896</v>
      </c>
    </row>
    <row r="147" ht="27" customHeight="1" spans="1:20">
      <c r="A147" s="522">
        <v>145</v>
      </c>
      <c r="B147" s="597" t="s">
        <v>33</v>
      </c>
      <c r="C147" s="578">
        <v>46357</v>
      </c>
      <c r="D147" s="579" t="s">
        <v>34</v>
      </c>
      <c r="E147" s="580"/>
      <c r="F147" s="598"/>
      <c r="G147" s="570">
        <v>500000000</v>
      </c>
      <c r="H147" s="576"/>
      <c r="I147" s="570">
        <f>G147-H147+I146</f>
        <v>500000000.01876</v>
      </c>
      <c r="J147" s="572"/>
      <c r="K147" s="573">
        <v>77.2155655739802</v>
      </c>
      <c r="L147" s="531">
        <f>G147/K147</f>
        <v>6475378.32926899</v>
      </c>
      <c r="M147" s="574"/>
      <c r="N147" s="533">
        <f>L147-M147+N146</f>
        <v>6475378.3294922</v>
      </c>
      <c r="T147" s="581"/>
    </row>
    <row r="148" ht="27" customHeight="1" spans="1:20">
      <c r="A148" s="522">
        <v>146</v>
      </c>
      <c r="B148" s="600"/>
      <c r="C148" s="578">
        <v>46357</v>
      </c>
      <c r="D148" s="579" t="s">
        <v>35</v>
      </c>
      <c r="E148" s="580"/>
      <c r="F148" s="598"/>
      <c r="G148" s="570">
        <v>75019405</v>
      </c>
      <c r="H148" s="576"/>
      <c r="I148" s="570">
        <f>G148-H148+I147</f>
        <v>575019405.01876</v>
      </c>
      <c r="J148" s="572"/>
      <c r="K148" s="573">
        <v>77.2155655739802</v>
      </c>
      <c r="L148" s="531">
        <f>G148/K148</f>
        <v>971558.058823307</v>
      </c>
      <c r="M148" s="574"/>
      <c r="N148" s="533">
        <f>L148-M148+N147</f>
        <v>7446936.38831551</v>
      </c>
      <c r="Q148" s="540"/>
    </row>
    <row r="149" ht="27" customHeight="1" spans="1:20">
      <c r="A149" s="522">
        <v>147</v>
      </c>
      <c r="B149" s="600"/>
      <c r="C149" s="578" t="s">
        <v>36</v>
      </c>
      <c r="D149" s="579" t="s">
        <v>37</v>
      </c>
      <c r="E149" s="580"/>
      <c r="F149" s="598"/>
      <c r="G149" s="570">
        <v>254364075</v>
      </c>
      <c r="H149" s="576"/>
      <c r="I149" s="570">
        <f>G149-H149+I148</f>
        <v>829383480.01876</v>
      </c>
      <c r="J149" s="572"/>
      <c r="K149" s="573">
        <v>77.2155655739802</v>
      </c>
      <c r="L149" s="531">
        <f>G149/K149</f>
        <v>3294207.2379991</v>
      </c>
      <c r="M149" s="574"/>
      <c r="N149" s="533">
        <f>L149-M149+N148</f>
        <v>10741143.6263146</v>
      </c>
      <c r="Q149" s="605"/>
    </row>
    <row r="150" ht="27" customHeight="1" spans="1:20">
      <c r="A150" s="522">
        <v>148</v>
      </c>
      <c r="B150" s="600"/>
      <c r="C150" s="606" t="s">
        <v>38</v>
      </c>
      <c r="D150" s="579" t="s">
        <v>39</v>
      </c>
      <c r="E150" s="580">
        <v>14983.95</v>
      </c>
      <c r="F150" s="575">
        <v>40241.37</v>
      </c>
      <c r="G150" s="570"/>
      <c r="H150" s="576">
        <f>E150*F150</f>
        <v>602974676.0115</v>
      </c>
      <c r="I150" s="570">
        <f>G150-H150+I149</f>
        <v>226408804.00726</v>
      </c>
      <c r="J150" s="572"/>
      <c r="K150" s="593">
        <v>521.15619047619</v>
      </c>
      <c r="L150" s="531"/>
      <c r="M150" s="574">
        <f>E150*K150</f>
        <v>7808978.30028571</v>
      </c>
      <c r="N150" s="533">
        <f>L150-M150+N149</f>
        <v>2932165.3260289</v>
      </c>
    </row>
    <row r="151" ht="27" customHeight="1" spans="1:20">
      <c r="A151" s="522">
        <v>149</v>
      </c>
      <c r="B151" s="600"/>
      <c r="C151" s="578" t="s">
        <v>26</v>
      </c>
      <c r="D151" s="579" t="s">
        <v>27</v>
      </c>
      <c r="E151" s="580"/>
      <c r="F151" s="575"/>
      <c r="G151" s="570"/>
      <c r="H151" s="571">
        <v>88178223.98</v>
      </c>
      <c r="I151" s="570">
        <f>G151-H151+I150</f>
        <v>138230580.02726</v>
      </c>
      <c r="J151" s="572"/>
      <c r="K151" s="573">
        <f>F150/K150</f>
        <v>77.2155655739802</v>
      </c>
      <c r="L151" s="531"/>
      <c r="M151" s="574">
        <f>H151/K151</f>
        <v>1141974.72134704</v>
      </c>
      <c r="N151" s="533">
        <f>L151-M151+N150</f>
        <v>1790190.60468186</v>
      </c>
    </row>
    <row r="152" ht="27" customHeight="1" spans="1:20">
      <c r="A152" s="522">
        <v>150</v>
      </c>
      <c r="B152" s="603"/>
      <c r="C152" s="578" t="s">
        <v>28</v>
      </c>
      <c r="D152" s="579" t="s">
        <v>29</v>
      </c>
      <c r="E152" s="580"/>
      <c r="F152" s="575"/>
      <c r="G152" s="570"/>
      <c r="H152" s="576">
        <v>138230580</v>
      </c>
      <c r="I152" s="570">
        <f>G152-H152+I151</f>
        <v>0.0272600650787354</v>
      </c>
      <c r="J152" s="572"/>
      <c r="K152" s="573">
        <v>77.2155655739802</v>
      </c>
      <c r="L152" s="531"/>
      <c r="M152" s="574">
        <f>H152/K152</f>
        <v>1790190.60434857</v>
      </c>
      <c r="N152" s="533">
        <f>L152-M152+N151</f>
        <v>0.000333297532051802</v>
      </c>
    </row>
    <row r="153" ht="27" customHeight="1" spans="1:20">
      <c r="A153" s="522">
        <v>151</v>
      </c>
      <c r="B153" s="566"/>
      <c r="C153" s="523"/>
      <c r="D153" s="524"/>
      <c r="E153" s="525"/>
      <c r="F153" s="575"/>
      <c r="G153" s="570"/>
      <c r="H153" s="571"/>
      <c r="I153" s="570">
        <f>G153-H153+I152</f>
        <v>0.0272600650787354</v>
      </c>
      <c r="J153" s="572"/>
      <c r="K153" s="573"/>
      <c r="L153" s="531"/>
      <c r="M153" s="574"/>
      <c r="N153" s="533">
        <f>L153-M153+N152</f>
        <v>0.000333297532051802</v>
      </c>
    </row>
    <row r="154" ht="27" customHeight="1" spans="1:20">
      <c r="A154" s="522">
        <v>152</v>
      </c>
      <c r="B154" s="597" t="s">
        <v>40</v>
      </c>
      <c r="C154" s="567" t="s">
        <v>36</v>
      </c>
      <c r="D154" s="568" t="s">
        <v>37</v>
      </c>
      <c r="E154" s="569"/>
      <c r="F154" s="570"/>
      <c r="G154" s="570">
        <v>47574775</v>
      </c>
      <c r="H154" s="571"/>
      <c r="I154" s="570">
        <f>G154-H154+I153</f>
        <v>47574775.0272601</v>
      </c>
      <c r="J154" s="572"/>
      <c r="K154" s="573">
        <v>77.4477669944451</v>
      </c>
      <c r="L154" s="531">
        <f>G154/K154</f>
        <v>614282.07482615</v>
      </c>
      <c r="M154" s="574"/>
      <c r="N154" s="533">
        <f>L154-M154+N153</f>
        <v>614282.075159448</v>
      </c>
    </row>
    <row r="155" ht="27" customHeight="1" spans="1:20">
      <c r="A155" s="522">
        <v>153</v>
      </c>
      <c r="B155" s="600"/>
      <c r="C155" s="567" t="s">
        <v>41</v>
      </c>
      <c r="D155" s="568" t="s">
        <v>42</v>
      </c>
      <c r="E155" s="569"/>
      <c r="F155" s="570"/>
      <c r="G155" s="570">
        <v>261429281</v>
      </c>
      <c r="H155" s="571"/>
      <c r="I155" s="570">
        <f>G155-H155+I154</f>
        <v>309004056.02726</v>
      </c>
      <c r="J155" s="572"/>
      <c r="K155" s="573">
        <v>77.4477669944451</v>
      </c>
      <c r="L155" s="531">
        <f>G155/K155</f>
        <v>3375556.08309212</v>
      </c>
      <c r="M155" s="574"/>
      <c r="N155" s="533">
        <f>L155-M155+N154</f>
        <v>3989838.15825156</v>
      </c>
    </row>
    <row r="156" ht="27" customHeight="1" spans="1:20">
      <c r="A156" s="522">
        <v>154</v>
      </c>
      <c r="B156" s="600"/>
      <c r="C156" s="567" t="s">
        <v>43</v>
      </c>
      <c r="D156" s="568" t="s">
        <v>44</v>
      </c>
      <c r="E156" s="569"/>
      <c r="F156" s="575"/>
      <c r="G156" s="570">
        <v>88879865.59</v>
      </c>
      <c r="H156" s="571"/>
      <c r="I156" s="570">
        <f>G156-H156+I155</f>
        <v>397883921.61726</v>
      </c>
      <c r="J156" s="572"/>
      <c r="K156" s="573">
        <v>77.4477669944451</v>
      </c>
      <c r="L156" s="531">
        <f>G156/K156</f>
        <v>1147610.4352547</v>
      </c>
      <c r="M156" s="574"/>
      <c r="N156" s="533">
        <f>L156-M156+N155</f>
        <v>5137448.59350627</v>
      </c>
    </row>
    <row r="157" ht="27" customHeight="1" spans="1:20">
      <c r="A157" s="522">
        <v>155</v>
      </c>
      <c r="B157" s="600"/>
      <c r="C157" s="567" t="s">
        <v>22</v>
      </c>
      <c r="D157" s="568" t="s">
        <v>45</v>
      </c>
      <c r="E157" s="569"/>
      <c r="F157" s="575"/>
      <c r="G157" s="570">
        <v>114118634.77</v>
      </c>
      <c r="H157" s="571"/>
      <c r="I157" s="570">
        <f>G157-H157+I156</f>
        <v>512002556.38726</v>
      </c>
      <c r="J157" s="572"/>
      <c r="K157" s="573">
        <v>77.4477669944451</v>
      </c>
      <c r="L157" s="531">
        <f>G157/K157</f>
        <v>1473491.6085855</v>
      </c>
      <c r="M157" s="574"/>
      <c r="N157" s="533">
        <f>L157-M157+N156</f>
        <v>6610940.20209177</v>
      </c>
    </row>
    <row r="158" ht="27" customHeight="1" spans="1:20">
      <c r="A158" s="522">
        <v>156</v>
      </c>
      <c r="B158" s="600"/>
      <c r="C158" s="567">
        <v>46055</v>
      </c>
      <c r="D158" s="568" t="s">
        <v>46</v>
      </c>
      <c r="E158" s="569"/>
      <c r="F158" s="575"/>
      <c r="G158" s="570">
        <v>134129871.64</v>
      </c>
      <c r="H158" s="571"/>
      <c r="I158" s="570">
        <f>G158-H158+I157</f>
        <v>646132428.02726</v>
      </c>
      <c r="J158" s="572"/>
      <c r="K158" s="573">
        <v>77.4477669944451</v>
      </c>
      <c r="L158" s="531">
        <f>G158/K158</f>
        <v>1731875.26051746</v>
      </c>
      <c r="M158" s="574"/>
      <c r="N158" s="533">
        <f>L158-M158+N157</f>
        <v>8342815.46260923</v>
      </c>
      <c r="P158" s="607"/>
    </row>
    <row r="159" ht="27" customHeight="1" spans="1:20">
      <c r="A159" s="522">
        <v>157</v>
      </c>
      <c r="B159" s="600"/>
      <c r="C159" s="567">
        <v>46055</v>
      </c>
      <c r="D159" s="568" t="s">
        <v>47</v>
      </c>
      <c r="E159" s="569"/>
      <c r="F159" s="575"/>
      <c r="G159" s="570">
        <v>137302452</v>
      </c>
      <c r="H159" s="571"/>
      <c r="I159" s="570">
        <f>G159-H159+I158</f>
        <v>783434880.02726</v>
      </c>
      <c r="J159" s="572"/>
      <c r="K159" s="573">
        <v>77.4477669944451</v>
      </c>
      <c r="L159" s="531">
        <f>G159/K159</f>
        <v>1772839.39006076</v>
      </c>
      <c r="M159" s="574"/>
      <c r="N159" s="533">
        <f>L159-M159+N158</f>
        <v>10115654.85267</v>
      </c>
      <c r="P159" s="607"/>
    </row>
    <row r="160" ht="27" customHeight="1" spans="1:20">
      <c r="A160" s="522">
        <v>158</v>
      </c>
      <c r="B160" s="600"/>
      <c r="C160" s="608" t="s">
        <v>48</v>
      </c>
      <c r="D160" s="568" t="s">
        <v>49</v>
      </c>
      <c r="E160" s="569">
        <v>11117.65</v>
      </c>
      <c r="F160" s="575">
        <v>39494.7</v>
      </c>
      <c r="G160" s="570"/>
      <c r="H160" s="576">
        <f>E160*F160</f>
        <v>439088251.455</v>
      </c>
      <c r="I160" s="570">
        <f>G160-H160+I159</f>
        <v>344346628.57226</v>
      </c>
      <c r="J160" s="572"/>
      <c r="K160" s="573">
        <v>509.952727272727</v>
      </c>
      <c r="L160" s="531"/>
      <c r="M160" s="574">
        <f>E160*K160</f>
        <v>5669475.93836364</v>
      </c>
      <c r="N160" s="533">
        <f>L160-M160+N159</f>
        <v>4446178.91430635</v>
      </c>
      <c r="P160" s="491">
        <v>82.5</v>
      </c>
    </row>
    <row r="161" s="553" customFormat="1" ht="27" customHeight="1" spans="1:20">
      <c r="A161" s="522">
        <v>159</v>
      </c>
      <c r="B161" s="600"/>
      <c r="C161" s="608" t="s">
        <v>50</v>
      </c>
      <c r="D161" s="568" t="s">
        <v>51</v>
      </c>
      <c r="E161" s="609"/>
      <c r="F161" s="586"/>
      <c r="G161" s="570"/>
      <c r="H161" s="576">
        <v>213774148.51</v>
      </c>
      <c r="I161" s="570">
        <f>G161-H161+I160</f>
        <v>130572480.06226</v>
      </c>
      <c r="J161" s="572"/>
      <c r="K161" s="573">
        <v>77.4477669944451</v>
      </c>
      <c r="L161" s="531"/>
      <c r="M161" s="574">
        <f>H161/K161</f>
        <v>2760236.43813169</v>
      </c>
      <c r="N161" s="533">
        <f>L161-M161+N160</f>
        <v>1685942.47617466</v>
      </c>
      <c r="P161" s="610"/>
    </row>
    <row r="162" s="553" customFormat="1" ht="27" customHeight="1" spans="1:20">
      <c r="A162" s="522">
        <v>160</v>
      </c>
      <c r="B162" s="603"/>
      <c r="C162" s="608" t="s">
        <v>52</v>
      </c>
      <c r="D162" s="568" t="s">
        <v>51</v>
      </c>
      <c r="E162" s="611"/>
      <c r="F162" s="575"/>
      <c r="G162" s="570"/>
      <c r="H162" s="576">
        <v>84080821.49</v>
      </c>
      <c r="I162" s="570">
        <f>G162-H162+I161</f>
        <v>46491658.5722602</v>
      </c>
      <c r="J162" s="572"/>
      <c r="K162" s="573">
        <v>77.4477669944451</v>
      </c>
      <c r="L162" s="531"/>
      <c r="M162" s="574">
        <f>H162/K162</f>
        <v>1085645.52282096</v>
      </c>
      <c r="N162" s="533">
        <f>L162-M162+N161</f>
        <v>600296.953353707</v>
      </c>
    </row>
    <row r="163" s="553" customFormat="1" ht="27" customHeight="1" spans="1:20">
      <c r="A163" s="522">
        <v>161</v>
      </c>
      <c r="B163" s="612"/>
      <c r="C163" s="613"/>
      <c r="D163" s="524"/>
      <c r="E163" s="614"/>
      <c r="F163" s="575"/>
      <c r="G163" s="570"/>
      <c r="H163" s="615">
        <v>46491658.5742103</v>
      </c>
      <c r="I163" s="570">
        <f>G163-H163+I162</f>
        <v>-0.00195014476776123</v>
      </c>
      <c r="J163" s="572"/>
      <c r="K163" s="573">
        <v>77.4477669944451</v>
      </c>
      <c r="L163" s="531"/>
      <c r="M163" s="574">
        <f>H163/K163</f>
        <v>600296.95339757</v>
      </c>
      <c r="N163" s="533">
        <f>L163-M163+N162</f>
        <v>-4.38635470345616e-5</v>
      </c>
    </row>
    <row r="164" s="553" customFormat="1" ht="27" customHeight="1" spans="1:20">
      <c r="A164" s="522">
        <v>162</v>
      </c>
      <c r="B164" s="612"/>
      <c r="C164" s="523"/>
      <c r="D164" s="524"/>
      <c r="E164" s="525"/>
      <c r="F164" s="575"/>
      <c r="G164" s="570"/>
      <c r="H164" s="571"/>
      <c r="I164" s="570">
        <f>G164-H164+I163</f>
        <v>-0.00195014476776123</v>
      </c>
      <c r="J164" s="572"/>
      <c r="K164" s="573"/>
      <c r="L164" s="531"/>
      <c r="M164" s="574"/>
      <c r="N164" s="533">
        <f>L164-M164+N163</f>
        <v>-4.38635470345616e-5</v>
      </c>
    </row>
    <row r="165" s="553" customFormat="1" ht="27" customHeight="1" spans="1:20">
      <c r="A165" s="522">
        <v>163</v>
      </c>
      <c r="B165" s="616" t="s">
        <v>53</v>
      </c>
      <c r="C165" s="578" t="s">
        <v>54</v>
      </c>
      <c r="D165" s="579" t="s">
        <v>55</v>
      </c>
      <c r="E165" s="580">
        <v>14966.95</v>
      </c>
      <c r="F165" s="575">
        <v>76198.56</v>
      </c>
      <c r="G165" s="570"/>
      <c r="H165" s="576">
        <f>E165*F165</f>
        <v>1140460037.592</v>
      </c>
      <c r="I165" s="570">
        <f>G165-H165+I164</f>
        <v>-1140460037.59395</v>
      </c>
      <c r="J165" s="572"/>
      <c r="K165" s="593">
        <v>990.01</v>
      </c>
      <c r="L165" s="531"/>
      <c r="M165" s="574">
        <f>E165*K165</f>
        <v>14817430.1695</v>
      </c>
      <c r="N165" s="533">
        <f>L165-M165+N164</f>
        <v>-14817430.1695439</v>
      </c>
      <c r="P165" s="617">
        <v>1060.0125</v>
      </c>
      <c r="Q165" s="617"/>
      <c r="T165" s="553">
        <f>E165*K165</f>
        <v>14817430.1695</v>
      </c>
    </row>
    <row r="166" s="553" customFormat="1" ht="27" customHeight="1" spans="1:20">
      <c r="A166" s="522">
        <v>164</v>
      </c>
      <c r="B166" s="618"/>
      <c r="C166" s="578" t="s">
        <v>56</v>
      </c>
      <c r="D166" s="579" t="s">
        <v>57</v>
      </c>
      <c r="E166" s="580"/>
      <c r="F166" s="575"/>
      <c r="G166" s="570">
        <v>2375072.88</v>
      </c>
      <c r="H166" s="571"/>
      <c r="I166" s="570">
        <f>G166-H166+I165</f>
        <v>-1138084964.71395</v>
      </c>
      <c r="J166" s="572"/>
      <c r="K166" s="573">
        <v>76.96746</v>
      </c>
      <c r="L166" s="531">
        <f>G166/K166</f>
        <v>30858.1429087045</v>
      </c>
      <c r="M166" s="574"/>
      <c r="N166" s="533">
        <f>L166-M166+N165</f>
        <v>-14786572.0266352</v>
      </c>
      <c r="P166" s="617">
        <f>P165-70</f>
        <v>990.0125</v>
      </c>
    </row>
    <row r="167" s="553" customFormat="1" ht="27" customHeight="1" spans="1:20">
      <c r="A167" s="522">
        <v>165</v>
      </c>
      <c r="B167" s="618"/>
      <c r="C167" s="578" t="s">
        <v>28</v>
      </c>
      <c r="D167" s="579" t="s">
        <v>58</v>
      </c>
      <c r="E167" s="580"/>
      <c r="F167" s="575"/>
      <c r="G167" s="570">
        <v>23560656.07</v>
      </c>
      <c r="H167" s="571"/>
      <c r="I167" s="570">
        <f>G167-H167+I166</f>
        <v>-1114524308.64395</v>
      </c>
      <c r="J167" s="572"/>
      <c r="K167" s="573">
        <v>76.96746</v>
      </c>
      <c r="L167" s="531">
        <f>G167/K167</f>
        <v>306111.908461056</v>
      </c>
      <c r="M167" s="574"/>
      <c r="N167" s="533">
        <f>L167-M167+N166</f>
        <v>-14480460.1181741</v>
      </c>
      <c r="P167" s="553">
        <v>76.8897727272727</v>
      </c>
      <c r="Q167" s="617"/>
    </row>
    <row r="168" s="553" customFormat="1" ht="27" customHeight="1" spans="1:20">
      <c r="A168" s="522">
        <v>166</v>
      </c>
      <c r="B168" s="618"/>
      <c r="C168" s="578"/>
      <c r="D168" s="579" t="s">
        <v>59</v>
      </c>
      <c r="E168" s="580"/>
      <c r="F168" s="575"/>
      <c r="G168" s="570">
        <v>6890484.04</v>
      </c>
      <c r="H168" s="571"/>
      <c r="I168" s="570">
        <f>G168-H168+I167</f>
        <v>-1107633824.60395</v>
      </c>
      <c r="J168" s="572"/>
      <c r="K168" s="573">
        <v>76.96746</v>
      </c>
      <c r="L168" s="531">
        <f>G168/K168</f>
        <v>89524.638594024</v>
      </c>
      <c r="M168" s="574"/>
      <c r="N168" s="533">
        <f>L168-M168+N167</f>
        <v>-14390935.4795801</v>
      </c>
      <c r="P168" s="617">
        <f>P166*P167</f>
        <v>76121.8361221591</v>
      </c>
    </row>
    <row r="169" s="553" customFormat="1" ht="27" customHeight="1" spans="1:20">
      <c r="A169" s="522">
        <v>167</v>
      </c>
      <c r="B169" s="618"/>
      <c r="C169" s="578" t="s">
        <v>28</v>
      </c>
      <c r="D169" s="579" t="s">
        <v>29</v>
      </c>
      <c r="E169" s="580"/>
      <c r="F169" s="575"/>
      <c r="G169" s="570">
        <v>138230580</v>
      </c>
      <c r="H169" s="571"/>
      <c r="I169" s="570">
        <f>G169-H169+I168</f>
        <v>-969403244.60395</v>
      </c>
      <c r="J169" s="572"/>
      <c r="K169" s="573">
        <v>76.96746</v>
      </c>
      <c r="L169" s="531">
        <f>G169/K169</f>
        <v>1795961.30624552</v>
      </c>
      <c r="M169" s="574"/>
      <c r="N169" s="533">
        <f>L169-M169+N168</f>
        <v>-12594974.1733346</v>
      </c>
      <c r="P169" s="619"/>
    </row>
    <row r="170" s="553" customFormat="1" ht="27" customHeight="1" spans="1:20">
      <c r="A170" s="522">
        <v>168</v>
      </c>
      <c r="B170" s="618"/>
      <c r="C170" s="578" t="s">
        <v>60</v>
      </c>
      <c r="D170" s="579" t="s">
        <v>61</v>
      </c>
      <c r="E170" s="580"/>
      <c r="F170" s="575"/>
      <c r="G170" s="570">
        <v>200000000</v>
      </c>
      <c r="H170" s="571"/>
      <c r="I170" s="570">
        <f>G170-H170+I169</f>
        <v>-769403244.60395</v>
      </c>
      <c r="J170" s="572"/>
      <c r="K170" s="573">
        <v>76.96746</v>
      </c>
      <c r="L170" s="531">
        <f>G170/K170</f>
        <v>2598500.71705627</v>
      </c>
      <c r="M170" s="574"/>
      <c r="N170" s="533">
        <f>L170-M170+N169</f>
        <v>-9996473.45627828</v>
      </c>
      <c r="P170" s="617"/>
    </row>
    <row r="171" s="553" customFormat="1" ht="27" customHeight="1" spans="1:20">
      <c r="A171" s="522">
        <v>169</v>
      </c>
      <c r="B171" s="618"/>
      <c r="C171" s="578" t="s">
        <v>60</v>
      </c>
      <c r="D171" s="579" t="s">
        <v>62</v>
      </c>
      <c r="E171" s="580"/>
      <c r="F171" s="575"/>
      <c r="G171" s="570">
        <v>98500000</v>
      </c>
      <c r="H171" s="571"/>
      <c r="I171" s="570">
        <f>G171-H171+I170</f>
        <v>-670903244.60395</v>
      </c>
      <c r="J171" s="572"/>
      <c r="K171" s="573">
        <v>76.96746</v>
      </c>
      <c r="L171" s="531">
        <f>G171/K171</f>
        <v>1279761.60315021</v>
      </c>
      <c r="M171" s="574"/>
      <c r="N171" s="533">
        <f>L171-M171+N170</f>
        <v>-8716711.85312807</v>
      </c>
      <c r="P171" s="620"/>
    </row>
    <row r="172" s="553" customFormat="1" ht="27" customHeight="1" spans="1:20">
      <c r="A172" s="522">
        <v>170</v>
      </c>
      <c r="B172" s="618"/>
      <c r="C172" s="578" t="s">
        <v>63</v>
      </c>
      <c r="D172" s="579" t="s">
        <v>64</v>
      </c>
      <c r="E172" s="580"/>
      <c r="F172" s="575"/>
      <c r="G172" s="570">
        <v>176426705</v>
      </c>
      <c r="H172" s="571"/>
      <c r="I172" s="570">
        <f>G172-H172+I171</f>
        <v>-494476539.60395</v>
      </c>
      <c r="J172" s="572"/>
      <c r="K172" s="573">
        <v>76.96746</v>
      </c>
      <c r="L172" s="531">
        <f>G172/K172</f>
        <v>2292224.59725188</v>
      </c>
      <c r="M172" s="574"/>
      <c r="N172" s="533">
        <f>L172-M172+N171</f>
        <v>-6424487.25587619</v>
      </c>
    </row>
    <row r="173" s="553" customFormat="1" ht="27" customHeight="1" spans="1:20">
      <c r="A173" s="522">
        <v>171</v>
      </c>
      <c r="B173" s="618"/>
      <c r="C173" s="578" t="s">
        <v>65</v>
      </c>
      <c r="D173" s="579" t="s">
        <v>66</v>
      </c>
      <c r="E173" s="580"/>
      <c r="F173" s="575"/>
      <c r="G173" s="570">
        <v>300000000</v>
      </c>
      <c r="H173" s="571"/>
      <c r="I173" s="570">
        <f>G173-H173+I172</f>
        <v>-194476539.60395</v>
      </c>
      <c r="J173" s="572"/>
      <c r="K173" s="573">
        <v>76.96746</v>
      </c>
      <c r="L173" s="531">
        <f>G173/K173</f>
        <v>3897751.07558441</v>
      </c>
      <c r="M173" s="574"/>
      <c r="N173" s="533">
        <f>L173-M173+N172</f>
        <v>-2526736.18029178</v>
      </c>
    </row>
    <row r="174" s="553" customFormat="1" ht="27" customHeight="1" spans="1:20">
      <c r="A174" s="522">
        <v>172</v>
      </c>
      <c r="B174" s="618"/>
      <c r="C174" s="578">
        <v>46085</v>
      </c>
      <c r="D174" s="579" t="s">
        <v>67</v>
      </c>
      <c r="E174" s="580"/>
      <c r="F174" s="575"/>
      <c r="G174" s="570">
        <v>300000000</v>
      </c>
      <c r="H174" s="571"/>
      <c r="I174" s="570">
        <f>G174-H174+I173</f>
        <v>105523460.39605</v>
      </c>
      <c r="J174" s="572"/>
      <c r="K174" s="573">
        <v>76.96746</v>
      </c>
      <c r="L174" s="531">
        <f>G174/K174</f>
        <v>3897751.07558441</v>
      </c>
      <c r="M174" s="574"/>
      <c r="N174" s="533">
        <f>L174-M174+N173</f>
        <v>1371014.89529263</v>
      </c>
    </row>
    <row r="175" s="553" customFormat="1" ht="27" customHeight="1" spans="1:20">
      <c r="A175" s="522">
        <v>173</v>
      </c>
      <c r="B175" s="618"/>
      <c r="C175" s="578"/>
      <c r="D175" s="579" t="s">
        <v>25</v>
      </c>
      <c r="E175" s="580"/>
      <c r="F175" s="575"/>
      <c r="G175" s="570"/>
      <c r="H175" s="571">
        <v>96000000</v>
      </c>
      <c r="I175" s="570">
        <f>G175-H175+I174</f>
        <v>9523460.39604998</v>
      </c>
      <c r="J175" s="572"/>
      <c r="K175" s="573">
        <v>76.96746</v>
      </c>
      <c r="L175" s="531">
        <f>G175/K175</f>
        <v>0</v>
      </c>
      <c r="M175" s="574">
        <f>H175/K175</f>
        <v>1247280.34418701</v>
      </c>
      <c r="N175" s="533">
        <f>L175-M175+N174</f>
        <v>123734.551105618</v>
      </c>
    </row>
    <row r="176" s="553" customFormat="1" ht="27" customHeight="1" spans="1:20">
      <c r="A176" s="522">
        <v>174</v>
      </c>
      <c r="B176" s="621"/>
      <c r="C176" s="523"/>
      <c r="D176" s="524"/>
      <c r="E176" s="525"/>
      <c r="F176" s="575"/>
      <c r="G176" s="570"/>
      <c r="H176" s="622">
        <f>I175</f>
        <v>9523460.39604998</v>
      </c>
      <c r="I176" s="570">
        <f>G176-H176+I175</f>
        <v>0</v>
      </c>
      <c r="J176" s="572"/>
      <c r="K176" s="573">
        <v>76.96746</v>
      </c>
      <c r="L176" s="531">
        <f>G176/K176</f>
        <v>0</v>
      </c>
      <c r="M176" s="574">
        <v>121861.224186518</v>
      </c>
      <c r="N176" s="533">
        <f>L176-M176+N175</f>
        <v>1873.32691910025</v>
      </c>
    </row>
    <row r="177" s="553" customFormat="1" ht="27" customHeight="1" spans="1:17">
      <c r="A177" s="522">
        <v>175</v>
      </c>
      <c r="B177" s="612"/>
      <c r="C177" s="523"/>
      <c r="D177" s="524"/>
      <c r="E177" s="525"/>
      <c r="F177" s="575"/>
      <c r="G177" s="570"/>
      <c r="H177" s="571"/>
      <c r="I177" s="570">
        <f>G177-H177+I176</f>
        <v>0</v>
      </c>
      <c r="J177" s="572"/>
      <c r="K177" s="573"/>
      <c r="L177" s="531"/>
      <c r="M177" s="574">
        <v>1873</v>
      </c>
      <c r="N177" s="533">
        <f>L177-M177+N176</f>
        <v>0.326919100247324</v>
      </c>
    </row>
    <row r="178" s="553" customFormat="1" ht="27" customHeight="1" spans="1:17">
      <c r="A178" s="522">
        <v>176</v>
      </c>
      <c r="B178" s="616" t="s">
        <v>68</v>
      </c>
      <c r="C178" s="567">
        <v>46116</v>
      </c>
      <c r="D178" s="568" t="s">
        <v>69</v>
      </c>
      <c r="E178" s="569"/>
      <c r="F178" s="575"/>
      <c r="G178" s="570">
        <v>200000000</v>
      </c>
      <c r="H178" s="571"/>
      <c r="I178" s="570">
        <f>G178-H178+I177</f>
        <v>200000000</v>
      </c>
      <c r="J178" s="572"/>
      <c r="K178" s="573">
        <v>76.8898042342103</v>
      </c>
      <c r="L178" s="531">
        <f>G178/K178</f>
        <v>2601125.10354155</v>
      </c>
      <c r="M178" s="574"/>
      <c r="N178" s="533">
        <f>L178-M178+N177</f>
        <v>2601125.43046065</v>
      </c>
    </row>
    <row r="179" s="553" customFormat="1" ht="27" customHeight="1" spans="1:17">
      <c r="A179" s="522">
        <v>177</v>
      </c>
      <c r="B179" s="618"/>
      <c r="C179" s="590" t="s">
        <v>70</v>
      </c>
      <c r="D179" s="568" t="s">
        <v>71</v>
      </c>
      <c r="E179" s="569"/>
      <c r="F179" s="575"/>
      <c r="G179" s="570">
        <v>300000000</v>
      </c>
      <c r="H179" s="571"/>
      <c r="I179" s="570">
        <f>G179-H179+I178</f>
        <v>500000000</v>
      </c>
      <c r="J179" s="572"/>
      <c r="K179" s="573">
        <v>76.8898042342103</v>
      </c>
      <c r="L179" s="531">
        <f>G179/K179</f>
        <v>3901687.65531233</v>
      </c>
      <c r="M179" s="574"/>
      <c r="N179" s="533">
        <f>L179-M179+N178</f>
        <v>6502813.08577298</v>
      </c>
    </row>
    <row r="180" s="553" customFormat="1" ht="27" customHeight="1" spans="1:17">
      <c r="A180" s="522">
        <v>178</v>
      </c>
      <c r="B180" s="618"/>
      <c r="C180" s="590" t="s">
        <v>70</v>
      </c>
      <c r="D180" s="568" t="s">
        <v>72</v>
      </c>
      <c r="E180" s="569"/>
      <c r="F180" s="575"/>
      <c r="G180" s="570">
        <v>110000000</v>
      </c>
      <c r="H180" s="571"/>
      <c r="I180" s="570">
        <f>G180-H180+I179</f>
        <v>610000000</v>
      </c>
      <c r="J180" s="572"/>
      <c r="K180" s="573">
        <v>76.8898042342103</v>
      </c>
      <c r="L180" s="531">
        <f>G180/K180</f>
        <v>1430618.80694785</v>
      </c>
      <c r="M180" s="574"/>
      <c r="N180" s="533">
        <f>L180-M180+N179</f>
        <v>7933431.89272084</v>
      </c>
      <c r="Q180" s="623"/>
    </row>
    <row r="181" s="553" customFormat="1" ht="27" customHeight="1" spans="1:17">
      <c r="A181" s="522">
        <v>179</v>
      </c>
      <c r="B181" s="618"/>
      <c r="C181" s="567" t="s">
        <v>73</v>
      </c>
      <c r="D181" s="568" t="s">
        <v>74</v>
      </c>
      <c r="E181" s="569">
        <v>9982.7</v>
      </c>
      <c r="F181" s="575">
        <v>78120.81</v>
      </c>
      <c r="G181" s="570"/>
      <c r="H181" s="576">
        <f>E181*F181</f>
        <v>779856609.987</v>
      </c>
      <c r="I181" s="570">
        <f>G181-H181+I180</f>
        <v>-169856609.987</v>
      </c>
      <c r="J181" s="572"/>
      <c r="K181" s="593">
        <v>1016.01</v>
      </c>
      <c r="L181" s="531"/>
      <c r="M181" s="574">
        <f>E181*K181</f>
        <v>10142523.027</v>
      </c>
      <c r="N181" s="533">
        <f>L181-M181+N180</f>
        <v>-2209091.13427916</v>
      </c>
      <c r="P181" s="553">
        <v>44</v>
      </c>
    </row>
    <row r="182" s="553" customFormat="1" ht="27" customHeight="1" spans="1:17">
      <c r="A182" s="522">
        <v>180</v>
      </c>
      <c r="B182" s="618"/>
      <c r="C182" s="567" t="s">
        <v>50</v>
      </c>
      <c r="D182" s="568" t="s">
        <v>75</v>
      </c>
      <c r="E182" s="569"/>
      <c r="F182" s="575"/>
      <c r="G182" s="570">
        <v>213774148.51</v>
      </c>
      <c r="H182" s="571"/>
      <c r="I182" s="570">
        <f>G182-H182+I181</f>
        <v>43917538.523</v>
      </c>
      <c r="J182" s="572"/>
      <c r="K182" s="573">
        <v>76.8898042342103</v>
      </c>
      <c r="L182" s="531">
        <f>G182/K182</f>
        <v>2780266.52088791</v>
      </c>
      <c r="M182" s="574"/>
      <c r="N182" s="533">
        <f>L182-M182+N181</f>
        <v>571175.386608743</v>
      </c>
      <c r="P182" s="617">
        <f>F181/K181</f>
        <v>76.8898042342103</v>
      </c>
      <c r="Q182" s="617"/>
    </row>
    <row r="183" s="553" customFormat="1" ht="27" customHeight="1" spans="1:17">
      <c r="A183" s="522">
        <v>181</v>
      </c>
      <c r="B183" s="618"/>
      <c r="C183" s="567" t="s">
        <v>52</v>
      </c>
      <c r="D183" s="568" t="s">
        <v>75</v>
      </c>
      <c r="E183" s="569"/>
      <c r="F183" s="575"/>
      <c r="G183" s="570">
        <v>84080821.49</v>
      </c>
      <c r="H183" s="571"/>
      <c r="I183" s="570">
        <f>G183-H183+I182</f>
        <v>127998360.013</v>
      </c>
      <c r="J183" s="572"/>
      <c r="K183" s="573">
        <v>76.8898042342103</v>
      </c>
      <c r="L183" s="531">
        <f>G183/K183</f>
        <v>1093523.67752018</v>
      </c>
      <c r="M183" s="574"/>
      <c r="N183" s="533">
        <f>L183-M183+N182</f>
        <v>1664699.06412892</v>
      </c>
      <c r="Q183" s="617"/>
    </row>
    <row r="184" s="553" customFormat="1" ht="27" customHeight="1" spans="1:17">
      <c r="A184" s="522">
        <v>182</v>
      </c>
      <c r="B184" s="618"/>
      <c r="C184" s="567"/>
      <c r="D184" s="568" t="s">
        <v>25</v>
      </c>
      <c r="E184" s="569"/>
      <c r="F184" s="575"/>
      <c r="G184" s="570"/>
      <c r="H184" s="571">
        <v>50000000</v>
      </c>
      <c r="I184" s="570">
        <f>G184-H184+I183</f>
        <v>77998360.013</v>
      </c>
      <c r="J184" s="572"/>
      <c r="K184" s="573">
        <v>76.8898042342103</v>
      </c>
      <c r="L184" s="531">
        <f>G184/K184</f>
        <v>0</v>
      </c>
      <c r="M184" s="574">
        <f>H184/K184</f>
        <v>650281.275885388</v>
      </c>
      <c r="N184" s="533">
        <f>L184-M184+N183</f>
        <v>1014417.78824353</v>
      </c>
    </row>
    <row r="185" s="553" customFormat="1" ht="27" customHeight="1" spans="1:17">
      <c r="A185" s="522">
        <v>183</v>
      </c>
      <c r="B185" s="621"/>
      <c r="C185" s="523"/>
      <c r="D185" s="524"/>
      <c r="E185" s="525"/>
      <c r="F185" s="575"/>
      <c r="G185" s="570"/>
      <c r="H185" s="622">
        <v>77998360.013</v>
      </c>
      <c r="I185" s="570">
        <f>G185-H185+I184</f>
        <v>0</v>
      </c>
      <c r="J185" s="572"/>
      <c r="K185" s="573">
        <v>76.8898042342103</v>
      </c>
      <c r="L185" s="531">
        <f>G185/K185</f>
        <v>0</v>
      </c>
      <c r="M185" s="574">
        <f>H185/K185</f>
        <v>1014417.46132443</v>
      </c>
      <c r="N185" s="533">
        <f>L185-M185+N184</f>
        <v>0.326919100363739</v>
      </c>
    </row>
    <row r="186" s="553" customFormat="1" ht="27" customHeight="1" spans="1:17">
      <c r="A186" s="522">
        <v>184</v>
      </c>
      <c r="B186" s="612"/>
      <c r="C186" s="523"/>
      <c r="D186" s="524"/>
      <c r="E186" s="525"/>
      <c r="F186" s="575"/>
      <c r="G186" s="570"/>
      <c r="H186" s="571"/>
      <c r="I186" s="570">
        <f>G186-H186+I185</f>
        <v>0</v>
      </c>
      <c r="J186" s="572"/>
      <c r="K186" s="573"/>
      <c r="L186" s="531"/>
      <c r="M186" s="574"/>
      <c r="N186" s="533">
        <f>L186-M186+N185</f>
        <v>0.326919100363739</v>
      </c>
    </row>
    <row r="187" s="553" customFormat="1" ht="27" customHeight="1" spans="1:17">
      <c r="A187" s="522">
        <v>185</v>
      </c>
      <c r="B187" s="612"/>
      <c r="C187" s="523"/>
      <c r="D187" s="524"/>
      <c r="E187" s="525"/>
      <c r="F187" s="575"/>
      <c r="G187" s="570"/>
      <c r="H187" s="571"/>
      <c r="I187" s="570">
        <f>G187-H187+I186</f>
        <v>0</v>
      </c>
      <c r="J187" s="572"/>
      <c r="K187" s="573"/>
      <c r="L187" s="531"/>
      <c r="M187" s="574"/>
      <c r="N187" s="533">
        <f>L187-M187+N186</f>
        <v>0.326919100363739</v>
      </c>
      <c r="Q187" s="617"/>
    </row>
    <row r="188" s="553" customFormat="1" ht="27" customHeight="1" spans="1:17">
      <c r="A188" s="522">
        <v>186</v>
      </c>
      <c r="B188" s="616" t="s">
        <v>76</v>
      </c>
      <c r="C188" s="523">
        <v>46147</v>
      </c>
      <c r="D188" s="524" t="s">
        <v>77</v>
      </c>
      <c r="E188" s="525"/>
      <c r="F188" s="575"/>
      <c r="G188" s="570">
        <v>200000000</v>
      </c>
      <c r="H188" s="571"/>
      <c r="I188" s="570">
        <f>G188-H188+I187</f>
        <v>200000000</v>
      </c>
      <c r="J188" s="572"/>
      <c r="K188" s="573"/>
      <c r="L188" s="531"/>
      <c r="M188" s="574"/>
      <c r="N188" s="533">
        <f>L188-M188+N187</f>
        <v>0.326919100363739</v>
      </c>
    </row>
    <row r="189" s="553" customFormat="1" ht="27" customHeight="1" spans="1:17">
      <c r="A189" s="522">
        <v>187</v>
      </c>
      <c r="B189" s="618"/>
      <c r="C189" s="523">
        <v>46147</v>
      </c>
      <c r="D189" s="524" t="s">
        <v>78</v>
      </c>
      <c r="E189" s="525"/>
      <c r="F189" s="575"/>
      <c r="G189" s="570">
        <v>160801267</v>
      </c>
      <c r="H189" s="571"/>
      <c r="I189" s="570">
        <f>G189-H189+I188</f>
        <v>360801267</v>
      </c>
      <c r="J189" s="572"/>
      <c r="K189" s="573"/>
      <c r="L189" s="531"/>
      <c r="M189" s="574"/>
      <c r="N189" s="533">
        <f>L189-M189+N188</f>
        <v>0.326919100363739</v>
      </c>
    </row>
    <row r="190" s="553" customFormat="1" ht="27" customHeight="1" spans="1:17">
      <c r="A190" s="522">
        <v>188</v>
      </c>
      <c r="B190" s="621"/>
      <c r="C190" s="523">
        <v>46178</v>
      </c>
      <c r="D190" s="524" t="s">
        <v>79</v>
      </c>
      <c r="E190" s="525"/>
      <c r="F190" s="575"/>
      <c r="G190" s="570">
        <v>158464294</v>
      </c>
      <c r="H190" s="571"/>
      <c r="I190" s="570">
        <f>G190-H190+I189</f>
        <v>519265561</v>
      </c>
      <c r="J190" s="572"/>
      <c r="K190" s="573"/>
      <c r="L190" s="531"/>
      <c r="M190" s="574"/>
      <c r="N190" s="533">
        <f>L190-M190+N189</f>
        <v>0.326919100363739</v>
      </c>
    </row>
    <row r="191" s="553" customFormat="1" ht="27" customHeight="1" spans="1:17">
      <c r="A191" s="522">
        <v>189</v>
      </c>
      <c r="B191" s="612"/>
      <c r="C191" s="624" t="s">
        <v>80</v>
      </c>
      <c r="D191" s="524" t="s">
        <v>81</v>
      </c>
      <c r="E191" s="625"/>
      <c r="F191" s="626"/>
      <c r="G191" s="627">
        <v>80000000</v>
      </c>
      <c r="H191" s="628"/>
      <c r="I191" s="570">
        <f>G191-H191+I190</f>
        <v>599265561</v>
      </c>
      <c r="J191" s="629">
        <v>1135557.13271824</v>
      </c>
      <c r="K191" s="630"/>
      <c r="L191" s="631"/>
      <c r="M191" s="632"/>
      <c r="N191" s="533">
        <f>L191-M191+N190</f>
        <v>0.326919100363739</v>
      </c>
    </row>
    <row r="192" s="553" customFormat="1" ht="27" customHeight="1" spans="1:17">
      <c r="A192" s="522">
        <v>190</v>
      </c>
      <c r="B192" s="612"/>
      <c r="C192" s="624" t="s">
        <v>82</v>
      </c>
      <c r="D192" s="524" t="s">
        <v>83</v>
      </c>
      <c r="E192" s="625"/>
      <c r="F192" s="626"/>
      <c r="G192" s="627">
        <v>130000000</v>
      </c>
      <c r="H192" s="628"/>
      <c r="I192" s="570">
        <f>G192-H192+I191</f>
        <v>729265561</v>
      </c>
      <c r="J192" s="629"/>
      <c r="K192" s="630"/>
      <c r="L192" s="631"/>
      <c r="M192" s="632"/>
      <c r="N192" s="533">
        <f>L192-M192+N191</f>
        <v>0.326919100363739</v>
      </c>
    </row>
    <row r="193" s="553" customFormat="1" ht="27" customHeight="1" spans="1:20">
      <c r="A193" s="522">
        <v>191</v>
      </c>
      <c r="B193" s="612"/>
      <c r="C193" s="624">
        <v>46301</v>
      </c>
      <c r="D193" s="524" t="s">
        <v>84</v>
      </c>
      <c r="E193" s="625"/>
      <c r="F193" s="626"/>
      <c r="G193" s="627">
        <v>250094096</v>
      </c>
      <c r="H193" s="628"/>
      <c r="I193" s="570">
        <f>G193-H193+I192</f>
        <v>979359657</v>
      </c>
      <c r="J193" s="629"/>
      <c r="K193" s="630"/>
      <c r="L193" s="631"/>
      <c r="M193" s="632"/>
      <c r="N193" s="533">
        <f>L193-M193+N192</f>
        <v>0.326919100363739</v>
      </c>
    </row>
    <row r="194" s="553" customFormat="1" ht="27" customHeight="1" spans="1:20">
      <c r="A194" s="522">
        <v>192</v>
      </c>
      <c r="B194" s="612"/>
      <c r="C194" s="624"/>
      <c r="D194" s="633" t="s">
        <v>85</v>
      </c>
      <c r="E194" s="625">
        <v>9985</v>
      </c>
      <c r="F194" s="626">
        <v>79355.4262055238</v>
      </c>
      <c r="G194" s="627"/>
      <c r="H194" s="634">
        <f>E194*F194</f>
        <v>792363930.662155</v>
      </c>
      <c r="I194" s="570">
        <f>G194-H194+I193</f>
        <v>186995726.337845</v>
      </c>
      <c r="J194" s="629"/>
      <c r="K194" s="630"/>
      <c r="L194" s="631"/>
      <c r="M194" s="632"/>
      <c r="N194" s="533">
        <f>L194-M194+N193</f>
        <v>0.326919100363739</v>
      </c>
      <c r="P194" s="553">
        <v>1127.14473684211</v>
      </c>
      <c r="Q194" s="553">
        <f>1127.14-41</f>
        <v>1086.14</v>
      </c>
    </row>
    <row r="195" s="553" customFormat="1" ht="27" customHeight="1" spans="1:20">
      <c r="A195" s="522">
        <v>193</v>
      </c>
      <c r="B195" s="612"/>
      <c r="C195" s="624"/>
      <c r="D195" s="633"/>
      <c r="E195" s="625"/>
      <c r="F195" s="626"/>
      <c r="G195" s="627"/>
      <c r="H195" s="628"/>
      <c r="I195" s="570">
        <f>G195-H195+I194</f>
        <v>186995726.337845</v>
      </c>
      <c r="J195" s="629"/>
      <c r="K195" s="630"/>
      <c r="L195" s="631"/>
      <c r="M195" s="632"/>
      <c r="N195" s="533">
        <f>L195-M195+N194</f>
        <v>0.326919100363739</v>
      </c>
      <c r="P195" s="553">
        <v>73.0618761904762</v>
      </c>
      <c r="Q195" s="553">
        <f>Q194*P195</f>
        <v>79355.4262055238</v>
      </c>
    </row>
    <row r="196" s="553" customFormat="1" ht="27" customHeight="1" spans="1:20">
      <c r="A196" s="522">
        <v>194</v>
      </c>
      <c r="B196" s="612"/>
      <c r="C196" s="624"/>
      <c r="D196" s="633"/>
      <c r="E196" s="625"/>
      <c r="F196" s="626"/>
      <c r="G196" s="627"/>
      <c r="H196" s="628"/>
      <c r="I196" s="570">
        <f>G196-H196+I195</f>
        <v>186995726.337845</v>
      </c>
      <c r="J196" s="629"/>
      <c r="K196" s="630"/>
      <c r="L196" s="631"/>
      <c r="M196" s="632"/>
      <c r="N196" s="533">
        <f>L196-M196+N195</f>
        <v>0.326919100363739</v>
      </c>
    </row>
    <row r="197" s="553" customFormat="1" ht="27" customHeight="1" spans="1:20">
      <c r="A197" s="522">
        <v>195</v>
      </c>
      <c r="B197" s="612"/>
      <c r="C197" s="624"/>
      <c r="D197" s="633"/>
      <c r="E197" s="625"/>
      <c r="F197" s="626"/>
      <c r="G197" s="627"/>
      <c r="H197" s="628"/>
      <c r="I197" s="570">
        <f>G197-H197+I196</f>
        <v>186995726.337845</v>
      </c>
      <c r="J197" s="629"/>
      <c r="K197" s="630"/>
      <c r="L197" s="631"/>
      <c r="M197" s="632"/>
      <c r="N197" s="533">
        <f>L197-M197+N196</f>
        <v>0.326919100363739</v>
      </c>
    </row>
    <row r="198" ht="27" customHeight="1" spans="1:20">
      <c r="A198" s="541"/>
      <c r="B198" s="542"/>
      <c r="C198" s="542"/>
      <c r="D198" s="543"/>
      <c r="E198" s="544">
        <v>76006.171</v>
      </c>
      <c r="F198" s="545"/>
      <c r="G198" s="546"/>
      <c r="H198" s="547"/>
      <c r="I198" s="635"/>
      <c r="J198" s="635"/>
      <c r="K198" s="551"/>
      <c r="L198" s="551"/>
      <c r="M198" s="551"/>
      <c r="N198" s="552"/>
    </row>
    <row r="199" ht="62.25" customHeight="1" spans="1:20">
      <c r="F199" s="636"/>
    </row>
    <row r="200" ht="24" customHeight="1" spans="1:20">
      <c r="D200" s="637" t="s">
        <v>86</v>
      </c>
      <c r="E200" s="638"/>
      <c r="F200" s="639">
        <v>46491658.5742103</v>
      </c>
      <c r="H200" s="495">
        <f>SUM(H194,H181,H165,H160,H150,H143,H127)</f>
        <v>4377371196.60889</v>
      </c>
    </row>
    <row r="201" ht="30" customHeight="1" spans="1:20">
      <c r="D201" s="637" t="s">
        <v>87</v>
      </c>
      <c r="E201" s="638"/>
      <c r="F201" s="639">
        <v>9523460.39800024</v>
      </c>
      <c r="H201" s="495" t="s">
        <v>88</v>
      </c>
      <c r="M201" s="624" t="s">
        <v>80</v>
      </c>
      <c r="N201" s="640" t="s">
        <v>89</v>
      </c>
      <c r="O201" s="641">
        <v>80000000</v>
      </c>
      <c r="P201" s="616"/>
      <c r="Q201" s="642">
        <v>70.45</v>
      </c>
      <c r="R201" s="643"/>
      <c r="S201" s="631"/>
      <c r="T201" s="632">
        <f>O201/Q201</f>
        <v>1135557.13271824</v>
      </c>
    </row>
    <row r="202" ht="30" customHeight="1" spans="1:20">
      <c r="D202" s="637" t="s">
        <v>30</v>
      </c>
      <c r="E202" s="638"/>
      <c r="F202" s="639">
        <v>77998360.013</v>
      </c>
      <c r="M202" s="644"/>
      <c r="N202" s="644"/>
      <c r="O202" s="645"/>
      <c r="P202" s="646"/>
    </row>
    <row r="203" ht="14.25" spans="1:20">
      <c r="D203" s="636"/>
      <c r="F203" s="647"/>
      <c r="M203" s="644"/>
      <c r="N203" s="644"/>
      <c r="O203" s="645"/>
      <c r="P203" s="646"/>
    </row>
    <row r="204" ht="33" customHeight="1" spans="1:20">
      <c r="D204" s="648" t="s">
        <v>90</v>
      </c>
      <c r="F204" s="649">
        <f>SUM(F200:F203)</f>
        <v>134013478.985211</v>
      </c>
      <c r="M204" s="644"/>
      <c r="N204" s="644"/>
      <c r="O204" s="645"/>
      <c r="P204" s="646"/>
    </row>
  </sheetData>
  <autoFilter xmlns:etc="http://www.wps.cn/officeDocument/2017/etCustomData" ref="A2:N198" etc:filterBottomFollowUsedRange="0">
    <extLst/>
  </autoFilter>
  <mergeCells count="19">
    <mergeCell ref="A1:N1"/>
    <mergeCell ref="B4:B10"/>
    <mergeCell ref="B12:B17"/>
    <mergeCell ref="B42:B49"/>
    <mergeCell ref="B52:B59"/>
    <mergeCell ref="B60:B64"/>
    <mergeCell ref="B66:B69"/>
    <mergeCell ref="B71:B84"/>
    <mergeCell ref="B86:B94"/>
    <mergeCell ref="B96:B98"/>
    <mergeCell ref="B100:B106"/>
    <mergeCell ref="B108:B125"/>
    <mergeCell ref="B127:B136"/>
    <mergeCell ref="B138:B145"/>
    <mergeCell ref="B147:B152"/>
    <mergeCell ref="B154:B162"/>
    <mergeCell ref="B165:B176"/>
    <mergeCell ref="B178:B185"/>
    <mergeCell ref="B188:B190"/>
  </mergeCells>
  <pageMargins left="0" right="0" top="0" bottom="0" header="0.3" footer="0.3"/>
  <pageSetup paperSize="1" scale="75" orientation="landscape" horizontalDpi="360" verticalDpi="36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2"/>
  <sheetViews>
    <sheetView zoomScale="90" zoomScaleNormal="90" workbookViewId="0">
      <pane xSplit="10" ySplit="10" topLeftCell="K24" activePane="bottomRight" state="frozen"/>
      <selection/>
      <selection pane="topRight"/>
      <selection pane="bottomLeft"/>
      <selection pane="bottomRight" activeCell="E38" sqref="E38"/>
    </sheetView>
  </sheetViews>
  <sheetFormatPr defaultColWidth="9" defaultRowHeight="12.75"/>
  <cols>
    <col min="1" max="1" width="5.57142857142857" style="491" customWidth="1"/>
    <col min="2" max="2" width="10.1428571428571" style="491" customWidth="1"/>
    <col min="3" max="3" width="39.2857142857143" style="492" customWidth="1"/>
    <col min="4" max="4" width="12.2857142857143" style="493" customWidth="1"/>
    <col min="5" max="5" width="13.7142857142857" style="493" customWidth="1"/>
    <col min="6" max="6" width="16.1428571428571" style="494" customWidth="1"/>
    <col min="7" max="7" width="14.4285714285714" style="495" customWidth="1"/>
    <col min="8" max="8" width="16.8571428571429" style="496" customWidth="1"/>
    <col min="9" max="9" width="0.714285714285714" style="496" customWidth="1"/>
    <col min="10" max="10" width="14.7142857142857" style="491" customWidth="1"/>
    <col min="11" max="11" width="14.4285714285714" style="491" customWidth="1"/>
    <col min="12" max="12" width="14.7142857142857" style="491" customWidth="1"/>
    <col min="13" max="13" width="14.4285714285714" style="491" customWidth="1"/>
    <col min="14" max="14" width="1.71428571428571" style="491" customWidth="1"/>
    <col min="15" max="249" width="8.85714285714286" style="491"/>
    <col min="250" max="250" width="5.57142857142857" style="491" customWidth="1"/>
    <col min="251" max="251" width="9.28571428571429" style="491" customWidth="1"/>
    <col min="252" max="252" width="24.7142857142857" style="491" customWidth="1"/>
    <col min="253" max="253" width="11" style="491" customWidth="1"/>
    <col min="254" max="254" width="7.57142857142857" style="491" customWidth="1"/>
    <col min="255" max="255" width="13.5714285714286" style="491" customWidth="1"/>
    <col min="256" max="256" width="5.42857142857143" style="491" customWidth="1"/>
    <col min="257" max="257" width="11.2857142857143" style="491" customWidth="1"/>
    <col min="258" max="258" width="5.71428571428571" style="491" customWidth="1"/>
    <col min="259" max="259" width="12" style="491" customWidth="1"/>
    <col min="260" max="260" width="15.4285714285714" style="491" customWidth="1"/>
    <col min="261" max="262" width="15.1428571428571" style="491" customWidth="1"/>
    <col min="263" max="263" width="14.2857142857143" style="491" customWidth="1"/>
    <col min="264" max="264" width="3.14285714285714" style="491" customWidth="1"/>
    <col min="265" max="265" width="6.42857142857143" style="491" customWidth="1"/>
    <col min="266" max="505" width="8.85714285714286" style="491"/>
    <col min="506" max="506" width="5.57142857142857" style="491" customWidth="1"/>
    <col min="507" max="507" width="9.28571428571429" style="491" customWidth="1"/>
    <col min="508" max="508" width="24.7142857142857" style="491" customWidth="1"/>
    <col min="509" max="509" width="11" style="491" customWidth="1"/>
    <col min="510" max="510" width="7.57142857142857" style="491" customWidth="1"/>
    <col min="511" max="511" width="13.5714285714286" style="491" customWidth="1"/>
    <col min="512" max="512" width="5.42857142857143" style="491" customWidth="1"/>
    <col min="513" max="513" width="11.2857142857143" style="491" customWidth="1"/>
    <col min="514" max="514" width="5.71428571428571" style="491" customWidth="1"/>
    <col min="515" max="515" width="12" style="491" customWidth="1"/>
    <col min="516" max="516" width="15.4285714285714" style="491" customWidth="1"/>
    <col min="517" max="518" width="15.1428571428571" style="491" customWidth="1"/>
    <col min="519" max="519" width="14.2857142857143" style="491" customWidth="1"/>
    <col min="520" max="520" width="3.14285714285714" style="491" customWidth="1"/>
    <col min="521" max="521" width="6.42857142857143" style="491" customWidth="1"/>
    <col min="522" max="761" width="8.85714285714286" style="491"/>
    <col min="762" max="762" width="5.57142857142857" style="491" customWidth="1"/>
    <col min="763" max="763" width="9.28571428571429" style="491" customWidth="1"/>
    <col min="764" max="764" width="24.7142857142857" style="491" customWidth="1"/>
    <col min="765" max="765" width="11" style="491" customWidth="1"/>
    <col min="766" max="766" width="7.57142857142857" style="491" customWidth="1"/>
    <col min="767" max="767" width="13.5714285714286" style="491" customWidth="1"/>
    <col min="768" max="768" width="5.42857142857143" style="491" customWidth="1"/>
    <col min="769" max="769" width="11.2857142857143" style="491" customWidth="1"/>
    <col min="770" max="770" width="5.71428571428571" style="491" customWidth="1"/>
    <col min="771" max="771" width="12" style="491" customWidth="1"/>
    <col min="772" max="772" width="15.4285714285714" style="491" customWidth="1"/>
    <col min="773" max="774" width="15.1428571428571" style="491" customWidth="1"/>
    <col min="775" max="775" width="14.2857142857143" style="491" customWidth="1"/>
    <col min="776" max="776" width="3.14285714285714" style="491" customWidth="1"/>
    <col min="777" max="777" width="6.42857142857143" style="491" customWidth="1"/>
    <col min="778" max="1017" width="8.85714285714286" style="491"/>
    <col min="1018" max="1018" width="5.57142857142857" style="491" customWidth="1"/>
    <col min="1019" max="1019" width="9.28571428571429" style="491" customWidth="1"/>
    <col min="1020" max="1020" width="24.7142857142857" style="491" customWidth="1"/>
    <col min="1021" max="1021" width="11" style="491" customWidth="1"/>
    <col min="1022" max="1022" width="7.57142857142857" style="491" customWidth="1"/>
    <col min="1023" max="1023" width="13.5714285714286" style="491" customWidth="1"/>
    <col min="1024" max="1024" width="5.42857142857143" style="491" customWidth="1"/>
    <col min="1025" max="1025" width="11.2857142857143" style="491" customWidth="1"/>
    <col min="1026" max="1026" width="5.71428571428571" style="491" customWidth="1"/>
    <col min="1027" max="1027" width="12" style="491" customWidth="1"/>
    <col min="1028" max="1028" width="15.4285714285714" style="491" customWidth="1"/>
    <col min="1029" max="1030" width="15.1428571428571" style="491" customWidth="1"/>
    <col min="1031" max="1031" width="14.2857142857143" style="491" customWidth="1"/>
    <col min="1032" max="1032" width="3.14285714285714" style="491" customWidth="1"/>
    <col min="1033" max="1033" width="6.42857142857143" style="491" customWidth="1"/>
    <col min="1034" max="1273" width="8.85714285714286" style="491"/>
    <col min="1274" max="1274" width="5.57142857142857" style="491" customWidth="1"/>
    <col min="1275" max="1275" width="9.28571428571429" style="491" customWidth="1"/>
    <col min="1276" max="1276" width="24.7142857142857" style="491" customWidth="1"/>
    <col min="1277" max="1277" width="11" style="491" customWidth="1"/>
    <col min="1278" max="1278" width="7.57142857142857" style="491" customWidth="1"/>
    <col min="1279" max="1279" width="13.5714285714286" style="491" customWidth="1"/>
    <col min="1280" max="1280" width="5.42857142857143" style="491" customWidth="1"/>
    <col min="1281" max="1281" width="11.2857142857143" style="491" customWidth="1"/>
    <col min="1282" max="1282" width="5.71428571428571" style="491" customWidth="1"/>
    <col min="1283" max="1283" width="12" style="491" customWidth="1"/>
    <col min="1284" max="1284" width="15.4285714285714" style="491" customWidth="1"/>
    <col min="1285" max="1286" width="15.1428571428571" style="491" customWidth="1"/>
    <col min="1287" max="1287" width="14.2857142857143" style="491" customWidth="1"/>
    <col min="1288" max="1288" width="3.14285714285714" style="491" customWidth="1"/>
    <col min="1289" max="1289" width="6.42857142857143" style="491" customWidth="1"/>
    <col min="1290" max="1529" width="8.85714285714286" style="491"/>
    <col min="1530" max="1530" width="5.57142857142857" style="491" customWidth="1"/>
    <col min="1531" max="1531" width="9.28571428571429" style="491" customWidth="1"/>
    <col min="1532" max="1532" width="24.7142857142857" style="491" customWidth="1"/>
    <col min="1533" max="1533" width="11" style="491" customWidth="1"/>
    <col min="1534" max="1534" width="7.57142857142857" style="491" customWidth="1"/>
    <col min="1535" max="1535" width="13.5714285714286" style="491" customWidth="1"/>
    <col min="1536" max="1536" width="5.42857142857143" style="491" customWidth="1"/>
    <col min="1537" max="1537" width="11.2857142857143" style="491" customWidth="1"/>
    <col min="1538" max="1538" width="5.71428571428571" style="491" customWidth="1"/>
    <col min="1539" max="1539" width="12" style="491" customWidth="1"/>
    <col min="1540" max="1540" width="15.4285714285714" style="491" customWidth="1"/>
    <col min="1541" max="1542" width="15.1428571428571" style="491" customWidth="1"/>
    <col min="1543" max="1543" width="14.2857142857143" style="491" customWidth="1"/>
    <col min="1544" max="1544" width="3.14285714285714" style="491" customWidth="1"/>
    <col min="1545" max="1545" width="6.42857142857143" style="491" customWidth="1"/>
    <col min="1546" max="1785" width="8.85714285714286" style="491"/>
    <col min="1786" max="1786" width="5.57142857142857" style="491" customWidth="1"/>
    <col min="1787" max="1787" width="9.28571428571429" style="491" customWidth="1"/>
    <col min="1788" max="1788" width="24.7142857142857" style="491" customWidth="1"/>
    <col min="1789" max="1789" width="11" style="491" customWidth="1"/>
    <col min="1790" max="1790" width="7.57142857142857" style="491" customWidth="1"/>
    <col min="1791" max="1791" width="13.5714285714286" style="491" customWidth="1"/>
    <col min="1792" max="1792" width="5.42857142857143" style="491" customWidth="1"/>
    <col min="1793" max="1793" width="11.2857142857143" style="491" customWidth="1"/>
    <col min="1794" max="1794" width="5.71428571428571" style="491" customWidth="1"/>
    <col min="1795" max="1795" width="12" style="491" customWidth="1"/>
    <col min="1796" max="1796" width="15.4285714285714" style="491" customWidth="1"/>
    <col min="1797" max="1798" width="15.1428571428571" style="491" customWidth="1"/>
    <col min="1799" max="1799" width="14.2857142857143" style="491" customWidth="1"/>
    <col min="1800" max="1800" width="3.14285714285714" style="491" customWidth="1"/>
    <col min="1801" max="1801" width="6.42857142857143" style="491" customWidth="1"/>
    <col min="1802" max="2041" width="8.85714285714286" style="491"/>
    <col min="2042" max="2042" width="5.57142857142857" style="491" customWidth="1"/>
    <col min="2043" max="2043" width="9.28571428571429" style="491" customWidth="1"/>
    <col min="2044" max="2044" width="24.7142857142857" style="491" customWidth="1"/>
    <col min="2045" max="2045" width="11" style="491" customWidth="1"/>
    <col min="2046" max="2046" width="7.57142857142857" style="491" customWidth="1"/>
    <col min="2047" max="2047" width="13.5714285714286" style="491" customWidth="1"/>
    <col min="2048" max="2048" width="5.42857142857143" style="491" customWidth="1"/>
    <col min="2049" max="2049" width="11.2857142857143" style="491" customWidth="1"/>
    <col min="2050" max="2050" width="5.71428571428571" style="491" customWidth="1"/>
    <col min="2051" max="2051" width="12" style="491" customWidth="1"/>
    <col min="2052" max="2052" width="15.4285714285714" style="491" customWidth="1"/>
    <col min="2053" max="2054" width="15.1428571428571" style="491" customWidth="1"/>
    <col min="2055" max="2055" width="14.2857142857143" style="491" customWidth="1"/>
    <col min="2056" max="2056" width="3.14285714285714" style="491" customWidth="1"/>
    <col min="2057" max="2057" width="6.42857142857143" style="491" customWidth="1"/>
    <col min="2058" max="2297" width="8.85714285714286" style="491"/>
    <col min="2298" max="2298" width="5.57142857142857" style="491" customWidth="1"/>
    <col min="2299" max="2299" width="9.28571428571429" style="491" customWidth="1"/>
    <col min="2300" max="2300" width="24.7142857142857" style="491" customWidth="1"/>
    <col min="2301" max="2301" width="11" style="491" customWidth="1"/>
    <col min="2302" max="2302" width="7.57142857142857" style="491" customWidth="1"/>
    <col min="2303" max="2303" width="13.5714285714286" style="491" customWidth="1"/>
    <col min="2304" max="2304" width="5.42857142857143" style="491" customWidth="1"/>
    <col min="2305" max="2305" width="11.2857142857143" style="491" customWidth="1"/>
    <col min="2306" max="2306" width="5.71428571428571" style="491" customWidth="1"/>
    <col min="2307" max="2307" width="12" style="491" customWidth="1"/>
    <col min="2308" max="2308" width="15.4285714285714" style="491" customWidth="1"/>
    <col min="2309" max="2310" width="15.1428571428571" style="491" customWidth="1"/>
    <col min="2311" max="2311" width="14.2857142857143" style="491" customWidth="1"/>
    <col min="2312" max="2312" width="3.14285714285714" style="491" customWidth="1"/>
    <col min="2313" max="2313" width="6.42857142857143" style="491" customWidth="1"/>
    <col min="2314" max="2553" width="8.85714285714286" style="491"/>
    <col min="2554" max="2554" width="5.57142857142857" style="491" customWidth="1"/>
    <col min="2555" max="2555" width="9.28571428571429" style="491" customWidth="1"/>
    <col min="2556" max="2556" width="24.7142857142857" style="491" customWidth="1"/>
    <col min="2557" max="2557" width="11" style="491" customWidth="1"/>
    <col min="2558" max="2558" width="7.57142857142857" style="491" customWidth="1"/>
    <col min="2559" max="2559" width="13.5714285714286" style="491" customWidth="1"/>
    <col min="2560" max="2560" width="5.42857142857143" style="491" customWidth="1"/>
    <col min="2561" max="2561" width="11.2857142857143" style="491" customWidth="1"/>
    <col min="2562" max="2562" width="5.71428571428571" style="491" customWidth="1"/>
    <col min="2563" max="2563" width="12" style="491" customWidth="1"/>
    <col min="2564" max="2564" width="15.4285714285714" style="491" customWidth="1"/>
    <col min="2565" max="2566" width="15.1428571428571" style="491" customWidth="1"/>
    <col min="2567" max="2567" width="14.2857142857143" style="491" customWidth="1"/>
    <col min="2568" max="2568" width="3.14285714285714" style="491" customWidth="1"/>
    <col min="2569" max="2569" width="6.42857142857143" style="491" customWidth="1"/>
    <col min="2570" max="2809" width="8.85714285714286" style="491"/>
    <col min="2810" max="2810" width="5.57142857142857" style="491" customWidth="1"/>
    <col min="2811" max="2811" width="9.28571428571429" style="491" customWidth="1"/>
    <col min="2812" max="2812" width="24.7142857142857" style="491" customWidth="1"/>
    <col min="2813" max="2813" width="11" style="491" customWidth="1"/>
    <col min="2814" max="2814" width="7.57142857142857" style="491" customWidth="1"/>
    <col min="2815" max="2815" width="13.5714285714286" style="491" customWidth="1"/>
    <col min="2816" max="2816" width="5.42857142857143" style="491" customWidth="1"/>
    <col min="2817" max="2817" width="11.2857142857143" style="491" customWidth="1"/>
    <col min="2818" max="2818" width="5.71428571428571" style="491" customWidth="1"/>
    <col min="2819" max="2819" width="12" style="491" customWidth="1"/>
    <col min="2820" max="2820" width="15.4285714285714" style="491" customWidth="1"/>
    <col min="2821" max="2822" width="15.1428571428571" style="491" customWidth="1"/>
    <col min="2823" max="2823" width="14.2857142857143" style="491" customWidth="1"/>
    <col min="2824" max="2824" width="3.14285714285714" style="491" customWidth="1"/>
    <col min="2825" max="2825" width="6.42857142857143" style="491" customWidth="1"/>
    <col min="2826" max="3065" width="8.85714285714286" style="491"/>
    <col min="3066" max="3066" width="5.57142857142857" style="491" customWidth="1"/>
    <col min="3067" max="3067" width="9.28571428571429" style="491" customWidth="1"/>
    <col min="3068" max="3068" width="24.7142857142857" style="491" customWidth="1"/>
    <col min="3069" max="3069" width="11" style="491" customWidth="1"/>
    <col min="3070" max="3070" width="7.57142857142857" style="491" customWidth="1"/>
    <col min="3071" max="3071" width="13.5714285714286" style="491" customWidth="1"/>
    <col min="3072" max="3072" width="5.42857142857143" style="491" customWidth="1"/>
    <col min="3073" max="3073" width="11.2857142857143" style="491" customWidth="1"/>
    <col min="3074" max="3074" width="5.71428571428571" style="491" customWidth="1"/>
    <col min="3075" max="3075" width="12" style="491" customWidth="1"/>
    <col min="3076" max="3076" width="15.4285714285714" style="491" customWidth="1"/>
    <col min="3077" max="3078" width="15.1428571428571" style="491" customWidth="1"/>
    <col min="3079" max="3079" width="14.2857142857143" style="491" customWidth="1"/>
    <col min="3080" max="3080" width="3.14285714285714" style="491" customWidth="1"/>
    <col min="3081" max="3081" width="6.42857142857143" style="491" customWidth="1"/>
    <col min="3082" max="3321" width="8.85714285714286" style="491"/>
    <col min="3322" max="3322" width="5.57142857142857" style="491" customWidth="1"/>
    <col min="3323" max="3323" width="9.28571428571429" style="491" customWidth="1"/>
    <col min="3324" max="3324" width="24.7142857142857" style="491" customWidth="1"/>
    <col min="3325" max="3325" width="11" style="491" customWidth="1"/>
    <col min="3326" max="3326" width="7.57142857142857" style="491" customWidth="1"/>
    <col min="3327" max="3327" width="13.5714285714286" style="491" customWidth="1"/>
    <col min="3328" max="3328" width="5.42857142857143" style="491" customWidth="1"/>
    <col min="3329" max="3329" width="11.2857142857143" style="491" customWidth="1"/>
    <col min="3330" max="3330" width="5.71428571428571" style="491" customWidth="1"/>
    <col min="3331" max="3331" width="12" style="491" customWidth="1"/>
    <col min="3332" max="3332" width="15.4285714285714" style="491" customWidth="1"/>
    <col min="3333" max="3334" width="15.1428571428571" style="491" customWidth="1"/>
    <col min="3335" max="3335" width="14.2857142857143" style="491" customWidth="1"/>
    <col min="3336" max="3336" width="3.14285714285714" style="491" customWidth="1"/>
    <col min="3337" max="3337" width="6.42857142857143" style="491" customWidth="1"/>
    <col min="3338" max="3577" width="8.85714285714286" style="491"/>
    <col min="3578" max="3578" width="5.57142857142857" style="491" customWidth="1"/>
    <col min="3579" max="3579" width="9.28571428571429" style="491" customWidth="1"/>
    <col min="3580" max="3580" width="24.7142857142857" style="491" customWidth="1"/>
    <col min="3581" max="3581" width="11" style="491" customWidth="1"/>
    <col min="3582" max="3582" width="7.57142857142857" style="491" customWidth="1"/>
    <col min="3583" max="3583" width="13.5714285714286" style="491" customWidth="1"/>
    <col min="3584" max="3584" width="5.42857142857143" style="491" customWidth="1"/>
    <col min="3585" max="3585" width="11.2857142857143" style="491" customWidth="1"/>
    <col min="3586" max="3586" width="5.71428571428571" style="491" customWidth="1"/>
    <col min="3587" max="3587" width="12" style="491" customWidth="1"/>
    <col min="3588" max="3588" width="15.4285714285714" style="491" customWidth="1"/>
    <col min="3589" max="3590" width="15.1428571428571" style="491" customWidth="1"/>
    <col min="3591" max="3591" width="14.2857142857143" style="491" customWidth="1"/>
    <col min="3592" max="3592" width="3.14285714285714" style="491" customWidth="1"/>
    <col min="3593" max="3593" width="6.42857142857143" style="491" customWidth="1"/>
    <col min="3594" max="3833" width="8.85714285714286" style="491"/>
    <col min="3834" max="3834" width="5.57142857142857" style="491" customWidth="1"/>
    <col min="3835" max="3835" width="9.28571428571429" style="491" customWidth="1"/>
    <col min="3836" max="3836" width="24.7142857142857" style="491" customWidth="1"/>
    <col min="3837" max="3837" width="11" style="491" customWidth="1"/>
    <col min="3838" max="3838" width="7.57142857142857" style="491" customWidth="1"/>
    <col min="3839" max="3839" width="13.5714285714286" style="491" customWidth="1"/>
    <col min="3840" max="3840" width="5.42857142857143" style="491" customWidth="1"/>
    <col min="3841" max="3841" width="11.2857142857143" style="491" customWidth="1"/>
    <col min="3842" max="3842" width="5.71428571428571" style="491" customWidth="1"/>
    <col min="3843" max="3843" width="12" style="491" customWidth="1"/>
    <col min="3844" max="3844" width="15.4285714285714" style="491" customWidth="1"/>
    <col min="3845" max="3846" width="15.1428571428571" style="491" customWidth="1"/>
    <col min="3847" max="3847" width="14.2857142857143" style="491" customWidth="1"/>
    <col min="3848" max="3848" width="3.14285714285714" style="491" customWidth="1"/>
    <col min="3849" max="3849" width="6.42857142857143" style="491" customWidth="1"/>
    <col min="3850" max="4089" width="8.85714285714286" style="491"/>
    <col min="4090" max="4090" width="5.57142857142857" style="491" customWidth="1"/>
    <col min="4091" max="4091" width="9.28571428571429" style="491" customWidth="1"/>
    <col min="4092" max="4092" width="24.7142857142857" style="491" customWidth="1"/>
    <col min="4093" max="4093" width="11" style="491" customWidth="1"/>
    <col min="4094" max="4094" width="7.57142857142857" style="491" customWidth="1"/>
    <col min="4095" max="4095" width="13.5714285714286" style="491" customWidth="1"/>
    <col min="4096" max="4096" width="5.42857142857143" style="491" customWidth="1"/>
    <col min="4097" max="4097" width="11.2857142857143" style="491" customWidth="1"/>
    <col min="4098" max="4098" width="5.71428571428571" style="491" customWidth="1"/>
    <col min="4099" max="4099" width="12" style="491" customWidth="1"/>
    <col min="4100" max="4100" width="15.4285714285714" style="491" customWidth="1"/>
    <col min="4101" max="4102" width="15.1428571428571" style="491" customWidth="1"/>
    <col min="4103" max="4103" width="14.2857142857143" style="491" customWidth="1"/>
    <col min="4104" max="4104" width="3.14285714285714" style="491" customWidth="1"/>
    <col min="4105" max="4105" width="6.42857142857143" style="491" customWidth="1"/>
    <col min="4106" max="4345" width="8.85714285714286" style="491"/>
    <col min="4346" max="4346" width="5.57142857142857" style="491" customWidth="1"/>
    <col min="4347" max="4347" width="9.28571428571429" style="491" customWidth="1"/>
    <col min="4348" max="4348" width="24.7142857142857" style="491" customWidth="1"/>
    <col min="4349" max="4349" width="11" style="491" customWidth="1"/>
    <col min="4350" max="4350" width="7.57142857142857" style="491" customWidth="1"/>
    <col min="4351" max="4351" width="13.5714285714286" style="491" customWidth="1"/>
    <col min="4352" max="4352" width="5.42857142857143" style="491" customWidth="1"/>
    <col min="4353" max="4353" width="11.2857142857143" style="491" customWidth="1"/>
    <col min="4354" max="4354" width="5.71428571428571" style="491" customWidth="1"/>
    <col min="4355" max="4355" width="12" style="491" customWidth="1"/>
    <col min="4356" max="4356" width="15.4285714285714" style="491" customWidth="1"/>
    <col min="4357" max="4358" width="15.1428571428571" style="491" customWidth="1"/>
    <col min="4359" max="4359" width="14.2857142857143" style="491" customWidth="1"/>
    <col min="4360" max="4360" width="3.14285714285714" style="491" customWidth="1"/>
    <col min="4361" max="4361" width="6.42857142857143" style="491" customWidth="1"/>
    <col min="4362" max="4601" width="8.85714285714286" style="491"/>
    <col min="4602" max="4602" width="5.57142857142857" style="491" customWidth="1"/>
    <col min="4603" max="4603" width="9.28571428571429" style="491" customWidth="1"/>
    <col min="4604" max="4604" width="24.7142857142857" style="491" customWidth="1"/>
    <col min="4605" max="4605" width="11" style="491" customWidth="1"/>
    <col min="4606" max="4606" width="7.57142857142857" style="491" customWidth="1"/>
    <col min="4607" max="4607" width="13.5714285714286" style="491" customWidth="1"/>
    <col min="4608" max="4608" width="5.42857142857143" style="491" customWidth="1"/>
    <col min="4609" max="4609" width="11.2857142857143" style="491" customWidth="1"/>
    <col min="4610" max="4610" width="5.71428571428571" style="491" customWidth="1"/>
    <col min="4611" max="4611" width="12" style="491" customWidth="1"/>
    <col min="4612" max="4612" width="15.4285714285714" style="491" customWidth="1"/>
    <col min="4613" max="4614" width="15.1428571428571" style="491" customWidth="1"/>
    <col min="4615" max="4615" width="14.2857142857143" style="491" customWidth="1"/>
    <col min="4616" max="4616" width="3.14285714285714" style="491" customWidth="1"/>
    <col min="4617" max="4617" width="6.42857142857143" style="491" customWidth="1"/>
    <col min="4618" max="4857" width="8.85714285714286" style="491"/>
    <col min="4858" max="4858" width="5.57142857142857" style="491" customWidth="1"/>
    <col min="4859" max="4859" width="9.28571428571429" style="491" customWidth="1"/>
    <col min="4860" max="4860" width="24.7142857142857" style="491" customWidth="1"/>
    <col min="4861" max="4861" width="11" style="491" customWidth="1"/>
    <col min="4862" max="4862" width="7.57142857142857" style="491" customWidth="1"/>
    <col min="4863" max="4863" width="13.5714285714286" style="491" customWidth="1"/>
    <col min="4864" max="4864" width="5.42857142857143" style="491" customWidth="1"/>
    <col min="4865" max="4865" width="11.2857142857143" style="491" customWidth="1"/>
    <col min="4866" max="4866" width="5.71428571428571" style="491" customWidth="1"/>
    <col min="4867" max="4867" width="12" style="491" customWidth="1"/>
    <col min="4868" max="4868" width="15.4285714285714" style="491" customWidth="1"/>
    <col min="4869" max="4870" width="15.1428571428571" style="491" customWidth="1"/>
    <col min="4871" max="4871" width="14.2857142857143" style="491" customWidth="1"/>
    <col min="4872" max="4872" width="3.14285714285714" style="491" customWidth="1"/>
    <col min="4873" max="4873" width="6.42857142857143" style="491" customWidth="1"/>
    <col min="4874" max="5113" width="8.85714285714286" style="491"/>
    <col min="5114" max="5114" width="5.57142857142857" style="491" customWidth="1"/>
    <col min="5115" max="5115" width="9.28571428571429" style="491" customWidth="1"/>
    <col min="5116" max="5116" width="24.7142857142857" style="491" customWidth="1"/>
    <col min="5117" max="5117" width="11" style="491" customWidth="1"/>
    <col min="5118" max="5118" width="7.57142857142857" style="491" customWidth="1"/>
    <col min="5119" max="5119" width="13.5714285714286" style="491" customWidth="1"/>
    <col min="5120" max="5120" width="5.42857142857143" style="491" customWidth="1"/>
    <col min="5121" max="5121" width="11.2857142857143" style="491" customWidth="1"/>
    <col min="5122" max="5122" width="5.71428571428571" style="491" customWidth="1"/>
    <col min="5123" max="5123" width="12" style="491" customWidth="1"/>
    <col min="5124" max="5124" width="15.4285714285714" style="491" customWidth="1"/>
    <col min="5125" max="5126" width="15.1428571428571" style="491" customWidth="1"/>
    <col min="5127" max="5127" width="14.2857142857143" style="491" customWidth="1"/>
    <col min="5128" max="5128" width="3.14285714285714" style="491" customWidth="1"/>
    <col min="5129" max="5129" width="6.42857142857143" style="491" customWidth="1"/>
    <col min="5130" max="5369" width="8.85714285714286" style="491"/>
    <col min="5370" max="5370" width="5.57142857142857" style="491" customWidth="1"/>
    <col min="5371" max="5371" width="9.28571428571429" style="491" customWidth="1"/>
    <col min="5372" max="5372" width="24.7142857142857" style="491" customWidth="1"/>
    <col min="5373" max="5373" width="11" style="491" customWidth="1"/>
    <col min="5374" max="5374" width="7.57142857142857" style="491" customWidth="1"/>
    <col min="5375" max="5375" width="13.5714285714286" style="491" customWidth="1"/>
    <col min="5376" max="5376" width="5.42857142857143" style="491" customWidth="1"/>
    <col min="5377" max="5377" width="11.2857142857143" style="491" customWidth="1"/>
    <col min="5378" max="5378" width="5.71428571428571" style="491" customWidth="1"/>
    <col min="5379" max="5379" width="12" style="491" customWidth="1"/>
    <col min="5380" max="5380" width="15.4285714285714" style="491" customWidth="1"/>
    <col min="5381" max="5382" width="15.1428571428571" style="491" customWidth="1"/>
    <col min="5383" max="5383" width="14.2857142857143" style="491" customWidth="1"/>
    <col min="5384" max="5384" width="3.14285714285714" style="491" customWidth="1"/>
    <col min="5385" max="5385" width="6.42857142857143" style="491" customWidth="1"/>
    <col min="5386" max="5625" width="8.85714285714286" style="491"/>
    <col min="5626" max="5626" width="5.57142857142857" style="491" customWidth="1"/>
    <col min="5627" max="5627" width="9.28571428571429" style="491" customWidth="1"/>
    <col min="5628" max="5628" width="24.7142857142857" style="491" customWidth="1"/>
    <col min="5629" max="5629" width="11" style="491" customWidth="1"/>
    <col min="5630" max="5630" width="7.57142857142857" style="491" customWidth="1"/>
    <col min="5631" max="5631" width="13.5714285714286" style="491" customWidth="1"/>
    <col min="5632" max="5632" width="5.42857142857143" style="491" customWidth="1"/>
    <col min="5633" max="5633" width="11.2857142857143" style="491" customWidth="1"/>
    <col min="5634" max="5634" width="5.71428571428571" style="491" customWidth="1"/>
    <col min="5635" max="5635" width="12" style="491" customWidth="1"/>
    <col min="5636" max="5636" width="15.4285714285714" style="491" customWidth="1"/>
    <col min="5637" max="5638" width="15.1428571428571" style="491" customWidth="1"/>
    <col min="5639" max="5639" width="14.2857142857143" style="491" customWidth="1"/>
    <col min="5640" max="5640" width="3.14285714285714" style="491" customWidth="1"/>
    <col min="5641" max="5641" width="6.42857142857143" style="491" customWidth="1"/>
    <col min="5642" max="5881" width="8.85714285714286" style="491"/>
    <col min="5882" max="5882" width="5.57142857142857" style="491" customWidth="1"/>
    <col min="5883" max="5883" width="9.28571428571429" style="491" customWidth="1"/>
    <col min="5884" max="5884" width="24.7142857142857" style="491" customWidth="1"/>
    <col min="5885" max="5885" width="11" style="491" customWidth="1"/>
    <col min="5886" max="5886" width="7.57142857142857" style="491" customWidth="1"/>
    <col min="5887" max="5887" width="13.5714285714286" style="491" customWidth="1"/>
    <col min="5888" max="5888" width="5.42857142857143" style="491" customWidth="1"/>
    <col min="5889" max="5889" width="11.2857142857143" style="491" customWidth="1"/>
    <col min="5890" max="5890" width="5.71428571428571" style="491" customWidth="1"/>
    <col min="5891" max="5891" width="12" style="491" customWidth="1"/>
    <col min="5892" max="5892" width="15.4285714285714" style="491" customWidth="1"/>
    <col min="5893" max="5894" width="15.1428571428571" style="491" customWidth="1"/>
    <col min="5895" max="5895" width="14.2857142857143" style="491" customWidth="1"/>
    <col min="5896" max="5896" width="3.14285714285714" style="491" customWidth="1"/>
    <col min="5897" max="5897" width="6.42857142857143" style="491" customWidth="1"/>
    <col min="5898" max="6137" width="8.85714285714286" style="491"/>
    <col min="6138" max="6138" width="5.57142857142857" style="491" customWidth="1"/>
    <col min="6139" max="6139" width="9.28571428571429" style="491" customWidth="1"/>
    <col min="6140" max="6140" width="24.7142857142857" style="491" customWidth="1"/>
    <col min="6141" max="6141" width="11" style="491" customWidth="1"/>
    <col min="6142" max="6142" width="7.57142857142857" style="491" customWidth="1"/>
    <col min="6143" max="6143" width="13.5714285714286" style="491" customWidth="1"/>
    <col min="6144" max="6144" width="5.42857142857143" style="491" customWidth="1"/>
    <col min="6145" max="6145" width="11.2857142857143" style="491" customWidth="1"/>
    <col min="6146" max="6146" width="5.71428571428571" style="491" customWidth="1"/>
    <col min="6147" max="6147" width="12" style="491" customWidth="1"/>
    <col min="6148" max="6148" width="15.4285714285714" style="491" customWidth="1"/>
    <col min="6149" max="6150" width="15.1428571428571" style="491" customWidth="1"/>
    <col min="6151" max="6151" width="14.2857142857143" style="491" customWidth="1"/>
    <col min="6152" max="6152" width="3.14285714285714" style="491" customWidth="1"/>
    <col min="6153" max="6153" width="6.42857142857143" style="491" customWidth="1"/>
    <col min="6154" max="6393" width="8.85714285714286" style="491"/>
    <col min="6394" max="6394" width="5.57142857142857" style="491" customWidth="1"/>
    <col min="6395" max="6395" width="9.28571428571429" style="491" customWidth="1"/>
    <col min="6396" max="6396" width="24.7142857142857" style="491" customWidth="1"/>
    <col min="6397" max="6397" width="11" style="491" customWidth="1"/>
    <col min="6398" max="6398" width="7.57142857142857" style="491" customWidth="1"/>
    <col min="6399" max="6399" width="13.5714285714286" style="491" customWidth="1"/>
    <col min="6400" max="6400" width="5.42857142857143" style="491" customWidth="1"/>
    <col min="6401" max="6401" width="11.2857142857143" style="491" customWidth="1"/>
    <col min="6402" max="6402" width="5.71428571428571" style="491" customWidth="1"/>
    <col min="6403" max="6403" width="12" style="491" customWidth="1"/>
    <col min="6404" max="6404" width="15.4285714285714" style="491" customWidth="1"/>
    <col min="6405" max="6406" width="15.1428571428571" style="491" customWidth="1"/>
    <col min="6407" max="6407" width="14.2857142857143" style="491" customWidth="1"/>
    <col min="6408" max="6408" width="3.14285714285714" style="491" customWidth="1"/>
    <col min="6409" max="6409" width="6.42857142857143" style="491" customWidth="1"/>
    <col min="6410" max="6649" width="8.85714285714286" style="491"/>
    <col min="6650" max="6650" width="5.57142857142857" style="491" customWidth="1"/>
    <col min="6651" max="6651" width="9.28571428571429" style="491" customWidth="1"/>
    <col min="6652" max="6652" width="24.7142857142857" style="491" customWidth="1"/>
    <col min="6653" max="6653" width="11" style="491" customWidth="1"/>
    <col min="6654" max="6654" width="7.57142857142857" style="491" customWidth="1"/>
    <col min="6655" max="6655" width="13.5714285714286" style="491" customWidth="1"/>
    <col min="6656" max="6656" width="5.42857142857143" style="491" customWidth="1"/>
    <col min="6657" max="6657" width="11.2857142857143" style="491" customWidth="1"/>
    <col min="6658" max="6658" width="5.71428571428571" style="491" customWidth="1"/>
    <col min="6659" max="6659" width="12" style="491" customWidth="1"/>
    <col min="6660" max="6660" width="15.4285714285714" style="491" customWidth="1"/>
    <col min="6661" max="6662" width="15.1428571428571" style="491" customWidth="1"/>
    <col min="6663" max="6663" width="14.2857142857143" style="491" customWidth="1"/>
    <col min="6664" max="6664" width="3.14285714285714" style="491" customWidth="1"/>
    <col min="6665" max="6665" width="6.42857142857143" style="491" customWidth="1"/>
    <col min="6666" max="6905" width="8.85714285714286" style="491"/>
    <col min="6906" max="6906" width="5.57142857142857" style="491" customWidth="1"/>
    <col min="6907" max="6907" width="9.28571428571429" style="491" customWidth="1"/>
    <col min="6908" max="6908" width="24.7142857142857" style="491" customWidth="1"/>
    <col min="6909" max="6909" width="11" style="491" customWidth="1"/>
    <col min="6910" max="6910" width="7.57142857142857" style="491" customWidth="1"/>
    <col min="6911" max="6911" width="13.5714285714286" style="491" customWidth="1"/>
    <col min="6912" max="6912" width="5.42857142857143" style="491" customWidth="1"/>
    <col min="6913" max="6913" width="11.2857142857143" style="491" customWidth="1"/>
    <col min="6914" max="6914" width="5.71428571428571" style="491" customWidth="1"/>
    <col min="6915" max="6915" width="12" style="491" customWidth="1"/>
    <col min="6916" max="6916" width="15.4285714285714" style="491" customWidth="1"/>
    <col min="6917" max="6918" width="15.1428571428571" style="491" customWidth="1"/>
    <col min="6919" max="6919" width="14.2857142857143" style="491" customWidth="1"/>
    <col min="6920" max="6920" width="3.14285714285714" style="491" customWidth="1"/>
    <col min="6921" max="6921" width="6.42857142857143" style="491" customWidth="1"/>
    <col min="6922" max="7161" width="8.85714285714286" style="491"/>
    <col min="7162" max="7162" width="5.57142857142857" style="491" customWidth="1"/>
    <col min="7163" max="7163" width="9.28571428571429" style="491" customWidth="1"/>
    <col min="7164" max="7164" width="24.7142857142857" style="491" customWidth="1"/>
    <col min="7165" max="7165" width="11" style="491" customWidth="1"/>
    <col min="7166" max="7166" width="7.57142857142857" style="491" customWidth="1"/>
    <col min="7167" max="7167" width="13.5714285714286" style="491" customWidth="1"/>
    <col min="7168" max="7168" width="5.42857142857143" style="491" customWidth="1"/>
    <col min="7169" max="7169" width="11.2857142857143" style="491" customWidth="1"/>
    <col min="7170" max="7170" width="5.71428571428571" style="491" customWidth="1"/>
    <col min="7171" max="7171" width="12" style="491" customWidth="1"/>
    <col min="7172" max="7172" width="15.4285714285714" style="491" customWidth="1"/>
    <col min="7173" max="7174" width="15.1428571428571" style="491" customWidth="1"/>
    <col min="7175" max="7175" width="14.2857142857143" style="491" customWidth="1"/>
    <col min="7176" max="7176" width="3.14285714285714" style="491" customWidth="1"/>
    <col min="7177" max="7177" width="6.42857142857143" style="491" customWidth="1"/>
    <col min="7178" max="7417" width="8.85714285714286" style="491"/>
    <col min="7418" max="7418" width="5.57142857142857" style="491" customWidth="1"/>
    <col min="7419" max="7419" width="9.28571428571429" style="491" customWidth="1"/>
    <col min="7420" max="7420" width="24.7142857142857" style="491" customWidth="1"/>
    <col min="7421" max="7421" width="11" style="491" customWidth="1"/>
    <col min="7422" max="7422" width="7.57142857142857" style="491" customWidth="1"/>
    <col min="7423" max="7423" width="13.5714285714286" style="491" customWidth="1"/>
    <col min="7424" max="7424" width="5.42857142857143" style="491" customWidth="1"/>
    <col min="7425" max="7425" width="11.2857142857143" style="491" customWidth="1"/>
    <col min="7426" max="7426" width="5.71428571428571" style="491" customWidth="1"/>
    <col min="7427" max="7427" width="12" style="491" customWidth="1"/>
    <col min="7428" max="7428" width="15.4285714285714" style="491" customWidth="1"/>
    <col min="7429" max="7430" width="15.1428571428571" style="491" customWidth="1"/>
    <col min="7431" max="7431" width="14.2857142857143" style="491" customWidth="1"/>
    <col min="7432" max="7432" width="3.14285714285714" style="491" customWidth="1"/>
    <col min="7433" max="7433" width="6.42857142857143" style="491" customWidth="1"/>
    <col min="7434" max="7673" width="8.85714285714286" style="491"/>
    <col min="7674" max="7674" width="5.57142857142857" style="491" customWidth="1"/>
    <col min="7675" max="7675" width="9.28571428571429" style="491" customWidth="1"/>
    <col min="7676" max="7676" width="24.7142857142857" style="491" customWidth="1"/>
    <col min="7677" max="7677" width="11" style="491" customWidth="1"/>
    <col min="7678" max="7678" width="7.57142857142857" style="491" customWidth="1"/>
    <col min="7679" max="7679" width="13.5714285714286" style="491" customWidth="1"/>
    <col min="7680" max="7680" width="5.42857142857143" style="491" customWidth="1"/>
    <col min="7681" max="7681" width="11.2857142857143" style="491" customWidth="1"/>
    <col min="7682" max="7682" width="5.71428571428571" style="491" customWidth="1"/>
    <col min="7683" max="7683" width="12" style="491" customWidth="1"/>
    <col min="7684" max="7684" width="15.4285714285714" style="491" customWidth="1"/>
    <col min="7685" max="7686" width="15.1428571428571" style="491" customWidth="1"/>
    <col min="7687" max="7687" width="14.2857142857143" style="491" customWidth="1"/>
    <col min="7688" max="7688" width="3.14285714285714" style="491" customWidth="1"/>
    <col min="7689" max="7689" width="6.42857142857143" style="491" customWidth="1"/>
    <col min="7690" max="7929" width="8.85714285714286" style="491"/>
    <col min="7930" max="7930" width="5.57142857142857" style="491" customWidth="1"/>
    <col min="7931" max="7931" width="9.28571428571429" style="491" customWidth="1"/>
    <col min="7932" max="7932" width="24.7142857142857" style="491" customWidth="1"/>
    <col min="7933" max="7933" width="11" style="491" customWidth="1"/>
    <col min="7934" max="7934" width="7.57142857142857" style="491" customWidth="1"/>
    <col min="7935" max="7935" width="13.5714285714286" style="491" customWidth="1"/>
    <col min="7936" max="7936" width="5.42857142857143" style="491" customWidth="1"/>
    <col min="7937" max="7937" width="11.2857142857143" style="491" customWidth="1"/>
    <col min="7938" max="7938" width="5.71428571428571" style="491" customWidth="1"/>
    <col min="7939" max="7939" width="12" style="491" customWidth="1"/>
    <col min="7940" max="7940" width="15.4285714285714" style="491" customWidth="1"/>
    <col min="7941" max="7942" width="15.1428571428571" style="491" customWidth="1"/>
    <col min="7943" max="7943" width="14.2857142857143" style="491" customWidth="1"/>
    <col min="7944" max="7944" width="3.14285714285714" style="491" customWidth="1"/>
    <col min="7945" max="7945" width="6.42857142857143" style="491" customWidth="1"/>
    <col min="7946" max="8185" width="8.85714285714286" style="491"/>
    <col min="8186" max="8186" width="5.57142857142857" style="491" customWidth="1"/>
    <col min="8187" max="8187" width="9.28571428571429" style="491" customWidth="1"/>
    <col min="8188" max="8188" width="24.7142857142857" style="491" customWidth="1"/>
    <col min="8189" max="8189" width="11" style="491" customWidth="1"/>
    <col min="8190" max="8190" width="7.57142857142857" style="491" customWidth="1"/>
    <col min="8191" max="8191" width="13.5714285714286" style="491" customWidth="1"/>
    <col min="8192" max="8192" width="5.42857142857143" style="491" customWidth="1"/>
    <col min="8193" max="8193" width="11.2857142857143" style="491" customWidth="1"/>
    <col min="8194" max="8194" width="5.71428571428571" style="491" customWidth="1"/>
    <col min="8195" max="8195" width="12" style="491" customWidth="1"/>
    <col min="8196" max="8196" width="15.4285714285714" style="491" customWidth="1"/>
    <col min="8197" max="8198" width="15.1428571428571" style="491" customWidth="1"/>
    <col min="8199" max="8199" width="14.2857142857143" style="491" customWidth="1"/>
    <col min="8200" max="8200" width="3.14285714285714" style="491" customWidth="1"/>
    <col min="8201" max="8201" width="6.42857142857143" style="491" customWidth="1"/>
    <col min="8202" max="8441" width="8.85714285714286" style="491"/>
    <col min="8442" max="8442" width="5.57142857142857" style="491" customWidth="1"/>
    <col min="8443" max="8443" width="9.28571428571429" style="491" customWidth="1"/>
    <col min="8444" max="8444" width="24.7142857142857" style="491" customWidth="1"/>
    <col min="8445" max="8445" width="11" style="491" customWidth="1"/>
    <col min="8446" max="8446" width="7.57142857142857" style="491" customWidth="1"/>
    <col min="8447" max="8447" width="13.5714285714286" style="491" customWidth="1"/>
    <col min="8448" max="8448" width="5.42857142857143" style="491" customWidth="1"/>
    <col min="8449" max="8449" width="11.2857142857143" style="491" customWidth="1"/>
    <col min="8450" max="8450" width="5.71428571428571" style="491" customWidth="1"/>
    <col min="8451" max="8451" width="12" style="491" customWidth="1"/>
    <col min="8452" max="8452" width="15.4285714285714" style="491" customWidth="1"/>
    <col min="8453" max="8454" width="15.1428571428571" style="491" customWidth="1"/>
    <col min="8455" max="8455" width="14.2857142857143" style="491" customWidth="1"/>
    <col min="8456" max="8456" width="3.14285714285714" style="491" customWidth="1"/>
    <col min="8457" max="8457" width="6.42857142857143" style="491" customWidth="1"/>
    <col min="8458" max="8697" width="8.85714285714286" style="491"/>
    <col min="8698" max="8698" width="5.57142857142857" style="491" customWidth="1"/>
    <col min="8699" max="8699" width="9.28571428571429" style="491" customWidth="1"/>
    <col min="8700" max="8700" width="24.7142857142857" style="491" customWidth="1"/>
    <col min="8701" max="8701" width="11" style="491" customWidth="1"/>
    <col min="8702" max="8702" width="7.57142857142857" style="491" customWidth="1"/>
    <col min="8703" max="8703" width="13.5714285714286" style="491" customWidth="1"/>
    <col min="8704" max="8704" width="5.42857142857143" style="491" customWidth="1"/>
    <col min="8705" max="8705" width="11.2857142857143" style="491" customWidth="1"/>
    <col min="8706" max="8706" width="5.71428571428571" style="491" customWidth="1"/>
    <col min="8707" max="8707" width="12" style="491" customWidth="1"/>
    <col min="8708" max="8708" width="15.4285714285714" style="491" customWidth="1"/>
    <col min="8709" max="8710" width="15.1428571428571" style="491" customWidth="1"/>
    <col min="8711" max="8711" width="14.2857142857143" style="491" customWidth="1"/>
    <col min="8712" max="8712" width="3.14285714285714" style="491" customWidth="1"/>
    <col min="8713" max="8713" width="6.42857142857143" style="491" customWidth="1"/>
    <col min="8714" max="8953" width="8.85714285714286" style="491"/>
    <col min="8954" max="8954" width="5.57142857142857" style="491" customWidth="1"/>
    <col min="8955" max="8955" width="9.28571428571429" style="491" customWidth="1"/>
    <col min="8956" max="8956" width="24.7142857142857" style="491" customWidth="1"/>
    <col min="8957" max="8957" width="11" style="491" customWidth="1"/>
    <col min="8958" max="8958" width="7.57142857142857" style="491" customWidth="1"/>
    <col min="8959" max="8959" width="13.5714285714286" style="491" customWidth="1"/>
    <col min="8960" max="8960" width="5.42857142857143" style="491" customWidth="1"/>
    <col min="8961" max="8961" width="11.2857142857143" style="491" customWidth="1"/>
    <col min="8962" max="8962" width="5.71428571428571" style="491" customWidth="1"/>
    <col min="8963" max="8963" width="12" style="491" customWidth="1"/>
    <col min="8964" max="8964" width="15.4285714285714" style="491" customWidth="1"/>
    <col min="8965" max="8966" width="15.1428571428571" style="491" customWidth="1"/>
    <col min="8967" max="8967" width="14.2857142857143" style="491" customWidth="1"/>
    <col min="8968" max="8968" width="3.14285714285714" style="491" customWidth="1"/>
    <col min="8969" max="8969" width="6.42857142857143" style="491" customWidth="1"/>
    <col min="8970" max="9209" width="8.85714285714286" style="491"/>
    <col min="9210" max="9210" width="5.57142857142857" style="491" customWidth="1"/>
    <col min="9211" max="9211" width="9.28571428571429" style="491" customWidth="1"/>
    <col min="9212" max="9212" width="24.7142857142857" style="491" customWidth="1"/>
    <col min="9213" max="9213" width="11" style="491" customWidth="1"/>
    <col min="9214" max="9214" width="7.57142857142857" style="491" customWidth="1"/>
    <col min="9215" max="9215" width="13.5714285714286" style="491" customWidth="1"/>
    <col min="9216" max="9216" width="5.42857142857143" style="491" customWidth="1"/>
    <col min="9217" max="9217" width="11.2857142857143" style="491" customWidth="1"/>
    <col min="9218" max="9218" width="5.71428571428571" style="491" customWidth="1"/>
    <col min="9219" max="9219" width="12" style="491" customWidth="1"/>
    <col min="9220" max="9220" width="15.4285714285714" style="491" customWidth="1"/>
    <col min="9221" max="9222" width="15.1428571428571" style="491" customWidth="1"/>
    <col min="9223" max="9223" width="14.2857142857143" style="491" customWidth="1"/>
    <col min="9224" max="9224" width="3.14285714285714" style="491" customWidth="1"/>
    <col min="9225" max="9225" width="6.42857142857143" style="491" customWidth="1"/>
    <col min="9226" max="9465" width="8.85714285714286" style="491"/>
    <col min="9466" max="9466" width="5.57142857142857" style="491" customWidth="1"/>
    <col min="9467" max="9467" width="9.28571428571429" style="491" customWidth="1"/>
    <col min="9468" max="9468" width="24.7142857142857" style="491" customWidth="1"/>
    <col min="9469" max="9469" width="11" style="491" customWidth="1"/>
    <col min="9470" max="9470" width="7.57142857142857" style="491" customWidth="1"/>
    <col min="9471" max="9471" width="13.5714285714286" style="491" customWidth="1"/>
    <col min="9472" max="9472" width="5.42857142857143" style="491" customWidth="1"/>
    <col min="9473" max="9473" width="11.2857142857143" style="491" customWidth="1"/>
    <col min="9474" max="9474" width="5.71428571428571" style="491" customWidth="1"/>
    <col min="9475" max="9475" width="12" style="491" customWidth="1"/>
    <col min="9476" max="9476" width="15.4285714285714" style="491" customWidth="1"/>
    <col min="9477" max="9478" width="15.1428571428571" style="491" customWidth="1"/>
    <col min="9479" max="9479" width="14.2857142857143" style="491" customWidth="1"/>
    <col min="9480" max="9480" width="3.14285714285714" style="491" customWidth="1"/>
    <col min="9481" max="9481" width="6.42857142857143" style="491" customWidth="1"/>
    <col min="9482" max="9721" width="8.85714285714286" style="491"/>
    <col min="9722" max="9722" width="5.57142857142857" style="491" customWidth="1"/>
    <col min="9723" max="9723" width="9.28571428571429" style="491" customWidth="1"/>
    <col min="9724" max="9724" width="24.7142857142857" style="491" customWidth="1"/>
    <col min="9725" max="9725" width="11" style="491" customWidth="1"/>
    <col min="9726" max="9726" width="7.57142857142857" style="491" customWidth="1"/>
    <col min="9727" max="9727" width="13.5714285714286" style="491" customWidth="1"/>
    <col min="9728" max="9728" width="5.42857142857143" style="491" customWidth="1"/>
    <col min="9729" max="9729" width="11.2857142857143" style="491" customWidth="1"/>
    <col min="9730" max="9730" width="5.71428571428571" style="491" customWidth="1"/>
    <col min="9731" max="9731" width="12" style="491" customWidth="1"/>
    <col min="9732" max="9732" width="15.4285714285714" style="491" customWidth="1"/>
    <col min="9733" max="9734" width="15.1428571428571" style="491" customWidth="1"/>
    <col min="9735" max="9735" width="14.2857142857143" style="491" customWidth="1"/>
    <col min="9736" max="9736" width="3.14285714285714" style="491" customWidth="1"/>
    <col min="9737" max="9737" width="6.42857142857143" style="491" customWidth="1"/>
    <col min="9738" max="9977" width="8.85714285714286" style="491"/>
    <col min="9978" max="9978" width="5.57142857142857" style="491" customWidth="1"/>
    <col min="9979" max="9979" width="9.28571428571429" style="491" customWidth="1"/>
    <col min="9980" max="9980" width="24.7142857142857" style="491" customWidth="1"/>
    <col min="9981" max="9981" width="11" style="491" customWidth="1"/>
    <col min="9982" max="9982" width="7.57142857142857" style="491" customWidth="1"/>
    <col min="9983" max="9983" width="13.5714285714286" style="491" customWidth="1"/>
    <col min="9984" max="9984" width="5.42857142857143" style="491" customWidth="1"/>
    <col min="9985" max="9985" width="11.2857142857143" style="491" customWidth="1"/>
    <col min="9986" max="9986" width="5.71428571428571" style="491" customWidth="1"/>
    <col min="9987" max="9987" width="12" style="491" customWidth="1"/>
    <col min="9988" max="9988" width="15.4285714285714" style="491" customWidth="1"/>
    <col min="9989" max="9990" width="15.1428571428571" style="491" customWidth="1"/>
    <col min="9991" max="9991" width="14.2857142857143" style="491" customWidth="1"/>
    <col min="9992" max="9992" width="3.14285714285714" style="491" customWidth="1"/>
    <col min="9993" max="9993" width="6.42857142857143" style="491" customWidth="1"/>
    <col min="9994" max="10233" width="8.85714285714286" style="491"/>
    <col min="10234" max="10234" width="5.57142857142857" style="491" customWidth="1"/>
    <col min="10235" max="10235" width="9.28571428571429" style="491" customWidth="1"/>
    <col min="10236" max="10236" width="24.7142857142857" style="491" customWidth="1"/>
    <col min="10237" max="10237" width="11" style="491" customWidth="1"/>
    <col min="10238" max="10238" width="7.57142857142857" style="491" customWidth="1"/>
    <col min="10239" max="10239" width="13.5714285714286" style="491" customWidth="1"/>
    <col min="10240" max="10240" width="5.42857142857143" style="491" customWidth="1"/>
    <col min="10241" max="10241" width="11.2857142857143" style="491" customWidth="1"/>
    <col min="10242" max="10242" width="5.71428571428571" style="491" customWidth="1"/>
    <col min="10243" max="10243" width="12" style="491" customWidth="1"/>
    <col min="10244" max="10244" width="15.4285714285714" style="491" customWidth="1"/>
    <col min="10245" max="10246" width="15.1428571428571" style="491" customWidth="1"/>
    <col min="10247" max="10247" width="14.2857142857143" style="491" customWidth="1"/>
    <col min="10248" max="10248" width="3.14285714285714" style="491" customWidth="1"/>
    <col min="10249" max="10249" width="6.42857142857143" style="491" customWidth="1"/>
    <col min="10250" max="10489" width="8.85714285714286" style="491"/>
    <col min="10490" max="10490" width="5.57142857142857" style="491" customWidth="1"/>
    <col min="10491" max="10491" width="9.28571428571429" style="491" customWidth="1"/>
    <col min="10492" max="10492" width="24.7142857142857" style="491" customWidth="1"/>
    <col min="10493" max="10493" width="11" style="491" customWidth="1"/>
    <col min="10494" max="10494" width="7.57142857142857" style="491" customWidth="1"/>
    <col min="10495" max="10495" width="13.5714285714286" style="491" customWidth="1"/>
    <col min="10496" max="10496" width="5.42857142857143" style="491" customWidth="1"/>
    <col min="10497" max="10497" width="11.2857142857143" style="491" customWidth="1"/>
    <col min="10498" max="10498" width="5.71428571428571" style="491" customWidth="1"/>
    <col min="10499" max="10499" width="12" style="491" customWidth="1"/>
    <col min="10500" max="10500" width="15.4285714285714" style="491" customWidth="1"/>
    <col min="10501" max="10502" width="15.1428571428571" style="491" customWidth="1"/>
    <col min="10503" max="10503" width="14.2857142857143" style="491" customWidth="1"/>
    <col min="10504" max="10504" width="3.14285714285714" style="491" customWidth="1"/>
    <col min="10505" max="10505" width="6.42857142857143" style="491" customWidth="1"/>
    <col min="10506" max="10745" width="8.85714285714286" style="491"/>
    <col min="10746" max="10746" width="5.57142857142857" style="491" customWidth="1"/>
    <col min="10747" max="10747" width="9.28571428571429" style="491" customWidth="1"/>
    <col min="10748" max="10748" width="24.7142857142857" style="491" customWidth="1"/>
    <col min="10749" max="10749" width="11" style="491" customWidth="1"/>
    <col min="10750" max="10750" width="7.57142857142857" style="491" customWidth="1"/>
    <col min="10751" max="10751" width="13.5714285714286" style="491" customWidth="1"/>
    <col min="10752" max="10752" width="5.42857142857143" style="491" customWidth="1"/>
    <col min="10753" max="10753" width="11.2857142857143" style="491" customWidth="1"/>
    <col min="10754" max="10754" width="5.71428571428571" style="491" customWidth="1"/>
    <col min="10755" max="10755" width="12" style="491" customWidth="1"/>
    <col min="10756" max="10756" width="15.4285714285714" style="491" customWidth="1"/>
    <col min="10757" max="10758" width="15.1428571428571" style="491" customWidth="1"/>
    <col min="10759" max="10759" width="14.2857142857143" style="491" customWidth="1"/>
    <col min="10760" max="10760" width="3.14285714285714" style="491" customWidth="1"/>
    <col min="10761" max="10761" width="6.42857142857143" style="491" customWidth="1"/>
    <col min="10762" max="11001" width="8.85714285714286" style="491"/>
    <col min="11002" max="11002" width="5.57142857142857" style="491" customWidth="1"/>
    <col min="11003" max="11003" width="9.28571428571429" style="491" customWidth="1"/>
    <col min="11004" max="11004" width="24.7142857142857" style="491" customWidth="1"/>
    <col min="11005" max="11005" width="11" style="491" customWidth="1"/>
    <col min="11006" max="11006" width="7.57142857142857" style="491" customWidth="1"/>
    <col min="11007" max="11007" width="13.5714285714286" style="491" customWidth="1"/>
    <col min="11008" max="11008" width="5.42857142857143" style="491" customWidth="1"/>
    <col min="11009" max="11009" width="11.2857142857143" style="491" customWidth="1"/>
    <col min="11010" max="11010" width="5.71428571428571" style="491" customWidth="1"/>
    <col min="11011" max="11011" width="12" style="491" customWidth="1"/>
    <col min="11012" max="11012" width="15.4285714285714" style="491" customWidth="1"/>
    <col min="11013" max="11014" width="15.1428571428571" style="491" customWidth="1"/>
    <col min="11015" max="11015" width="14.2857142857143" style="491" customWidth="1"/>
    <col min="11016" max="11016" width="3.14285714285714" style="491" customWidth="1"/>
    <col min="11017" max="11017" width="6.42857142857143" style="491" customWidth="1"/>
    <col min="11018" max="11257" width="8.85714285714286" style="491"/>
    <col min="11258" max="11258" width="5.57142857142857" style="491" customWidth="1"/>
    <col min="11259" max="11259" width="9.28571428571429" style="491" customWidth="1"/>
    <col min="11260" max="11260" width="24.7142857142857" style="491" customWidth="1"/>
    <col min="11261" max="11261" width="11" style="491" customWidth="1"/>
    <col min="11262" max="11262" width="7.57142857142857" style="491" customWidth="1"/>
    <col min="11263" max="11263" width="13.5714285714286" style="491" customWidth="1"/>
    <col min="11264" max="11264" width="5.42857142857143" style="491" customWidth="1"/>
    <col min="11265" max="11265" width="11.2857142857143" style="491" customWidth="1"/>
    <col min="11266" max="11266" width="5.71428571428571" style="491" customWidth="1"/>
    <col min="11267" max="11267" width="12" style="491" customWidth="1"/>
    <col min="11268" max="11268" width="15.4285714285714" style="491" customWidth="1"/>
    <col min="11269" max="11270" width="15.1428571428571" style="491" customWidth="1"/>
    <col min="11271" max="11271" width="14.2857142857143" style="491" customWidth="1"/>
    <col min="11272" max="11272" width="3.14285714285714" style="491" customWidth="1"/>
    <col min="11273" max="11273" width="6.42857142857143" style="491" customWidth="1"/>
    <col min="11274" max="11513" width="8.85714285714286" style="491"/>
    <col min="11514" max="11514" width="5.57142857142857" style="491" customWidth="1"/>
    <col min="11515" max="11515" width="9.28571428571429" style="491" customWidth="1"/>
    <col min="11516" max="11516" width="24.7142857142857" style="491" customWidth="1"/>
    <col min="11517" max="11517" width="11" style="491" customWidth="1"/>
    <col min="11518" max="11518" width="7.57142857142857" style="491" customWidth="1"/>
    <col min="11519" max="11519" width="13.5714285714286" style="491" customWidth="1"/>
    <col min="11520" max="11520" width="5.42857142857143" style="491" customWidth="1"/>
    <col min="11521" max="11521" width="11.2857142857143" style="491" customWidth="1"/>
    <col min="11522" max="11522" width="5.71428571428571" style="491" customWidth="1"/>
    <col min="11523" max="11523" width="12" style="491" customWidth="1"/>
    <col min="11524" max="11524" width="15.4285714285714" style="491" customWidth="1"/>
    <col min="11525" max="11526" width="15.1428571428571" style="491" customWidth="1"/>
    <col min="11527" max="11527" width="14.2857142857143" style="491" customWidth="1"/>
    <col min="11528" max="11528" width="3.14285714285714" style="491" customWidth="1"/>
    <col min="11529" max="11529" width="6.42857142857143" style="491" customWidth="1"/>
    <col min="11530" max="11769" width="8.85714285714286" style="491"/>
    <col min="11770" max="11770" width="5.57142857142857" style="491" customWidth="1"/>
    <col min="11771" max="11771" width="9.28571428571429" style="491" customWidth="1"/>
    <col min="11772" max="11772" width="24.7142857142857" style="491" customWidth="1"/>
    <col min="11773" max="11773" width="11" style="491" customWidth="1"/>
    <col min="11774" max="11774" width="7.57142857142857" style="491" customWidth="1"/>
    <col min="11775" max="11775" width="13.5714285714286" style="491" customWidth="1"/>
    <col min="11776" max="11776" width="5.42857142857143" style="491" customWidth="1"/>
    <col min="11777" max="11777" width="11.2857142857143" style="491" customWidth="1"/>
    <col min="11778" max="11778" width="5.71428571428571" style="491" customWidth="1"/>
    <col min="11779" max="11779" width="12" style="491" customWidth="1"/>
    <col min="11780" max="11780" width="15.4285714285714" style="491" customWidth="1"/>
    <col min="11781" max="11782" width="15.1428571428571" style="491" customWidth="1"/>
    <col min="11783" max="11783" width="14.2857142857143" style="491" customWidth="1"/>
    <col min="11784" max="11784" width="3.14285714285714" style="491" customWidth="1"/>
    <col min="11785" max="11785" width="6.42857142857143" style="491" customWidth="1"/>
    <col min="11786" max="12025" width="8.85714285714286" style="491"/>
    <col min="12026" max="12026" width="5.57142857142857" style="491" customWidth="1"/>
    <col min="12027" max="12027" width="9.28571428571429" style="491" customWidth="1"/>
    <col min="12028" max="12028" width="24.7142857142857" style="491" customWidth="1"/>
    <col min="12029" max="12029" width="11" style="491" customWidth="1"/>
    <col min="12030" max="12030" width="7.57142857142857" style="491" customWidth="1"/>
    <col min="12031" max="12031" width="13.5714285714286" style="491" customWidth="1"/>
    <col min="12032" max="12032" width="5.42857142857143" style="491" customWidth="1"/>
    <col min="12033" max="12033" width="11.2857142857143" style="491" customWidth="1"/>
    <col min="12034" max="12034" width="5.71428571428571" style="491" customWidth="1"/>
    <col min="12035" max="12035" width="12" style="491" customWidth="1"/>
    <col min="12036" max="12036" width="15.4285714285714" style="491" customWidth="1"/>
    <col min="12037" max="12038" width="15.1428571428571" style="491" customWidth="1"/>
    <col min="12039" max="12039" width="14.2857142857143" style="491" customWidth="1"/>
    <col min="12040" max="12040" width="3.14285714285714" style="491" customWidth="1"/>
    <col min="12041" max="12041" width="6.42857142857143" style="491" customWidth="1"/>
    <col min="12042" max="12281" width="8.85714285714286" style="491"/>
    <col min="12282" max="12282" width="5.57142857142857" style="491" customWidth="1"/>
    <col min="12283" max="12283" width="9.28571428571429" style="491" customWidth="1"/>
    <col min="12284" max="12284" width="24.7142857142857" style="491" customWidth="1"/>
    <col min="12285" max="12285" width="11" style="491" customWidth="1"/>
    <col min="12286" max="12286" width="7.57142857142857" style="491" customWidth="1"/>
    <col min="12287" max="12287" width="13.5714285714286" style="491" customWidth="1"/>
    <col min="12288" max="12288" width="5.42857142857143" style="491" customWidth="1"/>
    <col min="12289" max="12289" width="11.2857142857143" style="491" customWidth="1"/>
    <col min="12290" max="12290" width="5.71428571428571" style="491" customWidth="1"/>
    <col min="12291" max="12291" width="12" style="491" customWidth="1"/>
    <col min="12292" max="12292" width="15.4285714285714" style="491" customWidth="1"/>
    <col min="12293" max="12294" width="15.1428571428571" style="491" customWidth="1"/>
    <col min="12295" max="12295" width="14.2857142857143" style="491" customWidth="1"/>
    <col min="12296" max="12296" width="3.14285714285714" style="491" customWidth="1"/>
    <col min="12297" max="12297" width="6.42857142857143" style="491" customWidth="1"/>
    <col min="12298" max="12537" width="8.85714285714286" style="491"/>
    <col min="12538" max="12538" width="5.57142857142857" style="491" customWidth="1"/>
    <col min="12539" max="12539" width="9.28571428571429" style="491" customWidth="1"/>
    <col min="12540" max="12540" width="24.7142857142857" style="491" customWidth="1"/>
    <col min="12541" max="12541" width="11" style="491" customWidth="1"/>
    <col min="12542" max="12542" width="7.57142857142857" style="491" customWidth="1"/>
    <col min="12543" max="12543" width="13.5714285714286" style="491" customWidth="1"/>
    <col min="12544" max="12544" width="5.42857142857143" style="491" customWidth="1"/>
    <col min="12545" max="12545" width="11.2857142857143" style="491" customWidth="1"/>
    <col min="12546" max="12546" width="5.71428571428571" style="491" customWidth="1"/>
    <col min="12547" max="12547" width="12" style="491" customWidth="1"/>
    <col min="12548" max="12548" width="15.4285714285714" style="491" customWidth="1"/>
    <col min="12549" max="12550" width="15.1428571428571" style="491" customWidth="1"/>
    <col min="12551" max="12551" width="14.2857142857143" style="491" customWidth="1"/>
    <col min="12552" max="12552" width="3.14285714285714" style="491" customWidth="1"/>
    <col min="12553" max="12553" width="6.42857142857143" style="491" customWidth="1"/>
    <col min="12554" max="12793" width="8.85714285714286" style="491"/>
    <col min="12794" max="12794" width="5.57142857142857" style="491" customWidth="1"/>
    <col min="12795" max="12795" width="9.28571428571429" style="491" customWidth="1"/>
    <col min="12796" max="12796" width="24.7142857142857" style="491" customWidth="1"/>
    <col min="12797" max="12797" width="11" style="491" customWidth="1"/>
    <col min="12798" max="12798" width="7.57142857142857" style="491" customWidth="1"/>
    <col min="12799" max="12799" width="13.5714285714286" style="491" customWidth="1"/>
    <col min="12800" max="12800" width="5.42857142857143" style="491" customWidth="1"/>
    <col min="12801" max="12801" width="11.2857142857143" style="491" customWidth="1"/>
    <col min="12802" max="12802" width="5.71428571428571" style="491" customWidth="1"/>
    <col min="12803" max="12803" width="12" style="491" customWidth="1"/>
    <col min="12804" max="12804" width="15.4285714285714" style="491" customWidth="1"/>
    <col min="12805" max="12806" width="15.1428571428571" style="491" customWidth="1"/>
    <col min="12807" max="12807" width="14.2857142857143" style="491" customWidth="1"/>
    <col min="12808" max="12808" width="3.14285714285714" style="491" customWidth="1"/>
    <col min="12809" max="12809" width="6.42857142857143" style="491" customWidth="1"/>
    <col min="12810" max="13049" width="8.85714285714286" style="491"/>
    <col min="13050" max="13050" width="5.57142857142857" style="491" customWidth="1"/>
    <col min="13051" max="13051" width="9.28571428571429" style="491" customWidth="1"/>
    <col min="13052" max="13052" width="24.7142857142857" style="491" customWidth="1"/>
    <col min="13053" max="13053" width="11" style="491" customWidth="1"/>
    <col min="13054" max="13054" width="7.57142857142857" style="491" customWidth="1"/>
    <col min="13055" max="13055" width="13.5714285714286" style="491" customWidth="1"/>
    <col min="13056" max="13056" width="5.42857142857143" style="491" customWidth="1"/>
    <col min="13057" max="13057" width="11.2857142857143" style="491" customWidth="1"/>
    <col min="13058" max="13058" width="5.71428571428571" style="491" customWidth="1"/>
    <col min="13059" max="13059" width="12" style="491" customWidth="1"/>
    <col min="13060" max="13060" width="15.4285714285714" style="491" customWidth="1"/>
    <col min="13061" max="13062" width="15.1428571428571" style="491" customWidth="1"/>
    <col min="13063" max="13063" width="14.2857142857143" style="491" customWidth="1"/>
    <col min="13064" max="13064" width="3.14285714285714" style="491" customWidth="1"/>
    <col min="13065" max="13065" width="6.42857142857143" style="491" customWidth="1"/>
    <col min="13066" max="13305" width="8.85714285714286" style="491"/>
    <col min="13306" max="13306" width="5.57142857142857" style="491" customWidth="1"/>
    <col min="13307" max="13307" width="9.28571428571429" style="491" customWidth="1"/>
    <col min="13308" max="13308" width="24.7142857142857" style="491" customWidth="1"/>
    <col min="13309" max="13309" width="11" style="491" customWidth="1"/>
    <col min="13310" max="13310" width="7.57142857142857" style="491" customWidth="1"/>
    <col min="13311" max="13311" width="13.5714285714286" style="491" customWidth="1"/>
    <col min="13312" max="13312" width="5.42857142857143" style="491" customWidth="1"/>
    <col min="13313" max="13313" width="11.2857142857143" style="491" customWidth="1"/>
    <col min="13314" max="13314" width="5.71428571428571" style="491" customWidth="1"/>
    <col min="13315" max="13315" width="12" style="491" customWidth="1"/>
    <col min="13316" max="13316" width="15.4285714285714" style="491" customWidth="1"/>
    <col min="13317" max="13318" width="15.1428571428571" style="491" customWidth="1"/>
    <col min="13319" max="13319" width="14.2857142857143" style="491" customWidth="1"/>
    <col min="13320" max="13320" width="3.14285714285714" style="491" customWidth="1"/>
    <col min="13321" max="13321" width="6.42857142857143" style="491" customWidth="1"/>
    <col min="13322" max="13561" width="8.85714285714286" style="491"/>
    <col min="13562" max="13562" width="5.57142857142857" style="491" customWidth="1"/>
    <col min="13563" max="13563" width="9.28571428571429" style="491" customWidth="1"/>
    <col min="13564" max="13564" width="24.7142857142857" style="491" customWidth="1"/>
    <col min="13565" max="13565" width="11" style="491" customWidth="1"/>
    <col min="13566" max="13566" width="7.57142857142857" style="491" customWidth="1"/>
    <col min="13567" max="13567" width="13.5714285714286" style="491" customWidth="1"/>
    <col min="13568" max="13568" width="5.42857142857143" style="491" customWidth="1"/>
    <col min="13569" max="13569" width="11.2857142857143" style="491" customWidth="1"/>
    <col min="13570" max="13570" width="5.71428571428571" style="491" customWidth="1"/>
    <col min="13571" max="13571" width="12" style="491" customWidth="1"/>
    <col min="13572" max="13572" width="15.4285714285714" style="491" customWidth="1"/>
    <col min="13573" max="13574" width="15.1428571428571" style="491" customWidth="1"/>
    <col min="13575" max="13575" width="14.2857142857143" style="491" customWidth="1"/>
    <col min="13576" max="13576" width="3.14285714285714" style="491" customWidth="1"/>
    <col min="13577" max="13577" width="6.42857142857143" style="491" customWidth="1"/>
    <col min="13578" max="13817" width="8.85714285714286" style="491"/>
    <col min="13818" max="13818" width="5.57142857142857" style="491" customWidth="1"/>
    <col min="13819" max="13819" width="9.28571428571429" style="491" customWidth="1"/>
    <col min="13820" max="13820" width="24.7142857142857" style="491" customWidth="1"/>
    <col min="13821" max="13821" width="11" style="491" customWidth="1"/>
    <col min="13822" max="13822" width="7.57142857142857" style="491" customWidth="1"/>
    <col min="13823" max="13823" width="13.5714285714286" style="491" customWidth="1"/>
    <col min="13824" max="13824" width="5.42857142857143" style="491" customWidth="1"/>
    <col min="13825" max="13825" width="11.2857142857143" style="491" customWidth="1"/>
    <col min="13826" max="13826" width="5.71428571428571" style="491" customWidth="1"/>
    <col min="13827" max="13827" width="12" style="491" customWidth="1"/>
    <col min="13828" max="13828" width="15.4285714285714" style="491" customWidth="1"/>
    <col min="13829" max="13830" width="15.1428571428571" style="491" customWidth="1"/>
    <col min="13831" max="13831" width="14.2857142857143" style="491" customWidth="1"/>
    <col min="13832" max="13832" width="3.14285714285714" style="491" customWidth="1"/>
    <col min="13833" max="13833" width="6.42857142857143" style="491" customWidth="1"/>
    <col min="13834" max="14073" width="8.85714285714286" style="491"/>
    <col min="14074" max="14074" width="5.57142857142857" style="491" customWidth="1"/>
    <col min="14075" max="14075" width="9.28571428571429" style="491" customWidth="1"/>
    <col min="14076" max="14076" width="24.7142857142857" style="491" customWidth="1"/>
    <col min="14077" max="14077" width="11" style="491" customWidth="1"/>
    <col min="14078" max="14078" width="7.57142857142857" style="491" customWidth="1"/>
    <col min="14079" max="14079" width="13.5714285714286" style="491" customWidth="1"/>
    <col min="14080" max="14080" width="5.42857142857143" style="491" customWidth="1"/>
    <col min="14081" max="14081" width="11.2857142857143" style="491" customWidth="1"/>
    <col min="14082" max="14082" width="5.71428571428571" style="491" customWidth="1"/>
    <col min="14083" max="14083" width="12" style="491" customWidth="1"/>
    <col min="14084" max="14084" width="15.4285714285714" style="491" customWidth="1"/>
    <col min="14085" max="14086" width="15.1428571428571" style="491" customWidth="1"/>
    <col min="14087" max="14087" width="14.2857142857143" style="491" customWidth="1"/>
    <col min="14088" max="14088" width="3.14285714285714" style="491" customWidth="1"/>
    <col min="14089" max="14089" width="6.42857142857143" style="491" customWidth="1"/>
    <col min="14090" max="14329" width="8.85714285714286" style="491"/>
    <col min="14330" max="14330" width="5.57142857142857" style="491" customWidth="1"/>
    <col min="14331" max="14331" width="9.28571428571429" style="491" customWidth="1"/>
    <col min="14332" max="14332" width="24.7142857142857" style="491" customWidth="1"/>
    <col min="14333" max="14333" width="11" style="491" customWidth="1"/>
    <col min="14334" max="14334" width="7.57142857142857" style="491" customWidth="1"/>
    <col min="14335" max="14335" width="13.5714285714286" style="491" customWidth="1"/>
    <col min="14336" max="14336" width="5.42857142857143" style="491" customWidth="1"/>
    <col min="14337" max="14337" width="11.2857142857143" style="491" customWidth="1"/>
    <col min="14338" max="14338" width="5.71428571428571" style="491" customWidth="1"/>
    <col min="14339" max="14339" width="12" style="491" customWidth="1"/>
    <col min="14340" max="14340" width="15.4285714285714" style="491" customWidth="1"/>
    <col min="14341" max="14342" width="15.1428571428571" style="491" customWidth="1"/>
    <col min="14343" max="14343" width="14.2857142857143" style="491" customWidth="1"/>
    <col min="14344" max="14344" width="3.14285714285714" style="491" customWidth="1"/>
    <col min="14345" max="14345" width="6.42857142857143" style="491" customWidth="1"/>
    <col min="14346" max="14585" width="8.85714285714286" style="491"/>
    <col min="14586" max="14586" width="5.57142857142857" style="491" customWidth="1"/>
    <col min="14587" max="14587" width="9.28571428571429" style="491" customWidth="1"/>
    <col min="14588" max="14588" width="24.7142857142857" style="491" customWidth="1"/>
    <col min="14589" max="14589" width="11" style="491" customWidth="1"/>
    <col min="14590" max="14590" width="7.57142857142857" style="491" customWidth="1"/>
    <col min="14591" max="14591" width="13.5714285714286" style="491" customWidth="1"/>
    <col min="14592" max="14592" width="5.42857142857143" style="491" customWidth="1"/>
    <col min="14593" max="14593" width="11.2857142857143" style="491" customWidth="1"/>
    <col min="14594" max="14594" width="5.71428571428571" style="491" customWidth="1"/>
    <col min="14595" max="14595" width="12" style="491" customWidth="1"/>
    <col min="14596" max="14596" width="15.4285714285714" style="491" customWidth="1"/>
    <col min="14597" max="14598" width="15.1428571428571" style="491" customWidth="1"/>
    <col min="14599" max="14599" width="14.2857142857143" style="491" customWidth="1"/>
    <col min="14600" max="14600" width="3.14285714285714" style="491" customWidth="1"/>
    <col min="14601" max="14601" width="6.42857142857143" style="491" customWidth="1"/>
    <col min="14602" max="14841" width="8.85714285714286" style="491"/>
    <col min="14842" max="14842" width="5.57142857142857" style="491" customWidth="1"/>
    <col min="14843" max="14843" width="9.28571428571429" style="491" customWidth="1"/>
    <col min="14844" max="14844" width="24.7142857142857" style="491" customWidth="1"/>
    <col min="14845" max="14845" width="11" style="491" customWidth="1"/>
    <col min="14846" max="14846" width="7.57142857142857" style="491" customWidth="1"/>
    <col min="14847" max="14847" width="13.5714285714286" style="491" customWidth="1"/>
    <col min="14848" max="14848" width="5.42857142857143" style="491" customWidth="1"/>
    <col min="14849" max="14849" width="11.2857142857143" style="491" customWidth="1"/>
    <col min="14850" max="14850" width="5.71428571428571" style="491" customWidth="1"/>
    <col min="14851" max="14851" width="12" style="491" customWidth="1"/>
    <col min="14852" max="14852" width="15.4285714285714" style="491" customWidth="1"/>
    <col min="14853" max="14854" width="15.1428571428571" style="491" customWidth="1"/>
    <col min="14855" max="14855" width="14.2857142857143" style="491" customWidth="1"/>
    <col min="14856" max="14856" width="3.14285714285714" style="491" customWidth="1"/>
    <col min="14857" max="14857" width="6.42857142857143" style="491" customWidth="1"/>
    <col min="14858" max="15097" width="8.85714285714286" style="491"/>
    <col min="15098" max="15098" width="5.57142857142857" style="491" customWidth="1"/>
    <col min="15099" max="15099" width="9.28571428571429" style="491" customWidth="1"/>
    <col min="15100" max="15100" width="24.7142857142857" style="491" customWidth="1"/>
    <col min="15101" max="15101" width="11" style="491" customWidth="1"/>
    <col min="15102" max="15102" width="7.57142857142857" style="491" customWidth="1"/>
    <col min="15103" max="15103" width="13.5714285714286" style="491" customWidth="1"/>
    <col min="15104" max="15104" width="5.42857142857143" style="491" customWidth="1"/>
    <col min="15105" max="15105" width="11.2857142857143" style="491" customWidth="1"/>
    <col min="15106" max="15106" width="5.71428571428571" style="491" customWidth="1"/>
    <col min="15107" max="15107" width="12" style="491" customWidth="1"/>
    <col min="15108" max="15108" width="15.4285714285714" style="491" customWidth="1"/>
    <col min="15109" max="15110" width="15.1428571428571" style="491" customWidth="1"/>
    <col min="15111" max="15111" width="14.2857142857143" style="491" customWidth="1"/>
    <col min="15112" max="15112" width="3.14285714285714" style="491" customWidth="1"/>
    <col min="15113" max="15113" width="6.42857142857143" style="491" customWidth="1"/>
    <col min="15114" max="15353" width="8.85714285714286" style="491"/>
    <col min="15354" max="15354" width="5.57142857142857" style="491" customWidth="1"/>
    <col min="15355" max="15355" width="9.28571428571429" style="491" customWidth="1"/>
    <col min="15356" max="15356" width="24.7142857142857" style="491" customWidth="1"/>
    <col min="15357" max="15357" width="11" style="491" customWidth="1"/>
    <col min="15358" max="15358" width="7.57142857142857" style="491" customWidth="1"/>
    <col min="15359" max="15359" width="13.5714285714286" style="491" customWidth="1"/>
    <col min="15360" max="15360" width="5.42857142857143" style="491" customWidth="1"/>
    <col min="15361" max="15361" width="11.2857142857143" style="491" customWidth="1"/>
    <col min="15362" max="15362" width="5.71428571428571" style="491" customWidth="1"/>
    <col min="15363" max="15363" width="12" style="491" customWidth="1"/>
    <col min="15364" max="15364" width="15.4285714285714" style="491" customWidth="1"/>
    <col min="15365" max="15366" width="15.1428571428571" style="491" customWidth="1"/>
    <col min="15367" max="15367" width="14.2857142857143" style="491" customWidth="1"/>
    <col min="15368" max="15368" width="3.14285714285714" style="491" customWidth="1"/>
    <col min="15369" max="15369" width="6.42857142857143" style="491" customWidth="1"/>
    <col min="15370" max="15609" width="8.85714285714286" style="491"/>
    <col min="15610" max="15610" width="5.57142857142857" style="491" customWidth="1"/>
    <col min="15611" max="15611" width="9.28571428571429" style="491" customWidth="1"/>
    <col min="15612" max="15612" width="24.7142857142857" style="491" customWidth="1"/>
    <col min="15613" max="15613" width="11" style="491" customWidth="1"/>
    <col min="15614" max="15614" width="7.57142857142857" style="491" customWidth="1"/>
    <col min="15615" max="15615" width="13.5714285714286" style="491" customWidth="1"/>
    <col min="15616" max="15616" width="5.42857142857143" style="491" customWidth="1"/>
    <col min="15617" max="15617" width="11.2857142857143" style="491" customWidth="1"/>
    <col min="15618" max="15618" width="5.71428571428571" style="491" customWidth="1"/>
    <col min="15619" max="15619" width="12" style="491" customWidth="1"/>
    <col min="15620" max="15620" width="15.4285714285714" style="491" customWidth="1"/>
    <col min="15621" max="15622" width="15.1428571428571" style="491" customWidth="1"/>
    <col min="15623" max="15623" width="14.2857142857143" style="491" customWidth="1"/>
    <col min="15624" max="15624" width="3.14285714285714" style="491" customWidth="1"/>
    <col min="15625" max="15625" width="6.42857142857143" style="491" customWidth="1"/>
    <col min="15626" max="15865" width="8.85714285714286" style="491"/>
    <col min="15866" max="15866" width="5.57142857142857" style="491" customWidth="1"/>
    <col min="15867" max="15867" width="9.28571428571429" style="491" customWidth="1"/>
    <col min="15868" max="15868" width="24.7142857142857" style="491" customWidth="1"/>
    <col min="15869" max="15869" width="11" style="491" customWidth="1"/>
    <col min="15870" max="15870" width="7.57142857142857" style="491" customWidth="1"/>
    <col min="15871" max="15871" width="13.5714285714286" style="491" customWidth="1"/>
    <col min="15872" max="15872" width="5.42857142857143" style="491" customWidth="1"/>
    <col min="15873" max="15873" width="11.2857142857143" style="491" customWidth="1"/>
    <col min="15874" max="15874" width="5.71428571428571" style="491" customWidth="1"/>
    <col min="15875" max="15875" width="12" style="491" customWidth="1"/>
    <col min="15876" max="15876" width="15.4285714285714" style="491" customWidth="1"/>
    <col min="15877" max="15878" width="15.1428571428571" style="491" customWidth="1"/>
    <col min="15879" max="15879" width="14.2857142857143" style="491" customWidth="1"/>
    <col min="15880" max="15880" width="3.14285714285714" style="491" customWidth="1"/>
    <col min="15881" max="15881" width="6.42857142857143" style="491" customWidth="1"/>
    <col min="15882" max="16121" width="8.85714285714286" style="491"/>
    <col min="16122" max="16122" width="5.57142857142857" style="491" customWidth="1"/>
    <col min="16123" max="16123" width="9.28571428571429" style="491" customWidth="1"/>
    <col min="16124" max="16124" width="24.7142857142857" style="491" customWidth="1"/>
    <col min="16125" max="16125" width="11" style="491" customWidth="1"/>
    <col min="16126" max="16126" width="7.57142857142857" style="491" customWidth="1"/>
    <col min="16127" max="16127" width="13.5714285714286" style="491" customWidth="1"/>
    <col min="16128" max="16128" width="5.42857142857143" style="491" customWidth="1"/>
    <col min="16129" max="16129" width="11.2857142857143" style="491" customWidth="1"/>
    <col min="16130" max="16130" width="5.71428571428571" style="491" customWidth="1"/>
    <col min="16131" max="16131" width="12" style="491" customWidth="1"/>
    <col min="16132" max="16132" width="15.4285714285714" style="491" customWidth="1"/>
    <col min="16133" max="16134" width="15.1428571428571" style="491" customWidth="1"/>
    <col min="16135" max="16135" width="14.2857142857143" style="491" customWidth="1"/>
    <col min="16136" max="16136" width="3.14285714285714" style="491" customWidth="1"/>
    <col min="16137" max="16137" width="6.42857142857143" style="491" customWidth="1"/>
    <col min="16138" max="16384" width="8.85714285714286" style="491"/>
  </cols>
  <sheetData>
    <row r="1" ht="46.9" customHeight="1" spans="1:15">
      <c r="A1" s="497" t="s">
        <v>91</v>
      </c>
      <c r="B1" s="497"/>
      <c r="C1" s="497"/>
      <c r="D1" s="497"/>
      <c r="E1" s="497"/>
      <c r="F1" s="497"/>
      <c r="G1" s="497"/>
      <c r="H1" s="497"/>
      <c r="I1" s="497"/>
      <c r="J1" s="497"/>
      <c r="K1" s="497"/>
      <c r="L1" s="497"/>
      <c r="M1" s="497"/>
    </row>
    <row r="2" ht="36.75" customHeight="1" spans="1:15">
      <c r="A2" s="498" t="s">
        <v>1</v>
      </c>
      <c r="B2" s="499" t="s">
        <v>3</v>
      </c>
      <c r="C2" s="499" t="s">
        <v>4</v>
      </c>
      <c r="D2" s="500" t="s">
        <v>5</v>
      </c>
      <c r="E2" s="500" t="s">
        <v>6</v>
      </c>
      <c r="F2" s="501" t="s">
        <v>7</v>
      </c>
      <c r="G2" s="502" t="s">
        <v>8</v>
      </c>
      <c r="H2" s="503" t="s">
        <v>9</v>
      </c>
      <c r="I2" s="504"/>
      <c r="J2" s="505" t="s">
        <v>10</v>
      </c>
      <c r="K2" s="506" t="s">
        <v>7</v>
      </c>
      <c r="L2" s="507" t="s">
        <v>8</v>
      </c>
      <c r="M2" s="508" t="s">
        <v>9</v>
      </c>
    </row>
    <row r="3" ht="0.75" customHeight="1" spans="1:15">
      <c r="A3" s="509"/>
      <c r="B3" s="510"/>
      <c r="C3" s="511"/>
      <c r="D3" s="512"/>
      <c r="E3" s="513"/>
      <c r="F3" s="514"/>
      <c r="G3" s="515"/>
      <c r="H3" s="516"/>
      <c r="I3" s="517"/>
      <c r="J3" s="518"/>
      <c r="K3" s="519"/>
      <c r="L3" s="520"/>
      <c r="M3" s="521"/>
    </row>
    <row r="4" ht="30" hidden="1" customHeight="1" spans="1:15">
      <c r="A4" s="522"/>
      <c r="B4" s="523"/>
      <c r="C4" s="524"/>
      <c r="D4" s="525"/>
      <c r="E4" s="526"/>
      <c r="F4" s="527"/>
      <c r="G4" s="528"/>
      <c r="H4" s="529"/>
      <c r="I4" s="517"/>
      <c r="J4" s="530"/>
      <c r="K4" s="531"/>
      <c r="L4" s="532"/>
      <c r="M4" s="533"/>
    </row>
    <row r="5" ht="30" hidden="1" customHeight="1" spans="1:15">
      <c r="A5" s="522"/>
      <c r="B5" s="523"/>
      <c r="C5" s="524"/>
      <c r="D5" s="525"/>
      <c r="E5" s="526"/>
      <c r="F5" s="527"/>
      <c r="G5" s="528"/>
      <c r="H5" s="529"/>
      <c r="I5" s="517"/>
      <c r="J5" s="530"/>
      <c r="K5" s="531"/>
      <c r="L5" s="532"/>
      <c r="M5" s="533"/>
    </row>
    <row r="6" ht="30" hidden="1" customHeight="1" spans="1:15">
      <c r="A6" s="522"/>
      <c r="B6" s="523"/>
      <c r="C6" s="524"/>
      <c r="D6" s="525"/>
      <c r="E6" s="526"/>
      <c r="F6" s="527"/>
      <c r="G6" s="528"/>
      <c r="H6" s="529"/>
      <c r="I6" s="517"/>
      <c r="J6" s="530"/>
      <c r="K6" s="531"/>
      <c r="L6" s="532"/>
      <c r="M6" s="533"/>
    </row>
    <row r="7" ht="30" hidden="1" customHeight="1" spans="1:15">
      <c r="A7" s="522"/>
      <c r="B7" s="523"/>
      <c r="C7" s="524"/>
      <c r="D7" s="525"/>
      <c r="E7" s="526"/>
      <c r="F7" s="527"/>
      <c r="G7" s="528"/>
      <c r="H7" s="529"/>
      <c r="I7" s="517"/>
      <c r="J7" s="530"/>
      <c r="K7" s="531"/>
      <c r="L7" s="532"/>
      <c r="M7" s="533"/>
    </row>
    <row r="8" ht="30" hidden="1" customHeight="1" spans="1:15">
      <c r="A8" s="522"/>
      <c r="B8" s="523"/>
      <c r="C8" s="524"/>
      <c r="D8" s="525"/>
      <c r="E8" s="526"/>
      <c r="F8" s="527"/>
      <c r="G8" s="528"/>
      <c r="H8" s="529"/>
      <c r="I8" s="517"/>
      <c r="J8" s="530"/>
      <c r="K8" s="531"/>
      <c r="L8" s="532"/>
      <c r="M8" s="533"/>
    </row>
    <row r="9" ht="30" hidden="1" customHeight="1" spans="1:15">
      <c r="A9" s="522"/>
      <c r="B9" s="523"/>
      <c r="C9" s="524"/>
      <c r="D9" s="525"/>
      <c r="E9" s="526"/>
      <c r="F9" s="527"/>
      <c r="G9" s="528"/>
      <c r="H9" s="529"/>
      <c r="I9" s="517"/>
      <c r="J9" s="530"/>
      <c r="K9" s="531"/>
      <c r="L9" s="532"/>
      <c r="M9" s="533"/>
    </row>
    <row r="10" ht="30" hidden="1" customHeight="1" spans="1:15">
      <c r="A10" s="522"/>
      <c r="B10" s="523"/>
      <c r="C10" s="524"/>
      <c r="D10" s="534"/>
      <c r="E10" s="534"/>
      <c r="F10" s="527"/>
      <c r="G10" s="528"/>
      <c r="H10" s="529"/>
      <c r="I10" s="517"/>
      <c r="J10" s="530"/>
      <c r="K10" s="531"/>
      <c r="L10" s="532"/>
      <c r="M10" s="533"/>
    </row>
    <row r="11" ht="30" customHeight="1" spans="1:15">
      <c r="A11" s="522"/>
      <c r="B11" s="523"/>
      <c r="C11" s="524"/>
      <c r="D11" s="534"/>
      <c r="E11" s="534"/>
      <c r="F11" s="527"/>
      <c r="G11" s="528"/>
      <c r="H11" s="529"/>
      <c r="I11" s="517"/>
      <c r="J11" s="530"/>
      <c r="K11" s="531"/>
      <c r="L11" s="532"/>
      <c r="M11" s="533"/>
    </row>
    <row r="12" ht="30" customHeight="1" spans="1:15">
      <c r="A12" s="522"/>
      <c r="B12" s="523"/>
      <c r="C12" s="524"/>
      <c r="D12" s="525"/>
      <c r="E12" s="526"/>
      <c r="F12" s="527"/>
      <c r="G12" s="528"/>
      <c r="H12" s="529"/>
      <c r="I12" s="517"/>
      <c r="J12" s="530"/>
      <c r="K12" s="531"/>
      <c r="L12" s="532"/>
      <c r="M12" s="533"/>
    </row>
    <row r="13" ht="30" customHeight="1" spans="1:15">
      <c r="A13" s="522"/>
      <c r="B13" s="523"/>
      <c r="C13" s="524"/>
      <c r="D13" s="525"/>
      <c r="E13" s="526"/>
      <c r="F13" s="527"/>
      <c r="G13" s="528"/>
      <c r="H13" s="529"/>
      <c r="I13" s="517"/>
      <c r="J13" s="530"/>
      <c r="K13" s="531"/>
      <c r="L13" s="532"/>
      <c r="M13" s="533"/>
    </row>
    <row r="14" ht="30" customHeight="1" spans="1:15">
      <c r="A14" s="522"/>
      <c r="B14" s="523"/>
      <c r="C14" s="524"/>
      <c r="D14" s="525"/>
      <c r="E14" s="526"/>
      <c r="F14" s="527"/>
      <c r="G14" s="528"/>
      <c r="H14" s="529"/>
      <c r="I14" s="517"/>
      <c r="J14" s="530"/>
      <c r="K14" s="531"/>
      <c r="L14" s="532"/>
      <c r="M14" s="533"/>
    </row>
    <row r="15" ht="30" customHeight="1" spans="1:15">
      <c r="A15" s="522"/>
      <c r="B15" s="523"/>
      <c r="C15" s="524"/>
      <c r="D15" s="525"/>
      <c r="E15" s="526"/>
      <c r="F15" s="527"/>
      <c r="G15" s="528"/>
      <c r="H15" s="529"/>
      <c r="I15" s="517"/>
      <c r="J15" s="530"/>
      <c r="K15" s="531"/>
      <c r="L15" s="532"/>
      <c r="M15" s="533"/>
    </row>
    <row r="16" ht="30" customHeight="1" spans="1:15">
      <c r="A16" s="522"/>
      <c r="B16" s="523"/>
      <c r="C16" s="524"/>
      <c r="D16" s="525"/>
      <c r="E16" s="526"/>
      <c r="F16" s="527"/>
      <c r="G16" s="528"/>
      <c r="H16" s="529"/>
      <c r="I16" s="517"/>
      <c r="J16" s="530"/>
      <c r="K16" s="531"/>
      <c r="L16" s="532"/>
      <c r="M16" s="533"/>
      <c r="O16" s="535"/>
    </row>
    <row r="17" ht="30" customHeight="1" spans="1:13">
      <c r="A17" s="522"/>
      <c r="B17" s="523"/>
      <c r="C17" s="524"/>
      <c r="D17" s="525"/>
      <c r="E17" s="526"/>
      <c r="F17" s="527"/>
      <c r="G17" s="528"/>
      <c r="H17" s="529"/>
      <c r="I17" s="517"/>
      <c r="J17" s="530"/>
      <c r="K17" s="531"/>
      <c r="L17" s="532"/>
      <c r="M17" s="533"/>
    </row>
    <row r="18" ht="30" customHeight="1" spans="1:13">
      <c r="A18" s="522"/>
      <c r="B18" s="523"/>
      <c r="C18" s="524"/>
      <c r="D18" s="525"/>
      <c r="E18" s="526"/>
      <c r="F18" s="527"/>
      <c r="G18" s="528"/>
      <c r="H18" s="529"/>
      <c r="I18" s="517"/>
      <c r="J18" s="530"/>
      <c r="K18" s="531"/>
      <c r="L18" s="532"/>
      <c r="M18" s="533"/>
    </row>
    <row r="19" ht="30" customHeight="1" spans="1:13">
      <c r="A19" s="522"/>
      <c r="B19" s="523"/>
      <c r="C19" s="524"/>
      <c r="D19" s="525"/>
      <c r="E19" s="526"/>
      <c r="F19" s="527"/>
      <c r="G19" s="528"/>
      <c r="H19" s="529"/>
      <c r="I19" s="517"/>
      <c r="J19" s="530"/>
      <c r="K19" s="531"/>
      <c r="L19" s="532"/>
      <c r="M19" s="533"/>
    </row>
    <row r="20" ht="30" customHeight="1" spans="1:13">
      <c r="A20" s="522"/>
      <c r="B20" s="523"/>
      <c r="C20" s="524"/>
      <c r="D20" s="525"/>
      <c r="E20" s="526"/>
      <c r="F20" s="527"/>
      <c r="G20" s="528"/>
      <c r="H20" s="529"/>
      <c r="I20" s="517"/>
      <c r="J20" s="530"/>
      <c r="K20" s="531"/>
      <c r="L20" s="532"/>
      <c r="M20" s="533"/>
    </row>
    <row r="21" ht="30" customHeight="1" spans="1:13">
      <c r="A21" s="522"/>
      <c r="B21" s="523"/>
      <c r="C21" s="524"/>
      <c r="D21" s="525"/>
      <c r="E21" s="526"/>
      <c r="F21" s="527"/>
      <c r="G21" s="528"/>
      <c r="H21" s="529"/>
      <c r="I21" s="517"/>
      <c r="J21" s="530"/>
      <c r="K21" s="531"/>
      <c r="L21" s="532"/>
      <c r="M21" s="533"/>
    </row>
    <row r="22" ht="30" customHeight="1" spans="1:13">
      <c r="A22" s="522"/>
      <c r="B22" s="523"/>
      <c r="C22" s="524"/>
      <c r="D22" s="525"/>
      <c r="E22" s="526"/>
      <c r="F22" s="527"/>
      <c r="G22" s="528"/>
      <c r="H22" s="529"/>
      <c r="I22" s="517"/>
      <c r="J22" s="530"/>
      <c r="K22" s="531"/>
      <c r="L22" s="532"/>
      <c r="M22" s="533"/>
    </row>
    <row r="23" ht="30" customHeight="1" spans="1:13">
      <c r="A23" s="522"/>
      <c r="B23" s="523"/>
      <c r="C23" s="524"/>
      <c r="D23" s="525"/>
      <c r="E23" s="526"/>
      <c r="F23" s="527"/>
      <c r="G23" s="528"/>
      <c r="H23" s="529"/>
      <c r="I23" s="517"/>
      <c r="J23" s="530"/>
      <c r="K23" s="531"/>
      <c r="L23" s="532"/>
      <c r="M23" s="533"/>
    </row>
    <row r="24" ht="30" customHeight="1" spans="1:13">
      <c r="A24" s="522"/>
      <c r="B24" s="523"/>
      <c r="C24" s="524"/>
      <c r="D24" s="525"/>
      <c r="E24" s="526"/>
      <c r="F24" s="527"/>
      <c r="G24" s="528"/>
      <c r="H24" s="529"/>
      <c r="I24" s="517"/>
      <c r="J24" s="530"/>
      <c r="K24" s="531"/>
      <c r="L24" s="532"/>
      <c r="M24" s="533"/>
    </row>
    <row r="25" ht="30" customHeight="1" spans="1:13">
      <c r="A25" s="522">
        <v>23</v>
      </c>
      <c r="B25" s="523"/>
      <c r="C25" s="524" t="s">
        <v>92</v>
      </c>
      <c r="D25" s="525">
        <v>14145.75</v>
      </c>
      <c r="E25" s="536">
        <v>6537.9</v>
      </c>
      <c r="F25" s="527"/>
      <c r="G25" s="528">
        <f>D25*E25</f>
        <v>92483498.925</v>
      </c>
      <c r="H25" s="529">
        <f>F25-G25+H24</f>
        <v>-92483498.925</v>
      </c>
      <c r="I25" s="517"/>
      <c r="J25" s="530">
        <v>78.3941</v>
      </c>
      <c r="K25" s="537"/>
      <c r="L25" s="532">
        <f>D25*J25</f>
        <v>1108943.340075</v>
      </c>
      <c r="M25" s="533">
        <f>K25-L25+M24</f>
        <v>-1108943.340075</v>
      </c>
    </row>
    <row r="26" ht="30" customHeight="1" spans="1:13">
      <c r="A26" s="522">
        <v>24</v>
      </c>
      <c r="B26" s="523"/>
      <c r="C26" s="524" t="s">
        <v>93</v>
      </c>
      <c r="D26" s="525">
        <v>824.171</v>
      </c>
      <c r="E26" s="536">
        <v>6626.86</v>
      </c>
      <c r="F26" s="527"/>
      <c r="G26" s="528">
        <f>D26*E26</f>
        <v>5461665.83306</v>
      </c>
      <c r="H26" s="529">
        <f>F26-G26+H25</f>
        <v>-97945164.75806</v>
      </c>
      <c r="I26" s="517"/>
      <c r="J26" s="530">
        <v>78.3941</v>
      </c>
      <c r="K26" s="531"/>
      <c r="L26" s="532">
        <f>D26*J26</f>
        <v>64610.1437911</v>
      </c>
      <c r="M26" s="533">
        <f>K26-L26+M25</f>
        <v>-1173553.4838661</v>
      </c>
    </row>
    <row r="27" ht="30" customHeight="1" spans="1:13">
      <c r="A27" s="522">
        <v>25</v>
      </c>
      <c r="B27" s="523" t="s">
        <v>36</v>
      </c>
      <c r="C27" s="524" t="s">
        <v>37</v>
      </c>
      <c r="D27" s="525"/>
      <c r="E27" s="526"/>
      <c r="F27" s="527">
        <v>98061150</v>
      </c>
      <c r="G27" s="528"/>
      <c r="H27" s="529">
        <f>F27-G27+H26</f>
        <v>115985.241940036</v>
      </c>
      <c r="I27" s="517"/>
      <c r="J27" s="530">
        <v>77.2155655739802</v>
      </c>
      <c r="K27" s="531">
        <f>F27/J27</f>
        <v>1269966.09130639</v>
      </c>
      <c r="L27" s="532"/>
      <c r="M27" s="533">
        <f>K27-L27+M26</f>
        <v>96412.6074402914</v>
      </c>
    </row>
    <row r="28" ht="30" customHeight="1" spans="1:13">
      <c r="A28" s="522">
        <v>26</v>
      </c>
      <c r="B28" s="523" t="s">
        <v>41</v>
      </c>
      <c r="C28" s="524" t="s">
        <v>42</v>
      </c>
      <c r="D28" s="525"/>
      <c r="E28" s="526"/>
      <c r="F28" s="527">
        <v>38570719</v>
      </c>
      <c r="G28" s="528"/>
      <c r="H28" s="529">
        <f>F28-G28+H27</f>
        <v>38686704.24194</v>
      </c>
      <c r="I28" s="517"/>
      <c r="J28" s="530">
        <v>77.4477669944451</v>
      </c>
      <c r="K28" s="531">
        <f>F28/J28</f>
        <v>498022.351022289</v>
      </c>
      <c r="L28" s="532"/>
      <c r="M28" s="533">
        <f>K28-L28+M27</f>
        <v>594434.958462581</v>
      </c>
    </row>
    <row r="29" ht="30" customHeight="1" spans="1:13">
      <c r="A29" s="522">
        <v>27</v>
      </c>
      <c r="B29" s="523" t="s">
        <v>43</v>
      </c>
      <c r="C29" s="524" t="s">
        <v>44</v>
      </c>
      <c r="D29" s="525"/>
      <c r="E29" s="526"/>
      <c r="F29" s="527">
        <v>11120134.41</v>
      </c>
      <c r="G29" s="528"/>
      <c r="H29" s="529">
        <f>F29-G29+H28</f>
        <v>49806838.65194</v>
      </c>
      <c r="I29" s="517"/>
      <c r="J29" s="530">
        <v>77.4477669944451</v>
      </c>
      <c r="K29" s="531">
        <f>F29/J29</f>
        <v>143582.376116765</v>
      </c>
      <c r="L29" s="532"/>
      <c r="M29" s="533">
        <f>K29-L29+M28</f>
        <v>738017.334579346</v>
      </c>
    </row>
    <row r="30" ht="30" customHeight="1" spans="1:13">
      <c r="A30" s="522">
        <v>28</v>
      </c>
      <c r="B30" s="523"/>
      <c r="C30" s="524" t="s">
        <v>94</v>
      </c>
      <c r="D30" s="525">
        <v>14983.95</v>
      </c>
      <c r="E30" s="526">
        <v>6537.41</v>
      </c>
      <c r="F30" s="527"/>
      <c r="G30" s="528">
        <f>D30*E30</f>
        <v>97956224.5695</v>
      </c>
      <c r="H30" s="529">
        <f>F30-G30+H29</f>
        <v>-48149385.91756</v>
      </c>
      <c r="I30" s="517"/>
      <c r="J30" s="530">
        <v>80</v>
      </c>
      <c r="K30" s="531"/>
      <c r="L30" s="532">
        <f>D30*J30</f>
        <v>1198716</v>
      </c>
      <c r="M30" s="533">
        <f>K30-L30+M29</f>
        <v>-460698.665420654</v>
      </c>
    </row>
    <row r="31" ht="30" customHeight="1" spans="1:13">
      <c r="A31" s="522">
        <v>29</v>
      </c>
      <c r="B31" s="523" t="s">
        <v>24</v>
      </c>
      <c r="C31" s="524" t="s">
        <v>95</v>
      </c>
      <c r="D31" s="538"/>
      <c r="E31" s="526"/>
      <c r="F31" s="527">
        <v>32500168.23</v>
      </c>
      <c r="G31" s="528"/>
      <c r="H31" s="529">
        <f>F31-G31+H30</f>
        <v>-15649217.68756</v>
      </c>
      <c r="I31" s="517"/>
      <c r="J31" s="530">
        <v>78.4001168554573</v>
      </c>
      <c r="K31" s="531">
        <f>F31/J31</f>
        <v>414542.344240622</v>
      </c>
      <c r="L31" s="532"/>
      <c r="M31" s="533">
        <f>K31-L31+M30</f>
        <v>-46156.3211800323</v>
      </c>
    </row>
    <row r="32" ht="30" customHeight="1" spans="1:13">
      <c r="A32" s="522">
        <v>30</v>
      </c>
      <c r="B32" s="523" t="s">
        <v>96</v>
      </c>
      <c r="C32" s="524" t="s">
        <v>46</v>
      </c>
      <c r="D32" s="538"/>
      <c r="E32" s="526"/>
      <c r="F32" s="527">
        <v>15870128.36</v>
      </c>
      <c r="G32" s="528"/>
      <c r="H32" s="529">
        <f>F32-G32+H31</f>
        <v>220910.672440048</v>
      </c>
      <c r="I32" s="517"/>
      <c r="J32" s="530">
        <v>77.4477669944451</v>
      </c>
      <c r="K32" s="531">
        <f>F32/J32</f>
        <v>204913.956539745</v>
      </c>
      <c r="L32" s="532"/>
      <c r="M32" s="533">
        <f>K32-L32+M31</f>
        <v>158757.635359712</v>
      </c>
    </row>
    <row r="33" ht="30" customHeight="1" spans="1:16">
      <c r="A33" s="522">
        <v>31</v>
      </c>
      <c r="B33" s="523"/>
      <c r="C33" s="524" t="s">
        <v>97</v>
      </c>
      <c r="D33" s="525">
        <v>11117.65</v>
      </c>
      <c r="E33" s="526">
        <v>6537.41</v>
      </c>
      <c r="F33" s="527"/>
      <c r="G33" s="528">
        <f>D33*E33</f>
        <v>72680636.2865</v>
      </c>
      <c r="H33" s="529">
        <f>F33-G33+H32</f>
        <v>-72459725.6140599</v>
      </c>
      <c r="I33" s="517"/>
      <c r="J33" s="530">
        <v>82.5</v>
      </c>
      <c r="K33" s="531"/>
      <c r="L33" s="532">
        <f>D33*J33</f>
        <v>917206.125</v>
      </c>
      <c r="M33" s="533">
        <f>K33-L33+M32</f>
        <v>-758448.489640288</v>
      </c>
    </row>
    <row r="34" ht="30" customHeight="1" spans="1:16">
      <c r="A34" s="522">
        <v>32</v>
      </c>
      <c r="B34" s="523"/>
      <c r="C34" s="524" t="s">
        <v>98</v>
      </c>
      <c r="D34" s="525"/>
      <c r="E34" s="526"/>
      <c r="F34" s="527">
        <v>96000000</v>
      </c>
      <c r="G34" s="528"/>
      <c r="H34" s="529">
        <f>F34-G34+H33</f>
        <v>23540274.3859401</v>
      </c>
      <c r="I34" s="517"/>
      <c r="J34" s="530">
        <v>76.96727061527</v>
      </c>
      <c r="K34" s="531">
        <f>F34/J34</f>
        <v>1247283.41322986</v>
      </c>
      <c r="L34" s="532"/>
      <c r="M34" s="533">
        <f>K34-L34+M33</f>
        <v>488834.923589569</v>
      </c>
    </row>
    <row r="35" ht="30" customHeight="1" spans="1:16">
      <c r="A35" s="522">
        <v>33</v>
      </c>
      <c r="B35" s="523"/>
      <c r="C35" s="524" t="s">
        <v>99</v>
      </c>
      <c r="D35" s="525">
        <v>14966.95</v>
      </c>
      <c r="E35" s="526">
        <v>6383.391</v>
      </c>
      <c r="F35" s="527"/>
      <c r="G35" s="528">
        <f>D35*E35</f>
        <v>95539893.92745</v>
      </c>
      <c r="H35" s="529">
        <f>F35-G35+H34</f>
        <v>-71999619.5415099</v>
      </c>
      <c r="I35" s="517"/>
      <c r="J35" s="530">
        <v>85</v>
      </c>
      <c r="K35" s="531"/>
      <c r="L35" s="532">
        <f>D35*J35</f>
        <v>1272190.75</v>
      </c>
      <c r="M35" s="533">
        <f>K35-L35+M34</f>
        <v>-783355.826410431</v>
      </c>
    </row>
    <row r="36" ht="30" customHeight="1" spans="1:16">
      <c r="A36" s="522">
        <v>34</v>
      </c>
      <c r="B36" s="523"/>
      <c r="C36" s="524" t="s">
        <v>100</v>
      </c>
      <c r="D36" s="525"/>
      <c r="E36" s="526"/>
      <c r="F36" s="527">
        <v>50000000</v>
      </c>
      <c r="G36" s="528"/>
      <c r="H36" s="529">
        <f>F36-G36+H35</f>
        <v>-21999619.5415099</v>
      </c>
      <c r="I36" s="517"/>
      <c r="J36" s="530">
        <v>76.889615039185</v>
      </c>
      <c r="K36" s="531">
        <f>F36/J36</f>
        <v>650282.875971204</v>
      </c>
      <c r="L36" s="532"/>
      <c r="M36" s="533">
        <f>K36-L36+M35</f>
        <v>-133072.950439227</v>
      </c>
    </row>
    <row r="37" ht="30" customHeight="1" spans="1:16">
      <c r="A37" s="522">
        <v>35</v>
      </c>
      <c r="B37" s="523"/>
      <c r="C37" s="524" t="s">
        <v>101</v>
      </c>
      <c r="D37" s="525">
        <v>9982.7</v>
      </c>
      <c r="E37" s="526">
        <v>6714.786</v>
      </c>
      <c r="F37" s="527"/>
      <c r="G37" s="528">
        <f>D37*E37</f>
        <v>67031694.2022</v>
      </c>
      <c r="H37" s="529">
        <f>F37-G37+H36</f>
        <v>-89031313.7437099</v>
      </c>
      <c r="I37" s="517"/>
      <c r="J37" s="530">
        <v>84</v>
      </c>
      <c r="K37" s="531"/>
      <c r="L37" s="532">
        <f>D37*J37</f>
        <v>838546.8</v>
      </c>
      <c r="M37" s="533">
        <f>K37-L37+M36</f>
        <v>-971619.750439227</v>
      </c>
    </row>
    <row r="38" ht="30" customHeight="1" spans="1:16">
      <c r="A38" s="522">
        <v>36</v>
      </c>
      <c r="B38" s="523"/>
      <c r="C38" s="524"/>
      <c r="D38" s="525"/>
      <c r="E38" s="526"/>
      <c r="F38" s="527"/>
      <c r="G38" s="539"/>
      <c r="H38" s="529">
        <f>F38-G38+H37</f>
        <v>-89031313.7437099</v>
      </c>
      <c r="I38" s="517"/>
      <c r="J38" s="530"/>
      <c r="K38" s="531"/>
      <c r="L38" s="532"/>
      <c r="M38" s="533">
        <f>K38-L38+M37</f>
        <v>-971619.750439227</v>
      </c>
      <c r="P38" s="540">
        <f>H38/M38</f>
        <v>91.6318484710328</v>
      </c>
    </row>
    <row r="39" ht="30" customHeight="1" spans="1:16">
      <c r="A39" s="522">
        <v>37</v>
      </c>
      <c r="B39" s="523"/>
      <c r="C39" s="524"/>
      <c r="D39" s="525"/>
      <c r="E39" s="526"/>
      <c r="F39" s="527"/>
      <c r="G39" s="539"/>
      <c r="H39" s="529">
        <f>F39-G39+H38</f>
        <v>-89031313.7437099</v>
      </c>
      <c r="I39" s="517"/>
      <c r="J39" s="530"/>
      <c r="K39" s="531"/>
      <c r="L39" s="532"/>
      <c r="M39" s="533">
        <f>K39-L39+M38</f>
        <v>-971619.750439227</v>
      </c>
    </row>
    <row r="40" ht="30" customHeight="1" spans="1:16">
      <c r="A40" s="522">
        <v>38</v>
      </c>
      <c r="B40" s="523"/>
      <c r="C40" s="524"/>
      <c r="D40" s="525"/>
      <c r="E40" s="526"/>
      <c r="F40" s="527"/>
      <c r="G40" s="539"/>
      <c r="H40" s="529">
        <f>F40-G40+H39</f>
        <v>-89031313.7437099</v>
      </c>
      <c r="I40" s="517"/>
      <c r="J40" s="530"/>
      <c r="K40" s="531"/>
      <c r="L40" s="532"/>
      <c r="M40" s="533">
        <f>K40-L40+M39</f>
        <v>-971619.750439227</v>
      </c>
    </row>
    <row r="41" ht="30" customHeight="1" spans="1:16">
      <c r="A41" s="522">
        <v>39</v>
      </c>
      <c r="B41" s="523"/>
      <c r="C41" s="524"/>
      <c r="D41" s="525"/>
      <c r="E41" s="526"/>
      <c r="F41" s="527"/>
      <c r="G41" s="539"/>
      <c r="H41" s="529">
        <f>F41-G41+H40</f>
        <v>-89031313.7437099</v>
      </c>
      <c r="I41" s="517"/>
      <c r="J41" s="530"/>
      <c r="K41" s="531"/>
      <c r="L41" s="532"/>
      <c r="M41" s="533">
        <f>K41-L41+M40</f>
        <v>-971619.750439227</v>
      </c>
    </row>
    <row r="42" ht="30" customHeight="1" spans="1:16">
      <c r="A42" s="541"/>
      <c r="B42" s="542"/>
      <c r="C42" s="543"/>
      <c r="D42" s="544"/>
      <c r="E42" s="545"/>
      <c r="F42" s="546"/>
      <c r="G42" s="547"/>
      <c r="H42" s="548"/>
      <c r="I42" s="549"/>
      <c r="J42" s="550"/>
      <c r="K42" s="551"/>
      <c r="L42" s="551"/>
      <c r="M42" s="552"/>
    </row>
  </sheetData>
  <mergeCells count="1">
    <mergeCell ref="A1:M1"/>
  </mergeCells>
  <pageMargins left="0" right="0" top="0" bottom="0" header="0.3" footer="0.3"/>
  <pageSetup paperSize="1" scale="70" orientation="landscape" horizontalDpi="360" verticalDpi="36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2"/>
  <sheetViews>
    <sheetView topLeftCell="A221" workbookViewId="0">
      <selection activeCell="W250" sqref="W250"/>
    </sheetView>
  </sheetViews>
  <sheetFormatPr defaultColWidth="9.14285714285714" defaultRowHeight="15"/>
  <cols>
    <col min="1" max="1" width="9.14285714285714" style="1"/>
    <col min="2" max="2" width="11.7142857142857" style="1" customWidth="1"/>
    <col min="3" max="3" width="10.7142857142857" style="1" customWidth="1"/>
    <col min="4" max="4" width="9.14285714285714" style="1"/>
    <col min="5" max="5" width="12.7142857142857" style="1" customWidth="1"/>
    <col min="6" max="6" width="11.1428571428571" style="1" customWidth="1"/>
    <col min="7" max="7" width="13.8571428571429" style="1" customWidth="1"/>
    <col min="8" max="8" width="10.7142857142857" style="1" customWidth="1"/>
    <col min="9" max="9" width="18.5714285714286" style="1" customWidth="1"/>
    <col min="10" max="10" width="15.1428571428571" style="1" customWidth="1"/>
    <col min="11" max="11" width="11.5714285714286" style="1" customWidth="1"/>
    <col min="12" max="12" width="0.714285714285714" style="1" customWidth="1"/>
    <col min="13" max="16" width="2.85714285714286" style="1" customWidth="1"/>
    <col min="17" max="16384" width="9.14285714285714" style="1"/>
  </cols>
  <sheetData>
    <row r="1" spans="1:21">
      <c r="A1" s="2" t="s">
        <v>102</v>
      </c>
      <c r="L1" s="3"/>
      <c r="M1" s="3"/>
      <c r="N1" s="3"/>
      <c r="O1" s="3"/>
      <c r="P1" s="3"/>
      <c r="T1" s="4" t="s">
        <v>103</v>
      </c>
      <c r="U1" s="4"/>
    </row>
    <row r="2" spans="1:21">
      <c r="A2" s="2" t="s">
        <v>104</v>
      </c>
      <c r="L2" s="5"/>
      <c r="M2" s="5"/>
      <c r="N2" s="5"/>
      <c r="O2" s="5"/>
      <c r="P2" s="5"/>
      <c r="T2" s="4"/>
      <c r="U2" s="4"/>
    </row>
    <row r="3" ht="15.75" spans="1:21">
      <c r="F3" s="6" t="s">
        <v>105</v>
      </c>
      <c r="H3" s="7"/>
      <c r="I3" s="7"/>
      <c r="L3" s="8"/>
      <c r="M3" s="9"/>
      <c r="N3" s="9"/>
      <c r="O3" s="10"/>
      <c r="P3" s="10"/>
    </row>
    <row r="4" ht="57.75" spans="1:21">
      <c r="A4" s="12" t="s">
        <v>106</v>
      </c>
      <c r="B4" s="13" t="s">
        <v>3</v>
      </c>
      <c r="C4" s="14" t="s">
        <v>107</v>
      </c>
      <c r="D4" s="13" t="s">
        <v>108</v>
      </c>
      <c r="E4" s="13" t="s">
        <v>109</v>
      </c>
      <c r="F4" s="15" t="s">
        <v>110</v>
      </c>
      <c r="G4" s="15" t="s">
        <v>90</v>
      </c>
      <c r="H4" s="16" t="s">
        <v>111</v>
      </c>
      <c r="I4" s="16" t="s">
        <v>90</v>
      </c>
      <c r="J4" s="13" t="s">
        <v>112</v>
      </c>
      <c r="K4" s="205" t="s">
        <v>113</v>
      </c>
      <c r="L4" s="206"/>
      <c r="M4" s="263" t="s">
        <v>114</v>
      </c>
      <c r="N4" s="264"/>
      <c r="O4" s="264"/>
      <c r="P4" s="265"/>
      <c r="Q4" s="266" t="s">
        <v>115</v>
      </c>
      <c r="R4" s="267" t="s">
        <v>116</v>
      </c>
      <c r="S4" s="267" t="s">
        <v>117</v>
      </c>
      <c r="T4" s="267" t="s">
        <v>118</v>
      </c>
      <c r="U4" s="268" t="s">
        <v>119</v>
      </c>
    </row>
    <row r="5" ht="17.25" customHeight="1" spans="1:21">
      <c r="A5" s="37">
        <v>1</v>
      </c>
      <c r="B5" s="115">
        <v>46019</v>
      </c>
      <c r="C5" s="232">
        <v>9109855</v>
      </c>
      <c r="D5" s="177">
        <v>50035534</v>
      </c>
      <c r="E5" s="178">
        <v>60.85</v>
      </c>
      <c r="F5" s="288">
        <f>[1]Platts2025!AD34-121.31</f>
        <v>530.570952380952</v>
      </c>
      <c r="G5" s="329">
        <f>E5*F5</f>
        <v>32285.2424523809</v>
      </c>
      <c r="H5" s="436">
        <v>48581.26</v>
      </c>
      <c r="I5" s="233">
        <f>E5*H5</f>
        <v>2956169.671</v>
      </c>
      <c r="J5" s="437" t="s">
        <v>120</v>
      </c>
      <c r="K5" s="366" t="s">
        <v>121</v>
      </c>
      <c r="L5" s="97"/>
      <c r="M5" s="37"/>
      <c r="N5" s="38"/>
      <c r="O5" s="38"/>
      <c r="P5" s="38"/>
      <c r="Q5" s="38"/>
      <c r="R5" s="115">
        <v>46026</v>
      </c>
      <c r="S5" s="38">
        <v>61.011</v>
      </c>
      <c r="T5" s="101">
        <f>S5-E5</f>
        <v>0.161000000000001</v>
      </c>
      <c r="U5" s="39"/>
    </row>
    <row r="6" ht="17.25" customHeight="1" spans="1:21">
      <c r="A6" s="44">
        <f>A5+1</f>
        <v>2</v>
      </c>
      <c r="B6" s="27">
        <v>46019</v>
      </c>
      <c r="C6" s="207">
        <v>9109855</v>
      </c>
      <c r="D6" s="28">
        <v>50393693</v>
      </c>
      <c r="E6" s="29">
        <v>61.05</v>
      </c>
      <c r="F6" s="41">
        <v>530.57</v>
      </c>
      <c r="G6" s="42">
        <f>E6*F6</f>
        <v>32391.2985</v>
      </c>
      <c r="H6" s="208">
        <v>48581.26</v>
      </c>
      <c r="I6" s="209">
        <f>E6*H6</f>
        <v>2965885.923</v>
      </c>
      <c r="J6" s="437" t="s">
        <v>120</v>
      </c>
      <c r="K6" s="366" t="s">
        <v>121</v>
      </c>
      <c r="L6" s="99"/>
      <c r="M6" s="44"/>
      <c r="N6" s="41"/>
      <c r="O6" s="41"/>
      <c r="P6" s="41"/>
      <c r="Q6" s="41"/>
      <c r="R6" s="72">
        <v>46026</v>
      </c>
      <c r="S6" s="41">
        <v>60.818</v>
      </c>
      <c r="T6" s="101">
        <f>S6-E6</f>
        <v>-0.231999999999999</v>
      </c>
      <c r="U6" s="45"/>
    </row>
    <row r="7" ht="17.25" customHeight="1" spans="1:21">
      <c r="A7" s="44">
        <f>A6+1</f>
        <v>3</v>
      </c>
      <c r="B7" s="27">
        <v>46019</v>
      </c>
      <c r="C7" s="207">
        <v>9109858</v>
      </c>
      <c r="D7" s="28">
        <v>50424894</v>
      </c>
      <c r="E7" s="29">
        <v>61.4</v>
      </c>
      <c r="F7" s="41">
        <v>530.57</v>
      </c>
      <c r="G7" s="42">
        <f>E7*F7</f>
        <v>32576.998</v>
      </c>
      <c r="H7" s="208">
        <v>48581.26</v>
      </c>
      <c r="I7" s="209">
        <f>E7*H7</f>
        <v>2982889.364</v>
      </c>
      <c r="J7" s="437" t="s">
        <v>120</v>
      </c>
      <c r="K7" s="366" t="s">
        <v>121</v>
      </c>
      <c r="L7" s="99"/>
      <c r="M7" s="44"/>
      <c r="N7" s="41"/>
      <c r="O7" s="41"/>
      <c r="P7" s="41"/>
      <c r="Q7" s="41"/>
      <c r="R7" s="72">
        <v>46026</v>
      </c>
      <c r="S7" s="41">
        <v>61.705</v>
      </c>
      <c r="T7" s="101">
        <f>S7-E7</f>
        <v>0.305</v>
      </c>
      <c r="U7" s="45"/>
    </row>
    <row r="8" ht="17.25" customHeight="1" spans="1:21">
      <c r="A8" s="44">
        <f>A7+1</f>
        <v>4</v>
      </c>
      <c r="B8" s="27">
        <v>46019</v>
      </c>
      <c r="C8" s="207">
        <v>9109855</v>
      </c>
      <c r="D8" s="28">
        <v>50428069</v>
      </c>
      <c r="E8" s="29">
        <v>61.05</v>
      </c>
      <c r="F8" s="41">
        <v>530.57</v>
      </c>
      <c r="G8" s="42">
        <f>E8*F8</f>
        <v>32391.2985</v>
      </c>
      <c r="H8" s="208">
        <v>48581.26</v>
      </c>
      <c r="I8" s="209">
        <f>E8*H8</f>
        <v>2965885.923</v>
      </c>
      <c r="J8" s="437" t="s">
        <v>120</v>
      </c>
      <c r="K8" s="366" t="s">
        <v>121</v>
      </c>
      <c r="L8" s="99"/>
      <c r="M8" s="44"/>
      <c r="N8" s="41"/>
      <c r="O8" s="41"/>
      <c r="P8" s="41"/>
      <c r="Q8" s="41"/>
      <c r="R8" s="72">
        <v>46026</v>
      </c>
      <c r="S8" s="41">
        <v>61.12</v>
      </c>
      <c r="T8" s="101">
        <f>S8-E8</f>
        <v>0.0700000000000003</v>
      </c>
      <c r="U8" s="45"/>
    </row>
    <row r="9" ht="17.25" customHeight="1" spans="1:21">
      <c r="A9" s="44">
        <f>A8+1</f>
        <v>5</v>
      </c>
      <c r="B9" s="27">
        <v>46019</v>
      </c>
      <c r="C9" s="207">
        <v>9109859</v>
      </c>
      <c r="D9" s="28">
        <v>50464981</v>
      </c>
      <c r="E9" s="29">
        <v>53</v>
      </c>
      <c r="F9" s="41">
        <v>530.57</v>
      </c>
      <c r="G9" s="42">
        <f>E9*F9</f>
        <v>28120.21</v>
      </c>
      <c r="H9" s="208">
        <v>48581.26</v>
      </c>
      <c r="I9" s="209">
        <f>E9*H9</f>
        <v>2574806.78</v>
      </c>
      <c r="J9" s="437" t="s">
        <v>120</v>
      </c>
      <c r="K9" s="366" t="s">
        <v>121</v>
      </c>
      <c r="L9" s="99"/>
      <c r="M9" s="44"/>
      <c r="N9" s="41"/>
      <c r="O9" s="41"/>
      <c r="P9" s="41"/>
      <c r="Q9" s="41"/>
      <c r="R9" s="41"/>
      <c r="S9" s="41"/>
      <c r="T9" s="41"/>
      <c r="U9" s="45"/>
    </row>
    <row r="10" ht="17.25" customHeight="1" spans="1:21">
      <c r="A10" s="44">
        <f>A9+1</f>
        <v>6</v>
      </c>
      <c r="B10" s="27">
        <v>46019</v>
      </c>
      <c r="C10" s="207">
        <v>9109857</v>
      </c>
      <c r="D10" s="28">
        <v>50480961</v>
      </c>
      <c r="E10" s="29">
        <v>61</v>
      </c>
      <c r="F10" s="41">
        <v>530.57</v>
      </c>
      <c r="G10" s="42">
        <f>E10*F10</f>
        <v>32364.77</v>
      </c>
      <c r="H10" s="208">
        <v>48581.26</v>
      </c>
      <c r="I10" s="209">
        <f>E10*H10</f>
        <v>2963456.86</v>
      </c>
      <c r="J10" s="437" t="s">
        <v>120</v>
      </c>
      <c r="K10" s="366" t="s">
        <v>121</v>
      </c>
      <c r="L10" s="99"/>
      <c r="M10" s="44"/>
      <c r="N10" s="41"/>
      <c r="O10" s="41"/>
      <c r="P10" s="41"/>
      <c r="Q10" s="41"/>
      <c r="R10" s="72">
        <v>46026</v>
      </c>
      <c r="S10" s="41">
        <v>61.539</v>
      </c>
      <c r="T10" s="101">
        <f>S10-E10</f>
        <v>0.539000000000001</v>
      </c>
      <c r="U10" s="45"/>
    </row>
    <row r="11" ht="17.25" customHeight="1" spans="1:21">
      <c r="A11" s="44">
        <f>A10+1</f>
        <v>7</v>
      </c>
      <c r="B11" s="27">
        <v>46019</v>
      </c>
      <c r="C11" s="207">
        <v>9109855</v>
      </c>
      <c r="D11" s="28">
        <v>50497171</v>
      </c>
      <c r="E11" s="29">
        <v>61</v>
      </c>
      <c r="F11" s="41">
        <v>530.57</v>
      </c>
      <c r="G11" s="42">
        <f>E11*F11</f>
        <v>32364.77</v>
      </c>
      <c r="H11" s="208">
        <v>48581.26</v>
      </c>
      <c r="I11" s="209">
        <f>E11*H11</f>
        <v>2963456.86</v>
      </c>
      <c r="J11" s="437" t="s">
        <v>120</v>
      </c>
      <c r="K11" s="366" t="s">
        <v>121</v>
      </c>
      <c r="L11" s="99"/>
      <c r="M11" s="44"/>
      <c r="N11" s="41"/>
      <c r="O11" s="41"/>
      <c r="P11" s="41"/>
      <c r="Q11" s="41"/>
      <c r="R11" s="72">
        <v>46026</v>
      </c>
      <c r="S11" s="41">
        <v>61.098</v>
      </c>
      <c r="T11" s="101">
        <f>S11-E11</f>
        <v>0.097999999999999</v>
      </c>
      <c r="U11" s="45"/>
    </row>
    <row r="12" ht="17.25" customHeight="1" spans="1:21">
      <c r="A12" s="44">
        <f>A11+1</f>
        <v>8</v>
      </c>
      <c r="B12" s="27">
        <v>46019</v>
      </c>
      <c r="C12" s="207">
        <v>9109858</v>
      </c>
      <c r="D12" s="28">
        <v>50723840</v>
      </c>
      <c r="E12" s="29">
        <v>60.85</v>
      </c>
      <c r="F12" s="41">
        <v>530.57</v>
      </c>
      <c r="G12" s="42">
        <f>E12*F12</f>
        <v>32285.1845</v>
      </c>
      <c r="H12" s="208">
        <v>48581.26</v>
      </c>
      <c r="I12" s="209">
        <f>E12*H12</f>
        <v>2956169.671</v>
      </c>
      <c r="J12" s="437" t="s">
        <v>120</v>
      </c>
      <c r="K12" s="366" t="s">
        <v>121</v>
      </c>
      <c r="L12" s="99"/>
      <c r="M12" s="44"/>
      <c r="N12" s="41"/>
      <c r="O12" s="41"/>
      <c r="P12" s="41"/>
      <c r="Q12" s="41"/>
      <c r="R12" s="41"/>
      <c r="S12" s="41"/>
      <c r="T12" s="41"/>
      <c r="U12" s="45"/>
    </row>
    <row r="13" ht="17.25" customHeight="1" spans="1:21">
      <c r="A13" s="44">
        <f>A12+1</f>
        <v>9</v>
      </c>
      <c r="B13" s="27">
        <v>46019</v>
      </c>
      <c r="C13" s="207">
        <v>9109858</v>
      </c>
      <c r="D13" s="28">
        <v>50723907</v>
      </c>
      <c r="E13" s="29">
        <v>60.8</v>
      </c>
      <c r="F13" s="41">
        <v>530.57</v>
      </c>
      <c r="G13" s="42">
        <f>E13*F13</f>
        <v>32258.656</v>
      </c>
      <c r="H13" s="208">
        <v>48581.26</v>
      </c>
      <c r="I13" s="209">
        <f>E13*H13</f>
        <v>2953740.608</v>
      </c>
      <c r="J13" s="437" t="s">
        <v>120</v>
      </c>
      <c r="K13" s="366" t="s">
        <v>121</v>
      </c>
      <c r="L13" s="99"/>
      <c r="M13" s="44"/>
      <c r="N13" s="41"/>
      <c r="O13" s="41"/>
      <c r="P13" s="41"/>
      <c r="Q13" s="41"/>
      <c r="R13" s="41"/>
      <c r="S13" s="41"/>
      <c r="T13" s="41"/>
      <c r="U13" s="45"/>
    </row>
    <row r="14" ht="17.25" customHeight="1" spans="1:21">
      <c r="A14" s="44">
        <f>A13+1</f>
        <v>10</v>
      </c>
      <c r="B14" s="27">
        <v>46019</v>
      </c>
      <c r="C14" s="207">
        <v>9109858</v>
      </c>
      <c r="D14" s="28">
        <v>50751890</v>
      </c>
      <c r="E14" s="29">
        <v>61.3</v>
      </c>
      <c r="F14" s="41">
        <v>530.57</v>
      </c>
      <c r="G14" s="42">
        <f>E14*F14</f>
        <v>32523.941</v>
      </c>
      <c r="H14" s="208">
        <v>48581.26</v>
      </c>
      <c r="I14" s="209">
        <f>E14*H14</f>
        <v>2978031.238</v>
      </c>
      <c r="J14" s="437" t="s">
        <v>120</v>
      </c>
      <c r="K14" s="366" t="s">
        <v>121</v>
      </c>
      <c r="L14" s="99"/>
      <c r="M14" s="44"/>
      <c r="N14" s="41"/>
      <c r="O14" s="41"/>
      <c r="P14" s="41"/>
      <c r="Q14" s="41"/>
      <c r="R14" s="72">
        <v>46026</v>
      </c>
      <c r="S14" s="41">
        <v>61.467</v>
      </c>
      <c r="T14" s="101">
        <f>S14-E14</f>
        <v>0.167000000000002</v>
      </c>
      <c r="U14" s="45"/>
    </row>
    <row r="15" ht="17.25" customHeight="1" spans="1:21">
      <c r="A15" s="44">
        <f>A14+1</f>
        <v>11</v>
      </c>
      <c r="B15" s="27">
        <v>46019</v>
      </c>
      <c r="C15" s="207">
        <v>9109855</v>
      </c>
      <c r="D15" s="28">
        <v>51378982</v>
      </c>
      <c r="E15" s="29">
        <v>51.95</v>
      </c>
      <c r="F15" s="41">
        <v>530.57</v>
      </c>
      <c r="G15" s="42">
        <f>E15*F15</f>
        <v>27563.1115</v>
      </c>
      <c r="H15" s="208">
        <v>48581.26</v>
      </c>
      <c r="I15" s="209">
        <f>E15*H15</f>
        <v>2523796.457</v>
      </c>
      <c r="J15" s="437" t="s">
        <v>120</v>
      </c>
      <c r="K15" s="366" t="s">
        <v>121</v>
      </c>
      <c r="L15" s="99"/>
      <c r="M15" s="44"/>
      <c r="N15" s="41"/>
      <c r="O15" s="41"/>
      <c r="P15" s="41"/>
      <c r="Q15" s="41"/>
      <c r="R15" s="72">
        <v>46029</v>
      </c>
      <c r="S15" s="41">
        <v>51.753</v>
      </c>
      <c r="T15" s="101">
        <f>S15-E15</f>
        <v>-0.197000000000003</v>
      </c>
      <c r="U15" s="45"/>
    </row>
    <row r="16" ht="17.25" customHeight="1" spans="1:21">
      <c r="A16" s="44">
        <f>A15+1</f>
        <v>12</v>
      </c>
      <c r="B16" s="27">
        <v>46019</v>
      </c>
      <c r="C16" s="207">
        <v>9109858</v>
      </c>
      <c r="D16" s="28">
        <v>51411882</v>
      </c>
      <c r="E16" s="29">
        <v>60.65</v>
      </c>
      <c r="F16" s="41">
        <v>530.57</v>
      </c>
      <c r="G16" s="42">
        <f>E16*F16</f>
        <v>32179.0705</v>
      </c>
      <c r="H16" s="208">
        <v>48581.26</v>
      </c>
      <c r="I16" s="209">
        <f>E16*H16</f>
        <v>2946453.419</v>
      </c>
      <c r="J16" s="437" t="s">
        <v>120</v>
      </c>
      <c r="K16" s="366" t="s">
        <v>121</v>
      </c>
      <c r="L16" s="99"/>
      <c r="M16" s="44"/>
      <c r="N16" s="41"/>
      <c r="O16" s="41"/>
      <c r="P16" s="41"/>
      <c r="Q16" s="41"/>
      <c r="R16" s="41"/>
      <c r="S16" s="41"/>
      <c r="T16" s="41"/>
      <c r="U16" s="45"/>
    </row>
    <row r="17" ht="17.25" customHeight="1" spans="1:21">
      <c r="A17" s="44">
        <f>A16+1</f>
        <v>13</v>
      </c>
      <c r="B17" s="27">
        <v>46019</v>
      </c>
      <c r="C17" s="207">
        <v>9109855</v>
      </c>
      <c r="D17" s="28">
        <v>51435709</v>
      </c>
      <c r="E17" s="29">
        <v>52.55</v>
      </c>
      <c r="F17" s="41">
        <v>530.57</v>
      </c>
      <c r="G17" s="42">
        <f>E17*F17</f>
        <v>27881.4535</v>
      </c>
      <c r="H17" s="208">
        <v>48581.26</v>
      </c>
      <c r="I17" s="209">
        <f>E17*H17</f>
        <v>2552945.213</v>
      </c>
      <c r="J17" s="437" t="s">
        <v>120</v>
      </c>
      <c r="K17" s="366" t="s">
        <v>121</v>
      </c>
      <c r="L17" s="99"/>
      <c r="M17" s="44"/>
      <c r="N17" s="41"/>
      <c r="O17" s="41"/>
      <c r="P17" s="41"/>
      <c r="Q17" s="41"/>
      <c r="R17" s="72">
        <v>46026</v>
      </c>
      <c r="S17" s="41">
        <v>52.638</v>
      </c>
      <c r="T17" s="101">
        <f>S17-E17</f>
        <v>0.088000000000001</v>
      </c>
      <c r="U17" s="45"/>
    </row>
    <row r="18" ht="17.25" customHeight="1" spans="1:21">
      <c r="A18" s="44">
        <f>A17+1</f>
        <v>14</v>
      </c>
      <c r="B18" s="27">
        <v>46019</v>
      </c>
      <c r="C18" s="207">
        <v>9109858</v>
      </c>
      <c r="D18" s="28">
        <v>51458354</v>
      </c>
      <c r="E18" s="29">
        <v>60.55</v>
      </c>
      <c r="F18" s="41">
        <v>530.57</v>
      </c>
      <c r="G18" s="42">
        <f>E18*F18</f>
        <v>32126.0135</v>
      </c>
      <c r="H18" s="208">
        <v>48581.26</v>
      </c>
      <c r="I18" s="209">
        <f>E18*H18</f>
        <v>2941595.293</v>
      </c>
      <c r="J18" s="437" t="s">
        <v>120</v>
      </c>
      <c r="K18" s="366" t="s">
        <v>121</v>
      </c>
      <c r="L18" s="99"/>
      <c r="M18" s="44"/>
      <c r="N18" s="41"/>
      <c r="O18" s="41"/>
      <c r="P18" s="41"/>
      <c r="Q18" s="41"/>
      <c r="R18" s="72">
        <v>46026</v>
      </c>
      <c r="S18" s="41">
        <v>61.061</v>
      </c>
      <c r="T18" s="101">
        <f>S18-E18</f>
        <v>0.511000000000003</v>
      </c>
      <c r="U18" s="45"/>
    </row>
    <row r="19" ht="17.25" customHeight="1" spans="1:21">
      <c r="A19" s="44">
        <f>A18+1</f>
        <v>15</v>
      </c>
      <c r="B19" s="27">
        <v>46019</v>
      </c>
      <c r="C19" s="207">
        <v>9109858</v>
      </c>
      <c r="D19" s="28">
        <v>51664332</v>
      </c>
      <c r="E19" s="29">
        <v>52.25</v>
      </c>
      <c r="F19" s="41">
        <v>530.57</v>
      </c>
      <c r="G19" s="42">
        <f>E19*F19</f>
        <v>27722.2825</v>
      </c>
      <c r="H19" s="208">
        <v>48581.26</v>
      </c>
      <c r="I19" s="209">
        <f>E19*H19</f>
        <v>2538370.835</v>
      </c>
      <c r="J19" s="437" t="s">
        <v>120</v>
      </c>
      <c r="K19" s="366" t="s">
        <v>121</v>
      </c>
      <c r="L19" s="99"/>
      <c r="M19" s="44"/>
      <c r="N19" s="41"/>
      <c r="O19" s="41"/>
      <c r="P19" s="41"/>
      <c r="Q19" s="41"/>
      <c r="R19" s="41"/>
      <c r="S19" s="41"/>
      <c r="T19" s="41"/>
      <c r="U19" s="45"/>
    </row>
    <row r="20" ht="17.25" customHeight="1" spans="1:21">
      <c r="A20" s="44">
        <f>A19+1</f>
        <v>16</v>
      </c>
      <c r="B20" s="27">
        <v>46019</v>
      </c>
      <c r="C20" s="207">
        <v>9109858</v>
      </c>
      <c r="D20" s="28">
        <v>51722726</v>
      </c>
      <c r="E20" s="29">
        <v>51.85</v>
      </c>
      <c r="F20" s="41">
        <v>530.57</v>
      </c>
      <c r="G20" s="42">
        <f>E20*F20</f>
        <v>27510.0545</v>
      </c>
      <c r="H20" s="208">
        <v>48581.26</v>
      </c>
      <c r="I20" s="209">
        <f>E20*H20</f>
        <v>2518938.331</v>
      </c>
      <c r="J20" s="437" t="s">
        <v>120</v>
      </c>
      <c r="K20" s="366" t="s">
        <v>121</v>
      </c>
      <c r="L20" s="99"/>
      <c r="M20" s="44"/>
      <c r="N20" s="41"/>
      <c r="O20" s="41"/>
      <c r="P20" s="41"/>
      <c r="Q20" s="41"/>
      <c r="R20" s="72">
        <v>46026</v>
      </c>
      <c r="S20" s="41">
        <v>51.808</v>
      </c>
      <c r="T20" s="101">
        <f>S20-E20</f>
        <v>-0.0420000000000016</v>
      </c>
      <c r="U20" s="45"/>
    </row>
    <row r="21" ht="17.25" customHeight="1" spans="1:21">
      <c r="A21" s="44">
        <f>A20+1</f>
        <v>17</v>
      </c>
      <c r="B21" s="27">
        <v>46019</v>
      </c>
      <c r="C21" s="207">
        <v>9109859</v>
      </c>
      <c r="D21" s="28">
        <v>51887388</v>
      </c>
      <c r="E21" s="29">
        <v>61.35</v>
      </c>
      <c r="F21" s="41">
        <v>530.57</v>
      </c>
      <c r="G21" s="42">
        <f>E21*F21</f>
        <v>32550.4695</v>
      </c>
      <c r="H21" s="208">
        <v>48581.26</v>
      </c>
      <c r="I21" s="209">
        <f>E21*H21</f>
        <v>2980460.301</v>
      </c>
      <c r="J21" s="437" t="s">
        <v>120</v>
      </c>
      <c r="K21" s="366" t="s">
        <v>121</v>
      </c>
      <c r="L21" s="99"/>
      <c r="M21" s="44"/>
      <c r="N21" s="41"/>
      <c r="O21" s="41"/>
      <c r="P21" s="41"/>
      <c r="Q21" s="41"/>
      <c r="R21" s="41"/>
      <c r="S21" s="41"/>
      <c r="T21" s="41"/>
      <c r="U21" s="45"/>
    </row>
    <row r="22" ht="17.25" customHeight="1" spans="1:21">
      <c r="A22" s="44">
        <f>A21+1</f>
        <v>18</v>
      </c>
      <c r="B22" s="27">
        <v>46019</v>
      </c>
      <c r="C22" s="207">
        <v>9109859</v>
      </c>
      <c r="D22" s="28">
        <v>53888053</v>
      </c>
      <c r="E22" s="29">
        <v>60.85</v>
      </c>
      <c r="F22" s="41">
        <v>530.57</v>
      </c>
      <c r="G22" s="42">
        <f>E22*F22</f>
        <v>32285.1845</v>
      </c>
      <c r="H22" s="208">
        <v>48581.26</v>
      </c>
      <c r="I22" s="209">
        <f>E22*H22</f>
        <v>2956169.671</v>
      </c>
      <c r="J22" s="437" t="s">
        <v>120</v>
      </c>
      <c r="K22" s="366" t="s">
        <v>121</v>
      </c>
      <c r="L22" s="99"/>
      <c r="M22" s="44"/>
      <c r="N22" s="41"/>
      <c r="O22" s="41"/>
      <c r="P22" s="41"/>
      <c r="Q22" s="41"/>
      <c r="R22" s="41"/>
      <c r="S22" s="41"/>
      <c r="T22" s="41"/>
      <c r="U22" s="45"/>
    </row>
    <row r="23" ht="17.25" customHeight="1" spans="1:21">
      <c r="A23" s="44">
        <f>A22+1</f>
        <v>19</v>
      </c>
      <c r="B23" s="27">
        <v>46019</v>
      </c>
      <c r="C23" s="207">
        <v>9109859</v>
      </c>
      <c r="D23" s="28">
        <v>53974952</v>
      </c>
      <c r="E23" s="29">
        <v>51.5</v>
      </c>
      <c r="F23" s="41">
        <v>530.57</v>
      </c>
      <c r="G23" s="42">
        <f>E23*F23</f>
        <v>27324.355</v>
      </c>
      <c r="H23" s="208">
        <v>48581.26</v>
      </c>
      <c r="I23" s="209">
        <f>E23*H23</f>
        <v>2501934.89</v>
      </c>
      <c r="J23" s="437" t="s">
        <v>120</v>
      </c>
      <c r="K23" s="366" t="s">
        <v>121</v>
      </c>
      <c r="L23" s="99"/>
      <c r="M23" s="44"/>
      <c r="N23" s="41"/>
      <c r="O23" s="41"/>
      <c r="P23" s="41"/>
      <c r="Q23" s="41"/>
      <c r="R23" s="41"/>
      <c r="S23" s="41"/>
      <c r="T23" s="41"/>
      <c r="U23" s="45"/>
    </row>
    <row r="24" ht="17.25" customHeight="1" spans="1:21">
      <c r="A24" s="44">
        <f>A23+1</f>
        <v>20</v>
      </c>
      <c r="B24" s="27">
        <v>46019</v>
      </c>
      <c r="C24" s="207">
        <v>9109859</v>
      </c>
      <c r="D24" s="28">
        <v>53985446</v>
      </c>
      <c r="E24" s="29">
        <v>52.5</v>
      </c>
      <c r="F24" s="41">
        <v>530.57</v>
      </c>
      <c r="G24" s="42">
        <f>E24*F24</f>
        <v>27854.925</v>
      </c>
      <c r="H24" s="208">
        <v>48581.26</v>
      </c>
      <c r="I24" s="209">
        <f>E24*H24</f>
        <v>2550516.15</v>
      </c>
      <c r="J24" s="437" t="s">
        <v>120</v>
      </c>
      <c r="K24" s="366" t="s">
        <v>121</v>
      </c>
      <c r="L24" s="99"/>
      <c r="M24" s="44"/>
      <c r="N24" s="41"/>
      <c r="O24" s="41"/>
      <c r="P24" s="41"/>
      <c r="Q24" s="41"/>
      <c r="R24" s="41"/>
      <c r="S24" s="41"/>
      <c r="T24" s="41"/>
      <c r="U24" s="45"/>
    </row>
    <row r="25" ht="17.25" customHeight="1" spans="1:21">
      <c r="A25" s="44">
        <f>A24+1</f>
        <v>21</v>
      </c>
      <c r="B25" s="27">
        <v>46019</v>
      </c>
      <c r="C25" s="207">
        <v>9109855</v>
      </c>
      <c r="D25" s="28">
        <v>54070867</v>
      </c>
      <c r="E25" s="29">
        <v>60.8</v>
      </c>
      <c r="F25" s="41">
        <v>530.57</v>
      </c>
      <c r="G25" s="42">
        <f>E25*F25</f>
        <v>32258.656</v>
      </c>
      <c r="H25" s="208">
        <v>48581.26</v>
      </c>
      <c r="I25" s="209">
        <f>E25*H25</f>
        <v>2953740.608</v>
      </c>
      <c r="J25" s="437" t="s">
        <v>120</v>
      </c>
      <c r="K25" s="366" t="s">
        <v>121</v>
      </c>
      <c r="L25" s="99"/>
      <c r="M25" s="44"/>
      <c r="N25" s="41"/>
      <c r="O25" s="41"/>
      <c r="P25" s="41"/>
      <c r="Q25" s="41"/>
      <c r="R25" s="72">
        <v>46026</v>
      </c>
      <c r="S25" s="41">
        <v>60.916</v>
      </c>
      <c r="T25" s="101">
        <f>S25-E25</f>
        <v>0.116</v>
      </c>
      <c r="U25" s="45"/>
    </row>
    <row r="26" ht="17.25" customHeight="1" spans="1:21">
      <c r="A26" s="44">
        <f>A25+1</f>
        <v>22</v>
      </c>
      <c r="B26" s="27">
        <v>46019</v>
      </c>
      <c r="C26" s="207">
        <v>9109858</v>
      </c>
      <c r="D26" s="28">
        <v>54240213</v>
      </c>
      <c r="E26" s="29">
        <v>61.35</v>
      </c>
      <c r="F26" s="41">
        <v>530.57</v>
      </c>
      <c r="G26" s="42">
        <f>E26*F26</f>
        <v>32550.4695</v>
      </c>
      <c r="H26" s="208">
        <v>48581.26</v>
      </c>
      <c r="I26" s="209">
        <f>E26*H26</f>
        <v>2980460.301</v>
      </c>
      <c r="J26" s="437" t="s">
        <v>120</v>
      </c>
      <c r="K26" s="366" t="s">
        <v>121</v>
      </c>
      <c r="L26" s="99"/>
      <c r="M26" s="44"/>
      <c r="N26" s="41"/>
      <c r="O26" s="41"/>
      <c r="P26" s="41"/>
      <c r="Q26" s="41"/>
      <c r="R26" s="41"/>
      <c r="S26" s="41"/>
      <c r="T26" s="41"/>
      <c r="U26" s="45"/>
    </row>
    <row r="27" ht="17.25" customHeight="1" spans="1:21">
      <c r="A27" s="44">
        <f>A26+1</f>
        <v>23</v>
      </c>
      <c r="B27" s="27">
        <v>46019</v>
      </c>
      <c r="C27" s="207">
        <v>9109858</v>
      </c>
      <c r="D27" s="28">
        <v>54253109</v>
      </c>
      <c r="E27" s="29">
        <v>61.25</v>
      </c>
      <c r="F27" s="41">
        <v>530.57</v>
      </c>
      <c r="G27" s="42">
        <f>E27*F27</f>
        <v>32497.4125</v>
      </c>
      <c r="H27" s="208">
        <v>48581.26</v>
      </c>
      <c r="I27" s="209">
        <f>E27*H27</f>
        <v>2975602.175</v>
      </c>
      <c r="J27" s="437" t="s">
        <v>120</v>
      </c>
      <c r="K27" s="366" t="s">
        <v>121</v>
      </c>
      <c r="L27" s="99"/>
      <c r="M27" s="44"/>
      <c r="N27" s="41"/>
      <c r="O27" s="41"/>
      <c r="P27" s="41"/>
      <c r="Q27" s="41"/>
      <c r="R27" s="72">
        <v>46026</v>
      </c>
      <c r="S27" s="41">
        <v>61.539</v>
      </c>
      <c r="T27" s="101">
        <f>S27-E27</f>
        <v>0.289000000000001</v>
      </c>
      <c r="U27" s="45"/>
    </row>
    <row r="28" ht="17.25" customHeight="1" spans="1:21">
      <c r="A28" s="44">
        <f>A27+1</f>
        <v>24</v>
      </c>
      <c r="B28" s="27">
        <v>46019</v>
      </c>
      <c r="C28" s="207">
        <v>9109859</v>
      </c>
      <c r="D28" s="28">
        <v>55945927</v>
      </c>
      <c r="E28" s="29">
        <v>61.3</v>
      </c>
      <c r="F28" s="41">
        <v>530.57</v>
      </c>
      <c r="G28" s="42">
        <f>E28*F28</f>
        <v>32523.941</v>
      </c>
      <c r="H28" s="208">
        <v>48581.26</v>
      </c>
      <c r="I28" s="209">
        <f>E28*H28</f>
        <v>2978031.238</v>
      </c>
      <c r="J28" s="437" t="s">
        <v>120</v>
      </c>
      <c r="K28" s="366" t="s">
        <v>121</v>
      </c>
      <c r="L28" s="99"/>
      <c r="M28" s="44"/>
      <c r="N28" s="41"/>
      <c r="O28" s="41"/>
      <c r="P28" s="41"/>
      <c r="Q28" s="41"/>
      <c r="R28" s="41"/>
      <c r="S28" s="41"/>
      <c r="T28" s="41"/>
      <c r="U28" s="45"/>
    </row>
    <row r="29" ht="17.25" customHeight="1" spans="1:21">
      <c r="A29" s="44">
        <f>A28+1</f>
        <v>25</v>
      </c>
      <c r="B29" s="27">
        <v>46019</v>
      </c>
      <c r="C29" s="207">
        <v>9109859</v>
      </c>
      <c r="D29" s="28">
        <v>57227969</v>
      </c>
      <c r="E29" s="29">
        <v>61.25</v>
      </c>
      <c r="F29" s="41">
        <v>530.57</v>
      </c>
      <c r="G29" s="42">
        <f>E29*F29</f>
        <v>32497.4125</v>
      </c>
      <c r="H29" s="208">
        <v>48581.26</v>
      </c>
      <c r="I29" s="209">
        <f>E29*H29</f>
        <v>2975602.175</v>
      </c>
      <c r="J29" s="437" t="s">
        <v>120</v>
      </c>
      <c r="K29" s="366" t="s">
        <v>121</v>
      </c>
      <c r="L29" s="99"/>
      <c r="M29" s="44"/>
      <c r="N29" s="41"/>
      <c r="O29" s="41"/>
      <c r="P29" s="41"/>
      <c r="Q29" s="41"/>
      <c r="R29" s="41"/>
      <c r="S29" s="41"/>
      <c r="T29" s="41"/>
      <c r="U29" s="45"/>
    </row>
    <row r="30" ht="17.25" customHeight="1" spans="1:21">
      <c r="A30" s="44">
        <f>A29+1</f>
        <v>26</v>
      </c>
      <c r="B30" s="27">
        <v>46019</v>
      </c>
      <c r="C30" s="207">
        <v>9109859</v>
      </c>
      <c r="D30" s="28">
        <v>57353153</v>
      </c>
      <c r="E30" s="29">
        <v>52.85</v>
      </c>
      <c r="F30" s="41">
        <v>530.57</v>
      </c>
      <c r="G30" s="42">
        <f>E30*F30</f>
        <v>28040.6245</v>
      </c>
      <c r="H30" s="208">
        <v>48581.26</v>
      </c>
      <c r="I30" s="209">
        <f>E30*H30</f>
        <v>2567519.591</v>
      </c>
      <c r="J30" s="437" t="s">
        <v>120</v>
      </c>
      <c r="K30" s="366" t="s">
        <v>121</v>
      </c>
      <c r="L30" s="99"/>
      <c r="M30" s="44"/>
      <c r="N30" s="41"/>
      <c r="O30" s="41"/>
      <c r="P30" s="41"/>
      <c r="Q30" s="41"/>
      <c r="R30" s="41"/>
      <c r="S30" s="41"/>
      <c r="T30" s="41"/>
      <c r="U30" s="45"/>
    </row>
    <row r="31" ht="17.25" customHeight="1" spans="1:21">
      <c r="A31" s="44">
        <f>A30+1</f>
        <v>27</v>
      </c>
      <c r="B31" s="27">
        <v>46019</v>
      </c>
      <c r="C31" s="207">
        <v>9109855</v>
      </c>
      <c r="D31" s="28">
        <v>57417883</v>
      </c>
      <c r="E31" s="29">
        <v>60.85</v>
      </c>
      <c r="F31" s="41">
        <v>530.57</v>
      </c>
      <c r="G31" s="42">
        <f>E31*F31</f>
        <v>32285.1845</v>
      </c>
      <c r="H31" s="208">
        <v>48581.26</v>
      </c>
      <c r="I31" s="209">
        <f>E31*H31</f>
        <v>2956169.671</v>
      </c>
      <c r="J31" s="437" t="s">
        <v>120</v>
      </c>
      <c r="K31" s="366" t="s">
        <v>121</v>
      </c>
      <c r="L31" s="99"/>
      <c r="M31" s="44"/>
      <c r="N31" s="41"/>
      <c r="O31" s="41"/>
      <c r="P31" s="41"/>
      <c r="Q31" s="41"/>
      <c r="R31" s="72">
        <v>46026</v>
      </c>
      <c r="S31" s="41">
        <v>60.783</v>
      </c>
      <c r="T31" s="101">
        <f>S31-E31</f>
        <v>-0.0670000000000002</v>
      </c>
      <c r="U31" s="45"/>
    </row>
    <row r="32" ht="17.25" customHeight="1" spans="1:21">
      <c r="A32" s="44">
        <f>A31+1</f>
        <v>28</v>
      </c>
      <c r="B32" s="27">
        <v>46019</v>
      </c>
      <c r="C32" s="207">
        <v>9109859</v>
      </c>
      <c r="D32" s="28">
        <v>57424491</v>
      </c>
      <c r="E32" s="29">
        <v>60.75</v>
      </c>
      <c r="F32" s="41">
        <v>530.57</v>
      </c>
      <c r="G32" s="42">
        <f>E32*F32</f>
        <v>32232.1275</v>
      </c>
      <c r="H32" s="208">
        <v>48581.26</v>
      </c>
      <c r="I32" s="209">
        <f>E32*H32</f>
        <v>2951311.545</v>
      </c>
      <c r="J32" s="437" t="s">
        <v>120</v>
      </c>
      <c r="K32" s="366" t="s">
        <v>121</v>
      </c>
      <c r="L32" s="99"/>
      <c r="M32" s="44"/>
      <c r="N32" s="41"/>
      <c r="O32" s="41"/>
      <c r="P32" s="41"/>
      <c r="Q32" s="41"/>
      <c r="R32" s="41"/>
      <c r="S32" s="41"/>
      <c r="T32" s="41"/>
      <c r="U32" s="45"/>
    </row>
    <row r="33" ht="17.25" customHeight="1" spans="1:21">
      <c r="A33" s="44">
        <f>A32+1</f>
        <v>29</v>
      </c>
      <c r="B33" s="27">
        <v>46019</v>
      </c>
      <c r="C33" s="207">
        <v>9109857</v>
      </c>
      <c r="D33" s="28">
        <v>58345307</v>
      </c>
      <c r="E33" s="29">
        <v>60.85</v>
      </c>
      <c r="F33" s="41">
        <v>530.57</v>
      </c>
      <c r="G33" s="42">
        <f>E33*F33</f>
        <v>32285.1845</v>
      </c>
      <c r="H33" s="208">
        <v>48581.26</v>
      </c>
      <c r="I33" s="209">
        <f>E33*H33</f>
        <v>2956169.671</v>
      </c>
      <c r="J33" s="437" t="s">
        <v>120</v>
      </c>
      <c r="K33" s="366" t="s">
        <v>121</v>
      </c>
      <c r="L33" s="99"/>
      <c r="M33" s="44"/>
      <c r="N33" s="41"/>
      <c r="O33" s="41"/>
      <c r="P33" s="41"/>
      <c r="Q33" s="41"/>
      <c r="R33" s="72">
        <v>46026</v>
      </c>
      <c r="S33" s="41">
        <v>60.567</v>
      </c>
      <c r="T33" s="101">
        <f>S33-E33</f>
        <v>-0.283000000000001</v>
      </c>
      <c r="U33" s="45"/>
    </row>
    <row r="34" ht="17.25" customHeight="1" spans="1:21">
      <c r="A34" s="44">
        <f>A33+1</f>
        <v>30</v>
      </c>
      <c r="B34" s="27">
        <v>46019</v>
      </c>
      <c r="C34" s="207">
        <v>9109855</v>
      </c>
      <c r="D34" s="28">
        <v>73019945</v>
      </c>
      <c r="E34" s="29">
        <v>61.35</v>
      </c>
      <c r="F34" s="41">
        <v>530.57</v>
      </c>
      <c r="G34" s="42">
        <f>E34*F34</f>
        <v>32550.4695</v>
      </c>
      <c r="H34" s="208">
        <v>48581.26</v>
      </c>
      <c r="I34" s="209">
        <f>E34*H34</f>
        <v>2980460.301</v>
      </c>
      <c r="J34" s="437" t="s">
        <v>120</v>
      </c>
      <c r="K34" s="366" t="s">
        <v>121</v>
      </c>
      <c r="L34" s="99"/>
      <c r="M34" s="44"/>
      <c r="N34" s="41"/>
      <c r="O34" s="41"/>
      <c r="P34" s="41"/>
      <c r="Q34" s="41"/>
      <c r="R34" s="72">
        <v>46026</v>
      </c>
      <c r="S34" s="41">
        <v>59.937</v>
      </c>
      <c r="T34" s="101">
        <f>S34-E34</f>
        <v>-1.413</v>
      </c>
      <c r="U34" s="45"/>
    </row>
    <row r="35" ht="17.25" customHeight="1" spans="1:21">
      <c r="A35" s="44">
        <f>A34+1</f>
        <v>31</v>
      </c>
      <c r="B35" s="27">
        <v>46019</v>
      </c>
      <c r="C35" s="207">
        <v>9109855</v>
      </c>
      <c r="D35" s="28">
        <v>73022477</v>
      </c>
      <c r="E35" s="29">
        <v>61.4</v>
      </c>
      <c r="F35" s="41">
        <v>530.57</v>
      </c>
      <c r="G35" s="42">
        <f>E35*F35</f>
        <v>32576.998</v>
      </c>
      <c r="H35" s="208">
        <v>48581.26</v>
      </c>
      <c r="I35" s="209">
        <f>E35*H35</f>
        <v>2982889.364</v>
      </c>
      <c r="J35" s="437" t="s">
        <v>120</v>
      </c>
      <c r="K35" s="366" t="s">
        <v>121</v>
      </c>
      <c r="L35" s="99"/>
      <c r="M35" s="44"/>
      <c r="N35" s="41"/>
      <c r="O35" s="41"/>
      <c r="P35" s="41"/>
      <c r="Q35" s="41"/>
      <c r="R35" s="72">
        <v>46029</v>
      </c>
      <c r="S35" s="41">
        <v>61.149</v>
      </c>
      <c r="T35" s="101">
        <f>S35-E35</f>
        <v>-0.250999999999998</v>
      </c>
      <c r="U35" s="45"/>
    </row>
    <row r="36" ht="17.25" customHeight="1" spans="1:21">
      <c r="A36" s="44">
        <f>A35+1</f>
        <v>32</v>
      </c>
      <c r="B36" s="27">
        <v>46019</v>
      </c>
      <c r="C36" s="207">
        <v>9109857</v>
      </c>
      <c r="D36" s="28">
        <v>73072340</v>
      </c>
      <c r="E36" s="29">
        <v>61.35</v>
      </c>
      <c r="F36" s="41">
        <v>530.57</v>
      </c>
      <c r="G36" s="42">
        <f>E36*F36</f>
        <v>32550.4695</v>
      </c>
      <c r="H36" s="208">
        <v>48581.26</v>
      </c>
      <c r="I36" s="209">
        <f>E36*H36</f>
        <v>2980460.301</v>
      </c>
      <c r="J36" s="437" t="s">
        <v>120</v>
      </c>
      <c r="K36" s="366" t="s">
        <v>121</v>
      </c>
      <c r="L36" s="99"/>
      <c r="M36" s="44"/>
      <c r="N36" s="41"/>
      <c r="O36" s="41"/>
      <c r="P36" s="41"/>
      <c r="Q36" s="41"/>
      <c r="R36" s="72">
        <v>46026</v>
      </c>
      <c r="S36" s="41">
        <v>61.212</v>
      </c>
      <c r="T36" s="101">
        <f>S36-E36</f>
        <v>-0.137999999999998</v>
      </c>
      <c r="U36" s="45"/>
    </row>
    <row r="37" ht="17.25" customHeight="1" spans="1:21">
      <c r="A37" s="44">
        <f>A36+1</f>
        <v>33</v>
      </c>
      <c r="B37" s="27">
        <v>46019</v>
      </c>
      <c r="C37" s="207">
        <v>9109857</v>
      </c>
      <c r="D37" s="28">
        <v>73081275</v>
      </c>
      <c r="E37" s="29">
        <v>61.55</v>
      </c>
      <c r="F37" s="41">
        <v>530.57</v>
      </c>
      <c r="G37" s="42">
        <f>E37*F37</f>
        <v>32656.5835</v>
      </c>
      <c r="H37" s="208">
        <v>48581.26</v>
      </c>
      <c r="I37" s="209">
        <f>E37*H37</f>
        <v>2990176.553</v>
      </c>
      <c r="J37" s="437" t="s">
        <v>120</v>
      </c>
      <c r="K37" s="366" t="s">
        <v>121</v>
      </c>
      <c r="L37" s="99"/>
      <c r="M37" s="44"/>
      <c r="N37" s="41"/>
      <c r="O37" s="41"/>
      <c r="P37" s="41"/>
      <c r="Q37" s="41"/>
      <c r="R37" s="72">
        <v>46026</v>
      </c>
      <c r="S37" s="41">
        <v>61.403</v>
      </c>
      <c r="T37" s="101">
        <f>S37-E37</f>
        <v>-0.146999999999998</v>
      </c>
      <c r="U37" s="45"/>
    </row>
    <row r="38" ht="17.25" customHeight="1" spans="1:21">
      <c r="A38" s="44">
        <f>A37+1</f>
        <v>34</v>
      </c>
      <c r="B38" s="27">
        <v>46019</v>
      </c>
      <c r="C38" s="207">
        <v>9109858</v>
      </c>
      <c r="D38" s="28">
        <v>73098600</v>
      </c>
      <c r="E38" s="29">
        <v>61.35</v>
      </c>
      <c r="F38" s="41">
        <v>530.57</v>
      </c>
      <c r="G38" s="42">
        <f>E38*F38</f>
        <v>32550.4695</v>
      </c>
      <c r="H38" s="208">
        <v>48581.26</v>
      </c>
      <c r="I38" s="209">
        <f>E38*H38</f>
        <v>2980460.301</v>
      </c>
      <c r="J38" s="437" t="s">
        <v>120</v>
      </c>
      <c r="K38" s="366" t="s">
        <v>121</v>
      </c>
      <c r="L38" s="99"/>
      <c r="M38" s="44"/>
      <c r="N38" s="41"/>
      <c r="O38" s="41"/>
      <c r="P38" s="41"/>
      <c r="Q38" s="41"/>
      <c r="R38" s="41"/>
      <c r="S38" s="41"/>
      <c r="T38" s="41"/>
      <c r="U38" s="45"/>
    </row>
    <row r="39" ht="17.25" customHeight="1" spans="1:21">
      <c r="A39" s="44">
        <f>A38+1</f>
        <v>35</v>
      </c>
      <c r="B39" s="27">
        <v>46019</v>
      </c>
      <c r="C39" s="207">
        <v>9109857</v>
      </c>
      <c r="D39" s="28">
        <v>73109662</v>
      </c>
      <c r="E39" s="29">
        <v>61.45</v>
      </c>
      <c r="F39" s="41">
        <v>530.57</v>
      </c>
      <c r="G39" s="42">
        <f>E39*F39</f>
        <v>32603.5265</v>
      </c>
      <c r="H39" s="208">
        <v>48581.26</v>
      </c>
      <c r="I39" s="209">
        <f>E39*H39</f>
        <v>2985318.427</v>
      </c>
      <c r="J39" s="437" t="s">
        <v>120</v>
      </c>
      <c r="K39" s="366" t="s">
        <v>121</v>
      </c>
      <c r="L39" s="99"/>
      <c r="M39" s="44"/>
      <c r="N39" s="41"/>
      <c r="O39" s="41"/>
      <c r="P39" s="41"/>
      <c r="Q39" s="41"/>
      <c r="R39" s="72">
        <v>46026</v>
      </c>
      <c r="S39" s="41">
        <v>61.351</v>
      </c>
      <c r="T39" s="101">
        <f>S39-E39</f>
        <v>-0.0990000000000038</v>
      </c>
      <c r="U39" s="45"/>
    </row>
    <row r="40" ht="17.25" customHeight="1" spans="1:21">
      <c r="A40" s="44">
        <f>A39+1</f>
        <v>36</v>
      </c>
      <c r="B40" s="27">
        <v>46019</v>
      </c>
      <c r="C40" s="207">
        <v>9109855</v>
      </c>
      <c r="D40" s="28">
        <v>73117988</v>
      </c>
      <c r="E40" s="29">
        <v>61.3</v>
      </c>
      <c r="F40" s="41">
        <v>530.57</v>
      </c>
      <c r="G40" s="42">
        <f>E40*F40</f>
        <v>32523.941</v>
      </c>
      <c r="H40" s="208">
        <v>48581.26</v>
      </c>
      <c r="I40" s="209">
        <f>E40*H40</f>
        <v>2978031.238</v>
      </c>
      <c r="J40" s="437" t="s">
        <v>120</v>
      </c>
      <c r="K40" s="366" t="s">
        <v>121</v>
      </c>
      <c r="L40" s="99"/>
      <c r="M40" s="44"/>
      <c r="N40" s="41"/>
      <c r="O40" s="41"/>
      <c r="P40" s="41"/>
      <c r="Q40" s="41"/>
      <c r="R40" s="72">
        <v>46029</v>
      </c>
      <c r="S40" s="41">
        <v>61.428</v>
      </c>
      <c r="T40" s="101">
        <f>S40-E40</f>
        <v>0.128</v>
      </c>
      <c r="U40" s="45"/>
    </row>
    <row r="41" ht="17.25" customHeight="1" spans="1:21">
      <c r="A41" s="44">
        <f>A40+1</f>
        <v>37</v>
      </c>
      <c r="B41" s="27">
        <v>46019</v>
      </c>
      <c r="C41" s="207">
        <v>9109855</v>
      </c>
      <c r="D41" s="28">
        <v>73118671</v>
      </c>
      <c r="E41" s="29">
        <v>61.45</v>
      </c>
      <c r="F41" s="41">
        <v>530.57</v>
      </c>
      <c r="G41" s="42">
        <f>E41*F41</f>
        <v>32603.5265</v>
      </c>
      <c r="H41" s="208">
        <v>48581.26</v>
      </c>
      <c r="I41" s="209">
        <f>E41*H41</f>
        <v>2985318.427</v>
      </c>
      <c r="J41" s="437" t="s">
        <v>120</v>
      </c>
      <c r="K41" s="366" t="s">
        <v>121</v>
      </c>
      <c r="L41" s="99"/>
      <c r="M41" s="44"/>
      <c r="N41" s="41"/>
      <c r="O41" s="41"/>
      <c r="P41" s="41"/>
      <c r="Q41" s="41"/>
      <c r="R41" s="72">
        <v>46026</v>
      </c>
      <c r="S41" s="41">
        <v>61.473</v>
      </c>
      <c r="T41" s="41">
        <f>S41-E41</f>
        <v>0.0229999999999961</v>
      </c>
      <c r="U41" s="45"/>
    </row>
    <row r="42" ht="17.25" customHeight="1" spans="1:21">
      <c r="A42" s="44">
        <f>A41+1</f>
        <v>38</v>
      </c>
      <c r="B42" s="27">
        <v>46019</v>
      </c>
      <c r="C42" s="207">
        <v>9109857</v>
      </c>
      <c r="D42" s="28">
        <v>73119653</v>
      </c>
      <c r="E42" s="29">
        <v>61.65</v>
      </c>
      <c r="F42" s="41">
        <v>530.57</v>
      </c>
      <c r="G42" s="42">
        <f>E42*F42</f>
        <v>32709.6405</v>
      </c>
      <c r="H42" s="208">
        <v>48581.26</v>
      </c>
      <c r="I42" s="209">
        <f>E42*H42</f>
        <v>2995034.679</v>
      </c>
      <c r="J42" s="437" t="s">
        <v>120</v>
      </c>
      <c r="K42" s="366" t="s">
        <v>121</v>
      </c>
      <c r="L42" s="99"/>
      <c r="M42" s="44"/>
      <c r="N42" s="41"/>
      <c r="O42" s="41"/>
      <c r="P42" s="41"/>
      <c r="Q42" s="41"/>
      <c r="R42" s="72">
        <v>46026</v>
      </c>
      <c r="S42" s="41">
        <v>61.481</v>
      </c>
      <c r="T42" s="101">
        <f>S42-E42</f>
        <v>-0.168999999999997</v>
      </c>
      <c r="U42" s="45"/>
    </row>
    <row r="43" ht="17.25" customHeight="1" spans="1:21">
      <c r="A43" s="44">
        <f>A42+1</f>
        <v>39</v>
      </c>
      <c r="B43" s="27">
        <v>46019</v>
      </c>
      <c r="C43" s="207">
        <v>9109855</v>
      </c>
      <c r="D43" s="28">
        <v>73136004</v>
      </c>
      <c r="E43" s="29">
        <v>61.55</v>
      </c>
      <c r="F43" s="41">
        <v>530.57</v>
      </c>
      <c r="G43" s="42">
        <f>E43*F43</f>
        <v>32656.5835</v>
      </c>
      <c r="H43" s="208">
        <v>48581.26</v>
      </c>
      <c r="I43" s="209">
        <f>E43*H43</f>
        <v>2990176.553</v>
      </c>
      <c r="J43" s="437" t="s">
        <v>120</v>
      </c>
      <c r="K43" s="366" t="s">
        <v>121</v>
      </c>
      <c r="L43" s="99"/>
      <c r="M43" s="44"/>
      <c r="N43" s="41"/>
      <c r="O43" s="41"/>
      <c r="P43" s="41"/>
      <c r="Q43" s="41"/>
      <c r="R43" s="72">
        <v>46029</v>
      </c>
      <c r="S43" s="41">
        <v>61.271</v>
      </c>
      <c r="T43" s="101">
        <f>S43-E43</f>
        <v>-0.278999999999996</v>
      </c>
      <c r="U43" s="45"/>
    </row>
    <row r="44" ht="17.25" customHeight="1" spans="1:21">
      <c r="A44" s="44">
        <f>A43+1</f>
        <v>40</v>
      </c>
      <c r="B44" s="27">
        <v>46019</v>
      </c>
      <c r="C44" s="207">
        <v>9109855</v>
      </c>
      <c r="D44" s="28">
        <v>73221905</v>
      </c>
      <c r="E44" s="29">
        <v>61.55</v>
      </c>
      <c r="F44" s="41">
        <v>530.57</v>
      </c>
      <c r="G44" s="42">
        <f>E44*F44</f>
        <v>32656.5835</v>
      </c>
      <c r="H44" s="208">
        <v>48581.26</v>
      </c>
      <c r="I44" s="209">
        <f>E44*H44</f>
        <v>2990176.553</v>
      </c>
      <c r="J44" s="437" t="s">
        <v>120</v>
      </c>
      <c r="K44" s="366" t="s">
        <v>121</v>
      </c>
      <c r="L44" s="99"/>
      <c r="M44" s="44"/>
      <c r="N44" s="41"/>
      <c r="O44" s="41"/>
      <c r="P44" s="41"/>
      <c r="Q44" s="41"/>
      <c r="R44" s="72">
        <v>46026</v>
      </c>
      <c r="S44" s="41">
        <v>61.473</v>
      </c>
      <c r="T44" s="41">
        <f>S44-E44</f>
        <v>-0.0769999999999982</v>
      </c>
      <c r="U44" s="45"/>
    </row>
    <row r="45" ht="17.25" customHeight="1" spans="1:21">
      <c r="A45" s="44">
        <f>A44+1</f>
        <v>41</v>
      </c>
      <c r="B45" s="27">
        <v>46019</v>
      </c>
      <c r="C45" s="207">
        <v>9109859</v>
      </c>
      <c r="D45" s="28">
        <v>74905373</v>
      </c>
      <c r="E45" s="29">
        <v>61.25</v>
      </c>
      <c r="F45" s="41">
        <v>530.57</v>
      </c>
      <c r="G45" s="42">
        <f>E45*F45</f>
        <v>32497.4125</v>
      </c>
      <c r="H45" s="208">
        <v>48581.26</v>
      </c>
      <c r="I45" s="209">
        <f>E45*H45</f>
        <v>2975602.175</v>
      </c>
      <c r="J45" s="437" t="s">
        <v>120</v>
      </c>
      <c r="K45" s="366" t="s">
        <v>121</v>
      </c>
      <c r="L45" s="99"/>
      <c r="M45" s="44"/>
      <c r="N45" s="41"/>
      <c r="O45" s="41"/>
      <c r="P45" s="41"/>
      <c r="Q45" s="41"/>
      <c r="R45" s="41"/>
      <c r="S45" s="41"/>
      <c r="T45" s="41"/>
      <c r="U45" s="45"/>
    </row>
    <row r="46" ht="17.25" customHeight="1" spans="1:21">
      <c r="A46" s="44">
        <f>A45+1</f>
        <v>42</v>
      </c>
      <c r="B46" s="27">
        <v>46019</v>
      </c>
      <c r="C46" s="207">
        <v>9109858</v>
      </c>
      <c r="D46" s="28">
        <v>75011528</v>
      </c>
      <c r="E46" s="29">
        <v>60.85</v>
      </c>
      <c r="F46" s="41">
        <v>530.57</v>
      </c>
      <c r="G46" s="42">
        <f>E46*F46</f>
        <v>32285.1845</v>
      </c>
      <c r="H46" s="208">
        <v>48581.26</v>
      </c>
      <c r="I46" s="209">
        <f>E46*H46</f>
        <v>2956169.671</v>
      </c>
      <c r="J46" s="437" t="s">
        <v>120</v>
      </c>
      <c r="K46" s="366" t="s">
        <v>121</v>
      </c>
      <c r="L46" s="99"/>
      <c r="M46" s="44"/>
      <c r="N46" s="41"/>
      <c r="O46" s="41"/>
      <c r="P46" s="41"/>
      <c r="Q46" s="41"/>
      <c r="R46" s="41"/>
      <c r="S46" s="41"/>
      <c r="T46" s="41"/>
      <c r="U46" s="45"/>
    </row>
    <row r="47" ht="17.25" customHeight="1" spans="1:21">
      <c r="A47" s="44">
        <f>A46+1</f>
        <v>43</v>
      </c>
      <c r="B47" s="27">
        <v>46019</v>
      </c>
      <c r="C47" s="207">
        <v>9109859</v>
      </c>
      <c r="D47" s="28">
        <v>75062224</v>
      </c>
      <c r="E47" s="29">
        <v>61.2</v>
      </c>
      <c r="F47" s="41">
        <v>530.57</v>
      </c>
      <c r="G47" s="42">
        <f>E47*F47</f>
        <v>32470.884</v>
      </c>
      <c r="H47" s="208">
        <v>48581.26</v>
      </c>
      <c r="I47" s="209">
        <f>E47*H47</f>
        <v>2973173.112</v>
      </c>
      <c r="J47" s="437" t="s">
        <v>120</v>
      </c>
      <c r="K47" s="366" t="s">
        <v>121</v>
      </c>
      <c r="L47" s="99"/>
      <c r="M47" s="44"/>
      <c r="N47" s="41"/>
      <c r="O47" s="41"/>
      <c r="P47" s="41"/>
      <c r="Q47" s="41"/>
      <c r="R47" s="41"/>
      <c r="S47" s="41"/>
      <c r="T47" s="41"/>
      <c r="U47" s="45"/>
    </row>
    <row r="48" ht="17.25" customHeight="1" spans="1:21">
      <c r="A48" s="44">
        <f>A47+1</f>
        <v>44</v>
      </c>
      <c r="B48" s="27">
        <v>46019</v>
      </c>
      <c r="C48" s="207">
        <v>9109859</v>
      </c>
      <c r="D48" s="28">
        <v>75071811</v>
      </c>
      <c r="E48" s="29">
        <v>60.9</v>
      </c>
      <c r="F48" s="41">
        <v>530.57</v>
      </c>
      <c r="G48" s="42">
        <f>E48*F48</f>
        <v>32311.713</v>
      </c>
      <c r="H48" s="208">
        <v>48581.26</v>
      </c>
      <c r="I48" s="209">
        <f>E48*H48</f>
        <v>2958598.734</v>
      </c>
      <c r="J48" s="437" t="s">
        <v>120</v>
      </c>
      <c r="K48" s="366" t="s">
        <v>121</v>
      </c>
      <c r="L48" s="99"/>
      <c r="M48" s="44"/>
      <c r="N48" s="41"/>
      <c r="O48" s="41"/>
      <c r="P48" s="41"/>
      <c r="Q48" s="41"/>
      <c r="R48" s="41"/>
      <c r="S48" s="41"/>
      <c r="T48" s="41"/>
      <c r="U48" s="45"/>
    </row>
    <row r="49" ht="17.25" customHeight="1" spans="1:21">
      <c r="A49" s="44">
        <f>A48+1</f>
        <v>45</v>
      </c>
      <c r="B49" s="27">
        <v>46019</v>
      </c>
      <c r="C49" s="207">
        <v>9109858</v>
      </c>
      <c r="D49" s="28">
        <v>75072363</v>
      </c>
      <c r="E49" s="29">
        <v>61.3</v>
      </c>
      <c r="F49" s="41">
        <v>530.57</v>
      </c>
      <c r="G49" s="42">
        <f>E49*F49</f>
        <v>32523.941</v>
      </c>
      <c r="H49" s="208">
        <v>48581.26</v>
      </c>
      <c r="I49" s="209">
        <f>E49*H49</f>
        <v>2978031.238</v>
      </c>
      <c r="J49" s="437" t="s">
        <v>120</v>
      </c>
      <c r="K49" s="366" t="s">
        <v>121</v>
      </c>
      <c r="L49" s="99"/>
      <c r="M49" s="44"/>
      <c r="N49" s="41"/>
      <c r="O49" s="41"/>
      <c r="P49" s="41"/>
      <c r="Q49" s="41"/>
      <c r="R49" s="41"/>
      <c r="S49" s="41"/>
      <c r="T49" s="41"/>
      <c r="U49" s="45"/>
    </row>
    <row r="50" ht="17.25" customHeight="1" spans="1:21">
      <c r="A50" s="44">
        <f>A49+1</f>
        <v>46</v>
      </c>
      <c r="B50" s="27">
        <v>46019</v>
      </c>
      <c r="C50" s="207">
        <v>9109855</v>
      </c>
      <c r="D50" s="28">
        <v>75088104</v>
      </c>
      <c r="E50" s="29">
        <v>61.4</v>
      </c>
      <c r="F50" s="41">
        <v>530.57</v>
      </c>
      <c r="G50" s="42">
        <f>E50*F50</f>
        <v>32576.998</v>
      </c>
      <c r="H50" s="208">
        <v>48581.26</v>
      </c>
      <c r="I50" s="209">
        <f>E50*H50</f>
        <v>2982889.364</v>
      </c>
      <c r="J50" s="437" t="s">
        <v>120</v>
      </c>
      <c r="K50" s="366" t="s">
        <v>121</v>
      </c>
      <c r="L50" s="99"/>
      <c r="M50" s="44"/>
      <c r="N50" s="41"/>
      <c r="O50" s="41"/>
      <c r="P50" s="41"/>
      <c r="Q50" s="41"/>
      <c r="R50" s="72">
        <v>46026</v>
      </c>
      <c r="S50" s="41">
        <v>61.293</v>
      </c>
      <c r="T50" s="101">
        <f>S50-E50</f>
        <v>-0.106999999999999</v>
      </c>
      <c r="U50" s="45"/>
    </row>
    <row r="51" ht="17.25" customHeight="1" spans="1:21">
      <c r="A51" s="44">
        <f>A50+1</f>
        <v>47</v>
      </c>
      <c r="B51" s="27">
        <v>46019</v>
      </c>
      <c r="C51" s="207">
        <v>9109859</v>
      </c>
      <c r="D51" s="28">
        <v>75089912</v>
      </c>
      <c r="E51" s="29">
        <v>61.65</v>
      </c>
      <c r="F51" s="41">
        <v>530.57</v>
      </c>
      <c r="G51" s="42">
        <f>E51*F51</f>
        <v>32709.6405</v>
      </c>
      <c r="H51" s="208">
        <v>48581.26</v>
      </c>
      <c r="I51" s="209">
        <f>E51*H51</f>
        <v>2995034.679</v>
      </c>
      <c r="J51" s="437" t="s">
        <v>120</v>
      </c>
      <c r="K51" s="366" t="s">
        <v>121</v>
      </c>
      <c r="L51" s="99"/>
      <c r="M51" s="44"/>
      <c r="N51" s="41"/>
      <c r="O51" s="41"/>
      <c r="P51" s="41"/>
      <c r="Q51" s="41"/>
      <c r="R51" s="41"/>
      <c r="S51" s="41"/>
      <c r="T51" s="41"/>
      <c r="U51" s="45"/>
    </row>
    <row r="52" ht="17.25" customHeight="1" spans="1:21">
      <c r="A52" s="44">
        <f>A51+1</f>
        <v>48</v>
      </c>
      <c r="B52" s="27">
        <v>46019</v>
      </c>
      <c r="C52" s="207">
        <v>9109858</v>
      </c>
      <c r="D52" s="28">
        <v>75123422</v>
      </c>
      <c r="E52" s="29">
        <v>61.25</v>
      </c>
      <c r="F52" s="41">
        <v>530.57</v>
      </c>
      <c r="G52" s="42">
        <f>E52*F52</f>
        <v>32497.4125</v>
      </c>
      <c r="H52" s="208">
        <v>48581.26</v>
      </c>
      <c r="I52" s="209">
        <f>E52*H52</f>
        <v>2975602.175</v>
      </c>
      <c r="J52" s="437" t="s">
        <v>120</v>
      </c>
      <c r="K52" s="366" t="s">
        <v>121</v>
      </c>
      <c r="L52" s="99"/>
      <c r="M52" s="44"/>
      <c r="N52" s="41"/>
      <c r="O52" s="41"/>
      <c r="P52" s="41"/>
      <c r="Q52" s="41"/>
      <c r="R52" s="41"/>
      <c r="S52" s="41"/>
      <c r="T52" s="41"/>
      <c r="U52" s="45"/>
    </row>
    <row r="53" ht="17.25" customHeight="1" spans="1:21">
      <c r="A53" s="44">
        <f>A52+1</f>
        <v>49</v>
      </c>
      <c r="B53" s="27">
        <v>46019</v>
      </c>
      <c r="C53" s="207">
        <v>9109855</v>
      </c>
      <c r="D53" s="28">
        <v>75211607</v>
      </c>
      <c r="E53" s="29">
        <v>61.8</v>
      </c>
      <c r="F53" s="41">
        <v>530.57</v>
      </c>
      <c r="G53" s="42">
        <f>E53*F53</f>
        <v>32789.226</v>
      </c>
      <c r="H53" s="208">
        <v>48581.26</v>
      </c>
      <c r="I53" s="209">
        <f>E53*H53</f>
        <v>3002321.868</v>
      </c>
      <c r="J53" s="437" t="s">
        <v>120</v>
      </c>
      <c r="K53" s="366" t="s">
        <v>121</v>
      </c>
      <c r="L53" s="99"/>
      <c r="M53" s="44"/>
      <c r="N53" s="41"/>
      <c r="O53" s="41"/>
      <c r="P53" s="41"/>
      <c r="Q53" s="41"/>
      <c r="R53" s="72">
        <v>46026</v>
      </c>
      <c r="S53" s="41">
        <v>61.802</v>
      </c>
      <c r="T53" s="101">
        <f>S53-E53</f>
        <v>0.00200000000000244</v>
      </c>
      <c r="U53" s="45"/>
    </row>
    <row r="54" ht="17.25" customHeight="1" spans="1:21">
      <c r="A54" s="44">
        <f>A53+1</f>
        <v>50</v>
      </c>
      <c r="B54" s="27">
        <v>46019</v>
      </c>
      <c r="C54" s="207">
        <v>9109855</v>
      </c>
      <c r="D54" s="28">
        <v>75261305</v>
      </c>
      <c r="E54" s="29">
        <v>61.8</v>
      </c>
      <c r="F54" s="41">
        <v>530.57</v>
      </c>
      <c r="G54" s="42">
        <f>E54*F54</f>
        <v>32789.226</v>
      </c>
      <c r="H54" s="208">
        <v>48581.26</v>
      </c>
      <c r="I54" s="209">
        <f>E54*H54</f>
        <v>3002321.868</v>
      </c>
      <c r="J54" s="437" t="s">
        <v>120</v>
      </c>
      <c r="K54" s="366" t="s">
        <v>121</v>
      </c>
      <c r="L54" s="99"/>
      <c r="M54" s="44"/>
      <c r="N54" s="41"/>
      <c r="O54" s="41"/>
      <c r="P54" s="41"/>
      <c r="Q54" s="41"/>
      <c r="R54" s="41"/>
      <c r="S54" s="41"/>
      <c r="T54" s="41"/>
      <c r="U54" s="45"/>
    </row>
    <row r="55" ht="17.25" customHeight="1" spans="1:21">
      <c r="A55" s="44">
        <f>A54+1</f>
        <v>51</v>
      </c>
      <c r="B55" s="27">
        <v>46019</v>
      </c>
      <c r="C55" s="207">
        <v>9109859</v>
      </c>
      <c r="D55" s="28">
        <v>75421297</v>
      </c>
      <c r="E55" s="29">
        <v>61.8</v>
      </c>
      <c r="F55" s="41">
        <v>530.57</v>
      </c>
      <c r="G55" s="42">
        <f>E55*F55</f>
        <v>32789.226</v>
      </c>
      <c r="H55" s="208">
        <v>48581.26</v>
      </c>
      <c r="I55" s="209">
        <f>E55*H55</f>
        <v>3002321.868</v>
      </c>
      <c r="J55" s="437" t="s">
        <v>120</v>
      </c>
      <c r="K55" s="366" t="s">
        <v>121</v>
      </c>
      <c r="L55" s="99"/>
      <c r="M55" s="44"/>
      <c r="N55" s="41"/>
      <c r="O55" s="41"/>
      <c r="P55" s="41"/>
      <c r="Q55" s="41"/>
      <c r="R55" s="41"/>
      <c r="S55" s="41"/>
      <c r="T55" s="41"/>
      <c r="U55" s="45"/>
    </row>
    <row r="56" ht="17.25" customHeight="1" spans="1:21">
      <c r="A56" s="44">
        <f>A55+1</f>
        <v>52</v>
      </c>
      <c r="B56" s="27">
        <v>46019</v>
      </c>
      <c r="C56" s="207">
        <v>9109859</v>
      </c>
      <c r="D56" s="28">
        <v>75488791</v>
      </c>
      <c r="E56" s="29">
        <v>61.9</v>
      </c>
      <c r="F56" s="41">
        <v>530.57</v>
      </c>
      <c r="G56" s="42">
        <f>E56*F56</f>
        <v>32842.283</v>
      </c>
      <c r="H56" s="208">
        <v>48581.26</v>
      </c>
      <c r="I56" s="209">
        <f>E56*H56</f>
        <v>3007179.994</v>
      </c>
      <c r="J56" s="437" t="s">
        <v>120</v>
      </c>
      <c r="K56" s="366" t="s">
        <v>121</v>
      </c>
      <c r="L56" s="99"/>
      <c r="M56" s="44"/>
      <c r="N56" s="41"/>
      <c r="O56" s="41"/>
      <c r="P56" s="41"/>
      <c r="Q56" s="41"/>
      <c r="R56" s="41"/>
      <c r="S56" s="41"/>
      <c r="T56" s="41"/>
      <c r="U56" s="45"/>
    </row>
    <row r="57" ht="17.25" customHeight="1" spans="1:21">
      <c r="A57" s="44">
        <f>A56+1</f>
        <v>53</v>
      </c>
      <c r="B57" s="27">
        <v>46019</v>
      </c>
      <c r="C57" s="207">
        <v>9109855</v>
      </c>
      <c r="D57" s="28">
        <v>76177195</v>
      </c>
      <c r="E57" s="29">
        <v>61.6</v>
      </c>
      <c r="F57" s="41">
        <v>530.57</v>
      </c>
      <c r="G57" s="42">
        <f>E57*F57</f>
        <v>32683.112</v>
      </c>
      <c r="H57" s="208">
        <v>48581.26</v>
      </c>
      <c r="I57" s="209">
        <f>E57*H57</f>
        <v>2992605.616</v>
      </c>
      <c r="J57" s="437" t="s">
        <v>120</v>
      </c>
      <c r="K57" s="366" t="s">
        <v>121</v>
      </c>
      <c r="L57" s="99"/>
      <c r="M57" s="44"/>
      <c r="N57" s="41"/>
      <c r="O57" s="41"/>
      <c r="P57" s="41"/>
      <c r="Q57" s="41"/>
      <c r="R57" s="72">
        <v>46026</v>
      </c>
      <c r="S57" s="41">
        <v>61.477</v>
      </c>
      <c r="T57" s="101">
        <f>S57-E57</f>
        <v>-0.123000000000005</v>
      </c>
      <c r="U57" s="45"/>
    </row>
    <row r="58" ht="17.25" customHeight="1" spans="1:21">
      <c r="A58" s="44">
        <f>A57+1</f>
        <v>54</v>
      </c>
      <c r="B58" s="27">
        <v>46019</v>
      </c>
      <c r="C58" s="207">
        <v>9109857</v>
      </c>
      <c r="D58" s="28">
        <v>76507292</v>
      </c>
      <c r="E58" s="29">
        <v>61.65</v>
      </c>
      <c r="F58" s="41">
        <v>530.57</v>
      </c>
      <c r="G58" s="42">
        <f>E58*F58</f>
        <v>32709.6405</v>
      </c>
      <c r="H58" s="208">
        <v>48581.26</v>
      </c>
      <c r="I58" s="209">
        <f>E58*H58</f>
        <v>2995034.679</v>
      </c>
      <c r="J58" s="437" t="s">
        <v>120</v>
      </c>
      <c r="K58" s="366" t="s">
        <v>121</v>
      </c>
      <c r="L58" s="99"/>
      <c r="M58" s="44"/>
      <c r="N58" s="41"/>
      <c r="O58" s="41"/>
      <c r="P58" s="41"/>
      <c r="Q58" s="41"/>
      <c r="R58" s="72">
        <v>46026</v>
      </c>
      <c r="S58" s="41">
        <v>61.823</v>
      </c>
      <c r="T58" s="101">
        <f>S58-E58</f>
        <v>0.173000000000002</v>
      </c>
      <c r="U58" s="45"/>
    </row>
    <row r="59" ht="17.25" customHeight="1" spans="1:21">
      <c r="A59" s="51">
        <f>A58+1</f>
        <v>55</v>
      </c>
      <c r="B59" s="188">
        <v>46019</v>
      </c>
      <c r="C59" s="226">
        <v>9109858</v>
      </c>
      <c r="D59" s="158">
        <v>76609593</v>
      </c>
      <c r="E59" s="162">
        <v>61.8</v>
      </c>
      <c r="F59" s="41">
        <v>530.57</v>
      </c>
      <c r="G59" s="30">
        <f>E59*F59</f>
        <v>32789.226</v>
      </c>
      <c r="H59" s="438">
        <v>48581.26</v>
      </c>
      <c r="I59" s="228">
        <f>E59*H59</f>
        <v>3002321.868</v>
      </c>
      <c r="J59" s="437" t="s">
        <v>120</v>
      </c>
      <c r="K59" s="366" t="s">
        <v>121</v>
      </c>
      <c r="L59" s="100"/>
      <c r="M59" s="51"/>
      <c r="N59" s="52"/>
      <c r="O59" s="52"/>
      <c r="P59" s="52"/>
      <c r="Q59" s="52"/>
      <c r="R59" s="52"/>
      <c r="S59" s="52"/>
      <c r="T59" s="52"/>
      <c r="U59" s="53"/>
    </row>
    <row r="60" spans="1:21">
      <c r="A60" s="37">
        <v>56</v>
      </c>
      <c r="B60" s="115">
        <v>46020</v>
      </c>
      <c r="C60" s="232">
        <v>9109865</v>
      </c>
      <c r="D60" s="177">
        <v>50409358</v>
      </c>
      <c r="E60" s="178">
        <v>61</v>
      </c>
      <c r="F60" s="41">
        <v>530.57</v>
      </c>
      <c r="G60" s="329">
        <f>E60*F60</f>
        <v>32364.77</v>
      </c>
      <c r="H60" s="436">
        <v>48581.26</v>
      </c>
      <c r="I60" s="233">
        <f>E60*H60</f>
        <v>2963456.86</v>
      </c>
      <c r="J60" s="437" t="s">
        <v>120</v>
      </c>
      <c r="K60" s="366" t="s">
        <v>121</v>
      </c>
      <c r="L60" s="97"/>
      <c r="M60" s="37"/>
      <c r="N60" s="38"/>
      <c r="O60" s="38"/>
      <c r="P60" s="38"/>
      <c r="Q60" s="38"/>
      <c r="R60" s="115">
        <v>46029</v>
      </c>
      <c r="S60" s="439">
        <v>60.55</v>
      </c>
      <c r="T60" s="101">
        <f>S60-E60</f>
        <v>-0.450000000000003</v>
      </c>
      <c r="U60" s="39"/>
    </row>
    <row r="61" spans="1:21">
      <c r="A61" s="44">
        <f>A60+1</f>
        <v>57</v>
      </c>
      <c r="B61" s="72">
        <v>46020</v>
      </c>
      <c r="C61" s="207">
        <v>9109865</v>
      </c>
      <c r="D61" s="28">
        <v>51200202</v>
      </c>
      <c r="E61" s="29">
        <v>61</v>
      </c>
      <c r="F61" s="41">
        <v>530.57</v>
      </c>
      <c r="G61" s="42">
        <f>E61*F61</f>
        <v>32364.77</v>
      </c>
      <c r="H61" s="208">
        <v>48581.26</v>
      </c>
      <c r="I61" s="209">
        <f>E61*H61</f>
        <v>2963456.86</v>
      </c>
      <c r="J61" s="437" t="s">
        <v>120</v>
      </c>
      <c r="K61" s="366" t="s">
        <v>121</v>
      </c>
      <c r="L61" s="99"/>
      <c r="M61" s="44"/>
      <c r="N61" s="41"/>
      <c r="O61" s="41"/>
      <c r="P61" s="41"/>
      <c r="Q61" s="41"/>
      <c r="R61" s="72">
        <v>46039</v>
      </c>
      <c r="S61" s="41">
        <v>60.611</v>
      </c>
      <c r="T61" s="101">
        <f>S61-E61</f>
        <v>-0.389000000000003</v>
      </c>
      <c r="U61" s="45"/>
    </row>
    <row r="62" spans="1:21">
      <c r="A62" s="44">
        <f>A61+1</f>
        <v>58</v>
      </c>
      <c r="B62" s="72">
        <v>46020</v>
      </c>
      <c r="C62" s="207">
        <v>9109864</v>
      </c>
      <c r="D62" s="28">
        <v>51813731</v>
      </c>
      <c r="E62" s="29">
        <v>61.1</v>
      </c>
      <c r="F62" s="41">
        <v>530.57</v>
      </c>
      <c r="G62" s="42">
        <f>E62*F62</f>
        <v>32417.827</v>
      </c>
      <c r="H62" s="208">
        <v>48581.26</v>
      </c>
      <c r="I62" s="209">
        <f>E62*H62</f>
        <v>2968314.986</v>
      </c>
      <c r="J62" s="437" t="s">
        <v>120</v>
      </c>
      <c r="K62" s="366" t="s">
        <v>121</v>
      </c>
      <c r="L62" s="99"/>
      <c r="M62" s="44"/>
      <c r="N62" s="41"/>
      <c r="O62" s="41"/>
      <c r="P62" s="41"/>
      <c r="Q62" s="41"/>
      <c r="R62" s="72">
        <v>46029</v>
      </c>
      <c r="S62" s="41">
        <v>61.064</v>
      </c>
      <c r="T62" s="101">
        <f>S62-E62</f>
        <v>-0.0360000000000014</v>
      </c>
      <c r="U62" s="45"/>
    </row>
    <row r="63" spans="1:21">
      <c r="A63" s="44">
        <f>A62+1</f>
        <v>59</v>
      </c>
      <c r="B63" s="72">
        <v>46020</v>
      </c>
      <c r="C63" s="207">
        <v>9109861</v>
      </c>
      <c r="D63" s="28">
        <v>54046578</v>
      </c>
      <c r="E63" s="29">
        <v>60.9</v>
      </c>
      <c r="F63" s="41">
        <v>530.57</v>
      </c>
      <c r="G63" s="42">
        <f>E63*F63</f>
        <v>32311.713</v>
      </c>
      <c r="H63" s="208">
        <v>48581.26</v>
      </c>
      <c r="I63" s="209">
        <f>E63*H63</f>
        <v>2958598.734</v>
      </c>
      <c r="J63" s="437" t="s">
        <v>120</v>
      </c>
      <c r="K63" s="366" t="s">
        <v>121</v>
      </c>
      <c r="L63" s="99"/>
      <c r="M63" s="44"/>
      <c r="N63" s="41"/>
      <c r="O63" s="41"/>
      <c r="P63" s="41"/>
      <c r="Q63" s="41"/>
      <c r="R63" s="72">
        <v>46029</v>
      </c>
      <c r="S63" s="41">
        <v>51.088</v>
      </c>
      <c r="T63" s="101">
        <f>S63-E63</f>
        <v>-9.812</v>
      </c>
      <c r="U63" s="45"/>
    </row>
    <row r="64" spans="1:21">
      <c r="A64" s="44">
        <f>A63+1</f>
        <v>60</v>
      </c>
      <c r="B64" s="72">
        <v>46020</v>
      </c>
      <c r="C64" s="207">
        <v>9109860</v>
      </c>
      <c r="D64" s="28">
        <v>54702162</v>
      </c>
      <c r="E64" s="29">
        <v>61.45</v>
      </c>
      <c r="F64" s="41">
        <v>530.57</v>
      </c>
      <c r="G64" s="42">
        <f>E64*F64</f>
        <v>32603.5265</v>
      </c>
      <c r="H64" s="208">
        <v>48581.26</v>
      </c>
      <c r="I64" s="209">
        <f>E64*H64</f>
        <v>2985318.427</v>
      </c>
      <c r="J64" s="437" t="s">
        <v>120</v>
      </c>
      <c r="K64" s="366" t="s">
        <v>121</v>
      </c>
      <c r="L64" s="99"/>
      <c r="M64" s="44"/>
      <c r="N64" s="41"/>
      <c r="O64" s="41"/>
      <c r="P64" s="41"/>
      <c r="Q64" s="41"/>
      <c r="R64" s="41"/>
      <c r="S64" s="41"/>
      <c r="T64" s="101"/>
      <c r="U64" s="45"/>
    </row>
    <row r="65" spans="1:21">
      <c r="A65" s="44">
        <f>A64+1</f>
        <v>61</v>
      </c>
      <c r="B65" s="72">
        <v>46020</v>
      </c>
      <c r="C65" s="207">
        <v>9109863</v>
      </c>
      <c r="D65" s="28">
        <v>57464398</v>
      </c>
      <c r="E65" s="29">
        <v>60.9</v>
      </c>
      <c r="F65" s="41">
        <v>530.57</v>
      </c>
      <c r="G65" s="42">
        <f>E65*F65</f>
        <v>32311.713</v>
      </c>
      <c r="H65" s="208">
        <v>48581.26</v>
      </c>
      <c r="I65" s="209">
        <f>E65*H65</f>
        <v>2958598.734</v>
      </c>
      <c r="J65" s="437" t="s">
        <v>120</v>
      </c>
      <c r="K65" s="366" t="s">
        <v>121</v>
      </c>
      <c r="L65" s="99"/>
      <c r="M65" s="44"/>
      <c r="N65" s="41"/>
      <c r="O65" s="41"/>
      <c r="P65" s="41"/>
      <c r="Q65" s="41"/>
      <c r="R65" s="72">
        <v>46029</v>
      </c>
      <c r="S65" s="41">
        <v>60.967</v>
      </c>
      <c r="T65" s="101">
        <f>S65-E65</f>
        <v>0.0670000000000002</v>
      </c>
      <c r="U65" s="45"/>
    </row>
    <row r="66" spans="1:21">
      <c r="A66" s="44">
        <f>A65+1</f>
        <v>62</v>
      </c>
      <c r="B66" s="72">
        <v>46020</v>
      </c>
      <c r="C66" s="207">
        <v>9109862</v>
      </c>
      <c r="D66" s="28">
        <v>57969149</v>
      </c>
      <c r="E66" s="29">
        <v>61.1</v>
      </c>
      <c r="F66" s="41">
        <v>530.57</v>
      </c>
      <c r="G66" s="42">
        <f>E66*F66</f>
        <v>32417.827</v>
      </c>
      <c r="H66" s="208">
        <v>48581.26</v>
      </c>
      <c r="I66" s="209">
        <f>E66*H66</f>
        <v>2968314.986</v>
      </c>
      <c r="J66" s="437" t="s">
        <v>120</v>
      </c>
      <c r="K66" s="366" t="s">
        <v>121</v>
      </c>
      <c r="L66" s="99"/>
      <c r="M66" s="44"/>
      <c r="N66" s="41"/>
      <c r="O66" s="41"/>
      <c r="P66" s="41"/>
      <c r="Q66" s="41"/>
      <c r="R66" s="72">
        <v>46029</v>
      </c>
      <c r="S66" s="41">
        <v>60.658</v>
      </c>
      <c r="T66" s="101">
        <f>S66-E66</f>
        <v>-0.442</v>
      </c>
      <c r="U66" s="45"/>
    </row>
    <row r="67" spans="1:21">
      <c r="A67" s="44">
        <f>A66+1</f>
        <v>63</v>
      </c>
      <c r="B67" s="72">
        <v>46020</v>
      </c>
      <c r="C67" s="207">
        <v>9109865</v>
      </c>
      <c r="D67" s="28">
        <v>58345158</v>
      </c>
      <c r="E67" s="29">
        <v>60.85</v>
      </c>
      <c r="F67" s="41">
        <v>530.57</v>
      </c>
      <c r="G67" s="42">
        <f>E67*F67</f>
        <v>32285.1845</v>
      </c>
      <c r="H67" s="208">
        <v>48581.26</v>
      </c>
      <c r="I67" s="209">
        <f>E67*H67</f>
        <v>2956169.671</v>
      </c>
      <c r="J67" s="437" t="s">
        <v>120</v>
      </c>
      <c r="K67" s="366" t="s">
        <v>121</v>
      </c>
      <c r="L67" s="99"/>
      <c r="M67" s="44"/>
      <c r="N67" s="41"/>
      <c r="O67" s="41"/>
      <c r="P67" s="41"/>
      <c r="Q67" s="41"/>
      <c r="R67" s="72">
        <v>46029</v>
      </c>
      <c r="S67" s="41">
        <v>60.639</v>
      </c>
      <c r="T67" s="101">
        <f>S67-E67</f>
        <v>-0.210999999999999</v>
      </c>
      <c r="U67" s="45"/>
    </row>
    <row r="68" spans="1:21">
      <c r="A68" s="44">
        <f>A67+1</f>
        <v>64</v>
      </c>
      <c r="B68" s="72">
        <v>46020</v>
      </c>
      <c r="C68" s="207">
        <v>9109865</v>
      </c>
      <c r="D68" s="28">
        <v>73001844</v>
      </c>
      <c r="E68" s="29">
        <v>61.4</v>
      </c>
      <c r="F68" s="41">
        <v>530.57</v>
      </c>
      <c r="G68" s="42">
        <f>E68*F68</f>
        <v>32576.998</v>
      </c>
      <c r="H68" s="208">
        <v>48581.26</v>
      </c>
      <c r="I68" s="209">
        <f>E68*H68</f>
        <v>2982889.364</v>
      </c>
      <c r="J68" s="437" t="s">
        <v>120</v>
      </c>
      <c r="K68" s="366" t="s">
        <v>121</v>
      </c>
      <c r="L68" s="99"/>
      <c r="M68" s="44"/>
      <c r="N68" s="41"/>
      <c r="O68" s="41"/>
      <c r="P68" s="41"/>
      <c r="Q68" s="41"/>
      <c r="R68" s="72">
        <v>46029</v>
      </c>
      <c r="S68" s="41">
        <v>61.102</v>
      </c>
      <c r="T68" s="101">
        <f>S68-E68</f>
        <v>-0.298000000000002</v>
      </c>
      <c r="U68" s="45"/>
    </row>
    <row r="69" ht="15.75" spans="1:21">
      <c r="A69" s="51">
        <f>A68+1</f>
        <v>65</v>
      </c>
      <c r="B69" s="157">
        <v>46020</v>
      </c>
      <c r="C69" s="226">
        <v>9109865</v>
      </c>
      <c r="D69" s="158">
        <v>76599091</v>
      </c>
      <c r="E69" s="162">
        <v>61.7</v>
      </c>
      <c r="F69" s="41">
        <v>530.57</v>
      </c>
      <c r="G69" s="30">
        <f>E69*F69</f>
        <v>32736.169</v>
      </c>
      <c r="H69" s="438">
        <v>48581.26</v>
      </c>
      <c r="I69" s="228">
        <f>E69*H69</f>
        <v>2997463.742</v>
      </c>
      <c r="J69" s="437" t="s">
        <v>120</v>
      </c>
      <c r="K69" s="366" t="s">
        <v>121</v>
      </c>
      <c r="L69" s="100"/>
      <c r="M69" s="51"/>
      <c r="N69" s="52"/>
      <c r="O69" s="52"/>
      <c r="P69" s="52"/>
      <c r="Q69" s="52"/>
      <c r="R69" s="72">
        <v>46029</v>
      </c>
      <c r="S69" s="52">
        <v>61.631</v>
      </c>
      <c r="T69" s="101">
        <f>S69-E69</f>
        <v>-0.0690000000000026</v>
      </c>
      <c r="U69" s="53"/>
    </row>
    <row r="70" spans="1:21">
      <c r="A70" s="26">
        <v>66</v>
      </c>
      <c r="B70" s="27">
        <v>46020</v>
      </c>
      <c r="C70" s="221">
        <v>9109866</v>
      </c>
      <c r="D70" s="107">
        <v>50041151</v>
      </c>
      <c r="E70" s="108">
        <v>61.05</v>
      </c>
      <c r="F70" s="41">
        <v>530.57</v>
      </c>
      <c r="G70" s="30">
        <f>E70*F70</f>
        <v>32391.2985</v>
      </c>
      <c r="H70" s="421">
        <v>48581.26</v>
      </c>
      <c r="I70" s="209">
        <f>E70*H70</f>
        <v>2965885.923</v>
      </c>
      <c r="J70" s="440" t="s">
        <v>120</v>
      </c>
      <c r="K70" s="441" t="s">
        <v>121</v>
      </c>
      <c r="L70" s="97"/>
      <c r="M70" s="26"/>
      <c r="N70" s="67"/>
      <c r="O70" s="67"/>
      <c r="P70" s="67"/>
      <c r="Q70" s="67"/>
      <c r="R70" s="67"/>
      <c r="S70" s="67"/>
      <c r="T70" s="67"/>
      <c r="U70" s="98"/>
    </row>
    <row r="71" spans="1:21">
      <c r="A71" s="44">
        <f>A70+1</f>
        <v>67</v>
      </c>
      <c r="B71" s="72">
        <v>46020</v>
      </c>
      <c r="C71" s="207">
        <v>9109866</v>
      </c>
      <c r="D71" s="28">
        <v>73046732</v>
      </c>
      <c r="E71" s="29">
        <v>61.8</v>
      </c>
      <c r="F71" s="41">
        <v>530.57</v>
      </c>
      <c r="G71" s="42">
        <f>E71*F71</f>
        <v>32789.226</v>
      </c>
      <c r="H71" s="208">
        <v>48581.26</v>
      </c>
      <c r="I71" s="209">
        <f>E71*H71</f>
        <v>3002321.868</v>
      </c>
      <c r="J71" s="437" t="s">
        <v>120</v>
      </c>
      <c r="K71" s="366" t="s">
        <v>121</v>
      </c>
      <c r="L71" s="99"/>
      <c r="M71" s="44"/>
      <c r="N71" s="41"/>
      <c r="O71" s="41"/>
      <c r="P71" s="41"/>
      <c r="Q71" s="41"/>
      <c r="R71" s="41"/>
      <c r="S71" s="41"/>
      <c r="T71" s="41"/>
      <c r="U71" s="45"/>
    </row>
    <row r="72" spans="1:21">
      <c r="A72" s="44">
        <f>A71+1</f>
        <v>68</v>
      </c>
      <c r="B72" s="72">
        <v>46020</v>
      </c>
      <c r="C72" s="207">
        <v>9109866</v>
      </c>
      <c r="D72" s="28">
        <v>73081861</v>
      </c>
      <c r="E72" s="29">
        <v>61.5</v>
      </c>
      <c r="F72" s="41">
        <v>530.57</v>
      </c>
      <c r="G72" s="42">
        <f>E72*F72</f>
        <v>32630.055</v>
      </c>
      <c r="H72" s="208">
        <v>48581.26</v>
      </c>
      <c r="I72" s="209">
        <f>E72*H72</f>
        <v>2987747.49</v>
      </c>
      <c r="J72" s="437" t="s">
        <v>120</v>
      </c>
      <c r="K72" s="366" t="s">
        <v>121</v>
      </c>
      <c r="L72" s="99"/>
      <c r="M72" s="44"/>
      <c r="N72" s="41"/>
      <c r="O72" s="41"/>
      <c r="P72" s="41"/>
      <c r="Q72" s="41"/>
      <c r="R72" s="41"/>
      <c r="S72" s="41"/>
      <c r="T72" s="41"/>
      <c r="U72" s="45"/>
    </row>
    <row r="73" spans="1:21">
      <c r="A73" s="44">
        <f>A72+1</f>
        <v>69</v>
      </c>
      <c r="B73" s="72">
        <v>46020</v>
      </c>
      <c r="C73" s="207">
        <v>9109866</v>
      </c>
      <c r="D73" s="28">
        <v>73106858</v>
      </c>
      <c r="E73" s="29">
        <v>61.85</v>
      </c>
      <c r="F73" s="41">
        <v>530.57</v>
      </c>
      <c r="G73" s="42">
        <f>E73*F73</f>
        <v>32815.7545</v>
      </c>
      <c r="H73" s="208">
        <v>48581.26</v>
      </c>
      <c r="I73" s="209">
        <f>E73*H73</f>
        <v>3004750.931</v>
      </c>
      <c r="J73" s="437" t="s">
        <v>120</v>
      </c>
      <c r="K73" s="366" t="s">
        <v>121</v>
      </c>
      <c r="L73" s="99"/>
      <c r="M73" s="44"/>
      <c r="N73" s="41"/>
      <c r="O73" s="41"/>
      <c r="P73" s="41"/>
      <c r="Q73" s="41"/>
      <c r="R73" s="41"/>
      <c r="S73" s="41"/>
      <c r="T73" s="41"/>
      <c r="U73" s="45"/>
    </row>
    <row r="74" spans="1:21">
      <c r="A74" s="44">
        <f>A73+1</f>
        <v>70</v>
      </c>
      <c r="B74" s="72">
        <v>46020</v>
      </c>
      <c r="C74" s="207">
        <v>9109866</v>
      </c>
      <c r="D74" s="28">
        <v>73114639</v>
      </c>
      <c r="E74" s="29">
        <v>61.65</v>
      </c>
      <c r="F74" s="41">
        <v>530.57</v>
      </c>
      <c r="G74" s="42">
        <f>E74*F74</f>
        <v>32709.6405</v>
      </c>
      <c r="H74" s="208">
        <v>48581.26</v>
      </c>
      <c r="I74" s="209">
        <f>E74*H74</f>
        <v>2995034.679</v>
      </c>
      <c r="J74" s="437" t="s">
        <v>120</v>
      </c>
      <c r="K74" s="366" t="s">
        <v>121</v>
      </c>
      <c r="L74" s="99"/>
      <c r="M74" s="44"/>
      <c r="N74" s="41"/>
      <c r="O74" s="41"/>
      <c r="P74" s="41"/>
      <c r="Q74" s="41"/>
      <c r="R74" s="41"/>
      <c r="S74" s="41"/>
      <c r="T74" s="41"/>
      <c r="U74" s="45"/>
    </row>
    <row r="75" spans="1:21">
      <c r="A75" s="44">
        <f>A74+1</f>
        <v>71</v>
      </c>
      <c r="B75" s="72">
        <v>46020</v>
      </c>
      <c r="C75" s="207">
        <v>9109866</v>
      </c>
      <c r="D75" s="28">
        <v>73172256</v>
      </c>
      <c r="E75" s="29">
        <v>61.75</v>
      </c>
      <c r="F75" s="41">
        <v>530.57</v>
      </c>
      <c r="G75" s="42">
        <f>E75*F75</f>
        <v>32762.6975</v>
      </c>
      <c r="H75" s="208">
        <v>48581.26</v>
      </c>
      <c r="I75" s="209">
        <f>E75*H75</f>
        <v>2999892.805</v>
      </c>
      <c r="J75" s="437" t="s">
        <v>120</v>
      </c>
      <c r="K75" s="366" t="s">
        <v>121</v>
      </c>
      <c r="L75" s="99"/>
      <c r="M75" s="44"/>
      <c r="N75" s="41"/>
      <c r="O75" s="41"/>
      <c r="P75" s="41"/>
      <c r="Q75" s="41"/>
      <c r="R75" s="41"/>
      <c r="S75" s="41"/>
      <c r="T75" s="41"/>
      <c r="U75" s="45"/>
    </row>
    <row r="76" spans="1:21">
      <c r="A76" s="44">
        <f>A75+1</f>
        <v>72</v>
      </c>
      <c r="B76" s="72">
        <v>46020</v>
      </c>
      <c r="C76" s="207">
        <v>9109866</v>
      </c>
      <c r="D76" s="28">
        <v>73172363</v>
      </c>
      <c r="E76" s="29">
        <v>61.6</v>
      </c>
      <c r="F76" s="41">
        <v>530.57</v>
      </c>
      <c r="G76" s="42">
        <f>E76*F76</f>
        <v>32683.112</v>
      </c>
      <c r="H76" s="208">
        <v>48581.26</v>
      </c>
      <c r="I76" s="209">
        <f>E76*H76</f>
        <v>2992605.616</v>
      </c>
      <c r="J76" s="437" t="s">
        <v>120</v>
      </c>
      <c r="K76" s="366" t="s">
        <v>121</v>
      </c>
      <c r="L76" s="99"/>
      <c r="M76" s="44"/>
      <c r="N76" s="41"/>
      <c r="O76" s="41"/>
      <c r="P76" s="41"/>
      <c r="Q76" s="41"/>
      <c r="R76" s="41"/>
      <c r="S76" s="41"/>
      <c r="T76" s="41"/>
      <c r="U76" s="45"/>
    </row>
    <row r="77" ht="15.75" spans="1:21">
      <c r="A77" s="75">
        <f>A76+1</f>
        <v>73</v>
      </c>
      <c r="B77" s="72">
        <v>46020</v>
      </c>
      <c r="C77" s="216">
        <v>9109866</v>
      </c>
      <c r="D77" s="47">
        <v>75716696</v>
      </c>
      <c r="E77" s="48">
        <v>62.05</v>
      </c>
      <c r="F77" s="41">
        <v>530.57</v>
      </c>
      <c r="G77" s="123">
        <f>E77*F77</f>
        <v>32921.8685</v>
      </c>
      <c r="H77" s="442">
        <v>48581.26</v>
      </c>
      <c r="I77" s="218">
        <f>E77*H77</f>
        <v>3014467.183</v>
      </c>
      <c r="J77" s="419" t="s">
        <v>120</v>
      </c>
      <c r="K77" s="366" t="s">
        <v>121</v>
      </c>
      <c r="L77" s="100"/>
      <c r="M77" s="51"/>
      <c r="N77" s="52"/>
      <c r="O77" s="52"/>
      <c r="P77" s="52"/>
      <c r="Q77" s="52"/>
      <c r="R77" s="52"/>
      <c r="S77" s="52"/>
      <c r="T77" s="52"/>
      <c r="U77" s="53"/>
    </row>
    <row r="78" spans="1:21">
      <c r="A78" s="37">
        <v>74</v>
      </c>
      <c r="B78" s="115">
        <v>46020</v>
      </c>
      <c r="C78" s="232">
        <v>9109873</v>
      </c>
      <c r="D78" s="177">
        <v>50721208</v>
      </c>
      <c r="E78" s="178">
        <v>61.1</v>
      </c>
      <c r="F78" s="41">
        <v>530.57</v>
      </c>
      <c r="G78" s="181">
        <f>E78*F78</f>
        <v>32417.827</v>
      </c>
      <c r="H78" s="436">
        <v>48581.26</v>
      </c>
      <c r="I78" s="233">
        <f>E78*H78</f>
        <v>2968314.986</v>
      </c>
      <c r="J78" s="443" t="s">
        <v>120</v>
      </c>
      <c r="K78" s="366" t="s">
        <v>121</v>
      </c>
      <c r="L78" s="97"/>
      <c r="M78" s="37"/>
      <c r="N78" s="38"/>
      <c r="O78" s="38"/>
      <c r="P78" s="38"/>
      <c r="Q78" s="38"/>
      <c r="R78" s="72">
        <v>46028</v>
      </c>
      <c r="S78" s="38">
        <v>61.183</v>
      </c>
      <c r="T78" s="101">
        <f>S78-E78</f>
        <v>0.0829999999999984</v>
      </c>
      <c r="U78" s="39"/>
    </row>
    <row r="79" spans="1:21">
      <c r="A79" s="44">
        <f>A78+1</f>
        <v>75</v>
      </c>
      <c r="B79" s="72">
        <v>46020</v>
      </c>
      <c r="C79" s="207">
        <v>9109872</v>
      </c>
      <c r="D79" s="28">
        <v>50788918</v>
      </c>
      <c r="E79" s="29">
        <v>51.8</v>
      </c>
      <c r="F79" s="41">
        <v>530.57</v>
      </c>
      <c r="G79" s="42">
        <f>E79*F79</f>
        <v>27483.526</v>
      </c>
      <c r="H79" s="208">
        <v>48581.26</v>
      </c>
      <c r="I79" s="209">
        <f>E79*H79</f>
        <v>2516509.268</v>
      </c>
      <c r="J79" s="437" t="s">
        <v>120</v>
      </c>
      <c r="K79" s="366" t="s">
        <v>121</v>
      </c>
      <c r="L79" s="99"/>
      <c r="M79" s="44"/>
      <c r="N79" s="41"/>
      <c r="O79" s="41"/>
      <c r="P79" s="41"/>
      <c r="Q79" s="41"/>
      <c r="R79" s="72">
        <v>46032</v>
      </c>
      <c r="S79" s="41">
        <v>53.729</v>
      </c>
      <c r="T79" s="101">
        <f>S79-E79</f>
        <v>1.929</v>
      </c>
      <c r="U79" s="45"/>
    </row>
    <row r="80" spans="1:21">
      <c r="A80" s="44">
        <f>A79+1</f>
        <v>76</v>
      </c>
      <c r="B80" s="72">
        <v>46020</v>
      </c>
      <c r="C80" s="207">
        <v>9109873</v>
      </c>
      <c r="D80" s="28">
        <v>51181485</v>
      </c>
      <c r="E80" s="29">
        <v>61.15</v>
      </c>
      <c r="F80" s="41">
        <v>530.57</v>
      </c>
      <c r="G80" s="42">
        <f>E80*F80</f>
        <v>32444.3555</v>
      </c>
      <c r="H80" s="208">
        <v>48581.26</v>
      </c>
      <c r="I80" s="209">
        <f>E80*H80</f>
        <v>2970744.049</v>
      </c>
      <c r="J80" s="437" t="s">
        <v>120</v>
      </c>
      <c r="K80" s="366" t="s">
        <v>121</v>
      </c>
      <c r="L80" s="99"/>
      <c r="M80" s="44"/>
      <c r="N80" s="41"/>
      <c r="O80" s="41"/>
      <c r="P80" s="41"/>
      <c r="Q80" s="41"/>
      <c r="R80" s="72">
        <v>46028</v>
      </c>
      <c r="S80" s="41">
        <v>61.438</v>
      </c>
      <c r="T80" s="101">
        <f>S80-E80</f>
        <v>0.288000000000004</v>
      </c>
      <c r="U80" s="45"/>
    </row>
    <row r="81" spans="1:21">
      <c r="A81" s="44">
        <f>A80+1</f>
        <v>77</v>
      </c>
      <c r="B81" s="72">
        <v>46020</v>
      </c>
      <c r="C81" s="207">
        <v>9109873</v>
      </c>
      <c r="D81" s="28">
        <v>51230217</v>
      </c>
      <c r="E81" s="29">
        <v>61.15</v>
      </c>
      <c r="F81" s="41">
        <v>530.57</v>
      </c>
      <c r="G81" s="42">
        <f>E81*F81</f>
        <v>32444.3555</v>
      </c>
      <c r="H81" s="208">
        <v>48581.26</v>
      </c>
      <c r="I81" s="209">
        <f>E81*H81</f>
        <v>2970744.049</v>
      </c>
      <c r="J81" s="437" t="s">
        <v>120</v>
      </c>
      <c r="K81" s="366" t="s">
        <v>121</v>
      </c>
      <c r="L81" s="99"/>
      <c r="M81" s="44"/>
      <c r="N81" s="41"/>
      <c r="O81" s="41"/>
      <c r="P81" s="41"/>
      <c r="Q81" s="41"/>
      <c r="R81" s="72">
        <v>46028</v>
      </c>
      <c r="S81" s="41">
        <v>61.364</v>
      </c>
      <c r="T81" s="101">
        <f>S81-E81</f>
        <v>0.213999999999999</v>
      </c>
      <c r="U81" s="45"/>
    </row>
    <row r="82" spans="1:21">
      <c r="A82" s="44">
        <f>A81+1</f>
        <v>78</v>
      </c>
      <c r="B82" s="72">
        <v>46020</v>
      </c>
      <c r="C82" s="207">
        <v>9109872</v>
      </c>
      <c r="D82" s="28">
        <v>51412740</v>
      </c>
      <c r="E82" s="29">
        <v>60.85</v>
      </c>
      <c r="F82" s="41">
        <v>530.57</v>
      </c>
      <c r="G82" s="42">
        <f>E82*F82</f>
        <v>32285.1845</v>
      </c>
      <c r="H82" s="208">
        <v>48581.26</v>
      </c>
      <c r="I82" s="209">
        <f>E82*H82</f>
        <v>2956169.671</v>
      </c>
      <c r="J82" s="437" t="s">
        <v>120</v>
      </c>
      <c r="K82" s="366" t="s">
        <v>121</v>
      </c>
      <c r="L82" s="99"/>
      <c r="M82" s="44"/>
      <c r="N82" s="41"/>
      <c r="O82" s="41"/>
      <c r="P82" s="41"/>
      <c r="Q82" s="41"/>
      <c r="R82" s="72">
        <v>46028</v>
      </c>
      <c r="S82" s="41">
        <v>60.876</v>
      </c>
      <c r="T82" s="101">
        <f>S82-E82</f>
        <v>0.0259999999999962</v>
      </c>
      <c r="U82" s="45"/>
    </row>
    <row r="83" spans="1:21">
      <c r="A83" s="44">
        <f>A82+1</f>
        <v>79</v>
      </c>
      <c r="B83" s="72">
        <v>46020</v>
      </c>
      <c r="C83" s="207">
        <v>9109871</v>
      </c>
      <c r="D83" s="28">
        <v>51513356</v>
      </c>
      <c r="E83" s="29">
        <v>52.5</v>
      </c>
      <c r="F83" s="41">
        <v>530.57</v>
      </c>
      <c r="G83" s="42">
        <f>E83*F83</f>
        <v>27854.925</v>
      </c>
      <c r="H83" s="208">
        <v>48581.26</v>
      </c>
      <c r="I83" s="209">
        <f>E83*H83</f>
        <v>2550516.15</v>
      </c>
      <c r="J83" s="437" t="s">
        <v>120</v>
      </c>
      <c r="K83" s="366" t="s">
        <v>121</v>
      </c>
      <c r="L83" s="99"/>
      <c r="M83" s="44"/>
      <c r="N83" s="41"/>
      <c r="O83" s="41"/>
      <c r="P83" s="41"/>
      <c r="Q83" s="41"/>
      <c r="R83" s="72">
        <v>46030</v>
      </c>
      <c r="S83" s="41">
        <v>51.828</v>
      </c>
      <c r="T83" s="41">
        <f>S83-E83</f>
        <v>-0.671999999999997</v>
      </c>
      <c r="U83" s="45"/>
    </row>
    <row r="84" spans="1:21">
      <c r="A84" s="44">
        <f>A83+1</f>
        <v>80</v>
      </c>
      <c r="B84" s="72">
        <v>46020</v>
      </c>
      <c r="C84" s="207">
        <v>9109872</v>
      </c>
      <c r="D84" s="28">
        <v>51525921</v>
      </c>
      <c r="E84" s="29">
        <v>52.7</v>
      </c>
      <c r="F84" s="41">
        <v>530.57</v>
      </c>
      <c r="G84" s="42">
        <f>E84*F84</f>
        <v>27961.039</v>
      </c>
      <c r="H84" s="208">
        <v>48581.26</v>
      </c>
      <c r="I84" s="209">
        <f>E84*H84</f>
        <v>2560232.402</v>
      </c>
      <c r="J84" s="437" t="s">
        <v>120</v>
      </c>
      <c r="K84" s="366" t="s">
        <v>121</v>
      </c>
      <c r="L84" s="99"/>
      <c r="M84" s="44"/>
      <c r="N84" s="41"/>
      <c r="O84" s="41"/>
      <c r="P84" s="41"/>
      <c r="Q84" s="41"/>
      <c r="R84" s="72">
        <v>46028</v>
      </c>
      <c r="S84" s="41">
        <v>52.887</v>
      </c>
      <c r="T84" s="101">
        <f>S84-E84</f>
        <v>0.186999999999998</v>
      </c>
      <c r="U84" s="45"/>
    </row>
    <row r="85" spans="1:21">
      <c r="A85" s="44">
        <f>A84+1</f>
        <v>81</v>
      </c>
      <c r="B85" s="72">
        <v>46020</v>
      </c>
      <c r="C85" s="207">
        <v>9109871</v>
      </c>
      <c r="D85" s="28">
        <v>51600005</v>
      </c>
      <c r="E85" s="29">
        <v>51.75</v>
      </c>
      <c r="F85" s="41">
        <v>530.57</v>
      </c>
      <c r="G85" s="42">
        <f>E85*F85</f>
        <v>27456.9975</v>
      </c>
      <c r="H85" s="208">
        <v>48581.26</v>
      </c>
      <c r="I85" s="209">
        <f>E85*H85</f>
        <v>2514080.205</v>
      </c>
      <c r="J85" s="437" t="s">
        <v>120</v>
      </c>
      <c r="K85" s="366" t="s">
        <v>121</v>
      </c>
      <c r="L85" s="99"/>
      <c r="M85" s="44"/>
      <c r="N85" s="41"/>
      <c r="O85" s="41"/>
      <c r="P85" s="41"/>
      <c r="Q85" s="41"/>
      <c r="R85" s="72">
        <v>46030</v>
      </c>
      <c r="S85" s="41">
        <v>51.111</v>
      </c>
      <c r="T85" s="41">
        <f>S85-E85</f>
        <v>-0.639000000000003</v>
      </c>
      <c r="U85" s="45"/>
    </row>
    <row r="86" spans="1:21">
      <c r="A86" s="44">
        <f>A85+1</f>
        <v>82</v>
      </c>
      <c r="B86" s="72">
        <v>46020</v>
      </c>
      <c r="C86" s="207">
        <v>9109872</v>
      </c>
      <c r="D86" s="28">
        <v>51634137</v>
      </c>
      <c r="E86" s="29">
        <v>51.75</v>
      </c>
      <c r="F86" s="41">
        <v>530.57</v>
      </c>
      <c r="G86" s="42">
        <f>E86*F86</f>
        <v>27456.9975</v>
      </c>
      <c r="H86" s="208">
        <v>48581.26</v>
      </c>
      <c r="I86" s="209">
        <f>E86*H86</f>
        <v>2514080.205</v>
      </c>
      <c r="J86" s="437" t="s">
        <v>120</v>
      </c>
      <c r="K86" s="366" t="s">
        <v>121</v>
      </c>
      <c r="L86" s="99"/>
      <c r="M86" s="44"/>
      <c r="N86" s="41"/>
      <c r="O86" s="41"/>
      <c r="P86" s="41"/>
      <c r="Q86" s="41"/>
      <c r="R86" s="72">
        <v>46032</v>
      </c>
      <c r="S86" s="41">
        <v>51.984</v>
      </c>
      <c r="T86" s="101">
        <f>S86-E86</f>
        <v>0.234000000000002</v>
      </c>
      <c r="U86" s="45"/>
    </row>
    <row r="87" spans="1:21">
      <c r="A87" s="44">
        <f>A86+1</f>
        <v>83</v>
      </c>
      <c r="B87" s="72">
        <v>46020</v>
      </c>
      <c r="C87" s="207">
        <v>9109871</v>
      </c>
      <c r="D87" s="28">
        <v>51769784</v>
      </c>
      <c r="E87" s="29">
        <v>53.35</v>
      </c>
      <c r="F87" s="41">
        <v>530.57</v>
      </c>
      <c r="G87" s="42">
        <f>E87*F87</f>
        <v>28305.9095</v>
      </c>
      <c r="H87" s="208">
        <v>48581.26</v>
      </c>
      <c r="I87" s="209">
        <f>E87*H87</f>
        <v>2591810.221</v>
      </c>
      <c r="J87" s="437" t="s">
        <v>120</v>
      </c>
      <c r="K87" s="366" t="s">
        <v>121</v>
      </c>
      <c r="L87" s="99"/>
      <c r="M87" s="44"/>
      <c r="N87" s="41"/>
      <c r="O87" s="41"/>
      <c r="P87" s="41"/>
      <c r="Q87" s="41"/>
      <c r="R87" s="72">
        <v>46030</v>
      </c>
      <c r="S87" s="41">
        <v>53.383</v>
      </c>
      <c r="T87" s="41">
        <f>S87-E87</f>
        <v>0.0330000000000013</v>
      </c>
      <c r="U87" s="45"/>
    </row>
    <row r="88" spans="1:21">
      <c r="A88" s="44">
        <f>A87+1</f>
        <v>84</v>
      </c>
      <c r="B88" s="72">
        <v>46020</v>
      </c>
      <c r="C88" s="207">
        <v>9109871</v>
      </c>
      <c r="D88" s="28">
        <v>53936779</v>
      </c>
      <c r="E88" s="29">
        <v>51.8</v>
      </c>
      <c r="F88" s="41">
        <v>530.57</v>
      </c>
      <c r="G88" s="42">
        <f>E88*F88</f>
        <v>27483.526</v>
      </c>
      <c r="H88" s="208">
        <v>48581.26</v>
      </c>
      <c r="I88" s="209">
        <f>E88*H88</f>
        <v>2516509.268</v>
      </c>
      <c r="J88" s="437" t="s">
        <v>120</v>
      </c>
      <c r="K88" s="366" t="s">
        <v>121</v>
      </c>
      <c r="L88" s="99"/>
      <c r="M88" s="44"/>
      <c r="N88" s="41"/>
      <c r="O88" s="41"/>
      <c r="P88" s="41"/>
      <c r="Q88" s="41"/>
      <c r="R88" s="72">
        <v>46030</v>
      </c>
      <c r="S88" s="41">
        <v>51.561</v>
      </c>
      <c r="T88" s="101">
        <f>S88-E88</f>
        <v>-0.238999999999997</v>
      </c>
      <c r="U88" s="45"/>
    </row>
    <row r="89" spans="1:21">
      <c r="A89" s="44">
        <f>A88+1</f>
        <v>85</v>
      </c>
      <c r="B89" s="72">
        <v>46020</v>
      </c>
      <c r="C89" s="207">
        <v>9109872</v>
      </c>
      <c r="D89" s="28">
        <v>54692405</v>
      </c>
      <c r="E89" s="29">
        <v>61.5</v>
      </c>
      <c r="F89" s="41">
        <v>530.57</v>
      </c>
      <c r="G89" s="42">
        <f>E89*F89</f>
        <v>32630.055</v>
      </c>
      <c r="H89" s="208">
        <v>48581.26</v>
      </c>
      <c r="I89" s="209">
        <f>E89*H89</f>
        <v>2987747.49</v>
      </c>
      <c r="J89" s="437" t="s">
        <v>120</v>
      </c>
      <c r="K89" s="366" t="s">
        <v>121</v>
      </c>
      <c r="L89" s="99"/>
      <c r="M89" s="44"/>
      <c r="N89" s="41"/>
      <c r="O89" s="41"/>
      <c r="P89" s="41"/>
      <c r="Q89" s="41"/>
      <c r="R89" s="72">
        <v>46028</v>
      </c>
      <c r="S89" s="41">
        <v>61.351</v>
      </c>
      <c r="T89" s="101">
        <f>S89-E89</f>
        <v>-0.149000000000001</v>
      </c>
      <c r="U89" s="45"/>
    </row>
    <row r="90" spans="1:21">
      <c r="A90" s="44">
        <f>A89+1</f>
        <v>86</v>
      </c>
      <c r="B90" s="72">
        <v>46020</v>
      </c>
      <c r="C90" s="207">
        <v>9109871</v>
      </c>
      <c r="D90" s="28">
        <v>55655237</v>
      </c>
      <c r="E90" s="29">
        <v>61.3</v>
      </c>
      <c r="F90" s="41">
        <v>530.57</v>
      </c>
      <c r="G90" s="42">
        <f>E90*F90</f>
        <v>32523.941</v>
      </c>
      <c r="H90" s="208">
        <v>48581.26</v>
      </c>
      <c r="I90" s="209">
        <f>E90*H90</f>
        <v>2978031.238</v>
      </c>
      <c r="J90" s="437" t="s">
        <v>120</v>
      </c>
      <c r="K90" s="366" t="s">
        <v>121</v>
      </c>
      <c r="L90" s="99"/>
      <c r="M90" s="44"/>
      <c r="N90" s="41"/>
      <c r="O90" s="41"/>
      <c r="P90" s="41"/>
      <c r="Q90" s="41"/>
      <c r="R90" s="72">
        <v>46030</v>
      </c>
      <c r="S90" s="41">
        <v>60.566</v>
      </c>
      <c r="T90" s="41">
        <f>S90-E90</f>
        <v>-0.733999999999995</v>
      </c>
      <c r="U90" s="45"/>
    </row>
    <row r="91" spans="1:21">
      <c r="A91" s="44">
        <f>A90+1</f>
        <v>87</v>
      </c>
      <c r="B91" s="72">
        <v>46020</v>
      </c>
      <c r="C91" s="207">
        <v>9109871</v>
      </c>
      <c r="D91" s="28">
        <v>55948715</v>
      </c>
      <c r="E91" s="29">
        <v>61.65</v>
      </c>
      <c r="F91" s="41">
        <v>530.57</v>
      </c>
      <c r="G91" s="42">
        <f>E91*F91</f>
        <v>32709.6405</v>
      </c>
      <c r="H91" s="208">
        <v>48581.26</v>
      </c>
      <c r="I91" s="209">
        <f>E91*H91</f>
        <v>2995034.679</v>
      </c>
      <c r="J91" s="437" t="s">
        <v>120</v>
      </c>
      <c r="K91" s="366" t="s">
        <v>121</v>
      </c>
      <c r="L91" s="99"/>
      <c r="M91" s="44"/>
      <c r="N91" s="41"/>
      <c r="O91" s="41"/>
      <c r="P91" s="41"/>
      <c r="Q91" s="41"/>
      <c r="R91" s="72">
        <v>46032</v>
      </c>
      <c r="S91" s="41">
        <v>61.433</v>
      </c>
      <c r="T91" s="101">
        <f>S91-E91</f>
        <v>-0.216999999999999</v>
      </c>
      <c r="U91" s="45"/>
    </row>
    <row r="92" spans="1:21">
      <c r="A92" s="44">
        <f>A91+1</f>
        <v>88</v>
      </c>
      <c r="B92" s="72">
        <v>46020</v>
      </c>
      <c r="C92" s="207">
        <v>9109873</v>
      </c>
      <c r="D92" s="28">
        <v>57011124</v>
      </c>
      <c r="E92" s="29">
        <v>61.5</v>
      </c>
      <c r="F92" s="41">
        <v>530.57</v>
      </c>
      <c r="G92" s="42">
        <f>E92*F92</f>
        <v>32630.055</v>
      </c>
      <c r="H92" s="208">
        <v>48581.26</v>
      </c>
      <c r="I92" s="209">
        <f>E92*H92</f>
        <v>2987747.49</v>
      </c>
      <c r="J92" s="437" t="s">
        <v>120</v>
      </c>
      <c r="K92" s="366" t="s">
        <v>121</v>
      </c>
      <c r="L92" s="99"/>
      <c r="M92" s="44"/>
      <c r="N92" s="41"/>
      <c r="O92" s="41"/>
      <c r="P92" s="41"/>
      <c r="Q92" s="41"/>
      <c r="R92" s="72">
        <v>46028</v>
      </c>
      <c r="S92" s="41">
        <v>61.325</v>
      </c>
      <c r="T92" s="101">
        <f>S92-E92</f>
        <v>-0.174999999999997</v>
      </c>
      <c r="U92" s="45"/>
    </row>
    <row r="93" spans="1:21">
      <c r="A93" s="44">
        <f>A92+1</f>
        <v>89</v>
      </c>
      <c r="B93" s="72">
        <v>46020</v>
      </c>
      <c r="C93" s="207">
        <v>9109873</v>
      </c>
      <c r="D93" s="28">
        <v>57207656</v>
      </c>
      <c r="E93" s="29">
        <v>61.85</v>
      </c>
      <c r="F93" s="41">
        <v>530.57</v>
      </c>
      <c r="G93" s="42">
        <f>E93*F93</f>
        <v>32815.7545</v>
      </c>
      <c r="H93" s="208">
        <v>48581.26</v>
      </c>
      <c r="I93" s="209">
        <f>E93*H93</f>
        <v>3004750.931</v>
      </c>
      <c r="J93" s="437" t="s">
        <v>120</v>
      </c>
      <c r="K93" s="366" t="s">
        <v>121</v>
      </c>
      <c r="L93" s="99"/>
      <c r="M93" s="44"/>
      <c r="N93" s="41"/>
      <c r="O93" s="41"/>
      <c r="P93" s="41"/>
      <c r="Q93" s="41"/>
      <c r="R93" s="72">
        <v>46028</v>
      </c>
      <c r="S93" s="41">
        <v>62.074</v>
      </c>
      <c r="T93" s="101">
        <f>S93-E93</f>
        <v>0.223999999999997</v>
      </c>
      <c r="U93" s="45"/>
    </row>
    <row r="94" spans="1:21">
      <c r="A94" s="44">
        <f>A93+1</f>
        <v>90</v>
      </c>
      <c r="B94" s="72">
        <v>46020</v>
      </c>
      <c r="C94" s="207">
        <v>9109871</v>
      </c>
      <c r="D94" s="28">
        <v>57384067</v>
      </c>
      <c r="E94" s="29">
        <v>61.7</v>
      </c>
      <c r="F94" s="41">
        <v>530.57</v>
      </c>
      <c r="G94" s="42">
        <f>E94*F94</f>
        <v>32736.169</v>
      </c>
      <c r="H94" s="208">
        <v>48581.26</v>
      </c>
      <c r="I94" s="209">
        <f>E94*H94</f>
        <v>2997463.742</v>
      </c>
      <c r="J94" s="437" t="s">
        <v>120</v>
      </c>
      <c r="K94" s="366" t="s">
        <v>121</v>
      </c>
      <c r="L94" s="99"/>
      <c r="M94" s="44"/>
      <c r="N94" s="41"/>
      <c r="O94" s="41"/>
      <c r="P94" s="41"/>
      <c r="Q94" s="41"/>
      <c r="R94" s="72">
        <v>46030</v>
      </c>
      <c r="S94" s="41">
        <v>61.452</v>
      </c>
      <c r="T94" s="41">
        <f>S94-E94</f>
        <v>-0.248000000000005</v>
      </c>
      <c r="U94" s="45"/>
    </row>
    <row r="95" spans="1:21">
      <c r="A95" s="44">
        <f>A94+1</f>
        <v>91</v>
      </c>
      <c r="B95" s="72">
        <v>46020</v>
      </c>
      <c r="C95" s="207">
        <v>9109871</v>
      </c>
      <c r="D95" s="28">
        <v>58640590</v>
      </c>
      <c r="E95" s="29">
        <v>61.75</v>
      </c>
      <c r="F95" s="41">
        <v>530.57</v>
      </c>
      <c r="G95" s="42">
        <f>E95*F95</f>
        <v>32762.6975</v>
      </c>
      <c r="H95" s="208">
        <v>48581.26</v>
      </c>
      <c r="I95" s="209">
        <f>E95*H95</f>
        <v>2999892.805</v>
      </c>
      <c r="J95" s="437" t="s">
        <v>120</v>
      </c>
      <c r="K95" s="366" t="s">
        <v>121</v>
      </c>
      <c r="L95" s="99"/>
      <c r="M95" s="44"/>
      <c r="N95" s="41"/>
      <c r="O95" s="41"/>
      <c r="P95" s="41"/>
      <c r="Q95" s="41"/>
      <c r="R95" s="72">
        <v>46030</v>
      </c>
      <c r="S95" s="41">
        <v>61.535</v>
      </c>
      <c r="T95" s="101">
        <f>S95-E95</f>
        <v>-0.215000000000003</v>
      </c>
      <c r="U95" s="45"/>
    </row>
    <row r="96" spans="1:21">
      <c r="A96" s="44">
        <f>A95+1</f>
        <v>92</v>
      </c>
      <c r="B96" s="72">
        <v>46020</v>
      </c>
      <c r="C96" s="207">
        <v>9109873</v>
      </c>
      <c r="D96" s="28">
        <v>58640731</v>
      </c>
      <c r="E96" s="29">
        <v>61.55</v>
      </c>
      <c r="F96" s="41">
        <v>530.57</v>
      </c>
      <c r="G96" s="42">
        <f>E96*F96</f>
        <v>32656.5835</v>
      </c>
      <c r="H96" s="208">
        <v>48581.26</v>
      </c>
      <c r="I96" s="209">
        <f>E96*H96</f>
        <v>2990176.553</v>
      </c>
      <c r="J96" s="437" t="s">
        <v>120</v>
      </c>
      <c r="K96" s="366" t="s">
        <v>121</v>
      </c>
      <c r="L96" s="99"/>
      <c r="M96" s="44"/>
      <c r="N96" s="41"/>
      <c r="O96" s="41"/>
      <c r="P96" s="41"/>
      <c r="R96" s="72">
        <v>46028</v>
      </c>
      <c r="S96" s="41">
        <v>61.325</v>
      </c>
      <c r="T96" s="101">
        <f>S96-E96</f>
        <v>-0.224999999999994</v>
      </c>
      <c r="U96" s="45"/>
    </row>
    <row r="97" spans="1:21">
      <c r="A97" s="44">
        <f>A96+1</f>
        <v>93</v>
      </c>
      <c r="B97" s="72">
        <v>46020</v>
      </c>
      <c r="C97" s="216">
        <v>9109873</v>
      </c>
      <c r="D97" s="47">
        <v>58644097</v>
      </c>
      <c r="E97" s="48">
        <v>61.7</v>
      </c>
      <c r="F97" s="41">
        <v>530.57</v>
      </c>
      <c r="G97" s="123">
        <f>E97*F97</f>
        <v>32736.169</v>
      </c>
      <c r="H97" s="442">
        <v>48581.26</v>
      </c>
      <c r="I97" s="218">
        <f>E97*H97</f>
        <v>2997463.742</v>
      </c>
      <c r="J97" s="419" t="s">
        <v>120</v>
      </c>
      <c r="K97" s="366" t="s">
        <v>121</v>
      </c>
      <c r="L97" s="100"/>
      <c r="M97" s="75"/>
      <c r="N97" s="77"/>
      <c r="O97" s="77"/>
      <c r="P97" s="77"/>
      <c r="Q97" s="77"/>
      <c r="R97" s="72">
        <v>46028</v>
      </c>
      <c r="S97" s="77">
        <v>61.587</v>
      </c>
      <c r="T97" s="101">
        <f>S97-E97</f>
        <v>-0.113</v>
      </c>
      <c r="U97" s="91"/>
    </row>
    <row r="98" spans="1:21">
      <c r="A98" s="44">
        <f>A97+1</f>
        <v>94</v>
      </c>
      <c r="B98" s="72">
        <v>46020</v>
      </c>
      <c r="C98" s="207">
        <v>9109871</v>
      </c>
      <c r="D98" s="28">
        <v>73072076</v>
      </c>
      <c r="E98" s="29">
        <v>61.75</v>
      </c>
      <c r="F98" s="41">
        <v>530.57</v>
      </c>
      <c r="G98" s="42">
        <f>E98*F98</f>
        <v>32762.6975</v>
      </c>
      <c r="H98" s="208">
        <v>48581.26</v>
      </c>
      <c r="I98" s="235">
        <f>E98*H98</f>
        <v>2999892.805</v>
      </c>
      <c r="J98" s="34" t="s">
        <v>120</v>
      </c>
      <c r="K98" s="366" t="s">
        <v>121</v>
      </c>
      <c r="L98" s="99"/>
      <c r="M98" s="44"/>
      <c r="N98" s="41"/>
      <c r="O98" s="41"/>
      <c r="P98" s="41"/>
      <c r="Q98" s="41"/>
      <c r="R98" s="72">
        <v>46030</v>
      </c>
      <c r="S98" s="41">
        <v>61.707</v>
      </c>
      <c r="T98" s="41">
        <f>S98-E98</f>
        <v>-0.0429999999999993</v>
      </c>
      <c r="U98" s="45"/>
    </row>
    <row r="99" spans="1:21">
      <c r="A99" s="44">
        <f>A98+1</f>
        <v>95</v>
      </c>
      <c r="B99" s="72">
        <v>46020</v>
      </c>
      <c r="C99" s="207">
        <v>9109872</v>
      </c>
      <c r="D99" s="28">
        <v>73084469</v>
      </c>
      <c r="E99" s="29">
        <v>61.6</v>
      </c>
      <c r="F99" s="41">
        <v>530.57</v>
      </c>
      <c r="G99" s="42">
        <f>E99*F99</f>
        <v>32683.112</v>
      </c>
      <c r="H99" s="208">
        <v>48581.26</v>
      </c>
      <c r="I99" s="235">
        <f>E99*H99</f>
        <v>2992605.616</v>
      </c>
      <c r="J99" s="34" t="s">
        <v>120</v>
      </c>
      <c r="K99" s="366" t="s">
        <v>121</v>
      </c>
      <c r="L99" s="99"/>
      <c r="M99" s="44"/>
      <c r="N99" s="41"/>
      <c r="O99" s="41"/>
      <c r="P99" s="41"/>
      <c r="Q99" s="41"/>
      <c r="R99" s="72">
        <v>46032</v>
      </c>
      <c r="S99" s="41">
        <v>61.079</v>
      </c>
      <c r="T99" s="101">
        <f>S99-E99</f>
        <v>-0.521000000000001</v>
      </c>
      <c r="U99" s="45"/>
    </row>
    <row r="100" spans="1:21">
      <c r="A100" s="44">
        <f>A99+1</f>
        <v>96</v>
      </c>
      <c r="B100" s="72">
        <v>46020</v>
      </c>
      <c r="C100" s="207">
        <v>9109872</v>
      </c>
      <c r="D100" s="28">
        <v>73103475</v>
      </c>
      <c r="E100" s="29">
        <v>61.5</v>
      </c>
      <c r="F100" s="41">
        <v>530.57</v>
      </c>
      <c r="G100" s="42">
        <f>E100*F100</f>
        <v>32630.055</v>
      </c>
      <c r="H100" s="208">
        <v>48581.26</v>
      </c>
      <c r="I100" s="235">
        <f>E100*H100</f>
        <v>2987747.49</v>
      </c>
      <c r="J100" s="34" t="s">
        <v>120</v>
      </c>
      <c r="K100" s="366" t="s">
        <v>121</v>
      </c>
      <c r="L100" s="99"/>
      <c r="M100" s="44"/>
      <c r="N100" s="41"/>
      <c r="O100" s="41"/>
      <c r="P100" s="41"/>
      <c r="Q100" s="41"/>
      <c r="R100" s="72">
        <v>46032</v>
      </c>
      <c r="S100" s="41">
        <v>61.614</v>
      </c>
      <c r="T100" s="101">
        <f>S100-E100</f>
        <v>0.113999999999997</v>
      </c>
      <c r="U100" s="45"/>
    </row>
    <row r="101" spans="1:21">
      <c r="A101" s="44">
        <f>A100+1</f>
        <v>97</v>
      </c>
      <c r="B101" s="72">
        <v>46020</v>
      </c>
      <c r="C101" s="207">
        <v>9109873</v>
      </c>
      <c r="D101" s="28">
        <v>73140352</v>
      </c>
      <c r="E101" s="29">
        <v>61.6</v>
      </c>
      <c r="F101" s="41">
        <v>530.57</v>
      </c>
      <c r="G101" s="42">
        <f>E101*F101</f>
        <v>32683.112</v>
      </c>
      <c r="H101" s="208">
        <v>48581.26</v>
      </c>
      <c r="I101" s="235">
        <f>E101*H101</f>
        <v>2992605.616</v>
      </c>
      <c r="J101" s="34" t="s">
        <v>120</v>
      </c>
      <c r="K101" s="366" t="s">
        <v>121</v>
      </c>
      <c r="L101" s="99"/>
      <c r="M101" s="44"/>
      <c r="N101" s="41"/>
      <c r="O101" s="41"/>
      <c r="P101" s="41"/>
      <c r="Q101" s="41"/>
      <c r="R101" s="72">
        <v>46028</v>
      </c>
      <c r="S101" s="41">
        <v>61.543</v>
      </c>
      <c r="T101" s="101">
        <f>S101-E101</f>
        <v>-0.0570000000000022</v>
      </c>
      <c r="U101" s="45"/>
    </row>
    <row r="102" spans="1:21">
      <c r="A102" s="44">
        <f>A101+1</f>
        <v>98</v>
      </c>
      <c r="B102" s="72">
        <v>46020</v>
      </c>
      <c r="C102" s="207">
        <v>9109872</v>
      </c>
      <c r="D102" s="28">
        <v>73189912</v>
      </c>
      <c r="E102" s="29">
        <v>61.6</v>
      </c>
      <c r="F102" s="41">
        <v>530.57</v>
      </c>
      <c r="G102" s="42">
        <f>E102*F102</f>
        <v>32683.112</v>
      </c>
      <c r="H102" s="208">
        <v>48581.26</v>
      </c>
      <c r="I102" s="235">
        <f>E102*H102</f>
        <v>2992605.616</v>
      </c>
      <c r="J102" s="34" t="s">
        <v>120</v>
      </c>
      <c r="K102" s="366" t="s">
        <v>121</v>
      </c>
      <c r="L102" s="99"/>
      <c r="M102" s="44"/>
      <c r="N102" s="41"/>
      <c r="O102" s="41"/>
      <c r="P102" s="41"/>
      <c r="Q102" s="41"/>
      <c r="R102" s="72">
        <v>46028</v>
      </c>
      <c r="S102" s="41">
        <v>61.748</v>
      </c>
      <c r="T102" s="101">
        <f>S102-E102</f>
        <v>0.147999999999996</v>
      </c>
      <c r="U102" s="45"/>
    </row>
    <row r="103" spans="1:21">
      <c r="A103" s="44">
        <f>A102+1</f>
        <v>99</v>
      </c>
      <c r="B103" s="72">
        <v>46020</v>
      </c>
      <c r="C103" s="207">
        <v>9109872</v>
      </c>
      <c r="D103" s="28">
        <v>73191678</v>
      </c>
      <c r="E103" s="29">
        <v>61.55</v>
      </c>
      <c r="F103" s="41">
        <v>530.57</v>
      </c>
      <c r="G103" s="42">
        <f>E103*F103</f>
        <v>32656.5835</v>
      </c>
      <c r="H103" s="208">
        <v>48581.26</v>
      </c>
      <c r="I103" s="235">
        <f>E103*H103</f>
        <v>2990176.553</v>
      </c>
      <c r="J103" s="34" t="s">
        <v>120</v>
      </c>
      <c r="K103" s="366" t="s">
        <v>121</v>
      </c>
      <c r="L103" s="99"/>
      <c r="M103" s="44"/>
      <c r="N103" s="41"/>
      <c r="O103" s="41"/>
      <c r="P103" s="41"/>
      <c r="Q103" s="41"/>
      <c r="R103" s="72">
        <v>46028</v>
      </c>
      <c r="S103" s="41">
        <v>61.529</v>
      </c>
      <c r="T103" s="101">
        <f>S103-E103</f>
        <v>-0.0209999999999937</v>
      </c>
      <c r="U103" s="45"/>
    </row>
    <row r="104" spans="1:21">
      <c r="A104" s="44">
        <f>A103+1</f>
        <v>100</v>
      </c>
      <c r="B104" s="72">
        <v>46020</v>
      </c>
      <c r="C104" s="207">
        <v>9109873</v>
      </c>
      <c r="D104" s="28">
        <v>73192783</v>
      </c>
      <c r="E104" s="29">
        <v>61.5</v>
      </c>
      <c r="F104" s="41">
        <v>530.57</v>
      </c>
      <c r="G104" s="42">
        <f>E104*F104</f>
        <v>32630.055</v>
      </c>
      <c r="H104" s="208">
        <v>48581.26</v>
      </c>
      <c r="I104" s="235">
        <f>E104*H104</f>
        <v>2987747.49</v>
      </c>
      <c r="J104" s="34" t="s">
        <v>120</v>
      </c>
      <c r="K104" s="366" t="s">
        <v>121</v>
      </c>
      <c r="L104" s="99"/>
      <c r="M104" s="44"/>
      <c r="N104" s="41"/>
      <c r="O104" s="41"/>
      <c r="P104" s="41"/>
      <c r="Q104" s="41"/>
      <c r="R104" s="72">
        <v>46028</v>
      </c>
      <c r="S104" s="41">
        <v>61.364</v>
      </c>
      <c r="T104" s="101">
        <f>S104-E104</f>
        <v>-0.136000000000003</v>
      </c>
      <c r="U104" s="45"/>
    </row>
    <row r="105" spans="1:21">
      <c r="A105" s="44">
        <f>A104+1</f>
        <v>101</v>
      </c>
      <c r="B105" s="72">
        <v>46020</v>
      </c>
      <c r="C105" s="207">
        <v>9109871</v>
      </c>
      <c r="D105" s="28">
        <v>73200545</v>
      </c>
      <c r="E105" s="29">
        <v>61.55</v>
      </c>
      <c r="F105" s="41">
        <v>530.57</v>
      </c>
      <c r="G105" s="42">
        <f>E105*F105</f>
        <v>32656.5835</v>
      </c>
      <c r="H105" s="208">
        <v>48581.26</v>
      </c>
      <c r="I105" s="235">
        <f>E105*H105</f>
        <v>2990176.553</v>
      </c>
      <c r="J105" s="34" t="s">
        <v>120</v>
      </c>
      <c r="K105" s="366" t="s">
        <v>121</v>
      </c>
      <c r="L105" s="99"/>
      <c r="M105" s="44"/>
      <c r="N105" s="41"/>
      <c r="O105" s="41"/>
      <c r="P105" s="41"/>
      <c r="Q105" s="41"/>
      <c r="R105" s="72">
        <v>46030</v>
      </c>
      <c r="S105" s="41">
        <v>61.418</v>
      </c>
      <c r="T105" s="41">
        <f>S105-E105</f>
        <v>-0.131999999999998</v>
      </c>
      <c r="U105" s="45"/>
    </row>
    <row r="106" spans="1:21">
      <c r="A106" s="44">
        <f>A105+1</f>
        <v>102</v>
      </c>
      <c r="B106" s="72">
        <v>46020</v>
      </c>
      <c r="C106" s="207">
        <v>9109873</v>
      </c>
      <c r="D106" s="28">
        <v>73505182</v>
      </c>
      <c r="E106" s="29">
        <v>61.5</v>
      </c>
      <c r="F106" s="41">
        <v>530.57</v>
      </c>
      <c r="G106" s="42">
        <f>E106*F106</f>
        <v>32630.055</v>
      </c>
      <c r="H106" s="208">
        <v>48581.26</v>
      </c>
      <c r="I106" s="235">
        <f>E106*H106</f>
        <v>2987747.49</v>
      </c>
      <c r="J106" s="34" t="s">
        <v>120</v>
      </c>
      <c r="K106" s="366" t="s">
        <v>121</v>
      </c>
      <c r="L106" s="99"/>
      <c r="M106" s="44"/>
      <c r="N106" s="41"/>
      <c r="O106" s="41"/>
      <c r="P106" s="41"/>
      <c r="Q106" s="41"/>
      <c r="R106" s="72">
        <v>46028</v>
      </c>
      <c r="S106" s="41">
        <v>61.476</v>
      </c>
      <c r="T106" s="101">
        <f>S106-E106</f>
        <v>-0.0240000000000009</v>
      </c>
      <c r="U106" s="45"/>
    </row>
    <row r="107" spans="1:21">
      <c r="A107" s="44">
        <f>A106+1</f>
        <v>103</v>
      </c>
      <c r="B107" s="72">
        <v>46020</v>
      </c>
      <c r="C107" s="207">
        <v>9109873</v>
      </c>
      <c r="D107" s="28">
        <v>73994873</v>
      </c>
      <c r="E107" s="29">
        <v>61</v>
      </c>
      <c r="F107" s="41">
        <v>530.57</v>
      </c>
      <c r="G107" s="42">
        <f>E107*F107</f>
        <v>32364.77</v>
      </c>
      <c r="H107" s="208">
        <v>48581.26</v>
      </c>
      <c r="I107" s="235">
        <f>E107*H107</f>
        <v>2963456.86</v>
      </c>
      <c r="J107" s="34" t="s">
        <v>120</v>
      </c>
      <c r="K107" s="366" t="s">
        <v>121</v>
      </c>
      <c r="L107" s="99"/>
      <c r="M107" s="44"/>
      <c r="N107" s="41"/>
      <c r="O107" s="41"/>
      <c r="P107" s="41"/>
      <c r="Q107" s="41"/>
      <c r="R107" s="72">
        <v>46028</v>
      </c>
      <c r="S107" s="41">
        <v>60.99</v>
      </c>
      <c r="T107" s="101">
        <f>S107-E107</f>
        <v>-0.00999999999999801</v>
      </c>
      <c r="U107" s="45"/>
    </row>
    <row r="108" spans="1:21">
      <c r="A108" s="44">
        <f>A107+1</f>
        <v>104</v>
      </c>
      <c r="B108" s="72">
        <v>46020</v>
      </c>
      <c r="C108" s="207">
        <v>9109873</v>
      </c>
      <c r="D108" s="28">
        <v>75062976</v>
      </c>
      <c r="E108" s="29">
        <v>61.6</v>
      </c>
      <c r="F108" s="41">
        <v>530.57</v>
      </c>
      <c r="G108" s="42">
        <f>E108*F108</f>
        <v>32683.112</v>
      </c>
      <c r="H108" s="208">
        <v>48581.26</v>
      </c>
      <c r="I108" s="235">
        <f>E108*H108</f>
        <v>2992605.616</v>
      </c>
      <c r="J108" s="34" t="s">
        <v>120</v>
      </c>
      <c r="K108" s="366" t="s">
        <v>121</v>
      </c>
      <c r="L108" s="99"/>
      <c r="M108" s="44"/>
      <c r="N108" s="41"/>
      <c r="O108" s="41"/>
      <c r="P108" s="41"/>
      <c r="Q108" s="41"/>
      <c r="R108" s="72">
        <v>46028</v>
      </c>
      <c r="S108" s="41">
        <v>61.475</v>
      </c>
      <c r="T108" s="101">
        <f>S108-E108</f>
        <v>-0.125</v>
      </c>
      <c r="U108" s="45"/>
    </row>
    <row r="109" spans="1:21">
      <c r="A109" s="44">
        <f>A108+1</f>
        <v>105</v>
      </c>
      <c r="B109" s="72">
        <v>46020</v>
      </c>
      <c r="C109" s="207">
        <v>9109873</v>
      </c>
      <c r="D109" s="28">
        <v>75109322</v>
      </c>
      <c r="E109" s="29">
        <v>61.55</v>
      </c>
      <c r="F109" s="41">
        <v>530.57</v>
      </c>
      <c r="G109" s="42">
        <f>E109*F109</f>
        <v>32656.5835</v>
      </c>
      <c r="H109" s="208">
        <v>48581.26</v>
      </c>
      <c r="I109" s="235">
        <f>E109*H109</f>
        <v>2990176.553</v>
      </c>
      <c r="J109" s="34" t="s">
        <v>120</v>
      </c>
      <c r="K109" s="366" t="s">
        <v>121</v>
      </c>
      <c r="L109" s="99"/>
      <c r="M109" s="44"/>
      <c r="N109" s="41"/>
      <c r="O109" s="41"/>
      <c r="P109" s="41"/>
      <c r="Q109" s="41"/>
      <c r="R109" s="72">
        <v>46028</v>
      </c>
      <c r="S109" s="41">
        <v>61.383</v>
      </c>
      <c r="T109" s="101">
        <f>S109-E109</f>
        <v>-0.166999999999994</v>
      </c>
      <c r="U109" s="45"/>
    </row>
    <row r="110" spans="1:21">
      <c r="A110" s="44">
        <f>A109+1</f>
        <v>106</v>
      </c>
      <c r="B110" s="72">
        <v>46020</v>
      </c>
      <c r="C110" s="207">
        <v>9109872</v>
      </c>
      <c r="D110" s="28">
        <v>75237636</v>
      </c>
      <c r="E110" s="29">
        <v>62.1</v>
      </c>
      <c r="F110" s="41">
        <v>530.57</v>
      </c>
      <c r="G110" s="42">
        <f>E110*F110</f>
        <v>32948.397</v>
      </c>
      <c r="H110" s="208">
        <v>48581.26</v>
      </c>
      <c r="I110" s="235">
        <f>E110*H110</f>
        <v>3016896.246</v>
      </c>
      <c r="J110" s="34" t="s">
        <v>120</v>
      </c>
      <c r="K110" s="366" t="s">
        <v>121</v>
      </c>
      <c r="L110" s="99"/>
      <c r="M110" s="44"/>
      <c r="N110" s="41"/>
      <c r="O110" s="41"/>
      <c r="P110" s="41"/>
      <c r="Q110" s="41"/>
      <c r="R110" s="72">
        <v>46028</v>
      </c>
      <c r="S110" s="41">
        <v>62.293</v>
      </c>
      <c r="T110" s="101">
        <f>S110-E110</f>
        <v>0.192999999999998</v>
      </c>
      <c r="U110" s="45"/>
    </row>
    <row r="111" spans="1:21">
      <c r="A111" s="44">
        <f>A110+1</f>
        <v>107</v>
      </c>
      <c r="B111" s="72">
        <v>46020</v>
      </c>
      <c r="C111" s="207">
        <v>9109871</v>
      </c>
      <c r="D111" s="28">
        <v>75279349</v>
      </c>
      <c r="E111" s="29">
        <v>62.05</v>
      </c>
      <c r="F111" s="41">
        <v>530.57</v>
      </c>
      <c r="G111" s="42">
        <f>E111*F111</f>
        <v>32921.8685</v>
      </c>
      <c r="H111" s="208">
        <v>48581.26</v>
      </c>
      <c r="I111" s="235">
        <f>E111*H111</f>
        <v>3014467.183</v>
      </c>
      <c r="J111" s="34" t="s">
        <v>120</v>
      </c>
      <c r="K111" s="366" t="s">
        <v>121</v>
      </c>
      <c r="L111" s="99"/>
      <c r="M111" s="44"/>
      <c r="N111" s="41"/>
      <c r="O111" s="41"/>
      <c r="P111" s="41"/>
      <c r="Q111" s="41"/>
      <c r="R111" s="72">
        <v>46032</v>
      </c>
      <c r="S111" s="41">
        <v>61.87</v>
      </c>
      <c r="T111" s="101">
        <f>S111-E111</f>
        <v>-0.18</v>
      </c>
      <c r="U111" s="45"/>
    </row>
    <row r="112" spans="1:21">
      <c r="A112" s="44">
        <f>A111+1</f>
        <v>108</v>
      </c>
      <c r="B112" s="72">
        <v>46020</v>
      </c>
      <c r="C112" s="207">
        <v>9109871</v>
      </c>
      <c r="D112" s="28">
        <v>75279406</v>
      </c>
      <c r="E112" s="29">
        <v>62</v>
      </c>
      <c r="F112" s="41">
        <v>530.57</v>
      </c>
      <c r="G112" s="42">
        <f>E112*F112</f>
        <v>32895.34</v>
      </c>
      <c r="H112" s="208">
        <v>48581.26</v>
      </c>
      <c r="I112" s="235">
        <f>E112*H112</f>
        <v>3012038.12</v>
      </c>
      <c r="J112" s="34" t="s">
        <v>120</v>
      </c>
      <c r="K112" s="366" t="s">
        <v>121</v>
      </c>
      <c r="L112" s="99"/>
      <c r="M112" s="44"/>
      <c r="N112" s="41"/>
      <c r="O112" s="41"/>
      <c r="P112" s="41"/>
      <c r="Q112" s="41"/>
      <c r="R112" s="72">
        <v>46032</v>
      </c>
      <c r="S112" s="41">
        <v>61.824</v>
      </c>
      <c r="T112" s="41">
        <f>S112-E112</f>
        <v>-0.176000000000002</v>
      </c>
      <c r="U112" s="45"/>
    </row>
    <row r="113" spans="1:21">
      <c r="A113" s="44">
        <f>A112+1</f>
        <v>109</v>
      </c>
      <c r="B113" s="72">
        <v>46020</v>
      </c>
      <c r="C113" s="207">
        <v>9109871</v>
      </c>
      <c r="D113" s="28">
        <v>75542696</v>
      </c>
      <c r="E113" s="29">
        <v>62.1</v>
      </c>
      <c r="F113" s="41">
        <v>530.57</v>
      </c>
      <c r="G113" s="42">
        <f>E113*F113</f>
        <v>32948.397</v>
      </c>
      <c r="H113" s="208">
        <v>48581.26</v>
      </c>
      <c r="I113" s="235">
        <f>E113*H113</f>
        <v>3016896.246</v>
      </c>
      <c r="J113" s="34" t="s">
        <v>120</v>
      </c>
      <c r="K113" s="366" t="s">
        <v>121</v>
      </c>
      <c r="L113" s="99"/>
      <c r="M113" s="44"/>
      <c r="N113" s="41"/>
      <c r="O113" s="41"/>
      <c r="P113" s="41"/>
      <c r="Q113" s="41"/>
      <c r="R113" s="72">
        <v>46030</v>
      </c>
      <c r="S113" s="41">
        <v>62.056</v>
      </c>
      <c r="T113" s="41">
        <f>S113-E113</f>
        <v>-0.044000000000004</v>
      </c>
      <c r="U113" s="45"/>
    </row>
    <row r="114" spans="1:21">
      <c r="A114" s="44">
        <f>A113+1</f>
        <v>110</v>
      </c>
      <c r="B114" s="72">
        <v>46020</v>
      </c>
      <c r="C114" s="207">
        <v>9109871</v>
      </c>
      <c r="D114" s="28">
        <v>75758896</v>
      </c>
      <c r="E114" s="29">
        <v>62.1</v>
      </c>
      <c r="F114" s="41">
        <v>530.57</v>
      </c>
      <c r="G114" s="42">
        <f>E114*F114</f>
        <v>32948.397</v>
      </c>
      <c r="H114" s="208">
        <v>48581.26</v>
      </c>
      <c r="I114" s="235">
        <f>E114*H114</f>
        <v>3016896.246</v>
      </c>
      <c r="J114" s="34" t="s">
        <v>120</v>
      </c>
      <c r="K114" s="366" t="s">
        <v>121</v>
      </c>
      <c r="L114" s="99"/>
      <c r="M114" s="44"/>
      <c r="N114" s="41"/>
      <c r="O114" s="41"/>
      <c r="P114" s="41"/>
      <c r="Q114" s="41"/>
      <c r="R114" s="72">
        <v>46030</v>
      </c>
      <c r="S114" s="41">
        <v>61.887</v>
      </c>
      <c r="T114" s="41">
        <f>S114-E114</f>
        <v>-0.213000000000001</v>
      </c>
      <c r="U114" s="45"/>
    </row>
    <row r="115" spans="1:21">
      <c r="A115" s="44">
        <f>A114+1</f>
        <v>111</v>
      </c>
      <c r="B115" s="72">
        <v>46020</v>
      </c>
      <c r="C115" s="207">
        <v>9109872</v>
      </c>
      <c r="D115" s="28">
        <v>76635796</v>
      </c>
      <c r="E115" s="29">
        <v>62.05</v>
      </c>
      <c r="F115" s="41">
        <v>530.57</v>
      </c>
      <c r="G115" s="42">
        <f>E115*F115</f>
        <v>32921.8685</v>
      </c>
      <c r="H115" s="208">
        <v>48581.26</v>
      </c>
      <c r="I115" s="235">
        <f>E115*H115</f>
        <v>3014467.183</v>
      </c>
      <c r="J115" s="34" t="s">
        <v>120</v>
      </c>
      <c r="K115" s="366" t="s">
        <v>121</v>
      </c>
      <c r="L115" s="99"/>
      <c r="M115" s="44"/>
      <c r="N115" s="41"/>
      <c r="O115" s="41"/>
      <c r="P115" s="41"/>
      <c r="Q115" s="41"/>
      <c r="R115" s="72">
        <v>46028</v>
      </c>
      <c r="S115" s="41">
        <v>60.063</v>
      </c>
      <c r="T115" s="101">
        <f>S115-E115</f>
        <v>-1.98699999999999</v>
      </c>
      <c r="U115" s="45"/>
    </row>
    <row r="116" spans="1:21">
      <c r="A116" s="44">
        <f>A115+1</f>
        <v>112</v>
      </c>
      <c r="B116" s="72">
        <v>46020</v>
      </c>
      <c r="C116" s="207">
        <v>9109872</v>
      </c>
      <c r="D116" s="28">
        <v>76792290</v>
      </c>
      <c r="E116" s="29">
        <v>62.05</v>
      </c>
      <c r="F116" s="41">
        <v>530.57</v>
      </c>
      <c r="G116" s="42">
        <f>E116*F116</f>
        <v>32921.8685</v>
      </c>
      <c r="H116" s="208">
        <v>48581.26</v>
      </c>
      <c r="I116" s="235">
        <f>E116*H116</f>
        <v>3014467.183</v>
      </c>
      <c r="J116" s="34" t="s">
        <v>120</v>
      </c>
      <c r="K116" s="366" t="s">
        <v>121</v>
      </c>
      <c r="L116" s="99"/>
      <c r="M116" s="44"/>
      <c r="N116" s="41"/>
      <c r="O116" s="41"/>
      <c r="P116" s="41"/>
      <c r="Q116" s="41"/>
      <c r="R116" s="72">
        <v>46028</v>
      </c>
      <c r="S116" s="41">
        <v>62.079</v>
      </c>
      <c r="T116" s="101">
        <f>S116-E116</f>
        <v>0.0290000000000035</v>
      </c>
      <c r="U116" s="45"/>
    </row>
    <row r="117" spans="1:21">
      <c r="A117" s="44">
        <f>A116+1</f>
        <v>113</v>
      </c>
      <c r="B117" s="72">
        <v>46020</v>
      </c>
      <c r="C117" s="207">
        <v>9109872</v>
      </c>
      <c r="D117" s="28">
        <v>76832690</v>
      </c>
      <c r="E117" s="29">
        <v>62.05</v>
      </c>
      <c r="F117" s="41">
        <v>530.57</v>
      </c>
      <c r="G117" s="42">
        <f>E117*F117</f>
        <v>32921.8685</v>
      </c>
      <c r="H117" s="208">
        <v>48581.26</v>
      </c>
      <c r="I117" s="235">
        <f>E117*H117</f>
        <v>3014467.183</v>
      </c>
      <c r="J117" s="34" t="s">
        <v>120</v>
      </c>
      <c r="K117" s="366" t="s">
        <v>121</v>
      </c>
      <c r="L117" s="99"/>
      <c r="M117" s="44"/>
      <c r="N117" s="41"/>
      <c r="O117" s="41"/>
      <c r="P117" s="41"/>
      <c r="Q117" s="41"/>
      <c r="R117" s="72">
        <v>46028</v>
      </c>
      <c r="S117" s="41">
        <v>62.191</v>
      </c>
      <c r="T117" s="101">
        <f>S117-E117</f>
        <v>0.141000000000005</v>
      </c>
      <c r="U117" s="45"/>
    </row>
    <row r="118" spans="1:21">
      <c r="A118" s="44">
        <f>A117+1</f>
        <v>114</v>
      </c>
      <c r="B118" s="72">
        <v>46020</v>
      </c>
      <c r="C118" s="207">
        <v>9109873</v>
      </c>
      <c r="D118" s="28">
        <v>76909597</v>
      </c>
      <c r="E118" s="29">
        <v>61.85</v>
      </c>
      <c r="F118" s="41">
        <v>530.57</v>
      </c>
      <c r="G118" s="42">
        <f>E118*F118</f>
        <v>32815.7545</v>
      </c>
      <c r="H118" s="208">
        <v>48581.26</v>
      </c>
      <c r="I118" s="235">
        <f>E118*H118</f>
        <v>3004750.931</v>
      </c>
      <c r="J118" s="34" t="s">
        <v>120</v>
      </c>
      <c r="K118" s="366" t="s">
        <v>121</v>
      </c>
      <c r="L118" s="99"/>
      <c r="M118" s="44"/>
      <c r="N118" s="41"/>
      <c r="O118" s="41"/>
      <c r="P118" s="41"/>
      <c r="Q118" s="41"/>
      <c r="R118" s="72">
        <v>46028</v>
      </c>
      <c r="S118" s="41">
        <v>61.782</v>
      </c>
      <c r="T118" s="101">
        <f>S118-E118</f>
        <v>-0.0680000000000049</v>
      </c>
      <c r="U118" s="45"/>
    </row>
    <row r="119" ht="15.75" spans="1:21">
      <c r="A119" s="75">
        <f>A118+1</f>
        <v>115</v>
      </c>
      <c r="B119" s="76">
        <v>46020</v>
      </c>
      <c r="C119" s="216">
        <v>9109872</v>
      </c>
      <c r="D119" s="47">
        <v>76911494</v>
      </c>
      <c r="E119" s="48">
        <v>62.05</v>
      </c>
      <c r="F119" s="41">
        <v>530.57</v>
      </c>
      <c r="G119" s="123">
        <f>E119*F119</f>
        <v>32921.8685</v>
      </c>
      <c r="H119" s="442">
        <v>48581.26</v>
      </c>
      <c r="I119" s="249">
        <f>E119*H119</f>
        <v>3014467.183</v>
      </c>
      <c r="J119" s="81" t="s">
        <v>120</v>
      </c>
      <c r="K119" s="366" t="s">
        <v>121</v>
      </c>
      <c r="L119" s="100"/>
      <c r="M119" s="75"/>
      <c r="N119" s="77"/>
      <c r="O119" s="77"/>
      <c r="P119" s="77"/>
      <c r="Q119" s="77"/>
      <c r="R119" s="76">
        <v>46032</v>
      </c>
      <c r="S119" s="77">
        <v>61.835</v>
      </c>
      <c r="T119" s="77">
        <f>S119-E119</f>
        <v>-0.214999999999996</v>
      </c>
      <c r="U119" s="91"/>
    </row>
    <row r="120" ht="15.75" spans="1:21">
      <c r="A120" s="444"/>
      <c r="B120" s="445"/>
      <c r="C120" s="445"/>
      <c r="D120" s="445"/>
      <c r="E120" s="446"/>
      <c r="F120" s="447"/>
      <c r="G120" s="448"/>
      <c r="H120" s="447"/>
      <c r="I120" s="449"/>
      <c r="J120" s="445"/>
      <c r="K120" s="450"/>
      <c r="L120" s="451"/>
      <c r="M120" s="452"/>
      <c r="N120" s="445"/>
      <c r="O120" s="445"/>
      <c r="P120" s="445"/>
      <c r="Q120" s="445"/>
      <c r="R120" s="445"/>
      <c r="S120" s="453"/>
      <c r="T120" s="454"/>
      <c r="U120" s="450"/>
    </row>
    <row r="121" spans="1:21">
      <c r="A121" s="67">
        <v>116</v>
      </c>
      <c r="B121" s="27">
        <v>46021</v>
      </c>
      <c r="C121" s="394" t="s">
        <v>122</v>
      </c>
      <c r="D121" s="67">
        <v>54695697</v>
      </c>
      <c r="E121" s="68">
        <v>61.55</v>
      </c>
      <c r="F121" s="41">
        <v>530.57</v>
      </c>
      <c r="G121" s="42">
        <f>E121*F121</f>
        <v>32656.5835</v>
      </c>
      <c r="H121" s="208">
        <v>48581.26</v>
      </c>
      <c r="I121" s="235">
        <f>E121*H121</f>
        <v>2990176.553</v>
      </c>
      <c r="J121" s="34" t="s">
        <v>120</v>
      </c>
      <c r="K121" s="366" t="s">
        <v>121</v>
      </c>
      <c r="L121" s="95"/>
      <c r="M121" s="37"/>
      <c r="N121" s="38"/>
      <c r="O121" s="38"/>
      <c r="P121" s="38"/>
      <c r="Q121" s="38"/>
      <c r="R121" s="115">
        <v>46032</v>
      </c>
      <c r="S121" s="38">
        <v>61.206</v>
      </c>
      <c r="T121" s="101">
        <f>S121-E121</f>
        <v>-0.343999999999994</v>
      </c>
      <c r="U121" s="39"/>
    </row>
    <row r="122" spans="1:21">
      <c r="A122" s="41">
        <f>A121+1</f>
        <v>117</v>
      </c>
      <c r="B122" s="72">
        <v>46021</v>
      </c>
      <c r="C122" s="333" t="s">
        <v>122</v>
      </c>
      <c r="D122" s="41">
        <v>55950380</v>
      </c>
      <c r="E122" s="73">
        <v>61.55</v>
      </c>
      <c r="F122" s="41">
        <v>530.57</v>
      </c>
      <c r="G122" s="42">
        <f>E122*F122</f>
        <v>32656.5835</v>
      </c>
      <c r="H122" s="208">
        <v>48581.26</v>
      </c>
      <c r="I122" s="235">
        <f>E122*H122</f>
        <v>2990176.553</v>
      </c>
      <c r="J122" s="34" t="s">
        <v>120</v>
      </c>
      <c r="K122" s="366" t="s">
        <v>121</v>
      </c>
      <c r="L122" s="89"/>
      <c r="M122" s="44"/>
      <c r="N122" s="41"/>
      <c r="O122" s="41"/>
      <c r="P122" s="41"/>
      <c r="Q122" s="41"/>
      <c r="R122" s="27">
        <v>46032</v>
      </c>
      <c r="S122" s="41">
        <v>61.322</v>
      </c>
      <c r="T122" s="101">
        <f>S122-E122</f>
        <v>-0.227999999999994</v>
      </c>
      <c r="U122" s="45"/>
    </row>
    <row r="123" spans="1:21">
      <c r="A123" s="41">
        <f>A122+1</f>
        <v>118</v>
      </c>
      <c r="B123" s="72">
        <v>46021</v>
      </c>
      <c r="C123" s="333" t="s">
        <v>122</v>
      </c>
      <c r="D123" s="41">
        <v>57423196</v>
      </c>
      <c r="E123" s="73">
        <v>61.15</v>
      </c>
      <c r="F123" s="41">
        <v>530.57</v>
      </c>
      <c r="G123" s="42">
        <f>E123*F123</f>
        <v>32444.3555</v>
      </c>
      <c r="H123" s="208">
        <v>48581.26</v>
      </c>
      <c r="I123" s="235">
        <f>E123*H123</f>
        <v>2970744.049</v>
      </c>
      <c r="J123" s="34" t="s">
        <v>120</v>
      </c>
      <c r="K123" s="366" t="s">
        <v>121</v>
      </c>
      <c r="L123" s="89"/>
      <c r="M123" s="44"/>
      <c r="N123" s="41"/>
      <c r="O123" s="41"/>
      <c r="P123" s="41"/>
      <c r="Q123" s="41"/>
      <c r="R123" s="72">
        <v>46031</v>
      </c>
      <c r="S123" s="41">
        <v>61.305</v>
      </c>
      <c r="T123" s="101">
        <f>S123-E123</f>
        <v>0.155000000000001</v>
      </c>
      <c r="U123" s="45"/>
    </row>
    <row r="124" spans="1:21">
      <c r="A124" s="41">
        <f>A123+1</f>
        <v>119</v>
      </c>
      <c r="B124" s="72">
        <v>46021</v>
      </c>
      <c r="C124" s="333" t="s">
        <v>122</v>
      </c>
      <c r="D124" s="41">
        <v>73023525</v>
      </c>
      <c r="E124" s="73">
        <v>61.5</v>
      </c>
      <c r="F124" s="41">
        <v>530.57</v>
      </c>
      <c r="G124" s="42">
        <f>E124*F124</f>
        <v>32630.055</v>
      </c>
      <c r="H124" s="208">
        <v>48581.26</v>
      </c>
      <c r="I124" s="235">
        <f>E124*H124</f>
        <v>2987747.49</v>
      </c>
      <c r="J124" s="34" t="s">
        <v>120</v>
      </c>
      <c r="K124" s="366" t="s">
        <v>121</v>
      </c>
      <c r="L124" s="89"/>
      <c r="M124" s="44"/>
      <c r="N124" s="41"/>
      <c r="O124" s="41"/>
      <c r="P124" s="41"/>
      <c r="Q124" s="41"/>
      <c r="R124" s="27">
        <v>46032</v>
      </c>
      <c r="S124" s="41">
        <v>61.145</v>
      </c>
      <c r="T124" s="101">
        <f>S124-E124</f>
        <v>-0.354999999999997</v>
      </c>
      <c r="U124" s="45"/>
    </row>
    <row r="125" spans="1:21">
      <c r="A125" s="41">
        <f>A124+1</f>
        <v>120</v>
      </c>
      <c r="B125" s="72">
        <v>46021</v>
      </c>
      <c r="C125" s="333" t="s">
        <v>122</v>
      </c>
      <c r="D125" s="41">
        <v>74998006</v>
      </c>
      <c r="E125" s="73">
        <v>62.8</v>
      </c>
      <c r="F125" s="41">
        <v>530.57</v>
      </c>
      <c r="G125" s="42">
        <f>E125*F125</f>
        <v>33319.796</v>
      </c>
      <c r="H125" s="208">
        <v>48581.26</v>
      </c>
      <c r="I125" s="235">
        <f>E125*H125</f>
        <v>3050903.128</v>
      </c>
      <c r="J125" s="34" t="s">
        <v>120</v>
      </c>
      <c r="K125" s="366" t="s">
        <v>121</v>
      </c>
      <c r="L125" s="89"/>
      <c r="M125" s="44"/>
      <c r="N125" s="41"/>
      <c r="O125" s="41"/>
      <c r="P125" s="41"/>
      <c r="Q125" s="41"/>
      <c r="R125" s="27">
        <v>46032</v>
      </c>
      <c r="S125" s="41">
        <v>62.644</v>
      </c>
      <c r="T125" s="41">
        <f>S125-E125</f>
        <v>-0.155999999999999</v>
      </c>
      <c r="U125" s="45"/>
    </row>
    <row r="126" spans="1:21">
      <c r="A126" s="41">
        <f>A125+1</f>
        <v>121</v>
      </c>
      <c r="B126" s="72">
        <v>46021</v>
      </c>
      <c r="C126" s="333" t="s">
        <v>122</v>
      </c>
      <c r="D126" s="41">
        <v>75053520</v>
      </c>
      <c r="E126" s="73">
        <v>61.55</v>
      </c>
      <c r="F126" s="41">
        <v>530.57</v>
      </c>
      <c r="G126" s="42">
        <f>E126*F126</f>
        <v>32656.5835</v>
      </c>
      <c r="H126" s="208">
        <v>48581.26</v>
      </c>
      <c r="I126" s="235">
        <f>E126*H126</f>
        <v>2990176.553</v>
      </c>
      <c r="J126" s="34" t="s">
        <v>120</v>
      </c>
      <c r="K126" s="366" t="s">
        <v>121</v>
      </c>
      <c r="L126" s="89"/>
      <c r="M126" s="44"/>
      <c r="N126" s="41"/>
      <c r="O126" s="41"/>
      <c r="P126" s="41"/>
      <c r="Q126" s="41"/>
      <c r="R126" s="72">
        <v>46032</v>
      </c>
      <c r="S126" s="41">
        <v>61.401</v>
      </c>
      <c r="T126" s="101">
        <f>S126-E126</f>
        <v>-0.148999999999994</v>
      </c>
      <c r="U126" s="45"/>
    </row>
    <row r="127" spans="1:21">
      <c r="A127" s="41">
        <f>A126+1</f>
        <v>122</v>
      </c>
      <c r="B127" s="72">
        <v>46021</v>
      </c>
      <c r="C127" s="333" t="s">
        <v>122</v>
      </c>
      <c r="D127" s="41">
        <v>75260646</v>
      </c>
      <c r="E127" s="73">
        <v>61.95</v>
      </c>
      <c r="F127" s="41">
        <v>530.57</v>
      </c>
      <c r="G127" s="42">
        <f>E127*F127</f>
        <v>32868.8115</v>
      </c>
      <c r="H127" s="208">
        <v>48581.26</v>
      </c>
      <c r="I127" s="235">
        <f>E127*H127</f>
        <v>3009609.057</v>
      </c>
      <c r="J127" s="34" t="s">
        <v>120</v>
      </c>
      <c r="K127" s="366" t="s">
        <v>121</v>
      </c>
      <c r="L127" s="89"/>
      <c r="M127" s="44"/>
      <c r="N127" s="41"/>
      <c r="O127" s="41"/>
      <c r="P127" s="41"/>
      <c r="Q127" s="41"/>
      <c r="R127" s="72">
        <v>46032</v>
      </c>
      <c r="S127" s="41">
        <v>61.695</v>
      </c>
      <c r="T127" s="101">
        <f>S127-E127</f>
        <v>-0.255000000000003</v>
      </c>
      <c r="U127" s="45"/>
    </row>
    <row r="128" spans="1:21">
      <c r="A128" s="41">
        <f>A127+1</f>
        <v>123</v>
      </c>
      <c r="B128" s="72">
        <v>46021</v>
      </c>
      <c r="C128" s="333" t="s">
        <v>122</v>
      </c>
      <c r="D128" s="41">
        <v>75261057</v>
      </c>
      <c r="E128" s="73">
        <v>62.1</v>
      </c>
      <c r="F128" s="41">
        <v>530.57</v>
      </c>
      <c r="G128" s="42">
        <f>E128*F128</f>
        <v>32948.397</v>
      </c>
      <c r="H128" s="208">
        <v>48581.26</v>
      </c>
      <c r="I128" s="235">
        <f>E128*H128</f>
        <v>3016896.246</v>
      </c>
      <c r="J128" s="34" t="s">
        <v>120</v>
      </c>
      <c r="K128" s="366" t="s">
        <v>121</v>
      </c>
      <c r="L128" s="89"/>
      <c r="M128" s="44"/>
      <c r="N128" s="41"/>
      <c r="O128" s="41"/>
      <c r="P128" s="41"/>
      <c r="Q128" s="41"/>
      <c r="R128" s="72">
        <v>46032</v>
      </c>
      <c r="S128" s="41">
        <v>61.818</v>
      </c>
      <c r="T128" s="101">
        <f>S128-E128</f>
        <v>-0.282000000000004</v>
      </c>
      <c r="U128" s="45"/>
    </row>
    <row r="129" spans="1:21">
      <c r="A129" s="41">
        <f>A128+1</f>
        <v>124</v>
      </c>
      <c r="B129" s="72">
        <v>46021</v>
      </c>
      <c r="C129" s="333" t="s">
        <v>122</v>
      </c>
      <c r="D129" s="41">
        <v>75261347</v>
      </c>
      <c r="E129" s="73">
        <v>62.05</v>
      </c>
      <c r="F129" s="41">
        <v>530.57</v>
      </c>
      <c r="G129" s="42">
        <f>E129*F129</f>
        <v>32921.8685</v>
      </c>
      <c r="H129" s="208">
        <v>48581.26</v>
      </c>
      <c r="I129" s="235">
        <f>E129*H129</f>
        <v>3014467.183</v>
      </c>
      <c r="J129" s="34" t="s">
        <v>120</v>
      </c>
      <c r="K129" s="366" t="s">
        <v>121</v>
      </c>
      <c r="L129" s="89"/>
      <c r="M129" s="44"/>
      <c r="N129" s="41"/>
      <c r="O129" s="41"/>
      <c r="P129" s="41"/>
      <c r="Q129" s="41"/>
      <c r="R129" s="72">
        <v>46032</v>
      </c>
      <c r="S129" s="41">
        <v>61.81</v>
      </c>
      <c r="T129" s="101">
        <f>S129-E129</f>
        <v>-0.239999999999995</v>
      </c>
      <c r="U129" s="45"/>
    </row>
    <row r="130" spans="1:21">
      <c r="A130" s="41">
        <f>A129+1</f>
        <v>125</v>
      </c>
      <c r="B130" s="72">
        <v>46021</v>
      </c>
      <c r="C130" s="333" t="s">
        <v>122</v>
      </c>
      <c r="D130" s="41">
        <v>75261354</v>
      </c>
      <c r="E130" s="73">
        <v>62.05</v>
      </c>
      <c r="F130" s="41">
        <v>530.57</v>
      </c>
      <c r="G130" s="42">
        <f>E130*F130</f>
        <v>32921.8685</v>
      </c>
      <c r="H130" s="208">
        <v>48581.26</v>
      </c>
      <c r="I130" s="235">
        <f>E130*H130</f>
        <v>3014467.183</v>
      </c>
      <c r="J130" s="34" t="s">
        <v>120</v>
      </c>
      <c r="K130" s="366" t="s">
        <v>121</v>
      </c>
      <c r="L130" s="89"/>
      <c r="M130" s="44"/>
      <c r="N130" s="41"/>
      <c r="O130" s="41"/>
      <c r="P130" s="41"/>
      <c r="Q130" s="41"/>
      <c r="R130" s="72">
        <v>46032</v>
      </c>
      <c r="S130" s="41">
        <v>62.013</v>
      </c>
      <c r="T130" s="101">
        <f>S130-E130</f>
        <v>-0.036999999999999</v>
      </c>
      <c r="U130" s="45"/>
    </row>
    <row r="131" spans="1:21">
      <c r="A131" s="41">
        <f>A130+1</f>
        <v>126</v>
      </c>
      <c r="B131" s="72">
        <v>46021</v>
      </c>
      <c r="C131" s="333" t="s">
        <v>122</v>
      </c>
      <c r="D131" s="41">
        <v>75263640</v>
      </c>
      <c r="E131" s="73">
        <v>62.05</v>
      </c>
      <c r="F131" s="41">
        <v>530.57</v>
      </c>
      <c r="G131" s="42">
        <f>E131*F131</f>
        <v>32921.8685</v>
      </c>
      <c r="H131" s="208">
        <v>48581.26</v>
      </c>
      <c r="I131" s="235">
        <f>E131*H131</f>
        <v>3014467.183</v>
      </c>
      <c r="J131" s="34" t="s">
        <v>120</v>
      </c>
      <c r="K131" s="366" t="s">
        <v>121</v>
      </c>
      <c r="L131" s="89"/>
      <c r="M131" s="44"/>
      <c r="N131" s="41"/>
      <c r="O131" s="41"/>
      <c r="P131" s="41"/>
      <c r="Q131" s="41"/>
      <c r="R131" s="455">
        <v>46032</v>
      </c>
      <c r="S131" s="41">
        <v>61.812</v>
      </c>
      <c r="T131" s="101">
        <f>S131-E131</f>
        <v>-0.238</v>
      </c>
      <c r="U131" s="45"/>
    </row>
    <row r="132" spans="1:21">
      <c r="A132" s="41">
        <f>A131+1</f>
        <v>127</v>
      </c>
      <c r="B132" s="72">
        <v>46021</v>
      </c>
      <c r="C132" s="333" t="s">
        <v>122</v>
      </c>
      <c r="D132" s="41">
        <v>75263772</v>
      </c>
      <c r="E132" s="73">
        <v>62.05</v>
      </c>
      <c r="F132" s="41">
        <v>530.57</v>
      </c>
      <c r="G132" s="42">
        <f>E132*F132</f>
        <v>32921.8685</v>
      </c>
      <c r="H132" s="208">
        <v>48581.26</v>
      </c>
      <c r="I132" s="235">
        <f>E132*H132</f>
        <v>3014467.183</v>
      </c>
      <c r="J132" s="34" t="s">
        <v>120</v>
      </c>
      <c r="K132" s="366" t="s">
        <v>121</v>
      </c>
      <c r="L132" s="89"/>
      <c r="M132" s="44"/>
      <c r="N132" s="41"/>
      <c r="O132" s="41"/>
      <c r="P132" s="41"/>
      <c r="Q132" s="41"/>
      <c r="R132" s="72">
        <v>46032</v>
      </c>
      <c r="S132" s="41">
        <v>61.552</v>
      </c>
      <c r="T132" s="41">
        <f>S132-E132</f>
        <v>-0.497999999999998</v>
      </c>
      <c r="U132" s="45"/>
    </row>
    <row r="133" spans="1:21">
      <c r="A133" s="41">
        <f>A132+1</f>
        <v>128</v>
      </c>
      <c r="B133" s="72">
        <v>46021</v>
      </c>
      <c r="C133" s="333" t="s">
        <v>122</v>
      </c>
      <c r="D133" s="41">
        <v>75263970</v>
      </c>
      <c r="E133" s="73">
        <v>62.05</v>
      </c>
      <c r="F133" s="41">
        <v>530.57</v>
      </c>
      <c r="G133" s="42">
        <f>E133*F133</f>
        <v>32921.8685</v>
      </c>
      <c r="H133" s="208">
        <v>48581.26</v>
      </c>
      <c r="I133" s="235">
        <f>E133*H133</f>
        <v>3014467.183</v>
      </c>
      <c r="J133" s="34" t="s">
        <v>120</v>
      </c>
      <c r="K133" s="366" t="s">
        <v>121</v>
      </c>
      <c r="L133" s="89"/>
      <c r="M133" s="44"/>
      <c r="N133" s="41"/>
      <c r="O133" s="41"/>
      <c r="P133" s="41"/>
      <c r="Q133" s="41"/>
      <c r="R133" s="72">
        <v>46032</v>
      </c>
      <c r="S133" s="41">
        <v>61.803</v>
      </c>
      <c r="T133" s="101">
        <f>S133-E133</f>
        <v>-0.247</v>
      </c>
      <c r="U133" s="45"/>
    </row>
    <row r="134" spans="1:21">
      <c r="A134" s="41">
        <f>A133+1</f>
        <v>129</v>
      </c>
      <c r="B134" s="72">
        <v>46021</v>
      </c>
      <c r="C134" s="333" t="s">
        <v>122</v>
      </c>
      <c r="D134" s="41">
        <v>76610997</v>
      </c>
      <c r="E134" s="73">
        <v>62</v>
      </c>
      <c r="F134" s="41">
        <v>530.57</v>
      </c>
      <c r="G134" s="42">
        <f>E134*F134</f>
        <v>32895.34</v>
      </c>
      <c r="H134" s="208">
        <v>48581.26</v>
      </c>
      <c r="I134" s="235">
        <f>E134*H134</f>
        <v>3012038.12</v>
      </c>
      <c r="J134" s="34" t="s">
        <v>120</v>
      </c>
      <c r="K134" s="366" t="s">
        <v>121</v>
      </c>
      <c r="L134" s="89"/>
      <c r="M134" s="44"/>
      <c r="N134" s="41"/>
      <c r="O134" s="41"/>
      <c r="P134" s="41"/>
      <c r="Q134" s="41"/>
      <c r="R134" s="72">
        <v>46032</v>
      </c>
      <c r="S134" s="41">
        <v>61.882</v>
      </c>
      <c r="T134" s="41">
        <f>S134-E134</f>
        <v>-0.118000000000002</v>
      </c>
      <c r="U134" s="45"/>
    </row>
    <row r="135" spans="1:21">
      <c r="A135" s="41">
        <f>A134+1</f>
        <v>130</v>
      </c>
      <c r="B135" s="72">
        <v>46021</v>
      </c>
      <c r="C135" s="333" t="s">
        <v>122</v>
      </c>
      <c r="D135" s="41">
        <v>76894195</v>
      </c>
      <c r="E135" s="73">
        <v>62.05</v>
      </c>
      <c r="F135" s="41">
        <v>530.57</v>
      </c>
      <c r="G135" s="42">
        <f>E135*F135</f>
        <v>32921.8685</v>
      </c>
      <c r="H135" s="208">
        <v>48581.26</v>
      </c>
      <c r="I135" s="235">
        <f>E135*H135</f>
        <v>3014467.183</v>
      </c>
      <c r="J135" s="34" t="s">
        <v>120</v>
      </c>
      <c r="K135" s="366" t="s">
        <v>121</v>
      </c>
      <c r="L135" s="89"/>
      <c r="M135" s="44"/>
      <c r="N135" s="41"/>
      <c r="O135" s="41"/>
      <c r="P135" s="41"/>
      <c r="Q135" s="41"/>
      <c r="R135" s="72">
        <v>46031</v>
      </c>
      <c r="S135" s="41">
        <v>61.904</v>
      </c>
      <c r="T135" s="101">
        <f>S135-E135</f>
        <v>-0.145999999999994</v>
      </c>
      <c r="U135" s="45"/>
    </row>
    <row r="136" spans="1:21">
      <c r="A136" s="41">
        <f>A135+1</f>
        <v>131</v>
      </c>
      <c r="B136" s="72">
        <v>46021</v>
      </c>
      <c r="C136" s="333" t="s">
        <v>123</v>
      </c>
      <c r="D136" s="41">
        <v>51411908</v>
      </c>
      <c r="E136" s="73">
        <v>60.9</v>
      </c>
      <c r="F136" s="41">
        <v>530.57</v>
      </c>
      <c r="G136" s="42">
        <f>E136*F136</f>
        <v>32311.713</v>
      </c>
      <c r="H136" s="208">
        <v>48581.26</v>
      </c>
      <c r="I136" s="235">
        <f>E136*H136</f>
        <v>2958598.734</v>
      </c>
      <c r="J136" s="34" t="s">
        <v>120</v>
      </c>
      <c r="K136" s="366" t="s">
        <v>121</v>
      </c>
      <c r="L136" s="89"/>
      <c r="M136" s="44"/>
      <c r="N136" s="41"/>
      <c r="O136" s="41"/>
      <c r="P136" s="41"/>
      <c r="Q136" s="41"/>
      <c r="R136" s="72">
        <v>46030</v>
      </c>
      <c r="S136" s="41">
        <v>61.252</v>
      </c>
      <c r="T136" s="41">
        <f>S136-E136</f>
        <v>0.352000000000004</v>
      </c>
      <c r="U136" s="45"/>
    </row>
    <row r="137" spans="1:21">
      <c r="A137" s="41">
        <f>A136+1</f>
        <v>132</v>
      </c>
      <c r="B137" s="72">
        <v>46021</v>
      </c>
      <c r="C137" s="333" t="s">
        <v>123</v>
      </c>
      <c r="D137" s="41">
        <v>51703247</v>
      </c>
      <c r="E137" s="73">
        <v>52.7</v>
      </c>
      <c r="F137" s="41">
        <v>530.57</v>
      </c>
      <c r="G137" s="42">
        <f>E137*F137</f>
        <v>27961.039</v>
      </c>
      <c r="H137" s="208">
        <v>48581.26</v>
      </c>
      <c r="I137" s="235">
        <f>E137*H137</f>
        <v>2560232.402</v>
      </c>
      <c r="J137" s="34" t="s">
        <v>120</v>
      </c>
      <c r="K137" s="366" t="s">
        <v>121</v>
      </c>
      <c r="L137" s="89"/>
      <c r="M137" s="44"/>
      <c r="N137" s="41"/>
      <c r="O137" s="41"/>
      <c r="P137" s="41"/>
      <c r="Q137" s="41"/>
      <c r="R137" s="72">
        <v>46030</v>
      </c>
      <c r="S137" s="41">
        <v>52.766</v>
      </c>
      <c r="T137" s="41">
        <f>S137-E137</f>
        <v>0.0659999999999954</v>
      </c>
      <c r="U137" s="45"/>
    </row>
    <row r="138" spans="1:21">
      <c r="A138" s="41">
        <f>A137+1</f>
        <v>133</v>
      </c>
      <c r="B138" s="72">
        <v>46021</v>
      </c>
      <c r="C138" s="333" t="s">
        <v>123</v>
      </c>
      <c r="D138" s="41">
        <v>54750054</v>
      </c>
      <c r="E138" s="73">
        <v>61.05</v>
      </c>
      <c r="F138" s="41">
        <v>530.57</v>
      </c>
      <c r="G138" s="42">
        <f>E138*F138</f>
        <v>32391.2985</v>
      </c>
      <c r="H138" s="208">
        <v>48581.26</v>
      </c>
      <c r="I138" s="235">
        <f>E138*H138</f>
        <v>2965885.923</v>
      </c>
      <c r="J138" s="34" t="s">
        <v>120</v>
      </c>
      <c r="K138" s="366" t="s">
        <v>121</v>
      </c>
      <c r="L138" s="89"/>
      <c r="M138" s="44"/>
      <c r="N138" s="41"/>
      <c r="O138" s="41"/>
      <c r="P138" s="41"/>
      <c r="Q138" s="41"/>
      <c r="R138" s="72">
        <v>46030</v>
      </c>
      <c r="S138" s="41">
        <v>61.23</v>
      </c>
      <c r="T138" s="101">
        <f>S138-E138</f>
        <v>0.18</v>
      </c>
      <c r="U138" s="45"/>
    </row>
    <row r="139" spans="1:21">
      <c r="A139" s="41">
        <f>A138+1</f>
        <v>134</v>
      </c>
      <c r="B139" s="72">
        <v>46021</v>
      </c>
      <c r="C139" s="333" t="s">
        <v>123</v>
      </c>
      <c r="D139" s="41">
        <v>57414682</v>
      </c>
      <c r="E139" s="73">
        <v>61.55</v>
      </c>
      <c r="F139" s="41">
        <v>530.57</v>
      </c>
      <c r="G139" s="42">
        <f>E139*F139</f>
        <v>32656.5835</v>
      </c>
      <c r="H139" s="208">
        <v>48581.26</v>
      </c>
      <c r="I139" s="235">
        <f>E139*H139</f>
        <v>2990176.553</v>
      </c>
      <c r="J139" s="34" t="s">
        <v>120</v>
      </c>
      <c r="K139" s="366" t="s">
        <v>121</v>
      </c>
      <c r="L139" s="89"/>
      <c r="M139" s="44"/>
      <c r="N139" s="41"/>
      <c r="O139" s="41"/>
      <c r="P139" s="41"/>
      <c r="Q139" s="41"/>
      <c r="R139" s="72">
        <v>46030</v>
      </c>
      <c r="S139" s="41">
        <v>61.269</v>
      </c>
      <c r="T139" s="101">
        <f>S139-E139</f>
        <v>-0.280999999999999</v>
      </c>
      <c r="U139" s="45"/>
    </row>
    <row r="140" spans="1:21">
      <c r="A140" s="41">
        <f>A139+1</f>
        <v>135</v>
      </c>
      <c r="B140" s="72">
        <v>46021</v>
      </c>
      <c r="C140" s="333" t="s">
        <v>123</v>
      </c>
      <c r="D140" s="41">
        <v>58643438</v>
      </c>
      <c r="E140" s="73">
        <v>61.55</v>
      </c>
      <c r="F140" s="41">
        <v>530.57</v>
      </c>
      <c r="G140" s="42">
        <f>E140*F140</f>
        <v>32656.5835</v>
      </c>
      <c r="H140" s="208">
        <v>48581.26</v>
      </c>
      <c r="I140" s="235">
        <f>E140*H140</f>
        <v>2990176.553</v>
      </c>
      <c r="J140" s="34" t="s">
        <v>120</v>
      </c>
      <c r="K140" s="366" t="s">
        <v>121</v>
      </c>
      <c r="L140" s="89"/>
      <c r="M140" s="44"/>
      <c r="N140" s="41"/>
      <c r="O140" s="41"/>
      <c r="P140" s="41"/>
      <c r="Q140" s="41"/>
      <c r="R140" s="72">
        <v>46030</v>
      </c>
      <c r="S140" s="41">
        <v>61.434</v>
      </c>
      <c r="T140" s="101">
        <f>S140-E140</f>
        <v>-0.116</v>
      </c>
      <c r="U140" s="45"/>
    </row>
    <row r="141" spans="1:21">
      <c r="A141" s="41">
        <f>A140+1</f>
        <v>136</v>
      </c>
      <c r="B141" s="72">
        <v>46021</v>
      </c>
      <c r="C141" s="333" t="s">
        <v>123</v>
      </c>
      <c r="D141" s="41">
        <v>73055964</v>
      </c>
      <c r="E141" s="73">
        <v>61.6</v>
      </c>
      <c r="F141" s="41">
        <v>530.57</v>
      </c>
      <c r="G141" s="42">
        <f>E141*F141</f>
        <v>32683.112</v>
      </c>
      <c r="H141" s="208">
        <v>48581.26</v>
      </c>
      <c r="I141" s="235">
        <f>E141*H141</f>
        <v>2992605.616</v>
      </c>
      <c r="J141" s="34" t="s">
        <v>120</v>
      </c>
      <c r="K141" s="366" t="s">
        <v>121</v>
      </c>
      <c r="L141" s="89"/>
      <c r="M141" s="44"/>
      <c r="N141" s="41"/>
      <c r="O141" s="41"/>
      <c r="P141" s="41"/>
      <c r="Q141" s="41"/>
      <c r="R141" s="72">
        <v>46030</v>
      </c>
      <c r="S141" s="41">
        <v>61.261</v>
      </c>
      <c r="T141" s="41">
        <f>S141-E141</f>
        <v>-0.338999999999999</v>
      </c>
      <c r="U141" s="45"/>
    </row>
    <row r="142" spans="1:21">
      <c r="A142" s="41">
        <f>A141+1</f>
        <v>137</v>
      </c>
      <c r="B142" s="72">
        <v>46021</v>
      </c>
      <c r="C142" s="333" t="s">
        <v>123</v>
      </c>
      <c r="D142" s="41">
        <v>73090631</v>
      </c>
      <c r="E142" s="73">
        <v>61.55</v>
      </c>
      <c r="F142" s="41">
        <v>530.57</v>
      </c>
      <c r="G142" s="42">
        <f>E142*F142</f>
        <v>32656.5835</v>
      </c>
      <c r="H142" s="208">
        <v>48581.26</v>
      </c>
      <c r="I142" s="235">
        <f>E142*H142</f>
        <v>2990176.553</v>
      </c>
      <c r="J142" s="34" t="s">
        <v>120</v>
      </c>
      <c r="K142" s="366" t="s">
        <v>121</v>
      </c>
      <c r="L142" s="89"/>
      <c r="M142" s="44"/>
      <c r="N142" s="41"/>
      <c r="O142" s="41"/>
      <c r="P142" s="41"/>
      <c r="Q142" s="41"/>
      <c r="R142" s="72">
        <v>46030</v>
      </c>
      <c r="S142" s="41">
        <v>61.12</v>
      </c>
      <c r="T142" s="41">
        <f>S142-E142</f>
        <v>-0.43</v>
      </c>
      <c r="U142" s="45"/>
    </row>
    <row r="143" spans="1:21">
      <c r="A143" s="41">
        <f>A142+1</f>
        <v>138</v>
      </c>
      <c r="B143" s="72">
        <v>46021</v>
      </c>
      <c r="C143" s="333" t="s">
        <v>123</v>
      </c>
      <c r="D143" s="41">
        <v>73982621</v>
      </c>
      <c r="E143" s="73">
        <v>61.1</v>
      </c>
      <c r="F143" s="41">
        <v>530.57</v>
      </c>
      <c r="G143" s="42">
        <f>E143*F143</f>
        <v>32417.827</v>
      </c>
      <c r="H143" s="208">
        <v>48581.26</v>
      </c>
      <c r="I143" s="235">
        <f>E143*H143</f>
        <v>2968314.986</v>
      </c>
      <c r="J143" s="34" t="s">
        <v>120</v>
      </c>
      <c r="K143" s="366" t="s">
        <v>121</v>
      </c>
      <c r="L143" s="89"/>
      <c r="M143" s="44"/>
      <c r="N143" s="41"/>
      <c r="O143" s="41"/>
      <c r="P143" s="41"/>
      <c r="Q143" s="41"/>
      <c r="R143" s="72">
        <v>46030</v>
      </c>
      <c r="S143" s="41">
        <v>60.812</v>
      </c>
      <c r="T143" s="101">
        <f>S143-E143</f>
        <v>-0.288000000000004</v>
      </c>
      <c r="U143" s="45"/>
    </row>
    <row r="144" spans="1:21">
      <c r="A144" s="41">
        <f>A143+1</f>
        <v>139</v>
      </c>
      <c r="B144" s="72">
        <v>46021</v>
      </c>
      <c r="C144" s="333" t="s">
        <v>123</v>
      </c>
      <c r="D144" s="41">
        <v>75056820</v>
      </c>
      <c r="E144" s="73">
        <v>61.65</v>
      </c>
      <c r="F144" s="41">
        <v>530.57</v>
      </c>
      <c r="G144" s="42">
        <f>E144*F144</f>
        <v>32709.6405</v>
      </c>
      <c r="H144" s="208">
        <v>48581.26</v>
      </c>
      <c r="I144" s="235">
        <f>E144*H144</f>
        <v>2995034.679</v>
      </c>
      <c r="J144" s="34" t="s">
        <v>120</v>
      </c>
      <c r="K144" s="366" t="s">
        <v>121</v>
      </c>
      <c r="L144" s="89"/>
      <c r="M144" s="44"/>
      <c r="N144" s="41"/>
      <c r="O144" s="41"/>
      <c r="P144" s="41"/>
      <c r="Q144" s="41"/>
      <c r="R144" s="72">
        <v>46030</v>
      </c>
      <c r="S144" s="41">
        <v>61.555</v>
      </c>
      <c r="T144" s="41">
        <f>S144-E144</f>
        <v>-0.0949999999999989</v>
      </c>
      <c r="U144" s="45"/>
    </row>
    <row r="145" spans="1:21">
      <c r="A145" s="41">
        <f>A144+1</f>
        <v>140</v>
      </c>
      <c r="B145" s="72">
        <v>46021</v>
      </c>
      <c r="C145" s="333" t="s">
        <v>123</v>
      </c>
      <c r="D145" s="41">
        <v>75107201</v>
      </c>
      <c r="E145" s="73">
        <v>61.55</v>
      </c>
      <c r="F145" s="41">
        <v>530.57</v>
      </c>
      <c r="G145" s="42">
        <f>E145*F145</f>
        <v>32656.5835</v>
      </c>
      <c r="H145" s="208">
        <v>48581.26</v>
      </c>
      <c r="I145" s="235">
        <f>E145*H145</f>
        <v>2990176.553</v>
      </c>
      <c r="J145" s="34" t="s">
        <v>120</v>
      </c>
      <c r="K145" s="366" t="s">
        <v>121</v>
      </c>
      <c r="L145" s="89"/>
      <c r="M145" s="44"/>
      <c r="N145" s="41"/>
      <c r="O145" s="41"/>
      <c r="P145" s="41"/>
      <c r="Q145" s="41"/>
      <c r="R145" s="72">
        <v>46030</v>
      </c>
      <c r="S145" s="41">
        <v>61.263</v>
      </c>
      <c r="T145" s="101">
        <f>S145-E145</f>
        <v>-0.286999999999999</v>
      </c>
      <c r="U145" s="45"/>
    </row>
    <row r="146" spans="1:21">
      <c r="A146" s="41">
        <f>A145+1</f>
        <v>141</v>
      </c>
      <c r="B146" s="72">
        <v>46021</v>
      </c>
      <c r="C146" s="333" t="s">
        <v>123</v>
      </c>
      <c r="D146" s="41">
        <v>75210724</v>
      </c>
      <c r="E146" s="73">
        <v>62.1</v>
      </c>
      <c r="F146" s="41">
        <v>530.57</v>
      </c>
      <c r="G146" s="42">
        <f>E146*F146</f>
        <v>32948.397</v>
      </c>
      <c r="H146" s="208">
        <v>48581.26</v>
      </c>
      <c r="I146" s="235">
        <f>E146*H146</f>
        <v>3016896.246</v>
      </c>
      <c r="J146" s="34" t="s">
        <v>120</v>
      </c>
      <c r="K146" s="366" t="s">
        <v>121</v>
      </c>
      <c r="L146" s="89"/>
      <c r="M146" s="44"/>
      <c r="N146" s="41"/>
      <c r="O146" s="41"/>
      <c r="P146" s="41"/>
      <c r="Q146" s="41"/>
      <c r="R146" s="72">
        <v>46030</v>
      </c>
      <c r="S146" s="41">
        <v>62.124</v>
      </c>
      <c r="T146" s="41">
        <f>S146-E146</f>
        <v>0.0240000000000009</v>
      </c>
      <c r="U146" s="45"/>
    </row>
    <row r="147" spans="1:21">
      <c r="A147" s="41">
        <f>A146+1</f>
        <v>142</v>
      </c>
      <c r="B147" s="72">
        <v>46021</v>
      </c>
      <c r="C147" s="333" t="s">
        <v>123</v>
      </c>
      <c r="D147" s="41">
        <v>75419994</v>
      </c>
      <c r="E147" s="73">
        <v>62.1</v>
      </c>
      <c r="F147" s="41">
        <v>530.57</v>
      </c>
      <c r="G147" s="42">
        <f>E147*F147</f>
        <v>32948.397</v>
      </c>
      <c r="H147" s="208">
        <v>48581.26</v>
      </c>
      <c r="I147" s="235">
        <f>E147*H147</f>
        <v>3016896.246</v>
      </c>
      <c r="J147" s="34" t="s">
        <v>120</v>
      </c>
      <c r="K147" s="366" t="s">
        <v>121</v>
      </c>
      <c r="L147" s="89"/>
      <c r="M147" s="44"/>
      <c r="N147" s="41"/>
      <c r="O147" s="41"/>
      <c r="P147" s="41"/>
      <c r="Q147" s="41"/>
      <c r="R147" s="72">
        <v>46028</v>
      </c>
      <c r="S147" s="41">
        <v>61.718</v>
      </c>
      <c r="T147" s="101">
        <f>S147-E147</f>
        <v>-0.381999999999998</v>
      </c>
      <c r="U147" s="45"/>
    </row>
    <row r="148" spans="1:21">
      <c r="A148" s="41">
        <f>A147+1</f>
        <v>143</v>
      </c>
      <c r="B148" s="72">
        <v>46021</v>
      </c>
      <c r="C148" s="333" t="s">
        <v>123</v>
      </c>
      <c r="D148" s="41">
        <v>75810598</v>
      </c>
      <c r="E148" s="73">
        <v>62.15</v>
      </c>
      <c r="F148" s="41">
        <v>530.57</v>
      </c>
      <c r="G148" s="42">
        <f>E148*F148</f>
        <v>32974.9255</v>
      </c>
      <c r="H148" s="208">
        <v>48581.26</v>
      </c>
      <c r="I148" s="235">
        <f>E148*H148</f>
        <v>3019325.309</v>
      </c>
      <c r="J148" s="34" t="s">
        <v>120</v>
      </c>
      <c r="K148" s="366" t="s">
        <v>121</v>
      </c>
      <c r="L148" s="89"/>
      <c r="M148" s="44"/>
      <c r="N148" s="41"/>
      <c r="O148" s="41"/>
      <c r="P148" s="41"/>
      <c r="Q148" s="41"/>
      <c r="R148" s="72">
        <v>46030</v>
      </c>
      <c r="S148" s="41">
        <v>61.876</v>
      </c>
      <c r="T148" s="101">
        <f>S148-E148</f>
        <v>-0.274000000000001</v>
      </c>
      <c r="U148" s="45"/>
    </row>
    <row r="149" spans="1:21">
      <c r="A149" s="41">
        <f>A148+1</f>
        <v>144</v>
      </c>
      <c r="B149" s="72">
        <v>46021</v>
      </c>
      <c r="C149" s="333" t="s">
        <v>123</v>
      </c>
      <c r="D149" s="41">
        <v>75811695</v>
      </c>
      <c r="E149" s="73">
        <v>62.05</v>
      </c>
      <c r="F149" s="41">
        <v>530.57</v>
      </c>
      <c r="G149" s="42">
        <f>E149*F149</f>
        <v>32921.8685</v>
      </c>
      <c r="H149" s="208">
        <v>48581.26</v>
      </c>
      <c r="I149" s="235">
        <f>E149*H149</f>
        <v>3014467.183</v>
      </c>
      <c r="J149" s="34" t="s">
        <v>120</v>
      </c>
      <c r="K149" s="366" t="s">
        <v>121</v>
      </c>
      <c r="L149" s="89"/>
      <c r="M149" s="44"/>
      <c r="N149" s="41"/>
      <c r="O149" s="41"/>
      <c r="P149" s="41"/>
      <c r="Q149" s="41"/>
      <c r="R149" s="72">
        <v>46028</v>
      </c>
      <c r="S149" s="41">
        <v>62.086</v>
      </c>
      <c r="T149" s="101">
        <f>S149-E149</f>
        <v>0.0360000000000014</v>
      </c>
      <c r="U149" s="45"/>
    </row>
    <row r="150" ht="15.75" spans="1:21">
      <c r="A150" s="77">
        <f>A149+1</f>
        <v>145</v>
      </c>
      <c r="B150" s="76">
        <v>46021</v>
      </c>
      <c r="C150" s="396" t="s">
        <v>123</v>
      </c>
      <c r="D150" s="77">
        <v>76075795</v>
      </c>
      <c r="E150" s="78">
        <v>61.9</v>
      </c>
      <c r="F150" s="41">
        <v>530.57</v>
      </c>
      <c r="G150" s="42">
        <f>E150*F150</f>
        <v>32842.283</v>
      </c>
      <c r="H150" s="208">
        <v>48581.26</v>
      </c>
      <c r="I150" s="235">
        <f>E150*H150</f>
        <v>3007179.994</v>
      </c>
      <c r="J150" s="34" t="s">
        <v>120</v>
      </c>
      <c r="K150" s="366" t="s">
        <v>121</v>
      </c>
      <c r="L150" s="90"/>
      <c r="M150" s="51"/>
      <c r="N150" s="52"/>
      <c r="O150" s="52"/>
      <c r="P150" s="52"/>
      <c r="Q150" s="52"/>
      <c r="R150" s="157">
        <v>46030</v>
      </c>
      <c r="S150" s="52">
        <v>61.563</v>
      </c>
      <c r="T150" s="52">
        <f>S150-E150</f>
        <v>-0.336999999999996</v>
      </c>
      <c r="U150" s="53"/>
    </row>
    <row r="151" ht="15.75" spans="1:21">
      <c r="A151" s="444"/>
      <c r="B151" s="445"/>
      <c r="C151" s="445"/>
      <c r="D151" s="445"/>
      <c r="E151" s="446"/>
      <c r="F151" s="447"/>
      <c r="G151" s="448"/>
      <c r="H151" s="447"/>
      <c r="I151" s="449"/>
      <c r="J151" s="445"/>
      <c r="K151" s="456"/>
      <c r="L151" s="451"/>
      <c r="M151" s="452"/>
      <c r="N151" s="445"/>
      <c r="O151" s="445"/>
      <c r="P151" s="445"/>
      <c r="Q151" s="445"/>
      <c r="R151" s="445"/>
      <c r="S151" s="447"/>
      <c r="T151" s="447"/>
      <c r="U151" s="450"/>
    </row>
    <row r="152" spans="1:21">
      <c r="A152" s="67">
        <v>146</v>
      </c>
      <c r="B152" s="27">
        <v>46022</v>
      </c>
      <c r="C152" s="221">
        <v>9109879</v>
      </c>
      <c r="D152" s="107">
        <v>50143643</v>
      </c>
      <c r="E152" s="108">
        <v>60.75</v>
      </c>
      <c r="F152" s="41">
        <v>530.57</v>
      </c>
      <c r="G152" s="42">
        <f>E152*F152</f>
        <v>32232.1275</v>
      </c>
      <c r="H152" s="208">
        <v>48581.26</v>
      </c>
      <c r="I152" s="235">
        <f>E152*H152</f>
        <v>2951311.545</v>
      </c>
      <c r="J152" s="34" t="s">
        <v>120</v>
      </c>
      <c r="K152" s="366" t="s">
        <v>121</v>
      </c>
      <c r="L152" s="95"/>
      <c r="M152" s="37"/>
      <c r="N152" s="38"/>
      <c r="O152" s="38"/>
      <c r="P152" s="38"/>
      <c r="Q152" s="38"/>
      <c r="R152" s="72">
        <v>46031</v>
      </c>
      <c r="S152" s="38">
        <v>61.065</v>
      </c>
      <c r="T152" s="101">
        <f>S152-E152</f>
        <v>0.314999999999998</v>
      </c>
      <c r="U152" s="39"/>
    </row>
    <row r="153" spans="1:21">
      <c r="A153" s="41">
        <f>A152+1</f>
        <v>147</v>
      </c>
      <c r="B153" s="72">
        <v>46022</v>
      </c>
      <c r="C153" s="207">
        <v>9109879</v>
      </c>
      <c r="D153" s="28">
        <v>50619311</v>
      </c>
      <c r="E153" s="29">
        <v>61.3</v>
      </c>
      <c r="F153" s="41">
        <v>530.57</v>
      </c>
      <c r="G153" s="42">
        <f>E153*F153</f>
        <v>32523.941</v>
      </c>
      <c r="H153" s="208">
        <v>48581.26</v>
      </c>
      <c r="I153" s="235">
        <f>E153*H153</f>
        <v>2978031.238</v>
      </c>
      <c r="J153" s="34" t="s">
        <v>120</v>
      </c>
      <c r="K153" s="366" t="s">
        <v>121</v>
      </c>
      <c r="L153" s="89"/>
      <c r="M153" s="44"/>
      <c r="N153" s="41"/>
      <c r="O153" s="41"/>
      <c r="P153" s="41"/>
      <c r="Q153" s="41"/>
      <c r="R153" s="72">
        <v>46031</v>
      </c>
      <c r="S153" s="41">
        <v>60.867</v>
      </c>
      <c r="T153" s="101">
        <f>S153-E153</f>
        <v>-0.433</v>
      </c>
      <c r="U153" s="45"/>
    </row>
    <row r="154" spans="1:21">
      <c r="A154" s="41">
        <f>A153+1</f>
        <v>148</v>
      </c>
      <c r="B154" s="72">
        <v>46022</v>
      </c>
      <c r="C154" s="207">
        <v>9109879</v>
      </c>
      <c r="D154" s="28">
        <v>51854891</v>
      </c>
      <c r="E154" s="29">
        <v>61.15</v>
      </c>
      <c r="F154" s="41">
        <v>530.57</v>
      </c>
      <c r="G154" s="42">
        <f>E154*F154</f>
        <v>32444.3555</v>
      </c>
      <c r="H154" s="208">
        <v>48581.26</v>
      </c>
      <c r="I154" s="235">
        <f>E154*H154</f>
        <v>2970744.049</v>
      </c>
      <c r="J154" s="34" t="s">
        <v>120</v>
      </c>
      <c r="K154" s="366" t="s">
        <v>121</v>
      </c>
      <c r="L154" s="89"/>
      <c r="M154" s="44"/>
      <c r="N154" s="41"/>
      <c r="O154" s="41"/>
      <c r="P154" s="41"/>
      <c r="Q154" s="41"/>
      <c r="R154" s="72">
        <v>46031</v>
      </c>
      <c r="S154" s="41">
        <v>61.255</v>
      </c>
      <c r="T154" s="101">
        <f>S154-E154</f>
        <v>0.105000000000004</v>
      </c>
      <c r="U154" s="45"/>
    </row>
    <row r="155" spans="1:21">
      <c r="A155" s="41">
        <f>A154+1</f>
        <v>149</v>
      </c>
      <c r="B155" s="72">
        <v>46022</v>
      </c>
      <c r="C155" s="207">
        <v>9109879</v>
      </c>
      <c r="D155" s="28">
        <v>57246530</v>
      </c>
      <c r="E155" s="29">
        <v>61.1</v>
      </c>
      <c r="F155" s="41">
        <v>530.57</v>
      </c>
      <c r="G155" s="42">
        <f>E155*F155</f>
        <v>32417.827</v>
      </c>
      <c r="H155" s="208">
        <v>48581.26</v>
      </c>
      <c r="I155" s="235">
        <f>E155*H155</f>
        <v>2968314.986</v>
      </c>
      <c r="J155" s="34" t="s">
        <v>120</v>
      </c>
      <c r="K155" s="366" t="s">
        <v>121</v>
      </c>
      <c r="L155" s="89"/>
      <c r="M155" s="44"/>
      <c r="N155" s="41"/>
      <c r="O155" s="41"/>
      <c r="P155" s="41"/>
      <c r="Q155" s="41"/>
      <c r="R155" s="72">
        <v>46031</v>
      </c>
      <c r="S155" s="41">
        <v>61.288</v>
      </c>
      <c r="T155" s="101">
        <f>S155-E155</f>
        <v>0.187999999999995</v>
      </c>
      <c r="U155" s="45"/>
    </row>
    <row r="156" spans="1:21">
      <c r="A156" s="41">
        <f>A155+1</f>
        <v>150</v>
      </c>
      <c r="B156" s="72">
        <v>46022</v>
      </c>
      <c r="C156" s="207">
        <v>9109879</v>
      </c>
      <c r="D156" s="28">
        <v>58644162</v>
      </c>
      <c r="E156" s="29">
        <v>61.15</v>
      </c>
      <c r="F156" s="41">
        <v>530.57</v>
      </c>
      <c r="G156" s="42">
        <f>E156*F156</f>
        <v>32444.3555</v>
      </c>
      <c r="H156" s="208">
        <v>48581.26</v>
      </c>
      <c r="I156" s="235">
        <f>E156*H156</f>
        <v>2970744.049</v>
      </c>
      <c r="J156" s="34" t="s">
        <v>120</v>
      </c>
      <c r="K156" s="366" t="s">
        <v>121</v>
      </c>
      <c r="L156" s="89"/>
      <c r="M156" s="44"/>
      <c r="N156" s="41"/>
      <c r="O156" s="41"/>
      <c r="P156" s="41"/>
      <c r="Q156" s="41"/>
      <c r="R156" s="72">
        <v>46031</v>
      </c>
      <c r="S156" s="41">
        <v>61.179</v>
      </c>
      <c r="T156" s="41">
        <f>S156-E156</f>
        <v>0.0290000000000035</v>
      </c>
      <c r="U156" s="45"/>
    </row>
    <row r="157" spans="1:21">
      <c r="A157" s="41">
        <f>A156+1</f>
        <v>151</v>
      </c>
      <c r="B157" s="72">
        <v>46022</v>
      </c>
      <c r="C157" s="207">
        <v>9109879</v>
      </c>
      <c r="D157" s="28">
        <v>73148967</v>
      </c>
      <c r="E157" s="29">
        <v>61.25</v>
      </c>
      <c r="F157" s="41">
        <v>530.57</v>
      </c>
      <c r="G157" s="42">
        <f>E157*F157</f>
        <v>32497.4125</v>
      </c>
      <c r="H157" s="208">
        <v>48581.26</v>
      </c>
      <c r="I157" s="235">
        <f>E157*H157</f>
        <v>2975602.175</v>
      </c>
      <c r="J157" s="34" t="s">
        <v>120</v>
      </c>
      <c r="K157" s="366" t="s">
        <v>121</v>
      </c>
      <c r="L157" s="89"/>
      <c r="M157" s="44"/>
      <c r="N157" s="41"/>
      <c r="O157" s="41"/>
      <c r="P157" s="41"/>
      <c r="Q157" s="41"/>
      <c r="R157" s="72">
        <v>46031</v>
      </c>
      <c r="S157" s="41">
        <v>61.491</v>
      </c>
      <c r="T157" s="101">
        <f>S157-E157</f>
        <v>0.241</v>
      </c>
      <c r="U157" s="45"/>
    </row>
    <row r="158" spans="1:21">
      <c r="A158" s="41">
        <f>A157+1</f>
        <v>152</v>
      </c>
      <c r="B158" s="72">
        <v>46022</v>
      </c>
      <c r="C158" s="207">
        <v>9109879</v>
      </c>
      <c r="D158" s="28">
        <v>73159436</v>
      </c>
      <c r="E158" s="29">
        <v>61.25</v>
      </c>
      <c r="F158" s="41">
        <v>530.57</v>
      </c>
      <c r="G158" s="42">
        <f>E158*F158</f>
        <v>32497.4125</v>
      </c>
      <c r="H158" s="208">
        <v>48581.26</v>
      </c>
      <c r="I158" s="235">
        <f>E158*H158</f>
        <v>2975602.175</v>
      </c>
      <c r="J158" s="34" t="s">
        <v>120</v>
      </c>
      <c r="K158" s="366" t="s">
        <v>121</v>
      </c>
      <c r="L158" s="89"/>
      <c r="M158" s="44"/>
      <c r="N158" s="41"/>
      <c r="O158" s="41"/>
      <c r="P158" s="41"/>
      <c r="Q158" s="41"/>
      <c r="R158" s="72">
        <v>46031</v>
      </c>
      <c r="S158" s="41">
        <v>61.201</v>
      </c>
      <c r="T158" s="41">
        <f>S158-E158</f>
        <v>-0.0489999999999995</v>
      </c>
      <c r="U158" s="45"/>
    </row>
    <row r="159" spans="1:21">
      <c r="A159" s="41">
        <f>A158+1</f>
        <v>153</v>
      </c>
      <c r="B159" s="72">
        <v>46022</v>
      </c>
      <c r="C159" s="207">
        <v>9109879</v>
      </c>
      <c r="D159" s="28">
        <v>73205114</v>
      </c>
      <c r="E159" s="29">
        <v>61.15</v>
      </c>
      <c r="F159" s="41">
        <v>530.57</v>
      </c>
      <c r="G159" s="42">
        <f>E159*F159</f>
        <v>32444.3555</v>
      </c>
      <c r="H159" s="208">
        <v>48581.26</v>
      </c>
      <c r="I159" s="235">
        <f>E159*H159</f>
        <v>2970744.049</v>
      </c>
      <c r="J159" s="34" t="s">
        <v>120</v>
      </c>
      <c r="K159" s="366" t="s">
        <v>121</v>
      </c>
      <c r="L159" s="89"/>
      <c r="M159" s="44"/>
      <c r="N159" s="41"/>
      <c r="O159" s="41"/>
      <c r="P159" s="41"/>
      <c r="Q159" s="41"/>
      <c r="R159" s="72">
        <v>46031</v>
      </c>
      <c r="S159" s="41">
        <v>61.592</v>
      </c>
      <c r="T159" s="101">
        <f>S159-E159</f>
        <v>0.442</v>
      </c>
      <c r="U159" s="45"/>
    </row>
    <row r="160" spans="1:21">
      <c r="A160" s="41">
        <f>A159+1</f>
        <v>154</v>
      </c>
      <c r="B160" s="72">
        <v>46022</v>
      </c>
      <c r="C160" s="207">
        <v>9109879</v>
      </c>
      <c r="D160" s="28">
        <v>73208464</v>
      </c>
      <c r="E160" s="29">
        <v>61.35</v>
      </c>
      <c r="F160" s="41">
        <v>530.57</v>
      </c>
      <c r="G160" s="42">
        <f>E160*F160</f>
        <v>32550.4695</v>
      </c>
      <c r="H160" s="208">
        <v>48581.26</v>
      </c>
      <c r="I160" s="235">
        <f>E160*H160</f>
        <v>2980460.301</v>
      </c>
      <c r="J160" s="34" t="s">
        <v>120</v>
      </c>
      <c r="K160" s="366" t="s">
        <v>121</v>
      </c>
      <c r="L160" s="89"/>
      <c r="M160" s="44"/>
      <c r="N160" s="41"/>
      <c r="O160" s="41"/>
      <c r="P160" s="41"/>
      <c r="Q160" s="41"/>
      <c r="R160" s="72">
        <v>46031</v>
      </c>
      <c r="S160" s="41">
        <v>61.564</v>
      </c>
      <c r="T160" s="101">
        <f>S160-E160</f>
        <v>0.213999999999999</v>
      </c>
      <c r="U160" s="45"/>
    </row>
    <row r="161" spans="1:21">
      <c r="A161" s="41">
        <f>A160+1</f>
        <v>155</v>
      </c>
      <c r="B161" s="72">
        <v>46022</v>
      </c>
      <c r="C161" s="207">
        <v>9109879</v>
      </c>
      <c r="D161" s="28">
        <v>73982431</v>
      </c>
      <c r="E161" s="29">
        <v>60.9</v>
      </c>
      <c r="F161" s="41">
        <v>530.57</v>
      </c>
      <c r="G161" s="42">
        <f>E161*F161</f>
        <v>32311.713</v>
      </c>
      <c r="H161" s="208">
        <v>48581.26</v>
      </c>
      <c r="I161" s="235">
        <f>E161*H161</f>
        <v>2958598.734</v>
      </c>
      <c r="J161" s="34" t="s">
        <v>120</v>
      </c>
      <c r="K161" s="366" t="s">
        <v>121</v>
      </c>
      <c r="L161" s="89"/>
      <c r="M161" s="44"/>
      <c r="N161" s="41"/>
      <c r="O161" s="41"/>
      <c r="P161" s="41"/>
      <c r="Q161" s="41"/>
      <c r="R161" s="72">
        <v>46031</v>
      </c>
      <c r="S161" s="41">
        <v>60.474</v>
      </c>
      <c r="T161" s="101">
        <f>S161-E161</f>
        <v>-0.426000000000002</v>
      </c>
      <c r="U161" s="45"/>
    </row>
    <row r="162" spans="1:21">
      <c r="A162" s="41">
        <f>A161+1</f>
        <v>156</v>
      </c>
      <c r="B162" s="72">
        <v>46022</v>
      </c>
      <c r="C162" s="207">
        <v>9109879</v>
      </c>
      <c r="D162" s="28">
        <v>75047480</v>
      </c>
      <c r="E162" s="29">
        <v>60.65</v>
      </c>
      <c r="F162" s="41">
        <v>530.57</v>
      </c>
      <c r="G162" s="42">
        <f>E162*F162</f>
        <v>32179.0705</v>
      </c>
      <c r="H162" s="208">
        <v>48581.26</v>
      </c>
      <c r="I162" s="235">
        <f>E162*H162</f>
        <v>2946453.419</v>
      </c>
      <c r="J162" s="34" t="s">
        <v>120</v>
      </c>
      <c r="K162" s="366" t="s">
        <v>121</v>
      </c>
      <c r="L162" s="89"/>
      <c r="M162" s="44"/>
      <c r="N162" s="41"/>
      <c r="O162" s="41"/>
      <c r="P162" s="41"/>
      <c r="Q162" s="41"/>
      <c r="R162" s="72">
        <v>46031</v>
      </c>
      <c r="S162" s="41">
        <v>60.679</v>
      </c>
      <c r="T162" s="101">
        <f>S162-E162</f>
        <v>0.0290000000000035</v>
      </c>
      <c r="U162" s="45"/>
    </row>
    <row r="163" spans="1:21">
      <c r="A163" s="41">
        <f>A162+1</f>
        <v>157</v>
      </c>
      <c r="B163" s="72">
        <v>46022</v>
      </c>
      <c r="C163" s="207">
        <v>9109879</v>
      </c>
      <c r="D163" s="28">
        <v>75407494</v>
      </c>
      <c r="E163" s="29">
        <v>62.05</v>
      </c>
      <c r="F163" s="41">
        <v>530.57</v>
      </c>
      <c r="G163" s="42">
        <f>E163*F163</f>
        <v>32921.8685</v>
      </c>
      <c r="H163" s="208">
        <v>48581.26</v>
      </c>
      <c r="I163" s="235">
        <f>E163*H163</f>
        <v>3014467.183</v>
      </c>
      <c r="J163" s="34" t="s">
        <v>120</v>
      </c>
      <c r="K163" s="366" t="s">
        <v>121</v>
      </c>
      <c r="L163" s="89"/>
      <c r="M163" s="44"/>
      <c r="N163" s="41"/>
      <c r="O163" s="41"/>
      <c r="P163" s="41"/>
      <c r="Q163" s="41"/>
      <c r="R163" s="72">
        <v>46031</v>
      </c>
      <c r="S163" s="41">
        <v>62.354</v>
      </c>
      <c r="T163" s="41">
        <f>S163-E163</f>
        <v>0.304000000000002</v>
      </c>
      <c r="U163" s="45"/>
    </row>
    <row r="164" spans="1:21">
      <c r="A164" s="41">
        <f>A163+1</f>
        <v>158</v>
      </c>
      <c r="B164" s="72">
        <v>46022</v>
      </c>
      <c r="C164" s="207">
        <v>9109879</v>
      </c>
      <c r="D164" s="28">
        <v>76876192</v>
      </c>
      <c r="E164" s="29">
        <v>61.6</v>
      </c>
      <c r="F164" s="41">
        <v>530.57</v>
      </c>
      <c r="G164" s="42">
        <f>E164*F164</f>
        <v>32683.112</v>
      </c>
      <c r="H164" s="208">
        <v>48581.26</v>
      </c>
      <c r="I164" s="235">
        <f>E164*H164</f>
        <v>2992605.616</v>
      </c>
      <c r="J164" s="34" t="s">
        <v>120</v>
      </c>
      <c r="K164" s="366" t="s">
        <v>121</v>
      </c>
      <c r="M164" s="457"/>
      <c r="N164" s="104"/>
      <c r="O164" s="104"/>
      <c r="P164" s="104"/>
      <c r="Q164" s="104"/>
      <c r="R164" s="72">
        <v>46031</v>
      </c>
      <c r="S164" s="104">
        <v>61.805</v>
      </c>
      <c r="T164" s="101">
        <f>S164-E164</f>
        <v>0.204999999999998</v>
      </c>
      <c r="U164" s="458"/>
    </row>
    <row r="165" spans="1:21">
      <c r="A165" s="41">
        <f>A164+1</f>
        <v>159</v>
      </c>
      <c r="B165" s="72">
        <v>46022</v>
      </c>
      <c r="C165" s="207">
        <v>9109880</v>
      </c>
      <c r="D165" s="28">
        <v>50913078</v>
      </c>
      <c r="E165" s="29">
        <v>60.95</v>
      </c>
      <c r="F165" s="41">
        <v>530.57</v>
      </c>
      <c r="G165" s="42">
        <f>E165*F165</f>
        <v>32338.2415</v>
      </c>
      <c r="H165" s="208">
        <v>48581.26</v>
      </c>
      <c r="I165" s="235">
        <f>E165*H165</f>
        <v>2961027.797</v>
      </c>
      <c r="J165" s="34" t="s">
        <v>120</v>
      </c>
      <c r="K165" s="366" t="s">
        <v>121</v>
      </c>
      <c r="L165" s="89"/>
      <c r="M165" s="44"/>
      <c r="N165" s="41"/>
      <c r="O165" s="41"/>
      <c r="P165" s="41"/>
      <c r="Q165" s="41"/>
      <c r="R165" s="72">
        <v>46030</v>
      </c>
      <c r="S165" s="41">
        <v>61.214</v>
      </c>
      <c r="T165" s="41">
        <f>S165-E165</f>
        <v>0.263999999999996</v>
      </c>
      <c r="U165" s="45"/>
    </row>
    <row r="166" spans="1:21">
      <c r="A166" s="41">
        <f>A165+1</f>
        <v>160</v>
      </c>
      <c r="B166" s="72">
        <v>46022</v>
      </c>
      <c r="C166" s="207">
        <v>9109880</v>
      </c>
      <c r="D166" s="28">
        <v>51723005</v>
      </c>
      <c r="E166" s="29">
        <v>51.75</v>
      </c>
      <c r="F166" s="41">
        <v>530.57</v>
      </c>
      <c r="G166" s="42">
        <f>E166*F166</f>
        <v>27456.9975</v>
      </c>
      <c r="H166" s="208">
        <v>48581.26</v>
      </c>
      <c r="I166" s="235">
        <f>E166*H166</f>
        <v>2514080.205</v>
      </c>
      <c r="J166" s="34" t="s">
        <v>120</v>
      </c>
      <c r="K166" s="366" t="s">
        <v>121</v>
      </c>
      <c r="L166" s="89"/>
      <c r="M166" s="44"/>
      <c r="N166" s="41"/>
      <c r="O166" s="41"/>
      <c r="P166" s="41"/>
      <c r="Q166" s="41"/>
      <c r="R166" s="41"/>
      <c r="S166" s="41"/>
      <c r="T166" s="41"/>
      <c r="U166" s="45"/>
    </row>
    <row r="167" spans="1:21">
      <c r="A167" s="41">
        <f>A166+1</f>
        <v>161</v>
      </c>
      <c r="B167" s="72">
        <v>46022</v>
      </c>
      <c r="C167" s="207">
        <v>9109880</v>
      </c>
      <c r="D167" s="28">
        <v>54241989</v>
      </c>
      <c r="E167" s="29">
        <v>60.9</v>
      </c>
      <c r="F167" s="41">
        <v>530.57</v>
      </c>
      <c r="G167" s="42">
        <f>E167*F167</f>
        <v>32311.713</v>
      </c>
      <c r="H167" s="208">
        <v>48581.26</v>
      </c>
      <c r="I167" s="235">
        <f>E167*H167</f>
        <v>2958598.734</v>
      </c>
      <c r="J167" s="34" t="s">
        <v>120</v>
      </c>
      <c r="K167" s="366" t="s">
        <v>121</v>
      </c>
      <c r="L167" s="89"/>
      <c r="M167" s="44"/>
      <c r="N167" s="41"/>
      <c r="O167" s="41"/>
      <c r="P167" s="41"/>
      <c r="Q167" s="41"/>
      <c r="R167" s="41"/>
      <c r="S167" s="41"/>
      <c r="T167" s="41"/>
      <c r="U167" s="45"/>
    </row>
    <row r="168" spans="1:21">
      <c r="A168" s="41">
        <f>A167+1</f>
        <v>162</v>
      </c>
      <c r="B168" s="72">
        <v>46022</v>
      </c>
      <c r="C168" s="207">
        <v>9109880</v>
      </c>
      <c r="D168" s="28">
        <v>55055545</v>
      </c>
      <c r="E168" s="29">
        <v>61.2</v>
      </c>
      <c r="F168" s="41">
        <v>530.57</v>
      </c>
      <c r="G168" s="42">
        <f>E168*F168</f>
        <v>32470.884</v>
      </c>
      <c r="H168" s="208">
        <v>48581.26</v>
      </c>
      <c r="I168" s="235">
        <f>E168*H168</f>
        <v>2973173.112</v>
      </c>
      <c r="J168" s="34" t="s">
        <v>120</v>
      </c>
      <c r="K168" s="366" t="s">
        <v>121</v>
      </c>
      <c r="L168" s="89"/>
      <c r="M168" s="44"/>
      <c r="N168" s="41"/>
      <c r="O168" s="41"/>
      <c r="P168" s="41"/>
      <c r="Q168" s="41"/>
      <c r="R168" s="72">
        <v>46030</v>
      </c>
      <c r="S168" s="41">
        <v>61.027</v>
      </c>
      <c r="T168" s="41">
        <f>S168-E168</f>
        <v>-0.173000000000002</v>
      </c>
      <c r="U168" s="45"/>
    </row>
    <row r="169" spans="1:21">
      <c r="A169" s="41">
        <f>A168+1</f>
        <v>163</v>
      </c>
      <c r="B169" s="72">
        <v>46022</v>
      </c>
      <c r="C169" s="207">
        <v>9109880</v>
      </c>
      <c r="D169" s="28">
        <v>57394017</v>
      </c>
      <c r="E169" s="29">
        <v>61.05</v>
      </c>
      <c r="F169" s="41">
        <v>530.57</v>
      </c>
      <c r="G169" s="42">
        <f>E169*F169</f>
        <v>32391.2985</v>
      </c>
      <c r="H169" s="208">
        <v>48581.26</v>
      </c>
      <c r="I169" s="235">
        <f>E169*H169</f>
        <v>2965885.923</v>
      </c>
      <c r="J169" s="34" t="s">
        <v>120</v>
      </c>
      <c r="K169" s="366" t="s">
        <v>121</v>
      </c>
      <c r="L169" s="89"/>
      <c r="M169" s="44"/>
      <c r="N169" s="41"/>
      <c r="O169" s="41"/>
      <c r="P169" s="41"/>
      <c r="Q169" s="41"/>
      <c r="R169" s="72">
        <v>42377</v>
      </c>
      <c r="S169" s="41">
        <v>61.043</v>
      </c>
      <c r="T169" s="41">
        <f>S169-E169</f>
        <v>-0.0069999999999979</v>
      </c>
      <c r="U169" s="45"/>
    </row>
    <row r="170" spans="1:21">
      <c r="A170" s="41">
        <f>A169+1</f>
        <v>164</v>
      </c>
      <c r="B170" s="72">
        <v>46022</v>
      </c>
      <c r="C170" s="207">
        <v>9109880</v>
      </c>
      <c r="D170" s="28">
        <v>73106304</v>
      </c>
      <c r="E170" s="29">
        <v>61.3</v>
      </c>
      <c r="F170" s="41">
        <v>530.57</v>
      </c>
      <c r="G170" s="42">
        <f>E170*F170</f>
        <v>32523.941</v>
      </c>
      <c r="H170" s="208">
        <v>48581.26</v>
      </c>
      <c r="I170" s="235">
        <f>E170*H170</f>
        <v>2978031.238</v>
      </c>
      <c r="J170" s="34" t="s">
        <v>120</v>
      </c>
      <c r="K170" s="366" t="s">
        <v>121</v>
      </c>
      <c r="L170" s="89"/>
      <c r="M170" s="44"/>
      <c r="N170" s="41"/>
      <c r="O170" s="41"/>
      <c r="P170" s="41"/>
      <c r="Q170" s="41"/>
      <c r="R170" s="41"/>
      <c r="S170" s="41"/>
      <c r="T170" s="41"/>
      <c r="U170" s="45"/>
    </row>
    <row r="171" spans="1:21">
      <c r="A171" s="41">
        <f>A170+1</f>
        <v>165</v>
      </c>
      <c r="B171" s="72">
        <v>46022</v>
      </c>
      <c r="C171" s="207">
        <v>9109880</v>
      </c>
      <c r="D171" s="28">
        <v>73275281</v>
      </c>
      <c r="E171" s="29">
        <v>61.35</v>
      </c>
      <c r="F171" s="41">
        <v>530.57</v>
      </c>
      <c r="G171" s="42">
        <f>E171*F171</f>
        <v>32550.4695</v>
      </c>
      <c r="H171" s="208">
        <v>48581.26</v>
      </c>
      <c r="I171" s="235">
        <f>E171*H171</f>
        <v>2980460.301</v>
      </c>
      <c r="J171" s="34" t="s">
        <v>120</v>
      </c>
      <c r="K171" s="366" t="s">
        <v>121</v>
      </c>
      <c r="L171" s="89"/>
      <c r="M171" s="44"/>
      <c r="N171" s="41"/>
      <c r="O171" s="41"/>
      <c r="P171" s="41"/>
      <c r="Q171" s="41"/>
      <c r="R171" s="72">
        <v>46030</v>
      </c>
      <c r="S171" s="41">
        <v>61.207</v>
      </c>
      <c r="T171" s="41">
        <f>S171-E171</f>
        <v>-0.143000000000001</v>
      </c>
      <c r="U171" s="45"/>
    </row>
    <row r="172" spans="1:21">
      <c r="A172" s="41">
        <f>A171+1</f>
        <v>166</v>
      </c>
      <c r="B172" s="72">
        <v>46022</v>
      </c>
      <c r="C172" s="207">
        <v>9109880</v>
      </c>
      <c r="D172" s="28">
        <v>73971483</v>
      </c>
      <c r="E172" s="29">
        <v>60.85</v>
      </c>
      <c r="F172" s="41">
        <v>530.57</v>
      </c>
      <c r="G172" s="42">
        <f>E172*F172</f>
        <v>32285.1845</v>
      </c>
      <c r="H172" s="208">
        <v>48581.26</v>
      </c>
      <c r="I172" s="235">
        <f>E172*H172</f>
        <v>2956169.671</v>
      </c>
      <c r="J172" s="34" t="s">
        <v>120</v>
      </c>
      <c r="K172" s="366" t="s">
        <v>121</v>
      </c>
      <c r="L172" s="89"/>
      <c r="M172" s="44"/>
      <c r="N172" s="41"/>
      <c r="O172" s="41"/>
      <c r="P172" s="41"/>
      <c r="Q172" s="41"/>
      <c r="R172" s="41"/>
      <c r="S172" s="41"/>
      <c r="T172" s="41"/>
      <c r="U172" s="45"/>
    </row>
    <row r="173" spans="1:21">
      <c r="A173" s="41">
        <f>A172+1</f>
        <v>167</v>
      </c>
      <c r="B173" s="72">
        <v>46022</v>
      </c>
      <c r="C173" s="207">
        <v>9109880</v>
      </c>
      <c r="D173" s="28">
        <v>74936659</v>
      </c>
      <c r="E173" s="29">
        <v>61.65</v>
      </c>
      <c r="F173" s="41">
        <v>530.57</v>
      </c>
      <c r="G173" s="42">
        <f>E173*F173</f>
        <v>32709.6405</v>
      </c>
      <c r="H173" s="208">
        <v>48581.26</v>
      </c>
      <c r="I173" s="235">
        <f>E173*H173</f>
        <v>2995034.679</v>
      </c>
      <c r="J173" s="34" t="s">
        <v>120</v>
      </c>
      <c r="K173" s="366" t="s">
        <v>121</v>
      </c>
      <c r="L173" s="89"/>
      <c r="M173" s="44"/>
      <c r="N173" s="41"/>
      <c r="O173" s="41"/>
      <c r="P173" s="41"/>
      <c r="Q173" s="41"/>
      <c r="R173" s="41"/>
      <c r="S173" s="41"/>
      <c r="T173" s="41"/>
      <c r="U173" s="45"/>
    </row>
    <row r="174" spans="1:21">
      <c r="A174" s="41">
        <f>A173+1</f>
        <v>168</v>
      </c>
      <c r="B174" s="72">
        <v>46022</v>
      </c>
      <c r="C174" s="207">
        <v>9109880</v>
      </c>
      <c r="D174" s="28">
        <v>75207704</v>
      </c>
      <c r="E174" s="29">
        <v>61.6</v>
      </c>
      <c r="F174" s="41">
        <v>530.57</v>
      </c>
      <c r="G174" s="42">
        <f>E174*F174</f>
        <v>32683.112</v>
      </c>
      <c r="H174" s="208">
        <v>48581.26</v>
      </c>
      <c r="I174" s="235">
        <f>E174*H174</f>
        <v>2992605.616</v>
      </c>
      <c r="J174" s="34" t="s">
        <v>120</v>
      </c>
      <c r="K174" s="366" t="s">
        <v>121</v>
      </c>
      <c r="L174" s="89"/>
      <c r="M174" s="44"/>
      <c r="N174" s="41"/>
      <c r="O174" s="41"/>
      <c r="P174" s="41"/>
      <c r="Q174" s="41"/>
      <c r="R174" s="41"/>
      <c r="S174" s="41"/>
      <c r="T174" s="41"/>
      <c r="U174" s="45"/>
    </row>
    <row r="175" spans="1:21">
      <c r="A175" s="41">
        <f>A174+1</f>
        <v>169</v>
      </c>
      <c r="B175" s="72">
        <v>46022</v>
      </c>
      <c r="C175" s="207">
        <v>9109880</v>
      </c>
      <c r="D175" s="28">
        <v>75234658</v>
      </c>
      <c r="E175" s="29">
        <v>61.65</v>
      </c>
      <c r="F175" s="41">
        <v>530.57</v>
      </c>
      <c r="G175" s="42">
        <f>E175*F175</f>
        <v>32709.6405</v>
      </c>
      <c r="H175" s="208">
        <v>48581.26</v>
      </c>
      <c r="I175" s="235">
        <f>E175*H175</f>
        <v>2995034.679</v>
      </c>
      <c r="J175" s="34" t="s">
        <v>120</v>
      </c>
      <c r="K175" s="366" t="s">
        <v>121</v>
      </c>
      <c r="L175" s="89"/>
      <c r="M175" s="44"/>
      <c r="N175" s="41"/>
      <c r="O175" s="41"/>
      <c r="P175" s="41"/>
      <c r="Q175" s="41"/>
      <c r="R175" s="72">
        <v>46030</v>
      </c>
      <c r="S175" s="41">
        <v>61.781</v>
      </c>
      <c r="T175" s="101">
        <f>S175-E175</f>
        <v>0.131</v>
      </c>
      <c r="U175" s="45"/>
    </row>
    <row r="176" spans="1:21">
      <c r="A176" s="41">
        <f>A175+1</f>
        <v>170</v>
      </c>
      <c r="B176" s="72">
        <v>46022</v>
      </c>
      <c r="C176" s="207">
        <v>9109880</v>
      </c>
      <c r="D176" s="28">
        <v>75851394</v>
      </c>
      <c r="E176" s="29">
        <v>61.65</v>
      </c>
      <c r="F176" s="41">
        <v>530.57</v>
      </c>
      <c r="G176" s="42">
        <f>E176*F176</f>
        <v>32709.6405</v>
      </c>
      <c r="H176" s="208">
        <v>48581.26</v>
      </c>
      <c r="I176" s="235">
        <f>E176*H176</f>
        <v>2995034.679</v>
      </c>
      <c r="J176" s="34" t="s">
        <v>120</v>
      </c>
      <c r="K176" s="366" t="s">
        <v>121</v>
      </c>
      <c r="L176" s="89"/>
      <c r="M176" s="44"/>
      <c r="N176" s="41"/>
      <c r="O176" s="41"/>
      <c r="P176" s="41"/>
      <c r="Q176" s="41"/>
      <c r="R176" s="41"/>
      <c r="S176" s="41"/>
      <c r="T176" s="41"/>
      <c r="U176" s="45"/>
    </row>
    <row r="177" spans="1:21">
      <c r="A177" s="41">
        <f>A176+1</f>
        <v>171</v>
      </c>
      <c r="B177" s="72">
        <v>46022</v>
      </c>
      <c r="C177" s="207">
        <v>9109880</v>
      </c>
      <c r="D177" s="28">
        <v>76610591</v>
      </c>
      <c r="E177" s="29">
        <v>61.7</v>
      </c>
      <c r="F177" s="41">
        <v>530.57</v>
      </c>
      <c r="G177" s="42">
        <f>E177*F177</f>
        <v>32736.169</v>
      </c>
      <c r="H177" s="208">
        <v>48581.26</v>
      </c>
      <c r="I177" s="235">
        <f>E177*H177</f>
        <v>2997463.742</v>
      </c>
      <c r="J177" s="34" t="s">
        <v>120</v>
      </c>
      <c r="K177" s="366" t="s">
        <v>121</v>
      </c>
      <c r="L177" s="89"/>
      <c r="M177" s="44"/>
      <c r="N177" s="41"/>
      <c r="O177" s="41"/>
      <c r="P177" s="41"/>
      <c r="Q177" s="41"/>
      <c r="R177" s="72">
        <v>46030</v>
      </c>
      <c r="S177" s="41">
        <v>61.535</v>
      </c>
      <c r="T177" s="101">
        <f>S177-E177</f>
        <v>-0.165000000000006</v>
      </c>
      <c r="U177" s="45"/>
    </row>
    <row r="178" spans="1:21">
      <c r="A178" s="41">
        <f>A177+1</f>
        <v>172</v>
      </c>
      <c r="B178" s="72">
        <v>46022</v>
      </c>
      <c r="C178" s="207">
        <v>9109881</v>
      </c>
      <c r="D178" s="28">
        <v>50053750</v>
      </c>
      <c r="E178" s="29">
        <v>60.6</v>
      </c>
      <c r="F178" s="41">
        <v>530.57</v>
      </c>
      <c r="G178" s="42">
        <f>E178*F178</f>
        <v>32152.542</v>
      </c>
      <c r="H178" s="208">
        <v>48581.26</v>
      </c>
      <c r="I178" s="235">
        <f>E178*H178</f>
        <v>2944024.356</v>
      </c>
      <c r="J178" s="34" t="s">
        <v>120</v>
      </c>
      <c r="K178" s="366" t="s">
        <v>121</v>
      </c>
      <c r="L178" s="89"/>
      <c r="M178" s="44"/>
      <c r="N178" s="41"/>
      <c r="O178" s="41"/>
      <c r="P178" s="41"/>
      <c r="Q178" s="41"/>
      <c r="R178" s="72">
        <v>46030</v>
      </c>
      <c r="S178" s="41">
        <v>60.529</v>
      </c>
      <c r="T178" s="101">
        <f>S178-E178</f>
        <v>-0.070999999999998</v>
      </c>
      <c r="U178" s="45"/>
    </row>
    <row r="179" spans="1:21">
      <c r="A179" s="41">
        <f>A178+1</f>
        <v>173</v>
      </c>
      <c r="B179" s="72">
        <v>46022</v>
      </c>
      <c r="C179" s="207">
        <v>9109881</v>
      </c>
      <c r="D179" s="28">
        <v>51248003</v>
      </c>
      <c r="E179" s="29">
        <v>60.7</v>
      </c>
      <c r="F179" s="41">
        <v>530.57</v>
      </c>
      <c r="G179" s="42">
        <f>E179*F179</f>
        <v>32205.599</v>
      </c>
      <c r="H179" s="208">
        <v>48581.26</v>
      </c>
      <c r="I179" s="235">
        <f>E179*H179</f>
        <v>2948882.482</v>
      </c>
      <c r="J179" s="34" t="s">
        <v>120</v>
      </c>
      <c r="K179" s="366" t="s">
        <v>121</v>
      </c>
      <c r="L179" s="89"/>
      <c r="M179" s="44"/>
      <c r="N179" s="41"/>
      <c r="O179" s="41"/>
      <c r="P179" s="41"/>
      <c r="Q179" s="41"/>
      <c r="R179" s="72">
        <v>46030</v>
      </c>
      <c r="S179" s="41">
        <v>61.065</v>
      </c>
      <c r="T179" s="101">
        <f>S179-E179</f>
        <v>0.364999999999995</v>
      </c>
      <c r="U179" s="45"/>
    </row>
    <row r="180" spans="1:21">
      <c r="A180" s="41">
        <f>A179+1</f>
        <v>174</v>
      </c>
      <c r="B180" s="72">
        <v>46022</v>
      </c>
      <c r="C180" s="207">
        <v>9109881</v>
      </c>
      <c r="D180" s="28">
        <v>51302305</v>
      </c>
      <c r="E180" s="29">
        <v>51.7</v>
      </c>
      <c r="F180" s="41">
        <v>530.57</v>
      </c>
      <c r="G180" s="42">
        <f>E180*F180</f>
        <v>27430.469</v>
      </c>
      <c r="H180" s="208">
        <v>48581.26</v>
      </c>
      <c r="I180" s="235">
        <f>E180*H180</f>
        <v>2511651.142</v>
      </c>
      <c r="J180" s="34" t="s">
        <v>120</v>
      </c>
      <c r="K180" s="366" t="s">
        <v>121</v>
      </c>
      <c r="L180" s="89"/>
      <c r="M180" s="44"/>
      <c r="N180" s="41"/>
      <c r="O180" s="41"/>
      <c r="P180" s="41"/>
      <c r="Q180" s="41"/>
      <c r="R180" s="72">
        <v>46030</v>
      </c>
      <c r="S180" s="41">
        <v>51.726</v>
      </c>
      <c r="T180" s="101">
        <f>S180-E180</f>
        <v>0.0259999999999962</v>
      </c>
      <c r="U180" s="45"/>
    </row>
    <row r="181" spans="1:21">
      <c r="A181" s="41">
        <f>A180+1</f>
        <v>175</v>
      </c>
      <c r="B181" s="72">
        <v>46022</v>
      </c>
      <c r="C181" s="207">
        <v>9109881</v>
      </c>
      <c r="D181" s="28">
        <v>51487700</v>
      </c>
      <c r="E181" s="29">
        <v>60.5</v>
      </c>
      <c r="F181" s="41">
        <v>530.57</v>
      </c>
      <c r="G181" s="42">
        <f>E181*F181</f>
        <v>32099.485</v>
      </c>
      <c r="H181" s="208">
        <v>48581.26</v>
      </c>
      <c r="I181" s="235">
        <f>E181*H181</f>
        <v>2939166.23</v>
      </c>
      <c r="J181" s="34" t="s">
        <v>120</v>
      </c>
      <c r="K181" s="366" t="s">
        <v>121</v>
      </c>
      <c r="L181" s="89"/>
      <c r="M181" s="44"/>
      <c r="N181" s="41"/>
      <c r="O181" s="41"/>
      <c r="P181" s="41"/>
      <c r="Q181" s="41"/>
      <c r="R181" s="72">
        <v>46030</v>
      </c>
      <c r="S181" s="41">
        <v>60.983</v>
      </c>
      <c r="T181" s="41">
        <f>S181-E181</f>
        <v>0.482999999999997</v>
      </c>
      <c r="U181" s="45"/>
    </row>
    <row r="182" spans="1:21">
      <c r="A182" s="41">
        <f>A181+1</f>
        <v>176</v>
      </c>
      <c r="B182" s="72">
        <v>46022</v>
      </c>
      <c r="C182" s="207">
        <v>9109881</v>
      </c>
      <c r="D182" s="28">
        <v>51631026</v>
      </c>
      <c r="E182" s="29">
        <v>51.4</v>
      </c>
      <c r="F182" s="41">
        <v>530.57</v>
      </c>
      <c r="G182" s="42">
        <f>E182*F182</f>
        <v>27271.298</v>
      </c>
      <c r="H182" s="208">
        <v>48581.26</v>
      </c>
      <c r="I182" s="235">
        <f>E182*H182</f>
        <v>2497076.764</v>
      </c>
      <c r="J182" s="34" t="s">
        <v>120</v>
      </c>
      <c r="K182" s="366" t="s">
        <v>121</v>
      </c>
      <c r="L182" s="89"/>
      <c r="M182" s="44"/>
      <c r="N182" s="41"/>
      <c r="O182" s="41"/>
      <c r="P182" s="41"/>
      <c r="Q182" s="41"/>
      <c r="R182" s="72">
        <v>46030</v>
      </c>
      <c r="S182" s="41">
        <v>51.34</v>
      </c>
      <c r="T182" s="41">
        <f>S182-E182</f>
        <v>-0.0599999999999952</v>
      </c>
      <c r="U182" s="45"/>
    </row>
    <row r="183" spans="1:21">
      <c r="A183" s="41">
        <f>A182+1</f>
        <v>177</v>
      </c>
      <c r="B183" s="72">
        <v>46022</v>
      </c>
      <c r="C183" s="207">
        <v>9109881</v>
      </c>
      <c r="D183" s="28">
        <v>51671485</v>
      </c>
      <c r="E183" s="29">
        <v>51.45</v>
      </c>
      <c r="F183" s="41">
        <v>530.57</v>
      </c>
      <c r="G183" s="42">
        <f>E183*F183</f>
        <v>27297.8265</v>
      </c>
      <c r="H183" s="208">
        <v>48581.26</v>
      </c>
      <c r="I183" s="235">
        <f>E183*H183</f>
        <v>2499505.827</v>
      </c>
      <c r="J183" s="34" t="s">
        <v>120</v>
      </c>
      <c r="K183" s="366" t="s">
        <v>121</v>
      </c>
      <c r="L183" s="89"/>
      <c r="M183" s="44"/>
      <c r="N183" s="41"/>
      <c r="O183" s="41"/>
      <c r="P183" s="41"/>
      <c r="Q183" s="41"/>
      <c r="R183" s="72">
        <v>46030</v>
      </c>
      <c r="S183" s="41">
        <v>51.203</v>
      </c>
      <c r="T183" s="101">
        <f>S183-E183</f>
        <v>-0.247</v>
      </c>
      <c r="U183" s="45"/>
    </row>
    <row r="184" spans="1:21">
      <c r="A184" s="41">
        <f>A183+1</f>
        <v>178</v>
      </c>
      <c r="B184" s="72">
        <v>46022</v>
      </c>
      <c r="C184" s="207">
        <v>9109881</v>
      </c>
      <c r="D184" s="28">
        <v>53870952</v>
      </c>
      <c r="E184" s="29">
        <v>60.7</v>
      </c>
      <c r="F184" s="41">
        <v>530.57</v>
      </c>
      <c r="G184" s="42">
        <f>E184*F184</f>
        <v>32205.599</v>
      </c>
      <c r="H184" s="208">
        <v>48581.26</v>
      </c>
      <c r="I184" s="235">
        <f>E184*H184</f>
        <v>2948882.482</v>
      </c>
      <c r="J184" s="34" t="s">
        <v>120</v>
      </c>
      <c r="K184" s="366" t="s">
        <v>121</v>
      </c>
      <c r="L184" s="89"/>
      <c r="M184" s="44"/>
      <c r="N184" s="41"/>
      <c r="O184" s="41"/>
      <c r="P184" s="41"/>
      <c r="Q184" s="41"/>
      <c r="R184" s="72">
        <v>46030</v>
      </c>
      <c r="S184" s="101">
        <v>60.91</v>
      </c>
      <c r="T184" s="101">
        <f>S184-E184</f>
        <v>0.209999999999994</v>
      </c>
      <c r="U184" s="45"/>
    </row>
    <row r="185" spans="1:21">
      <c r="A185" s="41">
        <f>A184+1</f>
        <v>179</v>
      </c>
      <c r="B185" s="72">
        <v>46022</v>
      </c>
      <c r="C185" s="207">
        <v>9109881</v>
      </c>
      <c r="D185" s="28">
        <v>53961603</v>
      </c>
      <c r="E185" s="29">
        <v>52.4</v>
      </c>
      <c r="F185" s="41">
        <v>530.57</v>
      </c>
      <c r="G185" s="42">
        <f>E185*F185</f>
        <v>27801.868</v>
      </c>
      <c r="H185" s="208">
        <v>48581.26</v>
      </c>
      <c r="I185" s="235">
        <f>E185*H185</f>
        <v>2545658.024</v>
      </c>
      <c r="J185" s="34" t="s">
        <v>120</v>
      </c>
      <c r="K185" s="366" t="s">
        <v>121</v>
      </c>
      <c r="L185" s="89"/>
      <c r="M185" s="44"/>
      <c r="N185" s="41"/>
      <c r="O185" s="41"/>
      <c r="P185" s="41"/>
      <c r="Q185" s="41"/>
      <c r="R185" s="72">
        <v>46030</v>
      </c>
      <c r="S185" s="41">
        <v>52.62</v>
      </c>
      <c r="T185" s="41">
        <f>S185-E185</f>
        <v>0.219999999999999</v>
      </c>
      <c r="U185" s="45"/>
    </row>
    <row r="186" spans="1:21">
      <c r="A186" s="41">
        <f>A185+1</f>
        <v>180</v>
      </c>
      <c r="B186" s="72">
        <v>46022</v>
      </c>
      <c r="C186" s="207">
        <v>9109881</v>
      </c>
      <c r="D186" s="28">
        <v>54046669</v>
      </c>
      <c r="E186" s="29">
        <v>60.75</v>
      </c>
      <c r="F186" s="41">
        <v>530.57</v>
      </c>
      <c r="G186" s="42">
        <f>E186*F186</f>
        <v>32232.1275</v>
      </c>
      <c r="H186" s="208">
        <v>48581.26</v>
      </c>
      <c r="I186" s="235">
        <f>E186*H186</f>
        <v>2951311.545</v>
      </c>
      <c r="J186" s="34" t="s">
        <v>120</v>
      </c>
      <c r="K186" s="366" t="s">
        <v>121</v>
      </c>
      <c r="L186" s="89"/>
      <c r="M186" s="44"/>
      <c r="N186" s="41"/>
      <c r="O186" s="41"/>
      <c r="P186" s="41"/>
      <c r="Q186" s="41"/>
      <c r="R186" s="72">
        <v>46030</v>
      </c>
      <c r="S186" s="41">
        <v>60.501</v>
      </c>
      <c r="T186" s="41">
        <f>S186-E186</f>
        <v>-0.249000000000002</v>
      </c>
      <c r="U186" s="45"/>
    </row>
    <row r="187" spans="1:21">
      <c r="A187" s="41">
        <f>A186+1</f>
        <v>181</v>
      </c>
      <c r="B187" s="72">
        <v>46022</v>
      </c>
      <c r="C187" s="207">
        <v>9109881</v>
      </c>
      <c r="D187" s="28">
        <v>54258215</v>
      </c>
      <c r="E187" s="29">
        <v>60.7</v>
      </c>
      <c r="F187" s="41">
        <v>530.57</v>
      </c>
      <c r="G187" s="42">
        <f>E187*F187</f>
        <v>32205.599</v>
      </c>
      <c r="H187" s="208">
        <v>48581.26</v>
      </c>
      <c r="I187" s="235">
        <f>E187*H187</f>
        <v>2948882.482</v>
      </c>
      <c r="J187" s="34" t="s">
        <v>120</v>
      </c>
      <c r="K187" s="366" t="s">
        <v>121</v>
      </c>
      <c r="L187" s="89"/>
      <c r="M187" s="44"/>
      <c r="N187" s="41"/>
      <c r="O187" s="41"/>
      <c r="P187" s="41"/>
      <c r="Q187" s="41"/>
      <c r="R187" s="72">
        <v>46030</v>
      </c>
      <c r="S187" s="101">
        <v>61.26</v>
      </c>
      <c r="T187" s="101">
        <f>S187-E187</f>
        <v>0.559999999999995</v>
      </c>
      <c r="U187" s="45"/>
    </row>
    <row r="188" spans="1:21">
      <c r="A188" s="41">
        <f>A187+1</f>
        <v>182</v>
      </c>
      <c r="B188" s="72">
        <v>46022</v>
      </c>
      <c r="C188" s="207">
        <v>9109881</v>
      </c>
      <c r="D188" s="28">
        <v>57135626</v>
      </c>
      <c r="E188" s="29">
        <v>60.65</v>
      </c>
      <c r="F188" s="41">
        <v>530.57</v>
      </c>
      <c r="G188" s="42">
        <f>E188*F188</f>
        <v>32179.0705</v>
      </c>
      <c r="H188" s="208">
        <v>48581.26</v>
      </c>
      <c r="I188" s="235">
        <f>E188*H188</f>
        <v>2946453.419</v>
      </c>
      <c r="J188" s="34" t="s">
        <v>120</v>
      </c>
      <c r="K188" s="366" t="s">
        <v>121</v>
      </c>
      <c r="L188" s="89"/>
      <c r="M188" s="44"/>
      <c r="N188" s="41"/>
      <c r="O188" s="41"/>
      <c r="P188" s="41"/>
      <c r="Q188" s="41"/>
      <c r="R188" s="72">
        <v>46030</v>
      </c>
      <c r="S188" s="101">
        <v>60.501</v>
      </c>
      <c r="T188" s="101">
        <f>S188-E188</f>
        <v>-0.149000000000001</v>
      </c>
      <c r="U188" s="45"/>
    </row>
    <row r="189" spans="1:21">
      <c r="A189" s="41">
        <f>A188+1</f>
        <v>183</v>
      </c>
      <c r="B189" s="72">
        <v>46022</v>
      </c>
      <c r="C189" s="207">
        <v>9109881</v>
      </c>
      <c r="D189" s="28">
        <v>57378192</v>
      </c>
      <c r="E189" s="29">
        <v>51.95</v>
      </c>
      <c r="F189" s="41">
        <v>530.57</v>
      </c>
      <c r="G189" s="42">
        <f>E189*F189</f>
        <v>27563.1115</v>
      </c>
      <c r="H189" s="208">
        <v>48581.26</v>
      </c>
      <c r="I189" s="235">
        <f>E189*H189</f>
        <v>2523796.457</v>
      </c>
      <c r="J189" s="34" t="s">
        <v>120</v>
      </c>
      <c r="K189" s="366" t="s">
        <v>121</v>
      </c>
      <c r="L189" s="89"/>
      <c r="M189" s="44"/>
      <c r="N189" s="41"/>
      <c r="O189" s="41"/>
      <c r="P189" s="41"/>
      <c r="Q189" s="41"/>
      <c r="R189" s="72">
        <v>46030</v>
      </c>
      <c r="S189" s="101">
        <v>51.37</v>
      </c>
      <c r="T189" s="101">
        <f>S189-E189</f>
        <v>-0.580000000000005</v>
      </c>
      <c r="U189" s="45"/>
    </row>
    <row r="190" spans="1:21">
      <c r="A190" s="41">
        <f>A189+1</f>
        <v>184</v>
      </c>
      <c r="B190" s="72">
        <v>46022</v>
      </c>
      <c r="C190" s="207">
        <v>9109881</v>
      </c>
      <c r="D190" s="28">
        <v>57935116</v>
      </c>
      <c r="E190" s="29">
        <v>60.8</v>
      </c>
      <c r="F190" s="41">
        <v>530.57</v>
      </c>
      <c r="G190" s="42">
        <f>E190*F190</f>
        <v>32258.656</v>
      </c>
      <c r="H190" s="208">
        <v>48581.26</v>
      </c>
      <c r="I190" s="235">
        <f>E190*H190</f>
        <v>2953740.608</v>
      </c>
      <c r="J190" s="34" t="s">
        <v>120</v>
      </c>
      <c r="K190" s="366" t="s">
        <v>121</v>
      </c>
      <c r="L190" s="89"/>
      <c r="M190" s="44"/>
      <c r="N190" s="41"/>
      <c r="O190" s="41"/>
      <c r="P190" s="41"/>
      <c r="Q190" s="41"/>
      <c r="R190" s="72">
        <v>46030</v>
      </c>
      <c r="S190" s="41">
        <v>60.311</v>
      </c>
      <c r="T190" s="101">
        <f>S190-E190</f>
        <v>-0.488999999999997</v>
      </c>
      <c r="U190" s="45"/>
    </row>
    <row r="191" spans="1:21">
      <c r="A191" s="41">
        <f>A190+1</f>
        <v>185</v>
      </c>
      <c r="B191" s="72">
        <v>46022</v>
      </c>
      <c r="C191" s="207">
        <v>9109881</v>
      </c>
      <c r="D191" s="28">
        <v>58348996</v>
      </c>
      <c r="E191" s="29">
        <v>60.85</v>
      </c>
      <c r="F191" s="41">
        <v>530.57</v>
      </c>
      <c r="G191" s="42">
        <f>E191*F191</f>
        <v>32285.1845</v>
      </c>
      <c r="H191" s="208">
        <v>48581.26</v>
      </c>
      <c r="I191" s="235">
        <f>E191*H191</f>
        <v>2956169.671</v>
      </c>
      <c r="J191" s="34" t="s">
        <v>120</v>
      </c>
      <c r="K191" s="366" t="s">
        <v>121</v>
      </c>
      <c r="L191" s="89"/>
      <c r="M191" s="44"/>
      <c r="N191" s="41"/>
      <c r="O191" s="41"/>
      <c r="P191" s="41"/>
      <c r="Q191" s="41"/>
      <c r="R191" s="72">
        <v>46030</v>
      </c>
      <c r="S191" s="41">
        <v>60.358</v>
      </c>
      <c r="T191" s="101">
        <f>S191-E191</f>
        <v>-0.492000000000004</v>
      </c>
      <c r="U191" s="45"/>
    </row>
    <row r="192" spans="1:21">
      <c r="A192" s="41">
        <f>A191+1</f>
        <v>186</v>
      </c>
      <c r="B192" s="72">
        <v>46022</v>
      </c>
      <c r="C192" s="207">
        <v>9109881</v>
      </c>
      <c r="D192" s="28">
        <v>74996828</v>
      </c>
      <c r="E192" s="29">
        <v>61.5</v>
      </c>
      <c r="F192" s="41">
        <v>530.57</v>
      </c>
      <c r="G192" s="42">
        <f>E192*F192</f>
        <v>32630.055</v>
      </c>
      <c r="H192" s="208">
        <v>48581.26</v>
      </c>
      <c r="I192" s="235">
        <f>E192*H192</f>
        <v>2987747.49</v>
      </c>
      <c r="J192" s="34" t="s">
        <v>120</v>
      </c>
      <c r="K192" s="366" t="s">
        <v>121</v>
      </c>
      <c r="L192" s="89"/>
      <c r="M192" s="44"/>
      <c r="N192" s="41"/>
      <c r="O192" s="41"/>
      <c r="P192" s="41"/>
      <c r="Q192" s="41"/>
      <c r="R192" s="72">
        <v>46030</v>
      </c>
      <c r="S192" s="41">
        <v>61.661</v>
      </c>
      <c r="T192" s="41">
        <f>S192-E192</f>
        <v>0.161000000000001</v>
      </c>
      <c r="U192" s="45"/>
    </row>
    <row r="193" spans="1:21">
      <c r="A193" s="41">
        <f>A192+1</f>
        <v>187</v>
      </c>
      <c r="B193" s="72">
        <v>46022</v>
      </c>
      <c r="C193" s="207">
        <v>9109881</v>
      </c>
      <c r="D193" s="28">
        <v>75000760</v>
      </c>
      <c r="E193" s="29">
        <v>60.8</v>
      </c>
      <c r="F193" s="41">
        <v>530.57</v>
      </c>
      <c r="G193" s="42">
        <f>E193*F193</f>
        <v>32258.656</v>
      </c>
      <c r="H193" s="208">
        <v>48581.26</v>
      </c>
      <c r="I193" s="235">
        <f>E193*H193</f>
        <v>2953740.608</v>
      </c>
      <c r="J193" s="34" t="s">
        <v>120</v>
      </c>
      <c r="K193" s="366" t="s">
        <v>121</v>
      </c>
      <c r="L193" s="89"/>
      <c r="M193" s="44"/>
      <c r="N193" s="41"/>
      <c r="O193" s="41"/>
      <c r="P193" s="41"/>
      <c r="Q193" s="41"/>
      <c r="R193" s="72">
        <v>46030</v>
      </c>
      <c r="S193" s="41">
        <v>60.767</v>
      </c>
      <c r="T193" s="41">
        <f>S193-E193</f>
        <v>-0.0329999999999941</v>
      </c>
      <c r="U193" s="45"/>
    </row>
    <row r="194" spans="1:21">
      <c r="A194" s="41">
        <f>A193+1</f>
        <v>188</v>
      </c>
      <c r="B194" s="72">
        <v>46022</v>
      </c>
      <c r="C194" s="207">
        <v>9109881</v>
      </c>
      <c r="D194" s="28">
        <v>75007336</v>
      </c>
      <c r="E194" s="29">
        <v>60.7</v>
      </c>
      <c r="F194" s="41">
        <v>530.57</v>
      </c>
      <c r="G194" s="42">
        <f>E194*F194</f>
        <v>32205.599</v>
      </c>
      <c r="H194" s="208">
        <v>48581.26</v>
      </c>
      <c r="I194" s="235">
        <f>E194*H194</f>
        <v>2948882.482</v>
      </c>
      <c r="J194" s="34" t="s">
        <v>120</v>
      </c>
      <c r="K194" s="366" t="s">
        <v>121</v>
      </c>
      <c r="L194" s="89"/>
      <c r="M194" s="44"/>
      <c r="N194" s="41"/>
      <c r="O194" s="41"/>
      <c r="P194" s="41"/>
      <c r="Q194" s="41"/>
      <c r="R194" s="72">
        <v>46030</v>
      </c>
      <c r="S194" s="41">
        <v>60.666</v>
      </c>
      <c r="T194" s="41">
        <f>S194-E194</f>
        <v>-0.034000000000006</v>
      </c>
      <c r="U194" s="45"/>
    </row>
    <row r="195" spans="1:21">
      <c r="A195" s="41">
        <f>A194+1</f>
        <v>189</v>
      </c>
      <c r="B195" s="72">
        <v>46022</v>
      </c>
      <c r="C195" s="207">
        <v>9109881</v>
      </c>
      <c r="D195" s="28">
        <v>75055764</v>
      </c>
      <c r="E195" s="29">
        <v>61.5</v>
      </c>
      <c r="F195" s="41">
        <v>530.57</v>
      </c>
      <c r="G195" s="42">
        <f>E195*F195</f>
        <v>32630.055</v>
      </c>
      <c r="H195" s="208">
        <v>48581.26</v>
      </c>
      <c r="I195" s="235">
        <f>E195*H195</f>
        <v>2987747.49</v>
      </c>
      <c r="J195" s="34" t="s">
        <v>120</v>
      </c>
      <c r="K195" s="366" t="s">
        <v>121</v>
      </c>
      <c r="L195" s="89"/>
      <c r="M195" s="44"/>
      <c r="N195" s="41"/>
      <c r="O195" s="41"/>
      <c r="P195" s="41"/>
      <c r="Q195" s="41"/>
      <c r="R195" s="72">
        <v>46030</v>
      </c>
      <c r="S195" s="41">
        <v>61.677</v>
      </c>
      <c r="T195" s="41">
        <f>S195-E195</f>
        <v>0.177</v>
      </c>
      <c r="U195" s="45"/>
    </row>
    <row r="196" spans="1:21">
      <c r="A196" s="41">
        <f>A195+1</f>
        <v>190</v>
      </c>
      <c r="B196" s="72">
        <v>46022</v>
      </c>
      <c r="C196" s="207">
        <v>9109881</v>
      </c>
      <c r="D196" s="28">
        <v>76742683</v>
      </c>
      <c r="E196" s="29">
        <v>61.2</v>
      </c>
      <c r="F196" s="41">
        <v>530.57</v>
      </c>
      <c r="G196" s="42">
        <f>E196*F196</f>
        <v>32470.884</v>
      </c>
      <c r="H196" s="208">
        <v>48581.26</v>
      </c>
      <c r="I196" s="235">
        <f>E196*H196</f>
        <v>2973173.112</v>
      </c>
      <c r="J196" s="34" t="s">
        <v>120</v>
      </c>
      <c r="K196" s="366" t="s">
        <v>121</v>
      </c>
      <c r="L196" s="89"/>
      <c r="M196" s="44"/>
      <c r="N196" s="41"/>
      <c r="O196" s="41"/>
      <c r="P196" s="41"/>
      <c r="Q196" s="41"/>
      <c r="R196" s="72">
        <v>46030</v>
      </c>
      <c r="S196" s="41">
        <v>59.86</v>
      </c>
      <c r="T196" s="41">
        <f>S196-E196</f>
        <v>-1.34</v>
      </c>
      <c r="U196" s="45"/>
    </row>
    <row r="197" ht="15.75" spans="1:21">
      <c r="A197" s="41">
        <f>A196+1</f>
        <v>191</v>
      </c>
      <c r="B197" s="76">
        <v>46022</v>
      </c>
      <c r="C197" s="216">
        <v>9109881</v>
      </c>
      <c r="D197" s="47">
        <v>76914035</v>
      </c>
      <c r="E197" s="48">
        <v>61.1</v>
      </c>
      <c r="F197" s="41">
        <v>530.57</v>
      </c>
      <c r="G197" s="42">
        <f>E197*F197</f>
        <v>32417.827</v>
      </c>
      <c r="H197" s="208">
        <v>48581.26</v>
      </c>
      <c r="I197" s="235">
        <f>E197*H197</f>
        <v>2968314.986</v>
      </c>
      <c r="J197" s="34" t="s">
        <v>120</v>
      </c>
      <c r="K197" s="366" t="s">
        <v>121</v>
      </c>
      <c r="L197" s="90"/>
      <c r="M197" s="51"/>
      <c r="N197" s="52"/>
      <c r="O197" s="52"/>
      <c r="P197" s="52"/>
      <c r="Q197" s="52"/>
      <c r="R197" s="157">
        <v>46030</v>
      </c>
      <c r="S197" s="52">
        <v>61.748</v>
      </c>
      <c r="T197" s="41">
        <f>S197-E197</f>
        <v>0.647999999999996</v>
      </c>
      <c r="U197" s="53"/>
    </row>
    <row r="198" ht="15.75" spans="1:21">
      <c r="A198" s="444"/>
      <c r="B198" s="445"/>
      <c r="C198" s="445"/>
      <c r="D198" s="445"/>
      <c r="E198" s="446"/>
      <c r="F198" s="447"/>
      <c r="G198" s="448"/>
      <c r="H198" s="447"/>
      <c r="I198" s="449"/>
      <c r="J198" s="445"/>
      <c r="K198" s="456"/>
      <c r="L198" s="451"/>
      <c r="M198" s="452"/>
      <c r="N198" s="445"/>
      <c r="O198" s="445"/>
      <c r="P198" s="445"/>
      <c r="Q198" s="445"/>
      <c r="R198" s="445"/>
      <c r="S198" s="447"/>
      <c r="T198" s="454"/>
      <c r="U198" s="450"/>
    </row>
    <row r="199" spans="1:21">
      <c r="A199" s="67">
        <v>192</v>
      </c>
      <c r="B199" s="72">
        <v>46022</v>
      </c>
      <c r="C199" s="207">
        <v>9109882</v>
      </c>
      <c r="D199" s="28">
        <v>51519940</v>
      </c>
      <c r="E199" s="29">
        <v>52.1</v>
      </c>
      <c r="F199" s="41">
        <v>530.57</v>
      </c>
      <c r="G199" s="42">
        <f>E199*F199</f>
        <v>27642.697</v>
      </c>
      <c r="H199" s="208">
        <v>48581.26</v>
      </c>
      <c r="I199" s="235">
        <f>E199*H199</f>
        <v>2531083.646</v>
      </c>
      <c r="J199" s="34" t="s">
        <v>120</v>
      </c>
      <c r="K199" s="366" t="s">
        <v>121</v>
      </c>
      <c r="L199" s="95"/>
      <c r="M199" s="37"/>
      <c r="N199" s="38"/>
      <c r="O199" s="38"/>
      <c r="P199" s="38"/>
      <c r="Q199" s="38"/>
      <c r="R199" s="38"/>
      <c r="S199" s="38"/>
      <c r="T199" s="38"/>
      <c r="U199" s="39"/>
    </row>
    <row r="200" spans="1:21">
      <c r="A200" s="41">
        <f>A199+1</f>
        <v>193</v>
      </c>
      <c r="B200" s="72">
        <v>46022</v>
      </c>
      <c r="C200" s="207">
        <v>9109882</v>
      </c>
      <c r="D200" s="28">
        <v>54072269</v>
      </c>
      <c r="E200" s="29">
        <v>61.1</v>
      </c>
      <c r="F200" s="41">
        <v>530.57</v>
      </c>
      <c r="G200" s="42">
        <f>E200*F200</f>
        <v>32417.827</v>
      </c>
      <c r="H200" s="208">
        <v>48581.26</v>
      </c>
      <c r="I200" s="235">
        <f>E200*H200</f>
        <v>2968314.986</v>
      </c>
      <c r="J200" s="34" t="s">
        <v>120</v>
      </c>
      <c r="K200" s="366" t="s">
        <v>121</v>
      </c>
      <c r="L200" s="89"/>
      <c r="M200" s="44"/>
      <c r="N200" s="41"/>
      <c r="O200" s="41"/>
      <c r="P200" s="41"/>
      <c r="Q200" s="41"/>
      <c r="R200" s="41"/>
      <c r="S200" s="41"/>
      <c r="T200" s="41"/>
      <c r="U200" s="45"/>
    </row>
    <row r="201" spans="1:21">
      <c r="A201" s="41">
        <f>A200+1</f>
        <v>194</v>
      </c>
      <c r="B201" s="72">
        <v>46022</v>
      </c>
      <c r="C201" s="207">
        <v>9109882</v>
      </c>
      <c r="D201" s="28">
        <v>73015125</v>
      </c>
      <c r="E201" s="29">
        <v>61.3</v>
      </c>
      <c r="F201" s="41">
        <v>530.57</v>
      </c>
      <c r="G201" s="42">
        <f>E201*F201</f>
        <v>32523.941</v>
      </c>
      <c r="H201" s="208">
        <v>48581.26</v>
      </c>
      <c r="I201" s="235">
        <f>E201*H201</f>
        <v>2978031.238</v>
      </c>
      <c r="J201" s="34" t="s">
        <v>120</v>
      </c>
      <c r="K201" s="366" t="s">
        <v>121</v>
      </c>
      <c r="L201" s="89"/>
      <c r="M201" s="44"/>
      <c r="N201" s="41"/>
      <c r="O201" s="41"/>
      <c r="P201" s="41"/>
      <c r="Q201" s="41"/>
      <c r="R201" s="41"/>
      <c r="S201" s="41"/>
      <c r="T201" s="41"/>
      <c r="U201" s="45"/>
    </row>
    <row r="202" spans="1:21">
      <c r="A202" s="41">
        <f>A201+1</f>
        <v>195</v>
      </c>
      <c r="B202" s="72">
        <v>46022</v>
      </c>
      <c r="C202" s="207">
        <v>9109882</v>
      </c>
      <c r="D202" s="28">
        <v>73037137</v>
      </c>
      <c r="E202" s="29">
        <v>61.55</v>
      </c>
      <c r="F202" s="41">
        <v>530.57</v>
      </c>
      <c r="G202" s="42">
        <f>E202*F202</f>
        <v>32656.5835</v>
      </c>
      <c r="H202" s="208">
        <v>48581.26</v>
      </c>
      <c r="I202" s="235">
        <f>E202*H202</f>
        <v>2990176.553</v>
      </c>
      <c r="J202" s="34" t="s">
        <v>120</v>
      </c>
      <c r="K202" s="366" t="s">
        <v>121</v>
      </c>
      <c r="L202" s="89"/>
      <c r="M202" s="44"/>
      <c r="N202" s="41"/>
      <c r="O202" s="41"/>
      <c r="P202" s="41"/>
      <c r="Q202" s="41"/>
      <c r="R202" s="41"/>
      <c r="S202" s="41"/>
      <c r="T202" s="41"/>
      <c r="U202" s="45"/>
    </row>
    <row r="203" spans="1:21">
      <c r="A203" s="41">
        <f>A202+1</f>
        <v>196</v>
      </c>
      <c r="B203" s="72">
        <v>46022</v>
      </c>
      <c r="C203" s="207">
        <v>9109882</v>
      </c>
      <c r="D203" s="28">
        <v>73106635</v>
      </c>
      <c r="E203" s="29">
        <v>61.55</v>
      </c>
      <c r="F203" s="41">
        <v>530.57</v>
      </c>
      <c r="G203" s="42">
        <f>E203*F203</f>
        <v>32656.5835</v>
      </c>
      <c r="H203" s="208">
        <v>48581.26</v>
      </c>
      <c r="I203" s="235">
        <f>E203*H203</f>
        <v>2990176.553</v>
      </c>
      <c r="J203" s="34" t="s">
        <v>120</v>
      </c>
      <c r="K203" s="366" t="s">
        <v>121</v>
      </c>
      <c r="L203" s="89"/>
      <c r="M203" s="44"/>
      <c r="N203" s="41"/>
      <c r="O203" s="41"/>
      <c r="P203" s="41"/>
      <c r="Q203" s="41"/>
      <c r="R203" s="41"/>
      <c r="S203" s="41"/>
      <c r="T203" s="41"/>
      <c r="U203" s="45"/>
    </row>
    <row r="204" spans="1:21">
      <c r="A204" s="41">
        <f>A203+1</f>
        <v>197</v>
      </c>
      <c r="B204" s="72">
        <v>46022</v>
      </c>
      <c r="C204" s="207">
        <v>9109882</v>
      </c>
      <c r="D204" s="28">
        <v>73140907</v>
      </c>
      <c r="E204" s="29">
        <v>61.4</v>
      </c>
      <c r="F204" s="41">
        <v>530.57</v>
      </c>
      <c r="G204" s="42">
        <f>E204*F204</f>
        <v>32576.998</v>
      </c>
      <c r="H204" s="208">
        <v>48581.26</v>
      </c>
      <c r="I204" s="235">
        <f>E204*H204</f>
        <v>2982889.364</v>
      </c>
      <c r="J204" s="34" t="s">
        <v>120</v>
      </c>
      <c r="K204" s="366" t="s">
        <v>121</v>
      </c>
      <c r="L204" s="89"/>
      <c r="M204" s="44"/>
      <c r="N204" s="41"/>
      <c r="O204" s="41"/>
      <c r="P204" s="41"/>
      <c r="Q204" s="41"/>
      <c r="R204" s="41"/>
      <c r="S204" s="41"/>
      <c r="T204" s="41"/>
      <c r="U204" s="45"/>
    </row>
    <row r="205" spans="1:21">
      <c r="A205" s="41">
        <f>A204+1</f>
        <v>198</v>
      </c>
      <c r="B205" s="72">
        <v>46022</v>
      </c>
      <c r="C205" s="207">
        <v>9109882</v>
      </c>
      <c r="D205" s="28">
        <v>73141640</v>
      </c>
      <c r="E205" s="29">
        <v>61.5</v>
      </c>
      <c r="F205" s="41">
        <v>530.57</v>
      </c>
      <c r="G205" s="42">
        <f>E205*F205</f>
        <v>32630.055</v>
      </c>
      <c r="H205" s="208">
        <v>48581.26</v>
      </c>
      <c r="I205" s="235">
        <f>E205*H205</f>
        <v>2987747.49</v>
      </c>
      <c r="J205" s="34" t="s">
        <v>120</v>
      </c>
      <c r="K205" s="366" t="s">
        <v>121</v>
      </c>
      <c r="L205" s="89"/>
      <c r="M205" s="44"/>
      <c r="N205" s="41"/>
      <c r="O205" s="41"/>
      <c r="P205" s="41"/>
      <c r="Q205" s="41"/>
      <c r="R205" s="41"/>
      <c r="S205" s="41"/>
      <c r="T205" s="41"/>
      <c r="U205" s="45"/>
    </row>
    <row r="206" ht="15.75" spans="1:21">
      <c r="A206" s="77">
        <f>A205+1</f>
        <v>199</v>
      </c>
      <c r="B206" s="76">
        <v>46022</v>
      </c>
      <c r="C206" s="216">
        <v>9109882</v>
      </c>
      <c r="D206" s="47">
        <v>73176661</v>
      </c>
      <c r="E206" s="48">
        <v>61.35</v>
      </c>
      <c r="F206" s="41">
        <v>530.57</v>
      </c>
      <c r="G206" s="42">
        <f>E206*F206</f>
        <v>32550.4695</v>
      </c>
      <c r="H206" s="208">
        <v>48581.26</v>
      </c>
      <c r="I206" s="235">
        <f>E206*H206</f>
        <v>2980460.301</v>
      </c>
      <c r="J206" s="34" t="s">
        <v>120</v>
      </c>
      <c r="K206" s="366" t="s">
        <v>121</v>
      </c>
      <c r="L206" s="90"/>
      <c r="M206" s="51"/>
      <c r="N206" s="52"/>
      <c r="O206" s="52"/>
      <c r="P206" s="52"/>
      <c r="Q206" s="52"/>
      <c r="R206" s="52"/>
      <c r="S206" s="52"/>
      <c r="T206" s="52"/>
      <c r="U206" s="53"/>
    </row>
    <row r="207" ht="15.75" spans="1:21">
      <c r="A207" s="444"/>
      <c r="B207" s="445"/>
      <c r="C207" s="445"/>
      <c r="D207" s="445"/>
      <c r="E207" s="446"/>
      <c r="F207" s="447"/>
      <c r="G207" s="448"/>
      <c r="H207" s="447"/>
      <c r="I207" s="449"/>
      <c r="J207" s="445"/>
      <c r="K207" s="450"/>
      <c r="L207" s="451"/>
      <c r="M207" s="452"/>
      <c r="N207" s="445"/>
      <c r="O207" s="445"/>
      <c r="P207" s="445"/>
      <c r="Q207" s="445"/>
      <c r="R207" s="445"/>
      <c r="S207" s="445"/>
      <c r="T207" s="445"/>
      <c r="U207" s="450"/>
    </row>
    <row r="208" ht="15.75" spans="1:21">
      <c r="A208" s="309"/>
      <c r="B208" s="310"/>
      <c r="C208" s="310"/>
      <c r="D208" s="311"/>
      <c r="E208" s="347"/>
      <c r="F208" s="350"/>
      <c r="G208" s="349"/>
      <c r="H208" s="350"/>
      <c r="I208" s="433"/>
      <c r="J208" s="348"/>
      <c r="K208" s="352"/>
      <c r="L208" s="459"/>
      <c r="M208" s="355"/>
      <c r="N208" s="348"/>
      <c r="O208" s="348"/>
      <c r="P208" s="348"/>
      <c r="Q208" s="348"/>
      <c r="R208" s="348"/>
      <c r="S208" s="460"/>
      <c r="T208" s="432"/>
      <c r="U208" s="352"/>
    </row>
    <row r="209" spans="1:21">
      <c r="A209" s="41">
        <v>200</v>
      </c>
      <c r="B209" s="72">
        <v>46027</v>
      </c>
      <c r="C209" s="207">
        <v>9109899</v>
      </c>
      <c r="D209" s="28">
        <v>53948162</v>
      </c>
      <c r="E209" s="29">
        <v>52.9</v>
      </c>
      <c r="F209" s="41">
        <v>498.94</v>
      </c>
      <c r="G209" s="42">
        <f>E209*F209</f>
        <v>26393.926</v>
      </c>
      <c r="H209" s="208">
        <v>48581.26</v>
      </c>
      <c r="I209" s="235">
        <f>E209*H209</f>
        <v>2569948.654</v>
      </c>
      <c r="J209" s="34" t="s">
        <v>120</v>
      </c>
      <c r="K209" s="366" t="s">
        <v>121</v>
      </c>
      <c r="L209" s="89"/>
      <c r="M209" s="37"/>
      <c r="N209" s="38"/>
      <c r="O209" s="38"/>
      <c r="P209" s="38"/>
      <c r="Q209" s="38"/>
      <c r="R209" s="38"/>
      <c r="S209" s="38"/>
      <c r="T209" s="38"/>
      <c r="U209" s="39"/>
    </row>
    <row r="210" spans="1:21">
      <c r="A210" s="41">
        <f>A209+1</f>
        <v>201</v>
      </c>
      <c r="B210" s="72">
        <v>46027</v>
      </c>
      <c r="C210" s="207">
        <v>9109899</v>
      </c>
      <c r="D210" s="28">
        <v>56796493</v>
      </c>
      <c r="E210" s="29">
        <v>61.25</v>
      </c>
      <c r="F210" s="41">
        <v>498.94</v>
      </c>
      <c r="G210" s="42">
        <f>E210*F210</f>
        <v>30560.075</v>
      </c>
      <c r="H210" s="208">
        <v>48581.26</v>
      </c>
      <c r="I210" s="235">
        <f>E210*H210</f>
        <v>2975602.175</v>
      </c>
      <c r="J210" s="34" t="s">
        <v>120</v>
      </c>
      <c r="K210" s="366" t="s">
        <v>121</v>
      </c>
      <c r="L210" s="89"/>
      <c r="M210" s="44"/>
      <c r="N210" s="41"/>
      <c r="O210" s="41"/>
      <c r="P210" s="41"/>
      <c r="Q210" s="41"/>
      <c r="R210" s="41"/>
      <c r="S210" s="41"/>
      <c r="T210" s="41"/>
      <c r="U210" s="45"/>
    </row>
    <row r="211" spans="1:21">
      <c r="A211" s="41">
        <f>A210+1</f>
        <v>202</v>
      </c>
      <c r="B211" s="72">
        <v>46027</v>
      </c>
      <c r="C211" s="207">
        <v>9109899</v>
      </c>
      <c r="D211" s="28">
        <v>73012981</v>
      </c>
      <c r="E211" s="29">
        <v>61.75</v>
      </c>
      <c r="F211" s="41">
        <v>498.94</v>
      </c>
      <c r="G211" s="42">
        <f>E211*F211</f>
        <v>30809.545</v>
      </c>
      <c r="H211" s="208">
        <v>48581.26</v>
      </c>
      <c r="I211" s="235">
        <f>E211*H211</f>
        <v>2999892.805</v>
      </c>
      <c r="J211" s="34" t="s">
        <v>120</v>
      </c>
      <c r="K211" s="366" t="s">
        <v>121</v>
      </c>
      <c r="L211" s="89"/>
      <c r="M211" s="44"/>
      <c r="N211" s="41"/>
      <c r="O211" s="41"/>
      <c r="P211" s="41"/>
      <c r="Q211" s="41"/>
      <c r="R211" s="41"/>
      <c r="S211" s="41"/>
      <c r="T211" s="41"/>
      <c r="U211" s="45"/>
    </row>
    <row r="212" spans="1:21">
      <c r="A212" s="41">
        <f>A211+1</f>
        <v>203</v>
      </c>
      <c r="B212" s="72">
        <v>46027</v>
      </c>
      <c r="C212" s="207">
        <v>9109899</v>
      </c>
      <c r="D212" s="28">
        <v>73057077</v>
      </c>
      <c r="E212" s="29">
        <v>61.65</v>
      </c>
      <c r="F212" s="41">
        <v>498.94</v>
      </c>
      <c r="G212" s="42">
        <f>E212*F212</f>
        <v>30759.651</v>
      </c>
      <c r="H212" s="208">
        <v>48581.26</v>
      </c>
      <c r="I212" s="235">
        <f>E212*H212</f>
        <v>2995034.679</v>
      </c>
      <c r="J212" s="34" t="s">
        <v>120</v>
      </c>
      <c r="K212" s="366" t="s">
        <v>121</v>
      </c>
      <c r="L212" s="89"/>
      <c r="M212" s="44"/>
      <c r="N212" s="41"/>
      <c r="O212" s="41"/>
      <c r="P212" s="41"/>
      <c r="Q212" s="41"/>
      <c r="R212" s="41"/>
      <c r="S212" s="41"/>
      <c r="T212" s="41"/>
      <c r="U212" s="45"/>
    </row>
    <row r="213" spans="1:21">
      <c r="A213" s="41">
        <f>A212+1</f>
        <v>204</v>
      </c>
      <c r="B213" s="72">
        <v>46027</v>
      </c>
      <c r="C213" s="207">
        <v>9109899</v>
      </c>
      <c r="D213" s="28">
        <v>73086837</v>
      </c>
      <c r="E213" s="29">
        <v>61.7</v>
      </c>
      <c r="F213" s="41">
        <v>498.94</v>
      </c>
      <c r="G213" s="42">
        <f>E213*F213</f>
        <v>30784.598</v>
      </c>
      <c r="H213" s="208">
        <v>48581.26</v>
      </c>
      <c r="I213" s="235">
        <f>E213*H213</f>
        <v>2997463.742</v>
      </c>
      <c r="J213" s="34" t="s">
        <v>120</v>
      </c>
      <c r="K213" s="366" t="s">
        <v>121</v>
      </c>
      <c r="L213" s="89"/>
      <c r="M213" s="44"/>
      <c r="N213" s="41"/>
      <c r="O213" s="41"/>
      <c r="P213" s="41"/>
      <c r="Q213" s="41"/>
      <c r="R213" s="41"/>
      <c r="S213" s="41"/>
      <c r="T213" s="41"/>
      <c r="U213" s="45"/>
    </row>
    <row r="214" spans="1:21">
      <c r="A214" s="41">
        <f>A213+1</f>
        <v>205</v>
      </c>
      <c r="B214" s="72">
        <v>46027</v>
      </c>
      <c r="C214" s="207">
        <v>9109899</v>
      </c>
      <c r="D214" s="28">
        <v>73116808</v>
      </c>
      <c r="E214" s="29">
        <v>61.95</v>
      </c>
      <c r="F214" s="41">
        <v>498.94</v>
      </c>
      <c r="G214" s="42">
        <f>E214*F214</f>
        <v>30909.333</v>
      </c>
      <c r="H214" s="208">
        <v>48581.26</v>
      </c>
      <c r="I214" s="235">
        <f>E214*H214</f>
        <v>3009609.057</v>
      </c>
      <c r="J214" s="34" t="s">
        <v>120</v>
      </c>
      <c r="K214" s="366" t="s">
        <v>121</v>
      </c>
      <c r="L214" s="89"/>
      <c r="M214" s="44"/>
      <c r="N214" s="41"/>
      <c r="O214" s="41"/>
      <c r="P214" s="41"/>
      <c r="Q214" s="41"/>
      <c r="R214" s="41"/>
      <c r="S214" s="41"/>
      <c r="T214" s="41"/>
      <c r="U214" s="45"/>
    </row>
    <row r="215" spans="1:21">
      <c r="A215" s="41">
        <f>A214+1</f>
        <v>206</v>
      </c>
      <c r="B215" s="72">
        <v>46027</v>
      </c>
      <c r="C215" s="207">
        <v>9109899</v>
      </c>
      <c r="D215" s="28">
        <v>73127581</v>
      </c>
      <c r="E215" s="29">
        <v>61.6</v>
      </c>
      <c r="F215" s="41">
        <v>498.94</v>
      </c>
      <c r="G215" s="42">
        <f>E215*F215</f>
        <v>30734.704</v>
      </c>
      <c r="H215" s="208">
        <v>48581.26</v>
      </c>
      <c r="I215" s="235">
        <f>E215*H215</f>
        <v>2992605.616</v>
      </c>
      <c r="J215" s="34" t="s">
        <v>120</v>
      </c>
      <c r="K215" s="366" t="s">
        <v>121</v>
      </c>
      <c r="L215" s="89"/>
      <c r="M215" s="44"/>
      <c r="N215" s="41"/>
      <c r="O215" s="41"/>
      <c r="P215" s="41"/>
      <c r="Q215" s="41"/>
      <c r="R215" s="41"/>
      <c r="S215" s="41"/>
      <c r="T215" s="41"/>
      <c r="U215" s="45"/>
    </row>
    <row r="216" spans="1:21">
      <c r="A216" s="41">
        <f>A215+1</f>
        <v>207</v>
      </c>
      <c r="B216" s="72">
        <v>46027</v>
      </c>
      <c r="C216" s="207">
        <v>9109899</v>
      </c>
      <c r="D216" s="28">
        <v>73157331</v>
      </c>
      <c r="E216" s="29">
        <v>61.65</v>
      </c>
      <c r="F216" s="41">
        <v>498.94</v>
      </c>
      <c r="G216" s="42">
        <f>E216*F216</f>
        <v>30759.651</v>
      </c>
      <c r="H216" s="208">
        <v>48581.26</v>
      </c>
      <c r="I216" s="235">
        <f>E216*H216</f>
        <v>2995034.679</v>
      </c>
      <c r="J216" s="34" t="s">
        <v>120</v>
      </c>
      <c r="K216" s="366" t="s">
        <v>121</v>
      </c>
      <c r="L216" s="89"/>
      <c r="M216" s="44"/>
      <c r="N216" s="41"/>
      <c r="O216" s="41"/>
      <c r="P216" s="41"/>
      <c r="Q216" s="41"/>
      <c r="R216" s="41"/>
      <c r="S216" s="41"/>
      <c r="T216" s="41"/>
      <c r="U216" s="45"/>
    </row>
    <row r="217" spans="1:21">
      <c r="A217" s="41">
        <f>A216+1</f>
        <v>208</v>
      </c>
      <c r="B217" s="72">
        <v>46027</v>
      </c>
      <c r="C217" s="207">
        <v>9109899</v>
      </c>
      <c r="D217" s="28">
        <v>73161721</v>
      </c>
      <c r="E217" s="29">
        <v>61.7</v>
      </c>
      <c r="F217" s="41">
        <v>498.94</v>
      </c>
      <c r="G217" s="42">
        <f>E217*F217</f>
        <v>30784.598</v>
      </c>
      <c r="H217" s="208">
        <v>48581.26</v>
      </c>
      <c r="I217" s="235">
        <f>E217*H217</f>
        <v>2997463.742</v>
      </c>
      <c r="J217" s="34" t="s">
        <v>120</v>
      </c>
      <c r="K217" s="366" t="s">
        <v>121</v>
      </c>
      <c r="L217" s="89"/>
      <c r="M217" s="44"/>
      <c r="N217" s="41"/>
      <c r="O217" s="41"/>
      <c r="P217" s="41"/>
      <c r="Q217" s="41"/>
      <c r="R217" s="41"/>
      <c r="S217" s="41"/>
      <c r="T217" s="41"/>
      <c r="U217" s="45"/>
    </row>
    <row r="218" spans="1:21">
      <c r="A218" s="41">
        <f>A217+1</f>
        <v>209</v>
      </c>
      <c r="B218" s="72">
        <v>46027</v>
      </c>
      <c r="C218" s="207">
        <v>9109899</v>
      </c>
      <c r="D218" s="28">
        <v>73166720</v>
      </c>
      <c r="E218" s="29">
        <v>61.75</v>
      </c>
      <c r="F218" s="41">
        <v>498.94</v>
      </c>
      <c r="G218" s="42">
        <f>E218*F218</f>
        <v>30809.545</v>
      </c>
      <c r="H218" s="208">
        <v>48581.26</v>
      </c>
      <c r="I218" s="235">
        <f>E218*H218</f>
        <v>2999892.805</v>
      </c>
      <c r="J218" s="34" t="s">
        <v>120</v>
      </c>
      <c r="K218" s="366" t="s">
        <v>121</v>
      </c>
      <c r="L218" s="89"/>
      <c r="M218" s="44"/>
      <c r="N218" s="41"/>
      <c r="O218" s="41"/>
      <c r="P218" s="41"/>
      <c r="Q218" s="41"/>
      <c r="R218" s="41"/>
      <c r="S218" s="41"/>
      <c r="T218" s="41"/>
      <c r="U218" s="45"/>
    </row>
    <row r="219" spans="1:21">
      <c r="A219" s="41">
        <f>A218+1</f>
        <v>210</v>
      </c>
      <c r="B219" s="72">
        <v>46027</v>
      </c>
      <c r="C219" s="207">
        <v>9109899</v>
      </c>
      <c r="D219" s="28">
        <v>73167868</v>
      </c>
      <c r="E219" s="29">
        <v>61.7</v>
      </c>
      <c r="F219" s="41">
        <v>498.94</v>
      </c>
      <c r="G219" s="42">
        <f>E219*F219</f>
        <v>30784.598</v>
      </c>
      <c r="H219" s="208">
        <v>48581.26</v>
      </c>
      <c r="I219" s="235">
        <f>E219*H219</f>
        <v>2997463.742</v>
      </c>
      <c r="J219" s="34" t="s">
        <v>120</v>
      </c>
      <c r="K219" s="366" t="s">
        <v>121</v>
      </c>
      <c r="L219" s="89"/>
      <c r="M219" s="44"/>
      <c r="N219" s="41"/>
      <c r="O219" s="41"/>
      <c r="P219" s="41"/>
      <c r="Q219" s="41"/>
      <c r="R219" s="41"/>
      <c r="S219" s="41"/>
      <c r="T219" s="41"/>
      <c r="U219" s="45"/>
    </row>
    <row r="220" spans="1:21">
      <c r="A220" s="41">
        <f>A219+1</f>
        <v>211</v>
      </c>
      <c r="B220" s="72">
        <v>46027</v>
      </c>
      <c r="C220" s="207">
        <v>9109899</v>
      </c>
      <c r="D220" s="28">
        <v>73169203</v>
      </c>
      <c r="E220" s="29">
        <v>61.7</v>
      </c>
      <c r="F220" s="41">
        <v>498.94</v>
      </c>
      <c r="G220" s="42">
        <f>E220*F220</f>
        <v>30784.598</v>
      </c>
      <c r="H220" s="208">
        <v>48581.26</v>
      </c>
      <c r="I220" s="235">
        <f>E220*H220</f>
        <v>2997463.742</v>
      </c>
      <c r="J220" s="34" t="s">
        <v>120</v>
      </c>
      <c r="K220" s="366" t="s">
        <v>121</v>
      </c>
      <c r="L220" s="89"/>
      <c r="M220" s="44"/>
      <c r="N220" s="41"/>
      <c r="O220" s="41"/>
      <c r="P220" s="41"/>
      <c r="Q220" s="41"/>
      <c r="R220" s="41"/>
      <c r="S220" s="41"/>
      <c r="T220" s="41"/>
      <c r="U220" s="45"/>
    </row>
    <row r="221" spans="1:21">
      <c r="A221" s="41">
        <f>A220+1</f>
        <v>212</v>
      </c>
      <c r="B221" s="72">
        <v>46027</v>
      </c>
      <c r="C221" s="207">
        <v>9109899</v>
      </c>
      <c r="D221" s="28">
        <v>73173627</v>
      </c>
      <c r="E221" s="29">
        <v>61.65</v>
      </c>
      <c r="F221" s="41">
        <v>498.94</v>
      </c>
      <c r="G221" s="42">
        <f>E221*F221</f>
        <v>30759.651</v>
      </c>
      <c r="H221" s="208">
        <v>48581.26</v>
      </c>
      <c r="I221" s="235">
        <f>E221*H221</f>
        <v>2995034.679</v>
      </c>
      <c r="J221" s="34" t="s">
        <v>120</v>
      </c>
      <c r="K221" s="366" t="s">
        <v>121</v>
      </c>
      <c r="L221" s="89"/>
      <c r="M221" s="44"/>
      <c r="N221" s="41"/>
      <c r="O221" s="41"/>
      <c r="P221" s="41"/>
      <c r="Q221" s="41"/>
      <c r="R221" s="41"/>
      <c r="S221" s="41"/>
      <c r="T221" s="41"/>
      <c r="U221" s="45"/>
    </row>
    <row r="222" spans="1:21">
      <c r="A222" s="41">
        <f>A221+1</f>
        <v>213</v>
      </c>
      <c r="B222" s="72">
        <v>46027</v>
      </c>
      <c r="C222" s="207">
        <v>9109899</v>
      </c>
      <c r="D222" s="28">
        <v>75200246</v>
      </c>
      <c r="E222" s="29">
        <v>62.05</v>
      </c>
      <c r="F222" s="41">
        <v>498.94</v>
      </c>
      <c r="G222" s="42">
        <f>E222*F222</f>
        <v>30959.227</v>
      </c>
      <c r="H222" s="208">
        <v>48581.26</v>
      </c>
      <c r="I222" s="235">
        <f>E222*H222</f>
        <v>3014467.183</v>
      </c>
      <c r="J222" s="34" t="s">
        <v>120</v>
      </c>
      <c r="K222" s="366" t="s">
        <v>121</v>
      </c>
      <c r="L222" s="89"/>
      <c r="M222" s="44"/>
      <c r="N222" s="41"/>
      <c r="O222" s="41"/>
      <c r="P222" s="41"/>
      <c r="Q222" s="41"/>
      <c r="R222" s="41"/>
      <c r="S222" s="41"/>
      <c r="T222" s="41"/>
      <c r="U222" s="45"/>
    </row>
    <row r="223" spans="1:21">
      <c r="A223" s="41">
        <f>A222+1</f>
        <v>214</v>
      </c>
      <c r="B223" s="72">
        <v>46027</v>
      </c>
      <c r="C223" s="207">
        <v>9109899</v>
      </c>
      <c r="D223" s="28">
        <v>75214510</v>
      </c>
      <c r="E223" s="29">
        <v>62</v>
      </c>
      <c r="F223" s="41">
        <v>498.94</v>
      </c>
      <c r="G223" s="42">
        <f>E223*F223</f>
        <v>30934.28</v>
      </c>
      <c r="H223" s="208">
        <v>48581.26</v>
      </c>
      <c r="I223" s="235">
        <f>E223*H223</f>
        <v>3012038.12</v>
      </c>
      <c r="J223" s="34" t="s">
        <v>120</v>
      </c>
      <c r="K223" s="366" t="s">
        <v>121</v>
      </c>
      <c r="L223" s="89"/>
      <c r="M223" s="44"/>
      <c r="N223" s="41"/>
      <c r="O223" s="41"/>
      <c r="P223" s="41"/>
      <c r="Q223" s="41"/>
      <c r="R223" s="41"/>
      <c r="S223" s="41"/>
      <c r="T223" s="41"/>
      <c r="U223" s="45"/>
    </row>
    <row r="224" ht="15.75" spans="1:21">
      <c r="A224" s="77">
        <f>A223+1</f>
        <v>215</v>
      </c>
      <c r="B224" s="76">
        <v>46027</v>
      </c>
      <c r="C224" s="216">
        <v>9109899</v>
      </c>
      <c r="D224" s="47">
        <v>76405497</v>
      </c>
      <c r="E224" s="48">
        <v>62.05</v>
      </c>
      <c r="F224" s="41">
        <v>498.94</v>
      </c>
      <c r="G224" s="42">
        <f>E224*F224</f>
        <v>30959.227</v>
      </c>
      <c r="H224" s="208">
        <v>48581.26</v>
      </c>
      <c r="I224" s="235">
        <f>E224*H224</f>
        <v>3014467.183</v>
      </c>
      <c r="J224" s="34" t="s">
        <v>120</v>
      </c>
      <c r="K224" s="366" t="s">
        <v>121</v>
      </c>
      <c r="L224" s="90"/>
      <c r="M224" s="51"/>
      <c r="N224" s="52"/>
      <c r="O224" s="52"/>
      <c r="P224" s="52"/>
      <c r="Q224" s="52"/>
      <c r="R224" s="52"/>
      <c r="S224" s="52"/>
      <c r="T224" s="52"/>
      <c r="U224" s="53"/>
    </row>
    <row r="225" ht="15.75" spans="1:21">
      <c r="A225" s="444"/>
      <c r="B225" s="445"/>
      <c r="C225" s="445"/>
      <c r="D225" s="445"/>
      <c r="E225" s="446"/>
      <c r="F225" s="447"/>
      <c r="G225" s="448"/>
      <c r="H225" s="447"/>
      <c r="I225" s="449"/>
      <c r="J225" s="445"/>
      <c r="K225" s="450"/>
      <c r="L225" s="451"/>
      <c r="M225" s="452"/>
      <c r="N225" s="445"/>
      <c r="O225" s="445"/>
      <c r="P225" s="445"/>
      <c r="Q225" s="445"/>
      <c r="R225" s="445"/>
      <c r="S225" s="445"/>
      <c r="T225" s="447"/>
      <c r="U225" s="450"/>
    </row>
    <row r="226" spans="1:21">
      <c r="A226" s="26">
        <v>216</v>
      </c>
      <c r="B226" s="27">
        <v>46035</v>
      </c>
      <c r="C226" s="221">
        <v>8594861</v>
      </c>
      <c r="D226" s="461">
        <v>75264812</v>
      </c>
      <c r="E226" s="108">
        <v>61.45</v>
      </c>
      <c r="F226" s="67">
        <v>498.94</v>
      </c>
      <c r="G226" s="30">
        <f>E226*F226</f>
        <v>30659.863</v>
      </c>
      <c r="H226" s="421">
        <v>48581.26</v>
      </c>
      <c r="I226" s="209">
        <f>E226*H226</f>
        <v>2985318.427</v>
      </c>
      <c r="J226" s="70" t="s">
        <v>120</v>
      </c>
      <c r="K226" s="441" t="s">
        <v>121</v>
      </c>
      <c r="L226" s="95"/>
      <c r="M226" s="26"/>
      <c r="N226" s="67"/>
      <c r="O226" s="67"/>
      <c r="P226" s="67"/>
      <c r="Q226" s="67"/>
      <c r="R226" s="67"/>
      <c r="S226" s="67"/>
      <c r="T226" s="462"/>
      <c r="U226" s="98"/>
    </row>
    <row r="227" spans="1:21">
      <c r="A227" s="44">
        <f>A226+1</f>
        <v>217</v>
      </c>
      <c r="B227" s="72">
        <v>46035</v>
      </c>
      <c r="C227" s="207">
        <v>8594860</v>
      </c>
      <c r="D227" s="463">
        <v>50417187</v>
      </c>
      <c r="E227" s="29">
        <v>60.6</v>
      </c>
      <c r="F227" s="41">
        <v>498.94</v>
      </c>
      <c r="G227" s="42">
        <f>E227*F227</f>
        <v>30235.764</v>
      </c>
      <c r="H227" s="208">
        <v>48581.26</v>
      </c>
      <c r="I227" s="235">
        <f>E227*H227</f>
        <v>2944024.356</v>
      </c>
      <c r="J227" s="34" t="s">
        <v>120</v>
      </c>
      <c r="K227" s="366" t="s">
        <v>121</v>
      </c>
      <c r="L227" s="89"/>
      <c r="M227" s="44"/>
      <c r="N227" s="41"/>
      <c r="O227" s="41"/>
      <c r="P227" s="41"/>
      <c r="Q227" s="41"/>
      <c r="R227" s="41"/>
      <c r="S227" s="41"/>
      <c r="T227" s="464"/>
      <c r="U227" s="45"/>
    </row>
    <row r="228" spans="1:21">
      <c r="A228" s="44">
        <f>A227+1</f>
        <v>218</v>
      </c>
      <c r="B228" s="72">
        <v>46035</v>
      </c>
      <c r="C228" s="207">
        <v>8594860</v>
      </c>
      <c r="D228" s="463">
        <v>54095682</v>
      </c>
      <c r="E228" s="29">
        <v>60.55</v>
      </c>
      <c r="F228" s="41">
        <v>498.94</v>
      </c>
      <c r="G228" s="42">
        <f>E228*F228</f>
        <v>30210.817</v>
      </c>
      <c r="H228" s="208">
        <v>48581.26</v>
      </c>
      <c r="I228" s="235">
        <f>E228*H228</f>
        <v>2941595.293</v>
      </c>
      <c r="J228" s="34" t="s">
        <v>120</v>
      </c>
      <c r="K228" s="366" t="s">
        <v>121</v>
      </c>
      <c r="L228" s="89"/>
      <c r="M228" s="44"/>
      <c r="N228" s="41"/>
      <c r="O228" s="41"/>
      <c r="P228" s="41"/>
      <c r="Q228" s="41"/>
      <c r="R228" s="41"/>
      <c r="S228" s="41"/>
      <c r="T228" s="464"/>
      <c r="U228" s="45"/>
    </row>
    <row r="229" spans="1:21">
      <c r="A229" s="44">
        <f>A228+1</f>
        <v>219</v>
      </c>
      <c r="B229" s="72">
        <v>46035</v>
      </c>
      <c r="C229" s="207">
        <v>8594860</v>
      </c>
      <c r="D229" s="463">
        <v>54596960</v>
      </c>
      <c r="E229" s="29">
        <v>60.65</v>
      </c>
      <c r="F229" s="41">
        <v>498.94</v>
      </c>
      <c r="G229" s="42">
        <f>E229*F229</f>
        <v>30260.711</v>
      </c>
      <c r="H229" s="208">
        <v>48581.26</v>
      </c>
      <c r="I229" s="235">
        <f>E229*H229</f>
        <v>2946453.419</v>
      </c>
      <c r="J229" s="34" t="s">
        <v>120</v>
      </c>
      <c r="K229" s="366" t="s">
        <v>121</v>
      </c>
      <c r="L229" s="89"/>
      <c r="M229" s="44"/>
      <c r="N229" s="41"/>
      <c r="O229" s="41"/>
      <c r="P229" s="41"/>
      <c r="Q229" s="41"/>
      <c r="R229" s="41"/>
      <c r="S229" s="41"/>
      <c r="T229" s="464"/>
      <c r="U229" s="45"/>
    </row>
    <row r="230" spans="1:21">
      <c r="A230" s="44">
        <f>A229+1</f>
        <v>220</v>
      </c>
      <c r="B230" s="72">
        <v>46035</v>
      </c>
      <c r="C230" s="207">
        <v>8594860</v>
      </c>
      <c r="D230" s="463">
        <v>55923213</v>
      </c>
      <c r="E230" s="29">
        <v>61.1</v>
      </c>
      <c r="F230" s="41">
        <v>498.94</v>
      </c>
      <c r="G230" s="42">
        <f>E230*F230</f>
        <v>30485.234</v>
      </c>
      <c r="H230" s="208">
        <v>48581.26</v>
      </c>
      <c r="I230" s="235">
        <f>E230*H230</f>
        <v>2968314.986</v>
      </c>
      <c r="J230" s="34" t="s">
        <v>120</v>
      </c>
      <c r="K230" s="366" t="s">
        <v>121</v>
      </c>
      <c r="L230" s="89"/>
      <c r="M230" s="44"/>
      <c r="N230" s="41"/>
      <c r="O230" s="41"/>
      <c r="P230" s="41"/>
      <c r="Q230" s="41"/>
      <c r="R230" s="41"/>
      <c r="S230" s="41"/>
      <c r="T230" s="464"/>
      <c r="U230" s="45"/>
    </row>
    <row r="231" spans="1:21">
      <c r="A231" s="44">
        <f>A230+1</f>
        <v>221</v>
      </c>
      <c r="B231" s="72">
        <v>46035</v>
      </c>
      <c r="C231" s="207">
        <v>8594860</v>
      </c>
      <c r="D231" s="463">
        <v>58344276</v>
      </c>
      <c r="E231" s="29">
        <v>60.65</v>
      </c>
      <c r="F231" s="41">
        <v>498.94</v>
      </c>
      <c r="G231" s="42">
        <f>E231*F231</f>
        <v>30260.711</v>
      </c>
      <c r="H231" s="208">
        <v>48581.26</v>
      </c>
      <c r="I231" s="235">
        <f>E231*H231</f>
        <v>2946453.419</v>
      </c>
      <c r="J231" s="34" t="s">
        <v>120</v>
      </c>
      <c r="K231" s="366" t="s">
        <v>121</v>
      </c>
      <c r="L231" s="89"/>
      <c r="M231" s="44"/>
      <c r="N231" s="41"/>
      <c r="O231" s="41"/>
      <c r="P231" s="41"/>
      <c r="Q231" s="41"/>
      <c r="R231" s="41"/>
      <c r="S231" s="41"/>
      <c r="T231" s="464"/>
      <c r="U231" s="45"/>
    </row>
    <row r="232" spans="1:21">
      <c r="A232" s="44">
        <f>A231+1</f>
        <v>222</v>
      </c>
      <c r="B232" s="72">
        <v>46035</v>
      </c>
      <c r="C232" s="207">
        <v>8594860</v>
      </c>
      <c r="D232" s="463">
        <v>73002438</v>
      </c>
      <c r="E232" s="29">
        <v>61.1</v>
      </c>
      <c r="F232" s="41">
        <v>498.94</v>
      </c>
      <c r="G232" s="42">
        <f>E232*F232</f>
        <v>30485.234</v>
      </c>
      <c r="H232" s="208">
        <v>48581.26</v>
      </c>
      <c r="I232" s="235">
        <f>E232*H232</f>
        <v>2968314.986</v>
      </c>
      <c r="J232" s="34" t="s">
        <v>120</v>
      </c>
      <c r="K232" s="366" t="s">
        <v>121</v>
      </c>
      <c r="L232" s="89"/>
      <c r="M232" s="44"/>
      <c r="N232" s="41"/>
      <c r="O232" s="41"/>
      <c r="P232" s="41"/>
      <c r="Q232" s="41"/>
      <c r="R232" s="41"/>
      <c r="S232" s="41"/>
      <c r="T232" s="464"/>
      <c r="U232" s="45"/>
    </row>
    <row r="233" spans="1:21">
      <c r="A233" s="44">
        <f>A232+1</f>
        <v>223</v>
      </c>
      <c r="B233" s="72">
        <v>46035</v>
      </c>
      <c r="C233" s="207">
        <v>8594860</v>
      </c>
      <c r="D233" s="463">
        <v>73119414</v>
      </c>
      <c r="E233" s="29">
        <v>61.1</v>
      </c>
      <c r="F233" s="41">
        <v>498.94</v>
      </c>
      <c r="G233" s="42">
        <f>E233*F233</f>
        <v>30485.234</v>
      </c>
      <c r="H233" s="208">
        <v>48581.26</v>
      </c>
      <c r="I233" s="235">
        <f>E233*H233</f>
        <v>2968314.986</v>
      </c>
      <c r="J233" s="34" t="s">
        <v>120</v>
      </c>
      <c r="K233" s="366" t="s">
        <v>121</v>
      </c>
      <c r="L233" s="89"/>
      <c r="M233" s="44"/>
      <c r="N233" s="41"/>
      <c r="O233" s="41"/>
      <c r="P233" s="41"/>
      <c r="Q233" s="41"/>
      <c r="R233" s="41"/>
      <c r="S233" s="41"/>
      <c r="T233" s="464"/>
      <c r="U233" s="45"/>
    </row>
    <row r="234" spans="1:21">
      <c r="A234" s="44">
        <f>A233+1</f>
        <v>224</v>
      </c>
      <c r="B234" s="72">
        <v>46035</v>
      </c>
      <c r="C234" s="207">
        <v>8594860</v>
      </c>
      <c r="D234" s="463">
        <v>73135667</v>
      </c>
      <c r="E234" s="29">
        <v>61.1</v>
      </c>
      <c r="F234" s="41">
        <v>498.94</v>
      </c>
      <c r="G234" s="42">
        <f>E234*F234</f>
        <v>30485.234</v>
      </c>
      <c r="H234" s="208">
        <v>48581.26</v>
      </c>
      <c r="I234" s="235">
        <f>E234*H234</f>
        <v>2968314.986</v>
      </c>
      <c r="J234" s="34" t="s">
        <v>120</v>
      </c>
      <c r="K234" s="366" t="s">
        <v>121</v>
      </c>
      <c r="L234" s="89"/>
      <c r="M234" s="44"/>
      <c r="N234" s="41"/>
      <c r="O234" s="41"/>
      <c r="P234" s="41"/>
      <c r="Q234" s="41"/>
      <c r="R234" s="41"/>
      <c r="S234" s="41"/>
      <c r="T234" s="464"/>
      <c r="U234" s="45"/>
    </row>
    <row r="235" spans="1:21">
      <c r="A235" s="44">
        <f>A234+1</f>
        <v>225</v>
      </c>
      <c r="B235" s="72">
        <v>46035</v>
      </c>
      <c r="C235" s="207">
        <v>8594860</v>
      </c>
      <c r="D235" s="463">
        <v>73162232</v>
      </c>
      <c r="E235" s="29">
        <v>61.15</v>
      </c>
      <c r="F235" s="41">
        <v>498.94</v>
      </c>
      <c r="G235" s="42">
        <f>E235*F235</f>
        <v>30510.181</v>
      </c>
      <c r="H235" s="208">
        <v>48581.26</v>
      </c>
      <c r="I235" s="235">
        <f>E235*H235</f>
        <v>2970744.049</v>
      </c>
      <c r="J235" s="34" t="s">
        <v>120</v>
      </c>
      <c r="K235" s="366" t="s">
        <v>121</v>
      </c>
      <c r="L235" s="89"/>
      <c r="M235" s="44"/>
      <c r="N235" s="41"/>
      <c r="O235" s="41"/>
      <c r="P235" s="41"/>
      <c r="Q235" s="41"/>
      <c r="R235" s="41"/>
      <c r="S235" s="41"/>
      <c r="T235" s="464"/>
      <c r="U235" s="45"/>
    </row>
    <row r="236" spans="1:21">
      <c r="A236" s="44">
        <f>A235+1</f>
        <v>226</v>
      </c>
      <c r="B236" s="72">
        <v>46035</v>
      </c>
      <c r="C236" s="207">
        <v>8594860</v>
      </c>
      <c r="D236" s="463">
        <v>73177537</v>
      </c>
      <c r="E236" s="29">
        <v>61.1</v>
      </c>
      <c r="F236" s="41">
        <v>498.94</v>
      </c>
      <c r="G236" s="42">
        <f>E236*F236</f>
        <v>30485.234</v>
      </c>
      <c r="H236" s="208">
        <v>48581.26</v>
      </c>
      <c r="I236" s="235">
        <f>E236*H236</f>
        <v>2968314.986</v>
      </c>
      <c r="J236" s="34" t="s">
        <v>120</v>
      </c>
      <c r="K236" s="366" t="s">
        <v>121</v>
      </c>
      <c r="L236" s="89"/>
      <c r="M236" s="44"/>
      <c r="N236" s="41"/>
      <c r="O236" s="41"/>
      <c r="P236" s="41"/>
      <c r="Q236" s="41"/>
      <c r="R236" s="41"/>
      <c r="S236" s="41"/>
      <c r="T236" s="464"/>
      <c r="U236" s="45"/>
    </row>
    <row r="237" spans="1:21">
      <c r="A237" s="44">
        <f>A236+1</f>
        <v>227</v>
      </c>
      <c r="B237" s="72">
        <v>46035</v>
      </c>
      <c r="C237" s="207">
        <v>8594860</v>
      </c>
      <c r="D237" s="463">
        <v>73178303</v>
      </c>
      <c r="E237" s="29">
        <v>61.15</v>
      </c>
      <c r="F237" s="41">
        <v>498.94</v>
      </c>
      <c r="G237" s="42">
        <f>E237*F237</f>
        <v>30510.181</v>
      </c>
      <c r="H237" s="208">
        <v>48581.26</v>
      </c>
      <c r="I237" s="235">
        <f>E237*H237</f>
        <v>2970744.049</v>
      </c>
      <c r="J237" s="34" t="s">
        <v>120</v>
      </c>
      <c r="K237" s="366" t="s">
        <v>121</v>
      </c>
      <c r="L237" s="89"/>
      <c r="M237" s="44"/>
      <c r="N237" s="41"/>
      <c r="O237" s="41"/>
      <c r="P237" s="41"/>
      <c r="Q237" s="41"/>
      <c r="R237" s="41"/>
      <c r="S237" s="41"/>
      <c r="T237" s="464"/>
      <c r="U237" s="45"/>
    </row>
    <row r="238" spans="1:21">
      <c r="A238" s="44">
        <f>A237+1</f>
        <v>228</v>
      </c>
      <c r="B238" s="72">
        <v>46035</v>
      </c>
      <c r="C238" s="207">
        <v>8594860</v>
      </c>
      <c r="D238" s="463">
        <v>73222150</v>
      </c>
      <c r="E238" s="29">
        <v>61.05</v>
      </c>
      <c r="F238" s="41">
        <v>498.94</v>
      </c>
      <c r="G238" s="42">
        <f>E238*F238</f>
        <v>30460.287</v>
      </c>
      <c r="H238" s="208">
        <v>48581.26</v>
      </c>
      <c r="I238" s="235">
        <f>E238*H238</f>
        <v>2965885.923</v>
      </c>
      <c r="J238" s="34" t="s">
        <v>120</v>
      </c>
      <c r="K238" s="366" t="s">
        <v>121</v>
      </c>
      <c r="L238" s="89"/>
      <c r="M238" s="44"/>
      <c r="N238" s="41"/>
      <c r="O238" s="41"/>
      <c r="P238" s="41"/>
      <c r="Q238" s="41"/>
      <c r="R238" s="41"/>
      <c r="S238" s="41"/>
      <c r="T238" s="464"/>
      <c r="U238" s="45"/>
    </row>
    <row r="239" spans="1:21">
      <c r="A239" s="44">
        <f>A238+1</f>
        <v>229</v>
      </c>
      <c r="B239" s="72">
        <v>46035</v>
      </c>
      <c r="C239" s="207">
        <v>8594860</v>
      </c>
      <c r="D239" s="463">
        <v>73222622</v>
      </c>
      <c r="E239" s="29">
        <v>61.1</v>
      </c>
      <c r="F239" s="41">
        <v>498.94</v>
      </c>
      <c r="G239" s="42">
        <f>E239*F239</f>
        <v>30485.234</v>
      </c>
      <c r="H239" s="208">
        <v>48581.26</v>
      </c>
      <c r="I239" s="235">
        <f>E239*H239</f>
        <v>2968314.986</v>
      </c>
      <c r="J239" s="34" t="s">
        <v>120</v>
      </c>
      <c r="K239" s="366" t="s">
        <v>121</v>
      </c>
      <c r="L239" s="89"/>
      <c r="M239" s="44"/>
      <c r="N239" s="41"/>
      <c r="O239" s="41"/>
      <c r="P239" s="41"/>
      <c r="Q239" s="41"/>
      <c r="R239" s="41"/>
      <c r="S239" s="41"/>
      <c r="T239" s="464"/>
      <c r="U239" s="45"/>
    </row>
    <row r="240" spans="1:21">
      <c r="A240" s="44">
        <f>A239+1</f>
        <v>230</v>
      </c>
      <c r="B240" s="72">
        <v>46035</v>
      </c>
      <c r="C240" s="207">
        <v>8594860</v>
      </c>
      <c r="D240" s="463">
        <v>73224776</v>
      </c>
      <c r="E240" s="29">
        <v>61.15</v>
      </c>
      <c r="F240" s="41">
        <v>498.94</v>
      </c>
      <c r="G240" s="42">
        <f>E240*F240</f>
        <v>30510.181</v>
      </c>
      <c r="H240" s="208">
        <v>48581.26</v>
      </c>
      <c r="I240" s="235">
        <f>E240*H240</f>
        <v>2970744.049</v>
      </c>
      <c r="J240" s="34" t="s">
        <v>120</v>
      </c>
      <c r="K240" s="366" t="s">
        <v>121</v>
      </c>
      <c r="L240" s="89"/>
      <c r="M240" s="44"/>
      <c r="N240" s="41"/>
      <c r="O240" s="41"/>
      <c r="P240" s="41"/>
      <c r="Q240" s="41"/>
      <c r="R240" s="41"/>
      <c r="S240" s="41"/>
      <c r="T240" s="464"/>
      <c r="U240" s="45"/>
    </row>
    <row r="241" spans="1:21">
      <c r="A241" s="44">
        <f>A240+1</f>
        <v>231</v>
      </c>
      <c r="B241" s="72">
        <v>46035</v>
      </c>
      <c r="C241" s="207">
        <v>8594860</v>
      </c>
      <c r="D241" s="463">
        <v>73228660</v>
      </c>
      <c r="E241" s="29">
        <v>61.2</v>
      </c>
      <c r="F241" s="41">
        <v>498.94</v>
      </c>
      <c r="G241" s="42">
        <f>E241*F241</f>
        <v>30535.128</v>
      </c>
      <c r="H241" s="208">
        <v>48581.26</v>
      </c>
      <c r="I241" s="235">
        <f>E241*H241</f>
        <v>2973173.112</v>
      </c>
      <c r="J241" s="34" t="s">
        <v>120</v>
      </c>
      <c r="K241" s="366" t="s">
        <v>121</v>
      </c>
      <c r="L241" s="89"/>
      <c r="M241" s="44"/>
      <c r="N241" s="41"/>
      <c r="O241" s="41"/>
      <c r="P241" s="41"/>
      <c r="Q241" s="41"/>
      <c r="R241" s="41"/>
      <c r="S241" s="41"/>
      <c r="T241" s="464"/>
      <c r="U241" s="45"/>
    </row>
    <row r="242" spans="1:21">
      <c r="A242" s="44">
        <f>A241+1</f>
        <v>232</v>
      </c>
      <c r="B242" s="72">
        <v>46035</v>
      </c>
      <c r="C242" s="207">
        <v>8594860</v>
      </c>
      <c r="D242" s="463">
        <v>73230070</v>
      </c>
      <c r="E242" s="29">
        <v>61.15</v>
      </c>
      <c r="F242" s="41">
        <v>498.94</v>
      </c>
      <c r="G242" s="42">
        <f>E242*F242</f>
        <v>30510.181</v>
      </c>
      <c r="H242" s="208">
        <v>48581.26</v>
      </c>
      <c r="I242" s="235">
        <f>E242*H242</f>
        <v>2970744.049</v>
      </c>
      <c r="J242" s="34" t="s">
        <v>120</v>
      </c>
      <c r="K242" s="366" t="s">
        <v>121</v>
      </c>
      <c r="L242" s="89"/>
      <c r="M242" s="44"/>
      <c r="N242" s="41"/>
      <c r="O242" s="41"/>
      <c r="P242" s="41"/>
      <c r="Q242" s="41"/>
      <c r="R242" s="41"/>
      <c r="S242" s="41"/>
      <c r="T242" s="464"/>
      <c r="U242" s="45"/>
    </row>
    <row r="243" spans="1:21">
      <c r="A243" s="44">
        <f>A242+1</f>
        <v>233</v>
      </c>
      <c r="B243" s="72">
        <v>46035</v>
      </c>
      <c r="C243" s="207">
        <v>8594860</v>
      </c>
      <c r="D243" s="463">
        <v>75266080</v>
      </c>
      <c r="E243" s="29">
        <v>61.45</v>
      </c>
      <c r="F243" s="41">
        <v>498.94</v>
      </c>
      <c r="G243" s="42">
        <f>E243*F243</f>
        <v>30659.863</v>
      </c>
      <c r="H243" s="208">
        <v>48581.26</v>
      </c>
      <c r="I243" s="235">
        <f>E243*H243</f>
        <v>2985318.427</v>
      </c>
      <c r="J243" s="34" t="s">
        <v>120</v>
      </c>
      <c r="K243" s="366" t="s">
        <v>121</v>
      </c>
      <c r="L243" s="89"/>
      <c r="M243" s="44"/>
      <c r="N243" s="41"/>
      <c r="O243" s="41"/>
      <c r="P243" s="41"/>
      <c r="Q243" s="41"/>
      <c r="R243" s="41"/>
      <c r="S243" s="41"/>
      <c r="T243" s="464"/>
      <c r="U243" s="45"/>
    </row>
    <row r="244" ht="15.75" spans="1:21">
      <c r="A244" s="51">
        <f>A243+1</f>
        <v>234</v>
      </c>
      <c r="B244" s="157">
        <v>46035</v>
      </c>
      <c r="C244" s="226">
        <v>8594860</v>
      </c>
      <c r="D244" s="465">
        <v>76409093</v>
      </c>
      <c r="E244" s="162">
        <v>61.5</v>
      </c>
      <c r="F244" s="41">
        <v>498.94</v>
      </c>
      <c r="G244" s="182">
        <f>E244*F244</f>
        <v>30684.81</v>
      </c>
      <c r="H244" s="438">
        <v>48581.26</v>
      </c>
      <c r="I244" s="238">
        <f>E244*H244</f>
        <v>2987747.49</v>
      </c>
      <c r="J244" s="165" t="s">
        <v>120</v>
      </c>
      <c r="K244" s="466" t="s">
        <v>121</v>
      </c>
      <c r="L244" s="180"/>
      <c r="M244" s="51"/>
      <c r="N244" s="52"/>
      <c r="O244" s="52"/>
      <c r="P244" s="52"/>
      <c r="Q244" s="52"/>
      <c r="R244" s="52"/>
      <c r="S244" s="52"/>
      <c r="T244" s="467"/>
      <c r="U244" s="53"/>
    </row>
    <row r="245" spans="1:21">
      <c r="A245" s="468"/>
      <c r="B245" s="469"/>
      <c r="C245" s="469"/>
      <c r="D245" s="452"/>
      <c r="E245" s="446"/>
      <c r="F245" s="447"/>
      <c r="G245" s="448"/>
      <c r="H245" s="447"/>
      <c r="I245" s="449"/>
      <c r="J245" s="445"/>
      <c r="K245" s="456"/>
      <c r="L245" s="451"/>
      <c r="M245" s="452"/>
      <c r="N245" s="445"/>
      <c r="O245" s="445"/>
      <c r="P245" s="445"/>
      <c r="Q245" s="445"/>
      <c r="R245" s="445"/>
      <c r="S245" s="445"/>
      <c r="T245" s="447"/>
      <c r="U245" s="450"/>
    </row>
    <row r="246" spans="1:21">
      <c r="A246" s="470"/>
      <c r="B246" s="471"/>
      <c r="C246" s="471"/>
      <c r="D246" s="472"/>
      <c r="E246" s="312"/>
      <c r="F246" s="313"/>
      <c r="G246" s="314"/>
      <c r="H246" s="313"/>
      <c r="I246" s="473">
        <f>SUM(I5:I244)</f>
        <v>687218358.645</v>
      </c>
      <c r="J246" s="313"/>
      <c r="K246" s="474"/>
      <c r="L246" s="459"/>
      <c r="M246" s="321"/>
      <c r="N246" s="313"/>
      <c r="O246" s="313"/>
      <c r="P246" s="313"/>
      <c r="Q246" s="313"/>
      <c r="R246" s="313"/>
      <c r="S246" s="315"/>
      <c r="T246" s="315"/>
      <c r="U246" s="320"/>
    </row>
    <row r="247" spans="1:21">
      <c r="A247" s="475"/>
      <c r="B247" s="476"/>
      <c r="C247" s="476"/>
      <c r="D247" s="477"/>
      <c r="E247" s="478"/>
      <c r="F247" s="479"/>
      <c r="G247" s="480"/>
      <c r="H247" s="479"/>
      <c r="I247" s="481"/>
      <c r="J247" s="479"/>
      <c r="K247" s="482"/>
      <c r="L247" s="483"/>
      <c r="M247" s="484"/>
      <c r="N247" s="479"/>
      <c r="O247" s="479"/>
      <c r="P247" s="479"/>
      <c r="Q247" s="479"/>
      <c r="R247" s="479"/>
      <c r="S247" s="485"/>
      <c r="T247" s="486"/>
      <c r="U247" s="487"/>
    </row>
    <row r="249" ht="15.75"/>
    <row r="250" spans="1:21">
      <c r="B250" s="142" t="s">
        <v>124</v>
      </c>
      <c r="C250" s="204"/>
      <c r="D250" s="144"/>
      <c r="E250" s="488">
        <v>14170</v>
      </c>
    </row>
    <row r="251" spans="1:21">
      <c r="B251" s="146" t="s">
        <v>125</v>
      </c>
      <c r="C251" s="147"/>
      <c r="D251" s="148"/>
      <c r="E251" s="489">
        <f>E208+E246</f>
        <v>0</v>
      </c>
    </row>
    <row r="252" ht="15.75" spans="1:21">
      <c r="B252" s="150" t="s">
        <v>126</v>
      </c>
      <c r="C252" s="151"/>
      <c r="D252" s="152"/>
      <c r="E252" s="490">
        <f>E250-E251</f>
        <v>14170</v>
      </c>
    </row>
  </sheetData>
  <autoFilter xmlns:etc="http://www.wps.cn/officeDocument/2017/etCustomData" ref="A4:U224" etc:filterBottomFollowUsedRange="0">
    <extLst/>
  </autoFilter>
  <mergeCells count="8">
    <mergeCell ref="A1:K1"/>
    <mergeCell ref="A2:K2"/>
    <mergeCell ref="M4:P4"/>
    <mergeCell ref="A208:D208"/>
    <mergeCell ref="A246:D246"/>
    <mergeCell ref="A247:D247"/>
    <mergeCell ref="B250:C250"/>
    <mergeCell ref="T1:U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4"/>
  <sheetViews>
    <sheetView topLeftCell="A7" workbookViewId="0">
      <selection activeCell="A1" sqref="A1:K25"/>
    </sheetView>
  </sheetViews>
  <sheetFormatPr defaultColWidth="9.14285714285714" defaultRowHeight="15"/>
  <cols>
    <col min="1" max="1" width="6.14285714285714" style="1" customWidth="1"/>
    <col min="2" max="2" width="11.8571428571429" style="1" customWidth="1"/>
    <col min="3" max="4" width="9.14285714285714" style="1"/>
    <col min="5" max="5" width="11.2857142857143" style="1" customWidth="1"/>
    <col min="6" max="6" width="11.1428571428571" style="1" customWidth="1"/>
    <col min="7" max="8" width="12.2857142857143" style="1" customWidth="1"/>
    <col min="9" max="9" width="17.1428571428571" style="1" customWidth="1"/>
    <col min="10" max="10" width="14.8571428571429" style="1" customWidth="1"/>
    <col min="11" max="11" width="13.2857142857143" style="1" customWidth="1"/>
    <col min="12" max="12" width="1" style="1" customWidth="1"/>
    <col min="13" max="16" width="2.71428571428571" style="1" customWidth="1"/>
    <col min="17" max="17" width="9.14285714285714" style="1"/>
    <col min="18" max="18" width="10.2857142857143" style="1" customWidth="1"/>
    <col min="19" max="16384" width="9.14285714285714" style="1"/>
  </cols>
  <sheetData>
    <row r="1" spans="1:21">
      <c r="A1" s="2" t="s">
        <v>102</v>
      </c>
      <c r="L1" s="3"/>
      <c r="M1" s="3"/>
      <c r="N1" s="3"/>
      <c r="O1" s="3"/>
      <c r="P1" s="3"/>
      <c r="T1" s="4" t="s">
        <v>103</v>
      </c>
      <c r="U1" s="4"/>
    </row>
    <row r="2" spans="1:21">
      <c r="A2" s="2" t="s">
        <v>127</v>
      </c>
      <c r="L2" s="5"/>
      <c r="M2" s="5"/>
      <c r="N2" s="5"/>
      <c r="O2" s="5"/>
      <c r="P2" s="5"/>
      <c r="T2" s="4"/>
      <c r="U2" s="4"/>
    </row>
    <row r="3" ht="15.75" spans="1:21">
      <c r="F3" s="6" t="s">
        <v>128</v>
      </c>
      <c r="H3" s="7"/>
      <c r="I3" s="7"/>
      <c r="L3" s="8"/>
      <c r="M3" s="9"/>
      <c r="N3" s="9"/>
      <c r="O3" s="10"/>
      <c r="P3" s="10"/>
    </row>
    <row r="4" ht="58.15" customHeight="1" spans="1:21">
      <c r="A4" s="12" t="s">
        <v>106</v>
      </c>
      <c r="B4" s="13" t="s">
        <v>3</v>
      </c>
      <c r="C4" s="14" t="s">
        <v>107</v>
      </c>
      <c r="D4" s="13" t="s">
        <v>108</v>
      </c>
      <c r="E4" s="13" t="s">
        <v>109</v>
      </c>
      <c r="F4" s="15" t="s">
        <v>110</v>
      </c>
      <c r="G4" s="15" t="s">
        <v>90</v>
      </c>
      <c r="H4" s="16" t="s">
        <v>111</v>
      </c>
      <c r="I4" s="16" t="s">
        <v>90</v>
      </c>
      <c r="J4" s="13" t="s">
        <v>112</v>
      </c>
      <c r="K4" s="205" t="s">
        <v>113</v>
      </c>
      <c r="L4" s="206"/>
      <c r="M4" s="263" t="s">
        <v>114</v>
      </c>
      <c r="N4" s="264"/>
      <c r="O4" s="264"/>
      <c r="P4" s="265"/>
      <c r="Q4" s="266" t="s">
        <v>115</v>
      </c>
      <c r="R4" s="267" t="s">
        <v>116</v>
      </c>
      <c r="S4" s="267" t="s">
        <v>117</v>
      </c>
      <c r="T4" s="267" t="s">
        <v>118</v>
      </c>
      <c r="U4" s="268" t="s">
        <v>119</v>
      </c>
    </row>
    <row r="5" spans="1:21">
      <c r="A5" s="172">
        <v>1</v>
      </c>
      <c r="B5" s="415">
        <v>46031</v>
      </c>
      <c r="C5" s="248">
        <v>9983074</v>
      </c>
      <c r="D5" s="113">
        <v>50197284</v>
      </c>
      <c r="E5" s="114">
        <v>56.243</v>
      </c>
      <c r="F5" s="416">
        <f>[1]Platts2025!AH34-122.43</f>
        <v>512.334705882353</v>
      </c>
      <c r="G5" s="181">
        <f>E5*F5</f>
        <v>28815.2408629412</v>
      </c>
      <c r="H5" s="417">
        <v>41508.94</v>
      </c>
      <c r="I5" s="418">
        <f>E5*H5</f>
        <v>2334587.31242</v>
      </c>
      <c r="J5" s="419" t="s">
        <v>120</v>
      </c>
      <c r="K5" s="420" t="s">
        <v>129</v>
      </c>
      <c r="M5" s="172"/>
      <c r="N5" s="173"/>
      <c r="O5" s="173"/>
      <c r="P5" s="174"/>
      <c r="Q5" s="172"/>
      <c r="R5" s="72">
        <v>46040</v>
      </c>
      <c r="S5" s="173">
        <v>56.647</v>
      </c>
      <c r="T5" s="101">
        <f>S5-E5</f>
        <v>0.403999999999996</v>
      </c>
      <c r="U5" s="174"/>
    </row>
    <row r="6" spans="1:21">
      <c r="A6" s="41">
        <f>A5+1</f>
        <v>2</v>
      </c>
      <c r="B6" s="96">
        <v>46031</v>
      </c>
      <c r="C6" s="207">
        <v>9983074</v>
      </c>
      <c r="D6" s="28">
        <v>51147684</v>
      </c>
      <c r="E6" s="29">
        <v>57.546</v>
      </c>
      <c r="F6" s="217">
        <v>488.82</v>
      </c>
      <c r="G6" s="217">
        <f>E6*F6</f>
        <v>28129.63572</v>
      </c>
      <c r="H6" s="208">
        <v>41508.94</v>
      </c>
      <c r="I6" s="218">
        <f>E6*H6</f>
        <v>2388673.46124</v>
      </c>
      <c r="J6" s="419" t="s">
        <v>120</v>
      </c>
      <c r="K6" s="420" t="s">
        <v>129</v>
      </c>
      <c r="L6" s="89"/>
      <c r="M6" s="44"/>
      <c r="N6" s="41"/>
      <c r="O6" s="41"/>
      <c r="P6" s="45"/>
      <c r="Q6" s="44"/>
      <c r="R6" s="72">
        <v>46040</v>
      </c>
      <c r="S6" s="41">
        <v>57.754</v>
      </c>
      <c r="T6" s="101">
        <f>S6-E6</f>
        <v>0.207999999999998</v>
      </c>
      <c r="U6" s="45"/>
    </row>
    <row r="7" spans="1:21">
      <c r="A7" s="41">
        <f>A6+1</f>
        <v>3</v>
      </c>
      <c r="B7" s="72">
        <v>46031</v>
      </c>
      <c r="C7" s="207">
        <v>9983074</v>
      </c>
      <c r="D7" s="28">
        <v>51867471</v>
      </c>
      <c r="E7" s="29">
        <v>57.445</v>
      </c>
      <c r="F7" s="42">
        <v>488.82</v>
      </c>
      <c r="G7" s="42">
        <f>E7*F7</f>
        <v>28080.2649</v>
      </c>
      <c r="H7" s="208">
        <v>41508.94</v>
      </c>
      <c r="I7" s="235">
        <f>E7*H7</f>
        <v>2384481.0583</v>
      </c>
      <c r="J7" s="273" t="s">
        <v>120</v>
      </c>
      <c r="K7" s="420" t="s">
        <v>129</v>
      </c>
      <c r="L7" s="89"/>
      <c r="M7" s="44"/>
      <c r="N7" s="41"/>
      <c r="O7" s="41"/>
      <c r="P7" s="45"/>
      <c r="Q7" s="44"/>
      <c r="R7" s="72">
        <v>46040</v>
      </c>
      <c r="S7" s="101">
        <v>57.59</v>
      </c>
      <c r="T7" s="101">
        <f>S7-E7</f>
        <v>0.145000000000003</v>
      </c>
      <c r="U7" s="45"/>
    </row>
    <row r="8" spans="1:21">
      <c r="A8" s="41">
        <f>A7+1</f>
        <v>4</v>
      </c>
      <c r="B8" s="72">
        <v>46031</v>
      </c>
      <c r="C8" s="207">
        <v>9983074</v>
      </c>
      <c r="D8" s="28">
        <v>57190753</v>
      </c>
      <c r="E8" s="29">
        <v>58.948</v>
      </c>
      <c r="F8" s="42">
        <v>488.82</v>
      </c>
      <c r="G8" s="42">
        <f>E8*F8</f>
        <v>28814.96136</v>
      </c>
      <c r="H8" s="208">
        <v>41508.94</v>
      </c>
      <c r="I8" s="235">
        <f>E8*H8</f>
        <v>2446868.99512</v>
      </c>
      <c r="J8" s="273" t="s">
        <v>120</v>
      </c>
      <c r="K8" s="420" t="s">
        <v>129</v>
      </c>
      <c r="L8" s="89"/>
      <c r="M8" s="44"/>
      <c r="N8" s="41"/>
      <c r="O8" s="41"/>
      <c r="P8" s="45"/>
      <c r="Q8" s="44"/>
      <c r="R8" s="72">
        <v>46040</v>
      </c>
      <c r="S8" s="41">
        <v>58.135</v>
      </c>
      <c r="T8" s="101">
        <f>S8-E8</f>
        <v>-0.813000000000002</v>
      </c>
      <c r="U8" s="45"/>
    </row>
    <row r="9" spans="1:21">
      <c r="A9" s="41">
        <f>A8+1</f>
        <v>5</v>
      </c>
      <c r="B9" s="72">
        <v>46031</v>
      </c>
      <c r="C9" s="207">
        <v>9983074</v>
      </c>
      <c r="D9" s="28">
        <v>73901266</v>
      </c>
      <c r="E9" s="29">
        <v>57.345</v>
      </c>
      <c r="F9" s="42">
        <v>488.82</v>
      </c>
      <c r="G9" s="42">
        <f>E9*F9</f>
        <v>28031.3829</v>
      </c>
      <c r="H9" s="208">
        <v>41508.94</v>
      </c>
      <c r="I9" s="235">
        <f>E9*H9</f>
        <v>2380330.1643</v>
      </c>
      <c r="J9" s="273" t="s">
        <v>120</v>
      </c>
      <c r="K9" s="420" t="s">
        <v>129</v>
      </c>
      <c r="L9" s="89"/>
      <c r="M9" s="44"/>
      <c r="N9" s="41"/>
      <c r="O9" s="41"/>
      <c r="P9" s="45"/>
      <c r="Q9" s="44"/>
      <c r="R9" s="72">
        <v>46040</v>
      </c>
      <c r="S9" s="41">
        <v>56.932</v>
      </c>
      <c r="T9" s="101">
        <f>S9-E9</f>
        <v>-0.412999999999997</v>
      </c>
      <c r="U9" s="45"/>
    </row>
    <row r="10" spans="1:21">
      <c r="A10" s="41">
        <f>A9+1</f>
        <v>6</v>
      </c>
      <c r="B10" s="72">
        <v>46031</v>
      </c>
      <c r="C10" s="207">
        <v>9983074</v>
      </c>
      <c r="D10" s="28">
        <v>75004127</v>
      </c>
      <c r="E10" s="29">
        <v>58.297</v>
      </c>
      <c r="F10" s="42">
        <v>488.82</v>
      </c>
      <c r="G10" s="42">
        <f>E10*F10</f>
        <v>28496.73954</v>
      </c>
      <c r="H10" s="208">
        <v>41508.94</v>
      </c>
      <c r="I10" s="235">
        <f>E10*H10</f>
        <v>2419846.67518</v>
      </c>
      <c r="J10" s="273" t="s">
        <v>120</v>
      </c>
      <c r="K10" s="420" t="s">
        <v>129</v>
      </c>
      <c r="L10" s="89"/>
      <c r="M10" s="44"/>
      <c r="N10" s="41"/>
      <c r="O10" s="41"/>
      <c r="P10" s="45"/>
      <c r="Q10" s="44"/>
      <c r="R10" s="72">
        <v>46040</v>
      </c>
      <c r="S10" s="41">
        <v>57.902</v>
      </c>
      <c r="T10" s="41">
        <f>S10-E10</f>
        <v>-0.394999999999996</v>
      </c>
      <c r="U10" s="45"/>
    </row>
    <row r="11" spans="1:21">
      <c r="A11" s="41">
        <f>A10+1</f>
        <v>7</v>
      </c>
      <c r="B11" s="72">
        <v>46031</v>
      </c>
      <c r="C11" s="207">
        <v>9983074</v>
      </c>
      <c r="D11" s="28">
        <v>75671792</v>
      </c>
      <c r="E11" s="29">
        <v>60.601</v>
      </c>
      <c r="F11" s="42">
        <v>488.82</v>
      </c>
      <c r="G11" s="42">
        <f>E11*F11</f>
        <v>29622.98082</v>
      </c>
      <c r="H11" s="208">
        <v>41508.94</v>
      </c>
      <c r="I11" s="235">
        <f>E11*H11</f>
        <v>2515483.27294</v>
      </c>
      <c r="J11" s="273" t="s">
        <v>120</v>
      </c>
      <c r="K11" s="420" t="s">
        <v>129</v>
      </c>
      <c r="L11" s="89"/>
      <c r="M11" s="44"/>
      <c r="N11" s="41"/>
      <c r="O11" s="41"/>
      <c r="P11" s="45"/>
      <c r="Q11" s="44"/>
      <c r="R11" s="72">
        <v>46040</v>
      </c>
      <c r="S11" s="41">
        <v>60.649</v>
      </c>
      <c r="T11" s="41">
        <f>S11-E11</f>
        <v>0.0480000000000018</v>
      </c>
      <c r="U11" s="45"/>
    </row>
    <row r="12" spans="1:21">
      <c r="A12" s="41">
        <f>A11+1</f>
        <v>8</v>
      </c>
      <c r="B12" s="72">
        <v>46031</v>
      </c>
      <c r="C12" s="207">
        <v>9983074</v>
      </c>
      <c r="D12" s="28">
        <v>75671990</v>
      </c>
      <c r="E12" s="29">
        <v>60</v>
      </c>
      <c r="F12" s="42">
        <v>488.82</v>
      </c>
      <c r="G12" s="42">
        <f>E12*F12</f>
        <v>29329.2</v>
      </c>
      <c r="H12" s="208">
        <v>41508.94</v>
      </c>
      <c r="I12" s="235">
        <f>E12*H12</f>
        <v>2490536.4</v>
      </c>
      <c r="J12" s="273" t="s">
        <v>120</v>
      </c>
      <c r="K12" s="420" t="s">
        <v>129</v>
      </c>
      <c r="L12" s="89"/>
      <c r="M12" s="44"/>
      <c r="N12" s="41"/>
      <c r="O12" s="41"/>
      <c r="P12" s="45"/>
      <c r="Q12" s="44"/>
      <c r="R12" s="72">
        <v>46040</v>
      </c>
      <c r="S12" s="41">
        <v>60.174</v>
      </c>
      <c r="T12" s="41">
        <f>S12-E12</f>
        <v>0.173999999999999</v>
      </c>
      <c r="U12" s="45"/>
    </row>
    <row r="13" spans="1:21">
      <c r="A13" s="41">
        <f>A12+1</f>
        <v>9</v>
      </c>
      <c r="B13" s="72">
        <v>46031</v>
      </c>
      <c r="C13" s="207">
        <v>9983074</v>
      </c>
      <c r="D13" s="28">
        <v>75672097</v>
      </c>
      <c r="E13" s="29">
        <v>60.601</v>
      </c>
      <c r="F13" s="42">
        <v>488.82</v>
      </c>
      <c r="G13" s="42">
        <f>E13*F13</f>
        <v>29622.98082</v>
      </c>
      <c r="H13" s="208">
        <v>41508.94</v>
      </c>
      <c r="I13" s="235">
        <f>E13*H13</f>
        <v>2515483.27294</v>
      </c>
      <c r="J13" s="273" t="s">
        <v>120</v>
      </c>
      <c r="K13" s="420" t="s">
        <v>129</v>
      </c>
      <c r="L13" s="89"/>
      <c r="M13" s="44"/>
      <c r="N13" s="41"/>
      <c r="O13" s="41"/>
      <c r="P13" s="45"/>
      <c r="Q13" s="44"/>
      <c r="R13" s="72">
        <v>46040</v>
      </c>
      <c r="S13" s="41">
        <v>60.748</v>
      </c>
      <c r="T13" s="41">
        <f>S13-E13</f>
        <v>0.146999999999998</v>
      </c>
      <c r="U13" s="45"/>
    </row>
    <row r="14" spans="1:21">
      <c r="A14" s="41">
        <f>A13+1</f>
        <v>10</v>
      </c>
      <c r="B14" s="72">
        <v>46031</v>
      </c>
      <c r="C14" s="207">
        <v>9983074</v>
      </c>
      <c r="D14" s="28">
        <v>75673293</v>
      </c>
      <c r="E14" s="29">
        <v>60.15</v>
      </c>
      <c r="F14" s="42">
        <v>488.82</v>
      </c>
      <c r="G14" s="42">
        <f>E14*F14</f>
        <v>29402.523</v>
      </c>
      <c r="H14" s="208">
        <v>41508.94</v>
      </c>
      <c r="I14" s="235">
        <f>E14*H14</f>
        <v>2496762.741</v>
      </c>
      <c r="J14" s="273" t="s">
        <v>120</v>
      </c>
      <c r="K14" s="420" t="s">
        <v>129</v>
      </c>
      <c r="L14" s="89"/>
      <c r="M14" s="44"/>
      <c r="N14" s="41"/>
      <c r="O14" s="41"/>
      <c r="P14" s="45"/>
      <c r="Q14" s="44"/>
      <c r="R14" s="72">
        <v>46040</v>
      </c>
      <c r="S14" s="41">
        <v>59.794</v>
      </c>
      <c r="T14" s="41">
        <f>S14-E14</f>
        <v>-0.356000000000002</v>
      </c>
      <c r="U14" s="45"/>
    </row>
    <row r="15" spans="1:21">
      <c r="A15" s="41">
        <f>A14+1</f>
        <v>11</v>
      </c>
      <c r="B15" s="72">
        <v>46031</v>
      </c>
      <c r="C15" s="207">
        <v>9983074</v>
      </c>
      <c r="D15" s="28">
        <v>75673491</v>
      </c>
      <c r="E15" s="29">
        <v>60.551</v>
      </c>
      <c r="F15" s="42">
        <v>488.82</v>
      </c>
      <c r="G15" s="42">
        <f>E15*F15</f>
        <v>29598.53982</v>
      </c>
      <c r="H15" s="208">
        <v>41508.94</v>
      </c>
      <c r="I15" s="235">
        <f>E15*H15</f>
        <v>2513407.82594</v>
      </c>
      <c r="J15" s="273" t="s">
        <v>120</v>
      </c>
      <c r="K15" s="420" t="s">
        <v>129</v>
      </c>
      <c r="L15" s="89"/>
      <c r="M15" s="44"/>
      <c r="N15" s="41"/>
      <c r="O15" s="41"/>
      <c r="P15" s="45"/>
      <c r="Q15" s="44"/>
      <c r="R15" s="72">
        <v>46040</v>
      </c>
      <c r="S15" s="41">
        <v>60.597</v>
      </c>
      <c r="T15" s="41">
        <f>S15-E15</f>
        <v>0.0459999999999994</v>
      </c>
      <c r="U15" s="45"/>
    </row>
    <row r="16" spans="1:21">
      <c r="A16" s="41">
        <f>A15+1</f>
        <v>12</v>
      </c>
      <c r="B16" s="72">
        <v>46031</v>
      </c>
      <c r="C16" s="207">
        <v>9983074</v>
      </c>
      <c r="D16" s="28">
        <v>75673590</v>
      </c>
      <c r="E16" s="29">
        <v>60.05</v>
      </c>
      <c r="F16" s="42">
        <v>488.82</v>
      </c>
      <c r="G16" s="42">
        <f>E16*F16</f>
        <v>29353.641</v>
      </c>
      <c r="H16" s="208">
        <v>41508.94</v>
      </c>
      <c r="I16" s="235">
        <f>E16*H16</f>
        <v>2492611.847</v>
      </c>
      <c r="J16" s="273" t="s">
        <v>120</v>
      </c>
      <c r="K16" s="420" t="s">
        <v>129</v>
      </c>
      <c r="L16" s="89"/>
      <c r="M16" s="44"/>
      <c r="N16" s="41"/>
      <c r="O16" s="41"/>
      <c r="P16" s="45"/>
      <c r="Q16" s="44"/>
      <c r="R16" s="72">
        <v>46040</v>
      </c>
      <c r="S16" s="41">
        <v>60.261</v>
      </c>
      <c r="T16" s="41">
        <f>S16-E16</f>
        <v>0.211000000000006</v>
      </c>
      <c r="U16" s="45"/>
    </row>
    <row r="17" spans="1:21">
      <c r="A17" s="41">
        <f>A16+1</f>
        <v>13</v>
      </c>
      <c r="B17" s="72">
        <v>46031</v>
      </c>
      <c r="C17" s="207">
        <v>9983074</v>
      </c>
      <c r="D17" s="28">
        <v>75674390</v>
      </c>
      <c r="E17" s="29">
        <v>58.147</v>
      </c>
      <c r="F17" s="42">
        <v>488.82</v>
      </c>
      <c r="G17" s="42">
        <f>E17*F17</f>
        <v>28423.41654</v>
      </c>
      <c r="H17" s="208">
        <v>41508.94</v>
      </c>
      <c r="I17" s="235">
        <f>E17*H17</f>
        <v>2413620.33418</v>
      </c>
      <c r="J17" s="273" t="s">
        <v>120</v>
      </c>
      <c r="K17" s="420" t="s">
        <v>129</v>
      </c>
      <c r="L17" s="89"/>
      <c r="M17" s="44"/>
      <c r="N17" s="41"/>
      <c r="O17" s="41"/>
      <c r="P17" s="45"/>
      <c r="Q17" s="44"/>
      <c r="R17" s="41"/>
      <c r="S17" s="41"/>
      <c r="T17" s="41"/>
      <c r="U17" s="45"/>
    </row>
    <row r="18" ht="15.75" spans="1:21">
      <c r="A18" s="41">
        <f>A17+1</f>
        <v>14</v>
      </c>
      <c r="B18" s="96">
        <v>46031</v>
      </c>
      <c r="C18" s="216">
        <v>9983074</v>
      </c>
      <c r="D18" s="47">
        <v>75675298</v>
      </c>
      <c r="E18" s="48">
        <v>58.247</v>
      </c>
      <c r="F18" s="217">
        <v>488.82</v>
      </c>
      <c r="G18" s="217">
        <f>E18*F18</f>
        <v>28472.29854</v>
      </c>
      <c r="H18" s="421">
        <v>41508.94</v>
      </c>
      <c r="I18" s="218">
        <f>E18*H18</f>
        <v>2417771.22818</v>
      </c>
      <c r="J18" s="419" t="s">
        <v>120</v>
      </c>
      <c r="K18" s="420" t="s">
        <v>129</v>
      </c>
      <c r="L18" s="90"/>
      <c r="M18" s="51"/>
      <c r="N18" s="52"/>
      <c r="O18" s="52"/>
      <c r="P18" s="53"/>
      <c r="Q18" s="51"/>
      <c r="R18" s="52"/>
      <c r="S18" s="52"/>
      <c r="T18" s="52"/>
      <c r="U18" s="53"/>
    </row>
    <row r="19" ht="15.75" spans="1:21">
      <c r="A19" s="422"/>
      <c r="B19" s="423"/>
      <c r="C19" s="423"/>
      <c r="D19" s="423"/>
      <c r="E19" s="424">
        <f>SUM(E5:E18)</f>
        <v>824.171</v>
      </c>
      <c r="F19" s="423"/>
      <c r="G19" s="425">
        <f>SUM(G5:G18)</f>
        <v>404193.805822941</v>
      </c>
      <c r="H19" s="426"/>
      <c r="I19" s="427">
        <f>SUM(I5:I18)</f>
        <v>34210464.58874</v>
      </c>
      <c r="J19" s="423"/>
      <c r="K19" s="428"/>
      <c r="L19" s="429"/>
      <c r="M19" s="422"/>
      <c r="N19" s="423"/>
      <c r="O19" s="423"/>
      <c r="P19" s="430"/>
      <c r="Q19" s="431"/>
      <c r="R19" s="423"/>
      <c r="S19" s="426">
        <f>SUM(S5:S18)</f>
        <v>707.183</v>
      </c>
      <c r="T19" s="424">
        <f>SUM(T5:T18)</f>
        <v>-0.593999999999994</v>
      </c>
      <c r="U19" s="430"/>
    </row>
    <row r="20" ht="15.75" spans="1:21">
      <c r="A20" s="354"/>
      <c r="B20" s="348"/>
      <c r="C20" s="348"/>
      <c r="D20" s="348"/>
      <c r="E20" s="432">
        <f>E19</f>
        <v>824.171</v>
      </c>
      <c r="F20" s="348"/>
      <c r="G20" s="349">
        <f>G19</f>
        <v>404193.805822941</v>
      </c>
      <c r="H20" s="350"/>
      <c r="I20" s="433">
        <f>I19</f>
        <v>34210464.58874</v>
      </c>
      <c r="J20" s="348"/>
      <c r="K20" s="434"/>
      <c r="L20" s="435"/>
      <c r="M20" s="354"/>
      <c r="N20" s="348"/>
      <c r="O20" s="348"/>
      <c r="P20" s="352"/>
      <c r="Q20" s="355"/>
      <c r="R20" s="348"/>
      <c r="S20" s="350">
        <f>S19</f>
        <v>707.183</v>
      </c>
      <c r="T20" s="432">
        <f>T19</f>
        <v>-0.593999999999994</v>
      </c>
      <c r="U20" s="352"/>
    </row>
    <row r="21" ht="15.75"/>
    <row r="22" spans="1:21">
      <c r="B22" s="142" t="s">
        <v>124</v>
      </c>
      <c r="C22" s="204"/>
      <c r="D22" s="144"/>
      <c r="E22" s="145">
        <v>830</v>
      </c>
    </row>
    <row r="23" spans="1:21">
      <c r="B23" s="146" t="s">
        <v>125</v>
      </c>
      <c r="C23" s="147"/>
      <c r="D23" s="148"/>
      <c r="E23" s="149">
        <f>E20</f>
        <v>824.171</v>
      </c>
    </row>
    <row r="24" ht="15.75" spans="1:21">
      <c r="B24" s="150" t="s">
        <v>126</v>
      </c>
      <c r="C24" s="151"/>
      <c r="D24" s="152"/>
      <c r="E24" s="153">
        <f>E22-E23</f>
        <v>5.82899999999995</v>
      </c>
      <c r="G24" s="1">
        <v>78.3941</v>
      </c>
    </row>
  </sheetData>
  <mergeCells count="5">
    <mergeCell ref="A1:K1"/>
    <mergeCell ref="A2:K2"/>
    <mergeCell ref="M4:P4"/>
    <mergeCell ref="B22:C22"/>
    <mergeCell ref="T1:U2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78"/>
  <sheetViews>
    <sheetView topLeftCell="A244" workbookViewId="0">
      <selection activeCell="I276" sqref="I276"/>
    </sheetView>
  </sheetViews>
  <sheetFormatPr defaultColWidth="11.5714285714286" defaultRowHeight="15"/>
  <cols>
    <col min="1" max="1" width="7.71428571428571" style="1" customWidth="1"/>
    <col min="2" max="4" width="11.7142857142857" style="1" customWidth="1"/>
    <col min="5" max="5" width="11.8571428571429" style="1" customWidth="1"/>
    <col min="6" max="6" width="11.7142857142857" style="1" customWidth="1"/>
    <col min="7" max="7" width="15.2857142857143" style="1" customWidth="1"/>
    <col min="8" max="8" width="11.7142857142857" style="1" customWidth="1"/>
    <col min="9" max="9" width="17.8571428571429" style="1" customWidth="1"/>
    <col min="10" max="10" width="16.8571428571429" style="1" customWidth="1"/>
    <col min="11" max="11" width="11.5714285714286" style="1"/>
    <col min="12" max="12" width="0.857142857142857" style="1" customWidth="1"/>
    <col min="13" max="16" width="2.85714285714286" style="1" customWidth="1"/>
    <col min="17" max="18" width="8" style="1" customWidth="1"/>
    <col min="19" max="19" width="8.85714285714286" style="1" customWidth="1"/>
    <col min="20" max="20" width="11" style="1" customWidth="1"/>
    <col min="21" max="21" width="9.42857142857143" style="1" customWidth="1"/>
    <col min="22" max="22" width="11.5714285714286" style="1"/>
    <col min="23" max="23" width="11.7142857142857" style="1" customWidth="1"/>
    <col min="24" max="16384" width="11.5714285714286" style="1"/>
  </cols>
  <sheetData>
    <row r="1" ht="13.9" customHeight="1" spans="1:23">
      <c r="A1" s="2" t="s">
        <v>102</v>
      </c>
      <c r="L1" s="3"/>
      <c r="M1" s="3"/>
      <c r="N1" s="3"/>
      <c r="O1" s="3"/>
      <c r="P1" s="3"/>
      <c r="T1" s="4" t="s">
        <v>103</v>
      </c>
      <c r="U1" s="4"/>
    </row>
    <row r="2" ht="13.9" customHeight="1" spans="1:23">
      <c r="A2" s="2" t="s">
        <v>130</v>
      </c>
      <c r="L2" s="5"/>
      <c r="M2" s="5"/>
      <c r="N2" s="5"/>
      <c r="O2" s="5"/>
      <c r="P2" s="5"/>
      <c r="T2" s="4"/>
      <c r="U2" s="4"/>
    </row>
    <row r="3" ht="15.75" spans="1:23">
      <c r="F3" s="6" t="s">
        <v>131</v>
      </c>
      <c r="H3" s="7"/>
      <c r="I3" s="7"/>
      <c r="L3" s="8"/>
      <c r="M3" s="9"/>
      <c r="N3" s="9"/>
      <c r="O3" s="10"/>
      <c r="P3" s="10"/>
      <c r="W3" s="1">
        <v>46076.86</v>
      </c>
    </row>
    <row r="4" ht="58.15" customHeight="1" spans="1:23">
      <c r="A4" s="12" t="s">
        <v>106</v>
      </c>
      <c r="B4" s="13" t="s">
        <v>3</v>
      </c>
      <c r="C4" s="14" t="s">
        <v>107</v>
      </c>
      <c r="D4" s="13" t="s">
        <v>108</v>
      </c>
      <c r="E4" s="13" t="s">
        <v>109</v>
      </c>
      <c r="F4" s="15" t="s">
        <v>132</v>
      </c>
      <c r="G4" s="15" t="s">
        <v>90</v>
      </c>
      <c r="H4" s="16" t="s">
        <v>111</v>
      </c>
      <c r="I4" s="16" t="s">
        <v>90</v>
      </c>
      <c r="J4" s="13" t="s">
        <v>112</v>
      </c>
      <c r="K4" s="205" t="s">
        <v>113</v>
      </c>
      <c r="L4" s="206"/>
      <c r="M4" s="263" t="s">
        <v>114</v>
      </c>
      <c r="N4" s="264"/>
      <c r="O4" s="264"/>
      <c r="P4" s="265"/>
      <c r="Q4" s="266" t="s">
        <v>115</v>
      </c>
      <c r="R4" s="267" t="s">
        <v>116</v>
      </c>
      <c r="S4" s="267" t="s">
        <v>117</v>
      </c>
      <c r="T4" s="267" t="s">
        <v>118</v>
      </c>
      <c r="U4" s="268" t="s">
        <v>119</v>
      </c>
    </row>
    <row r="5" ht="15.75" customHeight="1" spans="1:23">
      <c r="A5" s="67">
        <v>1</v>
      </c>
      <c r="B5" s="27">
        <v>46045</v>
      </c>
      <c r="C5" s="221">
        <v>8610245</v>
      </c>
      <c r="D5" s="107">
        <v>50220904</v>
      </c>
      <c r="E5" s="108">
        <v>61</v>
      </c>
      <c r="F5" s="30">
        <f>'[2]Platt''s 2026'!B34-121.57</f>
        <v>520.111818181818</v>
      </c>
      <c r="G5" s="31">
        <f>E5*F5</f>
        <v>31726.8209090909</v>
      </c>
      <c r="H5" s="365">
        <v>46076.86</v>
      </c>
      <c r="I5" s="33">
        <f>E5*H5</f>
        <v>2810688.46</v>
      </c>
      <c r="J5" s="273" t="s">
        <v>120</v>
      </c>
      <c r="K5" s="366" t="s">
        <v>121</v>
      </c>
      <c r="L5" s="36"/>
      <c r="M5" s="37"/>
      <c r="N5" s="38"/>
      <c r="O5" s="38"/>
      <c r="P5" s="39"/>
      <c r="Q5" s="37"/>
      <c r="R5" s="38"/>
      <c r="S5" s="38"/>
      <c r="T5" s="38"/>
      <c r="U5" s="39"/>
    </row>
    <row r="6" ht="15.75" customHeight="1" spans="1:23">
      <c r="A6" s="41">
        <f>A5+1</f>
        <v>2</v>
      </c>
      <c r="B6" s="72">
        <v>46045</v>
      </c>
      <c r="C6" s="207">
        <v>8610246</v>
      </c>
      <c r="D6" s="28">
        <v>50413400</v>
      </c>
      <c r="E6" s="29">
        <v>60.95</v>
      </c>
      <c r="F6" s="42">
        <v>520.11</v>
      </c>
      <c r="G6" s="31">
        <f>E6*F6</f>
        <v>31700.7045</v>
      </c>
      <c r="H6" s="365">
        <v>46076.86</v>
      </c>
      <c r="I6" s="33">
        <f>E6*H6</f>
        <v>2808384.617</v>
      </c>
      <c r="J6" s="273" t="s">
        <v>120</v>
      </c>
      <c r="K6" s="366" t="s">
        <v>121</v>
      </c>
      <c r="L6" s="43"/>
      <c r="M6" s="44"/>
      <c r="N6" s="41"/>
      <c r="O6" s="41"/>
      <c r="P6" s="45"/>
      <c r="Q6" s="44"/>
      <c r="R6" s="72">
        <v>46054</v>
      </c>
      <c r="S6" s="41">
        <v>60.852</v>
      </c>
      <c r="T6" s="101">
        <f>S6-E6</f>
        <v>-0.0980000000000061</v>
      </c>
      <c r="U6" s="45"/>
    </row>
    <row r="7" ht="15.75" customHeight="1" spans="1:23">
      <c r="A7" s="41">
        <f>A6+1</f>
        <v>3</v>
      </c>
      <c r="B7" s="72">
        <v>46045</v>
      </c>
      <c r="C7" s="207">
        <v>8610246</v>
      </c>
      <c r="D7" s="28">
        <v>51833374</v>
      </c>
      <c r="E7" s="29">
        <v>61.1</v>
      </c>
      <c r="F7" s="42">
        <v>520.11</v>
      </c>
      <c r="G7" s="31">
        <f>E7*F7</f>
        <v>31778.721</v>
      </c>
      <c r="H7" s="365">
        <v>46076.86</v>
      </c>
      <c r="I7" s="33">
        <f>E7*H7</f>
        <v>2815296.146</v>
      </c>
      <c r="J7" s="273" t="s">
        <v>120</v>
      </c>
      <c r="K7" s="366" t="s">
        <v>121</v>
      </c>
      <c r="L7" s="43"/>
      <c r="M7" s="44"/>
      <c r="N7" s="41"/>
      <c r="O7" s="41"/>
      <c r="P7" s="45"/>
      <c r="Q7" s="44"/>
      <c r="R7" s="72">
        <v>46054</v>
      </c>
      <c r="S7" s="41">
        <v>60.874</v>
      </c>
      <c r="T7" s="101">
        <f>S7-E7</f>
        <v>-0.225999999999999</v>
      </c>
      <c r="U7" s="45"/>
    </row>
    <row r="8" ht="15.75" customHeight="1" spans="1:23">
      <c r="A8" s="41">
        <f>A7+1</f>
        <v>4</v>
      </c>
      <c r="B8" s="72">
        <v>46045</v>
      </c>
      <c r="C8" s="207">
        <v>8610245</v>
      </c>
      <c r="D8" s="28">
        <v>54026836</v>
      </c>
      <c r="E8" s="29">
        <v>60.95</v>
      </c>
      <c r="F8" s="42">
        <v>520.11</v>
      </c>
      <c r="G8" s="31">
        <f>E8*F8</f>
        <v>31700.7045</v>
      </c>
      <c r="H8" s="365">
        <v>46076.86</v>
      </c>
      <c r="I8" s="33">
        <f>E8*H8</f>
        <v>2808384.617</v>
      </c>
      <c r="J8" s="273" t="s">
        <v>120</v>
      </c>
      <c r="K8" s="366" t="s">
        <v>121</v>
      </c>
      <c r="L8" s="43"/>
      <c r="M8" s="44"/>
      <c r="N8" s="41"/>
      <c r="O8" s="41"/>
      <c r="P8" s="45"/>
      <c r="Q8" s="44"/>
      <c r="R8" s="41"/>
      <c r="S8" s="41"/>
      <c r="T8" s="41"/>
      <c r="U8" s="45"/>
    </row>
    <row r="9" ht="15.75" customHeight="1" spans="1:23">
      <c r="A9" s="41">
        <f>A8+1</f>
        <v>5</v>
      </c>
      <c r="B9" s="72">
        <v>46045</v>
      </c>
      <c r="C9" s="207">
        <v>8610245</v>
      </c>
      <c r="D9" s="28">
        <v>54721329</v>
      </c>
      <c r="E9" s="29">
        <v>61.2</v>
      </c>
      <c r="F9" s="42">
        <v>520.11</v>
      </c>
      <c r="G9" s="31">
        <f>E9*F9</f>
        <v>31830.732</v>
      </c>
      <c r="H9" s="365">
        <v>46076.86</v>
      </c>
      <c r="I9" s="33">
        <f>E9*H9</f>
        <v>2819903.832</v>
      </c>
      <c r="J9" s="273" t="s">
        <v>120</v>
      </c>
      <c r="K9" s="366" t="s">
        <v>121</v>
      </c>
      <c r="L9" s="43"/>
      <c r="M9" s="44"/>
      <c r="N9" s="41"/>
      <c r="O9" s="41"/>
      <c r="P9" s="45"/>
      <c r="Q9" s="44"/>
      <c r="R9" s="41"/>
      <c r="S9" s="41"/>
      <c r="T9" s="41"/>
      <c r="U9" s="45"/>
    </row>
    <row r="10" ht="15.75" customHeight="1" spans="1:23">
      <c r="A10" s="41">
        <f>A9+1</f>
        <v>6</v>
      </c>
      <c r="B10" s="72">
        <v>46045</v>
      </c>
      <c r="C10" s="207">
        <v>8610246</v>
      </c>
      <c r="D10" s="28">
        <v>57429383</v>
      </c>
      <c r="E10" s="29">
        <v>60.9</v>
      </c>
      <c r="F10" s="42">
        <v>520.11</v>
      </c>
      <c r="G10" s="31">
        <f>E10*F10</f>
        <v>31674.699</v>
      </c>
      <c r="H10" s="365">
        <v>46076.86</v>
      </c>
      <c r="I10" s="33">
        <f>E10*H10</f>
        <v>2806080.774</v>
      </c>
      <c r="J10" s="273" t="s">
        <v>120</v>
      </c>
      <c r="K10" s="366" t="s">
        <v>121</v>
      </c>
      <c r="L10" s="43"/>
      <c r="M10" s="44"/>
      <c r="N10" s="41"/>
      <c r="O10" s="41"/>
      <c r="P10" s="45"/>
      <c r="Q10" s="44"/>
      <c r="R10" s="72">
        <v>46054</v>
      </c>
      <c r="S10" s="41">
        <v>60.859</v>
      </c>
      <c r="T10" s="101">
        <f>S10-E10</f>
        <v>-0.0409999999999968</v>
      </c>
      <c r="U10" s="45"/>
    </row>
    <row r="11" ht="15.75" customHeight="1" spans="1:23">
      <c r="A11" s="41">
        <f>A10+1</f>
        <v>7</v>
      </c>
      <c r="B11" s="72">
        <v>46045</v>
      </c>
      <c r="C11" s="207">
        <v>8610245</v>
      </c>
      <c r="D11" s="28">
        <v>57434193</v>
      </c>
      <c r="E11" s="29">
        <v>60.95</v>
      </c>
      <c r="F11" s="42">
        <v>520.11</v>
      </c>
      <c r="G11" s="31">
        <f>E11*F11</f>
        <v>31700.7045</v>
      </c>
      <c r="H11" s="365">
        <v>46076.86</v>
      </c>
      <c r="I11" s="33">
        <f>E11*H11</f>
        <v>2808384.617</v>
      </c>
      <c r="J11" s="273" t="s">
        <v>120</v>
      </c>
      <c r="K11" s="366" t="s">
        <v>121</v>
      </c>
      <c r="L11" s="43"/>
      <c r="M11" s="44"/>
      <c r="N11" s="41"/>
      <c r="O11" s="41"/>
      <c r="P11" s="45"/>
      <c r="Q11" s="44"/>
      <c r="R11" s="41"/>
      <c r="S11" s="41"/>
      <c r="T11" s="41"/>
      <c r="U11" s="45"/>
    </row>
    <row r="12" ht="15.75" customHeight="1" spans="1:23">
      <c r="A12" s="41">
        <f>A11+1</f>
        <v>8</v>
      </c>
      <c r="B12" s="72">
        <v>46045</v>
      </c>
      <c r="C12" s="207">
        <v>8610245</v>
      </c>
      <c r="D12" s="28">
        <v>73021644</v>
      </c>
      <c r="E12" s="29">
        <v>61.5</v>
      </c>
      <c r="F12" s="42">
        <v>520.11</v>
      </c>
      <c r="G12" s="31">
        <f>E12*F12</f>
        <v>31986.765</v>
      </c>
      <c r="H12" s="365">
        <v>46076.86</v>
      </c>
      <c r="I12" s="33">
        <f>E12*H12</f>
        <v>2833726.89</v>
      </c>
      <c r="J12" s="273" t="s">
        <v>120</v>
      </c>
      <c r="K12" s="366" t="s">
        <v>121</v>
      </c>
      <c r="L12" s="43"/>
      <c r="M12" s="44"/>
      <c r="N12" s="41"/>
      <c r="O12" s="41"/>
      <c r="P12" s="45"/>
      <c r="Q12" s="44"/>
      <c r="R12" s="41"/>
      <c r="S12" s="41"/>
      <c r="T12" s="41"/>
      <c r="U12" s="45"/>
    </row>
    <row r="13" ht="15.75" customHeight="1" spans="1:23">
      <c r="A13" s="41">
        <f>A12+1</f>
        <v>9</v>
      </c>
      <c r="B13" s="72">
        <v>46045</v>
      </c>
      <c r="C13" s="207">
        <v>8610245</v>
      </c>
      <c r="D13" s="28">
        <v>73049454</v>
      </c>
      <c r="E13" s="29">
        <v>61.5</v>
      </c>
      <c r="F13" s="42">
        <v>520.11</v>
      </c>
      <c r="G13" s="31">
        <f>E13*F13</f>
        <v>31986.765</v>
      </c>
      <c r="H13" s="365">
        <v>46076.86</v>
      </c>
      <c r="I13" s="33">
        <f>E13*H13</f>
        <v>2833726.89</v>
      </c>
      <c r="J13" s="273" t="s">
        <v>120</v>
      </c>
      <c r="K13" s="366" t="s">
        <v>121</v>
      </c>
      <c r="L13" s="43"/>
      <c r="M13" s="44"/>
      <c r="N13" s="41"/>
      <c r="O13" s="41"/>
      <c r="P13" s="45"/>
      <c r="Q13" s="44"/>
      <c r="R13" s="41"/>
      <c r="S13" s="41"/>
      <c r="T13" s="41"/>
      <c r="U13" s="45"/>
    </row>
    <row r="14" ht="15.75" customHeight="1" spans="1:23">
      <c r="A14" s="41">
        <f>A13+1</f>
        <v>10</v>
      </c>
      <c r="B14" s="72">
        <v>46045</v>
      </c>
      <c r="C14" s="207">
        <v>8610245</v>
      </c>
      <c r="D14" s="28">
        <v>73062325</v>
      </c>
      <c r="E14" s="29">
        <v>61.55</v>
      </c>
      <c r="F14" s="42">
        <v>520.11</v>
      </c>
      <c r="G14" s="31">
        <f>E14*F14</f>
        <v>32012.7705</v>
      </c>
      <c r="H14" s="365">
        <v>46076.86</v>
      </c>
      <c r="I14" s="33">
        <f>E14*H14</f>
        <v>2836030.733</v>
      </c>
      <c r="J14" s="273" t="s">
        <v>120</v>
      </c>
      <c r="K14" s="366" t="s">
        <v>121</v>
      </c>
      <c r="L14" s="43"/>
      <c r="M14" s="44"/>
      <c r="N14" s="41"/>
      <c r="O14" s="41"/>
      <c r="P14" s="45"/>
      <c r="Q14" s="44"/>
      <c r="R14" s="41"/>
      <c r="S14" s="41"/>
      <c r="T14" s="41"/>
      <c r="U14" s="45"/>
    </row>
    <row r="15" ht="15.75" customHeight="1" spans="1:23">
      <c r="A15" s="41">
        <f>A14+1</f>
        <v>11</v>
      </c>
      <c r="B15" s="72">
        <v>46045</v>
      </c>
      <c r="C15" s="207">
        <v>8610246</v>
      </c>
      <c r="D15" s="28">
        <v>73069189</v>
      </c>
      <c r="E15" s="29">
        <v>61.7</v>
      </c>
      <c r="F15" s="42">
        <v>520.11</v>
      </c>
      <c r="G15" s="31">
        <f>E15*F15</f>
        <v>32090.787</v>
      </c>
      <c r="H15" s="365">
        <v>46076.86</v>
      </c>
      <c r="I15" s="33">
        <f>E15*H15</f>
        <v>2842942.262</v>
      </c>
      <c r="J15" s="273" t="s">
        <v>120</v>
      </c>
      <c r="K15" s="366" t="s">
        <v>121</v>
      </c>
      <c r="L15" s="43"/>
      <c r="M15" s="44"/>
      <c r="N15" s="41"/>
      <c r="O15" s="41"/>
      <c r="P15" s="45"/>
      <c r="Q15" s="44"/>
      <c r="R15" s="72">
        <v>46054</v>
      </c>
      <c r="S15" s="41">
        <v>61.543</v>
      </c>
      <c r="T15" s="101">
        <f>S15-E15</f>
        <v>-0.157000000000004</v>
      </c>
      <c r="U15" s="45"/>
    </row>
    <row r="16" ht="15.75" customHeight="1" spans="1:23">
      <c r="A16" s="41">
        <f>A15+1</f>
        <v>12</v>
      </c>
      <c r="B16" s="72">
        <v>46045</v>
      </c>
      <c r="C16" s="207">
        <v>8610246</v>
      </c>
      <c r="D16" s="28">
        <v>73071086</v>
      </c>
      <c r="E16" s="29">
        <v>61.5</v>
      </c>
      <c r="F16" s="42">
        <v>520.11</v>
      </c>
      <c r="G16" s="31">
        <f>E16*F16</f>
        <v>31986.765</v>
      </c>
      <c r="H16" s="365">
        <v>46076.86</v>
      </c>
      <c r="I16" s="33">
        <f>E16*H16</f>
        <v>2833726.89</v>
      </c>
      <c r="J16" s="273" t="s">
        <v>120</v>
      </c>
      <c r="K16" s="366" t="s">
        <v>121</v>
      </c>
      <c r="L16" s="43"/>
      <c r="M16" s="44"/>
      <c r="N16" s="41"/>
      <c r="O16" s="41"/>
      <c r="P16" s="45"/>
      <c r="Q16" s="44"/>
      <c r="R16" s="72">
        <v>46054</v>
      </c>
      <c r="S16" s="41">
        <v>61.285</v>
      </c>
      <c r="T16" s="101">
        <f>S16-E16</f>
        <v>-0.215000000000003</v>
      </c>
      <c r="U16" s="45"/>
    </row>
    <row r="17" spans="1:21">
      <c r="A17" s="41">
        <f>A16+1</f>
        <v>13</v>
      </c>
      <c r="B17" s="72">
        <v>46045</v>
      </c>
      <c r="C17" s="207">
        <v>8610245</v>
      </c>
      <c r="D17" s="28">
        <v>73084485</v>
      </c>
      <c r="E17" s="29">
        <v>61.7</v>
      </c>
      <c r="F17" s="42">
        <v>520.11</v>
      </c>
      <c r="G17" s="31">
        <f>E17*F17</f>
        <v>32090.787</v>
      </c>
      <c r="H17" s="365">
        <v>46076.86</v>
      </c>
      <c r="I17" s="33">
        <f>E17*H17</f>
        <v>2842942.262</v>
      </c>
      <c r="J17" s="273" t="s">
        <v>120</v>
      </c>
      <c r="K17" s="366" t="s">
        <v>121</v>
      </c>
      <c r="L17" s="43"/>
      <c r="M17" s="44"/>
      <c r="N17" s="41"/>
      <c r="O17" s="41"/>
      <c r="P17" s="45"/>
      <c r="Q17" s="44"/>
      <c r="R17" s="41"/>
      <c r="S17" s="41"/>
      <c r="T17" s="41"/>
      <c r="U17" s="45"/>
    </row>
    <row r="18" spans="1:21">
      <c r="A18" s="41">
        <f>A17+1</f>
        <v>14</v>
      </c>
      <c r="B18" s="72">
        <v>46045</v>
      </c>
      <c r="C18" s="207">
        <v>8610245</v>
      </c>
      <c r="D18" s="28">
        <v>73090466</v>
      </c>
      <c r="E18" s="29">
        <v>61.55</v>
      </c>
      <c r="F18" s="42">
        <v>520.11</v>
      </c>
      <c r="G18" s="31">
        <f>E18*F18</f>
        <v>32012.7705</v>
      </c>
      <c r="H18" s="365">
        <v>46076.86</v>
      </c>
      <c r="I18" s="33">
        <f>E18*H18</f>
        <v>2836030.733</v>
      </c>
      <c r="J18" s="273" t="s">
        <v>120</v>
      </c>
      <c r="K18" s="366" t="s">
        <v>121</v>
      </c>
      <c r="L18" s="43"/>
      <c r="M18" s="44"/>
      <c r="N18" s="41"/>
      <c r="O18" s="41"/>
      <c r="P18" s="45"/>
      <c r="Q18" s="44"/>
      <c r="R18" s="41"/>
      <c r="S18" s="41"/>
      <c r="T18" s="41"/>
      <c r="U18" s="45"/>
    </row>
    <row r="19" spans="1:21">
      <c r="A19" s="41">
        <f>A18+1</f>
        <v>15</v>
      </c>
      <c r="B19" s="72">
        <v>46045</v>
      </c>
      <c r="C19" s="207">
        <v>8610245</v>
      </c>
      <c r="D19" s="28">
        <v>73115867</v>
      </c>
      <c r="E19" s="29">
        <v>61.75</v>
      </c>
      <c r="F19" s="42">
        <v>520.11</v>
      </c>
      <c r="G19" s="31">
        <f>E19*F19</f>
        <v>32116.7925</v>
      </c>
      <c r="H19" s="365">
        <v>46076.86</v>
      </c>
      <c r="I19" s="33">
        <f>E19*H19</f>
        <v>2845246.105</v>
      </c>
      <c r="J19" s="273" t="s">
        <v>120</v>
      </c>
      <c r="K19" s="366" t="s">
        <v>121</v>
      </c>
      <c r="L19" s="43"/>
      <c r="M19" s="44"/>
      <c r="N19" s="41"/>
      <c r="O19" s="41"/>
      <c r="P19" s="45"/>
      <c r="Q19" s="44"/>
      <c r="R19" s="41"/>
      <c r="S19" s="41"/>
      <c r="T19" s="41"/>
      <c r="U19" s="45"/>
    </row>
    <row r="20" spans="1:21">
      <c r="A20" s="41">
        <f>A19+1</f>
        <v>16</v>
      </c>
      <c r="B20" s="72">
        <v>46045</v>
      </c>
      <c r="C20" s="207">
        <v>8610245</v>
      </c>
      <c r="D20" s="28">
        <v>73173700</v>
      </c>
      <c r="E20" s="29">
        <v>61.55</v>
      </c>
      <c r="F20" s="42">
        <v>520.11</v>
      </c>
      <c r="G20" s="31">
        <f>E20*F20</f>
        <v>32012.7705</v>
      </c>
      <c r="H20" s="365">
        <v>46076.86</v>
      </c>
      <c r="I20" s="33">
        <f>E20*H20</f>
        <v>2836030.733</v>
      </c>
      <c r="J20" s="273" t="s">
        <v>120</v>
      </c>
      <c r="K20" s="366" t="s">
        <v>121</v>
      </c>
      <c r="L20" s="43"/>
      <c r="M20" s="44"/>
      <c r="N20" s="41"/>
      <c r="O20" s="41"/>
      <c r="P20" s="45"/>
      <c r="Q20" s="44"/>
      <c r="R20" s="41"/>
      <c r="S20" s="41"/>
      <c r="T20" s="41"/>
      <c r="U20" s="45"/>
    </row>
    <row r="21" spans="1:21">
      <c r="A21" s="41">
        <f>A20+1</f>
        <v>17</v>
      </c>
      <c r="B21" s="72">
        <v>46045</v>
      </c>
      <c r="C21" s="207">
        <v>8610246</v>
      </c>
      <c r="D21" s="28">
        <v>73183527</v>
      </c>
      <c r="E21" s="29">
        <v>61.55</v>
      </c>
      <c r="F21" s="42">
        <v>520.11</v>
      </c>
      <c r="G21" s="31">
        <f>E21*F21</f>
        <v>32012.7705</v>
      </c>
      <c r="H21" s="365">
        <v>46076.86</v>
      </c>
      <c r="I21" s="33">
        <f>E21*H21</f>
        <v>2836030.733</v>
      </c>
      <c r="J21" s="273" t="s">
        <v>120</v>
      </c>
      <c r="K21" s="366" t="s">
        <v>121</v>
      </c>
      <c r="L21" s="43"/>
      <c r="M21" s="44"/>
      <c r="N21" s="41"/>
      <c r="O21" s="41"/>
      <c r="P21" s="45"/>
      <c r="Q21" s="44"/>
      <c r="R21" s="72">
        <v>46054</v>
      </c>
      <c r="S21" s="41">
        <v>61.462</v>
      </c>
      <c r="T21" s="101">
        <f>S21-E21</f>
        <v>-0.0879999999999939</v>
      </c>
      <c r="U21" s="45"/>
    </row>
    <row r="22" spans="1:21">
      <c r="A22" s="41">
        <f>A21+1</f>
        <v>18</v>
      </c>
      <c r="B22" s="72">
        <v>46045</v>
      </c>
      <c r="C22" s="207">
        <v>8610246</v>
      </c>
      <c r="D22" s="28">
        <v>73187023</v>
      </c>
      <c r="E22" s="29">
        <v>61.55</v>
      </c>
      <c r="F22" s="42">
        <v>520.11</v>
      </c>
      <c r="G22" s="31">
        <f>E22*F22</f>
        <v>32012.7705</v>
      </c>
      <c r="H22" s="365">
        <v>46076.86</v>
      </c>
      <c r="I22" s="33">
        <f>E22*H22</f>
        <v>2836030.733</v>
      </c>
      <c r="J22" s="273" t="s">
        <v>120</v>
      </c>
      <c r="K22" s="366" t="s">
        <v>121</v>
      </c>
      <c r="L22" s="43"/>
      <c r="M22" s="44"/>
      <c r="N22" s="41"/>
      <c r="O22" s="41"/>
      <c r="P22" s="45"/>
      <c r="Q22" s="44"/>
      <c r="R22" s="72">
        <v>46054</v>
      </c>
      <c r="S22" s="41">
        <v>61.687</v>
      </c>
      <c r="T22" s="101">
        <f>S22-E22</f>
        <v>0.137</v>
      </c>
      <c r="U22" s="45"/>
    </row>
    <row r="23" spans="1:21">
      <c r="A23" s="41">
        <f>A22+1</f>
        <v>19</v>
      </c>
      <c r="B23" s="72">
        <v>46045</v>
      </c>
      <c r="C23" s="207">
        <v>8610246</v>
      </c>
      <c r="D23" s="28">
        <v>73205858</v>
      </c>
      <c r="E23" s="29">
        <v>61.35</v>
      </c>
      <c r="F23" s="42">
        <v>520.11</v>
      </c>
      <c r="G23" s="31">
        <f>E23*F23</f>
        <v>31908.7485</v>
      </c>
      <c r="H23" s="365">
        <v>46076.86</v>
      </c>
      <c r="I23" s="33">
        <f>E23*H23</f>
        <v>2826815.361</v>
      </c>
      <c r="J23" s="273" t="s">
        <v>120</v>
      </c>
      <c r="K23" s="366" t="s">
        <v>121</v>
      </c>
      <c r="L23" s="43"/>
      <c r="M23" s="44"/>
      <c r="N23" s="41"/>
      <c r="O23" s="41"/>
      <c r="P23" s="45"/>
      <c r="Q23" s="44"/>
      <c r="R23" s="72">
        <v>46054</v>
      </c>
      <c r="S23" s="41">
        <v>61.434</v>
      </c>
      <c r="T23" s="101">
        <f>S23-E23</f>
        <v>0.0839999999999961</v>
      </c>
      <c r="U23" s="45"/>
    </row>
    <row r="24" spans="1:21">
      <c r="A24" s="41">
        <f>A23+1</f>
        <v>20</v>
      </c>
      <c r="B24" s="72">
        <v>46045</v>
      </c>
      <c r="C24" s="207">
        <v>8610245</v>
      </c>
      <c r="D24" s="28">
        <v>73220600</v>
      </c>
      <c r="E24" s="29">
        <v>61.5</v>
      </c>
      <c r="F24" s="42">
        <v>520.11</v>
      </c>
      <c r="G24" s="31">
        <f>E24*F24</f>
        <v>31986.765</v>
      </c>
      <c r="H24" s="365">
        <v>46076.86</v>
      </c>
      <c r="I24" s="33">
        <f>E24*H24</f>
        <v>2833726.89</v>
      </c>
      <c r="J24" s="273" t="s">
        <v>120</v>
      </c>
      <c r="K24" s="366" t="s">
        <v>121</v>
      </c>
      <c r="L24" s="43"/>
      <c r="M24" s="44"/>
      <c r="N24" s="41"/>
      <c r="O24" s="41"/>
      <c r="P24" s="45"/>
      <c r="Q24" s="44"/>
      <c r="R24" s="41"/>
      <c r="S24" s="41"/>
      <c r="T24" s="41"/>
      <c r="U24" s="45"/>
    </row>
    <row r="25" spans="1:21">
      <c r="A25" s="41">
        <f>A24+1</f>
        <v>21</v>
      </c>
      <c r="B25" s="72">
        <v>46045</v>
      </c>
      <c r="C25" s="207">
        <v>8610245</v>
      </c>
      <c r="D25" s="28">
        <v>73230336</v>
      </c>
      <c r="E25" s="29">
        <v>61.7</v>
      </c>
      <c r="F25" s="42">
        <v>520.11</v>
      </c>
      <c r="G25" s="31">
        <f>E25*F25</f>
        <v>32090.787</v>
      </c>
      <c r="H25" s="365">
        <v>46076.86</v>
      </c>
      <c r="I25" s="33">
        <f>E25*H25</f>
        <v>2842942.262</v>
      </c>
      <c r="J25" s="273" t="s">
        <v>120</v>
      </c>
      <c r="K25" s="366" t="s">
        <v>121</v>
      </c>
      <c r="L25" s="43"/>
      <c r="M25" s="44"/>
      <c r="N25" s="41"/>
      <c r="O25" s="41"/>
      <c r="P25" s="45"/>
      <c r="Q25" s="44"/>
      <c r="R25" s="41"/>
      <c r="S25" s="41"/>
      <c r="T25" s="41"/>
      <c r="U25" s="45"/>
    </row>
    <row r="26" spans="1:21">
      <c r="A26" s="41">
        <f>A25+1</f>
        <v>22</v>
      </c>
      <c r="B26" s="72">
        <v>46045</v>
      </c>
      <c r="C26" s="207">
        <v>8610245</v>
      </c>
      <c r="D26" s="28">
        <v>73230377</v>
      </c>
      <c r="E26" s="29">
        <v>61.45</v>
      </c>
      <c r="F26" s="42">
        <v>520.11</v>
      </c>
      <c r="G26" s="31">
        <f>E26*F26</f>
        <v>31960.7595</v>
      </c>
      <c r="H26" s="365">
        <v>46076.86</v>
      </c>
      <c r="I26" s="33">
        <f>E26*H26</f>
        <v>2831423.047</v>
      </c>
      <c r="J26" s="273" t="s">
        <v>120</v>
      </c>
      <c r="K26" s="366" t="s">
        <v>121</v>
      </c>
      <c r="L26" s="43"/>
      <c r="M26" s="44"/>
      <c r="N26" s="41"/>
      <c r="O26" s="41"/>
      <c r="P26" s="45"/>
      <c r="Q26" s="44"/>
      <c r="R26" s="41"/>
      <c r="S26" s="41"/>
      <c r="T26" s="41"/>
      <c r="U26" s="45"/>
    </row>
    <row r="27" spans="1:21">
      <c r="A27" s="41">
        <f>A26+1</f>
        <v>23</v>
      </c>
      <c r="B27" s="72">
        <v>46045</v>
      </c>
      <c r="C27" s="207">
        <v>8610245</v>
      </c>
      <c r="D27" s="28">
        <v>73230930</v>
      </c>
      <c r="E27" s="29">
        <v>61.5</v>
      </c>
      <c r="F27" s="42">
        <v>520.11</v>
      </c>
      <c r="G27" s="31">
        <f>E27*F27</f>
        <v>31986.765</v>
      </c>
      <c r="H27" s="365">
        <v>46076.86</v>
      </c>
      <c r="I27" s="33">
        <f>E27*H27</f>
        <v>2833726.89</v>
      </c>
      <c r="J27" s="273" t="s">
        <v>120</v>
      </c>
      <c r="K27" s="366" t="s">
        <v>121</v>
      </c>
      <c r="L27" s="43"/>
      <c r="M27" s="44"/>
      <c r="N27" s="41"/>
      <c r="O27" s="41"/>
      <c r="P27" s="45"/>
      <c r="Q27" s="44"/>
      <c r="R27" s="41"/>
      <c r="S27" s="41"/>
      <c r="T27" s="41"/>
      <c r="U27" s="45"/>
    </row>
    <row r="28" spans="1:21">
      <c r="A28" s="41">
        <f>A27+1</f>
        <v>24</v>
      </c>
      <c r="B28" s="72">
        <v>46045</v>
      </c>
      <c r="C28" s="207">
        <v>8610246</v>
      </c>
      <c r="D28" s="28">
        <v>73231938</v>
      </c>
      <c r="E28" s="29">
        <v>61.35</v>
      </c>
      <c r="F28" s="42">
        <v>520.11</v>
      </c>
      <c r="G28" s="31">
        <f>E28*F28</f>
        <v>31908.7485</v>
      </c>
      <c r="H28" s="365">
        <v>46076.86</v>
      </c>
      <c r="I28" s="33">
        <f>E28*H28</f>
        <v>2826815.361</v>
      </c>
      <c r="J28" s="273" t="s">
        <v>120</v>
      </c>
      <c r="K28" s="366" t="s">
        <v>121</v>
      </c>
      <c r="L28" s="43"/>
      <c r="M28" s="44"/>
      <c r="N28" s="41"/>
      <c r="O28" s="41"/>
      <c r="P28" s="45"/>
      <c r="Q28" s="44"/>
      <c r="R28" s="72">
        <v>46054</v>
      </c>
      <c r="S28" s="41">
        <v>61.411</v>
      </c>
      <c r="T28" s="101">
        <f>S28-E28</f>
        <v>0.0609999999999999</v>
      </c>
      <c r="U28" s="45"/>
    </row>
    <row r="29" spans="1:21">
      <c r="A29" s="41">
        <f>A28+1</f>
        <v>25</v>
      </c>
      <c r="B29" s="72">
        <v>46045</v>
      </c>
      <c r="C29" s="207">
        <v>8610246</v>
      </c>
      <c r="D29" s="28">
        <v>75229518</v>
      </c>
      <c r="E29" s="29">
        <v>61.65</v>
      </c>
      <c r="F29" s="42">
        <v>520.11</v>
      </c>
      <c r="G29" s="31">
        <f>E29*F29</f>
        <v>32064.7815</v>
      </c>
      <c r="H29" s="365">
        <v>46076.86</v>
      </c>
      <c r="I29" s="33">
        <f>E29*H29</f>
        <v>2840638.419</v>
      </c>
      <c r="J29" s="273" t="s">
        <v>120</v>
      </c>
      <c r="K29" s="366" t="s">
        <v>121</v>
      </c>
      <c r="L29" s="43"/>
      <c r="M29" s="44"/>
      <c r="N29" s="41"/>
      <c r="O29" s="41"/>
      <c r="P29" s="45"/>
      <c r="Q29" s="44"/>
      <c r="R29" s="72">
        <v>46054</v>
      </c>
      <c r="S29" s="41">
        <v>61.658</v>
      </c>
      <c r="T29" s="101">
        <f>S29-E29</f>
        <v>0.00800000000000267</v>
      </c>
      <c r="U29" s="45"/>
    </row>
    <row r="30" spans="1:21">
      <c r="A30" s="41">
        <f>A29+1</f>
        <v>26</v>
      </c>
      <c r="B30" s="72">
        <v>46045</v>
      </c>
      <c r="C30" s="207">
        <v>8610246</v>
      </c>
      <c r="D30" s="28">
        <v>75256750</v>
      </c>
      <c r="E30" s="29">
        <v>61.6</v>
      </c>
      <c r="F30" s="42">
        <v>520.11</v>
      </c>
      <c r="G30" s="31">
        <f>E30*F30</f>
        <v>32038.776</v>
      </c>
      <c r="H30" s="365">
        <v>46076.86</v>
      </c>
      <c r="I30" s="33">
        <f>E30*H30</f>
        <v>2838334.576</v>
      </c>
      <c r="J30" s="273" t="s">
        <v>120</v>
      </c>
      <c r="K30" s="366" t="s">
        <v>121</v>
      </c>
      <c r="L30" s="43"/>
      <c r="M30" s="44"/>
      <c r="N30" s="41"/>
      <c r="O30" s="41"/>
      <c r="P30" s="45"/>
      <c r="Q30" s="44"/>
      <c r="R30" s="72">
        <v>46054</v>
      </c>
      <c r="S30" s="41">
        <v>61.622</v>
      </c>
      <c r="T30" s="101">
        <f>S30-E30</f>
        <v>0.0219999999999985</v>
      </c>
      <c r="U30" s="45"/>
    </row>
    <row r="31" spans="1:21">
      <c r="A31" s="41">
        <f>A30+1</f>
        <v>27</v>
      </c>
      <c r="B31" s="72">
        <v>46045</v>
      </c>
      <c r="C31" s="207">
        <v>8610246</v>
      </c>
      <c r="D31" s="28">
        <v>76322494</v>
      </c>
      <c r="E31" s="29">
        <v>61.65</v>
      </c>
      <c r="F31" s="42">
        <v>520.11</v>
      </c>
      <c r="G31" s="31">
        <f>E31*F31</f>
        <v>32064.7815</v>
      </c>
      <c r="H31" s="365">
        <v>46076.86</v>
      </c>
      <c r="I31" s="33">
        <f>E31*H31</f>
        <v>2840638.419</v>
      </c>
      <c r="J31" s="273" t="s">
        <v>120</v>
      </c>
      <c r="K31" s="366" t="s">
        <v>121</v>
      </c>
      <c r="L31" s="43"/>
      <c r="M31" s="44"/>
      <c r="N31" s="41"/>
      <c r="O31" s="41"/>
      <c r="P31" s="45"/>
      <c r="Q31" s="44"/>
      <c r="R31" s="72">
        <v>46054</v>
      </c>
      <c r="S31" s="41">
        <v>61.915</v>
      </c>
      <c r="T31" s="101">
        <f>S31-E31</f>
        <v>0.265000000000001</v>
      </c>
      <c r="U31" s="45"/>
    </row>
    <row r="32" spans="1:21">
      <c r="A32" s="41">
        <f>A31+1</f>
        <v>28</v>
      </c>
      <c r="B32" s="72">
        <v>46045</v>
      </c>
      <c r="C32" s="207">
        <v>8610245</v>
      </c>
      <c r="D32" s="28">
        <v>76351998</v>
      </c>
      <c r="E32" s="29">
        <v>61.75</v>
      </c>
      <c r="F32" s="42">
        <v>520.11</v>
      </c>
      <c r="G32" s="31">
        <f>E32*F32</f>
        <v>32116.7925</v>
      </c>
      <c r="H32" s="365">
        <v>46076.86</v>
      </c>
      <c r="I32" s="33">
        <f>E32*H32</f>
        <v>2845246.105</v>
      </c>
      <c r="J32" s="273" t="s">
        <v>120</v>
      </c>
      <c r="K32" s="366" t="s">
        <v>121</v>
      </c>
      <c r="L32" s="43"/>
      <c r="M32" s="44"/>
      <c r="N32" s="41"/>
      <c r="O32" s="41"/>
      <c r="P32" s="45"/>
      <c r="Q32" s="44"/>
      <c r="R32" s="41"/>
      <c r="S32" s="41"/>
      <c r="T32" s="41"/>
      <c r="U32" s="45"/>
    </row>
    <row r="33" spans="1:21">
      <c r="A33" s="41">
        <f>A32+1</f>
        <v>29</v>
      </c>
      <c r="B33" s="72">
        <v>46045</v>
      </c>
      <c r="C33" s="207">
        <v>8610245</v>
      </c>
      <c r="D33" s="28">
        <v>76352194</v>
      </c>
      <c r="E33" s="29">
        <v>62.1</v>
      </c>
      <c r="F33" s="42">
        <v>520.11</v>
      </c>
      <c r="G33" s="31">
        <f>E33*F33</f>
        <v>32298.831</v>
      </c>
      <c r="H33" s="365">
        <v>46076.86</v>
      </c>
      <c r="I33" s="33">
        <f>E33*H33</f>
        <v>2861373.006</v>
      </c>
      <c r="J33" s="273" t="s">
        <v>120</v>
      </c>
      <c r="K33" s="366" t="s">
        <v>121</v>
      </c>
      <c r="L33" s="43"/>
      <c r="M33" s="44"/>
      <c r="N33" s="41"/>
      <c r="O33" s="41"/>
      <c r="P33" s="45"/>
      <c r="Q33" s="44"/>
      <c r="R33" s="41"/>
      <c r="S33" s="41"/>
      <c r="T33" s="41"/>
      <c r="U33" s="45"/>
    </row>
    <row r="34" ht="15.75" spans="1:21">
      <c r="A34" s="41">
        <f>A33+1</f>
        <v>30</v>
      </c>
      <c r="B34" s="76">
        <v>46045</v>
      </c>
      <c r="C34" s="216">
        <v>8610246</v>
      </c>
      <c r="D34" s="47">
        <v>76427996</v>
      </c>
      <c r="E34" s="48">
        <v>61.85</v>
      </c>
      <c r="F34" s="42">
        <v>520.11</v>
      </c>
      <c r="G34" s="31">
        <f>E34*F34</f>
        <v>32168.8035</v>
      </c>
      <c r="H34" s="365">
        <v>46076.86</v>
      </c>
      <c r="I34" s="33">
        <f>E34*H34</f>
        <v>2849853.791</v>
      </c>
      <c r="J34" s="273" t="s">
        <v>120</v>
      </c>
      <c r="K34" s="366" t="s">
        <v>121</v>
      </c>
      <c r="L34" s="50"/>
      <c r="M34" s="75"/>
      <c r="N34" s="77"/>
      <c r="O34" s="77"/>
      <c r="P34" s="91"/>
      <c r="Q34" s="75"/>
      <c r="R34" s="76">
        <v>46054</v>
      </c>
      <c r="S34" s="77">
        <v>61.846</v>
      </c>
      <c r="T34" s="101">
        <f>S34-E34</f>
        <v>-0.00400000000000489</v>
      </c>
      <c r="U34" s="91"/>
    </row>
    <row r="35" ht="15.75" spans="1:21">
      <c r="A35" s="55"/>
      <c r="B35" s="56"/>
      <c r="C35" s="56"/>
      <c r="D35" s="56"/>
      <c r="E35" s="57">
        <f>SUM(E5:E34)</f>
        <v>1843.9</v>
      </c>
      <c r="F35" s="367"/>
      <c r="G35" s="59">
        <f>SUM(G5:G34)</f>
        <v>959030.939909091</v>
      </c>
      <c r="H35" s="56"/>
      <c r="I35" s="60">
        <f>SUM(I5:I34)</f>
        <v>84961122.154</v>
      </c>
      <c r="J35" s="56"/>
      <c r="K35" s="61"/>
      <c r="L35" s="62"/>
      <c r="M35" s="63"/>
      <c r="N35" s="64"/>
      <c r="O35" s="64"/>
      <c r="P35" s="65"/>
      <c r="Q35" s="63"/>
      <c r="R35" s="64"/>
      <c r="S35" s="64"/>
      <c r="T35" s="64"/>
      <c r="U35" s="65"/>
    </row>
    <row r="36" spans="1:21">
      <c r="A36" s="26">
        <v>31</v>
      </c>
      <c r="B36" s="96">
        <v>46046</v>
      </c>
      <c r="C36" s="221">
        <v>8610247</v>
      </c>
      <c r="D36" s="107">
        <v>58344888</v>
      </c>
      <c r="E36" s="108">
        <v>61.05</v>
      </c>
      <c r="F36" s="42">
        <v>520.11</v>
      </c>
      <c r="G36" s="31">
        <f>E36*F36</f>
        <v>31752.7155</v>
      </c>
      <c r="H36" s="365">
        <v>46076.86</v>
      </c>
      <c r="I36" s="33">
        <f>E36*H36</f>
        <v>2812992.303</v>
      </c>
      <c r="J36" s="273" t="s">
        <v>120</v>
      </c>
      <c r="K36" s="366" t="s">
        <v>121</v>
      </c>
      <c r="L36" s="368"/>
      <c r="M36" s="37"/>
      <c r="N36" s="38"/>
      <c r="O36" s="38"/>
      <c r="P36" s="39"/>
      <c r="Q36" s="40"/>
      <c r="R36" s="38"/>
      <c r="S36" s="38"/>
      <c r="T36" s="38"/>
      <c r="U36" s="39"/>
    </row>
    <row r="37" spans="1:21">
      <c r="A37" s="187">
        <f>A36+1</f>
        <v>32</v>
      </c>
      <c r="B37" s="72">
        <v>46046</v>
      </c>
      <c r="C37" s="369">
        <v>8610247</v>
      </c>
      <c r="D37" s="28">
        <v>73047516</v>
      </c>
      <c r="E37" s="29">
        <v>61.5</v>
      </c>
      <c r="F37" s="42">
        <v>520.11</v>
      </c>
      <c r="G37" s="31">
        <f>E37*F37</f>
        <v>31986.765</v>
      </c>
      <c r="H37" s="365">
        <v>46076.86</v>
      </c>
      <c r="I37" s="33">
        <f>E37*H37</f>
        <v>2833726.89</v>
      </c>
      <c r="J37" s="273" t="s">
        <v>120</v>
      </c>
      <c r="K37" s="366" t="s">
        <v>121</v>
      </c>
      <c r="L37" s="99"/>
      <c r="M37" s="44"/>
      <c r="N37" s="41"/>
      <c r="O37" s="41"/>
      <c r="P37" s="45"/>
      <c r="Q37" s="46"/>
      <c r="R37" s="41"/>
      <c r="S37" s="41"/>
      <c r="T37" s="41"/>
      <c r="U37" s="45"/>
    </row>
    <row r="38" spans="1:21">
      <c r="A38" s="187">
        <f>A37+1</f>
        <v>33</v>
      </c>
      <c r="B38" s="72">
        <v>46046</v>
      </c>
      <c r="C38" s="369">
        <v>8610247</v>
      </c>
      <c r="D38" s="28">
        <v>73080210</v>
      </c>
      <c r="E38" s="29">
        <v>61.55</v>
      </c>
      <c r="F38" s="42">
        <v>520.11</v>
      </c>
      <c r="G38" s="31">
        <f>E38*F38</f>
        <v>32012.7705</v>
      </c>
      <c r="H38" s="365">
        <v>46076.86</v>
      </c>
      <c r="I38" s="33">
        <f>E38*H38</f>
        <v>2836030.733</v>
      </c>
      <c r="J38" s="273" t="s">
        <v>120</v>
      </c>
      <c r="K38" s="366" t="s">
        <v>121</v>
      </c>
      <c r="L38" s="99"/>
      <c r="M38" s="44"/>
      <c r="N38" s="41"/>
      <c r="O38" s="41"/>
      <c r="P38" s="45"/>
      <c r="Q38" s="46"/>
      <c r="R38" s="41"/>
      <c r="S38" s="41"/>
      <c r="T38" s="41"/>
      <c r="U38" s="45"/>
    </row>
    <row r="39" spans="1:21">
      <c r="A39" s="187">
        <f>A38+1</f>
        <v>34</v>
      </c>
      <c r="B39" s="72">
        <v>46046</v>
      </c>
      <c r="C39" s="369">
        <v>8610247</v>
      </c>
      <c r="D39" s="28">
        <v>73084477</v>
      </c>
      <c r="E39" s="29">
        <v>61.65</v>
      </c>
      <c r="F39" s="42">
        <v>520.11</v>
      </c>
      <c r="G39" s="31">
        <f>E39*F39</f>
        <v>32064.7815</v>
      </c>
      <c r="H39" s="365">
        <v>46076.86</v>
      </c>
      <c r="I39" s="33">
        <f>E39*H39</f>
        <v>2840638.419</v>
      </c>
      <c r="J39" s="273" t="s">
        <v>120</v>
      </c>
      <c r="K39" s="366" t="s">
        <v>121</v>
      </c>
      <c r="L39" s="99"/>
      <c r="M39" s="44"/>
      <c r="N39" s="41"/>
      <c r="O39" s="41"/>
      <c r="P39" s="45"/>
      <c r="Q39" s="46"/>
      <c r="R39" s="41"/>
      <c r="S39" s="41"/>
      <c r="T39" s="41"/>
      <c r="U39" s="45"/>
    </row>
    <row r="40" spans="1:21">
      <c r="A40" s="187">
        <f>A39+1</f>
        <v>35</v>
      </c>
      <c r="B40" s="72">
        <v>46046</v>
      </c>
      <c r="C40" s="369">
        <v>8610247</v>
      </c>
      <c r="D40" s="28">
        <v>73086019</v>
      </c>
      <c r="E40" s="29">
        <v>61.7</v>
      </c>
      <c r="F40" s="42">
        <v>520.11</v>
      </c>
      <c r="G40" s="31">
        <f>E40*F40</f>
        <v>32090.787</v>
      </c>
      <c r="H40" s="365">
        <v>46076.86</v>
      </c>
      <c r="I40" s="33">
        <f>E40*H40</f>
        <v>2842942.262</v>
      </c>
      <c r="J40" s="273" t="s">
        <v>120</v>
      </c>
      <c r="K40" s="366" t="s">
        <v>121</v>
      </c>
      <c r="L40" s="99"/>
      <c r="M40" s="44"/>
      <c r="N40" s="41"/>
      <c r="O40" s="41"/>
      <c r="P40" s="45"/>
      <c r="Q40" s="46"/>
      <c r="R40" s="41"/>
      <c r="S40" s="41"/>
      <c r="T40" s="41"/>
      <c r="U40" s="45"/>
    </row>
    <row r="41" spans="1:21">
      <c r="A41" s="187">
        <f>A40+1</f>
        <v>36</v>
      </c>
      <c r="B41" s="72">
        <v>46046</v>
      </c>
      <c r="C41" s="369">
        <v>8610247</v>
      </c>
      <c r="D41" s="28">
        <v>73156507</v>
      </c>
      <c r="E41" s="29">
        <v>61.75</v>
      </c>
      <c r="F41" s="42">
        <v>520.11</v>
      </c>
      <c r="G41" s="31">
        <f>E41*F41</f>
        <v>32116.7925</v>
      </c>
      <c r="H41" s="365">
        <v>46076.86</v>
      </c>
      <c r="I41" s="33">
        <f>E41*H41</f>
        <v>2845246.105</v>
      </c>
      <c r="J41" s="273" t="s">
        <v>120</v>
      </c>
      <c r="K41" s="366" t="s">
        <v>121</v>
      </c>
      <c r="L41" s="99"/>
      <c r="M41" s="44"/>
      <c r="N41" s="41"/>
      <c r="O41" s="41"/>
      <c r="P41" s="45"/>
      <c r="Q41" s="46"/>
      <c r="R41" s="41"/>
      <c r="S41" s="41"/>
      <c r="T41" s="41"/>
      <c r="U41" s="45"/>
    </row>
    <row r="42" spans="1:21">
      <c r="A42" s="187">
        <f>A41+1</f>
        <v>37</v>
      </c>
      <c r="B42" s="72">
        <v>46046</v>
      </c>
      <c r="C42" s="369">
        <v>8610247</v>
      </c>
      <c r="D42" s="28">
        <v>73163081</v>
      </c>
      <c r="E42" s="29">
        <v>61.5</v>
      </c>
      <c r="F42" s="42">
        <v>520.11</v>
      </c>
      <c r="G42" s="31">
        <f>E42*F42</f>
        <v>31986.765</v>
      </c>
      <c r="H42" s="365">
        <v>46076.86</v>
      </c>
      <c r="I42" s="33">
        <f>E42*H42</f>
        <v>2833726.89</v>
      </c>
      <c r="J42" s="273" t="s">
        <v>120</v>
      </c>
      <c r="K42" s="366" t="s">
        <v>121</v>
      </c>
      <c r="L42" s="99"/>
      <c r="M42" s="44"/>
      <c r="N42" s="41"/>
      <c r="O42" s="41"/>
      <c r="P42" s="45"/>
      <c r="Q42" s="46"/>
      <c r="R42" s="41"/>
      <c r="S42" s="41"/>
      <c r="T42" s="41"/>
      <c r="U42" s="45"/>
    </row>
    <row r="43" spans="1:21">
      <c r="A43" s="187">
        <f>A42+1</f>
        <v>38</v>
      </c>
      <c r="B43" s="72">
        <v>46046</v>
      </c>
      <c r="C43" s="369">
        <v>8610247</v>
      </c>
      <c r="D43" s="28">
        <v>73224172</v>
      </c>
      <c r="E43" s="29">
        <v>61.6</v>
      </c>
      <c r="F43" s="42">
        <v>520.11</v>
      </c>
      <c r="G43" s="31">
        <f>E43*F43</f>
        <v>32038.776</v>
      </c>
      <c r="H43" s="365">
        <v>46076.86</v>
      </c>
      <c r="I43" s="33">
        <f>E43*H43</f>
        <v>2838334.576</v>
      </c>
      <c r="J43" s="273" t="s">
        <v>120</v>
      </c>
      <c r="K43" s="366" t="s">
        <v>121</v>
      </c>
      <c r="L43" s="99"/>
      <c r="M43" s="44"/>
      <c r="N43" s="41"/>
      <c r="O43" s="41"/>
      <c r="P43" s="45"/>
      <c r="Q43" s="46"/>
      <c r="R43" s="41"/>
      <c r="S43" s="41"/>
      <c r="T43" s="41"/>
      <c r="U43" s="45"/>
    </row>
    <row r="44" ht="15.75" spans="1:21">
      <c r="A44" s="75">
        <f>A43+1</f>
        <v>39</v>
      </c>
      <c r="B44" s="96">
        <v>46046</v>
      </c>
      <c r="C44" s="216">
        <v>8610247</v>
      </c>
      <c r="D44" s="47">
        <v>73235731</v>
      </c>
      <c r="E44" s="48">
        <v>61.55</v>
      </c>
      <c r="F44" s="42">
        <v>520.11</v>
      </c>
      <c r="G44" s="79">
        <f>E44*F44</f>
        <v>32012.7705</v>
      </c>
      <c r="H44" s="365">
        <v>46076.86</v>
      </c>
      <c r="I44" s="33">
        <f>E44*H44</f>
        <v>2836030.733</v>
      </c>
      <c r="J44" s="273" t="s">
        <v>120</v>
      </c>
      <c r="K44" s="366" t="s">
        <v>121</v>
      </c>
      <c r="L44" s="278"/>
      <c r="M44" s="51"/>
      <c r="N44" s="52"/>
      <c r="O44" s="52"/>
      <c r="P44" s="53"/>
      <c r="Q44" s="54"/>
      <c r="R44" s="52"/>
      <c r="S44" s="52"/>
      <c r="T44" s="52"/>
      <c r="U44" s="53"/>
    </row>
    <row r="45" ht="15.75" spans="1:21">
      <c r="A45" s="55"/>
      <c r="B45" s="56"/>
      <c r="C45" s="56"/>
      <c r="D45" s="56"/>
      <c r="E45" s="370">
        <f>SUM(E36:E44)</f>
        <v>553.85</v>
      </c>
      <c r="F45" s="367"/>
      <c r="G45" s="59">
        <f>SUM(G36:G44)</f>
        <v>288062.9235</v>
      </c>
      <c r="H45" s="56"/>
      <c r="I45" s="60">
        <f>SUM(I36:I44)</f>
        <v>25519668.911</v>
      </c>
      <c r="J45" s="56"/>
      <c r="K45" s="61"/>
      <c r="L45" s="84"/>
      <c r="M45" s="85"/>
      <c r="N45" s="86"/>
      <c r="O45" s="86"/>
      <c r="P45" s="87"/>
      <c r="Q45" s="88"/>
      <c r="R45" s="86"/>
      <c r="S45" s="86"/>
      <c r="T45" s="86"/>
      <c r="U45" s="87"/>
    </row>
    <row r="46" spans="1:21">
      <c r="A46" s="26">
        <v>40</v>
      </c>
      <c r="B46" s="27">
        <v>46046</v>
      </c>
      <c r="C46" s="221">
        <v>8610312</v>
      </c>
      <c r="D46" s="107">
        <v>54256235</v>
      </c>
      <c r="E46" s="108">
        <v>60.9</v>
      </c>
      <c r="F46" s="42">
        <v>520.11</v>
      </c>
      <c r="G46" s="31">
        <f>E46*F46</f>
        <v>31674.699</v>
      </c>
      <c r="H46" s="365">
        <v>46076.86</v>
      </c>
      <c r="I46" s="33">
        <f>E46*H46</f>
        <v>2806080.774</v>
      </c>
      <c r="J46" s="273" t="s">
        <v>120</v>
      </c>
      <c r="K46" s="366" t="s">
        <v>121</v>
      </c>
      <c r="L46" s="36"/>
      <c r="M46" s="37"/>
      <c r="N46" s="38"/>
      <c r="O46" s="38"/>
      <c r="P46" s="39"/>
      <c r="Q46" s="37"/>
      <c r="R46" s="38"/>
      <c r="S46" s="38"/>
      <c r="T46" s="38"/>
      <c r="U46" s="39"/>
    </row>
    <row r="47" spans="1:21">
      <c r="A47" s="44">
        <f>A46+1</f>
        <v>41</v>
      </c>
      <c r="B47" s="72">
        <v>46046</v>
      </c>
      <c r="C47" s="207">
        <v>8610312</v>
      </c>
      <c r="D47" s="28">
        <v>73087058</v>
      </c>
      <c r="E47" s="29">
        <v>61.4</v>
      </c>
      <c r="F47" s="42">
        <v>520.11</v>
      </c>
      <c r="G47" s="31">
        <f>E47*F47</f>
        <v>31934.754</v>
      </c>
      <c r="H47" s="365">
        <v>46076.86</v>
      </c>
      <c r="I47" s="33">
        <f>E47*H47</f>
        <v>2829119.204</v>
      </c>
      <c r="J47" s="273" t="s">
        <v>120</v>
      </c>
      <c r="K47" s="366" t="s">
        <v>121</v>
      </c>
      <c r="L47" s="43"/>
      <c r="M47" s="44"/>
      <c r="N47" s="41"/>
      <c r="O47" s="41"/>
      <c r="P47" s="45"/>
      <c r="Q47" s="44"/>
      <c r="R47" s="41"/>
      <c r="S47" s="41"/>
      <c r="T47" s="41"/>
      <c r="U47" s="45"/>
    </row>
    <row r="48" spans="1:21">
      <c r="A48" s="44">
        <f>A47+1</f>
        <v>42</v>
      </c>
      <c r="B48" s="72">
        <v>46046</v>
      </c>
      <c r="C48" s="207">
        <v>8610312</v>
      </c>
      <c r="D48" s="28">
        <v>73090839</v>
      </c>
      <c r="E48" s="29">
        <v>61.4</v>
      </c>
      <c r="F48" s="42">
        <v>520.11</v>
      </c>
      <c r="G48" s="31">
        <f>E48*F48</f>
        <v>31934.754</v>
      </c>
      <c r="H48" s="365">
        <v>46076.86</v>
      </c>
      <c r="I48" s="33">
        <f>E48*H48</f>
        <v>2829119.204</v>
      </c>
      <c r="J48" s="273" t="s">
        <v>120</v>
      </c>
      <c r="K48" s="366" t="s">
        <v>121</v>
      </c>
      <c r="L48" s="43"/>
      <c r="M48" s="44"/>
      <c r="N48" s="41"/>
      <c r="O48" s="41"/>
      <c r="P48" s="45"/>
      <c r="Q48" s="44"/>
      <c r="R48" s="41"/>
      <c r="S48" s="41"/>
      <c r="T48" s="41"/>
      <c r="U48" s="45"/>
    </row>
    <row r="49" spans="1:21">
      <c r="A49" s="44">
        <f>A48+1</f>
        <v>43</v>
      </c>
      <c r="B49" s="72">
        <v>46046</v>
      </c>
      <c r="C49" s="207">
        <v>8610312</v>
      </c>
      <c r="D49" s="28">
        <v>73228025</v>
      </c>
      <c r="E49" s="29">
        <v>61.55</v>
      </c>
      <c r="F49" s="42">
        <v>520.11</v>
      </c>
      <c r="G49" s="31">
        <f>E49*F49</f>
        <v>32012.7705</v>
      </c>
      <c r="H49" s="365">
        <v>46076.86</v>
      </c>
      <c r="I49" s="33">
        <f>E49*H49</f>
        <v>2836030.733</v>
      </c>
      <c r="J49" s="273" t="s">
        <v>120</v>
      </c>
      <c r="K49" s="366" t="s">
        <v>121</v>
      </c>
      <c r="L49" s="43"/>
      <c r="M49" s="44"/>
      <c r="N49" s="41"/>
      <c r="O49" s="41"/>
      <c r="P49" s="45"/>
      <c r="Q49" s="44"/>
      <c r="R49" s="41"/>
      <c r="S49" s="41"/>
      <c r="T49" s="41"/>
      <c r="U49" s="45"/>
    </row>
    <row r="50" spans="1:21">
      <c r="A50" s="44">
        <f>A49+1</f>
        <v>44</v>
      </c>
      <c r="B50" s="72">
        <v>46046</v>
      </c>
      <c r="C50" s="207">
        <v>8610312</v>
      </c>
      <c r="D50" s="28">
        <v>73228702</v>
      </c>
      <c r="E50" s="29">
        <v>61.45</v>
      </c>
      <c r="F50" s="42">
        <v>520.11</v>
      </c>
      <c r="G50" s="31">
        <f>E50*F50</f>
        <v>31960.7595</v>
      </c>
      <c r="H50" s="365">
        <v>46076.86</v>
      </c>
      <c r="I50" s="33">
        <f>E50*H50</f>
        <v>2831423.047</v>
      </c>
      <c r="J50" s="273" t="s">
        <v>120</v>
      </c>
      <c r="K50" s="366" t="s">
        <v>121</v>
      </c>
      <c r="L50" s="43"/>
      <c r="M50" s="44"/>
      <c r="N50" s="41"/>
      <c r="O50" s="41"/>
      <c r="P50" s="45"/>
      <c r="Q50" s="44"/>
      <c r="R50" s="41"/>
      <c r="S50" s="41"/>
      <c r="T50" s="41"/>
      <c r="U50" s="45"/>
    </row>
    <row r="51" ht="15.75" spans="1:21">
      <c r="A51" s="75">
        <f>A50+1</f>
        <v>45</v>
      </c>
      <c r="B51" s="76">
        <v>46046</v>
      </c>
      <c r="C51" s="216">
        <v>8610312</v>
      </c>
      <c r="D51" s="47">
        <v>76163096</v>
      </c>
      <c r="E51" s="48">
        <v>61.65</v>
      </c>
      <c r="F51" s="42">
        <v>520.11</v>
      </c>
      <c r="G51" s="79">
        <f>E51*F51</f>
        <v>32064.7815</v>
      </c>
      <c r="H51" s="371">
        <v>46076.86</v>
      </c>
      <c r="I51" s="80">
        <f>E51*H51</f>
        <v>2840638.419</v>
      </c>
      <c r="J51" s="273" t="s">
        <v>120</v>
      </c>
      <c r="K51" s="366" t="s">
        <v>121</v>
      </c>
      <c r="L51" s="83"/>
      <c r="M51" s="51"/>
      <c r="N51" s="52"/>
      <c r="O51" s="52"/>
      <c r="P51" s="53"/>
      <c r="Q51" s="51"/>
      <c r="R51" s="52"/>
      <c r="S51" s="52"/>
      <c r="T51" s="52"/>
      <c r="U51" s="53"/>
    </row>
    <row r="52" ht="15.75" spans="1:21">
      <c r="A52" s="55"/>
      <c r="B52" s="56"/>
      <c r="C52" s="56"/>
      <c r="D52" s="56"/>
      <c r="E52" s="370">
        <f>SUM(E46:E51)</f>
        <v>368.35</v>
      </c>
      <c r="F52" s="367"/>
      <c r="G52" s="59">
        <f>SUM(G46:G51)</f>
        <v>191582.5185</v>
      </c>
      <c r="H52" s="56"/>
      <c r="I52" s="60">
        <f>SUM(I46:I51)</f>
        <v>16972411.381</v>
      </c>
      <c r="J52" s="56"/>
      <c r="K52" s="61"/>
      <c r="L52" s="84"/>
      <c r="M52" s="85"/>
      <c r="N52" s="86"/>
      <c r="O52" s="86"/>
      <c r="P52" s="87"/>
      <c r="Q52" s="88"/>
      <c r="R52" s="86"/>
      <c r="S52" s="86"/>
      <c r="T52" s="86"/>
      <c r="U52" s="87"/>
    </row>
    <row r="53" spans="1:21">
      <c r="A53" s="26">
        <v>46</v>
      </c>
      <c r="B53" s="27">
        <v>46047</v>
      </c>
      <c r="C53" s="221">
        <v>8610366</v>
      </c>
      <c r="D53" s="107">
        <v>73109258</v>
      </c>
      <c r="E53" s="108">
        <v>61.05</v>
      </c>
      <c r="F53" s="42">
        <v>520.11</v>
      </c>
      <c r="G53" s="31">
        <f>E53*F53</f>
        <v>31752.7155</v>
      </c>
      <c r="H53" s="365">
        <v>46076.86</v>
      </c>
      <c r="I53" s="33">
        <f>E53*H53</f>
        <v>2812992.303</v>
      </c>
      <c r="J53" s="273" t="s">
        <v>120</v>
      </c>
      <c r="K53" s="366" t="s">
        <v>121</v>
      </c>
      <c r="L53" s="36"/>
      <c r="M53" s="40"/>
      <c r="N53" s="38"/>
      <c r="O53" s="38"/>
      <c r="P53" s="39"/>
      <c r="Q53" s="37"/>
      <c r="R53" s="38"/>
      <c r="S53" s="38"/>
      <c r="T53" s="38"/>
      <c r="U53" s="39"/>
    </row>
    <row r="54" spans="1:21">
      <c r="A54" s="44">
        <f>A53+1</f>
        <v>47</v>
      </c>
      <c r="B54" s="72">
        <v>46047</v>
      </c>
      <c r="C54" s="207">
        <v>8610368</v>
      </c>
      <c r="D54" s="28">
        <v>75004267</v>
      </c>
      <c r="E54" s="29">
        <v>61.55</v>
      </c>
      <c r="F54" s="42">
        <v>520.11</v>
      </c>
      <c r="G54" s="31">
        <f>E54*F54</f>
        <v>32012.7705</v>
      </c>
      <c r="H54" s="365">
        <v>46076.86</v>
      </c>
      <c r="I54" s="33">
        <f>E54*H54</f>
        <v>2836030.733</v>
      </c>
      <c r="J54" s="273" t="s">
        <v>120</v>
      </c>
      <c r="K54" s="366" t="s">
        <v>121</v>
      </c>
      <c r="L54" s="43"/>
      <c r="M54" s="46"/>
      <c r="N54" s="41"/>
      <c r="O54" s="41"/>
      <c r="P54" s="45"/>
      <c r="Q54" s="44"/>
      <c r="R54" s="41"/>
      <c r="S54" s="41"/>
      <c r="T54" s="41"/>
      <c r="U54" s="45"/>
    </row>
    <row r="55" ht="15.75" spans="1:21">
      <c r="A55" s="75">
        <f>A54+1</f>
        <v>48</v>
      </c>
      <c r="B55" s="76">
        <v>46047</v>
      </c>
      <c r="C55" s="216">
        <v>8610367</v>
      </c>
      <c r="D55" s="47">
        <v>75788695</v>
      </c>
      <c r="E55" s="48">
        <v>61.1</v>
      </c>
      <c r="F55" s="42">
        <v>520.11</v>
      </c>
      <c r="G55" s="79">
        <f>E55*F55</f>
        <v>31778.721</v>
      </c>
      <c r="H55" s="371">
        <v>46076.86</v>
      </c>
      <c r="I55" s="80">
        <f>E55*H55</f>
        <v>2815296.146</v>
      </c>
      <c r="J55" s="273" t="s">
        <v>120</v>
      </c>
      <c r="K55" s="366" t="s">
        <v>121</v>
      </c>
      <c r="L55" s="83"/>
      <c r="M55" s="54"/>
      <c r="N55" s="52"/>
      <c r="O55" s="52"/>
      <c r="P55" s="53"/>
      <c r="Q55" s="51"/>
      <c r="R55" s="52"/>
      <c r="S55" s="52"/>
      <c r="T55" s="52"/>
      <c r="U55" s="53"/>
    </row>
    <row r="56" ht="15.75" spans="1:21">
      <c r="A56" s="55"/>
      <c r="B56" s="56"/>
      <c r="C56" s="56"/>
      <c r="D56" s="56"/>
      <c r="E56" s="370">
        <f>SUM(E53:E55)</f>
        <v>183.7</v>
      </c>
      <c r="F56" s="367"/>
      <c r="G56" s="59">
        <f>SUM(G53:G55)</f>
        <v>95544.207</v>
      </c>
      <c r="H56" s="56"/>
      <c r="I56" s="60">
        <f>SUM(I53:I55)</f>
        <v>8464319.182</v>
      </c>
      <c r="J56" s="56"/>
      <c r="K56" s="61"/>
      <c r="L56" s="84"/>
      <c r="M56" s="85"/>
      <c r="N56" s="86"/>
      <c r="O56" s="86"/>
      <c r="P56" s="87"/>
      <c r="Q56" s="88"/>
      <c r="R56" s="86"/>
      <c r="S56" s="86"/>
      <c r="T56" s="86"/>
      <c r="U56" s="87"/>
    </row>
    <row r="57" spans="1:21">
      <c r="A57" s="26">
        <v>49</v>
      </c>
      <c r="B57" s="27">
        <v>46048</v>
      </c>
      <c r="C57" s="221">
        <v>8610402</v>
      </c>
      <c r="D57" s="107">
        <v>73010704</v>
      </c>
      <c r="E57" s="108">
        <v>61.4</v>
      </c>
      <c r="F57" s="42">
        <v>520.11</v>
      </c>
      <c r="G57" s="31">
        <f>E57*F57</f>
        <v>31934.754</v>
      </c>
      <c r="H57" s="365">
        <v>46076.86</v>
      </c>
      <c r="I57" s="33">
        <f>E57*H57</f>
        <v>2829119.204</v>
      </c>
      <c r="J57" s="273" t="s">
        <v>120</v>
      </c>
      <c r="K57" s="366" t="s">
        <v>121</v>
      </c>
      <c r="L57" s="36"/>
      <c r="M57" s="37"/>
      <c r="N57" s="38"/>
      <c r="O57" s="38"/>
      <c r="P57" s="39"/>
      <c r="Q57" s="37"/>
      <c r="R57" s="38"/>
      <c r="S57" s="38"/>
      <c r="T57" s="38"/>
      <c r="U57" s="39"/>
    </row>
    <row r="58" spans="1:21">
      <c r="A58" s="44">
        <f>A57+1</f>
        <v>50</v>
      </c>
      <c r="B58" s="72">
        <v>46048</v>
      </c>
      <c r="C58" s="207">
        <v>8610402</v>
      </c>
      <c r="D58" s="28">
        <v>73098402</v>
      </c>
      <c r="E58" s="29">
        <v>61.45</v>
      </c>
      <c r="F58" s="42">
        <v>520.11</v>
      </c>
      <c r="G58" s="31">
        <f>E58*F58</f>
        <v>31960.7595</v>
      </c>
      <c r="H58" s="365">
        <v>46076.86</v>
      </c>
      <c r="I58" s="33">
        <f>E58*H58</f>
        <v>2831423.047</v>
      </c>
      <c r="J58" s="273" t="s">
        <v>120</v>
      </c>
      <c r="K58" s="366" t="s">
        <v>121</v>
      </c>
      <c r="L58" s="43"/>
      <c r="M58" s="44"/>
      <c r="N58" s="41"/>
      <c r="O58" s="41"/>
      <c r="P58" s="45"/>
      <c r="Q58" s="44"/>
      <c r="R58" s="41"/>
      <c r="S58" s="41"/>
      <c r="T58" s="41"/>
      <c r="U58" s="45"/>
    </row>
    <row r="59" spans="1:21">
      <c r="A59" s="44">
        <f>A58+1</f>
        <v>51</v>
      </c>
      <c r="B59" s="72">
        <v>46048</v>
      </c>
      <c r="C59" s="207">
        <v>8610402</v>
      </c>
      <c r="D59" s="28">
        <v>73157604</v>
      </c>
      <c r="E59" s="29">
        <v>61.4</v>
      </c>
      <c r="F59" s="42">
        <v>520.11</v>
      </c>
      <c r="G59" s="31">
        <f>E59*F59</f>
        <v>31934.754</v>
      </c>
      <c r="H59" s="365">
        <v>46076.86</v>
      </c>
      <c r="I59" s="33">
        <f>E59*H59</f>
        <v>2829119.204</v>
      </c>
      <c r="J59" s="273" t="s">
        <v>120</v>
      </c>
      <c r="K59" s="366" t="s">
        <v>121</v>
      </c>
      <c r="L59" s="43"/>
      <c r="M59" s="44"/>
      <c r="N59" s="41"/>
      <c r="O59" s="41"/>
      <c r="P59" s="45"/>
      <c r="Q59" s="44"/>
      <c r="R59" s="41"/>
      <c r="S59" s="41"/>
      <c r="T59" s="41"/>
      <c r="U59" s="45"/>
    </row>
    <row r="60" spans="1:21">
      <c r="A60" s="44">
        <f>A59+1</f>
        <v>52</v>
      </c>
      <c r="B60" s="72">
        <v>46048</v>
      </c>
      <c r="C60" s="207">
        <v>8610402</v>
      </c>
      <c r="D60" s="28">
        <v>73228207</v>
      </c>
      <c r="E60" s="29">
        <v>61.4</v>
      </c>
      <c r="F60" s="42">
        <v>520.11</v>
      </c>
      <c r="G60" s="31">
        <f>E60*F60</f>
        <v>31934.754</v>
      </c>
      <c r="H60" s="365">
        <v>46076.86</v>
      </c>
      <c r="I60" s="33">
        <f>E60*H60</f>
        <v>2829119.204</v>
      </c>
      <c r="J60" s="273" t="s">
        <v>120</v>
      </c>
      <c r="K60" s="366" t="s">
        <v>121</v>
      </c>
      <c r="L60" s="43"/>
      <c r="M60" s="44"/>
      <c r="N60" s="41"/>
      <c r="O60" s="41"/>
      <c r="P60" s="45"/>
      <c r="Q60" s="44"/>
      <c r="R60" s="41"/>
      <c r="S60" s="41"/>
      <c r="T60" s="41"/>
      <c r="U60" s="45"/>
    </row>
    <row r="61" ht="15.75" spans="1:21">
      <c r="A61" s="75">
        <f>A60+1</f>
        <v>53</v>
      </c>
      <c r="B61" s="76">
        <v>46048</v>
      </c>
      <c r="C61" s="216">
        <v>8610402</v>
      </c>
      <c r="D61" s="47">
        <v>73228454</v>
      </c>
      <c r="E61" s="48">
        <v>61.35</v>
      </c>
      <c r="F61" s="42">
        <v>520.11</v>
      </c>
      <c r="G61" s="79">
        <f>E61*F61</f>
        <v>31908.7485</v>
      </c>
      <c r="H61" s="371">
        <v>46076.86</v>
      </c>
      <c r="I61" s="80">
        <f>E61*H61</f>
        <v>2826815.361</v>
      </c>
      <c r="J61" s="273" t="s">
        <v>120</v>
      </c>
      <c r="K61" s="366" t="s">
        <v>121</v>
      </c>
      <c r="L61" s="83"/>
      <c r="M61" s="51"/>
      <c r="N61" s="52"/>
      <c r="O61" s="52"/>
      <c r="P61" s="53"/>
      <c r="Q61" s="51"/>
      <c r="R61" s="52"/>
      <c r="S61" s="52"/>
      <c r="T61" s="52"/>
      <c r="U61" s="53"/>
    </row>
    <row r="62" ht="15.75" spans="1:21">
      <c r="A62" s="55"/>
      <c r="B62" s="56"/>
      <c r="C62" s="56"/>
      <c r="D62" s="56"/>
      <c r="E62" s="370">
        <f>SUM(E57:E61)</f>
        <v>307</v>
      </c>
      <c r="F62" s="367"/>
      <c r="G62" s="59">
        <f>SUM(G57:G61)</f>
        <v>159673.77</v>
      </c>
      <c r="H62" s="56"/>
      <c r="I62" s="60">
        <f>SUM(I57:I61)</f>
        <v>14145596.02</v>
      </c>
      <c r="J62" s="56"/>
      <c r="K62" s="61"/>
      <c r="L62" s="131"/>
      <c r="M62" s="255"/>
      <c r="N62" s="256"/>
      <c r="O62" s="256"/>
      <c r="P62" s="372"/>
      <c r="Q62" s="373"/>
      <c r="R62" s="256"/>
      <c r="S62" s="256"/>
      <c r="T62" s="256"/>
      <c r="U62" s="372"/>
    </row>
    <row r="63" ht="15.75" spans="1:21">
      <c r="A63" s="374">
        <v>54</v>
      </c>
      <c r="B63" s="375">
        <v>46050</v>
      </c>
      <c r="C63" s="207">
        <v>8610487</v>
      </c>
      <c r="D63" s="28">
        <v>73227845</v>
      </c>
      <c r="E63" s="29">
        <v>60.65</v>
      </c>
      <c r="F63" s="42">
        <v>520.11</v>
      </c>
      <c r="G63" s="31">
        <f>E63*F63</f>
        <v>31544.6715</v>
      </c>
      <c r="H63" s="365">
        <v>46076.86</v>
      </c>
      <c r="I63" s="33">
        <f>E63*H63</f>
        <v>2794561.559</v>
      </c>
      <c r="J63" s="273" t="s">
        <v>120</v>
      </c>
      <c r="K63" s="366" t="s">
        <v>121</v>
      </c>
      <c r="L63" s="167"/>
      <c r="M63" s="176"/>
      <c r="N63" s="169"/>
      <c r="O63" s="169"/>
      <c r="P63" s="170"/>
      <c r="Q63" s="168"/>
      <c r="R63" s="169"/>
      <c r="S63" s="169"/>
      <c r="T63" s="169"/>
      <c r="U63" s="170"/>
    </row>
    <row r="64" ht="15.75" spans="1:21">
      <c r="A64" s="55"/>
      <c r="B64" s="56"/>
      <c r="C64" s="56"/>
      <c r="D64" s="56"/>
      <c r="E64" s="370">
        <f>E63</f>
        <v>60.65</v>
      </c>
      <c r="F64" s="367"/>
      <c r="G64" s="59">
        <f>G63</f>
        <v>31544.6715</v>
      </c>
      <c r="H64" s="56"/>
      <c r="I64" s="60">
        <f>I63</f>
        <v>2794561.559</v>
      </c>
      <c r="J64" s="56"/>
      <c r="K64" s="61"/>
      <c r="L64" s="84"/>
      <c r="M64" s="85"/>
      <c r="N64" s="86"/>
      <c r="O64" s="86"/>
      <c r="P64" s="87"/>
      <c r="Q64" s="88"/>
      <c r="R64" s="86"/>
      <c r="S64" s="86"/>
      <c r="T64" s="86"/>
      <c r="U64" s="87"/>
    </row>
    <row r="65" spans="1:21">
      <c r="A65" s="26">
        <v>55</v>
      </c>
      <c r="B65" s="27">
        <v>46052</v>
      </c>
      <c r="C65" s="221">
        <v>8610564</v>
      </c>
      <c r="D65" s="107">
        <v>50409713</v>
      </c>
      <c r="E65" s="108">
        <v>61.35</v>
      </c>
      <c r="F65" s="42">
        <v>520.11</v>
      </c>
      <c r="G65" s="31">
        <f>E65*F65</f>
        <v>31908.7485</v>
      </c>
      <c r="H65" s="365">
        <v>46076.86</v>
      </c>
      <c r="I65" s="33">
        <f>E65*H65</f>
        <v>2826815.361</v>
      </c>
      <c r="J65" s="301" t="s">
        <v>120</v>
      </c>
      <c r="K65" s="302" t="s">
        <v>121</v>
      </c>
      <c r="L65" s="36"/>
      <c r="M65" s="37"/>
      <c r="N65" s="38"/>
      <c r="O65" s="38"/>
      <c r="P65" s="39"/>
      <c r="Q65" s="37"/>
      <c r="R65" s="38"/>
      <c r="S65" s="38"/>
      <c r="T65" s="38"/>
      <c r="U65" s="39"/>
    </row>
    <row r="66" spans="1:21">
      <c r="A66" s="44">
        <f>A65+1</f>
        <v>56</v>
      </c>
      <c r="B66" s="72">
        <v>46052</v>
      </c>
      <c r="C66" s="207">
        <v>8610565</v>
      </c>
      <c r="D66" s="28">
        <v>50774330</v>
      </c>
      <c r="E66" s="29">
        <v>52.95</v>
      </c>
      <c r="F66" s="42">
        <v>520.11</v>
      </c>
      <c r="G66" s="31">
        <f>E66*F66</f>
        <v>27539.8245</v>
      </c>
      <c r="H66" s="365">
        <v>46076.86</v>
      </c>
      <c r="I66" s="33">
        <f>E66*H66</f>
        <v>2439769.737</v>
      </c>
      <c r="J66" s="273" t="s">
        <v>120</v>
      </c>
      <c r="K66" s="274" t="s">
        <v>121</v>
      </c>
      <c r="L66" s="43"/>
      <c r="M66" s="44"/>
      <c r="N66" s="41"/>
      <c r="O66" s="41"/>
      <c r="P66" s="45"/>
      <c r="Q66" s="44"/>
      <c r="R66" s="41"/>
      <c r="S66" s="41"/>
      <c r="T66" s="41"/>
      <c r="U66" s="45"/>
    </row>
    <row r="67" spans="1:21">
      <c r="A67" s="44">
        <f>A66+1</f>
        <v>57</v>
      </c>
      <c r="B67" s="72">
        <v>46052</v>
      </c>
      <c r="C67" s="207">
        <v>8610565</v>
      </c>
      <c r="D67" s="28">
        <v>53901732</v>
      </c>
      <c r="E67" s="29">
        <v>51.95</v>
      </c>
      <c r="F67" s="42">
        <v>520.11</v>
      </c>
      <c r="G67" s="31">
        <f>E67*F67</f>
        <v>27019.7145</v>
      </c>
      <c r="H67" s="365">
        <v>46076.86</v>
      </c>
      <c r="I67" s="33">
        <f>E67*H67</f>
        <v>2393692.877</v>
      </c>
      <c r="J67" s="273" t="s">
        <v>120</v>
      </c>
      <c r="K67" s="274" t="s">
        <v>121</v>
      </c>
      <c r="L67" s="43"/>
      <c r="M67" s="44"/>
      <c r="N67" s="41"/>
      <c r="O67" s="41"/>
      <c r="P67" s="45"/>
      <c r="Q67" s="44"/>
      <c r="R67" s="41"/>
      <c r="S67" s="41"/>
      <c r="T67" s="41"/>
      <c r="U67" s="45"/>
    </row>
    <row r="68" spans="1:21">
      <c r="A68" s="44">
        <f>A67+1</f>
        <v>58</v>
      </c>
      <c r="B68" s="72">
        <v>46052</v>
      </c>
      <c r="C68" s="207">
        <v>8610565</v>
      </c>
      <c r="D68" s="28">
        <v>54244066</v>
      </c>
      <c r="E68" s="29">
        <v>61.7</v>
      </c>
      <c r="F68" s="42">
        <v>520.11</v>
      </c>
      <c r="G68" s="31">
        <f>E68*F68</f>
        <v>32090.787</v>
      </c>
      <c r="H68" s="365">
        <v>46076.86</v>
      </c>
      <c r="I68" s="33">
        <f>E68*H68</f>
        <v>2842942.262</v>
      </c>
      <c r="J68" s="273" t="s">
        <v>120</v>
      </c>
      <c r="K68" s="274" t="s">
        <v>121</v>
      </c>
      <c r="L68" s="43"/>
      <c r="M68" s="44"/>
      <c r="N68" s="41"/>
      <c r="O68" s="41"/>
      <c r="P68" s="45"/>
      <c r="Q68" s="44"/>
      <c r="R68" s="41"/>
      <c r="S68" s="41"/>
      <c r="T68" s="41"/>
      <c r="U68" s="45"/>
    </row>
    <row r="69" spans="1:21">
      <c r="A69" s="44">
        <f>A68+1</f>
        <v>59</v>
      </c>
      <c r="B69" s="72">
        <v>46052</v>
      </c>
      <c r="C69" s="207">
        <v>8610565</v>
      </c>
      <c r="D69" s="28">
        <v>54259098</v>
      </c>
      <c r="E69" s="29">
        <v>61.55</v>
      </c>
      <c r="F69" s="42">
        <v>520.11</v>
      </c>
      <c r="G69" s="31">
        <f>E69*F69</f>
        <v>32012.7705</v>
      </c>
      <c r="H69" s="365">
        <v>46076.86</v>
      </c>
      <c r="I69" s="33">
        <f>E69*H69</f>
        <v>2836030.733</v>
      </c>
      <c r="J69" s="273" t="s">
        <v>120</v>
      </c>
      <c r="K69" s="274" t="s">
        <v>121</v>
      </c>
      <c r="L69" s="43"/>
      <c r="M69" s="44"/>
      <c r="N69" s="41"/>
      <c r="O69" s="41"/>
      <c r="P69" s="45"/>
      <c r="Q69" s="44"/>
      <c r="R69" s="41"/>
      <c r="S69" s="41"/>
      <c r="T69" s="41"/>
      <c r="U69" s="45"/>
    </row>
    <row r="70" spans="1:21">
      <c r="A70" s="44">
        <f>A69+1</f>
        <v>60</v>
      </c>
      <c r="B70" s="72">
        <v>46052</v>
      </c>
      <c r="C70" s="207">
        <v>8610564</v>
      </c>
      <c r="D70" s="28">
        <v>73087017</v>
      </c>
      <c r="E70" s="29">
        <v>61.8</v>
      </c>
      <c r="F70" s="42">
        <v>520.11</v>
      </c>
      <c r="G70" s="31">
        <f>E70*F70</f>
        <v>32142.798</v>
      </c>
      <c r="H70" s="365">
        <v>46076.86</v>
      </c>
      <c r="I70" s="33">
        <f>E70*H70</f>
        <v>2847549.948</v>
      </c>
      <c r="J70" s="273" t="s">
        <v>120</v>
      </c>
      <c r="K70" s="274" t="s">
        <v>121</v>
      </c>
      <c r="L70" s="43"/>
      <c r="M70" s="44"/>
      <c r="N70" s="41"/>
      <c r="O70" s="41"/>
      <c r="P70" s="45"/>
      <c r="Q70" s="44"/>
      <c r="R70" s="41"/>
      <c r="S70" s="41"/>
      <c r="T70" s="41"/>
      <c r="U70" s="45"/>
    </row>
    <row r="71" spans="1:21">
      <c r="A71" s="44">
        <f>A70+1</f>
        <v>61</v>
      </c>
      <c r="B71" s="72">
        <v>46052</v>
      </c>
      <c r="C71" s="207">
        <v>8610564</v>
      </c>
      <c r="D71" s="28">
        <v>73206641</v>
      </c>
      <c r="E71" s="29">
        <v>61.8</v>
      </c>
      <c r="F71" s="42">
        <v>520.11</v>
      </c>
      <c r="G71" s="31">
        <f>E71*F71</f>
        <v>32142.798</v>
      </c>
      <c r="H71" s="365">
        <v>46076.86</v>
      </c>
      <c r="I71" s="33">
        <f>E71*H71</f>
        <v>2847549.948</v>
      </c>
      <c r="J71" s="273" t="s">
        <v>120</v>
      </c>
      <c r="K71" s="274" t="s">
        <v>121</v>
      </c>
      <c r="L71" s="43"/>
      <c r="M71" s="44"/>
      <c r="N71" s="41"/>
      <c r="O71" s="41"/>
      <c r="P71" s="45"/>
      <c r="Q71" s="44"/>
      <c r="R71" s="41"/>
      <c r="S71" s="41"/>
      <c r="T71" s="41"/>
      <c r="U71" s="45"/>
    </row>
    <row r="72" spans="1:21">
      <c r="A72" s="44">
        <f>A71+1</f>
        <v>62</v>
      </c>
      <c r="B72" s="72">
        <v>46052</v>
      </c>
      <c r="C72" s="207">
        <v>8610564</v>
      </c>
      <c r="D72" s="28">
        <v>73216830</v>
      </c>
      <c r="E72" s="29">
        <v>61.8</v>
      </c>
      <c r="F72" s="42">
        <v>520.11</v>
      </c>
      <c r="G72" s="31">
        <f>E72*F72</f>
        <v>32142.798</v>
      </c>
      <c r="H72" s="365">
        <v>46076.86</v>
      </c>
      <c r="I72" s="33">
        <f>E72*H72</f>
        <v>2847549.948</v>
      </c>
      <c r="J72" s="273" t="s">
        <v>120</v>
      </c>
      <c r="K72" s="274" t="s">
        <v>121</v>
      </c>
      <c r="L72" s="43"/>
      <c r="M72" s="44"/>
      <c r="N72" s="41"/>
      <c r="O72" s="41"/>
      <c r="P72" s="45"/>
      <c r="Q72" s="44"/>
      <c r="R72" s="41"/>
      <c r="S72" s="41"/>
      <c r="T72" s="41"/>
      <c r="U72" s="45"/>
    </row>
    <row r="73" spans="1:21">
      <c r="A73" s="44">
        <f>A72+1</f>
        <v>63</v>
      </c>
      <c r="B73" s="72">
        <v>46052</v>
      </c>
      <c r="C73" s="207">
        <v>8610564</v>
      </c>
      <c r="D73" s="28">
        <v>73219008</v>
      </c>
      <c r="E73" s="29">
        <v>61.8</v>
      </c>
      <c r="F73" s="42">
        <v>520.11</v>
      </c>
      <c r="G73" s="31">
        <f>E73*F73</f>
        <v>32142.798</v>
      </c>
      <c r="H73" s="365">
        <v>46076.86</v>
      </c>
      <c r="I73" s="33">
        <f>E73*H73</f>
        <v>2847549.948</v>
      </c>
      <c r="J73" s="273" t="s">
        <v>120</v>
      </c>
      <c r="K73" s="274" t="s">
        <v>121</v>
      </c>
      <c r="L73" s="43"/>
      <c r="M73" s="44"/>
      <c r="N73" s="41"/>
      <c r="O73" s="41"/>
      <c r="P73" s="45"/>
      <c r="Q73" s="44"/>
      <c r="R73" s="41"/>
      <c r="S73" s="41"/>
      <c r="T73" s="41"/>
      <c r="U73" s="45"/>
    </row>
    <row r="74" spans="1:21">
      <c r="A74" s="44">
        <f>A73+1</f>
        <v>64</v>
      </c>
      <c r="B74" s="72">
        <v>46052</v>
      </c>
      <c r="C74" s="207">
        <v>8610564</v>
      </c>
      <c r="D74" s="28">
        <v>73225187</v>
      </c>
      <c r="E74" s="29">
        <v>61.8</v>
      </c>
      <c r="F74" s="42">
        <v>520.11</v>
      </c>
      <c r="G74" s="31">
        <f>E74*F74</f>
        <v>32142.798</v>
      </c>
      <c r="H74" s="365">
        <v>46076.86</v>
      </c>
      <c r="I74" s="33">
        <f>E74*H74</f>
        <v>2847549.948</v>
      </c>
      <c r="J74" s="273" t="s">
        <v>120</v>
      </c>
      <c r="K74" s="274" t="s">
        <v>121</v>
      </c>
      <c r="L74" s="43"/>
      <c r="M74" s="44"/>
      <c r="N74" s="41"/>
      <c r="O74" s="41"/>
      <c r="P74" s="45"/>
      <c r="Q74" s="44"/>
      <c r="R74" s="41"/>
      <c r="S74" s="41"/>
      <c r="T74" s="41"/>
      <c r="U74" s="45"/>
    </row>
    <row r="75" spans="1:21">
      <c r="A75" s="44">
        <f>A74+1</f>
        <v>65</v>
      </c>
      <c r="B75" s="72">
        <v>46052</v>
      </c>
      <c r="C75" s="207">
        <v>8610565</v>
      </c>
      <c r="D75" s="28">
        <v>75046714</v>
      </c>
      <c r="E75" s="29">
        <v>61.3</v>
      </c>
      <c r="F75" s="42">
        <v>520.11</v>
      </c>
      <c r="G75" s="31">
        <f>E75*F75</f>
        <v>31882.743</v>
      </c>
      <c r="H75" s="365">
        <v>46076.86</v>
      </c>
      <c r="I75" s="33">
        <f>E75*H75</f>
        <v>2824511.518</v>
      </c>
      <c r="J75" s="273" t="s">
        <v>120</v>
      </c>
      <c r="K75" s="274" t="s">
        <v>121</v>
      </c>
      <c r="L75" s="43"/>
      <c r="M75" s="44"/>
      <c r="N75" s="41"/>
      <c r="O75" s="41"/>
      <c r="P75" s="45"/>
      <c r="Q75" s="44"/>
      <c r="R75" s="41"/>
      <c r="S75" s="41"/>
      <c r="T75" s="41"/>
      <c r="U75" s="45"/>
    </row>
    <row r="76" spans="1:21">
      <c r="A76" s="44">
        <f>A75+1</f>
        <v>66</v>
      </c>
      <c r="B76" s="72">
        <v>46052</v>
      </c>
      <c r="C76" s="207">
        <v>8610564</v>
      </c>
      <c r="D76" s="28">
        <v>75211615</v>
      </c>
      <c r="E76" s="29">
        <v>62.25</v>
      </c>
      <c r="F76" s="42">
        <v>520.11</v>
      </c>
      <c r="G76" s="31">
        <f>E76*F76</f>
        <v>32376.8475</v>
      </c>
      <c r="H76" s="365">
        <v>46076.86</v>
      </c>
      <c r="I76" s="33">
        <f>E76*H76</f>
        <v>2868284.535</v>
      </c>
      <c r="J76" s="273" t="s">
        <v>120</v>
      </c>
      <c r="K76" s="274" t="s">
        <v>121</v>
      </c>
      <c r="L76" s="43"/>
      <c r="M76" s="44"/>
      <c r="N76" s="41"/>
      <c r="O76" s="41"/>
      <c r="P76" s="45"/>
      <c r="Q76" s="44"/>
      <c r="R76" s="41"/>
      <c r="S76" s="41"/>
      <c r="T76" s="41"/>
      <c r="U76" s="45"/>
    </row>
    <row r="77" spans="1:21">
      <c r="A77" s="44">
        <f>A76+1</f>
        <v>67</v>
      </c>
      <c r="B77" s="72">
        <v>46052</v>
      </c>
      <c r="C77" s="207">
        <v>8610564</v>
      </c>
      <c r="D77" s="28">
        <v>75282400</v>
      </c>
      <c r="E77" s="29">
        <v>62.05</v>
      </c>
      <c r="F77" s="42">
        <v>520.11</v>
      </c>
      <c r="G77" s="31">
        <f>E77*F77</f>
        <v>32272.8255</v>
      </c>
      <c r="H77" s="365">
        <v>46076.86</v>
      </c>
      <c r="I77" s="33">
        <f>E77*H77</f>
        <v>2859069.163</v>
      </c>
      <c r="J77" s="273" t="s">
        <v>120</v>
      </c>
      <c r="K77" s="274" t="s">
        <v>121</v>
      </c>
      <c r="L77" s="43"/>
      <c r="M77" s="44"/>
      <c r="N77" s="41"/>
      <c r="O77" s="41"/>
      <c r="P77" s="45"/>
      <c r="Q77" s="44"/>
      <c r="R77" s="41"/>
      <c r="S77" s="41"/>
      <c r="T77" s="41"/>
      <c r="U77" s="45"/>
    </row>
    <row r="78" ht="15.75" spans="1:21">
      <c r="A78" s="75">
        <f>A77+1</f>
        <v>68</v>
      </c>
      <c r="B78" s="76">
        <v>46052</v>
      </c>
      <c r="C78" s="216">
        <v>8610564</v>
      </c>
      <c r="D78" s="47">
        <v>76441393</v>
      </c>
      <c r="E78" s="48">
        <v>62.2</v>
      </c>
      <c r="F78" s="42">
        <v>520.11</v>
      </c>
      <c r="G78" s="79">
        <f>E78*F78</f>
        <v>32350.842</v>
      </c>
      <c r="H78" s="371">
        <v>46076.86</v>
      </c>
      <c r="I78" s="80">
        <f>E78*H78</f>
        <v>2865980.692</v>
      </c>
      <c r="J78" s="273" t="s">
        <v>120</v>
      </c>
      <c r="K78" s="303" t="s">
        <v>121</v>
      </c>
      <c r="L78" s="83"/>
      <c r="M78" s="51"/>
      <c r="N78" s="52"/>
      <c r="O78" s="52"/>
      <c r="P78" s="53"/>
      <c r="Q78" s="51"/>
      <c r="R78" s="52"/>
      <c r="S78" s="52"/>
      <c r="T78" s="52"/>
      <c r="U78" s="53"/>
    </row>
    <row r="79" ht="15.75" spans="1:21">
      <c r="A79" s="55"/>
      <c r="B79" s="56"/>
      <c r="C79" s="56"/>
      <c r="D79" s="56"/>
      <c r="E79" s="370">
        <f>SUM(E65:E78)</f>
        <v>846.3</v>
      </c>
      <c r="F79" s="367"/>
      <c r="G79" s="59">
        <f>SUM(G65:G78)</f>
        <v>440169.093</v>
      </c>
      <c r="H79" s="56"/>
      <c r="I79" s="60">
        <f>SUM(I65:I78)</f>
        <v>38994846.618</v>
      </c>
      <c r="J79" s="56"/>
      <c r="K79" s="61"/>
      <c r="L79" s="84"/>
      <c r="M79" s="85"/>
      <c r="N79" s="86"/>
      <c r="O79" s="86"/>
      <c r="P79" s="87"/>
      <c r="Q79" s="88"/>
      <c r="R79" s="86"/>
      <c r="S79" s="86"/>
      <c r="T79" s="86"/>
      <c r="U79" s="87"/>
    </row>
    <row r="80" spans="1:21">
      <c r="A80" s="26">
        <v>69</v>
      </c>
      <c r="B80" s="27">
        <v>46053</v>
      </c>
      <c r="C80" s="221">
        <v>8610619</v>
      </c>
      <c r="D80" s="107">
        <v>57040339</v>
      </c>
      <c r="E80" s="108">
        <v>60.9</v>
      </c>
      <c r="F80" s="30">
        <v>520.11</v>
      </c>
      <c r="G80" s="31">
        <f>E80*F80</f>
        <v>31674.699</v>
      </c>
      <c r="H80" s="365">
        <v>46076.86</v>
      </c>
      <c r="I80" s="33">
        <f>E80*H80</f>
        <v>2806080.774</v>
      </c>
      <c r="J80" s="301" t="s">
        <v>120</v>
      </c>
      <c r="K80" s="302" t="s">
        <v>121</v>
      </c>
      <c r="L80" s="179"/>
      <c r="M80" s="37"/>
      <c r="N80" s="38"/>
      <c r="O80" s="38"/>
      <c r="P80" s="39"/>
      <c r="Q80" s="40"/>
      <c r="R80" s="38"/>
      <c r="S80" s="38"/>
      <c r="T80" s="38"/>
      <c r="U80" s="39"/>
    </row>
    <row r="81" spans="1:24">
      <c r="A81" s="44">
        <f>A80+1</f>
        <v>70</v>
      </c>
      <c r="B81" s="72">
        <v>46053</v>
      </c>
      <c r="C81" s="207">
        <v>8610618</v>
      </c>
      <c r="D81" s="28">
        <v>75191841</v>
      </c>
      <c r="E81" s="29">
        <v>61.6</v>
      </c>
      <c r="F81" s="42">
        <v>520.11</v>
      </c>
      <c r="G81" s="31">
        <f>E81*F81</f>
        <v>32038.776</v>
      </c>
      <c r="H81" s="365">
        <v>46076.86</v>
      </c>
      <c r="I81" s="33">
        <f>E81*H81</f>
        <v>2838334.576</v>
      </c>
      <c r="J81" s="273" t="s">
        <v>120</v>
      </c>
      <c r="K81" s="274" t="s">
        <v>121</v>
      </c>
      <c r="L81" s="89"/>
      <c r="M81" s="44"/>
      <c r="N81" s="41"/>
      <c r="O81" s="41"/>
      <c r="P81" s="45"/>
      <c r="Q81" s="46"/>
      <c r="R81" s="41"/>
      <c r="S81" s="41"/>
      <c r="T81" s="41"/>
      <c r="U81" s="45"/>
    </row>
    <row r="82" ht="15.75" spans="1:24">
      <c r="A82" s="51">
        <f>A81+1</f>
        <v>71</v>
      </c>
      <c r="B82" s="157">
        <v>46053</v>
      </c>
      <c r="C82" s="226">
        <v>8610620</v>
      </c>
      <c r="D82" s="158">
        <v>75241729</v>
      </c>
      <c r="E82" s="162">
        <v>61.65</v>
      </c>
      <c r="F82" s="42">
        <v>520.11</v>
      </c>
      <c r="G82" s="163">
        <f>E82*F82</f>
        <v>32064.7815</v>
      </c>
      <c r="H82" s="376">
        <v>46076.86</v>
      </c>
      <c r="I82" s="164">
        <f>E82*H82</f>
        <v>2840638.419</v>
      </c>
      <c r="J82" s="276" t="s">
        <v>120</v>
      </c>
      <c r="K82" s="277" t="s">
        <v>121</v>
      </c>
      <c r="L82" s="180"/>
      <c r="M82" s="51"/>
      <c r="N82" s="52"/>
      <c r="O82" s="52"/>
      <c r="P82" s="53"/>
      <c r="Q82" s="54"/>
      <c r="R82" s="52"/>
      <c r="S82" s="52"/>
      <c r="T82" s="52"/>
      <c r="U82" s="53"/>
    </row>
    <row r="83" ht="15.75" spans="1:24">
      <c r="A83" s="55"/>
      <c r="B83" s="56"/>
      <c r="C83" s="56"/>
      <c r="D83" s="56"/>
      <c r="E83" s="370">
        <f>SUM(E80:E82)</f>
        <v>184.15</v>
      </c>
      <c r="F83" s="367"/>
      <c r="G83" s="59">
        <f>SUM(G80:G82)</f>
        <v>95778.2565</v>
      </c>
      <c r="H83" s="56"/>
      <c r="I83" s="60">
        <f>SUM(I80:I82)</f>
        <v>8485053.769</v>
      </c>
      <c r="J83" s="56"/>
      <c r="K83" s="92"/>
      <c r="L83" s="93"/>
      <c r="M83" s="55"/>
      <c r="N83" s="56"/>
      <c r="O83" s="56"/>
      <c r="P83" s="61"/>
      <c r="Q83" s="94"/>
      <c r="R83" s="56"/>
      <c r="S83" s="56"/>
      <c r="T83" s="56"/>
      <c r="U83" s="61"/>
    </row>
    <row r="84" spans="1:24">
      <c r="A84" s="67">
        <v>72</v>
      </c>
      <c r="B84" s="72">
        <v>46053</v>
      </c>
      <c r="C84" s="207">
        <v>8610628</v>
      </c>
      <c r="D84" s="28">
        <v>50214980</v>
      </c>
      <c r="E84" s="29">
        <v>61.2</v>
      </c>
      <c r="F84" s="42">
        <v>520.11</v>
      </c>
      <c r="G84" s="31">
        <f>E84*F84</f>
        <v>31830.732</v>
      </c>
      <c r="H84" s="365">
        <v>46076.86</v>
      </c>
      <c r="I84" s="33">
        <f>E84*H84</f>
        <v>2819903.832</v>
      </c>
      <c r="J84" s="273" t="s">
        <v>120</v>
      </c>
      <c r="K84" s="274" t="s">
        <v>121</v>
      </c>
      <c r="L84" s="95"/>
      <c r="M84" s="37"/>
      <c r="N84" s="38"/>
      <c r="O84" s="38"/>
      <c r="P84" s="39"/>
      <c r="Q84" s="37"/>
      <c r="R84" s="38"/>
      <c r="S84" s="38"/>
      <c r="T84" s="38"/>
      <c r="U84" s="39"/>
    </row>
    <row r="85" spans="1:24">
      <c r="A85" s="41">
        <f>A84+1</f>
        <v>73</v>
      </c>
      <c r="B85" s="72">
        <v>46053</v>
      </c>
      <c r="C85" s="207">
        <v>8610628</v>
      </c>
      <c r="D85" s="28">
        <v>51812824</v>
      </c>
      <c r="E85" s="29">
        <v>60.95</v>
      </c>
      <c r="F85" s="42">
        <v>520.11</v>
      </c>
      <c r="G85" s="31">
        <f>E85*F85</f>
        <v>31700.7045</v>
      </c>
      <c r="H85" s="365">
        <v>46076.86</v>
      </c>
      <c r="I85" s="33">
        <f>E85*H85</f>
        <v>2808384.617</v>
      </c>
      <c r="J85" s="273" t="s">
        <v>120</v>
      </c>
      <c r="K85" s="274" t="s">
        <v>121</v>
      </c>
      <c r="L85" s="89"/>
      <c r="M85" s="44"/>
      <c r="N85" s="41"/>
      <c r="O85" s="41"/>
      <c r="P85" s="45"/>
      <c r="Q85" s="44"/>
      <c r="R85" s="41"/>
      <c r="S85" s="41"/>
      <c r="T85" s="41"/>
      <c r="U85" s="45"/>
    </row>
    <row r="86" spans="1:24">
      <c r="A86" s="41">
        <f>A85+1</f>
        <v>74</v>
      </c>
      <c r="B86" s="72">
        <v>46053</v>
      </c>
      <c r="C86" s="207">
        <v>8610628</v>
      </c>
      <c r="D86" s="28">
        <v>51891505</v>
      </c>
      <c r="E86" s="29">
        <v>61.45</v>
      </c>
      <c r="F86" s="42">
        <v>520.11</v>
      </c>
      <c r="G86" s="31">
        <f>E86*F86</f>
        <v>31960.7595</v>
      </c>
      <c r="H86" s="365">
        <v>46076.86</v>
      </c>
      <c r="I86" s="33">
        <f>E86*H86</f>
        <v>2831423.047</v>
      </c>
      <c r="J86" s="273" t="s">
        <v>120</v>
      </c>
      <c r="K86" s="274" t="s">
        <v>121</v>
      </c>
      <c r="L86" s="89"/>
      <c r="M86" s="44"/>
      <c r="N86" s="41"/>
      <c r="O86" s="41"/>
      <c r="P86" s="45"/>
      <c r="Q86" s="44"/>
      <c r="R86" s="41"/>
      <c r="S86" s="41"/>
      <c r="T86" s="41"/>
      <c r="U86" s="45"/>
    </row>
    <row r="87" spans="1:24">
      <c r="A87" s="41">
        <f>A86+1</f>
        <v>75</v>
      </c>
      <c r="B87" s="72">
        <v>46053</v>
      </c>
      <c r="C87" s="207">
        <v>8610629</v>
      </c>
      <c r="D87" s="28">
        <v>53914461</v>
      </c>
      <c r="E87" s="29">
        <v>52.65</v>
      </c>
      <c r="F87" s="42">
        <v>520.11</v>
      </c>
      <c r="G87" s="31">
        <f>E87*F87</f>
        <v>27383.7915</v>
      </c>
      <c r="H87" s="365">
        <v>46076.86</v>
      </c>
      <c r="I87" s="33">
        <f>E87*H87</f>
        <v>2425946.679</v>
      </c>
      <c r="J87" s="273" t="s">
        <v>120</v>
      </c>
      <c r="K87" s="274" t="s">
        <v>121</v>
      </c>
      <c r="L87" s="89"/>
      <c r="M87" s="44"/>
      <c r="N87" s="41"/>
      <c r="O87" s="41"/>
      <c r="P87" s="45"/>
      <c r="Q87" s="44"/>
      <c r="R87" s="41"/>
      <c r="S87" s="41"/>
      <c r="T87" s="41"/>
      <c r="U87" s="45"/>
    </row>
    <row r="88" spans="1:24">
      <c r="A88" s="41">
        <f>A87+1</f>
        <v>76</v>
      </c>
      <c r="B88" s="72">
        <v>46053</v>
      </c>
      <c r="C88" s="207">
        <v>8610628</v>
      </c>
      <c r="D88" s="28">
        <v>54067178</v>
      </c>
      <c r="E88" s="29">
        <v>61.1</v>
      </c>
      <c r="F88" s="42">
        <v>520.11</v>
      </c>
      <c r="G88" s="31">
        <f>E88*F88</f>
        <v>31778.721</v>
      </c>
      <c r="H88" s="365">
        <v>46076.86</v>
      </c>
      <c r="I88" s="33">
        <f>E88*H88</f>
        <v>2815296.146</v>
      </c>
      <c r="J88" s="273" t="s">
        <v>120</v>
      </c>
      <c r="K88" s="274" t="s">
        <v>121</v>
      </c>
      <c r="L88" s="89"/>
      <c r="M88" s="44"/>
      <c r="N88" s="41"/>
      <c r="O88" s="41"/>
      <c r="P88" s="45"/>
      <c r="Q88" s="44"/>
      <c r="R88" s="41"/>
      <c r="S88" s="41"/>
      <c r="T88" s="41"/>
      <c r="U88" s="45"/>
    </row>
    <row r="89" spans="1:24">
      <c r="A89" s="41">
        <f>A88+1</f>
        <v>77</v>
      </c>
      <c r="B89" s="72">
        <v>46053</v>
      </c>
      <c r="C89" s="207">
        <v>8610629</v>
      </c>
      <c r="D89" s="28">
        <v>73010746</v>
      </c>
      <c r="E89" s="29">
        <v>61.45</v>
      </c>
      <c r="F89" s="42">
        <v>520.11</v>
      </c>
      <c r="G89" s="31">
        <f>E89*F89</f>
        <v>31960.7595</v>
      </c>
      <c r="H89" s="365">
        <v>46076.86</v>
      </c>
      <c r="I89" s="33">
        <f>E89*H89</f>
        <v>2831423.047</v>
      </c>
      <c r="J89" s="273" t="s">
        <v>120</v>
      </c>
      <c r="K89" s="274" t="s">
        <v>121</v>
      </c>
      <c r="L89" s="89"/>
      <c r="M89" s="44"/>
      <c r="N89" s="41"/>
      <c r="O89" s="41"/>
      <c r="P89" s="45"/>
      <c r="Q89" s="44"/>
      <c r="R89" s="41"/>
      <c r="S89" s="41"/>
      <c r="T89" s="41"/>
      <c r="U89" s="45"/>
    </row>
    <row r="90" spans="1:24">
      <c r="A90" s="41">
        <f>A89+1</f>
        <v>78</v>
      </c>
      <c r="B90" s="72">
        <v>46053</v>
      </c>
      <c r="C90" s="207">
        <v>8610629</v>
      </c>
      <c r="D90" s="28">
        <v>73127037</v>
      </c>
      <c r="E90" s="29">
        <v>61.5</v>
      </c>
      <c r="F90" s="42">
        <v>520.11</v>
      </c>
      <c r="G90" s="31">
        <f>E90*F90</f>
        <v>31986.765</v>
      </c>
      <c r="H90" s="365">
        <v>46076.86</v>
      </c>
      <c r="I90" s="33">
        <f>E90*H90</f>
        <v>2833726.89</v>
      </c>
      <c r="J90" s="273" t="s">
        <v>120</v>
      </c>
      <c r="K90" s="274" t="s">
        <v>121</v>
      </c>
      <c r="L90" s="89"/>
      <c r="M90" s="44"/>
      <c r="N90" s="41"/>
      <c r="O90" s="41"/>
      <c r="P90" s="45"/>
      <c r="Q90" s="44"/>
      <c r="R90" s="41"/>
      <c r="S90" s="41"/>
      <c r="T90" s="41"/>
      <c r="U90" s="45"/>
    </row>
    <row r="91" spans="1:24">
      <c r="A91" s="41">
        <f>A90+1</f>
        <v>79</v>
      </c>
      <c r="B91" s="72">
        <v>46053</v>
      </c>
      <c r="C91" s="207">
        <v>8610629</v>
      </c>
      <c r="D91" s="28">
        <v>73173411</v>
      </c>
      <c r="E91" s="29">
        <v>61.5</v>
      </c>
      <c r="F91" s="42">
        <v>520.11</v>
      </c>
      <c r="G91" s="31">
        <f>E91*F91</f>
        <v>31986.765</v>
      </c>
      <c r="H91" s="365">
        <v>46076.86</v>
      </c>
      <c r="I91" s="33">
        <f>E91*H91</f>
        <v>2833726.89</v>
      </c>
      <c r="J91" s="273" t="s">
        <v>120</v>
      </c>
      <c r="K91" s="274" t="s">
        <v>121</v>
      </c>
      <c r="L91" s="89"/>
      <c r="M91" s="44"/>
      <c r="N91" s="41"/>
      <c r="O91" s="41"/>
      <c r="P91" s="45"/>
      <c r="Q91" s="44"/>
      <c r="R91" s="41"/>
      <c r="S91" s="41"/>
      <c r="T91" s="41"/>
      <c r="U91" s="45"/>
      <c r="X91" s="377"/>
    </row>
    <row r="92" spans="1:24">
      <c r="A92" s="41">
        <f>A91+1</f>
        <v>80</v>
      </c>
      <c r="B92" s="72">
        <v>46053</v>
      </c>
      <c r="C92" s="207">
        <v>8610629</v>
      </c>
      <c r="D92" s="28">
        <v>73173445</v>
      </c>
      <c r="E92" s="29">
        <v>61.6</v>
      </c>
      <c r="F92" s="42">
        <v>520.11</v>
      </c>
      <c r="G92" s="31">
        <f>E92*F92</f>
        <v>32038.776</v>
      </c>
      <c r="H92" s="365">
        <v>46076.86</v>
      </c>
      <c r="I92" s="33">
        <f>E92*H92</f>
        <v>2838334.576</v>
      </c>
      <c r="J92" s="273" t="s">
        <v>120</v>
      </c>
      <c r="K92" s="274" t="s">
        <v>121</v>
      </c>
      <c r="L92" s="89"/>
      <c r="M92" s="44"/>
      <c r="N92" s="41"/>
      <c r="O92" s="41"/>
      <c r="P92" s="45"/>
      <c r="Q92" s="44"/>
      <c r="R92" s="41"/>
      <c r="S92" s="41"/>
      <c r="T92" s="41"/>
      <c r="U92" s="45"/>
    </row>
    <row r="93" spans="1:24">
      <c r="A93" s="41">
        <f>A92+1</f>
        <v>81</v>
      </c>
      <c r="B93" s="72">
        <v>46053</v>
      </c>
      <c r="C93" s="207">
        <v>8610629</v>
      </c>
      <c r="D93" s="28">
        <v>73173940</v>
      </c>
      <c r="E93" s="29">
        <v>61.5</v>
      </c>
      <c r="F93" s="42">
        <v>520.11</v>
      </c>
      <c r="G93" s="31">
        <f>E93*F93</f>
        <v>31986.765</v>
      </c>
      <c r="H93" s="365">
        <v>46076.86</v>
      </c>
      <c r="I93" s="33">
        <f>E93*H93</f>
        <v>2833726.89</v>
      </c>
      <c r="J93" s="273" t="s">
        <v>120</v>
      </c>
      <c r="K93" s="274" t="s">
        <v>121</v>
      </c>
      <c r="L93" s="89"/>
      <c r="M93" s="44"/>
      <c r="N93" s="41"/>
      <c r="O93" s="41"/>
      <c r="P93" s="45"/>
      <c r="Q93" s="44"/>
      <c r="R93" s="41"/>
      <c r="S93" s="41"/>
      <c r="T93" s="41"/>
      <c r="U93" s="45"/>
    </row>
    <row r="94" spans="1:24">
      <c r="A94" s="41">
        <f>A93+1</f>
        <v>82</v>
      </c>
      <c r="B94" s="72">
        <v>46053</v>
      </c>
      <c r="C94" s="207">
        <v>8610629</v>
      </c>
      <c r="D94" s="28">
        <v>73174013</v>
      </c>
      <c r="E94" s="29">
        <v>61.5</v>
      </c>
      <c r="F94" s="42">
        <v>520.11</v>
      </c>
      <c r="G94" s="31">
        <f>E94*F94</f>
        <v>31986.765</v>
      </c>
      <c r="H94" s="365">
        <v>46076.86</v>
      </c>
      <c r="I94" s="33">
        <f>E94*H94</f>
        <v>2833726.89</v>
      </c>
      <c r="J94" s="273" t="s">
        <v>120</v>
      </c>
      <c r="K94" s="274" t="s">
        <v>121</v>
      </c>
      <c r="L94" s="89"/>
      <c r="M94" s="44"/>
      <c r="N94" s="41"/>
      <c r="O94" s="41"/>
      <c r="P94" s="45"/>
      <c r="Q94" s="44"/>
      <c r="R94" s="41"/>
      <c r="S94" s="41"/>
      <c r="T94" s="41"/>
      <c r="U94" s="45"/>
    </row>
    <row r="95" spans="1:24">
      <c r="A95" s="41">
        <f>A94+1</f>
        <v>83</v>
      </c>
      <c r="B95" s="72">
        <v>46053</v>
      </c>
      <c r="C95" s="207">
        <v>8610629</v>
      </c>
      <c r="D95" s="28">
        <v>73178337</v>
      </c>
      <c r="E95" s="29">
        <v>61.75</v>
      </c>
      <c r="F95" s="42">
        <v>520.11</v>
      </c>
      <c r="G95" s="31">
        <f>E95*F95</f>
        <v>32116.7925</v>
      </c>
      <c r="H95" s="365">
        <v>46076.86</v>
      </c>
      <c r="I95" s="33">
        <f>E95*H95</f>
        <v>2845246.105</v>
      </c>
      <c r="J95" s="273" t="s">
        <v>120</v>
      </c>
      <c r="K95" s="274" t="s">
        <v>121</v>
      </c>
      <c r="L95" s="89"/>
      <c r="M95" s="44"/>
      <c r="N95" s="41"/>
      <c r="O95" s="41"/>
      <c r="P95" s="45"/>
      <c r="Q95" s="44"/>
      <c r="R95" s="41"/>
      <c r="S95" s="41"/>
      <c r="T95" s="41"/>
      <c r="U95" s="45"/>
    </row>
    <row r="96" spans="1:24">
      <c r="A96" s="41">
        <f>A95+1</f>
        <v>84</v>
      </c>
      <c r="B96" s="72">
        <v>46053</v>
      </c>
      <c r="C96" s="207">
        <v>8610629</v>
      </c>
      <c r="D96" s="28">
        <v>73221533</v>
      </c>
      <c r="E96" s="29">
        <v>61.65</v>
      </c>
      <c r="F96" s="42">
        <v>520.11</v>
      </c>
      <c r="G96" s="31">
        <f>E96*F96</f>
        <v>32064.7815</v>
      </c>
      <c r="H96" s="365">
        <v>46076.86</v>
      </c>
      <c r="I96" s="33">
        <f>E96*H96</f>
        <v>2840638.419</v>
      </c>
      <c r="J96" s="273" t="s">
        <v>120</v>
      </c>
      <c r="K96" s="274" t="s">
        <v>121</v>
      </c>
      <c r="L96" s="89"/>
      <c r="M96" s="44"/>
      <c r="N96" s="41"/>
      <c r="O96" s="41"/>
      <c r="P96" s="45"/>
      <c r="Q96" s="44"/>
      <c r="R96" s="41"/>
      <c r="S96" s="41"/>
      <c r="T96" s="41"/>
      <c r="U96" s="45"/>
    </row>
    <row r="97" ht="15.75" spans="1:23">
      <c r="A97" s="77">
        <f>A96+1</f>
        <v>85</v>
      </c>
      <c r="B97" s="76">
        <v>46053</v>
      </c>
      <c r="C97" s="216">
        <v>8610628</v>
      </c>
      <c r="D97" s="47">
        <v>75102475</v>
      </c>
      <c r="E97" s="29">
        <v>61.8</v>
      </c>
      <c r="F97" s="42">
        <v>520.11</v>
      </c>
      <c r="G97" s="31">
        <f>E97*F97</f>
        <v>32142.798</v>
      </c>
      <c r="H97" s="365">
        <v>46076.86</v>
      </c>
      <c r="I97" s="33">
        <f>E97*H97</f>
        <v>2847549.948</v>
      </c>
      <c r="J97" s="273" t="s">
        <v>120</v>
      </c>
      <c r="K97" s="274" t="s">
        <v>121</v>
      </c>
      <c r="L97" s="90"/>
      <c r="M97" s="75"/>
      <c r="N97" s="77"/>
      <c r="O97" s="77"/>
      <c r="P97" s="91"/>
      <c r="Q97" s="75"/>
      <c r="R97" s="77"/>
      <c r="S97" s="77"/>
      <c r="T97" s="77"/>
      <c r="U97" s="91"/>
      <c r="W97" s="377"/>
    </row>
    <row r="98" ht="15.75" spans="1:23">
      <c r="A98" s="55"/>
      <c r="B98" s="56"/>
      <c r="C98" s="56"/>
      <c r="D98" s="56"/>
      <c r="E98" s="370">
        <f>SUM(E84:E97)</f>
        <v>851.6</v>
      </c>
      <c r="F98" s="367"/>
      <c r="G98" s="59">
        <f>SUM(G84:G97)</f>
        <v>442925.676</v>
      </c>
      <c r="H98" s="56"/>
      <c r="I98" s="60">
        <f>SUM(I84:I97)</f>
        <v>39239053.976</v>
      </c>
      <c r="J98" s="56"/>
      <c r="K98" s="61"/>
      <c r="L98" s="378"/>
      <c r="M98" s="63"/>
      <c r="N98" s="64"/>
      <c r="O98" s="64"/>
      <c r="P98" s="65"/>
      <c r="Q98" s="63"/>
      <c r="R98" s="64"/>
      <c r="S98" s="64"/>
      <c r="T98" s="64"/>
      <c r="U98" s="65"/>
    </row>
    <row r="99" ht="15.75" spans="1:23">
      <c r="A99" s="379" t="s">
        <v>133</v>
      </c>
      <c r="B99" s="380"/>
      <c r="C99" s="380"/>
      <c r="D99" s="381"/>
      <c r="E99" s="382">
        <f>E35+E45+E52+E56+E62+E64+E79+E83+E98</f>
        <v>5199.5</v>
      </c>
      <c r="F99" s="383"/>
      <c r="G99" s="384">
        <f>G35+G45+G52+G56+G62+G64+G79+G83+G98</f>
        <v>2704312.05590909</v>
      </c>
      <c r="H99" s="385"/>
      <c r="I99" s="386">
        <f>I35+I45+I52+I56+I62+I64+I79+I83+I98</f>
        <v>239576633.57</v>
      </c>
      <c r="J99" s="387"/>
      <c r="K99" s="388"/>
      <c r="L99" s="387"/>
      <c r="M99" s="389"/>
      <c r="N99" s="385"/>
      <c r="O99" s="385"/>
      <c r="P99" s="390"/>
      <c r="Q99" s="391"/>
      <c r="R99" s="385"/>
      <c r="S99" s="385"/>
      <c r="T99" s="385"/>
      <c r="U99" s="390"/>
    </row>
    <row r="100" spans="1:23">
      <c r="A100" s="26">
        <v>86</v>
      </c>
      <c r="B100" s="27">
        <v>46056</v>
      </c>
      <c r="C100" s="221">
        <v>8610685</v>
      </c>
      <c r="D100" s="107">
        <v>50464833</v>
      </c>
      <c r="E100" s="108">
        <v>53.15</v>
      </c>
      <c r="F100" s="30">
        <v>564.96</v>
      </c>
      <c r="G100" s="31">
        <f>E100*F100</f>
        <v>30027.624</v>
      </c>
      <c r="H100" s="365">
        <v>46076.86</v>
      </c>
      <c r="I100" s="33">
        <f>E100*H100</f>
        <v>2448985.109</v>
      </c>
      <c r="J100" s="301" t="s">
        <v>120</v>
      </c>
      <c r="K100" s="302" t="s">
        <v>121</v>
      </c>
      <c r="L100" s="95"/>
      <c r="M100" s="26"/>
      <c r="N100" s="67"/>
      <c r="O100" s="67"/>
      <c r="P100" s="98"/>
      <c r="Q100" s="271"/>
      <c r="R100" s="67"/>
      <c r="S100" s="67"/>
      <c r="T100" s="67"/>
      <c r="U100" s="98"/>
    </row>
    <row r="101" spans="1:23">
      <c r="A101" s="44">
        <f>A100+1</f>
        <v>87</v>
      </c>
      <c r="B101" s="72">
        <v>46056</v>
      </c>
      <c r="C101" s="207">
        <v>8610685</v>
      </c>
      <c r="D101" s="28">
        <v>50745082</v>
      </c>
      <c r="E101" s="29">
        <v>52.1</v>
      </c>
      <c r="F101" s="30">
        <v>564.96</v>
      </c>
      <c r="G101" s="31">
        <f>E101*F101</f>
        <v>29434.416</v>
      </c>
      <c r="H101" s="365">
        <v>46076.86</v>
      </c>
      <c r="I101" s="33">
        <f>E101*H101</f>
        <v>2400604.406</v>
      </c>
      <c r="J101" s="273" t="s">
        <v>120</v>
      </c>
      <c r="K101" s="274" t="s">
        <v>121</v>
      </c>
      <c r="L101" s="89"/>
      <c r="M101" s="44"/>
      <c r="N101" s="41"/>
      <c r="O101" s="41"/>
      <c r="P101" s="45"/>
      <c r="Q101" s="46"/>
      <c r="R101" s="41"/>
      <c r="S101" s="41"/>
      <c r="T101" s="41"/>
      <c r="U101" s="45"/>
    </row>
    <row r="102" spans="1:23">
      <c r="A102" s="44">
        <f>A101+1</f>
        <v>88</v>
      </c>
      <c r="B102" s="72">
        <v>46056</v>
      </c>
      <c r="C102" s="207">
        <v>8610687</v>
      </c>
      <c r="D102" s="28">
        <v>50786201</v>
      </c>
      <c r="E102" s="29">
        <v>52.15</v>
      </c>
      <c r="F102" s="30">
        <v>564.96</v>
      </c>
      <c r="G102" s="31">
        <f>E102*F102</f>
        <v>29462.664</v>
      </c>
      <c r="H102" s="365">
        <v>46076.86</v>
      </c>
      <c r="I102" s="33">
        <f>E102*H102</f>
        <v>2402908.249</v>
      </c>
      <c r="J102" s="273" t="s">
        <v>120</v>
      </c>
      <c r="K102" s="274" t="s">
        <v>121</v>
      </c>
      <c r="L102" s="89"/>
      <c r="M102" s="44"/>
      <c r="N102" s="41"/>
      <c r="O102" s="41"/>
      <c r="P102" s="45"/>
      <c r="Q102" s="46"/>
      <c r="R102" s="41"/>
      <c r="S102" s="41"/>
      <c r="T102" s="41"/>
      <c r="U102" s="45"/>
    </row>
    <row r="103" spans="1:23">
      <c r="A103" s="44">
        <f>A102+1</f>
        <v>89</v>
      </c>
      <c r="B103" s="72">
        <v>46056</v>
      </c>
      <c r="C103" s="207">
        <v>8610688</v>
      </c>
      <c r="D103" s="28">
        <v>50978568</v>
      </c>
      <c r="E103" s="29">
        <v>53.25</v>
      </c>
      <c r="F103" s="30">
        <v>564.96</v>
      </c>
      <c r="G103" s="31">
        <f>E103*F103</f>
        <v>30084.12</v>
      </c>
      <c r="H103" s="365">
        <v>46076.86</v>
      </c>
      <c r="I103" s="33">
        <f>E103*H103</f>
        <v>2453592.795</v>
      </c>
      <c r="J103" s="273" t="s">
        <v>120</v>
      </c>
      <c r="K103" s="274" t="s">
        <v>121</v>
      </c>
      <c r="L103" s="89"/>
      <c r="M103" s="44"/>
      <c r="N103" s="41"/>
      <c r="O103" s="41"/>
      <c r="P103" s="45"/>
      <c r="Q103" s="46"/>
      <c r="R103" s="41"/>
      <c r="S103" s="41"/>
      <c r="T103" s="41"/>
      <c r="U103" s="45"/>
    </row>
    <row r="104" spans="1:23">
      <c r="A104" s="44">
        <f>A103+1</f>
        <v>90</v>
      </c>
      <c r="B104" s="72">
        <v>46056</v>
      </c>
      <c r="C104" s="207">
        <v>8610685</v>
      </c>
      <c r="D104" s="28">
        <v>53920807</v>
      </c>
      <c r="E104" s="29">
        <v>52.65</v>
      </c>
      <c r="F104" s="30">
        <v>564.96</v>
      </c>
      <c r="G104" s="31">
        <f>E104*F104</f>
        <v>29745.144</v>
      </c>
      <c r="H104" s="365">
        <v>46076.86</v>
      </c>
      <c r="I104" s="33">
        <f>E104*H104</f>
        <v>2425946.679</v>
      </c>
      <c r="J104" s="273" t="s">
        <v>120</v>
      </c>
      <c r="K104" s="274" t="s">
        <v>121</v>
      </c>
      <c r="L104" s="89"/>
      <c r="M104" s="44"/>
      <c r="N104" s="41"/>
      <c r="O104" s="41"/>
      <c r="P104" s="45"/>
      <c r="Q104" s="46"/>
      <c r="R104" s="41"/>
      <c r="S104" s="41"/>
      <c r="T104" s="41"/>
      <c r="U104" s="45"/>
    </row>
    <row r="105" spans="1:23">
      <c r="A105" s="44">
        <f>A104+1</f>
        <v>91</v>
      </c>
      <c r="B105" s="72">
        <v>46056</v>
      </c>
      <c r="C105" s="207">
        <v>8610684</v>
      </c>
      <c r="D105" s="28">
        <v>57133423</v>
      </c>
      <c r="E105" s="29">
        <v>61</v>
      </c>
      <c r="F105" s="30">
        <v>564.96</v>
      </c>
      <c r="G105" s="31">
        <f>E105*F105</f>
        <v>34462.56</v>
      </c>
      <c r="H105" s="365">
        <v>46076.86</v>
      </c>
      <c r="I105" s="33">
        <f>E105*H105</f>
        <v>2810688.46</v>
      </c>
      <c r="J105" s="273" t="s">
        <v>120</v>
      </c>
      <c r="K105" s="274" t="s">
        <v>121</v>
      </c>
      <c r="L105" s="89"/>
      <c r="M105" s="44"/>
      <c r="N105" s="41"/>
      <c r="O105" s="41"/>
      <c r="P105" s="45"/>
      <c r="Q105" s="46"/>
      <c r="R105" s="41"/>
      <c r="S105" s="41"/>
      <c r="T105" s="41"/>
      <c r="U105" s="45"/>
    </row>
    <row r="106" spans="1:23">
      <c r="A106" s="44">
        <f>A105+1</f>
        <v>92</v>
      </c>
      <c r="B106" s="72">
        <v>46056</v>
      </c>
      <c r="C106" s="207">
        <v>8610689</v>
      </c>
      <c r="D106" s="28">
        <v>73139669</v>
      </c>
      <c r="E106" s="29">
        <v>61.55</v>
      </c>
      <c r="F106" s="30">
        <v>564.96</v>
      </c>
      <c r="G106" s="31">
        <f>E106*F106</f>
        <v>34773.288</v>
      </c>
      <c r="H106" s="365">
        <v>46076.86</v>
      </c>
      <c r="I106" s="33">
        <f>E106*H106</f>
        <v>2836030.733</v>
      </c>
      <c r="J106" s="273" t="s">
        <v>120</v>
      </c>
      <c r="K106" s="274" t="s">
        <v>121</v>
      </c>
      <c r="L106" s="89"/>
      <c r="M106" s="44"/>
      <c r="N106" s="41"/>
      <c r="O106" s="41"/>
      <c r="P106" s="45"/>
      <c r="Q106" s="46"/>
      <c r="R106" s="41"/>
      <c r="S106" s="41"/>
      <c r="T106" s="41"/>
      <c r="U106" s="45"/>
    </row>
    <row r="107" spans="1:23">
      <c r="A107" s="44">
        <f>A106+1</f>
        <v>93</v>
      </c>
      <c r="B107" s="72">
        <v>46056</v>
      </c>
      <c r="C107" s="207">
        <v>8610685</v>
      </c>
      <c r="D107" s="28">
        <v>73212102</v>
      </c>
      <c r="E107" s="29">
        <v>61.55</v>
      </c>
      <c r="F107" s="30">
        <v>564.96</v>
      </c>
      <c r="G107" s="31">
        <f>E107*F107</f>
        <v>34773.288</v>
      </c>
      <c r="H107" s="365">
        <v>46076.86</v>
      </c>
      <c r="I107" s="33">
        <f>E107*H107</f>
        <v>2836030.733</v>
      </c>
      <c r="J107" s="273" t="s">
        <v>120</v>
      </c>
      <c r="K107" s="274" t="s">
        <v>121</v>
      </c>
      <c r="L107" s="89"/>
      <c r="M107" s="44"/>
      <c r="N107" s="41"/>
      <c r="O107" s="41"/>
      <c r="P107" s="45"/>
      <c r="Q107" s="46"/>
      <c r="R107" s="41"/>
      <c r="S107" s="41"/>
      <c r="T107" s="41"/>
      <c r="U107" s="45"/>
    </row>
    <row r="108" spans="1:23">
      <c r="A108" s="44">
        <f>A107+1</f>
        <v>94</v>
      </c>
      <c r="B108" s="72">
        <v>46056</v>
      </c>
      <c r="C108" s="207">
        <v>8610685</v>
      </c>
      <c r="D108" s="28">
        <v>73607483</v>
      </c>
      <c r="E108" s="29">
        <v>61.45</v>
      </c>
      <c r="F108" s="30">
        <v>564.96</v>
      </c>
      <c r="G108" s="31">
        <f>E108*F108</f>
        <v>34716.792</v>
      </c>
      <c r="H108" s="365">
        <v>46076.86</v>
      </c>
      <c r="I108" s="33">
        <f>E108*H108</f>
        <v>2831423.047</v>
      </c>
      <c r="J108" s="273" t="s">
        <v>120</v>
      </c>
      <c r="K108" s="274" t="s">
        <v>121</v>
      </c>
      <c r="L108" s="89"/>
      <c r="M108" s="44"/>
      <c r="N108" s="41"/>
      <c r="O108" s="41"/>
      <c r="P108" s="45"/>
      <c r="Q108" s="46"/>
      <c r="R108" s="41"/>
      <c r="S108" s="41"/>
      <c r="T108" s="41"/>
      <c r="U108" s="45"/>
    </row>
    <row r="109" spans="1:23">
      <c r="A109" s="44">
        <f>A108+1</f>
        <v>95</v>
      </c>
      <c r="B109" s="72">
        <v>46056</v>
      </c>
      <c r="C109" s="207">
        <v>8610685</v>
      </c>
      <c r="D109" s="28">
        <v>75052522</v>
      </c>
      <c r="E109" s="29">
        <v>61.45</v>
      </c>
      <c r="F109" s="30">
        <v>564.96</v>
      </c>
      <c r="G109" s="31">
        <f>E109*F109</f>
        <v>34716.792</v>
      </c>
      <c r="H109" s="365">
        <v>46076.86</v>
      </c>
      <c r="I109" s="33">
        <f>E109*H109</f>
        <v>2831423.047</v>
      </c>
      <c r="J109" s="273" t="s">
        <v>120</v>
      </c>
      <c r="K109" s="274" t="s">
        <v>121</v>
      </c>
      <c r="L109" s="89"/>
      <c r="M109" s="44"/>
      <c r="N109" s="41"/>
      <c r="O109" s="41"/>
      <c r="P109" s="45"/>
      <c r="Q109" s="46"/>
      <c r="R109" s="41"/>
      <c r="S109" s="41"/>
      <c r="T109" s="41"/>
      <c r="U109" s="45"/>
    </row>
    <row r="110" ht="15.75" spans="1:23">
      <c r="A110" s="75">
        <f>A109+1</f>
        <v>96</v>
      </c>
      <c r="B110" s="76">
        <v>46056</v>
      </c>
      <c r="C110" s="216">
        <v>8610685</v>
      </c>
      <c r="D110" s="47">
        <v>76079193</v>
      </c>
      <c r="E110" s="48">
        <v>61.95</v>
      </c>
      <c r="F110" s="217">
        <v>564.96</v>
      </c>
      <c r="G110" s="79">
        <f>E110*F110</f>
        <v>34999.272</v>
      </c>
      <c r="H110" s="371">
        <v>46076.86</v>
      </c>
      <c r="I110" s="80">
        <f>E110*H110</f>
        <v>2854461.477</v>
      </c>
      <c r="J110" s="273" t="s">
        <v>120</v>
      </c>
      <c r="K110" s="303" t="s">
        <v>121</v>
      </c>
      <c r="L110" s="180"/>
      <c r="M110" s="51"/>
      <c r="N110" s="52"/>
      <c r="O110" s="52"/>
      <c r="P110" s="53"/>
      <c r="Q110" s="54"/>
      <c r="R110" s="52"/>
      <c r="S110" s="52"/>
      <c r="T110" s="52"/>
      <c r="U110" s="53"/>
    </row>
    <row r="111" ht="15.75" spans="1:23">
      <c r="A111" s="55"/>
      <c r="B111" s="56"/>
      <c r="C111" s="56"/>
      <c r="D111" s="56"/>
      <c r="E111" s="370">
        <f>SUM(E100:E110)</f>
        <v>632.25</v>
      </c>
      <c r="F111" s="367"/>
      <c r="G111" s="59">
        <f>SUM(G100:G110)</f>
        <v>357195.96</v>
      </c>
      <c r="H111" s="56"/>
      <c r="I111" s="60">
        <f>SUM(I100:I110)</f>
        <v>29132094.735</v>
      </c>
      <c r="J111" s="56"/>
      <c r="K111" s="392"/>
      <c r="L111" s="393"/>
      <c r="M111" s="85"/>
      <c r="N111" s="86"/>
      <c r="O111" s="86"/>
      <c r="P111" s="87"/>
      <c r="Q111" s="85"/>
      <c r="R111" s="86"/>
      <c r="S111" s="86"/>
      <c r="T111" s="86"/>
      <c r="U111" s="87"/>
    </row>
    <row r="112" spans="1:23">
      <c r="A112" s="67">
        <v>97</v>
      </c>
      <c r="B112" s="27">
        <v>46057</v>
      </c>
      <c r="C112" s="394" t="s">
        <v>134</v>
      </c>
      <c r="D112" s="67">
        <v>73119653</v>
      </c>
      <c r="E112" s="395">
        <v>61.15</v>
      </c>
      <c r="F112" s="30">
        <v>564.96</v>
      </c>
      <c r="G112" s="31">
        <f>E112*F112</f>
        <v>34547.304</v>
      </c>
      <c r="H112" s="365">
        <v>46076.86</v>
      </c>
      <c r="I112" s="33">
        <f>E112*H112</f>
        <v>2817599.989</v>
      </c>
      <c r="J112" s="273" t="s">
        <v>120</v>
      </c>
      <c r="K112" s="274" t="s">
        <v>121</v>
      </c>
      <c r="L112" s="95"/>
      <c r="M112" s="37"/>
      <c r="N112" s="38"/>
      <c r="O112" s="38"/>
      <c r="P112" s="39"/>
      <c r="Q112" s="37"/>
      <c r="R112" s="38"/>
      <c r="S112" s="38"/>
      <c r="T112" s="38"/>
      <c r="U112" s="39"/>
    </row>
    <row r="113" spans="1:21">
      <c r="A113" s="41">
        <f>A112+1</f>
        <v>98</v>
      </c>
      <c r="B113" s="72">
        <v>46057</v>
      </c>
      <c r="C113" s="333" t="s">
        <v>134</v>
      </c>
      <c r="D113" s="41">
        <v>54071782</v>
      </c>
      <c r="E113" s="101">
        <v>61</v>
      </c>
      <c r="F113" s="30">
        <v>564.96</v>
      </c>
      <c r="G113" s="31">
        <f>E113*F113</f>
        <v>34462.56</v>
      </c>
      <c r="H113" s="365">
        <v>46076.86</v>
      </c>
      <c r="I113" s="33">
        <f>E113*H113</f>
        <v>2810688.46</v>
      </c>
      <c r="J113" s="273" t="s">
        <v>120</v>
      </c>
      <c r="K113" s="274" t="s">
        <v>121</v>
      </c>
      <c r="L113" s="89"/>
      <c r="M113" s="44"/>
      <c r="N113" s="41"/>
      <c r="O113" s="41"/>
      <c r="P113" s="45"/>
      <c r="Q113" s="44"/>
      <c r="R113" s="41"/>
      <c r="S113" s="41"/>
      <c r="T113" s="41"/>
      <c r="U113" s="45"/>
    </row>
    <row r="114" spans="1:21">
      <c r="A114" s="41">
        <f>A113+1</f>
        <v>99</v>
      </c>
      <c r="B114" s="72">
        <v>46057</v>
      </c>
      <c r="C114" s="333" t="s">
        <v>134</v>
      </c>
      <c r="D114" s="41">
        <v>54256441</v>
      </c>
      <c r="E114" s="101">
        <v>60.55</v>
      </c>
      <c r="F114" s="30">
        <v>564.96</v>
      </c>
      <c r="G114" s="31">
        <f>E114*F114</f>
        <v>34208.328</v>
      </c>
      <c r="H114" s="365">
        <v>46076.86</v>
      </c>
      <c r="I114" s="33">
        <f>E114*H114</f>
        <v>2789953.873</v>
      </c>
      <c r="J114" s="273" t="s">
        <v>120</v>
      </c>
      <c r="K114" s="274" t="s">
        <v>121</v>
      </c>
      <c r="L114" s="89"/>
      <c r="M114" s="44"/>
      <c r="N114" s="41"/>
      <c r="O114" s="41"/>
      <c r="P114" s="45"/>
      <c r="Q114" s="44"/>
      <c r="R114" s="41"/>
      <c r="S114" s="41"/>
      <c r="T114" s="41"/>
      <c r="U114" s="45"/>
    </row>
    <row r="115" spans="1:21">
      <c r="A115" s="41">
        <f>A114+1</f>
        <v>100</v>
      </c>
      <c r="B115" s="72">
        <v>46057</v>
      </c>
      <c r="C115" s="333" t="s">
        <v>134</v>
      </c>
      <c r="D115" s="41">
        <v>76982594</v>
      </c>
      <c r="E115" s="101">
        <v>60.7</v>
      </c>
      <c r="F115" s="30">
        <v>564.96</v>
      </c>
      <c r="G115" s="31">
        <f>E115*F115</f>
        <v>34293.072</v>
      </c>
      <c r="H115" s="365">
        <v>46076.86</v>
      </c>
      <c r="I115" s="33">
        <f>E115*H115</f>
        <v>2796865.402</v>
      </c>
      <c r="J115" s="273" t="s">
        <v>120</v>
      </c>
      <c r="K115" s="274" t="s">
        <v>121</v>
      </c>
      <c r="L115" s="89"/>
      <c r="M115" s="44"/>
      <c r="N115" s="41"/>
      <c r="O115" s="41"/>
      <c r="P115" s="45"/>
      <c r="Q115" s="44"/>
      <c r="R115" s="41"/>
      <c r="S115" s="41"/>
      <c r="T115" s="41"/>
      <c r="U115" s="45"/>
    </row>
    <row r="116" spans="1:21">
      <c r="A116" s="41">
        <f>A115+1</f>
        <v>101</v>
      </c>
      <c r="B116" s="72">
        <v>46057</v>
      </c>
      <c r="C116" s="333" t="s">
        <v>134</v>
      </c>
      <c r="D116" s="41">
        <v>51957496</v>
      </c>
      <c r="E116" s="101">
        <v>60.5</v>
      </c>
      <c r="F116" s="30">
        <v>564.96</v>
      </c>
      <c r="G116" s="31">
        <f>E116*F116</f>
        <v>34180.08</v>
      </c>
      <c r="H116" s="365">
        <v>46076.86</v>
      </c>
      <c r="I116" s="33">
        <f>E116*H116</f>
        <v>2787650.03</v>
      </c>
      <c r="J116" s="273" t="s">
        <v>120</v>
      </c>
      <c r="K116" s="274" t="s">
        <v>121</v>
      </c>
      <c r="L116" s="89"/>
      <c r="M116" s="44"/>
      <c r="N116" s="41"/>
      <c r="O116" s="41"/>
      <c r="P116" s="45"/>
      <c r="Q116" s="44"/>
      <c r="R116" s="41"/>
      <c r="S116" s="41"/>
      <c r="T116" s="41"/>
      <c r="U116" s="45"/>
    </row>
    <row r="117" spans="1:21">
      <c r="A117" s="41">
        <f>A116+1</f>
        <v>102</v>
      </c>
      <c r="B117" s="72">
        <v>46057</v>
      </c>
      <c r="C117" s="333" t="s">
        <v>134</v>
      </c>
      <c r="D117" s="41">
        <v>73991762</v>
      </c>
      <c r="E117" s="101">
        <v>60.1</v>
      </c>
      <c r="F117" s="30">
        <v>564.96</v>
      </c>
      <c r="G117" s="31">
        <f>E117*F117</f>
        <v>33954.096</v>
      </c>
      <c r="H117" s="365">
        <v>46076.86</v>
      </c>
      <c r="I117" s="33">
        <f>E117*H117</f>
        <v>2769219.286</v>
      </c>
      <c r="J117" s="273" t="s">
        <v>120</v>
      </c>
      <c r="K117" s="274" t="s">
        <v>121</v>
      </c>
      <c r="L117" s="89"/>
      <c r="M117" s="44"/>
      <c r="N117" s="41"/>
      <c r="O117" s="41"/>
      <c r="P117" s="45"/>
      <c r="Q117" s="44"/>
      <c r="R117" s="41"/>
      <c r="S117" s="41"/>
      <c r="T117" s="41"/>
      <c r="U117" s="45"/>
    </row>
    <row r="118" spans="1:21">
      <c r="A118" s="41">
        <f>A117+1</f>
        <v>103</v>
      </c>
      <c r="B118" s="72">
        <v>46057</v>
      </c>
      <c r="C118" s="333" t="s">
        <v>134</v>
      </c>
      <c r="D118" s="41">
        <v>50717149</v>
      </c>
      <c r="E118" s="101">
        <v>52.4</v>
      </c>
      <c r="F118" s="30">
        <v>564.96</v>
      </c>
      <c r="G118" s="31">
        <f>E118*F118</f>
        <v>29603.904</v>
      </c>
      <c r="H118" s="365">
        <v>46076.86</v>
      </c>
      <c r="I118" s="33">
        <f>E118*H118</f>
        <v>2414427.464</v>
      </c>
      <c r="J118" s="273" t="s">
        <v>120</v>
      </c>
      <c r="K118" s="274" t="s">
        <v>121</v>
      </c>
      <c r="L118" s="89"/>
      <c r="M118" s="44"/>
      <c r="N118" s="41"/>
      <c r="O118" s="41"/>
      <c r="P118" s="45"/>
      <c r="Q118" s="44"/>
      <c r="R118" s="41"/>
      <c r="S118" s="41"/>
      <c r="T118" s="41"/>
      <c r="U118" s="45"/>
    </row>
    <row r="119" spans="1:21">
      <c r="A119" s="41">
        <f>A118+1</f>
        <v>104</v>
      </c>
      <c r="B119" s="72">
        <v>46057</v>
      </c>
      <c r="C119" s="333" t="s">
        <v>134</v>
      </c>
      <c r="D119" s="41">
        <v>73219321</v>
      </c>
      <c r="E119" s="101">
        <v>60.5</v>
      </c>
      <c r="F119" s="30">
        <v>564.96</v>
      </c>
      <c r="G119" s="31">
        <f>E119*F119</f>
        <v>34180.08</v>
      </c>
      <c r="H119" s="365">
        <v>46076.86</v>
      </c>
      <c r="I119" s="33">
        <f>E119*H119</f>
        <v>2787650.03</v>
      </c>
      <c r="J119" s="273" t="s">
        <v>120</v>
      </c>
      <c r="K119" s="274" t="s">
        <v>121</v>
      </c>
      <c r="L119" s="89"/>
      <c r="M119" s="44"/>
      <c r="N119" s="41"/>
      <c r="O119" s="41"/>
      <c r="P119" s="45"/>
      <c r="Q119" s="44"/>
      <c r="R119" s="41"/>
      <c r="S119" s="41"/>
      <c r="T119" s="41"/>
      <c r="U119" s="45"/>
    </row>
    <row r="120" spans="1:21">
      <c r="A120" s="41">
        <f>A119+1</f>
        <v>105</v>
      </c>
      <c r="B120" s="72">
        <v>46057</v>
      </c>
      <c r="C120" s="333" t="s">
        <v>134</v>
      </c>
      <c r="D120" s="41">
        <v>51823391</v>
      </c>
      <c r="E120" s="101">
        <v>61.05</v>
      </c>
      <c r="F120" s="30">
        <v>564.96</v>
      </c>
      <c r="G120" s="31">
        <f>E120*F120</f>
        <v>34490.808</v>
      </c>
      <c r="H120" s="365">
        <v>46076.86</v>
      </c>
      <c r="I120" s="33">
        <f>E120*H120</f>
        <v>2812992.303</v>
      </c>
      <c r="J120" s="273" t="s">
        <v>120</v>
      </c>
      <c r="K120" s="274" t="s">
        <v>121</v>
      </c>
      <c r="L120" s="89"/>
      <c r="M120" s="44"/>
      <c r="N120" s="41"/>
      <c r="O120" s="41"/>
      <c r="P120" s="45"/>
      <c r="Q120" s="44"/>
      <c r="R120" s="41"/>
      <c r="S120" s="41"/>
      <c r="T120" s="41"/>
      <c r="U120" s="45"/>
    </row>
    <row r="121" spans="1:21">
      <c r="A121" s="41">
        <f>A120+1</f>
        <v>106</v>
      </c>
      <c r="B121" s="72">
        <v>46057</v>
      </c>
      <c r="C121" s="333" t="s">
        <v>134</v>
      </c>
      <c r="D121" s="41">
        <v>51713402</v>
      </c>
      <c r="E121" s="101">
        <v>51.3</v>
      </c>
      <c r="F121" s="30">
        <v>564.96</v>
      </c>
      <c r="G121" s="31">
        <f>E121*F121</f>
        <v>28982.448</v>
      </c>
      <c r="H121" s="365">
        <v>46076.86</v>
      </c>
      <c r="I121" s="33">
        <f>E121*H121</f>
        <v>2363742.918</v>
      </c>
      <c r="J121" s="273" t="s">
        <v>120</v>
      </c>
      <c r="K121" s="274" t="s">
        <v>121</v>
      </c>
      <c r="L121" s="89"/>
      <c r="M121" s="44"/>
      <c r="N121" s="41"/>
      <c r="O121" s="41"/>
      <c r="P121" s="45"/>
      <c r="Q121" s="44"/>
      <c r="R121" s="41"/>
      <c r="S121" s="41"/>
      <c r="T121" s="41"/>
      <c r="U121" s="45"/>
    </row>
    <row r="122" spans="1:21">
      <c r="A122" s="41">
        <f>A121+1</f>
        <v>107</v>
      </c>
      <c r="B122" s="72">
        <v>46057</v>
      </c>
      <c r="C122" s="333" t="s">
        <v>134</v>
      </c>
      <c r="D122" s="41">
        <v>53961421</v>
      </c>
      <c r="E122" s="101">
        <v>59</v>
      </c>
      <c r="F122" s="30">
        <v>564.96</v>
      </c>
      <c r="G122" s="31">
        <f>E122*F122</f>
        <v>33332.64</v>
      </c>
      <c r="H122" s="365">
        <v>46076.86</v>
      </c>
      <c r="I122" s="33">
        <f>E122*H122</f>
        <v>2718534.74</v>
      </c>
      <c r="J122" s="273" t="s">
        <v>120</v>
      </c>
      <c r="K122" s="274" t="s">
        <v>121</v>
      </c>
      <c r="L122" s="89"/>
      <c r="M122" s="44"/>
      <c r="N122" s="41"/>
      <c r="O122" s="41"/>
      <c r="P122" s="45"/>
      <c r="Q122" s="44"/>
      <c r="R122" s="41"/>
      <c r="S122" s="41"/>
      <c r="T122" s="41"/>
      <c r="U122" s="45"/>
    </row>
    <row r="123" spans="1:21">
      <c r="A123" s="41">
        <f>A122+1</f>
        <v>108</v>
      </c>
      <c r="B123" s="72">
        <v>46057</v>
      </c>
      <c r="C123" s="333" t="s">
        <v>134</v>
      </c>
      <c r="D123" s="41">
        <v>73117947</v>
      </c>
      <c r="E123" s="101">
        <v>60.5</v>
      </c>
      <c r="F123" s="30">
        <v>564.96</v>
      </c>
      <c r="G123" s="31">
        <f>E123*F123</f>
        <v>34180.08</v>
      </c>
      <c r="H123" s="365">
        <v>46076.86</v>
      </c>
      <c r="I123" s="33">
        <f>E123*H123</f>
        <v>2787650.03</v>
      </c>
      <c r="J123" s="273" t="s">
        <v>120</v>
      </c>
      <c r="K123" s="274" t="s">
        <v>121</v>
      </c>
      <c r="L123" s="89"/>
      <c r="M123" s="44"/>
      <c r="N123" s="41"/>
      <c r="O123" s="41"/>
      <c r="P123" s="45"/>
      <c r="Q123" s="44"/>
      <c r="R123" s="41"/>
      <c r="S123" s="41"/>
      <c r="T123" s="41"/>
      <c r="U123" s="45"/>
    </row>
    <row r="124" spans="1:21">
      <c r="A124" s="41">
        <f>A123+1</f>
        <v>109</v>
      </c>
      <c r="B124" s="72">
        <v>46057</v>
      </c>
      <c r="C124" s="333" t="s">
        <v>134</v>
      </c>
      <c r="D124" s="41">
        <v>73082372</v>
      </c>
      <c r="E124" s="101">
        <v>59.6</v>
      </c>
      <c r="F124" s="30">
        <v>564.96</v>
      </c>
      <c r="G124" s="31">
        <f>E124*F124</f>
        <v>33671.616</v>
      </c>
      <c r="H124" s="365">
        <v>46076.86</v>
      </c>
      <c r="I124" s="33">
        <f>E124*H124</f>
        <v>2746180.856</v>
      </c>
      <c r="J124" s="273" t="s">
        <v>120</v>
      </c>
      <c r="K124" s="274" t="s">
        <v>121</v>
      </c>
      <c r="L124" s="89"/>
      <c r="M124" s="44"/>
      <c r="N124" s="41"/>
      <c r="O124" s="41"/>
      <c r="P124" s="45"/>
      <c r="Q124" s="44"/>
      <c r="R124" s="41"/>
      <c r="S124" s="41"/>
      <c r="T124" s="41"/>
      <c r="U124" s="45"/>
    </row>
    <row r="125" spans="1:21">
      <c r="A125" s="41">
        <f>A124+1</f>
        <v>110</v>
      </c>
      <c r="B125" s="72">
        <v>46057</v>
      </c>
      <c r="C125" s="333" t="s">
        <v>134</v>
      </c>
      <c r="D125" s="41">
        <v>73176745</v>
      </c>
      <c r="E125" s="101">
        <v>61.6</v>
      </c>
      <c r="F125" s="30">
        <v>564.96</v>
      </c>
      <c r="G125" s="31">
        <f>E125*F125</f>
        <v>34801.536</v>
      </c>
      <c r="H125" s="365">
        <v>46076.86</v>
      </c>
      <c r="I125" s="33">
        <f>E125*H125</f>
        <v>2838334.576</v>
      </c>
      <c r="J125" s="273" t="s">
        <v>120</v>
      </c>
      <c r="K125" s="274" t="s">
        <v>121</v>
      </c>
      <c r="L125" s="89"/>
      <c r="M125" s="44"/>
      <c r="N125" s="41"/>
      <c r="O125" s="41"/>
      <c r="P125" s="45"/>
      <c r="Q125" s="44"/>
      <c r="R125" s="41"/>
      <c r="S125" s="41"/>
      <c r="T125" s="41"/>
      <c r="U125" s="45"/>
    </row>
    <row r="126" spans="1:21">
      <c r="A126" s="41">
        <f>A125+1</f>
        <v>111</v>
      </c>
      <c r="B126" s="72">
        <v>46057</v>
      </c>
      <c r="C126" s="333" t="s">
        <v>134</v>
      </c>
      <c r="D126" s="41">
        <v>73050650</v>
      </c>
      <c r="E126" s="101">
        <v>60.75</v>
      </c>
      <c r="F126" s="30">
        <v>564.96</v>
      </c>
      <c r="G126" s="31">
        <f>E126*F126</f>
        <v>34321.32</v>
      </c>
      <c r="H126" s="365">
        <v>46076.86</v>
      </c>
      <c r="I126" s="33">
        <f>E126*H126</f>
        <v>2799169.245</v>
      </c>
      <c r="J126" s="273" t="s">
        <v>120</v>
      </c>
      <c r="K126" s="274" t="s">
        <v>121</v>
      </c>
      <c r="L126" s="89"/>
      <c r="M126" s="44"/>
      <c r="N126" s="41"/>
      <c r="O126" s="41"/>
      <c r="P126" s="45"/>
      <c r="Q126" s="44"/>
      <c r="R126" s="41"/>
      <c r="S126" s="41"/>
      <c r="T126" s="41"/>
      <c r="U126" s="45"/>
    </row>
    <row r="127" ht="15.75" spans="1:21">
      <c r="A127" s="77">
        <f>A126+1</f>
        <v>112</v>
      </c>
      <c r="B127" s="76">
        <v>46057</v>
      </c>
      <c r="C127" s="396" t="s">
        <v>135</v>
      </c>
      <c r="D127" s="77">
        <v>54244405</v>
      </c>
      <c r="E127" s="397">
        <v>61.1</v>
      </c>
      <c r="F127" s="30">
        <v>564.96</v>
      </c>
      <c r="G127" s="31">
        <f>E127*F127</f>
        <v>34519.056</v>
      </c>
      <c r="H127" s="365">
        <v>46076.86</v>
      </c>
      <c r="I127" s="33">
        <f>E127*H127</f>
        <v>2815296.146</v>
      </c>
      <c r="J127" s="273" t="s">
        <v>120</v>
      </c>
      <c r="K127" s="274" t="s">
        <v>121</v>
      </c>
      <c r="L127" s="90"/>
      <c r="M127" s="51"/>
      <c r="N127" s="52"/>
      <c r="O127" s="52"/>
      <c r="P127" s="53"/>
      <c r="Q127" s="51"/>
      <c r="R127" s="52"/>
      <c r="S127" s="52"/>
      <c r="T127" s="52"/>
      <c r="U127" s="53"/>
    </row>
    <row r="128" ht="15.75" spans="1:21">
      <c r="A128" s="55"/>
      <c r="B128" s="56"/>
      <c r="C128" s="56"/>
      <c r="D128" s="56"/>
      <c r="E128" s="370">
        <f>SUM(E112:E127)</f>
        <v>951.8</v>
      </c>
      <c r="F128" s="367"/>
      <c r="G128" s="59">
        <f>SUM(G112:G127)</f>
        <v>537728.928</v>
      </c>
      <c r="H128" s="56"/>
      <c r="I128" s="60">
        <f>SUM(I112:I127)</f>
        <v>43855955.348</v>
      </c>
      <c r="J128" s="56"/>
      <c r="K128" s="392"/>
      <c r="L128" s="398"/>
      <c r="M128" s="55"/>
      <c r="N128" s="56"/>
      <c r="O128" s="56"/>
      <c r="P128" s="61"/>
      <c r="Q128" s="55"/>
      <c r="R128" s="56"/>
      <c r="S128" s="56"/>
      <c r="T128" s="56"/>
      <c r="U128" s="61"/>
    </row>
    <row r="129" spans="1:21">
      <c r="A129" s="26">
        <v>113</v>
      </c>
      <c r="B129" s="96">
        <v>46058</v>
      </c>
      <c r="C129" s="221">
        <v>8610735</v>
      </c>
      <c r="D129" s="107">
        <v>50033265</v>
      </c>
      <c r="E129" s="108">
        <v>60.85</v>
      </c>
      <c r="F129" s="30">
        <v>564.96</v>
      </c>
      <c r="G129" s="31">
        <f>E129*F129</f>
        <v>34377.816</v>
      </c>
      <c r="H129" s="365">
        <v>46076.86</v>
      </c>
      <c r="I129" s="33">
        <f>E129*H129</f>
        <v>2803776.931</v>
      </c>
      <c r="J129" s="301" t="s">
        <v>120</v>
      </c>
      <c r="K129" s="302" t="s">
        <v>121</v>
      </c>
      <c r="L129" s="186"/>
      <c r="M129" s="37"/>
      <c r="N129" s="38"/>
      <c r="O129" s="38"/>
      <c r="P129" s="39"/>
      <c r="Q129" s="37"/>
      <c r="R129" s="38"/>
      <c r="S129" s="38"/>
      <c r="T129" s="38"/>
      <c r="U129" s="39"/>
    </row>
    <row r="130" spans="1:21">
      <c r="A130" s="44">
        <f>A129+1</f>
        <v>114</v>
      </c>
      <c r="B130" s="72">
        <v>46058</v>
      </c>
      <c r="C130" s="207">
        <v>8610734</v>
      </c>
      <c r="D130" s="28">
        <v>50772003</v>
      </c>
      <c r="E130" s="29">
        <v>52.05</v>
      </c>
      <c r="F130" s="30">
        <v>564.96</v>
      </c>
      <c r="G130" s="31">
        <f>E130*F130</f>
        <v>29406.168</v>
      </c>
      <c r="H130" s="365">
        <v>46076.86</v>
      </c>
      <c r="I130" s="33">
        <f>E130*H130</f>
        <v>2398300.563</v>
      </c>
      <c r="J130" s="273" t="s">
        <v>120</v>
      </c>
      <c r="K130" s="274" t="s">
        <v>121</v>
      </c>
      <c r="L130" s="187"/>
      <c r="M130" s="44"/>
      <c r="N130" s="41"/>
      <c r="O130" s="41"/>
      <c r="P130" s="45"/>
      <c r="Q130" s="44"/>
      <c r="R130" s="41"/>
      <c r="S130" s="41"/>
      <c r="T130" s="41"/>
      <c r="U130" s="45"/>
    </row>
    <row r="131" spans="1:21">
      <c r="A131" s="44">
        <f>A130+1</f>
        <v>115</v>
      </c>
      <c r="B131" s="72">
        <v>46058</v>
      </c>
      <c r="C131" s="207">
        <v>8610736</v>
      </c>
      <c r="D131" s="28">
        <v>53950663</v>
      </c>
      <c r="E131" s="29">
        <v>52.7</v>
      </c>
      <c r="F131" s="30">
        <v>564.96</v>
      </c>
      <c r="G131" s="31">
        <f>E131*F131</f>
        <v>29773.392</v>
      </c>
      <c r="H131" s="365">
        <v>46076.86</v>
      </c>
      <c r="I131" s="33">
        <f>E131*H131</f>
        <v>2428250.522</v>
      </c>
      <c r="J131" s="273" t="s">
        <v>120</v>
      </c>
      <c r="K131" s="274" t="s">
        <v>121</v>
      </c>
      <c r="L131" s="399"/>
      <c r="M131" s="75"/>
      <c r="N131" s="77"/>
      <c r="O131" s="77"/>
      <c r="P131" s="91"/>
      <c r="Q131" s="75"/>
      <c r="R131" s="77"/>
      <c r="S131" s="77"/>
      <c r="T131" s="77"/>
      <c r="U131" s="91"/>
    </row>
    <row r="132" spans="1:21">
      <c r="A132" s="44">
        <f>A131+1</f>
        <v>116</v>
      </c>
      <c r="B132" s="72">
        <v>46058</v>
      </c>
      <c r="C132" s="207">
        <v>8610737</v>
      </c>
      <c r="D132" s="28">
        <v>54046412</v>
      </c>
      <c r="E132" s="29">
        <v>61</v>
      </c>
      <c r="F132" s="30">
        <v>564.96</v>
      </c>
      <c r="G132" s="31">
        <f>E132*F132</f>
        <v>34462.56</v>
      </c>
      <c r="H132" s="365">
        <v>46076.86</v>
      </c>
      <c r="I132" s="33">
        <f>E132*H132</f>
        <v>2810688.46</v>
      </c>
      <c r="J132" s="273" t="s">
        <v>120</v>
      </c>
      <c r="K132" s="274" t="s">
        <v>121</v>
      </c>
      <c r="L132" s="89"/>
      <c r="M132" s="44"/>
      <c r="N132" s="41"/>
      <c r="O132" s="41"/>
      <c r="P132" s="45"/>
      <c r="Q132" s="44"/>
      <c r="R132" s="41"/>
      <c r="S132" s="41"/>
      <c r="T132" s="41"/>
      <c r="U132" s="45"/>
    </row>
    <row r="133" spans="1:21">
      <c r="A133" s="44">
        <f>A132+1</f>
        <v>117</v>
      </c>
      <c r="B133" s="72">
        <v>46058</v>
      </c>
      <c r="C133" s="207">
        <v>8610736</v>
      </c>
      <c r="D133" s="28">
        <v>57905663</v>
      </c>
      <c r="E133" s="29">
        <v>61</v>
      </c>
      <c r="F133" s="30">
        <v>564.96</v>
      </c>
      <c r="G133" s="31">
        <f>E133*F133</f>
        <v>34462.56</v>
      </c>
      <c r="H133" s="365">
        <v>46076.86</v>
      </c>
      <c r="I133" s="33">
        <f>E133*H133</f>
        <v>2810688.46</v>
      </c>
      <c r="J133" s="273" t="s">
        <v>120</v>
      </c>
      <c r="K133" s="274" t="s">
        <v>121</v>
      </c>
      <c r="L133" s="89"/>
      <c r="M133" s="44"/>
      <c r="N133" s="41"/>
      <c r="O133" s="41"/>
      <c r="P133" s="45"/>
      <c r="Q133" s="44"/>
      <c r="R133" s="41"/>
      <c r="S133" s="41"/>
      <c r="T133" s="41"/>
      <c r="U133" s="45"/>
    </row>
    <row r="134" spans="1:21">
      <c r="A134" s="44">
        <f>A133+1</f>
        <v>118</v>
      </c>
      <c r="B134" s="72">
        <v>46058</v>
      </c>
      <c r="C134" s="207">
        <v>8610736</v>
      </c>
      <c r="D134" s="28">
        <v>73111817</v>
      </c>
      <c r="E134" s="29">
        <v>61.5</v>
      </c>
      <c r="F134" s="30">
        <v>564.96</v>
      </c>
      <c r="G134" s="31">
        <f>E134*F134</f>
        <v>34745.04</v>
      </c>
      <c r="H134" s="365">
        <v>46076.86</v>
      </c>
      <c r="I134" s="33">
        <f>E134*H134</f>
        <v>2833726.89</v>
      </c>
      <c r="J134" s="273" t="s">
        <v>120</v>
      </c>
      <c r="K134" s="274" t="s">
        <v>121</v>
      </c>
      <c r="L134" s="89"/>
      <c r="M134" s="44"/>
      <c r="N134" s="41"/>
      <c r="O134" s="41"/>
      <c r="P134" s="45"/>
      <c r="Q134" s="44"/>
      <c r="R134" s="41"/>
      <c r="S134" s="41"/>
      <c r="T134" s="41"/>
      <c r="U134" s="45"/>
    </row>
    <row r="135" spans="1:21">
      <c r="A135" s="44">
        <f>A134+1</f>
        <v>119</v>
      </c>
      <c r="B135" s="72">
        <v>46058</v>
      </c>
      <c r="C135" s="207">
        <v>8610736</v>
      </c>
      <c r="D135" s="28">
        <v>73159055</v>
      </c>
      <c r="E135" s="29">
        <v>61.55</v>
      </c>
      <c r="F135" s="30">
        <v>564.96</v>
      </c>
      <c r="G135" s="31">
        <f>E135*F135</f>
        <v>34773.288</v>
      </c>
      <c r="H135" s="365">
        <v>46076.86</v>
      </c>
      <c r="I135" s="33">
        <f>E135*H135</f>
        <v>2836030.733</v>
      </c>
      <c r="J135" s="273" t="s">
        <v>120</v>
      </c>
      <c r="K135" s="274" t="s">
        <v>121</v>
      </c>
      <c r="L135" s="89"/>
      <c r="M135" s="44"/>
      <c r="N135" s="41"/>
      <c r="O135" s="41"/>
      <c r="P135" s="45"/>
      <c r="Q135" s="44"/>
      <c r="R135" s="41"/>
      <c r="S135" s="41"/>
      <c r="T135" s="41"/>
      <c r="U135" s="45"/>
    </row>
    <row r="136" spans="1:21">
      <c r="A136" s="44">
        <f>A135+1</f>
        <v>120</v>
      </c>
      <c r="B136" s="72">
        <v>46058</v>
      </c>
      <c r="C136" s="207">
        <v>8610736</v>
      </c>
      <c r="D136" s="28">
        <v>73166522</v>
      </c>
      <c r="E136" s="29">
        <v>61.4</v>
      </c>
      <c r="F136" s="30">
        <v>564.96</v>
      </c>
      <c r="G136" s="31">
        <f>E136*F136</f>
        <v>34688.544</v>
      </c>
      <c r="H136" s="365">
        <v>46076.86</v>
      </c>
      <c r="I136" s="33">
        <f>E136*H136</f>
        <v>2829119.204</v>
      </c>
      <c r="J136" s="273" t="s">
        <v>120</v>
      </c>
      <c r="K136" s="274" t="s">
        <v>121</v>
      </c>
      <c r="L136" s="89"/>
      <c r="M136" s="44"/>
      <c r="N136" s="41"/>
      <c r="O136" s="41"/>
      <c r="P136" s="45"/>
      <c r="Q136" s="44"/>
      <c r="R136" s="41"/>
      <c r="S136" s="41"/>
      <c r="T136" s="41"/>
      <c r="U136" s="45"/>
    </row>
    <row r="137" spans="1:21">
      <c r="A137" s="44">
        <f>A136+1</f>
        <v>121</v>
      </c>
      <c r="B137" s="72">
        <v>46058</v>
      </c>
      <c r="C137" s="207">
        <v>8610736</v>
      </c>
      <c r="D137" s="28">
        <v>73177438</v>
      </c>
      <c r="E137" s="29">
        <v>61.55</v>
      </c>
      <c r="F137" s="30">
        <v>564.96</v>
      </c>
      <c r="G137" s="31">
        <f>E137*F137</f>
        <v>34773.288</v>
      </c>
      <c r="H137" s="365">
        <v>46076.86</v>
      </c>
      <c r="I137" s="33">
        <f>E137*H137</f>
        <v>2836030.733</v>
      </c>
      <c r="J137" s="273" t="s">
        <v>120</v>
      </c>
      <c r="K137" s="274" t="s">
        <v>121</v>
      </c>
      <c r="L137" s="89"/>
      <c r="M137" s="44"/>
      <c r="N137" s="41"/>
      <c r="O137" s="41"/>
      <c r="P137" s="45"/>
      <c r="Q137" s="44"/>
      <c r="R137" s="41"/>
      <c r="S137" s="41"/>
      <c r="T137" s="41"/>
      <c r="U137" s="45"/>
    </row>
    <row r="138" spans="1:21">
      <c r="A138" s="44">
        <f>A137+1</f>
        <v>122</v>
      </c>
      <c r="B138" s="72">
        <v>46058</v>
      </c>
      <c r="C138" s="207">
        <v>8610736</v>
      </c>
      <c r="D138" s="28">
        <v>73185142</v>
      </c>
      <c r="E138" s="29">
        <v>61.5</v>
      </c>
      <c r="F138" s="30">
        <v>564.96</v>
      </c>
      <c r="G138" s="31">
        <f>E138*F138</f>
        <v>34745.04</v>
      </c>
      <c r="H138" s="365">
        <v>46076.86</v>
      </c>
      <c r="I138" s="33">
        <f>E138*H138</f>
        <v>2833726.89</v>
      </c>
      <c r="J138" s="273" t="s">
        <v>120</v>
      </c>
      <c r="K138" s="274" t="s">
        <v>121</v>
      </c>
      <c r="L138" s="89"/>
      <c r="M138" s="44"/>
      <c r="N138" s="41"/>
      <c r="O138" s="41"/>
      <c r="P138" s="45"/>
      <c r="Q138" s="44"/>
      <c r="R138" s="41"/>
      <c r="S138" s="41"/>
      <c r="T138" s="41"/>
      <c r="U138" s="45"/>
    </row>
    <row r="139" spans="1:21">
      <c r="A139" s="44">
        <f>A138+1</f>
        <v>123</v>
      </c>
      <c r="B139" s="72">
        <v>46058</v>
      </c>
      <c r="C139" s="207">
        <v>8610736</v>
      </c>
      <c r="D139" s="28">
        <v>73227852</v>
      </c>
      <c r="E139" s="29">
        <v>61.4</v>
      </c>
      <c r="F139" s="30">
        <v>564.96</v>
      </c>
      <c r="G139" s="31">
        <f>E139*F139</f>
        <v>34688.544</v>
      </c>
      <c r="H139" s="365">
        <v>46076.86</v>
      </c>
      <c r="I139" s="33">
        <f>E139*H139</f>
        <v>2829119.204</v>
      </c>
      <c r="J139" s="273" t="s">
        <v>120</v>
      </c>
      <c r="K139" s="274" t="s">
        <v>121</v>
      </c>
      <c r="L139" s="89"/>
      <c r="M139" s="44"/>
      <c r="N139" s="41"/>
      <c r="O139" s="41"/>
      <c r="P139" s="45"/>
      <c r="Q139" s="44"/>
      <c r="R139" s="41"/>
      <c r="S139" s="41"/>
      <c r="T139" s="41"/>
      <c r="U139" s="45"/>
    </row>
    <row r="140" spans="1:21">
      <c r="A140" s="44">
        <f>A139+1</f>
        <v>124</v>
      </c>
      <c r="B140" s="72">
        <v>46058</v>
      </c>
      <c r="C140" s="207">
        <v>8610736</v>
      </c>
      <c r="D140" s="28">
        <v>73227928</v>
      </c>
      <c r="E140" s="29">
        <v>61.5</v>
      </c>
      <c r="F140" s="30">
        <v>564.96</v>
      </c>
      <c r="G140" s="31">
        <f>E140*F140</f>
        <v>34745.04</v>
      </c>
      <c r="H140" s="365">
        <v>46076.86</v>
      </c>
      <c r="I140" s="33">
        <f>E140*H140</f>
        <v>2833726.89</v>
      </c>
      <c r="J140" s="273" t="s">
        <v>120</v>
      </c>
      <c r="K140" s="274" t="s">
        <v>121</v>
      </c>
      <c r="L140" s="89"/>
      <c r="M140" s="44"/>
      <c r="N140" s="41"/>
      <c r="O140" s="41"/>
      <c r="P140" s="45"/>
      <c r="Q140" s="44"/>
      <c r="R140" s="41"/>
      <c r="S140" s="41"/>
      <c r="T140" s="41"/>
      <c r="U140" s="45"/>
    </row>
    <row r="141" ht="15.75" spans="1:21">
      <c r="A141" s="75">
        <f>A140+1</f>
        <v>125</v>
      </c>
      <c r="B141" s="96">
        <v>46058</v>
      </c>
      <c r="C141" s="216">
        <v>8610736</v>
      </c>
      <c r="D141" s="47">
        <v>75288126</v>
      </c>
      <c r="E141" s="48">
        <v>61.8</v>
      </c>
      <c r="F141" s="30">
        <v>564.96</v>
      </c>
      <c r="G141" s="79">
        <f>E141*F141</f>
        <v>34914.528</v>
      </c>
      <c r="H141" s="371">
        <v>46076.86</v>
      </c>
      <c r="I141" s="80">
        <f>E141*H141</f>
        <v>2847549.948</v>
      </c>
      <c r="J141" s="273" t="s">
        <v>120</v>
      </c>
      <c r="K141" s="303" t="s">
        <v>121</v>
      </c>
      <c r="L141" s="90"/>
      <c r="M141" s="51"/>
      <c r="N141" s="52"/>
      <c r="O141" s="52"/>
      <c r="P141" s="53"/>
      <c r="Q141" s="51"/>
      <c r="R141" s="52"/>
      <c r="S141" s="52"/>
      <c r="T141" s="52"/>
      <c r="U141" s="53"/>
    </row>
    <row r="142" ht="15.75" spans="1:21">
      <c r="A142" s="55"/>
      <c r="B142" s="56"/>
      <c r="C142" s="56"/>
      <c r="D142" s="56"/>
      <c r="E142" s="370">
        <f>SUM(E129:E141)</f>
        <v>779.8</v>
      </c>
      <c r="F142" s="367"/>
      <c r="G142" s="59">
        <f>SUM(G129:G141)</f>
        <v>440555.808</v>
      </c>
      <c r="H142" s="56"/>
      <c r="I142" s="60">
        <f>SUM(I129:I141)</f>
        <v>35930735.428</v>
      </c>
      <c r="J142" s="56"/>
      <c r="K142" s="92"/>
      <c r="L142" s="93"/>
      <c r="M142" s="55"/>
      <c r="N142" s="56"/>
      <c r="O142" s="56"/>
      <c r="P142" s="61"/>
      <c r="Q142" s="94"/>
      <c r="R142" s="56"/>
      <c r="S142" s="56"/>
      <c r="T142" s="56"/>
      <c r="U142" s="61"/>
    </row>
    <row r="143" spans="1:21">
      <c r="A143" s="67">
        <v>126</v>
      </c>
      <c r="B143" s="27">
        <v>46058</v>
      </c>
      <c r="C143" s="221">
        <v>8610751</v>
      </c>
      <c r="D143" s="107">
        <v>50042977</v>
      </c>
      <c r="E143" s="108">
        <v>61.45</v>
      </c>
      <c r="F143" s="30">
        <v>564.96</v>
      </c>
      <c r="G143" s="31">
        <f>E143*F143</f>
        <v>34716.792</v>
      </c>
      <c r="H143" s="365">
        <v>46076.86</v>
      </c>
      <c r="I143" s="33">
        <f>E143*H143</f>
        <v>2831423.047</v>
      </c>
      <c r="J143" s="301" t="s">
        <v>120</v>
      </c>
      <c r="K143" s="400" t="s">
        <v>121</v>
      </c>
      <c r="L143" s="401"/>
      <c r="M143" s="37"/>
      <c r="N143" s="38"/>
      <c r="O143" s="38"/>
      <c r="P143" s="39"/>
      <c r="Q143" s="271"/>
      <c r="R143" s="67"/>
      <c r="S143" s="67"/>
      <c r="T143" s="67"/>
      <c r="U143" s="98"/>
    </row>
    <row r="144" spans="1:21">
      <c r="A144" s="41">
        <f>A143+1</f>
        <v>127</v>
      </c>
      <c r="B144" s="72">
        <v>46058</v>
      </c>
      <c r="C144" s="207">
        <v>8610751</v>
      </c>
      <c r="D144" s="28">
        <v>50175504</v>
      </c>
      <c r="E144" s="29">
        <v>61.55</v>
      </c>
      <c r="F144" s="30">
        <v>564.96</v>
      </c>
      <c r="G144" s="31">
        <f>E144*F144</f>
        <v>34773.288</v>
      </c>
      <c r="H144" s="365">
        <v>46076.86</v>
      </c>
      <c r="I144" s="33">
        <f>E144*H144</f>
        <v>2836030.733</v>
      </c>
      <c r="J144" s="273" t="s">
        <v>120</v>
      </c>
      <c r="K144" s="402" t="s">
        <v>121</v>
      </c>
      <c r="L144" s="187"/>
      <c r="M144" s="44"/>
      <c r="N144" s="41"/>
      <c r="O144" s="41"/>
      <c r="P144" s="45"/>
      <c r="Q144" s="46"/>
      <c r="R144" s="41"/>
      <c r="S144" s="41"/>
      <c r="T144" s="41"/>
      <c r="U144" s="45"/>
    </row>
    <row r="145" spans="1:21">
      <c r="A145" s="41">
        <f>A144+1</f>
        <v>128</v>
      </c>
      <c r="B145" s="72">
        <v>46058</v>
      </c>
      <c r="C145" s="207">
        <v>8610751</v>
      </c>
      <c r="D145" s="28">
        <v>50355502</v>
      </c>
      <c r="E145" s="29">
        <v>51.4</v>
      </c>
      <c r="F145" s="30">
        <v>564.96</v>
      </c>
      <c r="G145" s="31">
        <f>E145*F145</f>
        <v>29038.944</v>
      </c>
      <c r="H145" s="365">
        <v>46076.86</v>
      </c>
      <c r="I145" s="33">
        <f>E145*H145</f>
        <v>2368350.604</v>
      </c>
      <c r="J145" s="273" t="s">
        <v>120</v>
      </c>
      <c r="K145" s="402" t="s">
        <v>121</v>
      </c>
      <c r="L145" s="187"/>
      <c r="M145" s="44"/>
      <c r="N145" s="41"/>
      <c r="O145" s="41"/>
      <c r="P145" s="45"/>
      <c r="Q145" s="46"/>
      <c r="R145" s="41"/>
      <c r="S145" s="41"/>
      <c r="T145" s="41"/>
      <c r="U145" s="45"/>
    </row>
    <row r="146" spans="1:21">
      <c r="A146" s="41">
        <f>A145+1</f>
        <v>129</v>
      </c>
      <c r="B146" s="72">
        <v>46058</v>
      </c>
      <c r="C146" s="207">
        <v>8610752</v>
      </c>
      <c r="D146" s="28">
        <v>50357672</v>
      </c>
      <c r="E146" s="29">
        <v>53.35</v>
      </c>
      <c r="F146" s="30">
        <v>564.96</v>
      </c>
      <c r="G146" s="31">
        <f>E146*F146</f>
        <v>30140.616</v>
      </c>
      <c r="H146" s="365">
        <v>46076.86</v>
      </c>
      <c r="I146" s="33">
        <f>E146*H146</f>
        <v>2458200.481</v>
      </c>
      <c r="J146" s="273" t="s">
        <v>120</v>
      </c>
      <c r="K146" s="402" t="s">
        <v>121</v>
      </c>
      <c r="L146" s="187"/>
      <c r="M146" s="44"/>
      <c r="N146" s="41"/>
      <c r="O146" s="41"/>
      <c r="P146" s="45"/>
      <c r="Q146" s="46"/>
      <c r="R146" s="41"/>
      <c r="S146" s="41"/>
      <c r="T146" s="41"/>
      <c r="U146" s="45"/>
    </row>
    <row r="147" spans="1:21">
      <c r="A147" s="41">
        <f>A146+1</f>
        <v>130</v>
      </c>
      <c r="B147" s="72">
        <v>46058</v>
      </c>
      <c r="C147" s="207">
        <v>8610751</v>
      </c>
      <c r="D147" s="28">
        <v>50408194</v>
      </c>
      <c r="E147" s="29">
        <v>61.65</v>
      </c>
      <c r="F147" s="30">
        <v>564.96</v>
      </c>
      <c r="G147" s="31">
        <f>E147*F147</f>
        <v>34829.784</v>
      </c>
      <c r="H147" s="365">
        <v>46076.86</v>
      </c>
      <c r="I147" s="33">
        <f>E147*H147</f>
        <v>2840638.419</v>
      </c>
      <c r="J147" s="273" t="s">
        <v>120</v>
      </c>
      <c r="K147" s="402" t="s">
        <v>121</v>
      </c>
      <c r="L147" s="187"/>
      <c r="M147" s="44"/>
      <c r="N147" s="41"/>
      <c r="O147" s="41"/>
      <c r="P147" s="45"/>
      <c r="Q147" s="46"/>
      <c r="R147" s="41"/>
      <c r="S147" s="41"/>
      <c r="T147" s="41"/>
      <c r="U147" s="45"/>
    </row>
    <row r="148" spans="1:21">
      <c r="A148" s="41">
        <f>A147+1</f>
        <v>131</v>
      </c>
      <c r="B148" s="72">
        <v>46058</v>
      </c>
      <c r="C148" s="207">
        <v>8610751</v>
      </c>
      <c r="D148" s="28">
        <v>51468148</v>
      </c>
      <c r="E148" s="29">
        <v>51.7</v>
      </c>
      <c r="F148" s="30">
        <v>564.96</v>
      </c>
      <c r="G148" s="31">
        <f>E148*F148</f>
        <v>29208.432</v>
      </c>
      <c r="H148" s="365">
        <v>46076.86</v>
      </c>
      <c r="I148" s="33">
        <f>E148*H148</f>
        <v>2382173.662</v>
      </c>
      <c r="J148" s="273" t="s">
        <v>120</v>
      </c>
      <c r="K148" s="402" t="s">
        <v>121</v>
      </c>
      <c r="L148" s="187"/>
      <c r="M148" s="44"/>
      <c r="N148" s="41"/>
      <c r="O148" s="41"/>
      <c r="P148" s="45"/>
      <c r="Q148" s="46"/>
      <c r="R148" s="41"/>
      <c r="S148" s="41"/>
      <c r="T148" s="41"/>
      <c r="U148" s="45"/>
    </row>
    <row r="149" spans="1:21">
      <c r="A149" s="41">
        <f>A148+1</f>
        <v>132</v>
      </c>
      <c r="B149" s="72">
        <v>46058</v>
      </c>
      <c r="C149" s="207">
        <v>8610752</v>
      </c>
      <c r="D149" s="28">
        <v>51487247</v>
      </c>
      <c r="E149" s="29">
        <v>52.05</v>
      </c>
      <c r="F149" s="30">
        <v>564.96</v>
      </c>
      <c r="G149" s="31">
        <f>E149*F149</f>
        <v>29406.168</v>
      </c>
      <c r="H149" s="365">
        <v>46076.86</v>
      </c>
      <c r="I149" s="33">
        <f>E149*H149</f>
        <v>2398300.563</v>
      </c>
      <c r="J149" s="273" t="s">
        <v>120</v>
      </c>
      <c r="K149" s="402" t="s">
        <v>121</v>
      </c>
      <c r="L149" s="187"/>
      <c r="M149" s="44"/>
      <c r="N149" s="41"/>
      <c r="O149" s="41"/>
      <c r="P149" s="45"/>
      <c r="Q149" s="46"/>
      <c r="R149" s="41"/>
      <c r="S149" s="41"/>
      <c r="T149" s="41"/>
      <c r="U149" s="45"/>
    </row>
    <row r="150" spans="1:21">
      <c r="A150" s="41">
        <f>A149+1</f>
        <v>133</v>
      </c>
      <c r="B150" s="72">
        <v>46058</v>
      </c>
      <c r="C150" s="207">
        <v>8610752</v>
      </c>
      <c r="D150" s="28">
        <v>51514693</v>
      </c>
      <c r="E150" s="29">
        <v>60.85</v>
      </c>
      <c r="F150" s="30">
        <v>564.96</v>
      </c>
      <c r="G150" s="31">
        <f>E150*F150</f>
        <v>34377.816</v>
      </c>
      <c r="H150" s="365">
        <v>46076.86</v>
      </c>
      <c r="I150" s="33">
        <f>E150*H150</f>
        <v>2803776.931</v>
      </c>
      <c r="J150" s="273" t="s">
        <v>120</v>
      </c>
      <c r="K150" s="402" t="s">
        <v>121</v>
      </c>
      <c r="L150" s="187"/>
      <c r="M150" s="44"/>
      <c r="N150" s="41"/>
      <c r="O150" s="41"/>
      <c r="P150" s="45"/>
      <c r="Q150" s="46"/>
      <c r="R150" s="41"/>
      <c r="S150" s="41"/>
      <c r="T150" s="41"/>
      <c r="U150" s="45"/>
    </row>
    <row r="151" spans="1:21">
      <c r="A151" s="41">
        <f>A150+1</f>
        <v>134</v>
      </c>
      <c r="B151" s="72">
        <v>46058</v>
      </c>
      <c r="C151" s="207">
        <v>8610751</v>
      </c>
      <c r="D151" s="28">
        <v>51835858</v>
      </c>
      <c r="E151" s="29">
        <v>61.15</v>
      </c>
      <c r="F151" s="30">
        <v>564.96</v>
      </c>
      <c r="G151" s="31">
        <f>E151*F151</f>
        <v>34547.304</v>
      </c>
      <c r="H151" s="365">
        <v>46076.86</v>
      </c>
      <c r="I151" s="33">
        <f>E151*H151</f>
        <v>2817599.989</v>
      </c>
      <c r="J151" s="273" t="s">
        <v>120</v>
      </c>
      <c r="K151" s="402" t="s">
        <v>121</v>
      </c>
      <c r="L151" s="187"/>
      <c r="M151" s="44"/>
      <c r="N151" s="41"/>
      <c r="O151" s="41"/>
      <c r="P151" s="45"/>
      <c r="Q151" s="46"/>
      <c r="R151" s="41"/>
      <c r="S151" s="41"/>
      <c r="T151" s="41"/>
      <c r="U151" s="45"/>
    </row>
    <row r="152" spans="1:21">
      <c r="A152" s="41">
        <f>A151+1</f>
        <v>135</v>
      </c>
      <c r="B152" s="72">
        <v>46058</v>
      </c>
      <c r="C152" s="207">
        <v>8610751</v>
      </c>
      <c r="D152" s="28">
        <v>53995361</v>
      </c>
      <c r="E152" s="29">
        <v>51.75</v>
      </c>
      <c r="F152" s="30">
        <v>564.96</v>
      </c>
      <c r="G152" s="31">
        <f>E152*F152</f>
        <v>29236.68</v>
      </c>
      <c r="H152" s="365">
        <v>46076.86</v>
      </c>
      <c r="I152" s="33">
        <f>E152*H152</f>
        <v>2384477.505</v>
      </c>
      <c r="J152" s="273" t="s">
        <v>120</v>
      </c>
      <c r="K152" s="402" t="s">
        <v>121</v>
      </c>
      <c r="L152" s="187"/>
      <c r="M152" s="44"/>
      <c r="N152" s="41"/>
      <c r="O152" s="41"/>
      <c r="P152" s="45"/>
      <c r="Q152" s="46"/>
      <c r="R152" s="41"/>
      <c r="S152" s="41"/>
      <c r="T152" s="41"/>
      <c r="U152" s="45"/>
    </row>
    <row r="153" spans="1:21">
      <c r="A153" s="41">
        <f>A152+1</f>
        <v>136</v>
      </c>
      <c r="B153" s="72">
        <v>46058</v>
      </c>
      <c r="C153" s="207">
        <v>8610751</v>
      </c>
      <c r="D153" s="28">
        <v>54074679</v>
      </c>
      <c r="E153" s="29">
        <v>61.6</v>
      </c>
      <c r="F153" s="30">
        <v>564.96</v>
      </c>
      <c r="G153" s="31">
        <f>E153*F153</f>
        <v>34801.536</v>
      </c>
      <c r="H153" s="365">
        <v>46076.86</v>
      </c>
      <c r="I153" s="33">
        <f>E153*H153</f>
        <v>2838334.576</v>
      </c>
      <c r="J153" s="273" t="s">
        <v>120</v>
      </c>
      <c r="K153" s="402" t="s">
        <v>121</v>
      </c>
      <c r="L153" s="187"/>
      <c r="M153" s="44"/>
      <c r="N153" s="41"/>
      <c r="O153" s="41"/>
      <c r="P153" s="45"/>
      <c r="Q153" s="46"/>
      <c r="R153" s="41"/>
      <c r="S153" s="41"/>
      <c r="T153" s="41"/>
      <c r="U153" s="45"/>
    </row>
    <row r="154" spans="1:21">
      <c r="A154" s="41">
        <f>A153+1</f>
        <v>137</v>
      </c>
      <c r="B154" s="72">
        <v>46058</v>
      </c>
      <c r="C154" s="207">
        <v>8610752</v>
      </c>
      <c r="D154" s="28">
        <v>54099551</v>
      </c>
      <c r="E154" s="29">
        <v>61.25</v>
      </c>
      <c r="F154" s="30">
        <v>564.96</v>
      </c>
      <c r="G154" s="31">
        <f>E154*F154</f>
        <v>34603.8</v>
      </c>
      <c r="H154" s="365">
        <v>46076.86</v>
      </c>
      <c r="I154" s="33">
        <f>E154*H154</f>
        <v>2822207.675</v>
      </c>
      <c r="J154" s="273" t="s">
        <v>120</v>
      </c>
      <c r="K154" s="402" t="s">
        <v>121</v>
      </c>
      <c r="L154" s="187"/>
      <c r="M154" s="44"/>
      <c r="N154" s="41"/>
      <c r="O154" s="41"/>
      <c r="P154" s="45"/>
      <c r="Q154" s="46"/>
      <c r="R154" s="41"/>
      <c r="S154" s="41"/>
      <c r="T154" s="41"/>
      <c r="U154" s="45"/>
    </row>
    <row r="155" spans="1:21">
      <c r="A155" s="41">
        <f>A154+1</f>
        <v>138</v>
      </c>
      <c r="B155" s="72">
        <v>46058</v>
      </c>
      <c r="C155" s="207">
        <v>8610751</v>
      </c>
      <c r="D155" s="28">
        <v>55948368</v>
      </c>
      <c r="E155" s="29">
        <v>61.65</v>
      </c>
      <c r="F155" s="30">
        <v>564.96</v>
      </c>
      <c r="G155" s="31">
        <f>E155*F155</f>
        <v>34829.784</v>
      </c>
      <c r="H155" s="365">
        <v>46076.86</v>
      </c>
      <c r="I155" s="33">
        <f>E155*H155</f>
        <v>2840638.419</v>
      </c>
      <c r="J155" s="273" t="s">
        <v>120</v>
      </c>
      <c r="K155" s="402" t="s">
        <v>121</v>
      </c>
      <c r="L155" s="187"/>
      <c r="M155" s="44"/>
      <c r="N155" s="41"/>
      <c r="O155" s="41"/>
      <c r="P155" s="45"/>
      <c r="Q155" s="46"/>
      <c r="R155" s="41"/>
      <c r="S155" s="41"/>
      <c r="T155" s="41"/>
      <c r="U155" s="45"/>
    </row>
    <row r="156" spans="1:21">
      <c r="A156" s="41">
        <f>A155+1</f>
        <v>139</v>
      </c>
      <c r="B156" s="72">
        <v>46058</v>
      </c>
      <c r="C156" s="207">
        <v>8610752</v>
      </c>
      <c r="D156" s="28">
        <v>56908015</v>
      </c>
      <c r="E156" s="29">
        <v>61.3</v>
      </c>
      <c r="F156" s="30">
        <v>564.96</v>
      </c>
      <c r="G156" s="31">
        <f>E156*F156</f>
        <v>34632.048</v>
      </c>
      <c r="H156" s="365">
        <v>46076.86</v>
      </c>
      <c r="I156" s="33">
        <f>E156*H156</f>
        <v>2824511.518</v>
      </c>
      <c r="J156" s="273" t="s">
        <v>120</v>
      </c>
      <c r="K156" s="402" t="s">
        <v>121</v>
      </c>
      <c r="L156" s="187"/>
      <c r="M156" s="44"/>
      <c r="N156" s="41"/>
      <c r="O156" s="41"/>
      <c r="P156" s="45"/>
      <c r="Q156" s="46"/>
      <c r="R156" s="41"/>
      <c r="S156" s="41"/>
      <c r="T156" s="41"/>
      <c r="U156" s="45"/>
    </row>
    <row r="157" spans="1:21">
      <c r="A157" s="41">
        <f>A156+1</f>
        <v>140</v>
      </c>
      <c r="B157" s="72">
        <v>46058</v>
      </c>
      <c r="C157" s="207">
        <v>8610751</v>
      </c>
      <c r="D157" s="28">
        <v>57118283</v>
      </c>
      <c r="E157" s="29">
        <v>61.45</v>
      </c>
      <c r="F157" s="30">
        <v>564.96</v>
      </c>
      <c r="G157" s="31">
        <f>E157*F157</f>
        <v>34716.792</v>
      </c>
      <c r="H157" s="365">
        <v>46076.86</v>
      </c>
      <c r="I157" s="33">
        <f>E157*H157</f>
        <v>2831423.047</v>
      </c>
      <c r="J157" s="273" t="s">
        <v>120</v>
      </c>
      <c r="K157" s="402" t="s">
        <v>121</v>
      </c>
      <c r="L157" s="187"/>
      <c r="M157" s="44"/>
      <c r="N157" s="41"/>
      <c r="O157" s="41"/>
      <c r="P157" s="45"/>
      <c r="Q157" s="46"/>
      <c r="R157" s="41"/>
      <c r="S157" s="41"/>
      <c r="T157" s="41"/>
      <c r="U157" s="45"/>
    </row>
    <row r="158" spans="1:21">
      <c r="A158" s="41">
        <f>A157+1</f>
        <v>141</v>
      </c>
      <c r="B158" s="72">
        <v>46058</v>
      </c>
      <c r="C158" s="207">
        <v>8610752</v>
      </c>
      <c r="D158" s="28">
        <v>57341505</v>
      </c>
      <c r="E158" s="29">
        <v>61.25</v>
      </c>
      <c r="F158" s="30">
        <v>564.96</v>
      </c>
      <c r="G158" s="31">
        <f>E158*F158</f>
        <v>34603.8</v>
      </c>
      <c r="H158" s="365">
        <v>46076.86</v>
      </c>
      <c r="I158" s="33">
        <f>E158*H158</f>
        <v>2822207.675</v>
      </c>
      <c r="J158" s="273" t="s">
        <v>120</v>
      </c>
      <c r="K158" s="402" t="s">
        <v>121</v>
      </c>
      <c r="L158" s="187"/>
      <c r="M158" s="44"/>
      <c r="N158" s="41"/>
      <c r="O158" s="41"/>
      <c r="P158" s="45"/>
      <c r="Q158" s="46"/>
      <c r="R158" s="41"/>
      <c r="S158" s="41"/>
      <c r="T158" s="41"/>
      <c r="U158" s="45"/>
    </row>
    <row r="159" spans="1:21">
      <c r="A159" s="41">
        <f>A158+1</f>
        <v>142</v>
      </c>
      <c r="B159" s="72">
        <v>46058</v>
      </c>
      <c r="C159" s="207">
        <v>8610752</v>
      </c>
      <c r="D159" s="28">
        <v>58644303</v>
      </c>
      <c r="E159" s="29">
        <v>61.65</v>
      </c>
      <c r="F159" s="30">
        <v>564.96</v>
      </c>
      <c r="G159" s="31">
        <f>E159*F159</f>
        <v>34829.784</v>
      </c>
      <c r="H159" s="365">
        <v>46076.86</v>
      </c>
      <c r="I159" s="33">
        <f>E159*H159</f>
        <v>2840638.419</v>
      </c>
      <c r="J159" s="273" t="s">
        <v>120</v>
      </c>
      <c r="K159" s="402" t="s">
        <v>121</v>
      </c>
      <c r="L159" s="187"/>
      <c r="M159" s="44"/>
      <c r="N159" s="41"/>
      <c r="O159" s="41"/>
      <c r="P159" s="45"/>
      <c r="Q159" s="46"/>
      <c r="R159" s="41"/>
      <c r="S159" s="41"/>
      <c r="T159" s="41"/>
      <c r="U159" s="45"/>
    </row>
    <row r="160" spans="1:21">
      <c r="A160" s="41">
        <f>A159+1</f>
        <v>143</v>
      </c>
      <c r="B160" s="72">
        <v>46058</v>
      </c>
      <c r="C160" s="207">
        <v>8610752</v>
      </c>
      <c r="D160" s="28">
        <v>71046734</v>
      </c>
      <c r="E160" s="29">
        <v>60.65</v>
      </c>
      <c r="F160" s="30">
        <v>564.96</v>
      </c>
      <c r="G160" s="31">
        <f>E160*F160</f>
        <v>34264.824</v>
      </c>
      <c r="H160" s="365">
        <v>46076.86</v>
      </c>
      <c r="I160" s="33">
        <f>E160*H160</f>
        <v>2794561.559</v>
      </c>
      <c r="J160" s="273" t="s">
        <v>120</v>
      </c>
      <c r="K160" s="402" t="s">
        <v>121</v>
      </c>
      <c r="L160" s="187"/>
      <c r="M160" s="44"/>
      <c r="N160" s="41"/>
      <c r="O160" s="41"/>
      <c r="P160" s="45"/>
      <c r="Q160" s="46"/>
      <c r="R160" s="41"/>
      <c r="S160" s="41"/>
      <c r="T160" s="41"/>
      <c r="U160" s="45"/>
    </row>
    <row r="161" spans="1:21">
      <c r="A161" s="41">
        <f>A160+1</f>
        <v>144</v>
      </c>
      <c r="B161" s="72">
        <v>46058</v>
      </c>
      <c r="C161" s="207">
        <v>8610751</v>
      </c>
      <c r="D161" s="28">
        <v>73000911</v>
      </c>
      <c r="E161" s="29">
        <v>61.55</v>
      </c>
      <c r="F161" s="30">
        <v>564.96</v>
      </c>
      <c r="G161" s="31">
        <f>E161*F161</f>
        <v>34773.288</v>
      </c>
      <c r="H161" s="365">
        <v>46076.86</v>
      </c>
      <c r="I161" s="33">
        <f>E161*H161</f>
        <v>2836030.733</v>
      </c>
      <c r="J161" s="273" t="s">
        <v>120</v>
      </c>
      <c r="K161" s="402" t="s">
        <v>121</v>
      </c>
      <c r="L161" s="187"/>
      <c r="M161" s="44"/>
      <c r="N161" s="41"/>
      <c r="O161" s="41"/>
      <c r="P161" s="45"/>
      <c r="Q161" s="46"/>
      <c r="R161" s="41"/>
      <c r="S161" s="41"/>
      <c r="T161" s="41"/>
      <c r="U161" s="45"/>
    </row>
    <row r="162" spans="1:21">
      <c r="A162" s="41">
        <f>A161+1</f>
        <v>145</v>
      </c>
      <c r="B162" s="72">
        <v>46058</v>
      </c>
      <c r="C162" s="207">
        <v>8610751</v>
      </c>
      <c r="D162" s="28">
        <v>73059545</v>
      </c>
      <c r="E162" s="29">
        <v>61.65</v>
      </c>
      <c r="F162" s="30">
        <v>564.96</v>
      </c>
      <c r="G162" s="31">
        <f>E162*F162</f>
        <v>34829.784</v>
      </c>
      <c r="H162" s="365">
        <v>46076.86</v>
      </c>
      <c r="I162" s="33">
        <f>E162*H162</f>
        <v>2840638.419</v>
      </c>
      <c r="J162" s="273" t="s">
        <v>120</v>
      </c>
      <c r="K162" s="402" t="s">
        <v>121</v>
      </c>
      <c r="L162" s="187"/>
      <c r="M162" s="44"/>
      <c r="N162" s="41"/>
      <c r="O162" s="41"/>
      <c r="P162" s="45"/>
      <c r="Q162" s="46"/>
      <c r="R162" s="41"/>
      <c r="S162" s="41"/>
      <c r="T162" s="41"/>
      <c r="U162" s="45"/>
    </row>
    <row r="163" spans="1:21">
      <c r="A163" s="41">
        <f>A162+1</f>
        <v>146</v>
      </c>
      <c r="B163" s="72">
        <v>46058</v>
      </c>
      <c r="C163" s="207">
        <v>8610752</v>
      </c>
      <c r="D163" s="28">
        <v>73196453</v>
      </c>
      <c r="E163" s="29">
        <v>61.7</v>
      </c>
      <c r="F163" s="30">
        <v>564.96</v>
      </c>
      <c r="G163" s="31">
        <f>E163*F163</f>
        <v>34858.032</v>
      </c>
      <c r="H163" s="365">
        <v>46076.86</v>
      </c>
      <c r="I163" s="33">
        <f>E163*H163</f>
        <v>2842942.262</v>
      </c>
      <c r="J163" s="273" t="s">
        <v>120</v>
      </c>
      <c r="K163" s="402" t="s">
        <v>121</v>
      </c>
      <c r="L163" s="187"/>
      <c r="M163" s="44"/>
      <c r="N163" s="41"/>
      <c r="O163" s="41"/>
      <c r="P163" s="45"/>
      <c r="Q163" s="46"/>
      <c r="R163" s="41"/>
      <c r="S163" s="41"/>
      <c r="T163" s="41"/>
      <c r="U163" s="45"/>
    </row>
    <row r="164" spans="1:21">
      <c r="A164" s="41">
        <f>A163+1</f>
        <v>147</v>
      </c>
      <c r="B164" s="72">
        <v>46058</v>
      </c>
      <c r="C164" s="207">
        <v>8610752</v>
      </c>
      <c r="D164" s="28">
        <v>73652281</v>
      </c>
      <c r="E164" s="29">
        <v>61.55</v>
      </c>
      <c r="F164" s="30">
        <v>564.96</v>
      </c>
      <c r="G164" s="31">
        <f>E164*F164</f>
        <v>34773.288</v>
      </c>
      <c r="H164" s="365">
        <v>46076.86</v>
      </c>
      <c r="I164" s="33">
        <f>E164*H164</f>
        <v>2836030.733</v>
      </c>
      <c r="J164" s="273" t="s">
        <v>120</v>
      </c>
      <c r="K164" s="402" t="s">
        <v>121</v>
      </c>
      <c r="L164" s="187"/>
      <c r="M164" s="44"/>
      <c r="N164" s="41"/>
      <c r="O164" s="41"/>
      <c r="P164" s="45"/>
      <c r="Q164" s="46"/>
      <c r="R164" s="41"/>
      <c r="S164" s="41"/>
      <c r="T164" s="41"/>
      <c r="U164" s="45"/>
    </row>
    <row r="165" spans="1:21">
      <c r="A165" s="41">
        <f>A164+1</f>
        <v>148</v>
      </c>
      <c r="B165" s="72">
        <v>46058</v>
      </c>
      <c r="C165" s="207">
        <v>8610752</v>
      </c>
      <c r="D165" s="28">
        <v>73965584</v>
      </c>
      <c r="E165" s="29">
        <v>61.55</v>
      </c>
      <c r="F165" s="30">
        <v>564.96</v>
      </c>
      <c r="G165" s="31">
        <f>E165*F165</f>
        <v>34773.288</v>
      </c>
      <c r="H165" s="365">
        <v>46076.86</v>
      </c>
      <c r="I165" s="33">
        <f>E165*H165</f>
        <v>2836030.733</v>
      </c>
      <c r="J165" s="273" t="s">
        <v>120</v>
      </c>
      <c r="K165" s="402" t="s">
        <v>121</v>
      </c>
      <c r="L165" s="187"/>
      <c r="M165" s="44"/>
      <c r="N165" s="41"/>
      <c r="O165" s="41"/>
      <c r="P165" s="45"/>
      <c r="Q165" s="46"/>
      <c r="R165" s="41"/>
      <c r="S165" s="41"/>
      <c r="T165" s="41"/>
      <c r="U165" s="45"/>
    </row>
    <row r="166" spans="1:21">
      <c r="A166" s="41">
        <f>A165+1</f>
        <v>149</v>
      </c>
      <c r="B166" s="72">
        <v>46058</v>
      </c>
      <c r="C166" s="207">
        <v>8610751</v>
      </c>
      <c r="D166" s="28">
        <v>73966764</v>
      </c>
      <c r="E166" s="29">
        <v>61.55</v>
      </c>
      <c r="F166" s="30">
        <v>564.96</v>
      </c>
      <c r="G166" s="31">
        <f>E166*F166</f>
        <v>34773.288</v>
      </c>
      <c r="H166" s="365">
        <v>46076.86</v>
      </c>
      <c r="I166" s="33">
        <f>E166*H166</f>
        <v>2836030.733</v>
      </c>
      <c r="J166" s="273" t="s">
        <v>120</v>
      </c>
      <c r="K166" s="402" t="s">
        <v>121</v>
      </c>
      <c r="L166" s="187"/>
      <c r="M166" s="44"/>
      <c r="N166" s="41"/>
      <c r="O166" s="41"/>
      <c r="P166" s="45"/>
      <c r="Q166" s="46"/>
      <c r="R166" s="41"/>
      <c r="S166" s="41"/>
      <c r="T166" s="41"/>
      <c r="U166" s="45"/>
    </row>
    <row r="167" spans="1:21">
      <c r="A167" s="41">
        <f>A166+1</f>
        <v>150</v>
      </c>
      <c r="B167" s="72">
        <v>46058</v>
      </c>
      <c r="C167" s="207">
        <v>8610752</v>
      </c>
      <c r="D167" s="28">
        <v>73989964</v>
      </c>
      <c r="E167" s="29">
        <v>61.6</v>
      </c>
      <c r="F167" s="30">
        <v>564.96</v>
      </c>
      <c r="G167" s="31">
        <f>E167*F167</f>
        <v>34801.536</v>
      </c>
      <c r="H167" s="365">
        <v>46076.86</v>
      </c>
      <c r="I167" s="33">
        <f>E167*H167</f>
        <v>2838334.576</v>
      </c>
      <c r="J167" s="273" t="s">
        <v>120</v>
      </c>
      <c r="K167" s="402" t="s">
        <v>121</v>
      </c>
      <c r="L167" s="187"/>
      <c r="M167" s="44"/>
      <c r="N167" s="41"/>
      <c r="O167" s="41"/>
      <c r="P167" s="45"/>
      <c r="Q167" s="46"/>
      <c r="R167" s="41"/>
      <c r="S167" s="41"/>
      <c r="T167" s="41"/>
      <c r="U167" s="45"/>
    </row>
    <row r="168" spans="1:21">
      <c r="A168" s="41">
        <f>A167+1</f>
        <v>151</v>
      </c>
      <c r="B168" s="72">
        <v>46058</v>
      </c>
      <c r="C168" s="207">
        <v>8610751</v>
      </c>
      <c r="D168" s="28">
        <v>75009159</v>
      </c>
      <c r="E168" s="29">
        <v>61.65</v>
      </c>
      <c r="F168" s="30">
        <v>564.96</v>
      </c>
      <c r="G168" s="31">
        <f>E168*F168</f>
        <v>34829.784</v>
      </c>
      <c r="H168" s="365">
        <v>46076.86</v>
      </c>
      <c r="I168" s="33">
        <f>E168*H168</f>
        <v>2840638.419</v>
      </c>
      <c r="J168" s="273" t="s">
        <v>120</v>
      </c>
      <c r="K168" s="402" t="s">
        <v>121</v>
      </c>
      <c r="L168" s="187"/>
      <c r="M168" s="44"/>
      <c r="N168" s="41"/>
      <c r="O168" s="41"/>
      <c r="P168" s="45"/>
      <c r="Q168" s="46"/>
      <c r="R168" s="41"/>
      <c r="S168" s="41"/>
      <c r="T168" s="41"/>
      <c r="U168" s="45"/>
    </row>
    <row r="169" spans="1:21">
      <c r="A169" s="41">
        <f>A168+1</f>
        <v>152</v>
      </c>
      <c r="B169" s="72">
        <v>46058</v>
      </c>
      <c r="C169" s="207">
        <v>8610751</v>
      </c>
      <c r="D169" s="28">
        <v>75009811</v>
      </c>
      <c r="E169" s="29">
        <v>61.5</v>
      </c>
      <c r="F169" s="30">
        <v>564.96</v>
      </c>
      <c r="G169" s="31">
        <f>E169*F169</f>
        <v>34745.04</v>
      </c>
      <c r="H169" s="365">
        <v>46076.86</v>
      </c>
      <c r="I169" s="33">
        <f>E169*H169</f>
        <v>2833726.89</v>
      </c>
      <c r="J169" s="273" t="s">
        <v>120</v>
      </c>
      <c r="K169" s="402" t="s">
        <v>121</v>
      </c>
      <c r="L169" s="187"/>
      <c r="M169" s="44"/>
      <c r="N169" s="41"/>
      <c r="O169" s="41"/>
      <c r="P169" s="45"/>
      <c r="Q169" s="46"/>
      <c r="R169" s="41"/>
      <c r="S169" s="41"/>
      <c r="T169" s="41"/>
      <c r="U169" s="45"/>
    </row>
    <row r="170" spans="1:21">
      <c r="A170" s="41">
        <f>A169+1</f>
        <v>153</v>
      </c>
      <c r="B170" s="72">
        <v>46058</v>
      </c>
      <c r="C170" s="207">
        <v>8610752</v>
      </c>
      <c r="D170" s="28">
        <v>75242537</v>
      </c>
      <c r="E170" s="29">
        <v>62.05</v>
      </c>
      <c r="F170" s="30">
        <v>564.96</v>
      </c>
      <c r="G170" s="31">
        <f>E170*F170</f>
        <v>35055.768</v>
      </c>
      <c r="H170" s="365">
        <v>46076.86</v>
      </c>
      <c r="I170" s="33">
        <f>E170*H170</f>
        <v>2859069.163</v>
      </c>
      <c r="J170" s="273" t="s">
        <v>120</v>
      </c>
      <c r="K170" s="402" t="s">
        <v>121</v>
      </c>
      <c r="L170" s="187"/>
      <c r="M170" s="44"/>
      <c r="N170" s="41"/>
      <c r="O170" s="41"/>
      <c r="P170" s="45"/>
      <c r="Q170" s="46"/>
      <c r="R170" s="41"/>
      <c r="S170" s="41"/>
      <c r="T170" s="41"/>
      <c r="U170" s="45"/>
    </row>
    <row r="171" spans="1:21">
      <c r="A171" s="41">
        <f>A170+1</f>
        <v>154</v>
      </c>
      <c r="B171" s="72">
        <v>46058</v>
      </c>
      <c r="C171" s="207">
        <v>8610752</v>
      </c>
      <c r="D171" s="28">
        <v>75292706</v>
      </c>
      <c r="E171" s="29">
        <v>62.25</v>
      </c>
      <c r="F171" s="30">
        <v>564.96</v>
      </c>
      <c r="G171" s="31">
        <f>E171*F171</f>
        <v>35168.76</v>
      </c>
      <c r="H171" s="365">
        <v>46076.86</v>
      </c>
      <c r="I171" s="33">
        <f>E171*H171</f>
        <v>2868284.535</v>
      </c>
      <c r="J171" s="273" t="s">
        <v>120</v>
      </c>
      <c r="K171" s="402" t="s">
        <v>121</v>
      </c>
      <c r="L171" s="187"/>
      <c r="M171" s="44"/>
      <c r="N171" s="41"/>
      <c r="O171" s="41"/>
      <c r="P171" s="45"/>
      <c r="Q171" s="46"/>
      <c r="R171" s="41"/>
      <c r="S171" s="41"/>
      <c r="T171" s="41"/>
      <c r="U171" s="45"/>
    </row>
    <row r="172" spans="1:21">
      <c r="A172" s="41">
        <f>A171+1</f>
        <v>155</v>
      </c>
      <c r="B172" s="72">
        <v>46058</v>
      </c>
      <c r="C172" s="207">
        <v>8610752</v>
      </c>
      <c r="D172" s="28">
        <v>75807099</v>
      </c>
      <c r="E172" s="29">
        <v>62.25</v>
      </c>
      <c r="F172" s="30">
        <v>564.96</v>
      </c>
      <c r="G172" s="31">
        <f>E172*F172</f>
        <v>35168.76</v>
      </c>
      <c r="H172" s="365">
        <v>46076.86</v>
      </c>
      <c r="I172" s="33">
        <f>E172*H172</f>
        <v>2868284.535</v>
      </c>
      <c r="J172" s="273" t="s">
        <v>120</v>
      </c>
      <c r="K172" s="402" t="s">
        <v>121</v>
      </c>
      <c r="L172" s="187"/>
      <c r="M172" s="44"/>
      <c r="N172" s="41"/>
      <c r="O172" s="41"/>
      <c r="P172" s="45"/>
      <c r="Q172" s="46"/>
      <c r="R172" s="41"/>
      <c r="S172" s="41"/>
      <c r="T172" s="41"/>
      <c r="U172" s="45"/>
    </row>
    <row r="173" ht="15.75" spans="1:21">
      <c r="A173" s="77">
        <f>A172+1</f>
        <v>156</v>
      </c>
      <c r="B173" s="76">
        <v>46058</v>
      </c>
      <c r="C173" s="216">
        <v>8610752</v>
      </c>
      <c r="D173" s="47">
        <v>76069392</v>
      </c>
      <c r="E173" s="48">
        <v>61.85</v>
      </c>
      <c r="F173" s="30">
        <v>564.96</v>
      </c>
      <c r="G173" s="79">
        <f>E173*F173</f>
        <v>34942.776</v>
      </c>
      <c r="H173" s="371">
        <v>46076.86</v>
      </c>
      <c r="I173" s="80">
        <f>E173*H173</f>
        <v>2849853.791</v>
      </c>
      <c r="J173" s="273" t="s">
        <v>120</v>
      </c>
      <c r="K173" s="403" t="s">
        <v>121</v>
      </c>
      <c r="L173" s="189"/>
      <c r="M173" s="51"/>
      <c r="N173" s="52"/>
      <c r="O173" s="52"/>
      <c r="P173" s="53"/>
      <c r="Q173" s="54"/>
      <c r="R173" s="52"/>
      <c r="S173" s="52"/>
      <c r="T173" s="52"/>
      <c r="U173" s="53"/>
    </row>
    <row r="174" ht="15.75" spans="1:21">
      <c r="A174" s="55"/>
      <c r="B174" s="56"/>
      <c r="C174" s="56"/>
      <c r="D174" s="56"/>
      <c r="E174" s="57">
        <f>SUM(E143:E173)</f>
        <v>1860.4</v>
      </c>
      <c r="F174" s="367"/>
      <c r="G174" s="59">
        <f>SUM(G143:G173)</f>
        <v>1051051.584</v>
      </c>
      <c r="H174" s="56"/>
      <c r="I174" s="60">
        <f>SUM(I143:I173)</f>
        <v>85721390.344</v>
      </c>
      <c r="J174" s="56"/>
      <c r="K174" s="92"/>
      <c r="L174" s="93"/>
      <c r="M174" s="55"/>
      <c r="N174" s="56"/>
      <c r="O174" s="56"/>
      <c r="P174" s="61"/>
      <c r="Q174" s="94"/>
      <c r="R174" s="56"/>
      <c r="S174" s="56"/>
      <c r="T174" s="56"/>
      <c r="U174" s="61"/>
    </row>
    <row r="175" spans="1:21">
      <c r="A175" s="37">
        <v>157</v>
      </c>
      <c r="B175" s="115">
        <v>46059</v>
      </c>
      <c r="C175" s="232">
        <v>8610806</v>
      </c>
      <c r="D175" s="177">
        <v>51608834</v>
      </c>
      <c r="E175" s="178">
        <v>61.05</v>
      </c>
      <c r="F175" s="30">
        <v>564.96</v>
      </c>
      <c r="G175" s="118">
        <f>E175*F175</f>
        <v>34490.808</v>
      </c>
      <c r="H175" s="404">
        <v>46076.86</v>
      </c>
      <c r="I175" s="120">
        <f>E175*H175</f>
        <v>2812992.303</v>
      </c>
      <c r="J175" s="210" t="s">
        <v>120</v>
      </c>
      <c r="K175" s="270" t="s">
        <v>121</v>
      </c>
      <c r="L175" s="179"/>
      <c r="M175" s="37"/>
      <c r="N175" s="38"/>
      <c r="O175" s="38"/>
      <c r="P175" s="39"/>
      <c r="Q175" s="40"/>
      <c r="R175" s="38"/>
      <c r="S175" s="38"/>
      <c r="T175" s="38"/>
      <c r="U175" s="39"/>
    </row>
    <row r="176" spans="1:21">
      <c r="A176" s="44">
        <f>A175+1</f>
        <v>158</v>
      </c>
      <c r="B176" s="72">
        <v>46059</v>
      </c>
      <c r="C176" s="207">
        <v>8610806</v>
      </c>
      <c r="D176" s="28">
        <v>73009870</v>
      </c>
      <c r="E176" s="29">
        <v>61.75</v>
      </c>
      <c r="F176" s="30">
        <v>564.96</v>
      </c>
      <c r="G176" s="31">
        <f>E176*F176</f>
        <v>34886.28</v>
      </c>
      <c r="H176" s="365">
        <v>46076.86</v>
      </c>
      <c r="I176" s="33">
        <f>E176*H176</f>
        <v>2845246.105</v>
      </c>
      <c r="J176" s="273" t="s">
        <v>120</v>
      </c>
      <c r="K176" s="274" t="s">
        <v>121</v>
      </c>
      <c r="L176" s="89"/>
      <c r="M176" s="44"/>
      <c r="N176" s="41"/>
      <c r="O176" s="41"/>
      <c r="P176" s="45"/>
      <c r="Q176" s="46"/>
      <c r="R176" s="41"/>
      <c r="S176" s="41"/>
      <c r="T176" s="41"/>
      <c r="U176" s="45"/>
    </row>
    <row r="177" spans="1:21">
      <c r="A177" s="44">
        <f>A176+1</f>
        <v>159</v>
      </c>
      <c r="B177" s="72">
        <v>46059</v>
      </c>
      <c r="C177" s="207">
        <v>8610806</v>
      </c>
      <c r="D177" s="28">
        <v>73092470</v>
      </c>
      <c r="E177" s="29">
        <v>61.65</v>
      </c>
      <c r="F177" s="30">
        <v>564.96</v>
      </c>
      <c r="G177" s="31">
        <f>E177*F177</f>
        <v>34829.784</v>
      </c>
      <c r="H177" s="365">
        <v>46076.86</v>
      </c>
      <c r="I177" s="33">
        <f>E177*H177</f>
        <v>2840638.419</v>
      </c>
      <c r="J177" s="273" t="s">
        <v>120</v>
      </c>
      <c r="K177" s="274" t="s">
        <v>121</v>
      </c>
      <c r="L177" s="89"/>
      <c r="M177" s="44"/>
      <c r="N177" s="41"/>
      <c r="O177" s="41"/>
      <c r="P177" s="45"/>
      <c r="Q177" s="46"/>
      <c r="R177" s="41"/>
      <c r="S177" s="41"/>
      <c r="T177" s="41"/>
      <c r="U177" s="45"/>
    </row>
    <row r="178" spans="1:21">
      <c r="A178" s="44">
        <f>A177+1</f>
        <v>160</v>
      </c>
      <c r="B178" s="72">
        <v>46059</v>
      </c>
      <c r="C178" s="207">
        <v>8610806</v>
      </c>
      <c r="D178" s="28">
        <v>73106007</v>
      </c>
      <c r="E178" s="29">
        <v>61.7</v>
      </c>
      <c r="F178" s="30">
        <v>564.96</v>
      </c>
      <c r="G178" s="31">
        <f>E178*F178</f>
        <v>34858.032</v>
      </c>
      <c r="H178" s="365">
        <v>46076.86</v>
      </c>
      <c r="I178" s="33">
        <f>E178*H178</f>
        <v>2842942.262</v>
      </c>
      <c r="J178" s="273" t="s">
        <v>120</v>
      </c>
      <c r="K178" s="274" t="s">
        <v>121</v>
      </c>
      <c r="L178" s="89"/>
      <c r="M178" s="44"/>
      <c r="N178" s="41"/>
      <c r="O178" s="41"/>
      <c r="P178" s="45"/>
      <c r="Q178" s="46"/>
      <c r="R178" s="41"/>
      <c r="S178" s="41"/>
      <c r="T178" s="41"/>
      <c r="U178" s="45"/>
    </row>
    <row r="179" spans="1:21">
      <c r="A179" s="44">
        <f>A178+1</f>
        <v>161</v>
      </c>
      <c r="B179" s="72">
        <v>46059</v>
      </c>
      <c r="C179" s="207">
        <v>8610806</v>
      </c>
      <c r="D179" s="28">
        <v>73107765</v>
      </c>
      <c r="E179" s="29">
        <v>61.7</v>
      </c>
      <c r="F179" s="30">
        <v>564.96</v>
      </c>
      <c r="G179" s="31">
        <f>E179*F179</f>
        <v>34858.032</v>
      </c>
      <c r="H179" s="365">
        <v>46076.86</v>
      </c>
      <c r="I179" s="33">
        <f>E179*H179</f>
        <v>2842942.262</v>
      </c>
      <c r="J179" s="273" t="s">
        <v>120</v>
      </c>
      <c r="K179" s="274" t="s">
        <v>121</v>
      </c>
      <c r="L179" s="89"/>
      <c r="M179" s="44"/>
      <c r="N179" s="41"/>
      <c r="O179" s="41"/>
      <c r="P179" s="45"/>
      <c r="Q179" s="46"/>
      <c r="R179" s="41"/>
      <c r="S179" s="41"/>
      <c r="T179" s="41"/>
      <c r="U179" s="45"/>
    </row>
    <row r="180" spans="1:21">
      <c r="A180" s="44">
        <f>A179+1</f>
        <v>162</v>
      </c>
      <c r="B180" s="72">
        <v>46059</v>
      </c>
      <c r="C180" s="207">
        <v>8610806</v>
      </c>
      <c r="D180" s="28">
        <v>73110959</v>
      </c>
      <c r="E180" s="29">
        <v>61.6</v>
      </c>
      <c r="F180" s="30">
        <v>564.96</v>
      </c>
      <c r="G180" s="31">
        <f>E180*F180</f>
        <v>34801.536</v>
      </c>
      <c r="H180" s="365">
        <v>46076.86</v>
      </c>
      <c r="I180" s="33">
        <f>E180*H180</f>
        <v>2838334.576</v>
      </c>
      <c r="J180" s="273" t="s">
        <v>120</v>
      </c>
      <c r="K180" s="274" t="s">
        <v>121</v>
      </c>
      <c r="L180" s="89"/>
      <c r="M180" s="44"/>
      <c r="N180" s="41"/>
      <c r="O180" s="41"/>
      <c r="P180" s="45"/>
      <c r="Q180" s="46"/>
      <c r="R180" s="41"/>
      <c r="S180" s="41"/>
      <c r="T180" s="41"/>
      <c r="U180" s="45"/>
    </row>
    <row r="181" spans="1:21">
      <c r="A181" s="44">
        <f>A180+1</f>
        <v>163</v>
      </c>
      <c r="B181" s="72">
        <v>46059</v>
      </c>
      <c r="C181" s="207">
        <v>8610806</v>
      </c>
      <c r="D181" s="28">
        <v>73112641</v>
      </c>
      <c r="E181" s="29">
        <v>61.7</v>
      </c>
      <c r="F181" s="30">
        <v>564.96</v>
      </c>
      <c r="G181" s="31">
        <f>E181*F181</f>
        <v>34858.032</v>
      </c>
      <c r="H181" s="365">
        <v>46076.86</v>
      </c>
      <c r="I181" s="33">
        <f>E181*H181</f>
        <v>2842942.262</v>
      </c>
      <c r="J181" s="273" t="s">
        <v>120</v>
      </c>
      <c r="K181" s="274" t="s">
        <v>121</v>
      </c>
      <c r="L181" s="89"/>
      <c r="M181" s="44"/>
      <c r="N181" s="41"/>
      <c r="O181" s="41"/>
      <c r="P181" s="45"/>
      <c r="Q181" s="46"/>
      <c r="R181" s="41"/>
      <c r="S181" s="41"/>
      <c r="T181" s="41"/>
      <c r="U181" s="45"/>
    </row>
    <row r="182" spans="1:21">
      <c r="A182" s="44">
        <f>A181+1</f>
        <v>164</v>
      </c>
      <c r="B182" s="72">
        <v>46059</v>
      </c>
      <c r="C182" s="207">
        <v>8610806</v>
      </c>
      <c r="D182" s="28">
        <v>73125221</v>
      </c>
      <c r="E182" s="29">
        <v>61.65</v>
      </c>
      <c r="F182" s="30">
        <v>564.96</v>
      </c>
      <c r="G182" s="31">
        <f>E182*F182</f>
        <v>34829.784</v>
      </c>
      <c r="H182" s="365">
        <v>46076.86</v>
      </c>
      <c r="I182" s="33">
        <f>E182*H182</f>
        <v>2840638.419</v>
      </c>
      <c r="J182" s="273" t="s">
        <v>120</v>
      </c>
      <c r="K182" s="274" t="s">
        <v>121</v>
      </c>
      <c r="L182" s="89"/>
      <c r="M182" s="44"/>
      <c r="N182" s="41"/>
      <c r="O182" s="41"/>
      <c r="P182" s="45"/>
      <c r="Q182" s="46"/>
      <c r="R182" s="41"/>
      <c r="S182" s="41"/>
      <c r="T182" s="41"/>
      <c r="U182" s="45"/>
    </row>
    <row r="183" spans="1:21">
      <c r="A183" s="44">
        <f>A182+1</f>
        <v>165</v>
      </c>
      <c r="B183" s="72">
        <v>46059</v>
      </c>
      <c r="C183" s="207">
        <v>8610806</v>
      </c>
      <c r="D183" s="28">
        <v>73159170</v>
      </c>
      <c r="E183" s="29">
        <v>61.7</v>
      </c>
      <c r="F183" s="30">
        <v>564.96</v>
      </c>
      <c r="G183" s="31">
        <f>E183*F183</f>
        <v>34858.032</v>
      </c>
      <c r="H183" s="365">
        <v>46076.86</v>
      </c>
      <c r="I183" s="33">
        <f>E183*H183</f>
        <v>2842942.262</v>
      </c>
      <c r="J183" s="273" t="s">
        <v>120</v>
      </c>
      <c r="K183" s="274" t="s">
        <v>121</v>
      </c>
      <c r="L183" s="89"/>
      <c r="M183" s="44"/>
      <c r="N183" s="41"/>
      <c r="O183" s="41"/>
      <c r="P183" s="45"/>
      <c r="Q183" s="46"/>
      <c r="R183" s="41"/>
      <c r="S183" s="41"/>
      <c r="T183" s="41"/>
      <c r="U183" s="45"/>
    </row>
    <row r="184" ht="15.75" spans="1:21">
      <c r="A184" s="51">
        <f>A183+1</f>
        <v>166</v>
      </c>
      <c r="B184" s="157">
        <v>46059</v>
      </c>
      <c r="C184" s="226">
        <v>8610806</v>
      </c>
      <c r="D184" s="158">
        <v>73170201</v>
      </c>
      <c r="E184" s="162">
        <v>61.6</v>
      </c>
      <c r="F184" s="30">
        <v>564.96</v>
      </c>
      <c r="G184" s="163">
        <f>E184*F184</f>
        <v>34801.536</v>
      </c>
      <c r="H184" s="376">
        <v>46076.86</v>
      </c>
      <c r="I184" s="164">
        <f>E184*H184</f>
        <v>2838334.576</v>
      </c>
      <c r="J184" s="276" t="s">
        <v>120</v>
      </c>
      <c r="K184" s="277" t="s">
        <v>121</v>
      </c>
      <c r="L184" s="180"/>
      <c r="M184" s="51"/>
      <c r="N184" s="52"/>
      <c r="O184" s="52"/>
      <c r="P184" s="53"/>
      <c r="Q184" s="54"/>
      <c r="R184" s="52"/>
      <c r="S184" s="52"/>
      <c r="T184" s="52"/>
      <c r="U184" s="53"/>
    </row>
    <row r="185" ht="15.75" spans="1:21">
      <c r="A185" s="55"/>
      <c r="B185" s="56"/>
      <c r="C185" s="56"/>
      <c r="D185" s="56"/>
      <c r="E185" s="57">
        <f>SUM(E175:E184)</f>
        <v>616.1</v>
      </c>
      <c r="F185" s="367"/>
      <c r="G185" s="59">
        <f>SUM(G175:G184)</f>
        <v>348071.856</v>
      </c>
      <c r="H185" s="56"/>
      <c r="I185" s="60">
        <f>SUM(I175:I184)</f>
        <v>28387953.446</v>
      </c>
      <c r="J185" s="56"/>
      <c r="K185" s="92"/>
      <c r="L185" s="93"/>
      <c r="M185" s="85"/>
      <c r="N185" s="86"/>
      <c r="O185" s="86"/>
      <c r="P185" s="87"/>
      <c r="Q185" s="88"/>
      <c r="R185" s="86"/>
      <c r="S185" s="86"/>
      <c r="T185" s="86"/>
      <c r="U185" s="87"/>
    </row>
    <row r="186" spans="1:21">
      <c r="A186" s="67">
        <v>167</v>
      </c>
      <c r="B186" s="27">
        <v>46060</v>
      </c>
      <c r="C186" s="221">
        <v>8610822</v>
      </c>
      <c r="D186" s="107">
        <v>50034370</v>
      </c>
      <c r="E186" s="108">
        <v>60.95</v>
      </c>
      <c r="F186" s="30">
        <v>564.96</v>
      </c>
      <c r="G186" s="31">
        <f>E186*F186</f>
        <v>34434.312</v>
      </c>
      <c r="H186" s="365">
        <v>46076.86</v>
      </c>
      <c r="I186" s="33">
        <f>E186*H186</f>
        <v>2808384.617</v>
      </c>
      <c r="J186" s="301" t="s">
        <v>120</v>
      </c>
      <c r="K186" s="302" t="s">
        <v>121</v>
      </c>
      <c r="L186" s="95"/>
      <c r="M186" s="37"/>
      <c r="N186" s="38"/>
      <c r="O186" s="38"/>
      <c r="P186" s="179"/>
      <c r="Q186" s="37"/>
      <c r="R186" s="38"/>
      <c r="S186" s="38"/>
      <c r="T186" s="38"/>
      <c r="U186" s="39"/>
    </row>
    <row r="187" spans="1:21">
      <c r="A187" s="41">
        <f>A186+1</f>
        <v>168</v>
      </c>
      <c r="B187" s="72">
        <v>46060</v>
      </c>
      <c r="C187" s="207">
        <v>8610822</v>
      </c>
      <c r="D187" s="28">
        <v>50133438</v>
      </c>
      <c r="E187" s="29">
        <v>61.2</v>
      </c>
      <c r="F187" s="30">
        <v>564.96</v>
      </c>
      <c r="G187" s="31">
        <f>E187*F187</f>
        <v>34575.552</v>
      </c>
      <c r="H187" s="365">
        <v>46076.86</v>
      </c>
      <c r="I187" s="33">
        <f>E187*H187</f>
        <v>2819903.832</v>
      </c>
      <c r="J187" s="273" t="s">
        <v>120</v>
      </c>
      <c r="K187" s="274" t="s">
        <v>121</v>
      </c>
      <c r="L187" s="89"/>
      <c r="M187" s="44"/>
      <c r="N187" s="41"/>
      <c r="O187" s="41"/>
      <c r="P187" s="89"/>
      <c r="Q187" s="44"/>
      <c r="R187" s="41"/>
      <c r="S187" s="41"/>
      <c r="T187" s="41"/>
      <c r="U187" s="45"/>
    </row>
    <row r="188" spans="1:21">
      <c r="A188" s="41">
        <f>A187+1</f>
        <v>169</v>
      </c>
      <c r="B188" s="72">
        <v>46060</v>
      </c>
      <c r="C188" s="207">
        <v>8610822</v>
      </c>
      <c r="D188" s="28">
        <v>50214477</v>
      </c>
      <c r="E188" s="29">
        <v>61.25</v>
      </c>
      <c r="F188" s="30">
        <v>564.96</v>
      </c>
      <c r="G188" s="31">
        <f>E188*F188</f>
        <v>34603.8</v>
      </c>
      <c r="H188" s="365">
        <v>46076.86</v>
      </c>
      <c r="I188" s="33">
        <f>E188*H188</f>
        <v>2822207.675</v>
      </c>
      <c r="J188" s="273" t="s">
        <v>120</v>
      </c>
      <c r="K188" s="274" t="s">
        <v>121</v>
      </c>
      <c r="L188" s="89"/>
      <c r="M188" s="44"/>
      <c r="N188" s="41"/>
      <c r="O188" s="41"/>
      <c r="P188" s="89"/>
      <c r="Q188" s="44"/>
      <c r="R188" s="41"/>
      <c r="S188" s="41"/>
      <c r="T188" s="41"/>
      <c r="U188" s="45"/>
    </row>
    <row r="189" spans="1:21">
      <c r="A189" s="41">
        <f>A188+1</f>
        <v>170</v>
      </c>
      <c r="B189" s="72">
        <v>46060</v>
      </c>
      <c r="C189" s="207">
        <v>8610820</v>
      </c>
      <c r="D189" s="28">
        <v>50292465</v>
      </c>
      <c r="E189" s="29">
        <v>61.2</v>
      </c>
      <c r="F189" s="30">
        <v>564.96</v>
      </c>
      <c r="G189" s="31">
        <f>E189*F189</f>
        <v>34575.552</v>
      </c>
      <c r="H189" s="365">
        <v>46076.86</v>
      </c>
      <c r="I189" s="33">
        <f>E189*H189</f>
        <v>2819903.832</v>
      </c>
      <c r="J189" s="273" t="s">
        <v>120</v>
      </c>
      <c r="K189" s="274" t="s">
        <v>121</v>
      </c>
      <c r="L189" s="89"/>
      <c r="M189" s="44"/>
      <c r="N189" s="41"/>
      <c r="O189" s="41"/>
      <c r="P189" s="89"/>
      <c r="Q189" s="44"/>
      <c r="R189" s="41"/>
      <c r="S189" s="41"/>
      <c r="T189" s="41"/>
      <c r="U189" s="45"/>
    </row>
    <row r="190" spans="1:21">
      <c r="A190" s="41">
        <f>A189+1</f>
        <v>171</v>
      </c>
      <c r="B190" s="72">
        <v>46060</v>
      </c>
      <c r="C190" s="207">
        <v>8610821</v>
      </c>
      <c r="D190" s="28">
        <v>50417401</v>
      </c>
      <c r="E190" s="29">
        <v>61.15</v>
      </c>
      <c r="F190" s="30">
        <v>564.96</v>
      </c>
      <c r="G190" s="31">
        <f>E190*F190</f>
        <v>34547.304</v>
      </c>
      <c r="H190" s="365">
        <v>46076.86</v>
      </c>
      <c r="I190" s="33">
        <f>E190*H190</f>
        <v>2817599.989</v>
      </c>
      <c r="J190" s="273" t="s">
        <v>120</v>
      </c>
      <c r="K190" s="274" t="s">
        <v>121</v>
      </c>
      <c r="L190" s="89"/>
      <c r="M190" s="44"/>
      <c r="N190" s="41"/>
      <c r="O190" s="41"/>
      <c r="P190" s="89"/>
      <c r="Q190" s="44"/>
      <c r="R190" s="41"/>
      <c r="S190" s="41"/>
      <c r="T190" s="41"/>
      <c r="U190" s="45"/>
    </row>
    <row r="191" spans="1:21">
      <c r="A191" s="41">
        <f>A190+1</f>
        <v>172</v>
      </c>
      <c r="B191" s="72">
        <v>46060</v>
      </c>
      <c r="C191" s="207">
        <v>8610821</v>
      </c>
      <c r="D191" s="28">
        <v>50487636</v>
      </c>
      <c r="E191" s="29">
        <v>61.15</v>
      </c>
      <c r="F191" s="30">
        <v>564.96</v>
      </c>
      <c r="G191" s="31">
        <f>E191*F191</f>
        <v>34547.304</v>
      </c>
      <c r="H191" s="365">
        <v>46076.86</v>
      </c>
      <c r="I191" s="33">
        <f>E191*H191</f>
        <v>2817599.989</v>
      </c>
      <c r="J191" s="273" t="s">
        <v>120</v>
      </c>
      <c r="K191" s="274" t="s">
        <v>121</v>
      </c>
      <c r="L191" s="89"/>
      <c r="M191" s="44"/>
      <c r="N191" s="41"/>
      <c r="O191" s="41"/>
      <c r="P191" s="89"/>
      <c r="Q191" s="44"/>
      <c r="R191" s="41"/>
      <c r="S191" s="41"/>
      <c r="T191" s="41"/>
      <c r="U191" s="45"/>
    </row>
    <row r="192" spans="1:21">
      <c r="A192" s="41">
        <f>A191+1</f>
        <v>173</v>
      </c>
      <c r="B192" s="72">
        <v>46060</v>
      </c>
      <c r="C192" s="207">
        <v>8610820</v>
      </c>
      <c r="D192" s="28">
        <v>50765809</v>
      </c>
      <c r="E192" s="29">
        <v>52.7</v>
      </c>
      <c r="F192" s="30">
        <v>564.96</v>
      </c>
      <c r="G192" s="31">
        <f>E192*F192</f>
        <v>29773.392</v>
      </c>
      <c r="H192" s="365">
        <v>46076.86</v>
      </c>
      <c r="I192" s="33">
        <f>E192*H192</f>
        <v>2428250.522</v>
      </c>
      <c r="J192" s="273" t="s">
        <v>120</v>
      </c>
      <c r="K192" s="274" t="s">
        <v>121</v>
      </c>
      <c r="L192" s="89"/>
      <c r="M192" s="44"/>
      <c r="N192" s="41"/>
      <c r="O192" s="41"/>
      <c r="P192" s="89"/>
      <c r="Q192" s="44"/>
      <c r="R192" s="41"/>
      <c r="S192" s="41"/>
      <c r="T192" s="41"/>
      <c r="U192" s="45"/>
    </row>
    <row r="193" spans="1:21">
      <c r="A193" s="41">
        <f>A192+1</f>
        <v>174</v>
      </c>
      <c r="B193" s="72">
        <v>46060</v>
      </c>
      <c r="C193" s="207">
        <v>8610821</v>
      </c>
      <c r="D193" s="28">
        <v>51224608</v>
      </c>
      <c r="E193" s="29">
        <v>61.55</v>
      </c>
      <c r="F193" s="30">
        <v>564.96</v>
      </c>
      <c r="G193" s="31">
        <f>E193*F193</f>
        <v>34773.288</v>
      </c>
      <c r="H193" s="365">
        <v>46076.86</v>
      </c>
      <c r="I193" s="33">
        <f>E193*H193</f>
        <v>2836030.733</v>
      </c>
      <c r="J193" s="273" t="s">
        <v>120</v>
      </c>
      <c r="K193" s="274" t="s">
        <v>121</v>
      </c>
      <c r="L193" s="89"/>
      <c r="M193" s="44"/>
      <c r="N193" s="41"/>
      <c r="O193" s="41"/>
      <c r="P193" s="89"/>
      <c r="Q193" s="44"/>
      <c r="R193" s="41"/>
      <c r="S193" s="41"/>
      <c r="T193" s="41"/>
      <c r="U193" s="45"/>
    </row>
    <row r="194" spans="1:21">
      <c r="A194" s="41">
        <f>A193+1</f>
        <v>175</v>
      </c>
      <c r="B194" s="72">
        <v>46060</v>
      </c>
      <c r="C194" s="207">
        <v>8610821</v>
      </c>
      <c r="D194" s="28">
        <v>51368181</v>
      </c>
      <c r="E194" s="29">
        <v>52.6</v>
      </c>
      <c r="F194" s="30">
        <v>564.96</v>
      </c>
      <c r="G194" s="31">
        <f>E194*F194</f>
        <v>29716.896</v>
      </c>
      <c r="H194" s="365">
        <v>46076.86</v>
      </c>
      <c r="I194" s="33">
        <f>E194*H194</f>
        <v>2423642.836</v>
      </c>
      <c r="J194" s="273" t="s">
        <v>120</v>
      </c>
      <c r="K194" s="274" t="s">
        <v>121</v>
      </c>
      <c r="L194" s="89"/>
      <c r="M194" s="44"/>
      <c r="N194" s="41"/>
      <c r="O194" s="41"/>
      <c r="P194" s="89"/>
      <c r="Q194" s="44"/>
      <c r="R194" s="41"/>
      <c r="S194" s="41"/>
      <c r="T194" s="41"/>
      <c r="U194" s="45"/>
    </row>
    <row r="195" spans="1:21">
      <c r="A195" s="41">
        <f>A194+1</f>
        <v>176</v>
      </c>
      <c r="B195" s="72">
        <v>46060</v>
      </c>
      <c r="C195" s="207">
        <v>8610821</v>
      </c>
      <c r="D195" s="28">
        <v>51405488</v>
      </c>
      <c r="E195" s="29">
        <v>51.75</v>
      </c>
      <c r="F195" s="30">
        <v>564.96</v>
      </c>
      <c r="G195" s="31">
        <f>E195*F195</f>
        <v>29236.68</v>
      </c>
      <c r="H195" s="365">
        <v>46076.86</v>
      </c>
      <c r="I195" s="33">
        <f>E195*H195</f>
        <v>2384477.505</v>
      </c>
      <c r="J195" s="273" t="s">
        <v>120</v>
      </c>
      <c r="K195" s="274" t="s">
        <v>121</v>
      </c>
      <c r="L195" s="89"/>
      <c r="M195" s="44"/>
      <c r="N195" s="41"/>
      <c r="O195" s="41"/>
      <c r="P195" s="89"/>
      <c r="Q195" s="44"/>
      <c r="R195" s="41"/>
      <c r="S195" s="41"/>
      <c r="T195" s="41"/>
      <c r="U195" s="45"/>
    </row>
    <row r="196" spans="1:21">
      <c r="A196" s="41">
        <f>A195+1</f>
        <v>177</v>
      </c>
      <c r="B196" s="72">
        <v>46060</v>
      </c>
      <c r="C196" s="207">
        <v>8610820</v>
      </c>
      <c r="D196" s="28">
        <v>51609642</v>
      </c>
      <c r="E196" s="29">
        <v>61.1</v>
      </c>
      <c r="F196" s="30">
        <v>564.96</v>
      </c>
      <c r="G196" s="31">
        <f>E196*F196</f>
        <v>34519.056</v>
      </c>
      <c r="H196" s="365">
        <v>46076.86</v>
      </c>
      <c r="I196" s="33">
        <f>E196*H196</f>
        <v>2815296.146</v>
      </c>
      <c r="J196" s="273" t="s">
        <v>120</v>
      </c>
      <c r="K196" s="274" t="s">
        <v>121</v>
      </c>
      <c r="L196" s="89"/>
      <c r="M196" s="44"/>
      <c r="N196" s="41"/>
      <c r="O196" s="41"/>
      <c r="P196" s="89"/>
      <c r="Q196" s="44"/>
      <c r="R196" s="41"/>
      <c r="S196" s="41"/>
      <c r="T196" s="41"/>
      <c r="U196" s="45"/>
    </row>
    <row r="197" spans="1:21">
      <c r="A197" s="41">
        <f>A196+1</f>
        <v>178</v>
      </c>
      <c r="B197" s="72">
        <v>46060</v>
      </c>
      <c r="C197" s="207">
        <v>8610821</v>
      </c>
      <c r="D197" s="28">
        <v>51680031</v>
      </c>
      <c r="E197" s="29">
        <v>53.2</v>
      </c>
      <c r="F197" s="30">
        <v>564.96</v>
      </c>
      <c r="G197" s="31">
        <f>E197*F197</f>
        <v>30055.872</v>
      </c>
      <c r="H197" s="365">
        <v>46076.86</v>
      </c>
      <c r="I197" s="33">
        <f>E197*H197</f>
        <v>2451288.952</v>
      </c>
      <c r="J197" s="273" t="s">
        <v>120</v>
      </c>
      <c r="K197" s="274" t="s">
        <v>121</v>
      </c>
      <c r="L197" s="89"/>
      <c r="M197" s="44"/>
      <c r="N197" s="41"/>
      <c r="O197" s="41"/>
      <c r="P197" s="89"/>
      <c r="Q197" s="44"/>
      <c r="R197" s="41"/>
      <c r="S197" s="41"/>
      <c r="T197" s="41"/>
      <c r="U197" s="45"/>
    </row>
    <row r="198" spans="1:21">
      <c r="A198" s="41">
        <f>A197+1</f>
        <v>179</v>
      </c>
      <c r="B198" s="72">
        <v>46060</v>
      </c>
      <c r="C198" s="207">
        <v>8610821</v>
      </c>
      <c r="D198" s="28">
        <v>54072459</v>
      </c>
      <c r="E198" s="29">
        <v>61.1</v>
      </c>
      <c r="F198" s="30">
        <v>564.96</v>
      </c>
      <c r="G198" s="31">
        <f>E198*F198</f>
        <v>34519.056</v>
      </c>
      <c r="H198" s="365">
        <v>46076.86</v>
      </c>
      <c r="I198" s="33">
        <f>E198*H198</f>
        <v>2815296.146</v>
      </c>
      <c r="J198" s="273" t="s">
        <v>120</v>
      </c>
      <c r="K198" s="274" t="s">
        <v>121</v>
      </c>
      <c r="L198" s="89"/>
      <c r="M198" s="44"/>
      <c r="N198" s="41"/>
      <c r="O198" s="41"/>
      <c r="P198" s="89"/>
      <c r="Q198" s="44"/>
      <c r="R198" s="41"/>
      <c r="S198" s="41"/>
      <c r="T198" s="41"/>
      <c r="U198" s="45"/>
    </row>
    <row r="199" spans="1:21">
      <c r="A199" s="41">
        <f>A198+1</f>
        <v>180</v>
      </c>
      <c r="B199" s="72">
        <v>46060</v>
      </c>
      <c r="C199" s="207">
        <v>8610822</v>
      </c>
      <c r="D199" s="28">
        <v>54097522</v>
      </c>
      <c r="E199" s="29">
        <v>61.1</v>
      </c>
      <c r="F199" s="30">
        <v>564.96</v>
      </c>
      <c r="G199" s="31">
        <f>E199*F199</f>
        <v>34519.056</v>
      </c>
      <c r="H199" s="365">
        <v>46076.86</v>
      </c>
      <c r="I199" s="33">
        <f>E199*H199</f>
        <v>2815296.146</v>
      </c>
      <c r="J199" s="273" t="s">
        <v>120</v>
      </c>
      <c r="K199" s="274" t="s">
        <v>121</v>
      </c>
      <c r="L199" s="89"/>
      <c r="M199" s="44"/>
      <c r="N199" s="41"/>
      <c r="O199" s="41"/>
      <c r="P199" s="89"/>
      <c r="Q199" s="44"/>
      <c r="R199" s="41"/>
      <c r="S199" s="41"/>
      <c r="T199" s="41"/>
      <c r="U199" s="45"/>
    </row>
    <row r="200" spans="1:21">
      <c r="A200" s="41">
        <f>A199+1</f>
        <v>181</v>
      </c>
      <c r="B200" s="72">
        <v>46060</v>
      </c>
      <c r="C200" s="207">
        <v>8610820</v>
      </c>
      <c r="D200" s="28">
        <v>54255328</v>
      </c>
      <c r="E200" s="29">
        <v>61.15</v>
      </c>
      <c r="F200" s="30">
        <v>564.96</v>
      </c>
      <c r="G200" s="31">
        <f>E200*F200</f>
        <v>34547.304</v>
      </c>
      <c r="H200" s="365">
        <v>46076.86</v>
      </c>
      <c r="I200" s="33">
        <f>E200*H200</f>
        <v>2817599.989</v>
      </c>
      <c r="J200" s="273" t="s">
        <v>120</v>
      </c>
      <c r="K200" s="274" t="s">
        <v>121</v>
      </c>
      <c r="L200" s="89"/>
      <c r="M200" s="44"/>
      <c r="N200" s="41"/>
      <c r="O200" s="41"/>
      <c r="P200" s="89"/>
      <c r="Q200" s="44"/>
      <c r="R200" s="41"/>
      <c r="S200" s="41"/>
      <c r="T200" s="41"/>
      <c r="U200" s="45"/>
    </row>
    <row r="201" spans="1:21">
      <c r="A201" s="41">
        <f>A200+1</f>
        <v>182</v>
      </c>
      <c r="B201" s="72">
        <v>46060</v>
      </c>
      <c r="C201" s="207">
        <v>8610822</v>
      </c>
      <c r="D201" s="28">
        <v>54258199</v>
      </c>
      <c r="E201" s="29">
        <v>61.15</v>
      </c>
      <c r="F201" s="30">
        <v>564.96</v>
      </c>
      <c r="G201" s="31">
        <f>E201*F201</f>
        <v>34547.304</v>
      </c>
      <c r="H201" s="365">
        <v>46076.86</v>
      </c>
      <c r="I201" s="33">
        <f>E201*H201</f>
        <v>2817599.989</v>
      </c>
      <c r="J201" s="273" t="s">
        <v>120</v>
      </c>
      <c r="K201" s="274" t="s">
        <v>121</v>
      </c>
      <c r="L201" s="89"/>
      <c r="M201" s="44"/>
      <c r="N201" s="41"/>
      <c r="O201" s="41"/>
      <c r="P201" s="89"/>
      <c r="Q201" s="44"/>
      <c r="R201" s="41"/>
      <c r="S201" s="41"/>
      <c r="T201" s="41"/>
      <c r="U201" s="45"/>
    </row>
    <row r="202" spans="1:21">
      <c r="A202" s="41">
        <f>A201+1</f>
        <v>183</v>
      </c>
      <c r="B202" s="72">
        <v>46060</v>
      </c>
      <c r="C202" s="207">
        <v>8610822</v>
      </c>
      <c r="D202" s="28">
        <v>54643473</v>
      </c>
      <c r="E202" s="29">
        <v>61.35</v>
      </c>
      <c r="F202" s="30">
        <v>564.96</v>
      </c>
      <c r="G202" s="31">
        <f>E202*F202</f>
        <v>34660.296</v>
      </c>
      <c r="H202" s="365">
        <v>46076.86</v>
      </c>
      <c r="I202" s="33">
        <f>E202*H202</f>
        <v>2826815.361</v>
      </c>
      <c r="J202" s="273" t="s">
        <v>120</v>
      </c>
      <c r="K202" s="274" t="s">
        <v>121</v>
      </c>
      <c r="L202" s="89"/>
      <c r="M202" s="44"/>
      <c r="N202" s="41"/>
      <c r="O202" s="41"/>
      <c r="P202" s="89"/>
      <c r="Q202" s="44"/>
      <c r="R202" s="41"/>
      <c r="S202" s="41"/>
      <c r="T202" s="41"/>
      <c r="U202" s="45"/>
    </row>
    <row r="203" spans="1:21">
      <c r="A203" s="41">
        <f>A202+1</f>
        <v>184</v>
      </c>
      <c r="B203" s="72">
        <v>46060</v>
      </c>
      <c r="C203" s="207">
        <v>8610822</v>
      </c>
      <c r="D203" s="28">
        <v>54643952</v>
      </c>
      <c r="E203" s="29">
        <v>61.2</v>
      </c>
      <c r="F203" s="30">
        <v>564.96</v>
      </c>
      <c r="G203" s="31">
        <f>E203*F203</f>
        <v>34575.552</v>
      </c>
      <c r="H203" s="365">
        <v>46076.86</v>
      </c>
      <c r="I203" s="33">
        <f>E203*H203</f>
        <v>2819903.832</v>
      </c>
      <c r="J203" s="273" t="s">
        <v>120</v>
      </c>
      <c r="K203" s="274" t="s">
        <v>121</v>
      </c>
      <c r="L203" s="89"/>
      <c r="M203" s="44"/>
      <c r="N203" s="41"/>
      <c r="O203" s="41"/>
      <c r="P203" s="89"/>
      <c r="Q203" s="44"/>
      <c r="R203" s="41"/>
      <c r="S203" s="41"/>
      <c r="T203" s="41"/>
      <c r="U203" s="45"/>
    </row>
    <row r="204" spans="1:21">
      <c r="A204" s="41">
        <f>A203+1</f>
        <v>185</v>
      </c>
      <c r="B204" s="72">
        <v>46060</v>
      </c>
      <c r="C204" s="207">
        <v>8610820</v>
      </c>
      <c r="D204" s="28">
        <v>55837603</v>
      </c>
      <c r="E204" s="29">
        <v>61.8</v>
      </c>
      <c r="F204" s="30">
        <v>564.96</v>
      </c>
      <c r="G204" s="31">
        <f>E204*F204</f>
        <v>34914.528</v>
      </c>
      <c r="H204" s="365">
        <v>46076.86</v>
      </c>
      <c r="I204" s="33">
        <f>E204*H204</f>
        <v>2847549.948</v>
      </c>
      <c r="J204" s="273" t="s">
        <v>120</v>
      </c>
      <c r="K204" s="274" t="s">
        <v>121</v>
      </c>
      <c r="L204" s="89"/>
      <c r="M204" s="44"/>
      <c r="N204" s="41"/>
      <c r="O204" s="41"/>
      <c r="P204" s="89"/>
      <c r="Q204" s="44"/>
      <c r="R204" s="41"/>
      <c r="S204" s="41"/>
      <c r="T204" s="41"/>
      <c r="U204" s="45"/>
    </row>
    <row r="205" spans="1:21">
      <c r="A205" s="41">
        <f>A204+1</f>
        <v>186</v>
      </c>
      <c r="B205" s="72">
        <v>46060</v>
      </c>
      <c r="C205" s="207">
        <v>8610821</v>
      </c>
      <c r="D205" s="28">
        <v>57438897</v>
      </c>
      <c r="E205" s="29">
        <v>61.25</v>
      </c>
      <c r="F205" s="30">
        <v>564.96</v>
      </c>
      <c r="G205" s="31">
        <f>E205*F205</f>
        <v>34603.8</v>
      </c>
      <c r="H205" s="365">
        <v>46076.86</v>
      </c>
      <c r="I205" s="33">
        <f>E205*H205</f>
        <v>2822207.675</v>
      </c>
      <c r="J205" s="273" t="s">
        <v>120</v>
      </c>
      <c r="K205" s="274" t="s">
        <v>121</v>
      </c>
      <c r="L205" s="89"/>
      <c r="M205" s="44"/>
      <c r="N205" s="41"/>
      <c r="O205" s="41"/>
      <c r="P205" s="89"/>
      <c r="Q205" s="44"/>
      <c r="R205" s="41"/>
      <c r="S205" s="41"/>
      <c r="T205" s="41"/>
      <c r="U205" s="45"/>
    </row>
    <row r="206" spans="1:21">
      <c r="A206" s="41">
        <f>A205+1</f>
        <v>187</v>
      </c>
      <c r="B206" s="72">
        <v>46060</v>
      </c>
      <c r="C206" s="207">
        <v>8610821</v>
      </c>
      <c r="D206" s="28">
        <v>58345562</v>
      </c>
      <c r="E206" s="29">
        <v>61.15</v>
      </c>
      <c r="F206" s="30">
        <v>564.96</v>
      </c>
      <c r="G206" s="31">
        <f>E206*F206</f>
        <v>34547.304</v>
      </c>
      <c r="H206" s="365">
        <v>46076.86</v>
      </c>
      <c r="I206" s="33">
        <f>E206*H206</f>
        <v>2817599.989</v>
      </c>
      <c r="J206" s="273" t="s">
        <v>120</v>
      </c>
      <c r="K206" s="274" t="s">
        <v>121</v>
      </c>
      <c r="L206" s="89"/>
      <c r="M206" s="44"/>
      <c r="N206" s="41"/>
      <c r="O206" s="41"/>
      <c r="P206" s="89"/>
      <c r="Q206" s="44"/>
      <c r="R206" s="41"/>
      <c r="S206" s="41"/>
      <c r="T206" s="41"/>
      <c r="U206" s="45"/>
    </row>
    <row r="207" spans="1:21">
      <c r="A207" s="41">
        <f>A206+1</f>
        <v>188</v>
      </c>
      <c r="B207" s="72">
        <v>46060</v>
      </c>
      <c r="C207" s="207">
        <v>8610821</v>
      </c>
      <c r="D207" s="28">
        <v>73011447</v>
      </c>
      <c r="E207" s="29">
        <v>61.65</v>
      </c>
      <c r="F207" s="30">
        <v>564.96</v>
      </c>
      <c r="G207" s="31">
        <f>E207*F207</f>
        <v>34829.784</v>
      </c>
      <c r="H207" s="365">
        <v>46076.86</v>
      </c>
      <c r="I207" s="33">
        <f>E207*H207</f>
        <v>2840638.419</v>
      </c>
      <c r="J207" s="273" t="s">
        <v>120</v>
      </c>
      <c r="K207" s="274" t="s">
        <v>121</v>
      </c>
      <c r="L207" s="89"/>
      <c r="M207" s="44"/>
      <c r="N207" s="41"/>
      <c r="O207" s="41"/>
      <c r="P207" s="89"/>
      <c r="Q207" s="44"/>
      <c r="R207" s="41"/>
      <c r="S207" s="41"/>
      <c r="T207" s="41"/>
      <c r="U207" s="45"/>
    </row>
    <row r="208" spans="1:21">
      <c r="A208" s="41">
        <f>A207+1</f>
        <v>189</v>
      </c>
      <c r="B208" s="72">
        <v>46060</v>
      </c>
      <c r="C208" s="207">
        <v>8610821</v>
      </c>
      <c r="D208" s="28">
        <v>73094161</v>
      </c>
      <c r="E208" s="29">
        <v>61.85</v>
      </c>
      <c r="F208" s="30">
        <v>564.96</v>
      </c>
      <c r="G208" s="31">
        <f>E208*F208</f>
        <v>34942.776</v>
      </c>
      <c r="H208" s="365">
        <v>46076.86</v>
      </c>
      <c r="I208" s="33">
        <f>E208*H208</f>
        <v>2849853.791</v>
      </c>
      <c r="J208" s="273" t="s">
        <v>120</v>
      </c>
      <c r="K208" s="274" t="s">
        <v>121</v>
      </c>
      <c r="L208" s="89"/>
      <c r="M208" s="44"/>
      <c r="N208" s="41"/>
      <c r="O208" s="41"/>
      <c r="P208" s="89"/>
      <c r="Q208" s="44"/>
      <c r="R208" s="41"/>
      <c r="S208" s="41"/>
      <c r="T208" s="41"/>
      <c r="U208" s="45"/>
    </row>
    <row r="209" spans="1:21">
      <c r="A209" s="41">
        <f>A208+1</f>
        <v>190</v>
      </c>
      <c r="B209" s="72">
        <v>46060</v>
      </c>
      <c r="C209" s="207">
        <v>8610821</v>
      </c>
      <c r="D209" s="28">
        <v>73116352</v>
      </c>
      <c r="E209" s="29">
        <v>61.7</v>
      </c>
      <c r="F209" s="30">
        <v>564.96</v>
      </c>
      <c r="G209" s="31">
        <f>E209*F209</f>
        <v>34858.032</v>
      </c>
      <c r="H209" s="365">
        <v>46076.86</v>
      </c>
      <c r="I209" s="33">
        <f>E209*H209</f>
        <v>2842942.262</v>
      </c>
      <c r="J209" s="273" t="s">
        <v>120</v>
      </c>
      <c r="K209" s="274" t="s">
        <v>121</v>
      </c>
      <c r="L209" s="89"/>
      <c r="M209" s="44"/>
      <c r="N209" s="41"/>
      <c r="O209" s="41"/>
      <c r="P209" s="89"/>
      <c r="Q209" s="44"/>
      <c r="R209" s="41"/>
      <c r="S209" s="41"/>
      <c r="T209" s="41"/>
      <c r="U209" s="45"/>
    </row>
    <row r="210" spans="1:21">
      <c r="A210" s="41">
        <f>A209+1</f>
        <v>191</v>
      </c>
      <c r="B210" s="72">
        <v>46060</v>
      </c>
      <c r="C210" s="207">
        <v>8610821</v>
      </c>
      <c r="D210" s="28">
        <v>73125247</v>
      </c>
      <c r="E210" s="29">
        <v>61.6</v>
      </c>
      <c r="F210" s="30">
        <v>564.96</v>
      </c>
      <c r="G210" s="31">
        <f>E210*F210</f>
        <v>34801.536</v>
      </c>
      <c r="H210" s="365">
        <v>46076.86</v>
      </c>
      <c r="I210" s="33">
        <f>E210*H210</f>
        <v>2838334.576</v>
      </c>
      <c r="J210" s="273" t="s">
        <v>120</v>
      </c>
      <c r="K210" s="274" t="s">
        <v>121</v>
      </c>
      <c r="L210" s="89"/>
      <c r="M210" s="44"/>
      <c r="N210" s="41"/>
      <c r="O210" s="41"/>
      <c r="P210" s="89"/>
      <c r="Q210" s="44"/>
      <c r="R210" s="41"/>
      <c r="S210" s="41"/>
      <c r="T210" s="41"/>
      <c r="U210" s="45"/>
    </row>
    <row r="211" spans="1:21">
      <c r="A211" s="41">
        <f>A210+1</f>
        <v>192</v>
      </c>
      <c r="B211" s="72">
        <v>46060</v>
      </c>
      <c r="C211" s="207">
        <v>8610820</v>
      </c>
      <c r="D211" s="28">
        <v>73138828</v>
      </c>
      <c r="E211" s="29">
        <v>61.6</v>
      </c>
      <c r="F211" s="30">
        <v>564.96</v>
      </c>
      <c r="G211" s="31">
        <f>E211*F211</f>
        <v>34801.536</v>
      </c>
      <c r="H211" s="365">
        <v>46076.86</v>
      </c>
      <c r="I211" s="33">
        <f>E211*H211</f>
        <v>2838334.576</v>
      </c>
      <c r="J211" s="273" t="s">
        <v>120</v>
      </c>
      <c r="K211" s="274" t="s">
        <v>121</v>
      </c>
      <c r="L211" s="89"/>
      <c r="M211" s="44"/>
      <c r="N211" s="41"/>
      <c r="O211" s="41"/>
      <c r="P211" s="89"/>
      <c r="Q211" s="44"/>
      <c r="R211" s="41"/>
      <c r="S211" s="41"/>
      <c r="T211" s="41"/>
      <c r="U211" s="45"/>
    </row>
    <row r="212" spans="1:21">
      <c r="A212" s="41">
        <f>A211+1</f>
        <v>193</v>
      </c>
      <c r="B212" s="72">
        <v>46060</v>
      </c>
      <c r="C212" s="207">
        <v>8610820</v>
      </c>
      <c r="D212" s="28">
        <v>73157877</v>
      </c>
      <c r="E212" s="29">
        <v>61.7</v>
      </c>
      <c r="F212" s="30">
        <v>564.96</v>
      </c>
      <c r="G212" s="31">
        <f>E212*F212</f>
        <v>34858.032</v>
      </c>
      <c r="H212" s="365">
        <v>46076.86</v>
      </c>
      <c r="I212" s="33">
        <f>E212*H212</f>
        <v>2842942.262</v>
      </c>
      <c r="J212" s="273" t="s">
        <v>120</v>
      </c>
      <c r="K212" s="274" t="s">
        <v>121</v>
      </c>
      <c r="L212" s="89"/>
      <c r="M212" s="44"/>
      <c r="N212" s="41"/>
      <c r="O212" s="41"/>
      <c r="P212" s="89"/>
      <c r="Q212" s="44"/>
      <c r="R212" s="41"/>
      <c r="S212" s="41"/>
      <c r="T212" s="41"/>
      <c r="U212" s="45"/>
    </row>
    <row r="213" spans="1:21">
      <c r="A213" s="41">
        <f>A212+1</f>
        <v>194</v>
      </c>
      <c r="B213" s="72">
        <v>46060</v>
      </c>
      <c r="C213" s="207">
        <v>8610821</v>
      </c>
      <c r="D213" s="28">
        <v>73159535</v>
      </c>
      <c r="E213" s="29">
        <v>61.6</v>
      </c>
      <c r="F213" s="30">
        <v>564.96</v>
      </c>
      <c r="G213" s="31">
        <f>E213*F213</f>
        <v>34801.536</v>
      </c>
      <c r="H213" s="365">
        <v>46076.86</v>
      </c>
      <c r="I213" s="33">
        <f>E213*H213</f>
        <v>2838334.576</v>
      </c>
      <c r="J213" s="273" t="s">
        <v>120</v>
      </c>
      <c r="K213" s="274" t="s">
        <v>121</v>
      </c>
      <c r="L213" s="89"/>
      <c r="M213" s="44"/>
      <c r="N213" s="41"/>
      <c r="O213" s="41"/>
      <c r="P213" s="89"/>
      <c r="Q213" s="44"/>
      <c r="R213" s="41"/>
      <c r="S213" s="41"/>
      <c r="T213" s="41"/>
      <c r="U213" s="45"/>
    </row>
    <row r="214" spans="1:21">
      <c r="A214" s="41">
        <f>A213+1</f>
        <v>195</v>
      </c>
      <c r="B214" s="72">
        <v>46060</v>
      </c>
      <c r="C214" s="207">
        <v>8610821</v>
      </c>
      <c r="D214" s="28">
        <v>73166670</v>
      </c>
      <c r="E214" s="29">
        <v>61.65</v>
      </c>
      <c r="F214" s="30">
        <v>564.96</v>
      </c>
      <c r="G214" s="31">
        <f>E214*F214</f>
        <v>34829.784</v>
      </c>
      <c r="H214" s="365">
        <v>46076.86</v>
      </c>
      <c r="I214" s="33">
        <f>E214*H214</f>
        <v>2840638.419</v>
      </c>
      <c r="J214" s="273" t="s">
        <v>120</v>
      </c>
      <c r="K214" s="274" t="s">
        <v>121</v>
      </c>
      <c r="L214" s="89"/>
      <c r="M214" s="44"/>
      <c r="N214" s="41"/>
      <c r="O214" s="41"/>
      <c r="P214" s="89"/>
      <c r="Q214" s="44"/>
      <c r="R214" s="41"/>
      <c r="S214" s="41"/>
      <c r="T214" s="41"/>
      <c r="U214" s="45"/>
    </row>
    <row r="215" spans="1:21">
      <c r="A215" s="41">
        <f>A214+1</f>
        <v>196</v>
      </c>
      <c r="B215" s="72">
        <v>46060</v>
      </c>
      <c r="C215" s="207">
        <v>8610821</v>
      </c>
      <c r="D215" s="28">
        <v>73168205</v>
      </c>
      <c r="E215" s="29">
        <v>61.6</v>
      </c>
      <c r="F215" s="30">
        <v>564.96</v>
      </c>
      <c r="G215" s="31">
        <f>E215*F215</f>
        <v>34801.536</v>
      </c>
      <c r="H215" s="365">
        <v>46076.86</v>
      </c>
      <c r="I215" s="33">
        <f>E215*H215</f>
        <v>2838334.576</v>
      </c>
      <c r="J215" s="273" t="s">
        <v>120</v>
      </c>
      <c r="K215" s="274" t="s">
        <v>121</v>
      </c>
      <c r="L215" s="89"/>
      <c r="M215" s="44"/>
      <c r="N215" s="41"/>
      <c r="O215" s="41"/>
      <c r="P215" s="89"/>
      <c r="Q215" s="44"/>
      <c r="R215" s="41"/>
      <c r="S215" s="41"/>
      <c r="T215" s="41"/>
      <c r="U215" s="45"/>
    </row>
    <row r="216" spans="1:21">
      <c r="A216" s="41">
        <f>A215+1</f>
        <v>197</v>
      </c>
      <c r="B216" s="72">
        <v>46060</v>
      </c>
      <c r="C216" s="207">
        <v>8610821</v>
      </c>
      <c r="D216" s="28">
        <v>73229072</v>
      </c>
      <c r="E216" s="29">
        <v>61.6</v>
      </c>
      <c r="F216" s="30">
        <v>564.96</v>
      </c>
      <c r="G216" s="31">
        <f>E216*F216</f>
        <v>34801.536</v>
      </c>
      <c r="H216" s="365">
        <v>46076.86</v>
      </c>
      <c r="I216" s="33">
        <f>E216*H216</f>
        <v>2838334.576</v>
      </c>
      <c r="J216" s="273" t="s">
        <v>120</v>
      </c>
      <c r="K216" s="274" t="s">
        <v>121</v>
      </c>
      <c r="L216" s="89"/>
      <c r="M216" s="44"/>
      <c r="N216" s="41"/>
      <c r="O216" s="41"/>
      <c r="P216" s="89"/>
      <c r="Q216" s="44"/>
      <c r="R216" s="41"/>
      <c r="S216" s="41"/>
      <c r="T216" s="41"/>
      <c r="U216" s="45"/>
    </row>
    <row r="217" spans="1:21">
      <c r="A217" s="41">
        <f>A216+1</f>
        <v>198</v>
      </c>
      <c r="B217" s="72">
        <v>46060</v>
      </c>
      <c r="C217" s="207">
        <v>8610821</v>
      </c>
      <c r="D217" s="28">
        <v>73229346</v>
      </c>
      <c r="E217" s="29">
        <v>61.65</v>
      </c>
      <c r="F217" s="30">
        <v>564.96</v>
      </c>
      <c r="G217" s="31">
        <f>E217*F217</f>
        <v>34829.784</v>
      </c>
      <c r="H217" s="365">
        <v>46076.86</v>
      </c>
      <c r="I217" s="33">
        <f>E217*H217</f>
        <v>2840638.419</v>
      </c>
      <c r="J217" s="273" t="s">
        <v>120</v>
      </c>
      <c r="K217" s="274" t="s">
        <v>121</v>
      </c>
      <c r="L217" s="89"/>
      <c r="M217" s="44"/>
      <c r="N217" s="41"/>
      <c r="O217" s="41"/>
      <c r="P217" s="89"/>
      <c r="Q217" s="44"/>
      <c r="R217" s="41"/>
      <c r="S217" s="41"/>
      <c r="T217" s="41"/>
      <c r="U217" s="45"/>
    </row>
    <row r="218" spans="1:21">
      <c r="A218" s="41">
        <f>A217+1</f>
        <v>199</v>
      </c>
      <c r="B218" s="72">
        <v>46060</v>
      </c>
      <c r="C218" s="207">
        <v>8610822</v>
      </c>
      <c r="D218" s="28">
        <v>74999558</v>
      </c>
      <c r="E218" s="29">
        <v>61.15</v>
      </c>
      <c r="F218" s="30">
        <v>564.96</v>
      </c>
      <c r="G218" s="31">
        <f>E218*F218</f>
        <v>34547.304</v>
      </c>
      <c r="H218" s="365">
        <v>46076.86</v>
      </c>
      <c r="I218" s="33">
        <f>E218*H218</f>
        <v>2817599.989</v>
      </c>
      <c r="J218" s="273" t="s">
        <v>120</v>
      </c>
      <c r="K218" s="274" t="s">
        <v>121</v>
      </c>
      <c r="L218" s="89"/>
      <c r="M218" s="44"/>
      <c r="N218" s="41"/>
      <c r="O218" s="41"/>
      <c r="P218" s="89"/>
      <c r="Q218" s="44"/>
      <c r="R218" s="41"/>
      <c r="S218" s="41"/>
      <c r="T218" s="41"/>
      <c r="U218" s="45"/>
    </row>
    <row r="219" spans="1:21">
      <c r="A219" s="41">
        <f>A218+1</f>
        <v>200</v>
      </c>
      <c r="B219" s="72">
        <v>46060</v>
      </c>
      <c r="C219" s="207">
        <v>8610822</v>
      </c>
      <c r="D219" s="28">
        <v>75033472</v>
      </c>
      <c r="E219" s="29">
        <v>61.8</v>
      </c>
      <c r="F219" s="30">
        <v>564.96</v>
      </c>
      <c r="G219" s="31">
        <f>E219*F219</f>
        <v>34914.528</v>
      </c>
      <c r="H219" s="365">
        <v>46076.86</v>
      </c>
      <c r="I219" s="33">
        <f>E219*H219</f>
        <v>2847549.948</v>
      </c>
      <c r="J219" s="273" t="s">
        <v>120</v>
      </c>
      <c r="K219" s="274" t="s">
        <v>121</v>
      </c>
      <c r="L219" s="89"/>
      <c r="M219" s="44"/>
      <c r="N219" s="41"/>
      <c r="O219" s="41"/>
      <c r="P219" s="89"/>
      <c r="Q219" s="44"/>
      <c r="R219" s="41"/>
      <c r="S219" s="41"/>
      <c r="T219" s="41"/>
      <c r="U219" s="45"/>
    </row>
    <row r="220" spans="1:21">
      <c r="A220" s="41">
        <f>A219+1</f>
        <v>201</v>
      </c>
      <c r="B220" s="72">
        <v>46060</v>
      </c>
      <c r="C220" s="207">
        <v>8610822</v>
      </c>
      <c r="D220" s="28">
        <v>75131342</v>
      </c>
      <c r="E220" s="29">
        <v>61.1</v>
      </c>
      <c r="F220" s="30">
        <v>564.96</v>
      </c>
      <c r="G220" s="31">
        <f>E220*F220</f>
        <v>34519.056</v>
      </c>
      <c r="H220" s="365">
        <v>46076.86</v>
      </c>
      <c r="I220" s="33">
        <f>E220*H220</f>
        <v>2815296.146</v>
      </c>
      <c r="J220" s="273" t="s">
        <v>120</v>
      </c>
      <c r="K220" s="274" t="s">
        <v>121</v>
      </c>
      <c r="L220" s="89"/>
      <c r="M220" s="44"/>
      <c r="N220" s="41"/>
      <c r="O220" s="41"/>
      <c r="P220" s="89"/>
      <c r="Q220" s="44"/>
      <c r="R220" s="41"/>
      <c r="S220" s="41"/>
      <c r="T220" s="41"/>
      <c r="U220" s="45"/>
    </row>
    <row r="221" spans="1:21">
      <c r="A221" s="41">
        <f>A220+1</f>
        <v>202</v>
      </c>
      <c r="B221" s="72">
        <v>46060</v>
      </c>
      <c r="C221" s="207">
        <v>8610820</v>
      </c>
      <c r="D221" s="28">
        <v>75213488</v>
      </c>
      <c r="E221" s="29">
        <v>62.3</v>
      </c>
      <c r="F221" s="30">
        <v>564.96</v>
      </c>
      <c r="G221" s="31">
        <f>E221*F221</f>
        <v>35197.008</v>
      </c>
      <c r="H221" s="365">
        <v>46076.86</v>
      </c>
      <c r="I221" s="33">
        <f>E221*H221</f>
        <v>2870588.378</v>
      </c>
      <c r="J221" s="273" t="s">
        <v>120</v>
      </c>
      <c r="K221" s="274" t="s">
        <v>121</v>
      </c>
      <c r="L221" s="89"/>
      <c r="M221" s="44"/>
      <c r="N221" s="41"/>
      <c r="O221" s="41"/>
      <c r="P221" s="89"/>
      <c r="Q221" s="44"/>
      <c r="R221" s="41"/>
      <c r="S221" s="41"/>
      <c r="T221" s="41"/>
      <c r="U221" s="45"/>
    </row>
    <row r="222" spans="1:21">
      <c r="A222" s="41">
        <f>A221+1</f>
        <v>203</v>
      </c>
      <c r="B222" s="72">
        <v>46060</v>
      </c>
      <c r="C222" s="207">
        <v>8610820</v>
      </c>
      <c r="D222" s="28">
        <v>75225722</v>
      </c>
      <c r="E222" s="29">
        <v>61.95</v>
      </c>
      <c r="F222" s="30">
        <v>564.96</v>
      </c>
      <c r="G222" s="31">
        <f>E222*F222</f>
        <v>34999.272</v>
      </c>
      <c r="H222" s="365">
        <v>46076.86</v>
      </c>
      <c r="I222" s="33">
        <f>E222*H222</f>
        <v>2854461.477</v>
      </c>
      <c r="J222" s="273" t="s">
        <v>120</v>
      </c>
      <c r="K222" s="274" t="s">
        <v>121</v>
      </c>
      <c r="L222" s="89"/>
      <c r="M222" s="44"/>
      <c r="N222" s="41"/>
      <c r="O222" s="41"/>
      <c r="P222" s="89"/>
      <c r="Q222" s="44"/>
      <c r="R222" s="41"/>
      <c r="S222" s="41"/>
      <c r="T222" s="41"/>
      <c r="U222" s="45"/>
    </row>
    <row r="223" spans="1:21">
      <c r="A223" s="41">
        <f>A222+1</f>
        <v>204</v>
      </c>
      <c r="B223" s="72">
        <v>46060</v>
      </c>
      <c r="C223" s="207">
        <v>8610820</v>
      </c>
      <c r="D223" s="28">
        <v>75254474</v>
      </c>
      <c r="E223" s="29">
        <v>61.95</v>
      </c>
      <c r="F223" s="30">
        <v>564.96</v>
      </c>
      <c r="G223" s="31">
        <f>E223*F223</f>
        <v>34999.272</v>
      </c>
      <c r="H223" s="365">
        <v>46076.86</v>
      </c>
      <c r="I223" s="33">
        <f>E223*H223</f>
        <v>2854461.477</v>
      </c>
      <c r="J223" s="273" t="s">
        <v>120</v>
      </c>
      <c r="K223" s="274" t="s">
        <v>121</v>
      </c>
      <c r="L223" s="89"/>
      <c r="M223" s="44"/>
      <c r="N223" s="41"/>
      <c r="O223" s="41"/>
      <c r="P223" s="89"/>
      <c r="Q223" s="44"/>
      <c r="R223" s="41"/>
      <c r="S223" s="41"/>
      <c r="T223" s="41"/>
      <c r="U223" s="45"/>
    </row>
    <row r="224" spans="1:21">
      <c r="A224" s="41">
        <f>A223+1</f>
        <v>205</v>
      </c>
      <c r="B224" s="72">
        <v>46060</v>
      </c>
      <c r="C224" s="207">
        <v>8610820</v>
      </c>
      <c r="D224" s="28">
        <v>75255562</v>
      </c>
      <c r="E224" s="29">
        <v>62.1</v>
      </c>
      <c r="F224" s="30">
        <v>564.96</v>
      </c>
      <c r="G224" s="31">
        <f>E224*F224</f>
        <v>35084.016</v>
      </c>
      <c r="H224" s="365">
        <v>46076.86</v>
      </c>
      <c r="I224" s="33">
        <f>E224*H224</f>
        <v>2861373.006</v>
      </c>
      <c r="J224" s="273" t="s">
        <v>120</v>
      </c>
      <c r="K224" s="274" t="s">
        <v>121</v>
      </c>
      <c r="L224" s="89"/>
      <c r="M224" s="44"/>
      <c r="N224" s="41"/>
      <c r="O224" s="41"/>
      <c r="P224" s="89"/>
      <c r="Q224" s="44"/>
      <c r="R224" s="41"/>
      <c r="S224" s="41"/>
      <c r="T224" s="41"/>
      <c r="U224" s="45"/>
    </row>
    <row r="225" spans="1:21">
      <c r="A225" s="41">
        <f>A224+1</f>
        <v>206</v>
      </c>
      <c r="B225" s="72">
        <v>46060</v>
      </c>
      <c r="C225" s="207">
        <v>8610820</v>
      </c>
      <c r="D225" s="28">
        <v>75278416</v>
      </c>
      <c r="E225" s="29">
        <v>62</v>
      </c>
      <c r="F225" s="30">
        <v>564.96</v>
      </c>
      <c r="G225" s="31">
        <f>E225*F225</f>
        <v>35027.52</v>
      </c>
      <c r="H225" s="365">
        <v>46076.86</v>
      </c>
      <c r="I225" s="33">
        <f>E225*H225</f>
        <v>2856765.32</v>
      </c>
      <c r="J225" s="273" t="s">
        <v>120</v>
      </c>
      <c r="K225" s="274" t="s">
        <v>121</v>
      </c>
      <c r="L225" s="89"/>
      <c r="M225" s="44"/>
      <c r="N225" s="41"/>
      <c r="O225" s="41"/>
      <c r="P225" s="89"/>
      <c r="Q225" s="44"/>
      <c r="R225" s="41"/>
      <c r="S225" s="41"/>
      <c r="T225" s="41"/>
      <c r="U225" s="45"/>
    </row>
    <row r="226" spans="1:21">
      <c r="A226" s="41">
        <f>A225+1</f>
        <v>207</v>
      </c>
      <c r="B226" s="72">
        <v>46060</v>
      </c>
      <c r="C226" s="207">
        <v>8610820</v>
      </c>
      <c r="D226" s="28">
        <v>75401091</v>
      </c>
      <c r="E226" s="29">
        <v>61.85</v>
      </c>
      <c r="F226" s="30">
        <v>564.96</v>
      </c>
      <c r="G226" s="31">
        <f>E226*F226</f>
        <v>34942.776</v>
      </c>
      <c r="H226" s="365">
        <v>46076.86</v>
      </c>
      <c r="I226" s="33">
        <f>E226*H226</f>
        <v>2849853.791</v>
      </c>
      <c r="J226" s="273" t="s">
        <v>120</v>
      </c>
      <c r="K226" s="274" t="s">
        <v>121</v>
      </c>
      <c r="L226" s="89"/>
      <c r="M226" s="44"/>
      <c r="N226" s="41"/>
      <c r="O226" s="41"/>
      <c r="P226" s="89"/>
      <c r="Q226" s="44"/>
      <c r="R226" s="41"/>
      <c r="S226" s="41"/>
      <c r="T226" s="41"/>
      <c r="U226" s="45"/>
    </row>
    <row r="227" spans="1:21">
      <c r="A227" s="41">
        <f>A226+1</f>
        <v>208</v>
      </c>
      <c r="B227" s="72">
        <v>46060</v>
      </c>
      <c r="C227" s="207">
        <v>8610820</v>
      </c>
      <c r="D227" s="28">
        <v>75511899</v>
      </c>
      <c r="E227" s="29">
        <v>62.05</v>
      </c>
      <c r="F227" s="30">
        <v>564.96</v>
      </c>
      <c r="G227" s="31">
        <f>E227*F227</f>
        <v>35055.768</v>
      </c>
      <c r="H227" s="365">
        <v>46076.86</v>
      </c>
      <c r="I227" s="33">
        <f>E227*H227</f>
        <v>2859069.163</v>
      </c>
      <c r="J227" s="273" t="s">
        <v>120</v>
      </c>
      <c r="K227" s="274" t="s">
        <v>121</v>
      </c>
      <c r="L227" s="89"/>
      <c r="M227" s="44"/>
      <c r="N227" s="41"/>
      <c r="O227" s="41"/>
      <c r="P227" s="89"/>
      <c r="Q227" s="44"/>
      <c r="R227" s="41"/>
      <c r="S227" s="41"/>
      <c r="T227" s="41"/>
      <c r="U227" s="45"/>
    </row>
    <row r="228" spans="1:21">
      <c r="A228" s="41">
        <f>A227+1</f>
        <v>209</v>
      </c>
      <c r="B228" s="72">
        <v>46060</v>
      </c>
      <c r="C228" s="207">
        <v>8610820</v>
      </c>
      <c r="D228" s="28">
        <v>75563890</v>
      </c>
      <c r="E228" s="29">
        <v>62.1</v>
      </c>
      <c r="F228" s="30">
        <v>564.96</v>
      </c>
      <c r="G228" s="31">
        <f>E228*F228</f>
        <v>35084.016</v>
      </c>
      <c r="H228" s="365">
        <v>46076.86</v>
      </c>
      <c r="I228" s="33">
        <f>E228*H228</f>
        <v>2861373.006</v>
      </c>
      <c r="J228" s="273" t="s">
        <v>120</v>
      </c>
      <c r="K228" s="274" t="s">
        <v>121</v>
      </c>
      <c r="L228" s="89"/>
      <c r="M228" s="44"/>
      <c r="N228" s="41"/>
      <c r="O228" s="41"/>
      <c r="P228" s="89"/>
      <c r="Q228" s="44"/>
      <c r="R228" s="41"/>
      <c r="S228" s="41"/>
      <c r="T228" s="41"/>
      <c r="U228" s="45"/>
    </row>
    <row r="229" ht="15.75" spans="1:21">
      <c r="A229" s="41">
        <f>A228+1</f>
        <v>210</v>
      </c>
      <c r="B229" s="72">
        <v>46060</v>
      </c>
      <c r="C229" s="216">
        <v>8610820</v>
      </c>
      <c r="D229" s="47">
        <v>75718197</v>
      </c>
      <c r="E229" s="48">
        <v>62.2</v>
      </c>
      <c r="F229" s="30">
        <v>564.96</v>
      </c>
      <c r="G229" s="79">
        <f>E229*F229</f>
        <v>35140.512</v>
      </c>
      <c r="H229" s="371">
        <v>46076.86</v>
      </c>
      <c r="I229" s="80">
        <f>E229*H229</f>
        <v>2865980.692</v>
      </c>
      <c r="J229" s="273" t="s">
        <v>120</v>
      </c>
      <c r="K229" s="303" t="s">
        <v>121</v>
      </c>
      <c r="L229" s="90"/>
      <c r="M229" s="51"/>
      <c r="N229" s="52"/>
      <c r="O229" s="52"/>
      <c r="P229" s="180"/>
      <c r="Q229" s="51"/>
      <c r="R229" s="52"/>
      <c r="S229" s="52"/>
      <c r="T229" s="52"/>
      <c r="U229" s="53"/>
    </row>
    <row r="230" ht="15.75" spans="1:21">
      <c r="A230" s="55"/>
      <c r="B230" s="56"/>
      <c r="C230" s="56"/>
      <c r="D230" s="56"/>
      <c r="E230" s="57">
        <f>SUM(E186:E229)</f>
        <v>2671.8</v>
      </c>
      <c r="F230" s="367"/>
      <c r="G230" s="59">
        <f>SUM(G186:G229)</f>
        <v>1509460.128</v>
      </c>
      <c r="H230" s="56"/>
      <c r="I230" s="60">
        <f>SUM(I186:I229)</f>
        <v>123108154.548</v>
      </c>
      <c r="J230" s="56"/>
      <c r="K230" s="92"/>
      <c r="L230" s="93"/>
      <c r="M230" s="55"/>
      <c r="N230" s="56"/>
      <c r="O230" s="56"/>
      <c r="P230" s="61"/>
      <c r="Q230" s="94"/>
      <c r="R230" s="56"/>
      <c r="S230" s="56"/>
      <c r="T230" s="56"/>
      <c r="U230" s="61"/>
    </row>
    <row r="231" spans="1:21">
      <c r="A231" s="67">
        <v>211</v>
      </c>
      <c r="B231" s="27">
        <v>46061</v>
      </c>
      <c r="C231" s="207">
        <v>8610826</v>
      </c>
      <c r="D231" s="28">
        <v>50197854</v>
      </c>
      <c r="E231" s="29">
        <v>61.3</v>
      </c>
      <c r="F231" s="30">
        <v>564.96</v>
      </c>
      <c r="G231" s="31">
        <f>E231*F231</f>
        <v>34632.048</v>
      </c>
      <c r="H231" s="365">
        <v>46076.86</v>
      </c>
      <c r="I231" s="33">
        <f>E231*H231</f>
        <v>2824511.518</v>
      </c>
      <c r="J231" s="273" t="s">
        <v>120</v>
      </c>
      <c r="K231" s="274" t="s">
        <v>121</v>
      </c>
      <c r="L231" s="95"/>
      <c r="M231" s="37"/>
      <c r="N231" s="38"/>
      <c r="O231" s="38"/>
      <c r="P231" s="179"/>
      <c r="Q231" s="37"/>
      <c r="R231" s="38"/>
      <c r="S231" s="38"/>
      <c r="T231" s="38"/>
      <c r="U231" s="39"/>
    </row>
    <row r="232" spans="1:21">
      <c r="A232" s="41">
        <f>A231+1</f>
        <v>212</v>
      </c>
      <c r="B232" s="27">
        <v>46061</v>
      </c>
      <c r="C232" s="207">
        <v>8610826</v>
      </c>
      <c r="D232" s="28">
        <v>50417070</v>
      </c>
      <c r="E232" s="29">
        <v>61.1</v>
      </c>
      <c r="F232" s="30">
        <v>564.96</v>
      </c>
      <c r="G232" s="31">
        <f>E232*F232</f>
        <v>34519.056</v>
      </c>
      <c r="H232" s="365">
        <v>46076.86</v>
      </c>
      <c r="I232" s="33">
        <f>E232*H232</f>
        <v>2815296.146</v>
      </c>
      <c r="J232" s="273" t="s">
        <v>120</v>
      </c>
      <c r="K232" s="274" t="s">
        <v>121</v>
      </c>
      <c r="L232" s="89"/>
      <c r="M232" s="44"/>
      <c r="N232" s="41"/>
      <c r="O232" s="41"/>
      <c r="P232" s="89"/>
      <c r="Q232" s="44"/>
      <c r="R232" s="41"/>
      <c r="S232" s="41"/>
      <c r="T232" s="41"/>
      <c r="U232" s="45"/>
    </row>
    <row r="233" spans="1:21">
      <c r="A233" s="41">
        <f>A232+1</f>
        <v>213</v>
      </c>
      <c r="B233" s="27">
        <v>46061</v>
      </c>
      <c r="C233" s="207">
        <v>8610824</v>
      </c>
      <c r="D233" s="28">
        <v>50779057</v>
      </c>
      <c r="E233" s="29">
        <v>52.5</v>
      </c>
      <c r="F233" s="30">
        <v>564.96</v>
      </c>
      <c r="G233" s="31">
        <f>E233*F233</f>
        <v>29660.4</v>
      </c>
      <c r="H233" s="365">
        <v>46076.86</v>
      </c>
      <c r="I233" s="33">
        <f>E233*H233</f>
        <v>2419035.15</v>
      </c>
      <c r="J233" s="273" t="s">
        <v>120</v>
      </c>
      <c r="K233" s="274" t="s">
        <v>121</v>
      </c>
      <c r="L233" s="89"/>
      <c r="M233" s="44"/>
      <c r="N233" s="41"/>
      <c r="O233" s="41"/>
      <c r="P233" s="89"/>
      <c r="Q233" s="44"/>
      <c r="R233" s="41"/>
      <c r="S233" s="41"/>
      <c r="T233" s="41"/>
      <c r="U233" s="45"/>
    </row>
    <row r="234" spans="1:21">
      <c r="A234" s="41">
        <f>A233+1</f>
        <v>214</v>
      </c>
      <c r="B234" s="27">
        <v>46061</v>
      </c>
      <c r="C234" s="207">
        <v>8610825</v>
      </c>
      <c r="D234" s="28">
        <v>51411692</v>
      </c>
      <c r="E234" s="29">
        <v>52.7</v>
      </c>
      <c r="F234" s="30">
        <v>564.96</v>
      </c>
      <c r="G234" s="31">
        <f>E234*F234</f>
        <v>29773.392</v>
      </c>
      <c r="H234" s="365">
        <v>46076.86</v>
      </c>
      <c r="I234" s="33">
        <f>E234*H234</f>
        <v>2428250.522</v>
      </c>
      <c r="J234" s="273" t="s">
        <v>120</v>
      </c>
      <c r="K234" s="274" t="s">
        <v>121</v>
      </c>
      <c r="L234" s="89"/>
      <c r="M234" s="44"/>
      <c r="N234" s="41"/>
      <c r="O234" s="41"/>
      <c r="P234" s="89"/>
      <c r="Q234" s="44"/>
      <c r="R234" s="41"/>
      <c r="S234" s="41"/>
      <c r="T234" s="41"/>
      <c r="U234" s="45"/>
    </row>
    <row r="235" spans="1:21">
      <c r="A235" s="41">
        <f>A234+1</f>
        <v>215</v>
      </c>
      <c r="B235" s="27">
        <v>46061</v>
      </c>
      <c r="C235" s="207">
        <v>8610825</v>
      </c>
      <c r="D235" s="28">
        <v>51506392</v>
      </c>
      <c r="E235" s="29">
        <v>52.8</v>
      </c>
      <c r="F235" s="30">
        <v>564.96</v>
      </c>
      <c r="G235" s="31">
        <f>E235*F235</f>
        <v>29829.888</v>
      </c>
      <c r="H235" s="365">
        <v>46076.86</v>
      </c>
      <c r="I235" s="33">
        <f>E235*H235</f>
        <v>2432858.208</v>
      </c>
      <c r="J235" s="273" t="s">
        <v>120</v>
      </c>
      <c r="K235" s="274" t="s">
        <v>121</v>
      </c>
      <c r="L235" s="89"/>
      <c r="M235" s="44"/>
      <c r="N235" s="41"/>
      <c r="O235" s="41"/>
      <c r="P235" s="89"/>
      <c r="Q235" s="44"/>
      <c r="R235" s="41"/>
      <c r="S235" s="41"/>
      <c r="T235" s="41"/>
      <c r="U235" s="45"/>
    </row>
    <row r="236" spans="1:21">
      <c r="A236" s="41">
        <f>A235+1</f>
        <v>216</v>
      </c>
      <c r="B236" s="27">
        <v>46061</v>
      </c>
      <c r="C236" s="207">
        <v>8610826</v>
      </c>
      <c r="D236" s="28">
        <v>53961165</v>
      </c>
      <c r="E236" s="29">
        <v>60.9</v>
      </c>
      <c r="F236" s="30">
        <v>564.96</v>
      </c>
      <c r="G236" s="31">
        <f>E236*F236</f>
        <v>34406.064</v>
      </c>
      <c r="H236" s="365">
        <v>46076.86</v>
      </c>
      <c r="I236" s="33">
        <f>E236*H236</f>
        <v>2806080.774</v>
      </c>
      <c r="J236" s="273" t="s">
        <v>120</v>
      </c>
      <c r="K236" s="274" t="s">
        <v>121</v>
      </c>
      <c r="L236" s="89"/>
      <c r="M236" s="44"/>
      <c r="N236" s="41"/>
      <c r="O236" s="41"/>
      <c r="P236" s="89"/>
      <c r="Q236" s="44"/>
      <c r="R236" s="41"/>
      <c r="S236" s="41"/>
      <c r="T236" s="41"/>
      <c r="U236" s="45"/>
    </row>
    <row r="237" spans="1:21">
      <c r="A237" s="41">
        <f>A236+1</f>
        <v>217</v>
      </c>
      <c r="B237" s="27">
        <v>46061</v>
      </c>
      <c r="C237" s="207">
        <v>8610824</v>
      </c>
      <c r="D237" s="28">
        <v>53996187</v>
      </c>
      <c r="E237" s="29">
        <v>51.8</v>
      </c>
      <c r="F237" s="30">
        <v>564.96</v>
      </c>
      <c r="G237" s="31">
        <f>E237*F237</f>
        <v>29264.928</v>
      </c>
      <c r="H237" s="365">
        <v>46076.86</v>
      </c>
      <c r="I237" s="33">
        <f>E237*H237</f>
        <v>2386781.348</v>
      </c>
      <c r="J237" s="273" t="s">
        <v>120</v>
      </c>
      <c r="K237" s="274" t="s">
        <v>121</v>
      </c>
      <c r="L237" s="89"/>
      <c r="M237" s="44"/>
      <c r="N237" s="41"/>
      <c r="O237" s="41"/>
      <c r="P237" s="89"/>
      <c r="Q237" s="44"/>
      <c r="R237" s="41"/>
      <c r="S237" s="41"/>
      <c r="T237" s="41"/>
      <c r="U237" s="45"/>
    </row>
    <row r="238" spans="1:21">
      <c r="A238" s="41">
        <f>A237+1</f>
        <v>218</v>
      </c>
      <c r="B238" s="27">
        <v>46061</v>
      </c>
      <c r="C238" s="207">
        <v>8610826</v>
      </c>
      <c r="D238" s="28">
        <v>54087960</v>
      </c>
      <c r="E238" s="29">
        <v>61.15</v>
      </c>
      <c r="F238" s="30">
        <v>564.96</v>
      </c>
      <c r="G238" s="31">
        <f>E238*F238</f>
        <v>34547.304</v>
      </c>
      <c r="H238" s="365">
        <v>46076.86</v>
      </c>
      <c r="I238" s="33">
        <f>E238*H238</f>
        <v>2817599.989</v>
      </c>
      <c r="J238" s="273" t="s">
        <v>120</v>
      </c>
      <c r="K238" s="274" t="s">
        <v>121</v>
      </c>
      <c r="L238" s="89"/>
      <c r="M238" s="44"/>
      <c r="N238" s="41"/>
      <c r="O238" s="41"/>
      <c r="P238" s="89"/>
      <c r="Q238" s="44"/>
      <c r="R238" s="41"/>
      <c r="S238" s="41"/>
      <c r="T238" s="41"/>
      <c r="U238" s="45"/>
    </row>
    <row r="239" spans="1:21">
      <c r="A239" s="41">
        <f>A238+1</f>
        <v>219</v>
      </c>
      <c r="B239" s="27">
        <v>46061</v>
      </c>
      <c r="C239" s="207">
        <v>8610826</v>
      </c>
      <c r="D239" s="28">
        <v>54628912</v>
      </c>
      <c r="E239" s="29">
        <v>61.15</v>
      </c>
      <c r="F239" s="30">
        <v>564.96</v>
      </c>
      <c r="G239" s="31">
        <f>E239*F239</f>
        <v>34547.304</v>
      </c>
      <c r="H239" s="365">
        <v>46076.86</v>
      </c>
      <c r="I239" s="33">
        <f>E239*H239</f>
        <v>2817599.989</v>
      </c>
      <c r="J239" s="273" t="s">
        <v>120</v>
      </c>
      <c r="K239" s="274" t="s">
        <v>121</v>
      </c>
      <c r="L239" s="89"/>
      <c r="M239" s="44"/>
      <c r="N239" s="41"/>
      <c r="O239" s="41"/>
      <c r="P239" s="89"/>
      <c r="Q239" s="44"/>
      <c r="R239" s="41"/>
      <c r="S239" s="41"/>
      <c r="T239" s="41"/>
      <c r="U239" s="45"/>
    </row>
    <row r="240" spans="1:21">
      <c r="A240" s="41">
        <f>A239+1</f>
        <v>220</v>
      </c>
      <c r="B240" s="27">
        <v>46061</v>
      </c>
      <c r="C240" s="207">
        <v>8610824</v>
      </c>
      <c r="D240" s="28">
        <v>57644890</v>
      </c>
      <c r="E240" s="29">
        <v>61.3</v>
      </c>
      <c r="F240" s="30">
        <v>564.96</v>
      </c>
      <c r="G240" s="31">
        <f>E240*F240</f>
        <v>34632.048</v>
      </c>
      <c r="H240" s="365">
        <v>46076.86</v>
      </c>
      <c r="I240" s="33">
        <f>E240*H240</f>
        <v>2824511.518</v>
      </c>
      <c r="J240" s="273" t="s">
        <v>120</v>
      </c>
      <c r="K240" s="274" t="s">
        <v>121</v>
      </c>
      <c r="L240" s="89"/>
      <c r="M240" s="44"/>
      <c r="N240" s="41"/>
      <c r="O240" s="41"/>
      <c r="P240" s="89"/>
      <c r="Q240" s="44"/>
      <c r="R240" s="41"/>
      <c r="S240" s="41"/>
      <c r="T240" s="41"/>
      <c r="U240" s="45"/>
    </row>
    <row r="241" spans="1:21">
      <c r="A241" s="41">
        <f>A240+1</f>
        <v>221</v>
      </c>
      <c r="B241" s="72">
        <v>46061</v>
      </c>
      <c r="C241" s="207">
        <v>8610826</v>
      </c>
      <c r="D241" s="28">
        <v>73049637</v>
      </c>
      <c r="E241" s="29">
        <v>61.7</v>
      </c>
      <c r="F241" s="30">
        <v>564.96</v>
      </c>
      <c r="G241" s="31">
        <f>E241*F241</f>
        <v>34858.032</v>
      </c>
      <c r="H241" s="365">
        <v>46076.86</v>
      </c>
      <c r="I241" s="33">
        <f>E241*H241</f>
        <v>2842942.262</v>
      </c>
      <c r="J241" s="273" t="s">
        <v>120</v>
      </c>
      <c r="K241" s="274" t="s">
        <v>121</v>
      </c>
      <c r="L241" s="89"/>
      <c r="M241" s="44"/>
      <c r="N241" s="41"/>
      <c r="O241" s="41"/>
      <c r="P241" s="89"/>
      <c r="Q241" s="44"/>
      <c r="R241" s="41"/>
      <c r="S241" s="41"/>
      <c r="T241" s="41"/>
      <c r="U241" s="45"/>
    </row>
    <row r="242" spans="1:21">
      <c r="A242" s="41">
        <f>A241+1</f>
        <v>222</v>
      </c>
      <c r="B242" s="72">
        <v>46061</v>
      </c>
      <c r="C242" s="207">
        <v>8610826</v>
      </c>
      <c r="D242" s="28">
        <v>73055915</v>
      </c>
      <c r="E242" s="29">
        <v>61.6</v>
      </c>
      <c r="F242" s="30">
        <v>564.96</v>
      </c>
      <c r="G242" s="31">
        <f>E242*F242</f>
        <v>34801.536</v>
      </c>
      <c r="H242" s="365">
        <v>46076.86</v>
      </c>
      <c r="I242" s="33">
        <f>E242*H242</f>
        <v>2838334.576</v>
      </c>
      <c r="J242" s="273" t="s">
        <v>120</v>
      </c>
      <c r="K242" s="274" t="s">
        <v>121</v>
      </c>
      <c r="L242" s="89"/>
      <c r="M242" s="44"/>
      <c r="N242" s="41"/>
      <c r="O242" s="41"/>
      <c r="P242" s="89"/>
      <c r="Q242" s="44"/>
      <c r="R242" s="41"/>
      <c r="S242" s="41"/>
      <c r="T242" s="41"/>
      <c r="U242" s="45"/>
    </row>
    <row r="243" spans="1:21">
      <c r="A243" s="41">
        <f>A242+1</f>
        <v>223</v>
      </c>
      <c r="B243" s="72">
        <v>46061</v>
      </c>
      <c r="C243" s="207">
        <v>8610826</v>
      </c>
      <c r="D243" s="28">
        <v>73062630</v>
      </c>
      <c r="E243" s="29">
        <v>61.6</v>
      </c>
      <c r="F243" s="30">
        <v>564.96</v>
      </c>
      <c r="G243" s="31">
        <f>E243*F243</f>
        <v>34801.536</v>
      </c>
      <c r="H243" s="365">
        <v>46076.86</v>
      </c>
      <c r="I243" s="33">
        <f>E243*H243</f>
        <v>2838334.576</v>
      </c>
      <c r="J243" s="273" t="s">
        <v>120</v>
      </c>
      <c r="K243" s="274" t="s">
        <v>121</v>
      </c>
      <c r="L243" s="89"/>
      <c r="M243" s="44"/>
      <c r="N243" s="41"/>
      <c r="O243" s="41"/>
      <c r="P243" s="89"/>
      <c r="Q243" s="44"/>
      <c r="R243" s="41"/>
      <c r="S243" s="41"/>
      <c r="T243" s="41"/>
      <c r="U243" s="45"/>
    </row>
    <row r="244" spans="1:21">
      <c r="A244" s="41">
        <f>A243+1</f>
        <v>224</v>
      </c>
      <c r="B244" s="72">
        <v>46061</v>
      </c>
      <c r="C244" s="207">
        <v>8610826</v>
      </c>
      <c r="D244" s="28">
        <v>73081457</v>
      </c>
      <c r="E244" s="29">
        <v>61.65</v>
      </c>
      <c r="F244" s="30">
        <v>564.96</v>
      </c>
      <c r="G244" s="31">
        <f>E244*F244</f>
        <v>34829.784</v>
      </c>
      <c r="H244" s="365">
        <v>46076.86</v>
      </c>
      <c r="I244" s="33">
        <f>E244*H244</f>
        <v>2840638.419</v>
      </c>
      <c r="J244" s="273" t="s">
        <v>120</v>
      </c>
      <c r="K244" s="274" t="s">
        <v>121</v>
      </c>
      <c r="L244" s="89"/>
      <c r="M244" s="44"/>
      <c r="N244" s="41"/>
      <c r="O244" s="41"/>
      <c r="P244" s="89"/>
      <c r="Q244" s="44"/>
      <c r="R244" s="41"/>
      <c r="S244" s="41"/>
      <c r="T244" s="41"/>
      <c r="U244" s="45"/>
    </row>
    <row r="245" spans="1:21">
      <c r="A245" s="41">
        <f>A244+1</f>
        <v>225</v>
      </c>
      <c r="B245" s="72">
        <v>46061</v>
      </c>
      <c r="C245" s="207">
        <v>8610826</v>
      </c>
      <c r="D245" s="28">
        <v>73114563</v>
      </c>
      <c r="E245" s="29">
        <v>61.75</v>
      </c>
      <c r="F245" s="30">
        <v>564.96</v>
      </c>
      <c r="G245" s="31">
        <f>E245*F245</f>
        <v>34886.28</v>
      </c>
      <c r="H245" s="365">
        <v>46076.86</v>
      </c>
      <c r="I245" s="33">
        <f>E245*H245</f>
        <v>2845246.105</v>
      </c>
      <c r="J245" s="273" t="s">
        <v>120</v>
      </c>
      <c r="K245" s="274" t="s">
        <v>121</v>
      </c>
      <c r="L245" s="89"/>
      <c r="M245" s="44"/>
      <c r="N245" s="41"/>
      <c r="O245" s="41"/>
      <c r="P245" s="89"/>
      <c r="Q245" s="44"/>
      <c r="R245" s="41"/>
      <c r="S245" s="41"/>
      <c r="T245" s="41"/>
      <c r="U245" s="45"/>
    </row>
    <row r="246" spans="1:21">
      <c r="A246" s="41">
        <f>A245+1</f>
        <v>226</v>
      </c>
      <c r="B246" s="72">
        <v>46061</v>
      </c>
      <c r="C246" s="207">
        <v>8610826</v>
      </c>
      <c r="D246" s="28">
        <v>73154510</v>
      </c>
      <c r="E246" s="29">
        <v>61.6</v>
      </c>
      <c r="F246" s="30">
        <v>564.96</v>
      </c>
      <c r="G246" s="31">
        <f>E246*F246</f>
        <v>34801.536</v>
      </c>
      <c r="H246" s="365">
        <v>46076.86</v>
      </c>
      <c r="I246" s="33">
        <f>E246*H246</f>
        <v>2838334.576</v>
      </c>
      <c r="J246" s="273" t="s">
        <v>120</v>
      </c>
      <c r="K246" s="274" t="s">
        <v>121</v>
      </c>
      <c r="L246" s="89"/>
      <c r="M246" s="44"/>
      <c r="N246" s="41"/>
      <c r="O246" s="41"/>
      <c r="P246" s="89"/>
      <c r="Q246" s="44"/>
      <c r="R246" s="41"/>
      <c r="S246" s="41"/>
      <c r="T246" s="41"/>
      <c r="U246" s="45"/>
    </row>
    <row r="247" spans="1:21">
      <c r="A247" s="41">
        <f>A246+1</f>
        <v>227</v>
      </c>
      <c r="B247" s="72">
        <v>46061</v>
      </c>
      <c r="C247" s="207">
        <v>8610826</v>
      </c>
      <c r="D247" s="28">
        <v>73158305</v>
      </c>
      <c r="E247" s="29">
        <v>61.6</v>
      </c>
      <c r="F247" s="30">
        <v>564.96</v>
      </c>
      <c r="G247" s="31">
        <f>E247*F247</f>
        <v>34801.536</v>
      </c>
      <c r="H247" s="365">
        <v>46076.86</v>
      </c>
      <c r="I247" s="33">
        <f>E247*H247</f>
        <v>2838334.576</v>
      </c>
      <c r="J247" s="273" t="s">
        <v>120</v>
      </c>
      <c r="K247" s="274" t="s">
        <v>121</v>
      </c>
      <c r="L247" s="89"/>
      <c r="M247" s="44"/>
      <c r="N247" s="41"/>
      <c r="O247" s="41"/>
      <c r="P247" s="89"/>
      <c r="Q247" s="44"/>
      <c r="R247" s="41"/>
      <c r="S247" s="41"/>
      <c r="T247" s="41"/>
      <c r="U247" s="45"/>
    </row>
    <row r="248" spans="1:21">
      <c r="A248" s="41">
        <f>A247+1</f>
        <v>228</v>
      </c>
      <c r="B248" s="72">
        <v>46061</v>
      </c>
      <c r="C248" s="207">
        <v>8610825</v>
      </c>
      <c r="D248" s="28">
        <v>73160749</v>
      </c>
      <c r="E248" s="29">
        <v>61.7</v>
      </c>
      <c r="F248" s="30">
        <v>564.96</v>
      </c>
      <c r="G248" s="31">
        <f>E248*F248</f>
        <v>34858.032</v>
      </c>
      <c r="H248" s="365">
        <v>46076.86</v>
      </c>
      <c r="I248" s="33">
        <f>E248*H248</f>
        <v>2842942.262</v>
      </c>
      <c r="J248" s="273" t="s">
        <v>120</v>
      </c>
      <c r="K248" s="274" t="s">
        <v>121</v>
      </c>
      <c r="L248" s="89"/>
      <c r="M248" s="44"/>
      <c r="N248" s="41"/>
      <c r="O248" s="41"/>
      <c r="P248" s="89"/>
      <c r="Q248" s="44"/>
      <c r="R248" s="41"/>
      <c r="S248" s="41"/>
      <c r="T248" s="41"/>
      <c r="U248" s="45"/>
    </row>
    <row r="249" spans="1:21">
      <c r="A249" s="41">
        <f>A248+1</f>
        <v>229</v>
      </c>
      <c r="B249" s="72">
        <v>46061</v>
      </c>
      <c r="C249" s="207">
        <v>8610826</v>
      </c>
      <c r="D249" s="28">
        <v>73177511</v>
      </c>
      <c r="E249" s="29">
        <v>61.6</v>
      </c>
      <c r="F249" s="30">
        <v>564.96</v>
      </c>
      <c r="G249" s="31">
        <f>E249*F249</f>
        <v>34801.536</v>
      </c>
      <c r="H249" s="365">
        <v>46076.86</v>
      </c>
      <c r="I249" s="33">
        <f>E249*H249</f>
        <v>2838334.576</v>
      </c>
      <c r="J249" s="273" t="s">
        <v>120</v>
      </c>
      <c r="K249" s="274" t="s">
        <v>121</v>
      </c>
      <c r="L249" s="89"/>
      <c r="M249" s="44"/>
      <c r="N249" s="41"/>
      <c r="O249" s="41"/>
      <c r="P249" s="89"/>
      <c r="Q249" s="44"/>
      <c r="R249" s="41"/>
      <c r="S249" s="41"/>
      <c r="T249" s="41"/>
      <c r="U249" s="45"/>
    </row>
    <row r="250" spans="1:21">
      <c r="A250" s="41">
        <f>A249+1</f>
        <v>230</v>
      </c>
      <c r="B250" s="72">
        <v>46061</v>
      </c>
      <c r="C250" s="207">
        <v>8610826</v>
      </c>
      <c r="D250" s="28">
        <v>73231003</v>
      </c>
      <c r="E250" s="29">
        <v>61.9</v>
      </c>
      <c r="F250" s="30">
        <v>564.96</v>
      </c>
      <c r="G250" s="31">
        <f>E250*F250</f>
        <v>34971.024</v>
      </c>
      <c r="H250" s="365">
        <v>46076.86</v>
      </c>
      <c r="I250" s="33">
        <f>E250*H250</f>
        <v>2852157.634</v>
      </c>
      <c r="J250" s="273" t="s">
        <v>120</v>
      </c>
      <c r="K250" s="274" t="s">
        <v>121</v>
      </c>
      <c r="L250" s="89"/>
      <c r="M250" s="44"/>
      <c r="N250" s="41"/>
      <c r="O250" s="41"/>
      <c r="P250" s="89"/>
      <c r="Q250" s="44"/>
      <c r="R250" s="41"/>
      <c r="S250" s="41"/>
      <c r="T250" s="41"/>
      <c r="U250" s="45"/>
    </row>
    <row r="251" spans="1:21">
      <c r="A251" s="41">
        <f>A250+1</f>
        <v>231</v>
      </c>
      <c r="B251" s="72">
        <v>46061</v>
      </c>
      <c r="C251" s="207">
        <v>8610826</v>
      </c>
      <c r="D251" s="28">
        <v>73231235</v>
      </c>
      <c r="E251" s="29">
        <v>61.6</v>
      </c>
      <c r="F251" s="30">
        <v>564.96</v>
      </c>
      <c r="G251" s="31">
        <f>E251*F251</f>
        <v>34801.536</v>
      </c>
      <c r="H251" s="365">
        <v>46076.86</v>
      </c>
      <c r="I251" s="33">
        <f>E251*H251</f>
        <v>2838334.576</v>
      </c>
      <c r="J251" s="273" t="s">
        <v>120</v>
      </c>
      <c r="K251" s="274" t="s">
        <v>121</v>
      </c>
      <c r="L251" s="89"/>
      <c r="M251" s="44"/>
      <c r="N251" s="41"/>
      <c r="O251" s="41"/>
      <c r="P251" s="89"/>
      <c r="Q251" s="44"/>
      <c r="R251" s="41"/>
      <c r="S251" s="41"/>
      <c r="T251" s="41"/>
      <c r="U251" s="45"/>
    </row>
    <row r="252" spans="1:21">
      <c r="A252" s="41">
        <f>A251+1</f>
        <v>232</v>
      </c>
      <c r="B252" s="72">
        <v>46061</v>
      </c>
      <c r="C252" s="207">
        <v>8610826</v>
      </c>
      <c r="D252" s="28">
        <v>73233165</v>
      </c>
      <c r="E252" s="29">
        <v>61.6</v>
      </c>
      <c r="F252" s="30">
        <v>564.96</v>
      </c>
      <c r="G252" s="31">
        <f>E252*F252</f>
        <v>34801.536</v>
      </c>
      <c r="H252" s="365">
        <v>46076.86</v>
      </c>
      <c r="I252" s="33">
        <f>E252*H252</f>
        <v>2838334.576</v>
      </c>
      <c r="J252" s="273" t="s">
        <v>120</v>
      </c>
      <c r="K252" s="274" t="s">
        <v>121</v>
      </c>
      <c r="L252" s="89"/>
      <c r="M252" s="44"/>
      <c r="N252" s="41"/>
      <c r="O252" s="41"/>
      <c r="P252" s="89"/>
      <c r="Q252" s="44"/>
      <c r="R252" s="41"/>
      <c r="S252" s="41"/>
      <c r="T252" s="41"/>
      <c r="U252" s="45"/>
    </row>
    <row r="253" spans="1:21">
      <c r="A253" s="41">
        <f>A252+1</f>
        <v>233</v>
      </c>
      <c r="B253" s="72">
        <v>46061</v>
      </c>
      <c r="C253" s="207">
        <v>8610826</v>
      </c>
      <c r="D253" s="28">
        <v>73913717</v>
      </c>
      <c r="E253" s="29">
        <v>61.7</v>
      </c>
      <c r="F253" s="30">
        <v>564.96</v>
      </c>
      <c r="G253" s="31">
        <f>E253*F253</f>
        <v>34858.032</v>
      </c>
      <c r="H253" s="365">
        <v>46076.86</v>
      </c>
      <c r="I253" s="33">
        <f>E253*H253</f>
        <v>2842942.262</v>
      </c>
      <c r="J253" s="273" t="s">
        <v>120</v>
      </c>
      <c r="K253" s="274" t="s">
        <v>121</v>
      </c>
      <c r="L253" s="89"/>
      <c r="M253" s="44"/>
      <c r="N253" s="41"/>
      <c r="O253" s="41"/>
      <c r="P253" s="89"/>
      <c r="Q253" s="44"/>
      <c r="R253" s="41"/>
      <c r="S253" s="41"/>
      <c r="T253" s="41"/>
      <c r="U253" s="45"/>
    </row>
    <row r="254" spans="1:21">
      <c r="A254" s="41">
        <f>A253+1</f>
        <v>234</v>
      </c>
      <c r="B254" s="72">
        <v>46061</v>
      </c>
      <c r="C254" s="207">
        <v>8610825</v>
      </c>
      <c r="D254" s="28">
        <v>73971053</v>
      </c>
      <c r="E254" s="29">
        <v>61.35</v>
      </c>
      <c r="F254" s="30">
        <v>564.96</v>
      </c>
      <c r="G254" s="31">
        <f>E254*F254</f>
        <v>34660.296</v>
      </c>
      <c r="H254" s="365">
        <v>46076.86</v>
      </c>
      <c r="I254" s="33">
        <f>E254*H254</f>
        <v>2826815.361</v>
      </c>
      <c r="J254" s="273" t="s">
        <v>120</v>
      </c>
      <c r="K254" s="274" t="s">
        <v>121</v>
      </c>
      <c r="L254" s="89"/>
      <c r="M254" s="44"/>
      <c r="N254" s="41"/>
      <c r="O254" s="41"/>
      <c r="P254" s="89"/>
      <c r="Q254" s="44"/>
      <c r="R254" s="41"/>
      <c r="S254" s="41"/>
      <c r="T254" s="41"/>
      <c r="U254" s="45"/>
    </row>
    <row r="255" spans="1:21">
      <c r="A255" s="41">
        <f>A254+1</f>
        <v>235</v>
      </c>
      <c r="B255" s="72">
        <v>46061</v>
      </c>
      <c r="C255" s="207">
        <v>8610824</v>
      </c>
      <c r="D255" s="28">
        <v>74245226</v>
      </c>
      <c r="E255" s="29">
        <v>52.65</v>
      </c>
      <c r="F255" s="30">
        <v>564.96</v>
      </c>
      <c r="G255" s="31">
        <f>E255*F255</f>
        <v>29745.144</v>
      </c>
      <c r="H255" s="365">
        <v>46076.86</v>
      </c>
      <c r="I255" s="33">
        <f>E255*H255</f>
        <v>2425946.679</v>
      </c>
      <c r="J255" s="273" t="s">
        <v>120</v>
      </c>
      <c r="K255" s="274" t="s">
        <v>121</v>
      </c>
      <c r="L255" s="89"/>
      <c r="M255" s="44"/>
      <c r="N255" s="41"/>
      <c r="O255" s="41"/>
      <c r="P255" s="89"/>
      <c r="Q255" s="44"/>
      <c r="R255" s="41"/>
      <c r="S255" s="41"/>
      <c r="T255" s="41"/>
      <c r="U255" s="45"/>
    </row>
    <row r="256" spans="1:21">
      <c r="A256" s="41">
        <f>A255+1</f>
        <v>236</v>
      </c>
      <c r="B256" s="72">
        <v>46061</v>
      </c>
      <c r="C256" s="207">
        <v>8610824</v>
      </c>
      <c r="D256" s="28">
        <v>75004101</v>
      </c>
      <c r="E256" s="29">
        <v>61.25</v>
      </c>
      <c r="F256" s="30">
        <v>564.96</v>
      </c>
      <c r="G256" s="31">
        <f>E256*F256</f>
        <v>34603.8</v>
      </c>
      <c r="H256" s="365">
        <v>46076.86</v>
      </c>
      <c r="I256" s="33">
        <f>E256*H256</f>
        <v>2822207.675</v>
      </c>
      <c r="J256" s="273" t="s">
        <v>120</v>
      </c>
      <c r="K256" s="274" t="s">
        <v>121</v>
      </c>
      <c r="L256" s="89"/>
      <c r="M256" s="44"/>
      <c r="N256" s="41"/>
      <c r="O256" s="41"/>
      <c r="P256" s="89"/>
      <c r="Q256" s="44"/>
      <c r="R256" s="41"/>
      <c r="S256" s="41"/>
      <c r="T256" s="41"/>
      <c r="U256" s="45"/>
    </row>
    <row r="257" ht="15.75" spans="1:21">
      <c r="A257" s="41">
        <f>A256+1</f>
        <v>237</v>
      </c>
      <c r="B257" s="76">
        <v>46061</v>
      </c>
      <c r="C257" s="216">
        <v>8610825</v>
      </c>
      <c r="D257" s="47">
        <v>75080788</v>
      </c>
      <c r="E257" s="48">
        <v>61.7</v>
      </c>
      <c r="F257" s="30">
        <v>564.96</v>
      </c>
      <c r="G257" s="79">
        <f>E257*F257</f>
        <v>34858.032</v>
      </c>
      <c r="H257" s="371">
        <v>46076.86</v>
      </c>
      <c r="I257" s="80">
        <f>E257*H257</f>
        <v>2842942.262</v>
      </c>
      <c r="J257" s="273" t="s">
        <v>120</v>
      </c>
      <c r="K257" s="303" t="s">
        <v>121</v>
      </c>
      <c r="L257" s="90"/>
      <c r="M257" s="51"/>
      <c r="N257" s="52"/>
      <c r="O257" s="52"/>
      <c r="P257" s="180"/>
      <c r="Q257" s="51"/>
      <c r="R257" s="52"/>
      <c r="S257" s="52"/>
      <c r="T257" s="52"/>
      <c r="U257" s="53"/>
    </row>
    <row r="258" ht="15.75" spans="1:21">
      <c r="A258" s="55"/>
      <c r="B258" s="56"/>
      <c r="C258" s="56"/>
      <c r="D258" s="56"/>
      <c r="E258" s="57">
        <f>SUM(E231:E257)</f>
        <v>1615.25</v>
      </c>
      <c r="F258" s="367"/>
      <c r="G258" s="59">
        <f>SUM(G231:G257)</f>
        <v>912551.64</v>
      </c>
      <c r="H258" s="56"/>
      <c r="I258" s="60">
        <f>SUM(I231:I257)</f>
        <v>74425648.115</v>
      </c>
      <c r="J258" s="56"/>
      <c r="K258" s="92"/>
      <c r="L258" s="93"/>
      <c r="M258" s="55"/>
      <c r="N258" s="56"/>
      <c r="O258" s="56"/>
      <c r="P258" s="61"/>
      <c r="Q258" s="94"/>
      <c r="R258" s="56"/>
      <c r="S258" s="56"/>
      <c r="T258" s="56"/>
      <c r="U258" s="61"/>
    </row>
    <row r="259" spans="1:21">
      <c r="A259" s="67">
        <v>238</v>
      </c>
      <c r="B259" s="72">
        <v>46061</v>
      </c>
      <c r="C259" s="207">
        <v>8610819</v>
      </c>
      <c r="D259" s="28">
        <v>50133461</v>
      </c>
      <c r="E259" s="29">
        <v>60.4</v>
      </c>
      <c r="F259" s="30">
        <v>564.96</v>
      </c>
      <c r="G259" s="31">
        <f>E259*F259</f>
        <v>34123.584</v>
      </c>
      <c r="H259" s="365">
        <v>46076.86</v>
      </c>
      <c r="I259" s="33">
        <f>E259*H259</f>
        <v>2783042.344</v>
      </c>
      <c r="J259" s="273" t="s">
        <v>120</v>
      </c>
      <c r="K259" s="274" t="s">
        <v>121</v>
      </c>
      <c r="L259" s="95"/>
      <c r="M259" s="37"/>
      <c r="N259" s="38"/>
      <c r="O259" s="38"/>
      <c r="P259" s="39"/>
      <c r="Q259" s="37"/>
      <c r="R259" s="38"/>
      <c r="S259" s="38"/>
      <c r="T259" s="38"/>
      <c r="U259" s="39"/>
    </row>
    <row r="260" ht="15.75" spans="1:21">
      <c r="A260" s="77">
        <v>239</v>
      </c>
      <c r="B260" s="76">
        <v>46061</v>
      </c>
      <c r="C260" s="216">
        <v>8610818</v>
      </c>
      <c r="D260" s="47">
        <v>73224131</v>
      </c>
      <c r="E260" s="29">
        <v>60.15</v>
      </c>
      <c r="F260" s="30">
        <v>564.96</v>
      </c>
      <c r="G260" s="31">
        <f>E260*F260</f>
        <v>33982.344</v>
      </c>
      <c r="H260" s="365">
        <v>46076.86</v>
      </c>
      <c r="I260" s="33">
        <f>E260*H260</f>
        <v>2771523.129</v>
      </c>
      <c r="J260" s="273" t="s">
        <v>120</v>
      </c>
      <c r="K260" s="274" t="s">
        <v>121</v>
      </c>
      <c r="L260" s="90"/>
      <c r="M260" s="51"/>
      <c r="N260" s="52"/>
      <c r="O260" s="52"/>
      <c r="P260" s="53"/>
      <c r="Q260" s="51"/>
      <c r="R260" s="52"/>
      <c r="S260" s="52"/>
      <c r="T260" s="52"/>
      <c r="U260" s="53"/>
    </row>
    <row r="261" ht="15.75" spans="1:21">
      <c r="A261" s="55"/>
      <c r="B261" s="56"/>
      <c r="C261" s="56"/>
      <c r="D261" s="56"/>
      <c r="E261" s="57">
        <f>SUM(E259:E260)</f>
        <v>120.55</v>
      </c>
      <c r="F261" s="367"/>
      <c r="G261" s="59">
        <f>SUM(G259:G260)</f>
        <v>68105.928</v>
      </c>
      <c r="H261" s="56"/>
      <c r="I261" s="60">
        <f>SUM(I259:I260)</f>
        <v>5554565.473</v>
      </c>
      <c r="J261" s="56"/>
      <c r="K261" s="92"/>
      <c r="L261" s="93"/>
      <c r="M261" s="94"/>
      <c r="N261" s="56"/>
      <c r="O261" s="56"/>
      <c r="P261" s="61"/>
      <c r="Q261" s="94"/>
      <c r="R261" s="56"/>
      <c r="S261" s="56"/>
      <c r="T261" s="56"/>
      <c r="U261" s="61"/>
    </row>
    <row r="262" spans="1:21">
      <c r="A262" s="37">
        <v>240</v>
      </c>
      <c r="B262" s="115">
        <v>46061</v>
      </c>
      <c r="C262" s="232">
        <v>8610828</v>
      </c>
      <c r="D262" s="177">
        <v>50394899</v>
      </c>
      <c r="E262" s="178">
        <v>59.7</v>
      </c>
      <c r="F262" s="181">
        <v>564.96</v>
      </c>
      <c r="G262" s="118">
        <f>E262*F262</f>
        <v>33728.112</v>
      </c>
      <c r="H262" s="404">
        <v>46076.86</v>
      </c>
      <c r="I262" s="120">
        <f>E262*H262</f>
        <v>2750788.542</v>
      </c>
      <c r="J262" s="210" t="s">
        <v>120</v>
      </c>
      <c r="K262" s="270" t="s">
        <v>121</v>
      </c>
      <c r="L262" s="186"/>
      <c r="M262" s="37"/>
      <c r="N262" s="38"/>
      <c r="O262" s="38"/>
      <c r="P262" s="39"/>
      <c r="Q262" s="40"/>
      <c r="R262" s="38"/>
      <c r="S262" s="38"/>
      <c r="T262" s="38"/>
      <c r="U262" s="39"/>
    </row>
    <row r="263" spans="1:21">
      <c r="A263" s="44">
        <f>A262+1</f>
        <v>241</v>
      </c>
      <c r="B263" s="27">
        <v>46061</v>
      </c>
      <c r="C263" s="207">
        <v>8610828</v>
      </c>
      <c r="D263" s="28">
        <v>73084261</v>
      </c>
      <c r="E263" s="29">
        <v>61.25</v>
      </c>
      <c r="F263" s="30">
        <v>564.96</v>
      </c>
      <c r="G263" s="31">
        <f>E263*F263</f>
        <v>34603.8</v>
      </c>
      <c r="H263" s="365">
        <v>46076.86</v>
      </c>
      <c r="I263" s="33">
        <f>E263*H263</f>
        <v>2822207.675</v>
      </c>
      <c r="J263" s="273" t="s">
        <v>120</v>
      </c>
      <c r="K263" s="274" t="s">
        <v>121</v>
      </c>
      <c r="L263" s="187"/>
      <c r="M263" s="44"/>
      <c r="N263" s="41"/>
      <c r="O263" s="41"/>
      <c r="P263" s="45"/>
      <c r="Q263" s="46"/>
      <c r="R263" s="41"/>
      <c r="S263" s="41"/>
      <c r="T263" s="41"/>
      <c r="U263" s="45"/>
    </row>
    <row r="264" spans="1:21">
      <c r="A264" s="44">
        <f>A263+1</f>
        <v>242</v>
      </c>
      <c r="B264" s="27">
        <v>46061</v>
      </c>
      <c r="C264" s="207">
        <v>8610828</v>
      </c>
      <c r="D264" s="28">
        <v>73137309</v>
      </c>
      <c r="E264" s="29">
        <v>58.5</v>
      </c>
      <c r="F264" s="30">
        <v>564.96</v>
      </c>
      <c r="G264" s="31">
        <f>E264*F264</f>
        <v>33050.16</v>
      </c>
      <c r="H264" s="365">
        <v>46076.86</v>
      </c>
      <c r="I264" s="33">
        <f>E264*H264</f>
        <v>2695496.31</v>
      </c>
      <c r="J264" s="273" t="s">
        <v>120</v>
      </c>
      <c r="K264" s="274" t="s">
        <v>121</v>
      </c>
      <c r="L264" s="187"/>
      <c r="M264" s="44"/>
      <c r="N264" s="41"/>
      <c r="O264" s="41"/>
      <c r="P264" s="45"/>
      <c r="Q264" s="46"/>
      <c r="R264" s="41"/>
      <c r="S264" s="41"/>
      <c r="T264" s="41"/>
      <c r="U264" s="45"/>
    </row>
    <row r="265" spans="1:21">
      <c r="A265" s="44">
        <f>A264+1</f>
        <v>243</v>
      </c>
      <c r="B265" s="27">
        <v>46061</v>
      </c>
      <c r="C265" s="207">
        <v>8610828</v>
      </c>
      <c r="D265" s="28">
        <v>73176364</v>
      </c>
      <c r="E265" s="29">
        <v>61</v>
      </c>
      <c r="F265" s="30">
        <v>564.96</v>
      </c>
      <c r="G265" s="31">
        <f>E265*F265</f>
        <v>34462.56</v>
      </c>
      <c r="H265" s="365">
        <v>46076.86</v>
      </c>
      <c r="I265" s="33">
        <f>E265*H265</f>
        <v>2810688.46</v>
      </c>
      <c r="J265" s="273" t="s">
        <v>120</v>
      </c>
      <c r="K265" s="274" t="s">
        <v>121</v>
      </c>
      <c r="L265" s="187"/>
      <c r="M265" s="44"/>
      <c r="N265" s="41"/>
      <c r="O265" s="41"/>
      <c r="P265" s="45"/>
      <c r="Q265" s="46"/>
      <c r="R265" s="41"/>
      <c r="S265" s="41"/>
      <c r="T265" s="41"/>
      <c r="U265" s="45"/>
    </row>
    <row r="266" spans="1:21">
      <c r="A266" s="44">
        <f>A265+1</f>
        <v>244</v>
      </c>
      <c r="B266" s="27">
        <v>46061</v>
      </c>
      <c r="C266" s="216">
        <v>8610828</v>
      </c>
      <c r="D266" s="47">
        <v>73229957</v>
      </c>
      <c r="E266" s="29">
        <v>59.45</v>
      </c>
      <c r="F266" s="30">
        <v>564.96</v>
      </c>
      <c r="G266" s="31">
        <f>E266*F266</f>
        <v>33586.872</v>
      </c>
      <c r="H266" s="365">
        <v>46076.86</v>
      </c>
      <c r="I266" s="33">
        <f>E266*H266</f>
        <v>2739269.327</v>
      </c>
      <c r="J266" s="273" t="s">
        <v>120</v>
      </c>
      <c r="K266" s="274" t="s">
        <v>121</v>
      </c>
      <c r="L266" s="399"/>
      <c r="M266" s="75"/>
      <c r="N266" s="77"/>
      <c r="O266" s="77"/>
      <c r="P266" s="91"/>
      <c r="Q266" s="250"/>
      <c r="R266" s="77"/>
      <c r="S266" s="77"/>
      <c r="T266" s="77"/>
      <c r="U266" s="91"/>
    </row>
    <row r="267" spans="1:21">
      <c r="A267" s="44">
        <f>A266+1</f>
        <v>245</v>
      </c>
      <c r="B267" s="27">
        <v>46061</v>
      </c>
      <c r="C267" s="207">
        <v>8610828</v>
      </c>
      <c r="D267" s="28">
        <v>73230831</v>
      </c>
      <c r="E267" s="29">
        <v>60.6</v>
      </c>
      <c r="F267" s="30">
        <v>564.96</v>
      </c>
      <c r="G267" s="31">
        <f>E267*F267</f>
        <v>34236.576</v>
      </c>
      <c r="H267" s="365">
        <v>46076.86</v>
      </c>
      <c r="I267" s="33">
        <f>E267*H267</f>
        <v>2792257.716</v>
      </c>
      <c r="J267" s="273" t="s">
        <v>120</v>
      </c>
      <c r="K267" s="274" t="s">
        <v>121</v>
      </c>
      <c r="L267" s="187"/>
      <c r="M267" s="44"/>
      <c r="N267" s="41"/>
      <c r="O267" s="41"/>
      <c r="P267" s="45"/>
      <c r="Q267" s="46"/>
      <c r="R267" s="41"/>
      <c r="S267" s="41"/>
      <c r="T267" s="41"/>
      <c r="U267" s="45"/>
    </row>
    <row r="268" spans="1:21">
      <c r="A268" s="44">
        <f>A267+1</f>
        <v>246</v>
      </c>
      <c r="B268" s="27">
        <v>46061</v>
      </c>
      <c r="C268" s="207">
        <v>8610828</v>
      </c>
      <c r="D268" s="28">
        <v>75256768</v>
      </c>
      <c r="E268" s="29">
        <v>59.15</v>
      </c>
      <c r="F268" s="30">
        <v>564.96</v>
      </c>
      <c r="G268" s="31">
        <f>E268*F268</f>
        <v>33417.384</v>
      </c>
      <c r="H268" s="365">
        <v>46076.86</v>
      </c>
      <c r="I268" s="33">
        <f>E268*H268</f>
        <v>2725446.269</v>
      </c>
      <c r="J268" s="273" t="s">
        <v>120</v>
      </c>
      <c r="K268" s="274" t="s">
        <v>121</v>
      </c>
      <c r="L268" s="187"/>
      <c r="M268" s="44"/>
      <c r="N268" s="41"/>
      <c r="O268" s="41"/>
      <c r="P268" s="45"/>
      <c r="Q268" s="46"/>
      <c r="R268" s="41"/>
      <c r="S268" s="41"/>
      <c r="T268" s="41"/>
      <c r="U268" s="45"/>
    </row>
    <row r="269" spans="1:21">
      <c r="A269" s="44">
        <f>A268+1</f>
        <v>247</v>
      </c>
      <c r="B269" s="27">
        <v>46061</v>
      </c>
      <c r="C269" s="207">
        <v>8610828</v>
      </c>
      <c r="D269" s="28">
        <v>75259374</v>
      </c>
      <c r="E269" s="29">
        <v>56.3</v>
      </c>
      <c r="F269" s="30">
        <v>564.96</v>
      </c>
      <c r="G269" s="31">
        <f>E269*F269</f>
        <v>31807.248</v>
      </c>
      <c r="H269" s="365">
        <v>46076.86</v>
      </c>
      <c r="I269" s="33">
        <f>E269*H269</f>
        <v>2594127.218</v>
      </c>
      <c r="J269" s="273" t="s">
        <v>120</v>
      </c>
      <c r="K269" s="274" t="s">
        <v>121</v>
      </c>
      <c r="L269" s="187"/>
      <c r="M269" s="44"/>
      <c r="N269" s="41"/>
      <c r="O269" s="41"/>
      <c r="P269" s="45"/>
      <c r="Q269" s="46"/>
      <c r="R269" s="41"/>
      <c r="S269" s="41"/>
      <c r="T269" s="41"/>
      <c r="U269" s="45"/>
    </row>
    <row r="270" ht="15.75" spans="1:21">
      <c r="A270" s="51">
        <f>A269+1</f>
        <v>248</v>
      </c>
      <c r="B270" s="188">
        <v>46061</v>
      </c>
      <c r="C270" s="226">
        <v>8610828</v>
      </c>
      <c r="D270" s="158">
        <v>75278366</v>
      </c>
      <c r="E270" s="162">
        <v>60.55</v>
      </c>
      <c r="F270" s="227">
        <v>564.96</v>
      </c>
      <c r="G270" s="163">
        <f>E270*F270</f>
        <v>34208.328</v>
      </c>
      <c r="H270" s="376">
        <v>46076.86</v>
      </c>
      <c r="I270" s="164">
        <f>E270*H270</f>
        <v>2789953.873</v>
      </c>
      <c r="J270" s="276" t="s">
        <v>120</v>
      </c>
      <c r="K270" s="277" t="s">
        <v>121</v>
      </c>
      <c r="L270" s="189"/>
      <c r="M270" s="51"/>
      <c r="N270" s="52"/>
      <c r="O270" s="52"/>
      <c r="P270" s="53"/>
      <c r="Q270" s="54"/>
      <c r="R270" s="52"/>
      <c r="S270" s="52"/>
      <c r="T270" s="52"/>
      <c r="U270" s="53"/>
    </row>
    <row r="271" ht="15.75" spans="1:21">
      <c r="A271" s="255"/>
      <c r="B271" s="256"/>
      <c r="C271" s="256"/>
      <c r="D271" s="256"/>
      <c r="E271" s="405">
        <f>SUM(E262:E270)</f>
        <v>536.5</v>
      </c>
      <c r="F271" s="406"/>
      <c r="G271" s="407">
        <f>SUM(G262:G270)</f>
        <v>303101.04</v>
      </c>
      <c r="H271" s="256"/>
      <c r="I271" s="408">
        <f>SUM(I262:I270)</f>
        <v>24720235.39</v>
      </c>
      <c r="J271" s="256"/>
      <c r="K271" s="409"/>
      <c r="L271" s="131"/>
      <c r="M271" s="255"/>
      <c r="N271" s="256"/>
      <c r="O271" s="256"/>
      <c r="P271" s="372"/>
      <c r="Q271" s="373"/>
      <c r="R271" s="256"/>
      <c r="S271" s="256"/>
      <c r="T271" s="256"/>
      <c r="U271" s="372"/>
    </row>
    <row r="272" ht="15.75" spans="1:21">
      <c r="A272" s="379" t="s">
        <v>136</v>
      </c>
      <c r="B272" s="380"/>
      <c r="C272" s="380"/>
      <c r="D272" s="381"/>
      <c r="E272" s="382">
        <f>E111+E128+E142+E174+E185+E230+E258+E261+E271</f>
        <v>9784.45</v>
      </c>
      <c r="F272" s="383"/>
      <c r="G272" s="384">
        <f>G111+G128+G142+G174+G185+G230+G258+G261+G271</f>
        <v>5527822.872</v>
      </c>
      <c r="H272" s="385"/>
      <c r="I272" s="386">
        <f>I111+I128+I142+I174+I185+I230+I258+I261+I271</f>
        <v>450836732.827</v>
      </c>
      <c r="J272" s="385"/>
      <c r="K272" s="410"/>
      <c r="L272" s="411"/>
      <c r="M272" s="389"/>
      <c r="N272" s="385"/>
      <c r="O272" s="385"/>
      <c r="P272" s="390"/>
      <c r="Q272" s="391"/>
      <c r="R272" s="385"/>
      <c r="S272" s="385"/>
      <c r="T272" s="385"/>
      <c r="U272" s="390"/>
    </row>
    <row r="273" ht="15.75" spans="1:21">
      <c r="A273" s="356"/>
      <c r="B273" s="357"/>
      <c r="C273" s="357"/>
      <c r="D273" s="357"/>
      <c r="E273" s="358">
        <f>E99+E272</f>
        <v>14983.95</v>
      </c>
      <c r="F273" s="359"/>
      <c r="G273" s="412">
        <f>G99+G272</f>
        <v>8232134.92790909</v>
      </c>
      <c r="H273" s="357"/>
      <c r="I273" s="361">
        <f>I99+I272</f>
        <v>690413366.397</v>
      </c>
      <c r="J273" s="357"/>
      <c r="K273" s="413"/>
      <c r="L273" s="414"/>
      <c r="M273" s="356"/>
      <c r="N273" s="357"/>
      <c r="O273" s="357"/>
      <c r="P273" s="362"/>
      <c r="Q273" s="364"/>
      <c r="R273" s="357"/>
      <c r="S273" s="357"/>
      <c r="T273" s="357"/>
      <c r="U273" s="362"/>
    </row>
    <row r="275" ht="15.75"/>
    <row r="276" spans="1:21">
      <c r="B276" s="142" t="s">
        <v>124</v>
      </c>
      <c r="C276" s="204"/>
      <c r="D276" s="144"/>
      <c r="E276" s="145">
        <v>15000</v>
      </c>
    </row>
    <row r="277" spans="1:21">
      <c r="B277" s="146" t="s">
        <v>125</v>
      </c>
      <c r="C277" s="147"/>
      <c r="D277" s="148"/>
      <c r="E277" s="149">
        <f>E273</f>
        <v>14983.95</v>
      </c>
    </row>
    <row r="278" ht="15.75" spans="1:21">
      <c r="B278" s="150" t="s">
        <v>126</v>
      </c>
      <c r="C278" s="151"/>
      <c r="D278" s="152"/>
      <c r="E278" s="153">
        <f>E276-E277</f>
        <v>16.0500000000029</v>
      </c>
    </row>
  </sheetData>
  <mergeCells count="7">
    <mergeCell ref="A1:K1"/>
    <mergeCell ref="A2:K2"/>
    <mergeCell ref="M4:P4"/>
    <mergeCell ref="A99:D99"/>
    <mergeCell ref="A272:D272"/>
    <mergeCell ref="B276:C276"/>
    <mergeCell ref="T1:U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07"/>
  <sheetViews>
    <sheetView topLeftCell="A173" workbookViewId="0">
      <selection activeCell="I202" sqref="I202"/>
    </sheetView>
  </sheetViews>
  <sheetFormatPr defaultColWidth="9.14285714285714" defaultRowHeight="15"/>
  <cols>
    <col min="1" max="1" width="8.14285714285714" style="1" customWidth="1"/>
    <col min="2" max="2" width="11.2857142857143" style="1" customWidth="1"/>
    <col min="3" max="4" width="10" style="1" customWidth="1"/>
    <col min="5" max="5" width="11.4285714285714" style="1" customWidth="1"/>
    <col min="6" max="6" width="13.1428571428571" style="1" customWidth="1"/>
    <col min="7" max="7" width="15" style="1" customWidth="1"/>
    <col min="8" max="8" width="10.7142857142857" style="1" customWidth="1"/>
    <col min="9" max="9" width="18.2857142857143" style="1" customWidth="1"/>
    <col min="10" max="10" width="14.8571428571429" style="1" customWidth="1"/>
    <col min="11" max="11" width="17.1428571428571" style="1" customWidth="1"/>
    <col min="12" max="12" width="1.14285714285714" style="1" customWidth="1"/>
    <col min="13" max="16" width="2.42857142857143" style="1" customWidth="1"/>
    <col min="17" max="22" width="9.14285714285714" style="1"/>
    <col min="23" max="23" width="9.28571428571429" style="1" customWidth="1"/>
    <col min="24" max="16384" width="9.14285714285714" style="1"/>
  </cols>
  <sheetData>
    <row r="1" spans="1:23">
      <c r="A1" s="2" t="s">
        <v>102</v>
      </c>
      <c r="L1" s="3"/>
      <c r="M1" s="3"/>
      <c r="N1" s="3"/>
      <c r="O1" s="3"/>
      <c r="P1" s="3"/>
      <c r="T1" s="4" t="s">
        <v>137</v>
      </c>
      <c r="U1" s="4"/>
    </row>
    <row r="2" spans="1:23">
      <c r="A2" s="2" t="s">
        <v>138</v>
      </c>
      <c r="L2" s="5"/>
      <c r="M2" s="5"/>
      <c r="N2" s="5"/>
      <c r="O2" s="5"/>
      <c r="P2" s="5"/>
      <c r="T2" s="4"/>
      <c r="U2" s="4"/>
    </row>
    <row r="3" ht="15.75" spans="1:23">
      <c r="F3" s="6" t="s">
        <v>139</v>
      </c>
      <c r="H3" s="7"/>
      <c r="I3" s="7"/>
      <c r="L3" s="8"/>
      <c r="M3" s="9"/>
      <c r="N3" s="9"/>
      <c r="O3" s="10"/>
      <c r="P3" s="10"/>
      <c r="W3" s="262">
        <v>43524.16</v>
      </c>
    </row>
    <row r="4" ht="57.75" spans="1:23">
      <c r="A4" s="12" t="s">
        <v>106</v>
      </c>
      <c r="B4" s="13" t="s">
        <v>3</v>
      </c>
      <c r="C4" s="14" t="s">
        <v>107</v>
      </c>
      <c r="D4" s="13" t="s">
        <v>108</v>
      </c>
      <c r="E4" s="13" t="s">
        <v>109</v>
      </c>
      <c r="F4" s="15" t="s">
        <v>132</v>
      </c>
      <c r="G4" s="15" t="s">
        <v>90</v>
      </c>
      <c r="H4" s="16" t="s">
        <v>111</v>
      </c>
      <c r="I4" s="16" t="s">
        <v>90</v>
      </c>
      <c r="J4" s="13" t="s">
        <v>112</v>
      </c>
      <c r="K4" s="205" t="s">
        <v>113</v>
      </c>
      <c r="L4" s="206"/>
      <c r="M4" s="263" t="s">
        <v>114</v>
      </c>
      <c r="N4" s="264"/>
      <c r="O4" s="264"/>
      <c r="P4" s="265"/>
      <c r="Q4" s="266" t="s">
        <v>115</v>
      </c>
      <c r="R4" s="267" t="s">
        <v>116</v>
      </c>
      <c r="S4" s="267" t="s">
        <v>117</v>
      </c>
      <c r="T4" s="267" t="s">
        <v>118</v>
      </c>
      <c r="U4" s="268" t="s">
        <v>119</v>
      </c>
    </row>
    <row r="5" ht="16.5" customHeight="1" spans="1:23">
      <c r="A5" s="37">
        <v>1</v>
      </c>
      <c r="B5" s="115">
        <v>46050</v>
      </c>
      <c r="C5" s="232">
        <v>8610493</v>
      </c>
      <c r="D5" s="177">
        <v>54093679</v>
      </c>
      <c r="E5" s="178">
        <v>60.65</v>
      </c>
      <c r="F5" s="269">
        <f>'[3]Platt''s 2026'!F34-138.57</f>
        <v>495.793636363636</v>
      </c>
      <c r="G5" s="181">
        <f>E5*F5</f>
        <v>30069.8840454545</v>
      </c>
      <c r="H5" s="119">
        <v>43524.16</v>
      </c>
      <c r="I5" s="120">
        <f>E5*H5</f>
        <v>2639740.304</v>
      </c>
      <c r="J5" s="210" t="s">
        <v>120</v>
      </c>
      <c r="K5" s="270" t="s">
        <v>121</v>
      </c>
      <c r="L5" s="97"/>
      <c r="M5" s="26"/>
      <c r="N5" s="67"/>
      <c r="O5" s="67"/>
      <c r="P5" s="98"/>
      <c r="Q5" s="271"/>
      <c r="R5" s="67"/>
      <c r="S5" s="67"/>
      <c r="T5" s="67"/>
      <c r="U5" s="98"/>
    </row>
    <row r="6" ht="16.5" customHeight="1" spans="1:23">
      <c r="A6" s="44">
        <f>A5+1</f>
        <v>2</v>
      </c>
      <c r="B6" s="72">
        <v>46050</v>
      </c>
      <c r="C6" s="207">
        <v>8610492</v>
      </c>
      <c r="D6" s="28">
        <v>73006025</v>
      </c>
      <c r="E6" s="29">
        <v>61.25</v>
      </c>
      <c r="F6" s="272">
        <v>495.79</v>
      </c>
      <c r="G6" s="42">
        <f>E6*F6</f>
        <v>30367.1375</v>
      </c>
      <c r="H6" s="32">
        <v>43524.16</v>
      </c>
      <c r="I6" s="103">
        <f>E6*H6</f>
        <v>2665854.8</v>
      </c>
      <c r="J6" s="273" t="s">
        <v>120</v>
      </c>
      <c r="K6" s="274" t="s">
        <v>121</v>
      </c>
      <c r="L6" s="99"/>
      <c r="M6" s="44"/>
      <c r="N6" s="41"/>
      <c r="O6" s="41"/>
      <c r="P6" s="45"/>
      <c r="Q6" s="46"/>
      <c r="R6" s="41"/>
      <c r="S6" s="41"/>
      <c r="T6" s="41"/>
      <c r="U6" s="45"/>
    </row>
    <row r="7" ht="16.5" customHeight="1" spans="1:23">
      <c r="A7" s="44">
        <f>A6+1</f>
        <v>3</v>
      </c>
      <c r="B7" s="72">
        <v>46050</v>
      </c>
      <c r="C7" s="207">
        <v>8610493</v>
      </c>
      <c r="D7" s="28">
        <v>73009359</v>
      </c>
      <c r="E7" s="29">
        <v>60.6</v>
      </c>
      <c r="F7" s="272">
        <v>495.79</v>
      </c>
      <c r="G7" s="42">
        <f>E7*F7</f>
        <v>30044.874</v>
      </c>
      <c r="H7" s="32">
        <v>43524.16</v>
      </c>
      <c r="I7" s="103">
        <f>E7*H7</f>
        <v>2637564.096</v>
      </c>
      <c r="J7" s="273" t="s">
        <v>120</v>
      </c>
      <c r="K7" s="274" t="s">
        <v>121</v>
      </c>
      <c r="L7" s="99"/>
      <c r="M7" s="44"/>
      <c r="N7" s="41"/>
      <c r="O7" s="41"/>
      <c r="P7" s="45"/>
      <c r="Q7" s="46"/>
      <c r="R7" s="41"/>
      <c r="S7" s="41"/>
      <c r="T7" s="41"/>
      <c r="U7" s="45"/>
    </row>
    <row r="8" ht="16.5" customHeight="1" spans="1:23">
      <c r="A8" s="44">
        <f>A7+1</f>
        <v>4</v>
      </c>
      <c r="B8" s="72">
        <v>46050</v>
      </c>
      <c r="C8" s="207">
        <v>8610492</v>
      </c>
      <c r="D8" s="28">
        <v>73045130</v>
      </c>
      <c r="E8" s="29">
        <v>59.75</v>
      </c>
      <c r="F8" s="272">
        <v>495.79</v>
      </c>
      <c r="G8" s="42">
        <f>E8*F8</f>
        <v>29623.4525</v>
      </c>
      <c r="H8" s="32">
        <v>43524.16</v>
      </c>
      <c r="I8" s="103">
        <f>E8*H8</f>
        <v>2600568.56</v>
      </c>
      <c r="J8" s="273" t="s">
        <v>120</v>
      </c>
      <c r="K8" s="274" t="s">
        <v>121</v>
      </c>
      <c r="L8" s="99"/>
      <c r="M8" s="44"/>
      <c r="N8" s="41"/>
      <c r="O8" s="41"/>
      <c r="P8" s="45"/>
      <c r="Q8" s="46"/>
      <c r="R8" s="41"/>
      <c r="S8" s="41"/>
      <c r="T8" s="41"/>
      <c r="U8" s="45"/>
    </row>
    <row r="9" ht="16.5" customHeight="1" spans="1:23">
      <c r="A9" s="44">
        <f>A8+1</f>
        <v>5</v>
      </c>
      <c r="B9" s="72">
        <v>46050</v>
      </c>
      <c r="C9" s="207">
        <v>8610492</v>
      </c>
      <c r="D9" s="28">
        <v>73107013</v>
      </c>
      <c r="E9" s="29">
        <v>63.6</v>
      </c>
      <c r="F9" s="272">
        <v>495.79</v>
      </c>
      <c r="G9" s="42">
        <f>E9*F9</f>
        <v>31532.244</v>
      </c>
      <c r="H9" s="32">
        <v>43524.16</v>
      </c>
      <c r="I9" s="103">
        <f>E9*H9</f>
        <v>2768136.576</v>
      </c>
      <c r="J9" s="273" t="s">
        <v>120</v>
      </c>
      <c r="K9" s="274" t="s">
        <v>121</v>
      </c>
      <c r="L9" s="99"/>
      <c r="M9" s="44"/>
      <c r="N9" s="41"/>
      <c r="O9" s="41"/>
      <c r="P9" s="45"/>
      <c r="Q9" s="46"/>
      <c r="R9" s="41"/>
      <c r="S9" s="41"/>
      <c r="T9" s="41"/>
      <c r="U9" s="45"/>
    </row>
    <row r="10" ht="16.5" customHeight="1" spans="1:23">
      <c r="A10" s="44">
        <f>A9+1</f>
        <v>6</v>
      </c>
      <c r="B10" s="72">
        <v>46050</v>
      </c>
      <c r="C10" s="207">
        <v>8610493</v>
      </c>
      <c r="D10" s="28">
        <v>73118945</v>
      </c>
      <c r="E10" s="29">
        <v>61.6</v>
      </c>
      <c r="F10" s="272">
        <v>495.79</v>
      </c>
      <c r="G10" s="42">
        <f>E10*F10</f>
        <v>30540.664</v>
      </c>
      <c r="H10" s="32">
        <v>43524.16</v>
      </c>
      <c r="I10" s="103">
        <f>E10*H10</f>
        <v>2681088.256</v>
      </c>
      <c r="J10" s="273" t="s">
        <v>120</v>
      </c>
      <c r="K10" s="274" t="s">
        <v>121</v>
      </c>
      <c r="L10" s="99"/>
      <c r="M10" s="44"/>
      <c r="N10" s="41"/>
      <c r="O10" s="41"/>
      <c r="P10" s="45"/>
      <c r="Q10" s="46"/>
      <c r="R10" s="41"/>
      <c r="S10" s="41"/>
      <c r="T10" s="41"/>
      <c r="U10" s="45"/>
    </row>
    <row r="11" ht="16.5" customHeight="1" spans="1:23">
      <c r="A11" s="44">
        <f>A10+1</f>
        <v>7</v>
      </c>
      <c r="B11" s="72">
        <v>46050</v>
      </c>
      <c r="C11" s="207">
        <v>8610492</v>
      </c>
      <c r="D11" s="28">
        <v>73126948</v>
      </c>
      <c r="E11" s="29">
        <v>60.65</v>
      </c>
      <c r="F11" s="272">
        <v>495.79</v>
      </c>
      <c r="G11" s="42">
        <f>E11*F11</f>
        <v>30069.6635</v>
      </c>
      <c r="H11" s="32">
        <v>43524.16</v>
      </c>
      <c r="I11" s="103">
        <f>E11*H11</f>
        <v>2639740.304</v>
      </c>
      <c r="J11" s="273" t="s">
        <v>120</v>
      </c>
      <c r="K11" s="274" t="s">
        <v>121</v>
      </c>
      <c r="L11" s="99"/>
      <c r="M11" s="44"/>
      <c r="N11" s="41"/>
      <c r="O11" s="41"/>
      <c r="P11" s="45"/>
      <c r="Q11" s="46"/>
      <c r="R11" s="41"/>
      <c r="S11" s="41"/>
      <c r="T11" s="41"/>
      <c r="U11" s="45"/>
    </row>
    <row r="12" ht="16.5" customHeight="1" spans="1:23">
      <c r="A12" s="44">
        <f>A11+1</f>
        <v>8</v>
      </c>
      <c r="B12" s="72">
        <v>46050</v>
      </c>
      <c r="C12" s="207">
        <v>8610492</v>
      </c>
      <c r="D12" s="28">
        <v>73131419</v>
      </c>
      <c r="E12" s="29">
        <v>61.15</v>
      </c>
      <c r="F12" s="272">
        <v>495.79</v>
      </c>
      <c r="G12" s="42">
        <f>E12*F12</f>
        <v>30317.5585</v>
      </c>
      <c r="H12" s="32">
        <v>43524.16</v>
      </c>
      <c r="I12" s="103">
        <f>E12*H12</f>
        <v>2661502.384</v>
      </c>
      <c r="J12" s="273" t="s">
        <v>120</v>
      </c>
      <c r="K12" s="274" t="s">
        <v>121</v>
      </c>
      <c r="L12" s="99"/>
      <c r="M12" s="44"/>
      <c r="N12" s="41"/>
      <c r="O12" s="41"/>
      <c r="P12" s="45"/>
      <c r="Q12" s="46"/>
      <c r="R12" s="41"/>
      <c r="S12" s="41"/>
      <c r="T12" s="41"/>
      <c r="U12" s="45"/>
    </row>
    <row r="13" ht="16.5" customHeight="1" spans="1:23">
      <c r="A13" s="44">
        <f>A12+1</f>
        <v>9</v>
      </c>
      <c r="B13" s="72">
        <v>46050</v>
      </c>
      <c r="C13" s="207">
        <v>8610492</v>
      </c>
      <c r="D13" s="28">
        <v>73158156</v>
      </c>
      <c r="E13" s="29">
        <v>61.05</v>
      </c>
      <c r="F13" s="272">
        <v>495.79</v>
      </c>
      <c r="G13" s="42">
        <f>E13*F13</f>
        <v>30267.9795</v>
      </c>
      <c r="H13" s="32">
        <v>43524.16</v>
      </c>
      <c r="I13" s="103">
        <f>E13*H13</f>
        <v>2657149.968</v>
      </c>
      <c r="J13" s="273" t="s">
        <v>120</v>
      </c>
      <c r="K13" s="274" t="s">
        <v>121</v>
      </c>
      <c r="L13" s="99"/>
      <c r="M13" s="44"/>
      <c r="N13" s="41"/>
      <c r="O13" s="41"/>
      <c r="P13" s="45"/>
      <c r="Q13" s="46"/>
      <c r="R13" s="41"/>
      <c r="S13" s="41"/>
      <c r="T13" s="41"/>
      <c r="U13" s="45"/>
    </row>
    <row r="14" ht="16.5" customHeight="1" spans="1:23">
      <c r="A14" s="44">
        <f>A13+1</f>
        <v>10</v>
      </c>
      <c r="B14" s="72">
        <v>46050</v>
      </c>
      <c r="C14" s="207">
        <v>8610492</v>
      </c>
      <c r="D14" s="28">
        <v>73161713</v>
      </c>
      <c r="E14" s="29">
        <v>60.55</v>
      </c>
      <c r="F14" s="272">
        <v>495.79</v>
      </c>
      <c r="G14" s="42">
        <f>E14*F14</f>
        <v>30020.0845</v>
      </c>
      <c r="H14" s="32">
        <v>43524.16</v>
      </c>
      <c r="I14" s="103">
        <f>E14*H14</f>
        <v>2635387.888</v>
      </c>
      <c r="J14" s="273" t="s">
        <v>120</v>
      </c>
      <c r="K14" s="274" t="s">
        <v>121</v>
      </c>
      <c r="L14" s="99"/>
      <c r="M14" s="44"/>
      <c r="N14" s="41"/>
      <c r="O14" s="41"/>
      <c r="P14" s="45"/>
      <c r="Q14" s="46"/>
      <c r="R14" s="41"/>
      <c r="S14" s="41"/>
      <c r="T14" s="41"/>
      <c r="U14" s="45"/>
    </row>
    <row r="15" ht="16.5" customHeight="1" spans="1:23">
      <c r="A15" s="44">
        <f>A14+1</f>
        <v>11</v>
      </c>
      <c r="B15" s="72">
        <v>46050</v>
      </c>
      <c r="C15" s="207">
        <v>8610492</v>
      </c>
      <c r="D15" s="28">
        <v>73182727</v>
      </c>
      <c r="E15" s="29">
        <v>61.15</v>
      </c>
      <c r="F15" s="272">
        <v>495.79</v>
      </c>
      <c r="G15" s="42">
        <f>E15*F15</f>
        <v>30317.5585</v>
      </c>
      <c r="H15" s="32">
        <v>43524.16</v>
      </c>
      <c r="I15" s="103">
        <f>E15*H15</f>
        <v>2661502.384</v>
      </c>
      <c r="J15" s="273" t="s">
        <v>120</v>
      </c>
      <c r="K15" s="274" t="s">
        <v>121</v>
      </c>
      <c r="L15" s="99"/>
      <c r="M15" s="44"/>
      <c r="N15" s="41"/>
      <c r="O15" s="41"/>
      <c r="P15" s="45"/>
      <c r="Q15" s="46"/>
      <c r="R15" s="41"/>
      <c r="S15" s="41"/>
      <c r="T15" s="41"/>
      <c r="U15" s="45"/>
    </row>
    <row r="16" ht="16.5" customHeight="1" spans="1:23">
      <c r="A16" s="44">
        <f>A15+1</f>
        <v>12</v>
      </c>
      <c r="B16" s="72">
        <v>46050</v>
      </c>
      <c r="C16" s="207">
        <v>8610493</v>
      </c>
      <c r="D16" s="28">
        <v>73230583</v>
      </c>
      <c r="E16" s="29">
        <v>60.1</v>
      </c>
      <c r="F16" s="272">
        <v>495.79</v>
      </c>
      <c r="G16" s="42">
        <f>E16*F16</f>
        <v>29796.979</v>
      </c>
      <c r="H16" s="32">
        <v>43524.16</v>
      </c>
      <c r="I16" s="103">
        <f>E16*H16</f>
        <v>2615802.016</v>
      </c>
      <c r="J16" s="273" t="s">
        <v>120</v>
      </c>
      <c r="K16" s="274" t="s">
        <v>121</v>
      </c>
      <c r="L16" s="99"/>
      <c r="M16" s="44"/>
      <c r="N16" s="41"/>
      <c r="O16" s="41"/>
      <c r="P16" s="45"/>
      <c r="Q16" s="46"/>
      <c r="R16" s="41"/>
      <c r="S16" s="41"/>
      <c r="T16" s="41"/>
      <c r="U16" s="45"/>
    </row>
    <row r="17" spans="1:21">
      <c r="A17" s="44">
        <f>A16+1</f>
        <v>13</v>
      </c>
      <c r="B17" s="72">
        <v>46050</v>
      </c>
      <c r="C17" s="207">
        <v>8610492</v>
      </c>
      <c r="D17" s="28">
        <v>73230773</v>
      </c>
      <c r="E17" s="29">
        <v>59.15</v>
      </c>
      <c r="F17" s="272">
        <v>495.79</v>
      </c>
      <c r="G17" s="42">
        <f>E17*F17</f>
        <v>29325.9785</v>
      </c>
      <c r="H17" s="32">
        <v>43524.16</v>
      </c>
      <c r="I17" s="103">
        <f>E17*H17</f>
        <v>2574454.064</v>
      </c>
      <c r="J17" s="273" t="s">
        <v>120</v>
      </c>
      <c r="K17" s="274" t="s">
        <v>121</v>
      </c>
      <c r="L17" s="99"/>
      <c r="M17" s="44"/>
      <c r="N17" s="41"/>
      <c r="O17" s="41"/>
      <c r="P17" s="45"/>
      <c r="Q17" s="46"/>
      <c r="R17" s="41"/>
      <c r="S17" s="41"/>
      <c r="T17" s="41"/>
      <c r="U17" s="45"/>
    </row>
    <row r="18" spans="1:21">
      <c r="A18" s="44">
        <f>A17+1</f>
        <v>14</v>
      </c>
      <c r="B18" s="72">
        <v>46050</v>
      </c>
      <c r="C18" s="207">
        <v>8610492</v>
      </c>
      <c r="D18" s="28">
        <v>73232472</v>
      </c>
      <c r="E18" s="29">
        <v>63.1</v>
      </c>
      <c r="F18" s="272">
        <v>495.79</v>
      </c>
      <c r="G18" s="42">
        <f>E18*F18</f>
        <v>31284.349</v>
      </c>
      <c r="H18" s="32">
        <v>43524.16</v>
      </c>
      <c r="I18" s="103">
        <f>E18*H18</f>
        <v>2746374.496</v>
      </c>
      <c r="J18" s="273" t="s">
        <v>120</v>
      </c>
      <c r="K18" s="274" t="s">
        <v>121</v>
      </c>
      <c r="L18" s="99"/>
      <c r="M18" s="44"/>
      <c r="N18" s="41"/>
      <c r="O18" s="41"/>
      <c r="P18" s="45"/>
      <c r="Q18" s="46"/>
      <c r="R18" s="41"/>
      <c r="S18" s="41"/>
      <c r="T18" s="41"/>
      <c r="U18" s="45"/>
    </row>
    <row r="19" spans="1:21">
      <c r="A19" s="44">
        <f>A18+1</f>
        <v>15</v>
      </c>
      <c r="B19" s="72">
        <v>46050</v>
      </c>
      <c r="C19" s="207">
        <v>8610492</v>
      </c>
      <c r="D19" s="28">
        <v>73232530</v>
      </c>
      <c r="E19" s="29">
        <v>63.75</v>
      </c>
      <c r="F19" s="272">
        <v>495.79</v>
      </c>
      <c r="G19" s="42">
        <f>E19*F19</f>
        <v>31606.6125</v>
      </c>
      <c r="H19" s="32">
        <v>43524.16</v>
      </c>
      <c r="I19" s="103">
        <f>E19*H19</f>
        <v>2774665.2</v>
      </c>
      <c r="J19" s="273" t="s">
        <v>120</v>
      </c>
      <c r="K19" s="274" t="s">
        <v>121</v>
      </c>
      <c r="L19" s="99"/>
      <c r="M19" s="44"/>
      <c r="N19" s="41"/>
      <c r="O19" s="41"/>
      <c r="P19" s="45"/>
      <c r="Q19" s="46"/>
      <c r="R19" s="41"/>
      <c r="S19" s="41"/>
      <c r="T19" s="41"/>
      <c r="U19" s="45"/>
    </row>
    <row r="20" spans="1:21">
      <c r="A20" s="44">
        <f>A19+1</f>
        <v>16</v>
      </c>
      <c r="B20" s="72">
        <v>46050</v>
      </c>
      <c r="C20" s="207">
        <v>8610493</v>
      </c>
      <c r="D20" s="28">
        <v>73232621</v>
      </c>
      <c r="E20" s="29">
        <v>59.85</v>
      </c>
      <c r="F20" s="272">
        <v>495.79</v>
      </c>
      <c r="G20" s="42">
        <f>E20*F20</f>
        <v>29673.0315</v>
      </c>
      <c r="H20" s="32">
        <v>43524.16</v>
      </c>
      <c r="I20" s="103">
        <f>E20*H20</f>
        <v>2604920.976</v>
      </c>
      <c r="J20" s="273" t="s">
        <v>120</v>
      </c>
      <c r="K20" s="274" t="s">
        <v>121</v>
      </c>
      <c r="L20" s="99"/>
      <c r="M20" s="44"/>
      <c r="N20" s="41"/>
      <c r="O20" s="41"/>
      <c r="P20" s="45"/>
      <c r="Q20" s="46"/>
      <c r="R20" s="41"/>
      <c r="S20" s="41"/>
      <c r="T20" s="41"/>
      <c r="U20" s="45"/>
    </row>
    <row r="21" spans="1:21">
      <c r="A21" s="44">
        <f>A20+1</f>
        <v>17</v>
      </c>
      <c r="B21" s="72">
        <v>46050</v>
      </c>
      <c r="C21" s="207">
        <v>8610493</v>
      </c>
      <c r="D21" s="28">
        <v>73232688</v>
      </c>
      <c r="E21" s="29">
        <v>59.3</v>
      </c>
      <c r="F21" s="272">
        <v>495.79</v>
      </c>
      <c r="G21" s="42">
        <f>E21*F21</f>
        <v>29400.347</v>
      </c>
      <c r="H21" s="32">
        <v>43524.16</v>
      </c>
      <c r="I21" s="103">
        <f>E21*H21</f>
        <v>2580982.688</v>
      </c>
      <c r="J21" s="273" t="s">
        <v>120</v>
      </c>
      <c r="K21" s="274" t="s">
        <v>121</v>
      </c>
      <c r="L21" s="99"/>
      <c r="M21" s="44"/>
      <c r="N21" s="41"/>
      <c r="O21" s="41"/>
      <c r="P21" s="45"/>
      <c r="Q21" s="46"/>
      <c r="R21" s="41"/>
      <c r="S21" s="41"/>
      <c r="T21" s="41"/>
      <c r="U21" s="45"/>
    </row>
    <row r="22" spans="1:21">
      <c r="A22" s="44">
        <f>A21+1</f>
        <v>18</v>
      </c>
      <c r="B22" s="72">
        <v>46050</v>
      </c>
      <c r="C22" s="207">
        <v>8610493</v>
      </c>
      <c r="D22" s="28">
        <v>73232704</v>
      </c>
      <c r="E22" s="29">
        <v>61</v>
      </c>
      <c r="F22" s="272">
        <v>495.79</v>
      </c>
      <c r="G22" s="42">
        <f>E22*F22</f>
        <v>30243.19</v>
      </c>
      <c r="H22" s="32">
        <v>43524.16</v>
      </c>
      <c r="I22" s="103">
        <f>E22*H22</f>
        <v>2654973.76</v>
      </c>
      <c r="J22" s="273" t="s">
        <v>120</v>
      </c>
      <c r="K22" s="274" t="s">
        <v>121</v>
      </c>
      <c r="L22" s="99"/>
      <c r="M22" s="44"/>
      <c r="N22" s="41"/>
      <c r="O22" s="41"/>
      <c r="P22" s="45"/>
      <c r="Q22" s="46"/>
      <c r="R22" s="41"/>
      <c r="S22" s="41"/>
      <c r="T22" s="41"/>
      <c r="U22" s="45"/>
    </row>
    <row r="23" spans="1:21">
      <c r="A23" s="44">
        <f>A22+1</f>
        <v>19</v>
      </c>
      <c r="B23" s="72">
        <v>46050</v>
      </c>
      <c r="C23" s="207">
        <v>8610493</v>
      </c>
      <c r="D23" s="28">
        <v>73235251</v>
      </c>
      <c r="E23" s="29">
        <v>60</v>
      </c>
      <c r="F23" s="272">
        <v>495.79</v>
      </c>
      <c r="G23" s="42">
        <f>E23*F23</f>
        <v>29747.4</v>
      </c>
      <c r="H23" s="32">
        <v>43524.16</v>
      </c>
      <c r="I23" s="103">
        <f>E23*H23</f>
        <v>2611449.6</v>
      </c>
      <c r="J23" s="273" t="s">
        <v>120</v>
      </c>
      <c r="K23" s="274" t="s">
        <v>121</v>
      </c>
      <c r="L23" s="99"/>
      <c r="M23" s="44"/>
      <c r="N23" s="41"/>
      <c r="O23" s="41"/>
      <c r="P23" s="45"/>
      <c r="Q23" s="46"/>
      <c r="R23" s="41"/>
      <c r="S23" s="41"/>
      <c r="T23" s="41"/>
      <c r="U23" s="45"/>
    </row>
    <row r="24" spans="1:21">
      <c r="A24" s="44">
        <f>A23+1</f>
        <v>20</v>
      </c>
      <c r="B24" s="72">
        <v>46050</v>
      </c>
      <c r="C24" s="207">
        <v>8610493</v>
      </c>
      <c r="D24" s="28">
        <v>73235269</v>
      </c>
      <c r="E24" s="29">
        <v>60.45</v>
      </c>
      <c r="F24" s="272">
        <v>495.79</v>
      </c>
      <c r="G24" s="42">
        <f>E24*F24</f>
        <v>29970.5055</v>
      </c>
      <c r="H24" s="32">
        <v>43524.16</v>
      </c>
      <c r="I24" s="103">
        <f>E24*H24</f>
        <v>2631035.472</v>
      </c>
      <c r="J24" s="273" t="s">
        <v>120</v>
      </c>
      <c r="K24" s="274" t="s">
        <v>121</v>
      </c>
      <c r="L24" s="99"/>
      <c r="M24" s="44"/>
      <c r="N24" s="41"/>
      <c r="O24" s="41"/>
      <c r="P24" s="45"/>
      <c r="Q24" s="46"/>
      <c r="R24" s="41"/>
      <c r="S24" s="41"/>
      <c r="T24" s="41"/>
      <c r="U24" s="45"/>
    </row>
    <row r="25" spans="1:21">
      <c r="A25" s="44">
        <f>A24+1</f>
        <v>21</v>
      </c>
      <c r="B25" s="72">
        <v>46050</v>
      </c>
      <c r="C25" s="207">
        <v>8610493</v>
      </c>
      <c r="D25" s="28">
        <v>73235533</v>
      </c>
      <c r="E25" s="29">
        <v>60.4</v>
      </c>
      <c r="F25" s="272">
        <v>495.79</v>
      </c>
      <c r="G25" s="42">
        <f>E25*F25</f>
        <v>29945.716</v>
      </c>
      <c r="H25" s="32">
        <v>43524.16</v>
      </c>
      <c r="I25" s="103">
        <f>E25*H25</f>
        <v>2628859.264</v>
      </c>
      <c r="J25" s="273" t="s">
        <v>120</v>
      </c>
      <c r="K25" s="274" t="s">
        <v>121</v>
      </c>
      <c r="L25" s="99"/>
      <c r="M25" s="44"/>
      <c r="N25" s="41"/>
      <c r="O25" s="41"/>
      <c r="P25" s="45"/>
      <c r="Q25" s="46"/>
      <c r="R25" s="41"/>
      <c r="S25" s="41"/>
      <c r="T25" s="41"/>
      <c r="U25" s="45"/>
    </row>
    <row r="26" spans="1:21">
      <c r="A26" s="44">
        <f>A25+1</f>
        <v>22</v>
      </c>
      <c r="B26" s="72">
        <v>46050</v>
      </c>
      <c r="C26" s="207">
        <v>8610493</v>
      </c>
      <c r="D26" s="28">
        <v>75613299</v>
      </c>
      <c r="E26" s="29">
        <v>60.85</v>
      </c>
      <c r="F26" s="272">
        <v>495.79</v>
      </c>
      <c r="G26" s="42">
        <f>E26*F26</f>
        <v>30168.8215</v>
      </c>
      <c r="H26" s="32">
        <v>43524.16</v>
      </c>
      <c r="I26" s="103">
        <f>E26*H26</f>
        <v>2648445.136</v>
      </c>
      <c r="J26" s="273" t="s">
        <v>120</v>
      </c>
      <c r="K26" s="274" t="s">
        <v>121</v>
      </c>
      <c r="L26" s="99"/>
      <c r="M26" s="44"/>
      <c r="N26" s="41"/>
      <c r="O26" s="41"/>
      <c r="P26" s="45"/>
      <c r="Q26" s="46"/>
      <c r="R26" s="41"/>
      <c r="S26" s="41"/>
      <c r="T26" s="41"/>
      <c r="U26" s="45"/>
    </row>
    <row r="27" spans="1:21">
      <c r="A27" s="44">
        <f>A26+1</f>
        <v>23</v>
      </c>
      <c r="B27" s="72">
        <v>46050</v>
      </c>
      <c r="C27" s="207">
        <v>8610493</v>
      </c>
      <c r="D27" s="28">
        <v>75613398</v>
      </c>
      <c r="E27" s="29">
        <v>62.6</v>
      </c>
      <c r="F27" s="272">
        <v>495.79</v>
      </c>
      <c r="G27" s="42">
        <f>E27*F27</f>
        <v>31036.454</v>
      </c>
      <c r="H27" s="32">
        <v>43524.16</v>
      </c>
      <c r="I27" s="103">
        <f>E27*H27</f>
        <v>2724612.416</v>
      </c>
      <c r="J27" s="273" t="s">
        <v>120</v>
      </c>
      <c r="K27" s="274" t="s">
        <v>121</v>
      </c>
      <c r="L27" s="99"/>
      <c r="M27" s="44"/>
      <c r="N27" s="41"/>
      <c r="O27" s="41"/>
      <c r="P27" s="45"/>
      <c r="Q27" s="46"/>
      <c r="R27" s="41"/>
      <c r="S27" s="41"/>
      <c r="T27" s="41"/>
      <c r="U27" s="45"/>
    </row>
    <row r="28" ht="15.75" spans="1:21">
      <c r="A28" s="51">
        <f>A27+1</f>
        <v>24</v>
      </c>
      <c r="B28" s="157">
        <v>46050</v>
      </c>
      <c r="C28" s="226">
        <v>8610493</v>
      </c>
      <c r="D28" s="158">
        <v>76163393</v>
      </c>
      <c r="E28" s="162">
        <v>62.35</v>
      </c>
      <c r="F28" s="272">
        <v>495.79</v>
      </c>
      <c r="G28" s="182">
        <f>E28*F28</f>
        <v>30912.5065</v>
      </c>
      <c r="H28" s="275">
        <v>43524.16</v>
      </c>
      <c r="I28" s="184">
        <f>E28*H28</f>
        <v>2713731.376</v>
      </c>
      <c r="J28" s="276" t="s">
        <v>120</v>
      </c>
      <c r="K28" s="277" t="s">
        <v>121</v>
      </c>
      <c r="L28" s="278"/>
      <c r="M28" s="51"/>
      <c r="N28" s="52"/>
      <c r="O28" s="52"/>
      <c r="P28" s="53"/>
      <c r="Q28" s="54"/>
      <c r="R28" s="52"/>
      <c r="S28" s="52"/>
      <c r="T28" s="52"/>
      <c r="U28" s="53"/>
    </row>
    <row r="29" ht="15.75" spans="1:21">
      <c r="A29" s="279"/>
      <c r="B29" s="280"/>
      <c r="C29" s="280"/>
      <c r="D29" s="280"/>
      <c r="E29" s="281">
        <f>SUM(E5:E28)</f>
        <v>1464.9</v>
      </c>
      <c r="F29" s="280"/>
      <c r="G29" s="282">
        <f>SUM(G5:G28)</f>
        <v>726282.991545455</v>
      </c>
      <c r="H29" s="283"/>
      <c r="I29" s="284">
        <f>SUM(I5:I28)</f>
        <v>63758541.984</v>
      </c>
      <c r="J29" s="280"/>
      <c r="K29" s="285"/>
      <c r="L29" s="286"/>
      <c r="M29" s="279"/>
      <c r="N29" s="280"/>
      <c r="O29" s="280"/>
      <c r="P29" s="285"/>
      <c r="Q29" s="287"/>
      <c r="R29" s="280"/>
      <c r="S29" s="280"/>
      <c r="T29" s="280"/>
      <c r="U29" s="285"/>
    </row>
    <row r="30" spans="1:21">
      <c r="A30" s="37">
        <v>25</v>
      </c>
      <c r="B30" s="115">
        <v>46050</v>
      </c>
      <c r="C30" s="232">
        <v>8610498</v>
      </c>
      <c r="D30" s="177">
        <v>50416544</v>
      </c>
      <c r="E30" s="178">
        <v>57.5</v>
      </c>
      <c r="F30" s="288">
        <v>495.79</v>
      </c>
      <c r="G30" s="181">
        <f>E30*F30</f>
        <v>28507.925</v>
      </c>
      <c r="H30" s="119">
        <v>43524.16</v>
      </c>
      <c r="I30" s="120">
        <f>E30*H30</f>
        <v>2502639.2</v>
      </c>
      <c r="J30" s="210" t="s">
        <v>120</v>
      </c>
      <c r="K30" s="270" t="s">
        <v>121</v>
      </c>
      <c r="L30" s="179"/>
      <c r="M30" s="37"/>
      <c r="N30" s="38"/>
      <c r="O30" s="38"/>
      <c r="P30" s="39"/>
      <c r="Q30" s="40"/>
      <c r="R30" s="38"/>
      <c r="S30" s="38"/>
      <c r="T30" s="38"/>
      <c r="U30" s="39"/>
    </row>
    <row r="31" spans="1:21">
      <c r="A31" s="44">
        <f>A30+1</f>
        <v>26</v>
      </c>
      <c r="B31" s="72">
        <v>46050</v>
      </c>
      <c r="C31" s="207">
        <v>8610498</v>
      </c>
      <c r="D31" s="28">
        <v>50485804</v>
      </c>
      <c r="E31" s="29">
        <v>57.35</v>
      </c>
      <c r="F31" s="272">
        <v>495.79</v>
      </c>
      <c r="G31" s="42">
        <f>E31*F31</f>
        <v>28433.5565</v>
      </c>
      <c r="H31" s="32">
        <v>43524.16</v>
      </c>
      <c r="I31" s="103">
        <f>E31*H31</f>
        <v>2496110.576</v>
      </c>
      <c r="J31" s="273" t="s">
        <v>120</v>
      </c>
      <c r="K31" s="274" t="s">
        <v>121</v>
      </c>
      <c r="L31" s="89"/>
      <c r="M31" s="44"/>
      <c r="N31" s="41"/>
      <c r="O31" s="41"/>
      <c r="P31" s="45"/>
      <c r="Q31" s="46"/>
      <c r="R31" s="41"/>
      <c r="S31" s="41"/>
      <c r="T31" s="41"/>
      <c r="U31" s="45"/>
    </row>
    <row r="32" spans="1:21">
      <c r="A32" s="44">
        <f>A31+1</f>
        <v>27</v>
      </c>
      <c r="B32" s="72">
        <v>46050</v>
      </c>
      <c r="C32" s="207">
        <v>8610498</v>
      </c>
      <c r="D32" s="28">
        <v>51308252</v>
      </c>
      <c r="E32" s="29">
        <v>56.15</v>
      </c>
      <c r="F32" s="272">
        <v>495.79</v>
      </c>
      <c r="G32" s="42">
        <f>E32*F32</f>
        <v>27838.6085</v>
      </c>
      <c r="H32" s="32">
        <v>43524.16</v>
      </c>
      <c r="I32" s="103">
        <f>E32*H32</f>
        <v>2443881.584</v>
      </c>
      <c r="J32" s="273" t="s">
        <v>120</v>
      </c>
      <c r="K32" s="274" t="s">
        <v>121</v>
      </c>
      <c r="L32" s="89"/>
      <c r="M32" s="44"/>
      <c r="N32" s="41"/>
      <c r="O32" s="41"/>
      <c r="P32" s="45"/>
      <c r="Q32" s="46"/>
      <c r="R32" s="41"/>
      <c r="S32" s="41"/>
      <c r="T32" s="41"/>
      <c r="U32" s="45"/>
    </row>
    <row r="33" spans="1:21">
      <c r="A33" s="44">
        <f>A32+1</f>
        <v>28</v>
      </c>
      <c r="B33" s="72">
        <v>46050</v>
      </c>
      <c r="C33" s="207">
        <v>8610498</v>
      </c>
      <c r="D33" s="28">
        <v>57446692</v>
      </c>
      <c r="E33" s="29">
        <v>58.65</v>
      </c>
      <c r="F33" s="272">
        <v>495.79</v>
      </c>
      <c r="G33" s="42">
        <f>E33*F33</f>
        <v>29078.0835</v>
      </c>
      <c r="H33" s="32">
        <v>43524.16</v>
      </c>
      <c r="I33" s="103">
        <f>E33*H33</f>
        <v>2552691.984</v>
      </c>
      <c r="J33" s="273" t="s">
        <v>120</v>
      </c>
      <c r="K33" s="274" t="s">
        <v>121</v>
      </c>
      <c r="L33" s="89"/>
      <c r="M33" s="44"/>
      <c r="N33" s="41"/>
      <c r="O33" s="41"/>
      <c r="P33" s="45"/>
      <c r="Q33" s="46"/>
      <c r="R33" s="41"/>
      <c r="S33" s="41"/>
      <c r="T33" s="41"/>
      <c r="U33" s="45"/>
    </row>
    <row r="34" spans="1:21">
      <c r="A34" s="44">
        <f>A33+1</f>
        <v>29</v>
      </c>
      <c r="B34" s="72">
        <v>46050</v>
      </c>
      <c r="C34" s="207">
        <v>8610498</v>
      </c>
      <c r="D34" s="28">
        <v>73120339</v>
      </c>
      <c r="E34" s="29">
        <v>60.4</v>
      </c>
      <c r="F34" s="272">
        <v>495.79</v>
      </c>
      <c r="G34" s="42">
        <f>E34*F34</f>
        <v>29945.716</v>
      </c>
      <c r="H34" s="32">
        <v>43524.16</v>
      </c>
      <c r="I34" s="103">
        <f>E34*H34</f>
        <v>2628859.264</v>
      </c>
      <c r="J34" s="273" t="s">
        <v>120</v>
      </c>
      <c r="K34" s="274" t="s">
        <v>121</v>
      </c>
      <c r="L34" s="89"/>
      <c r="M34" s="44"/>
      <c r="N34" s="41"/>
      <c r="O34" s="41"/>
      <c r="P34" s="45"/>
      <c r="Q34" s="46"/>
      <c r="R34" s="41"/>
      <c r="S34" s="41"/>
      <c r="T34" s="41"/>
      <c r="U34" s="45"/>
    </row>
    <row r="35" spans="1:21">
      <c r="A35" s="44">
        <f>A34+1</f>
        <v>30</v>
      </c>
      <c r="B35" s="72">
        <v>46050</v>
      </c>
      <c r="C35" s="207">
        <v>8610498</v>
      </c>
      <c r="D35" s="28">
        <v>73137333</v>
      </c>
      <c r="E35" s="29">
        <v>58.65</v>
      </c>
      <c r="F35" s="272">
        <v>495.79</v>
      </c>
      <c r="G35" s="42">
        <f>E35*F35</f>
        <v>29078.0835</v>
      </c>
      <c r="H35" s="32">
        <v>43524.16</v>
      </c>
      <c r="I35" s="103">
        <f>E35*H35</f>
        <v>2552691.984</v>
      </c>
      <c r="J35" s="273" t="s">
        <v>120</v>
      </c>
      <c r="K35" s="274" t="s">
        <v>121</v>
      </c>
      <c r="L35" s="89"/>
      <c r="M35" s="44"/>
      <c r="N35" s="41"/>
      <c r="O35" s="41"/>
      <c r="P35" s="45"/>
      <c r="Q35" s="46"/>
      <c r="R35" s="41"/>
      <c r="S35" s="41"/>
      <c r="T35" s="41"/>
      <c r="U35" s="45"/>
    </row>
    <row r="36" spans="1:21">
      <c r="A36" s="44">
        <f>A35+1</f>
        <v>31</v>
      </c>
      <c r="B36" s="72">
        <v>46050</v>
      </c>
      <c r="C36" s="207">
        <v>8610498</v>
      </c>
      <c r="D36" s="28">
        <v>73166217</v>
      </c>
      <c r="E36" s="29">
        <v>59.75</v>
      </c>
      <c r="F36" s="272">
        <v>495.79</v>
      </c>
      <c r="G36" s="42">
        <f>E36*F36</f>
        <v>29623.4525</v>
      </c>
      <c r="H36" s="32">
        <v>43524.16</v>
      </c>
      <c r="I36" s="103">
        <f>E36*H36</f>
        <v>2600568.56</v>
      </c>
      <c r="J36" s="273" t="s">
        <v>120</v>
      </c>
      <c r="K36" s="274" t="s">
        <v>121</v>
      </c>
      <c r="L36" s="89"/>
      <c r="M36" s="44"/>
      <c r="N36" s="41"/>
      <c r="O36" s="41"/>
      <c r="P36" s="45"/>
      <c r="Q36" s="46"/>
      <c r="R36" s="41"/>
      <c r="S36" s="41"/>
      <c r="T36" s="41"/>
      <c r="U36" s="45"/>
    </row>
    <row r="37" spans="1:21">
      <c r="A37" s="44">
        <f>A36+1</f>
        <v>32</v>
      </c>
      <c r="B37" s="72">
        <v>46050</v>
      </c>
      <c r="C37" s="207">
        <v>8610498</v>
      </c>
      <c r="D37" s="28">
        <v>73169328</v>
      </c>
      <c r="E37" s="29">
        <v>59.7</v>
      </c>
      <c r="F37" s="272">
        <v>495.79</v>
      </c>
      <c r="G37" s="42">
        <f>E37*F37</f>
        <v>29598.663</v>
      </c>
      <c r="H37" s="32">
        <v>43524.16</v>
      </c>
      <c r="I37" s="103">
        <f>E37*H37</f>
        <v>2598392.352</v>
      </c>
      <c r="J37" s="273" t="s">
        <v>120</v>
      </c>
      <c r="K37" s="274" t="s">
        <v>121</v>
      </c>
      <c r="L37" s="89"/>
      <c r="M37" s="44"/>
      <c r="N37" s="41"/>
      <c r="O37" s="41"/>
      <c r="P37" s="45"/>
      <c r="Q37" s="46"/>
      <c r="R37" s="41"/>
      <c r="S37" s="41"/>
      <c r="T37" s="41"/>
      <c r="U37" s="45"/>
    </row>
    <row r="38" spans="1:21">
      <c r="A38" s="44">
        <f>A37+1</f>
        <v>33</v>
      </c>
      <c r="B38" s="72">
        <v>46050</v>
      </c>
      <c r="C38" s="207">
        <v>8610498</v>
      </c>
      <c r="D38" s="28">
        <v>73225385</v>
      </c>
      <c r="E38" s="29">
        <v>60.55</v>
      </c>
      <c r="F38" s="272">
        <v>495.79</v>
      </c>
      <c r="G38" s="42">
        <f>E38*F38</f>
        <v>30020.0845</v>
      </c>
      <c r="H38" s="32">
        <v>43524.16</v>
      </c>
      <c r="I38" s="103">
        <f>E38*H38</f>
        <v>2635387.888</v>
      </c>
      <c r="J38" s="273" t="s">
        <v>120</v>
      </c>
      <c r="K38" s="274" t="s">
        <v>121</v>
      </c>
      <c r="L38" s="89"/>
      <c r="M38" s="44"/>
      <c r="N38" s="41"/>
      <c r="O38" s="41"/>
      <c r="P38" s="45"/>
      <c r="Q38" s="46"/>
      <c r="R38" s="41"/>
      <c r="S38" s="41"/>
      <c r="T38" s="41"/>
      <c r="U38" s="45"/>
    </row>
    <row r="39" spans="1:21">
      <c r="A39" s="44">
        <f>A38+1</f>
        <v>34</v>
      </c>
      <c r="B39" s="72">
        <v>46050</v>
      </c>
      <c r="C39" s="207">
        <v>8610498</v>
      </c>
      <c r="D39" s="28">
        <v>73229270</v>
      </c>
      <c r="E39" s="29">
        <v>61.1</v>
      </c>
      <c r="F39" s="272">
        <v>495.79</v>
      </c>
      <c r="G39" s="42">
        <f>E39*F39</f>
        <v>30292.769</v>
      </c>
      <c r="H39" s="32">
        <v>43524.16</v>
      </c>
      <c r="I39" s="103">
        <f>E39*H39</f>
        <v>2659326.176</v>
      </c>
      <c r="J39" s="273" t="s">
        <v>120</v>
      </c>
      <c r="K39" s="274" t="s">
        <v>121</v>
      </c>
      <c r="L39" s="89"/>
      <c r="M39" s="44"/>
      <c r="N39" s="41"/>
      <c r="O39" s="41"/>
      <c r="P39" s="45"/>
      <c r="Q39" s="46"/>
      <c r="R39" s="41"/>
      <c r="S39" s="41"/>
      <c r="T39" s="41"/>
      <c r="U39" s="45"/>
    </row>
    <row r="40" ht="15.75" spans="1:21">
      <c r="A40" s="51">
        <f>A39+1</f>
        <v>35</v>
      </c>
      <c r="B40" s="157">
        <v>46050</v>
      </c>
      <c r="C40" s="226">
        <v>8610498</v>
      </c>
      <c r="D40" s="158">
        <v>73232035</v>
      </c>
      <c r="E40" s="162">
        <v>59.9</v>
      </c>
      <c r="F40" s="289">
        <v>495.79</v>
      </c>
      <c r="G40" s="182">
        <f>E40*F40</f>
        <v>29697.821</v>
      </c>
      <c r="H40" s="275">
        <v>43524.16</v>
      </c>
      <c r="I40" s="184">
        <f>E40*H40</f>
        <v>2607097.184</v>
      </c>
      <c r="J40" s="276" t="s">
        <v>120</v>
      </c>
      <c r="K40" s="277" t="s">
        <v>121</v>
      </c>
      <c r="L40" s="180"/>
      <c r="M40" s="51"/>
      <c r="N40" s="52"/>
      <c r="O40" s="52"/>
      <c r="P40" s="53"/>
      <c r="Q40" s="54"/>
      <c r="R40" s="52"/>
      <c r="S40" s="52"/>
      <c r="T40" s="52"/>
      <c r="U40" s="53"/>
    </row>
    <row r="41" ht="15.75" spans="1:21">
      <c r="A41" s="290"/>
      <c r="B41" s="291"/>
      <c r="C41" s="291"/>
      <c r="D41" s="291"/>
      <c r="E41" s="292">
        <f>SUM(E30:E40)</f>
        <v>649.7</v>
      </c>
      <c r="F41" s="291"/>
      <c r="G41" s="293">
        <f>SUM(G30:G40)</f>
        <v>322114.763</v>
      </c>
      <c r="H41" s="294"/>
      <c r="I41" s="295">
        <f>SUM(I30:I40)</f>
        <v>28277646.752</v>
      </c>
      <c r="J41" s="291"/>
      <c r="K41" s="296"/>
      <c r="L41" s="297"/>
      <c r="M41" s="290"/>
      <c r="N41" s="291"/>
      <c r="O41" s="291"/>
      <c r="P41" s="298"/>
      <c r="Q41" s="299"/>
      <c r="R41" s="291"/>
      <c r="S41" s="291"/>
      <c r="T41" s="291"/>
      <c r="U41" s="298"/>
    </row>
    <row r="42" spans="1:21">
      <c r="A42" s="67">
        <v>36</v>
      </c>
      <c r="B42" s="27">
        <v>46051</v>
      </c>
      <c r="C42" s="221">
        <v>8610559</v>
      </c>
      <c r="D42" s="107">
        <v>51340032</v>
      </c>
      <c r="E42" s="108">
        <v>62.5</v>
      </c>
      <c r="F42" s="300">
        <v>495.79</v>
      </c>
      <c r="G42" s="30">
        <f>E42*F42</f>
        <v>30986.875</v>
      </c>
      <c r="H42" s="69">
        <v>43524.16</v>
      </c>
      <c r="I42" s="33">
        <f>E42*H42</f>
        <v>2720260</v>
      </c>
      <c r="J42" s="301" t="s">
        <v>120</v>
      </c>
      <c r="K42" s="302" t="s">
        <v>121</v>
      </c>
      <c r="L42" s="95"/>
      <c r="M42" s="26"/>
      <c r="N42" s="67"/>
      <c r="O42" s="67"/>
      <c r="P42" s="98"/>
      <c r="Q42" s="26"/>
      <c r="R42" s="67"/>
      <c r="S42" s="67"/>
      <c r="T42" s="67"/>
      <c r="U42" s="98"/>
    </row>
    <row r="43" spans="1:21">
      <c r="A43" s="41">
        <f>A42+1</f>
        <v>37</v>
      </c>
      <c r="B43" s="72">
        <v>46051</v>
      </c>
      <c r="C43" s="207">
        <v>8610559</v>
      </c>
      <c r="D43" s="28">
        <v>51513380</v>
      </c>
      <c r="E43" s="29">
        <v>59.3</v>
      </c>
      <c r="F43" s="272">
        <v>495.79</v>
      </c>
      <c r="G43" s="42">
        <f>E43*F43</f>
        <v>29400.347</v>
      </c>
      <c r="H43" s="32">
        <v>43524.16</v>
      </c>
      <c r="I43" s="103">
        <f>E43*H43</f>
        <v>2580982.688</v>
      </c>
      <c r="J43" s="273" t="s">
        <v>120</v>
      </c>
      <c r="K43" s="274" t="s">
        <v>121</v>
      </c>
      <c r="L43" s="89"/>
      <c r="M43" s="44"/>
      <c r="N43" s="41"/>
      <c r="O43" s="41"/>
      <c r="P43" s="45"/>
      <c r="Q43" s="44"/>
      <c r="R43" s="41"/>
      <c r="S43" s="41"/>
      <c r="T43" s="41"/>
      <c r="U43" s="45"/>
    </row>
    <row r="44" spans="1:21">
      <c r="A44" s="41">
        <f>A43+1</f>
        <v>38</v>
      </c>
      <c r="B44" s="72">
        <v>46051</v>
      </c>
      <c r="C44" s="207">
        <v>8610559</v>
      </c>
      <c r="D44" s="28">
        <v>53935144</v>
      </c>
      <c r="E44" s="29">
        <v>58.65</v>
      </c>
      <c r="F44" s="272">
        <v>495.79</v>
      </c>
      <c r="G44" s="42">
        <f>E44*F44</f>
        <v>29078.0835</v>
      </c>
      <c r="H44" s="32">
        <v>43524.16</v>
      </c>
      <c r="I44" s="103">
        <f>E44*H44</f>
        <v>2552691.984</v>
      </c>
      <c r="J44" s="273" t="s">
        <v>120</v>
      </c>
      <c r="K44" s="274" t="s">
        <v>121</v>
      </c>
      <c r="L44" s="89"/>
      <c r="M44" s="44"/>
      <c r="N44" s="41"/>
      <c r="O44" s="41"/>
      <c r="P44" s="45"/>
      <c r="Q44" s="44"/>
      <c r="R44" s="41"/>
      <c r="S44" s="41"/>
      <c r="T44" s="41"/>
      <c r="U44" s="45"/>
    </row>
    <row r="45" spans="1:21">
      <c r="A45" s="41">
        <f>A44+1</f>
        <v>39</v>
      </c>
      <c r="B45" s="72">
        <v>46051</v>
      </c>
      <c r="C45" s="207">
        <v>8610559</v>
      </c>
      <c r="D45" s="28">
        <v>53935631</v>
      </c>
      <c r="E45" s="29">
        <v>58.5</v>
      </c>
      <c r="F45" s="272">
        <v>495.79</v>
      </c>
      <c r="G45" s="42">
        <f>E45*F45</f>
        <v>29003.715</v>
      </c>
      <c r="H45" s="32">
        <v>43524.16</v>
      </c>
      <c r="I45" s="103">
        <f>E45*H45</f>
        <v>2546163.36</v>
      </c>
      <c r="J45" s="273" t="s">
        <v>120</v>
      </c>
      <c r="K45" s="274" t="s">
        <v>121</v>
      </c>
      <c r="L45" s="89"/>
      <c r="M45" s="44"/>
      <c r="N45" s="41"/>
      <c r="O45" s="41"/>
      <c r="P45" s="45"/>
      <c r="Q45" s="44"/>
      <c r="R45" s="41"/>
      <c r="S45" s="41"/>
      <c r="T45" s="41"/>
      <c r="U45" s="45"/>
    </row>
    <row r="46" spans="1:21">
      <c r="A46" s="41">
        <f>A45+1</f>
        <v>40</v>
      </c>
      <c r="B46" s="72">
        <v>46051</v>
      </c>
      <c r="C46" s="207">
        <v>8610559</v>
      </c>
      <c r="D46" s="28">
        <v>54696091</v>
      </c>
      <c r="E46" s="29">
        <v>62.4</v>
      </c>
      <c r="F46" s="272">
        <v>495.79</v>
      </c>
      <c r="G46" s="42">
        <f>E46*F46</f>
        <v>30937.296</v>
      </c>
      <c r="H46" s="32">
        <v>43524.16</v>
      </c>
      <c r="I46" s="103">
        <f>E46*H46</f>
        <v>2715907.584</v>
      </c>
      <c r="J46" s="273" t="s">
        <v>120</v>
      </c>
      <c r="K46" s="274" t="s">
        <v>121</v>
      </c>
      <c r="L46" s="89"/>
      <c r="M46" s="44"/>
      <c r="N46" s="41"/>
      <c r="O46" s="41"/>
      <c r="P46" s="45"/>
      <c r="Q46" s="44"/>
      <c r="R46" s="41"/>
      <c r="S46" s="41"/>
      <c r="T46" s="41"/>
      <c r="U46" s="45"/>
    </row>
    <row r="47" spans="1:21">
      <c r="A47" s="41">
        <f>A46+1</f>
        <v>41</v>
      </c>
      <c r="B47" s="72">
        <v>46051</v>
      </c>
      <c r="C47" s="207">
        <v>8610559</v>
      </c>
      <c r="D47" s="28">
        <v>73185563</v>
      </c>
      <c r="E47" s="29">
        <v>62.1</v>
      </c>
      <c r="F47" s="272">
        <v>495.79</v>
      </c>
      <c r="G47" s="42">
        <f>E47*F47</f>
        <v>30788.559</v>
      </c>
      <c r="H47" s="32">
        <v>43524.16</v>
      </c>
      <c r="I47" s="103">
        <f>E47*H47</f>
        <v>2702850.336</v>
      </c>
      <c r="J47" s="273" t="s">
        <v>120</v>
      </c>
      <c r="K47" s="274" t="s">
        <v>121</v>
      </c>
      <c r="L47" s="89"/>
      <c r="M47" s="44"/>
      <c r="N47" s="41"/>
      <c r="O47" s="41"/>
      <c r="P47" s="45"/>
      <c r="Q47" s="44"/>
      <c r="R47" s="41"/>
      <c r="S47" s="41"/>
      <c r="T47" s="41"/>
      <c r="U47" s="45"/>
    </row>
    <row r="48" spans="1:21">
      <c r="A48" s="41">
        <f>A47+1</f>
        <v>42</v>
      </c>
      <c r="B48" s="72">
        <v>46051</v>
      </c>
      <c r="C48" s="207">
        <v>8610559</v>
      </c>
      <c r="D48" s="28">
        <v>73964405</v>
      </c>
      <c r="E48" s="29">
        <v>61.35</v>
      </c>
      <c r="F48" s="272">
        <v>495.79</v>
      </c>
      <c r="G48" s="42">
        <f>E48*F48</f>
        <v>30416.7165</v>
      </c>
      <c r="H48" s="32">
        <v>43524.16</v>
      </c>
      <c r="I48" s="103">
        <f>E48*H48</f>
        <v>2670207.216</v>
      </c>
      <c r="J48" s="273" t="s">
        <v>120</v>
      </c>
      <c r="K48" s="274" t="s">
        <v>121</v>
      </c>
      <c r="L48" s="89"/>
      <c r="M48" s="44"/>
      <c r="N48" s="41"/>
      <c r="O48" s="41"/>
      <c r="P48" s="45"/>
      <c r="Q48" s="44"/>
      <c r="R48" s="41"/>
      <c r="S48" s="41"/>
      <c r="T48" s="41"/>
      <c r="U48" s="45"/>
    </row>
    <row r="49" spans="1:21">
      <c r="A49" s="41">
        <f>A48+1</f>
        <v>43</v>
      </c>
      <c r="B49" s="72">
        <v>46051</v>
      </c>
      <c r="C49" s="207">
        <v>8610559</v>
      </c>
      <c r="D49" s="28">
        <v>75056986</v>
      </c>
      <c r="E49" s="29">
        <v>64.25</v>
      </c>
      <c r="F49" s="272">
        <v>495.79</v>
      </c>
      <c r="G49" s="42">
        <f>E49*F49</f>
        <v>31854.5075</v>
      </c>
      <c r="H49" s="32">
        <v>43524.16</v>
      </c>
      <c r="I49" s="103">
        <f>E49*H49</f>
        <v>2796427.28</v>
      </c>
      <c r="J49" s="273" t="s">
        <v>120</v>
      </c>
      <c r="K49" s="274" t="s">
        <v>121</v>
      </c>
      <c r="L49" s="89"/>
      <c r="M49" s="44"/>
      <c r="N49" s="41"/>
      <c r="O49" s="41"/>
      <c r="P49" s="45"/>
      <c r="Q49" s="44"/>
      <c r="R49" s="41"/>
      <c r="S49" s="41"/>
      <c r="T49" s="41"/>
      <c r="U49" s="45"/>
    </row>
    <row r="50" spans="1:21">
      <c r="A50" s="41">
        <f>A49+1</f>
        <v>44</v>
      </c>
      <c r="B50" s="72">
        <v>46051</v>
      </c>
      <c r="C50" s="207">
        <v>8610559</v>
      </c>
      <c r="D50" s="28">
        <v>75295915</v>
      </c>
      <c r="E50" s="29">
        <v>64.9</v>
      </c>
      <c r="F50" s="272">
        <v>495.79</v>
      </c>
      <c r="G50" s="42">
        <f>E50*F50</f>
        <v>32176.771</v>
      </c>
      <c r="H50" s="32">
        <v>43524.16</v>
      </c>
      <c r="I50" s="103">
        <f>E50*H50</f>
        <v>2824717.984</v>
      </c>
      <c r="J50" s="273" t="s">
        <v>120</v>
      </c>
      <c r="K50" s="274" t="s">
        <v>121</v>
      </c>
      <c r="L50" s="89"/>
      <c r="M50" s="44"/>
      <c r="N50" s="41"/>
      <c r="O50" s="41"/>
      <c r="P50" s="45"/>
      <c r="Q50" s="44"/>
      <c r="R50" s="41"/>
      <c r="S50" s="41"/>
      <c r="T50" s="41"/>
      <c r="U50" s="45"/>
    </row>
    <row r="51" spans="1:21">
      <c r="A51" s="41">
        <f>A50+1</f>
        <v>45</v>
      </c>
      <c r="B51" s="72">
        <v>46051</v>
      </c>
      <c r="C51" s="207">
        <v>8610559</v>
      </c>
      <c r="D51" s="28">
        <v>75523795</v>
      </c>
      <c r="E51" s="29">
        <v>63.05</v>
      </c>
      <c r="F51" s="272">
        <v>495.79</v>
      </c>
      <c r="G51" s="42">
        <f>E51*F51</f>
        <v>31259.5595</v>
      </c>
      <c r="H51" s="32">
        <v>43524.16</v>
      </c>
      <c r="I51" s="103">
        <f>E51*H51</f>
        <v>2744198.288</v>
      </c>
      <c r="J51" s="273" t="s">
        <v>120</v>
      </c>
      <c r="K51" s="274" t="s">
        <v>121</v>
      </c>
      <c r="L51" s="89"/>
      <c r="M51" s="44"/>
      <c r="N51" s="41"/>
      <c r="O51" s="41"/>
      <c r="P51" s="45"/>
      <c r="Q51" s="44"/>
      <c r="R51" s="41"/>
      <c r="S51" s="41"/>
      <c r="T51" s="41"/>
      <c r="U51" s="45"/>
    </row>
    <row r="52" spans="1:21">
      <c r="A52" s="41">
        <f>A51+1</f>
        <v>46</v>
      </c>
      <c r="B52" s="72">
        <v>46051</v>
      </c>
      <c r="C52" s="207">
        <v>8610559</v>
      </c>
      <c r="D52" s="28">
        <v>76198399</v>
      </c>
      <c r="E52" s="29">
        <v>61.5</v>
      </c>
      <c r="F52" s="272">
        <v>495.79</v>
      </c>
      <c r="G52" s="42">
        <f>E52*F52</f>
        <v>30491.085</v>
      </c>
      <c r="H52" s="32">
        <v>43524.16</v>
      </c>
      <c r="I52" s="103">
        <f>E52*H52</f>
        <v>2676735.84</v>
      </c>
      <c r="J52" s="273" t="s">
        <v>120</v>
      </c>
      <c r="K52" s="274" t="s">
        <v>121</v>
      </c>
      <c r="L52" s="89"/>
      <c r="M52" s="44"/>
      <c r="N52" s="41"/>
      <c r="O52" s="41"/>
      <c r="P52" s="45"/>
      <c r="Q52" s="44"/>
      <c r="R52" s="41"/>
      <c r="S52" s="41"/>
      <c r="T52" s="41"/>
      <c r="U52" s="45"/>
    </row>
    <row r="53" ht="15.75" spans="1:21">
      <c r="A53" s="77">
        <f>A52+1</f>
        <v>47</v>
      </c>
      <c r="B53" s="76">
        <v>46051</v>
      </c>
      <c r="C53" s="216">
        <v>8610559</v>
      </c>
      <c r="D53" s="47">
        <v>76422997</v>
      </c>
      <c r="E53" s="48">
        <v>63.8</v>
      </c>
      <c r="F53" s="272">
        <v>495.79</v>
      </c>
      <c r="G53" s="123">
        <f>E53*F53</f>
        <v>31631.402</v>
      </c>
      <c r="H53" s="49">
        <v>43524.16</v>
      </c>
      <c r="I53" s="106">
        <f>E53*H53</f>
        <v>2776841.408</v>
      </c>
      <c r="J53" s="273" t="s">
        <v>120</v>
      </c>
      <c r="K53" s="303" t="s">
        <v>121</v>
      </c>
      <c r="L53" s="90"/>
      <c r="M53" s="75"/>
      <c r="N53" s="77"/>
      <c r="O53" s="77"/>
      <c r="P53" s="91"/>
      <c r="Q53" s="75"/>
      <c r="R53" s="77"/>
      <c r="S53" s="77"/>
      <c r="T53" s="77"/>
      <c r="U53" s="91"/>
    </row>
    <row r="54" ht="15.75" spans="1:21">
      <c r="A54" s="290"/>
      <c r="B54" s="291"/>
      <c r="C54" s="291"/>
      <c r="D54" s="291"/>
      <c r="E54" s="292">
        <f>SUM(E42:E53)</f>
        <v>742.3</v>
      </c>
      <c r="F54" s="291"/>
      <c r="G54" s="293">
        <f>SUM(G42:G53)</f>
        <v>368024.917</v>
      </c>
      <c r="H54" s="294"/>
      <c r="I54" s="295">
        <f>SUM(I42:I53)</f>
        <v>32307983.968</v>
      </c>
      <c r="J54" s="291"/>
      <c r="K54" s="298"/>
      <c r="L54" s="297"/>
      <c r="M54" s="290"/>
      <c r="N54" s="291"/>
      <c r="O54" s="291"/>
      <c r="P54" s="298"/>
      <c r="Q54" s="299"/>
      <c r="R54" s="291"/>
      <c r="S54" s="291"/>
      <c r="T54" s="291"/>
      <c r="U54" s="298"/>
    </row>
    <row r="55" spans="1:21">
      <c r="A55" s="37">
        <v>48</v>
      </c>
      <c r="B55" s="115">
        <v>46052</v>
      </c>
      <c r="C55" s="232">
        <v>8610571</v>
      </c>
      <c r="D55" s="177">
        <v>50937911</v>
      </c>
      <c r="E55" s="178">
        <v>61</v>
      </c>
      <c r="F55" s="272">
        <v>495.79</v>
      </c>
      <c r="G55" s="181">
        <f>E55*F55</f>
        <v>30243.19</v>
      </c>
      <c r="H55" s="119">
        <v>43524.16</v>
      </c>
      <c r="I55" s="120">
        <f>E55*H55</f>
        <v>2654973.76</v>
      </c>
      <c r="J55" s="210" t="s">
        <v>120</v>
      </c>
      <c r="K55" s="270" t="s">
        <v>121</v>
      </c>
      <c r="L55" s="179"/>
      <c r="M55" s="37"/>
      <c r="N55" s="38"/>
      <c r="O55" s="38"/>
      <c r="P55" s="39"/>
      <c r="Q55" s="37"/>
      <c r="R55" s="38"/>
      <c r="S55" s="38"/>
      <c r="T55" s="38"/>
      <c r="U55" s="39"/>
    </row>
    <row r="56" spans="1:21">
      <c r="A56" s="44">
        <f>A55+1</f>
        <v>49</v>
      </c>
      <c r="B56" s="72">
        <v>46052</v>
      </c>
      <c r="C56" s="207">
        <v>8610571</v>
      </c>
      <c r="D56" s="28">
        <v>51378586</v>
      </c>
      <c r="E56" s="29">
        <v>57.35</v>
      </c>
      <c r="F56" s="272">
        <v>495.79</v>
      </c>
      <c r="G56" s="42">
        <f>E56*F56</f>
        <v>28433.5565</v>
      </c>
      <c r="H56" s="32">
        <v>43524.16</v>
      </c>
      <c r="I56" s="103">
        <f>E56*H56</f>
        <v>2496110.576</v>
      </c>
      <c r="J56" s="273" t="s">
        <v>120</v>
      </c>
      <c r="K56" s="274" t="s">
        <v>121</v>
      </c>
      <c r="L56" s="89"/>
      <c r="M56" s="44"/>
      <c r="N56" s="41"/>
      <c r="O56" s="41"/>
      <c r="P56" s="45"/>
      <c r="Q56" s="44"/>
      <c r="R56" s="41"/>
      <c r="S56" s="41"/>
      <c r="T56" s="41"/>
      <c r="U56" s="45"/>
    </row>
    <row r="57" spans="1:21">
      <c r="A57" s="44">
        <f>A56+1</f>
        <v>50</v>
      </c>
      <c r="B57" s="72">
        <v>46052</v>
      </c>
      <c r="C57" s="207">
        <v>8610571</v>
      </c>
      <c r="D57" s="28">
        <v>51791002</v>
      </c>
      <c r="E57" s="29">
        <v>57.55</v>
      </c>
      <c r="F57" s="272">
        <v>495.79</v>
      </c>
      <c r="G57" s="42">
        <f>E57*F57</f>
        <v>28532.7145</v>
      </c>
      <c r="H57" s="32">
        <v>43524.16</v>
      </c>
      <c r="I57" s="103">
        <f>E57*H57</f>
        <v>2504815.408</v>
      </c>
      <c r="J57" s="273" t="s">
        <v>120</v>
      </c>
      <c r="K57" s="274" t="s">
        <v>121</v>
      </c>
      <c r="L57" s="89"/>
      <c r="M57" s="44"/>
      <c r="N57" s="41"/>
      <c r="O57" s="41"/>
      <c r="P57" s="45"/>
      <c r="Q57" s="44"/>
      <c r="R57" s="41"/>
      <c r="S57" s="41"/>
      <c r="T57" s="41"/>
      <c r="U57" s="45"/>
    </row>
    <row r="58" spans="1:21">
      <c r="A58" s="44">
        <f>A57+1</f>
        <v>51</v>
      </c>
      <c r="B58" s="72">
        <v>46052</v>
      </c>
      <c r="C58" s="207">
        <v>8610571</v>
      </c>
      <c r="D58" s="28">
        <v>51858553</v>
      </c>
      <c r="E58" s="29">
        <v>61.45</v>
      </c>
      <c r="F58" s="272">
        <v>495.79</v>
      </c>
      <c r="G58" s="42">
        <f>E58*F58</f>
        <v>30466.2955</v>
      </c>
      <c r="H58" s="32">
        <v>43524.16</v>
      </c>
      <c r="I58" s="103">
        <f>E58*H58</f>
        <v>2674559.632</v>
      </c>
      <c r="J58" s="273" t="s">
        <v>120</v>
      </c>
      <c r="K58" s="274" t="s">
        <v>121</v>
      </c>
      <c r="L58" s="89"/>
      <c r="M58" s="44"/>
      <c r="N58" s="41"/>
      <c r="O58" s="41"/>
      <c r="P58" s="45"/>
      <c r="Q58" s="44"/>
      <c r="R58" s="41"/>
      <c r="S58" s="41"/>
      <c r="T58" s="41"/>
      <c r="U58" s="45"/>
    </row>
    <row r="59" spans="1:21">
      <c r="A59" s="44">
        <f>A58+1</f>
        <v>52</v>
      </c>
      <c r="B59" s="72">
        <v>46052</v>
      </c>
      <c r="C59" s="207">
        <v>8610571</v>
      </c>
      <c r="D59" s="28">
        <v>54098553</v>
      </c>
      <c r="E59" s="29">
        <v>60.7</v>
      </c>
      <c r="F59" s="272">
        <v>495.79</v>
      </c>
      <c r="G59" s="42">
        <f>E59*F59</f>
        <v>30094.453</v>
      </c>
      <c r="H59" s="32">
        <v>43524.16</v>
      </c>
      <c r="I59" s="103">
        <f>E59*H59</f>
        <v>2641916.512</v>
      </c>
      <c r="J59" s="273" t="s">
        <v>120</v>
      </c>
      <c r="K59" s="274" t="s">
        <v>121</v>
      </c>
      <c r="L59" s="89"/>
      <c r="M59" s="44"/>
      <c r="N59" s="41"/>
      <c r="O59" s="41"/>
      <c r="P59" s="45"/>
      <c r="Q59" s="44"/>
      <c r="R59" s="41"/>
      <c r="S59" s="41"/>
      <c r="T59" s="41"/>
      <c r="U59" s="45"/>
    </row>
    <row r="60" spans="1:21">
      <c r="A60" s="44">
        <f>A59+1</f>
        <v>53</v>
      </c>
      <c r="B60" s="72">
        <v>46052</v>
      </c>
      <c r="C60" s="207">
        <v>8610571</v>
      </c>
      <c r="D60" s="28">
        <v>54604350</v>
      </c>
      <c r="E60" s="29">
        <v>63.9</v>
      </c>
      <c r="F60" s="272">
        <v>495.79</v>
      </c>
      <c r="G60" s="42">
        <f>E60*F60</f>
        <v>31680.981</v>
      </c>
      <c r="H60" s="32">
        <v>43524.16</v>
      </c>
      <c r="I60" s="103">
        <f>E60*H60</f>
        <v>2781193.824</v>
      </c>
      <c r="J60" s="273" t="s">
        <v>120</v>
      </c>
      <c r="K60" s="274" t="s">
        <v>121</v>
      </c>
      <c r="L60" s="89"/>
      <c r="M60" s="44"/>
      <c r="N60" s="41"/>
      <c r="O60" s="41"/>
      <c r="P60" s="45"/>
      <c r="Q60" s="44"/>
      <c r="R60" s="41"/>
      <c r="S60" s="41"/>
      <c r="T60" s="41"/>
      <c r="U60" s="45"/>
    </row>
    <row r="61" spans="1:21">
      <c r="A61" s="44">
        <f>A60+1</f>
        <v>54</v>
      </c>
      <c r="B61" s="72">
        <v>46052</v>
      </c>
      <c r="C61" s="207">
        <v>8610571</v>
      </c>
      <c r="D61" s="28">
        <v>54699046</v>
      </c>
      <c r="E61" s="29">
        <v>62.05</v>
      </c>
      <c r="F61" s="272">
        <v>495.79</v>
      </c>
      <c r="G61" s="42">
        <f>E61*F61</f>
        <v>30763.7695</v>
      </c>
      <c r="H61" s="32">
        <v>43524.16</v>
      </c>
      <c r="I61" s="103">
        <f>E61*H61</f>
        <v>2700674.128</v>
      </c>
      <c r="J61" s="273" t="s">
        <v>120</v>
      </c>
      <c r="K61" s="274" t="s">
        <v>121</v>
      </c>
      <c r="L61" s="89"/>
      <c r="M61" s="44"/>
      <c r="N61" s="41"/>
      <c r="O61" s="41"/>
      <c r="P61" s="45"/>
      <c r="Q61" s="44"/>
      <c r="R61" s="41"/>
      <c r="S61" s="41"/>
      <c r="T61" s="41"/>
      <c r="U61" s="45"/>
    </row>
    <row r="62" spans="1:21">
      <c r="A62" s="44">
        <f>A61+1</f>
        <v>55</v>
      </c>
      <c r="B62" s="72">
        <v>46052</v>
      </c>
      <c r="C62" s="207">
        <v>8610571</v>
      </c>
      <c r="D62" s="28">
        <v>54719117</v>
      </c>
      <c r="E62" s="29">
        <v>63.5</v>
      </c>
      <c r="F62" s="272">
        <v>495.79</v>
      </c>
      <c r="G62" s="42">
        <f>E62*F62</f>
        <v>31482.665</v>
      </c>
      <c r="H62" s="32">
        <v>43524.16</v>
      </c>
      <c r="I62" s="103">
        <f>E62*H62</f>
        <v>2763784.16</v>
      </c>
      <c r="J62" s="273" t="s">
        <v>120</v>
      </c>
      <c r="K62" s="274" t="s">
        <v>121</v>
      </c>
      <c r="L62" s="89"/>
      <c r="M62" s="44"/>
      <c r="N62" s="41"/>
      <c r="O62" s="41"/>
      <c r="P62" s="45"/>
      <c r="Q62" s="44"/>
      <c r="R62" s="41"/>
      <c r="S62" s="41"/>
      <c r="T62" s="41"/>
      <c r="U62" s="45"/>
    </row>
    <row r="63" spans="1:21">
      <c r="A63" s="44">
        <f>A62+1</f>
        <v>56</v>
      </c>
      <c r="B63" s="72">
        <v>46052</v>
      </c>
      <c r="C63" s="207">
        <v>8610571</v>
      </c>
      <c r="D63" s="28">
        <v>57209926</v>
      </c>
      <c r="E63" s="29">
        <v>61.3</v>
      </c>
      <c r="F63" s="272">
        <v>495.79</v>
      </c>
      <c r="G63" s="42">
        <f>E63*F63</f>
        <v>30391.927</v>
      </c>
      <c r="H63" s="32">
        <v>43524.16</v>
      </c>
      <c r="I63" s="103">
        <f>E63*H63</f>
        <v>2668031.008</v>
      </c>
      <c r="J63" s="273" t="s">
        <v>120</v>
      </c>
      <c r="K63" s="274" t="s">
        <v>121</v>
      </c>
      <c r="L63" s="89"/>
      <c r="M63" s="44"/>
      <c r="N63" s="41"/>
      <c r="O63" s="41"/>
      <c r="P63" s="45"/>
      <c r="Q63" s="44"/>
      <c r="R63" s="41"/>
      <c r="S63" s="41"/>
      <c r="T63" s="41"/>
      <c r="U63" s="45"/>
    </row>
    <row r="64" ht="15.75" spans="1:21">
      <c r="A64" s="75">
        <f>A63+1</f>
        <v>57</v>
      </c>
      <c r="B64" s="76">
        <v>46052</v>
      </c>
      <c r="C64" s="216">
        <v>8610571</v>
      </c>
      <c r="D64" s="47">
        <v>73199069</v>
      </c>
      <c r="E64" s="48">
        <v>60.15</v>
      </c>
      <c r="F64" s="272">
        <v>495.79</v>
      </c>
      <c r="G64" s="123">
        <f>E64*F64</f>
        <v>29821.7685</v>
      </c>
      <c r="H64" s="49">
        <v>43524.16</v>
      </c>
      <c r="I64" s="106">
        <f>E64*H64</f>
        <v>2617978.224</v>
      </c>
      <c r="J64" s="273" t="s">
        <v>120</v>
      </c>
      <c r="K64" s="303" t="s">
        <v>121</v>
      </c>
      <c r="L64" s="180"/>
      <c r="M64" s="51"/>
      <c r="N64" s="52"/>
      <c r="O64" s="52"/>
      <c r="P64" s="53"/>
      <c r="Q64" s="51"/>
      <c r="R64" s="52"/>
      <c r="S64" s="52"/>
      <c r="T64" s="52"/>
      <c r="U64" s="53"/>
    </row>
    <row r="65" ht="15.75" spans="1:21">
      <c r="A65" s="290"/>
      <c r="B65" s="291"/>
      <c r="C65" s="291"/>
      <c r="D65" s="291"/>
      <c r="E65" s="292">
        <f>SUM(E55:E64)</f>
        <v>608.95</v>
      </c>
      <c r="F65" s="291"/>
      <c r="G65" s="293">
        <f>SUM(G55:G64)</f>
        <v>301911.3205</v>
      </c>
      <c r="H65" s="294"/>
      <c r="I65" s="295">
        <f>SUM(I55:I64)</f>
        <v>26504037.232</v>
      </c>
      <c r="J65" s="291"/>
      <c r="K65" s="298"/>
      <c r="L65" s="296"/>
      <c r="M65" s="304"/>
      <c r="N65" s="305"/>
      <c r="O65" s="305"/>
      <c r="P65" s="306"/>
      <c r="Q65" s="307"/>
      <c r="R65" s="305"/>
      <c r="S65" s="305"/>
      <c r="T65" s="305"/>
      <c r="U65" s="306"/>
    </row>
    <row r="66" spans="1:21">
      <c r="A66" s="67">
        <v>58</v>
      </c>
      <c r="B66" s="27">
        <v>46052</v>
      </c>
      <c r="C66" s="221">
        <v>8610578</v>
      </c>
      <c r="D66" s="107">
        <v>50197813</v>
      </c>
      <c r="E66" s="108">
        <v>60.3</v>
      </c>
      <c r="F66" s="272">
        <v>495.79</v>
      </c>
      <c r="G66" s="30">
        <f>E66*F66</f>
        <v>29896.137</v>
      </c>
      <c r="H66" s="69">
        <v>43524.16</v>
      </c>
      <c r="I66" s="33">
        <f>E66*H66</f>
        <v>2624506.848</v>
      </c>
      <c r="J66" s="301" t="s">
        <v>120</v>
      </c>
      <c r="K66" s="302" t="s">
        <v>121</v>
      </c>
      <c r="L66" s="95"/>
      <c r="M66" s="37"/>
      <c r="N66" s="38"/>
      <c r="O66" s="38"/>
      <c r="P66" s="39"/>
      <c r="Q66" s="40"/>
      <c r="R66" s="38"/>
      <c r="S66" s="38"/>
      <c r="T66" s="38"/>
      <c r="U66" s="39"/>
    </row>
    <row r="67" spans="1:21">
      <c r="A67" s="41">
        <f>A66+1</f>
        <v>59</v>
      </c>
      <c r="B67" s="72">
        <v>46052</v>
      </c>
      <c r="C67" s="207">
        <v>8610577</v>
      </c>
      <c r="D67" s="28">
        <v>50396498</v>
      </c>
      <c r="E67" s="29">
        <v>64</v>
      </c>
      <c r="F67" s="272">
        <v>495.79</v>
      </c>
      <c r="G67" s="42">
        <f>E67*F67</f>
        <v>31730.56</v>
      </c>
      <c r="H67" s="32">
        <v>43524.16</v>
      </c>
      <c r="I67" s="103">
        <f>E67*H67</f>
        <v>2785546.24</v>
      </c>
      <c r="J67" s="273" t="s">
        <v>120</v>
      </c>
      <c r="K67" s="274" t="s">
        <v>121</v>
      </c>
      <c r="L67" s="89"/>
      <c r="M67" s="44"/>
      <c r="N67" s="41"/>
      <c r="O67" s="41"/>
      <c r="P67" s="45"/>
      <c r="Q67" s="46"/>
      <c r="R67" s="41"/>
      <c r="S67" s="41"/>
      <c r="T67" s="41"/>
      <c r="U67" s="45"/>
    </row>
    <row r="68" spans="1:21">
      <c r="A68" s="41">
        <f>A67+1</f>
        <v>60</v>
      </c>
      <c r="B68" s="72">
        <v>46052</v>
      </c>
      <c r="C68" s="207">
        <v>8610578</v>
      </c>
      <c r="D68" s="28">
        <v>50400076</v>
      </c>
      <c r="E68" s="29">
        <v>61.55</v>
      </c>
      <c r="F68" s="272">
        <v>495.79</v>
      </c>
      <c r="G68" s="42">
        <f>E68*F68</f>
        <v>30515.8745</v>
      </c>
      <c r="H68" s="32">
        <v>43524.16</v>
      </c>
      <c r="I68" s="103">
        <f>E68*H68</f>
        <v>2678912.048</v>
      </c>
      <c r="J68" s="273" t="s">
        <v>120</v>
      </c>
      <c r="K68" s="274" t="s">
        <v>121</v>
      </c>
      <c r="L68" s="89"/>
      <c r="M68" s="44"/>
      <c r="N68" s="41"/>
      <c r="O68" s="41"/>
      <c r="P68" s="45"/>
      <c r="Q68" s="46"/>
      <c r="R68" s="41"/>
      <c r="S68" s="41"/>
      <c r="T68" s="41"/>
      <c r="U68" s="45"/>
    </row>
    <row r="69" spans="1:21">
      <c r="A69" s="41">
        <f>A68+1</f>
        <v>61</v>
      </c>
      <c r="B69" s="72">
        <v>46052</v>
      </c>
      <c r="C69" s="207">
        <v>8610578</v>
      </c>
      <c r="D69" s="28">
        <v>50409705</v>
      </c>
      <c r="E69" s="29">
        <v>61.2</v>
      </c>
      <c r="F69" s="272">
        <v>495.79</v>
      </c>
      <c r="G69" s="42">
        <f>E69*F69</f>
        <v>30342.348</v>
      </c>
      <c r="H69" s="32">
        <v>43524.16</v>
      </c>
      <c r="I69" s="103">
        <f>E69*H69</f>
        <v>2663678.592</v>
      </c>
      <c r="J69" s="273" t="s">
        <v>120</v>
      </c>
      <c r="K69" s="274" t="s">
        <v>121</v>
      </c>
      <c r="L69" s="89"/>
      <c r="M69" s="44"/>
      <c r="N69" s="41"/>
      <c r="O69" s="41"/>
      <c r="P69" s="45"/>
      <c r="Q69" s="46"/>
      <c r="R69" s="41"/>
      <c r="S69" s="41"/>
      <c r="T69" s="41"/>
      <c r="U69" s="45"/>
    </row>
    <row r="70" spans="1:21">
      <c r="A70" s="41">
        <f>A69+1</f>
        <v>62</v>
      </c>
      <c r="B70" s="72">
        <v>46052</v>
      </c>
      <c r="C70" s="207">
        <v>8610578</v>
      </c>
      <c r="D70" s="28">
        <v>50510395</v>
      </c>
      <c r="E70" s="29">
        <v>60.5</v>
      </c>
      <c r="F70" s="272">
        <v>495.79</v>
      </c>
      <c r="G70" s="42">
        <f>E70*F70</f>
        <v>29995.295</v>
      </c>
      <c r="H70" s="32">
        <v>43524.16</v>
      </c>
      <c r="I70" s="103">
        <f>E70*H70</f>
        <v>2633211.68</v>
      </c>
      <c r="J70" s="273" t="s">
        <v>120</v>
      </c>
      <c r="K70" s="274" t="s">
        <v>121</v>
      </c>
      <c r="L70" s="89"/>
      <c r="M70" s="44"/>
      <c r="N70" s="41"/>
      <c r="O70" s="41"/>
      <c r="P70" s="45"/>
      <c r="Q70" s="46"/>
      <c r="R70" s="41"/>
      <c r="S70" s="41"/>
      <c r="T70" s="41"/>
      <c r="U70" s="45"/>
    </row>
    <row r="71" spans="1:21">
      <c r="A71" s="41">
        <f>A70+1</f>
        <v>63</v>
      </c>
      <c r="B71" s="72">
        <v>46052</v>
      </c>
      <c r="C71" s="207">
        <v>8610577</v>
      </c>
      <c r="D71" s="28">
        <v>51391183</v>
      </c>
      <c r="E71" s="29">
        <v>57.55</v>
      </c>
      <c r="F71" s="272">
        <v>495.79</v>
      </c>
      <c r="G71" s="42">
        <f>E71*F71</f>
        <v>28532.7145</v>
      </c>
      <c r="H71" s="32">
        <v>43524.16</v>
      </c>
      <c r="I71" s="103">
        <f>E71*H71</f>
        <v>2504815.408</v>
      </c>
      <c r="J71" s="273" t="s">
        <v>120</v>
      </c>
      <c r="K71" s="274" t="s">
        <v>121</v>
      </c>
      <c r="L71" s="89"/>
      <c r="M71" s="44"/>
      <c r="N71" s="41"/>
      <c r="O71" s="41"/>
      <c r="P71" s="45"/>
      <c r="Q71" s="46"/>
      <c r="R71" s="41"/>
      <c r="S71" s="41"/>
      <c r="T71" s="41"/>
      <c r="U71" s="45"/>
    </row>
    <row r="72" spans="1:21">
      <c r="A72" s="41">
        <f>A71+1</f>
        <v>64</v>
      </c>
      <c r="B72" s="72">
        <v>46052</v>
      </c>
      <c r="C72" s="207">
        <v>8610579</v>
      </c>
      <c r="D72" s="28">
        <v>51393700</v>
      </c>
      <c r="E72" s="29">
        <v>60.85</v>
      </c>
      <c r="F72" s="272">
        <v>495.79</v>
      </c>
      <c r="G72" s="42">
        <f>E72*F72</f>
        <v>30168.8215</v>
      </c>
      <c r="H72" s="32">
        <v>43524.16</v>
      </c>
      <c r="I72" s="103">
        <f>E72*H72</f>
        <v>2648445.136</v>
      </c>
      <c r="J72" s="273" t="s">
        <v>120</v>
      </c>
      <c r="K72" s="274" t="s">
        <v>121</v>
      </c>
      <c r="L72" s="89"/>
      <c r="M72" s="44"/>
      <c r="N72" s="41"/>
      <c r="O72" s="41"/>
      <c r="P72" s="45"/>
      <c r="Q72" s="46"/>
      <c r="R72" s="41"/>
      <c r="S72" s="41"/>
      <c r="T72" s="41"/>
      <c r="U72" s="45"/>
    </row>
    <row r="73" spans="1:21">
      <c r="A73" s="41">
        <f>A72+1</f>
        <v>65</v>
      </c>
      <c r="B73" s="72">
        <v>46052</v>
      </c>
      <c r="C73" s="207">
        <v>8610578</v>
      </c>
      <c r="D73" s="28">
        <v>53914735</v>
      </c>
      <c r="E73" s="29">
        <v>57.2</v>
      </c>
      <c r="F73" s="272">
        <v>495.79</v>
      </c>
      <c r="G73" s="42">
        <f>E73*F73</f>
        <v>28359.188</v>
      </c>
      <c r="H73" s="32">
        <v>43524.16</v>
      </c>
      <c r="I73" s="103">
        <f>E73*H73</f>
        <v>2489581.952</v>
      </c>
      <c r="J73" s="273" t="s">
        <v>120</v>
      </c>
      <c r="K73" s="274" t="s">
        <v>121</v>
      </c>
      <c r="L73" s="89"/>
      <c r="M73" s="44"/>
      <c r="N73" s="41"/>
      <c r="O73" s="41"/>
      <c r="P73" s="45"/>
      <c r="Q73" s="46"/>
      <c r="R73" s="41"/>
      <c r="S73" s="41"/>
      <c r="T73" s="41"/>
      <c r="U73" s="45"/>
    </row>
    <row r="74" spans="1:21">
      <c r="A74" s="41">
        <f>A73+1</f>
        <v>66</v>
      </c>
      <c r="B74" s="72">
        <v>46052</v>
      </c>
      <c r="C74" s="207">
        <v>8610577</v>
      </c>
      <c r="D74" s="28">
        <v>53950267</v>
      </c>
      <c r="E74" s="29">
        <v>56.5</v>
      </c>
      <c r="F74" s="272">
        <v>495.79</v>
      </c>
      <c r="G74" s="42">
        <f>E74*F74</f>
        <v>28012.135</v>
      </c>
      <c r="H74" s="32">
        <v>43524.16</v>
      </c>
      <c r="I74" s="103">
        <f>E74*H74</f>
        <v>2459115.04</v>
      </c>
      <c r="J74" s="273" t="s">
        <v>120</v>
      </c>
      <c r="K74" s="274" t="s">
        <v>121</v>
      </c>
      <c r="L74" s="89"/>
      <c r="M74" s="44"/>
      <c r="N74" s="41"/>
      <c r="O74" s="41"/>
      <c r="P74" s="45"/>
      <c r="Q74" s="46"/>
      <c r="R74" s="41"/>
      <c r="S74" s="41"/>
      <c r="T74" s="41"/>
      <c r="U74" s="45"/>
    </row>
    <row r="75" spans="1:21">
      <c r="A75" s="41">
        <f>A74+1</f>
        <v>67</v>
      </c>
      <c r="B75" s="72">
        <v>46052</v>
      </c>
      <c r="C75" s="207">
        <v>8610579</v>
      </c>
      <c r="D75" s="28">
        <v>54027081</v>
      </c>
      <c r="E75" s="29">
        <v>61.55</v>
      </c>
      <c r="F75" s="272">
        <v>495.79</v>
      </c>
      <c r="G75" s="42">
        <f>E75*F75</f>
        <v>30515.8745</v>
      </c>
      <c r="H75" s="32">
        <v>43524.16</v>
      </c>
      <c r="I75" s="103">
        <f>E75*H75</f>
        <v>2678912.048</v>
      </c>
      <c r="J75" s="273" t="s">
        <v>120</v>
      </c>
      <c r="K75" s="274" t="s">
        <v>121</v>
      </c>
      <c r="L75" s="89"/>
      <c r="M75" s="44"/>
      <c r="N75" s="41"/>
      <c r="O75" s="41"/>
      <c r="P75" s="45"/>
      <c r="Q75" s="46"/>
      <c r="R75" s="41"/>
      <c r="S75" s="41"/>
      <c r="T75" s="41"/>
      <c r="U75" s="45"/>
    </row>
    <row r="76" spans="1:21">
      <c r="A76" s="41">
        <f>A75+1</f>
        <v>68</v>
      </c>
      <c r="B76" s="72">
        <v>46052</v>
      </c>
      <c r="C76" s="207">
        <v>8610579</v>
      </c>
      <c r="D76" s="28">
        <v>54247283</v>
      </c>
      <c r="E76" s="29">
        <v>60.85</v>
      </c>
      <c r="F76" s="272">
        <v>495.79</v>
      </c>
      <c r="G76" s="42">
        <f>E76*F76</f>
        <v>30168.8215</v>
      </c>
      <c r="H76" s="32">
        <v>43524.16</v>
      </c>
      <c r="I76" s="103">
        <f>E76*H76</f>
        <v>2648445.136</v>
      </c>
      <c r="J76" s="273" t="s">
        <v>120</v>
      </c>
      <c r="K76" s="274" t="s">
        <v>121</v>
      </c>
      <c r="L76" s="89"/>
      <c r="M76" s="44"/>
      <c r="N76" s="41"/>
      <c r="O76" s="41"/>
      <c r="P76" s="45"/>
      <c r="Q76" s="46"/>
      <c r="R76" s="41"/>
      <c r="S76" s="41"/>
      <c r="T76" s="41"/>
      <c r="U76" s="45"/>
    </row>
    <row r="77" spans="1:21">
      <c r="A77" s="41">
        <f>A76+1</f>
        <v>69</v>
      </c>
      <c r="B77" s="72">
        <v>46052</v>
      </c>
      <c r="C77" s="207">
        <v>8610577</v>
      </c>
      <c r="D77" s="28">
        <v>54596903</v>
      </c>
      <c r="E77" s="29">
        <v>61.25</v>
      </c>
      <c r="F77" s="272">
        <v>495.79</v>
      </c>
      <c r="G77" s="42">
        <f>E77*F77</f>
        <v>30367.1375</v>
      </c>
      <c r="H77" s="32">
        <v>43524.16</v>
      </c>
      <c r="I77" s="103">
        <f>E77*H77</f>
        <v>2665854.8</v>
      </c>
      <c r="J77" s="273" t="s">
        <v>120</v>
      </c>
      <c r="K77" s="274" t="s">
        <v>121</v>
      </c>
      <c r="L77" s="89"/>
      <c r="M77" s="44"/>
      <c r="N77" s="41"/>
      <c r="O77" s="41"/>
      <c r="P77" s="45"/>
      <c r="Q77" s="46"/>
      <c r="R77" s="41"/>
      <c r="S77" s="41"/>
      <c r="T77" s="41"/>
      <c r="U77" s="45"/>
    </row>
    <row r="78" spans="1:21">
      <c r="A78" s="41">
        <f>A77+1</f>
        <v>70</v>
      </c>
      <c r="B78" s="72">
        <v>46052</v>
      </c>
      <c r="C78" s="207">
        <v>8610577</v>
      </c>
      <c r="D78" s="28">
        <v>54744867</v>
      </c>
      <c r="E78" s="29">
        <v>63.25</v>
      </c>
      <c r="F78" s="272">
        <v>495.79</v>
      </c>
      <c r="G78" s="42">
        <f>E78*F78</f>
        <v>31358.7175</v>
      </c>
      <c r="H78" s="32">
        <v>43524.16</v>
      </c>
      <c r="I78" s="103">
        <f>E78*H78</f>
        <v>2752903.12</v>
      </c>
      <c r="J78" s="273" t="s">
        <v>120</v>
      </c>
      <c r="K78" s="274" t="s">
        <v>121</v>
      </c>
      <c r="L78" s="89"/>
      <c r="M78" s="44"/>
      <c r="N78" s="41"/>
      <c r="O78" s="41"/>
      <c r="P78" s="45"/>
      <c r="Q78" s="46"/>
      <c r="R78" s="41"/>
      <c r="S78" s="41"/>
      <c r="T78" s="41"/>
      <c r="U78" s="45"/>
    </row>
    <row r="79" spans="1:21">
      <c r="A79" s="41">
        <f>A78+1</f>
        <v>71</v>
      </c>
      <c r="B79" s="72">
        <v>46052</v>
      </c>
      <c r="C79" s="207">
        <v>8610578</v>
      </c>
      <c r="D79" s="28">
        <v>57451411</v>
      </c>
      <c r="E79" s="29">
        <v>62.1</v>
      </c>
      <c r="F79" s="272">
        <v>495.79</v>
      </c>
      <c r="G79" s="42">
        <f>E79*F79</f>
        <v>30788.559</v>
      </c>
      <c r="H79" s="32">
        <v>43524.16</v>
      </c>
      <c r="I79" s="103">
        <f>E79*H79</f>
        <v>2702850.336</v>
      </c>
      <c r="J79" s="273" t="s">
        <v>120</v>
      </c>
      <c r="K79" s="274" t="s">
        <v>121</v>
      </c>
      <c r="L79" s="89"/>
      <c r="M79" s="44"/>
      <c r="N79" s="41"/>
      <c r="O79" s="41"/>
      <c r="P79" s="45"/>
      <c r="Q79" s="46"/>
      <c r="R79" s="41"/>
      <c r="S79" s="41"/>
      <c r="T79" s="41"/>
      <c r="U79" s="45"/>
    </row>
    <row r="80" spans="1:21">
      <c r="A80" s="41">
        <f>A79+1</f>
        <v>72</v>
      </c>
      <c r="B80" s="72">
        <v>46052</v>
      </c>
      <c r="C80" s="207">
        <v>8610579</v>
      </c>
      <c r="D80" s="28">
        <v>57462095</v>
      </c>
      <c r="E80" s="29">
        <v>61.45</v>
      </c>
      <c r="F80" s="272">
        <v>495.79</v>
      </c>
      <c r="G80" s="42">
        <f>E80*F80</f>
        <v>30466.2955</v>
      </c>
      <c r="H80" s="32">
        <v>43524.16</v>
      </c>
      <c r="I80" s="103">
        <f>E80*H80</f>
        <v>2674559.632</v>
      </c>
      <c r="J80" s="273" t="s">
        <v>120</v>
      </c>
      <c r="K80" s="274" t="s">
        <v>121</v>
      </c>
      <c r="L80" s="89"/>
      <c r="M80" s="44"/>
      <c r="N80" s="41"/>
      <c r="O80" s="41"/>
      <c r="P80" s="45"/>
      <c r="Q80" s="46"/>
      <c r="R80" s="41"/>
      <c r="S80" s="41"/>
      <c r="T80" s="41"/>
      <c r="U80" s="45"/>
    </row>
    <row r="81" spans="1:21">
      <c r="A81" s="41">
        <f>A80+1</f>
        <v>73</v>
      </c>
      <c r="B81" s="72">
        <v>46052</v>
      </c>
      <c r="C81" s="207">
        <v>8610579</v>
      </c>
      <c r="D81" s="28">
        <v>57462491</v>
      </c>
      <c r="E81" s="29">
        <v>60.35</v>
      </c>
      <c r="F81" s="272">
        <v>495.79</v>
      </c>
      <c r="G81" s="42">
        <f>E81*F81</f>
        <v>29920.9265</v>
      </c>
      <c r="H81" s="32">
        <v>43524.16</v>
      </c>
      <c r="I81" s="103">
        <f>E81*H81</f>
        <v>2626683.056</v>
      </c>
      <c r="J81" s="273" t="s">
        <v>120</v>
      </c>
      <c r="K81" s="274" t="s">
        <v>121</v>
      </c>
      <c r="L81" s="89"/>
      <c r="M81" s="44"/>
      <c r="N81" s="41"/>
      <c r="O81" s="41"/>
      <c r="P81" s="45"/>
      <c r="Q81" s="46"/>
      <c r="R81" s="41"/>
      <c r="S81" s="41"/>
      <c r="T81" s="41"/>
      <c r="U81" s="45"/>
    </row>
    <row r="82" spans="1:21">
      <c r="A82" s="41">
        <f>A81+1</f>
        <v>74</v>
      </c>
      <c r="B82" s="72">
        <v>46052</v>
      </c>
      <c r="C82" s="207">
        <v>8610579</v>
      </c>
      <c r="D82" s="28">
        <v>57645699</v>
      </c>
      <c r="E82" s="29">
        <v>62.15</v>
      </c>
      <c r="F82" s="272">
        <v>495.79</v>
      </c>
      <c r="G82" s="42">
        <f>E82*F82</f>
        <v>30813.3485</v>
      </c>
      <c r="H82" s="32">
        <v>43524.16</v>
      </c>
      <c r="I82" s="103">
        <f>E82*H82</f>
        <v>2705026.544</v>
      </c>
      <c r="J82" s="273" t="s">
        <v>120</v>
      </c>
      <c r="K82" s="274" t="s">
        <v>121</v>
      </c>
      <c r="L82" s="89"/>
      <c r="M82" s="44"/>
      <c r="N82" s="41"/>
      <c r="O82" s="41"/>
      <c r="P82" s="45"/>
      <c r="Q82" s="46"/>
      <c r="R82" s="41"/>
      <c r="S82" s="41"/>
      <c r="T82" s="41"/>
      <c r="U82" s="45"/>
    </row>
    <row r="83" spans="1:21">
      <c r="A83" s="41">
        <f>A82+1</f>
        <v>75</v>
      </c>
      <c r="B83" s="72">
        <v>46052</v>
      </c>
      <c r="C83" s="207">
        <v>8610579</v>
      </c>
      <c r="D83" s="28">
        <v>57677817</v>
      </c>
      <c r="E83" s="29">
        <v>63.25</v>
      </c>
      <c r="F83" s="272">
        <v>495.79</v>
      </c>
      <c r="G83" s="42">
        <f>E83*F83</f>
        <v>31358.7175</v>
      </c>
      <c r="H83" s="32">
        <v>43524.16</v>
      </c>
      <c r="I83" s="103">
        <f>E83*H83</f>
        <v>2752903.12</v>
      </c>
      <c r="J83" s="273" t="s">
        <v>120</v>
      </c>
      <c r="K83" s="274" t="s">
        <v>121</v>
      </c>
      <c r="L83" s="89"/>
      <c r="M83" s="44"/>
      <c r="N83" s="41"/>
      <c r="O83" s="41"/>
      <c r="P83" s="45"/>
      <c r="Q83" s="46"/>
      <c r="R83" s="41"/>
      <c r="S83" s="41"/>
      <c r="T83" s="41"/>
      <c r="U83" s="45"/>
    </row>
    <row r="84" spans="1:21">
      <c r="A84" s="41">
        <f>A83+1</f>
        <v>76</v>
      </c>
      <c r="B84" s="72">
        <v>46052</v>
      </c>
      <c r="C84" s="207">
        <v>8610579</v>
      </c>
      <c r="D84" s="28">
        <v>57967382</v>
      </c>
      <c r="E84" s="29">
        <v>63.55</v>
      </c>
      <c r="F84" s="272">
        <v>495.79</v>
      </c>
      <c r="G84" s="42">
        <f>E84*F84</f>
        <v>31507.4545</v>
      </c>
      <c r="H84" s="32">
        <v>43524.16</v>
      </c>
      <c r="I84" s="103">
        <f>E84*H84</f>
        <v>2765960.368</v>
      </c>
      <c r="J84" s="273" t="s">
        <v>120</v>
      </c>
      <c r="K84" s="274" t="s">
        <v>121</v>
      </c>
      <c r="L84" s="89"/>
      <c r="M84" s="44"/>
      <c r="N84" s="41"/>
      <c r="O84" s="41"/>
      <c r="P84" s="45"/>
      <c r="Q84" s="46"/>
      <c r="R84" s="41"/>
      <c r="S84" s="41"/>
      <c r="T84" s="41"/>
      <c r="U84" s="45"/>
    </row>
    <row r="85" spans="1:21">
      <c r="A85" s="41">
        <f>A84+1</f>
        <v>77</v>
      </c>
      <c r="B85" s="72">
        <v>46052</v>
      </c>
      <c r="C85" s="207">
        <v>8610579</v>
      </c>
      <c r="D85" s="28">
        <v>58638040</v>
      </c>
      <c r="E85" s="29">
        <v>61.7</v>
      </c>
      <c r="F85" s="272">
        <v>495.79</v>
      </c>
      <c r="G85" s="42">
        <f>E85*F85</f>
        <v>30590.243</v>
      </c>
      <c r="H85" s="32">
        <v>43524.16</v>
      </c>
      <c r="I85" s="103">
        <f>E85*H85</f>
        <v>2685440.672</v>
      </c>
      <c r="J85" s="273" t="s">
        <v>120</v>
      </c>
      <c r="K85" s="274" t="s">
        <v>121</v>
      </c>
      <c r="L85" s="89"/>
      <c r="M85" s="44"/>
      <c r="N85" s="41"/>
      <c r="O85" s="41"/>
      <c r="P85" s="45"/>
      <c r="Q85" s="46"/>
      <c r="R85" s="41"/>
      <c r="S85" s="41"/>
      <c r="T85" s="41"/>
      <c r="U85" s="45"/>
    </row>
    <row r="86" spans="1:21">
      <c r="A86" s="41">
        <f>A85+1</f>
        <v>78</v>
      </c>
      <c r="B86" s="72">
        <v>46052</v>
      </c>
      <c r="C86" s="207">
        <v>8610577</v>
      </c>
      <c r="D86" s="28">
        <v>73107260</v>
      </c>
      <c r="E86" s="29">
        <v>63.55</v>
      </c>
      <c r="F86" s="272">
        <v>495.79</v>
      </c>
      <c r="G86" s="42">
        <f>E86*F86</f>
        <v>31507.4545</v>
      </c>
      <c r="H86" s="32">
        <v>43524.16</v>
      </c>
      <c r="I86" s="103">
        <f>E86*H86</f>
        <v>2765960.368</v>
      </c>
      <c r="J86" s="273" t="s">
        <v>120</v>
      </c>
      <c r="K86" s="274" t="s">
        <v>121</v>
      </c>
      <c r="L86" s="89"/>
      <c r="M86" s="44"/>
      <c r="N86" s="41"/>
      <c r="O86" s="41"/>
      <c r="P86" s="45"/>
      <c r="Q86" s="46"/>
      <c r="R86" s="41"/>
      <c r="S86" s="41"/>
      <c r="T86" s="41"/>
      <c r="U86" s="45"/>
    </row>
    <row r="87" spans="1:21">
      <c r="A87" s="41">
        <f>A86+1</f>
        <v>79</v>
      </c>
      <c r="B87" s="72">
        <v>46052</v>
      </c>
      <c r="C87" s="207">
        <v>8610578</v>
      </c>
      <c r="D87" s="28">
        <v>73110702</v>
      </c>
      <c r="E87" s="29">
        <v>60.85</v>
      </c>
      <c r="F87" s="272">
        <v>495.79</v>
      </c>
      <c r="G87" s="42">
        <f>E87*F87</f>
        <v>30168.8215</v>
      </c>
      <c r="H87" s="32">
        <v>43524.16</v>
      </c>
      <c r="I87" s="103">
        <f>E87*H87</f>
        <v>2648445.136</v>
      </c>
      <c r="J87" s="273" t="s">
        <v>120</v>
      </c>
      <c r="K87" s="274" t="s">
        <v>121</v>
      </c>
      <c r="L87" s="89"/>
      <c r="M87" s="44"/>
      <c r="N87" s="41"/>
      <c r="O87" s="41"/>
      <c r="P87" s="45"/>
      <c r="Q87" s="46"/>
      <c r="R87" s="41"/>
      <c r="S87" s="41"/>
      <c r="T87" s="41"/>
      <c r="U87" s="45"/>
    </row>
    <row r="88" spans="1:21">
      <c r="A88" s="41">
        <f>A87+1</f>
        <v>80</v>
      </c>
      <c r="B88" s="72">
        <v>46052</v>
      </c>
      <c r="C88" s="207">
        <v>8610577</v>
      </c>
      <c r="D88" s="28">
        <v>73117749</v>
      </c>
      <c r="E88" s="29">
        <v>62.75</v>
      </c>
      <c r="F88" s="272">
        <v>495.79</v>
      </c>
      <c r="G88" s="42">
        <f>E88*F88</f>
        <v>31110.8225</v>
      </c>
      <c r="H88" s="32">
        <v>43524.16</v>
      </c>
      <c r="I88" s="103">
        <f>E88*H88</f>
        <v>2731141.04</v>
      </c>
      <c r="J88" s="273" t="s">
        <v>120</v>
      </c>
      <c r="K88" s="274" t="s">
        <v>121</v>
      </c>
      <c r="L88" s="89"/>
      <c r="M88" s="44"/>
      <c r="N88" s="41"/>
      <c r="O88" s="41"/>
      <c r="P88" s="45"/>
      <c r="Q88" s="46"/>
      <c r="R88" s="41"/>
      <c r="S88" s="41"/>
      <c r="T88" s="41"/>
      <c r="U88" s="45"/>
    </row>
    <row r="89" spans="1:21">
      <c r="A89" s="41">
        <f>A88+1</f>
        <v>81</v>
      </c>
      <c r="B89" s="72">
        <v>46052</v>
      </c>
      <c r="C89" s="207">
        <v>8610578</v>
      </c>
      <c r="D89" s="28">
        <v>73119604</v>
      </c>
      <c r="E89" s="29">
        <v>60.5</v>
      </c>
      <c r="F89" s="272">
        <v>495.79</v>
      </c>
      <c r="G89" s="42">
        <f>E89*F89</f>
        <v>29995.295</v>
      </c>
      <c r="H89" s="32">
        <v>43524.16</v>
      </c>
      <c r="I89" s="103">
        <f>E89*H89</f>
        <v>2633211.68</v>
      </c>
      <c r="J89" s="273" t="s">
        <v>120</v>
      </c>
      <c r="K89" s="274" t="s">
        <v>121</v>
      </c>
      <c r="L89" s="89"/>
      <c r="M89" s="44"/>
      <c r="N89" s="41"/>
      <c r="O89" s="41"/>
      <c r="P89" s="45"/>
      <c r="Q89" s="46"/>
      <c r="R89" s="41"/>
      <c r="S89" s="41"/>
      <c r="T89" s="41"/>
      <c r="U89" s="45"/>
    </row>
    <row r="90" spans="1:21">
      <c r="A90" s="41">
        <f>A89+1</f>
        <v>82</v>
      </c>
      <c r="B90" s="72">
        <v>46052</v>
      </c>
      <c r="C90" s="207">
        <v>8610577</v>
      </c>
      <c r="D90" s="28">
        <v>73121931</v>
      </c>
      <c r="E90" s="29">
        <v>60.25</v>
      </c>
      <c r="F90" s="272">
        <v>495.79</v>
      </c>
      <c r="G90" s="42">
        <f>E90*F90</f>
        <v>29871.3475</v>
      </c>
      <c r="H90" s="32">
        <v>43524.16</v>
      </c>
      <c r="I90" s="103">
        <f>E90*H90</f>
        <v>2622330.64</v>
      </c>
      <c r="J90" s="273" t="s">
        <v>120</v>
      </c>
      <c r="K90" s="274" t="s">
        <v>121</v>
      </c>
      <c r="L90" s="89"/>
      <c r="M90" s="44"/>
      <c r="N90" s="41"/>
      <c r="O90" s="41"/>
      <c r="P90" s="45"/>
      <c r="Q90" s="46"/>
      <c r="R90" s="41"/>
      <c r="S90" s="41"/>
      <c r="T90" s="41"/>
      <c r="U90" s="45"/>
    </row>
    <row r="91" spans="1:21">
      <c r="A91" s="41">
        <f>A90+1</f>
        <v>83</v>
      </c>
      <c r="B91" s="72">
        <v>46052</v>
      </c>
      <c r="C91" s="207">
        <v>8610577</v>
      </c>
      <c r="D91" s="28">
        <v>73127011</v>
      </c>
      <c r="E91" s="29">
        <v>63.15</v>
      </c>
      <c r="F91" s="272">
        <v>495.79</v>
      </c>
      <c r="G91" s="42">
        <f>E91*F91</f>
        <v>31309.1385</v>
      </c>
      <c r="H91" s="32">
        <v>43524.16</v>
      </c>
      <c r="I91" s="103">
        <f>E91*H91</f>
        <v>2748550.704</v>
      </c>
      <c r="J91" s="273" t="s">
        <v>120</v>
      </c>
      <c r="K91" s="274" t="s">
        <v>121</v>
      </c>
      <c r="L91" s="89"/>
      <c r="M91" s="44"/>
      <c r="N91" s="41"/>
      <c r="O91" s="41"/>
      <c r="P91" s="45"/>
      <c r="Q91" s="46"/>
      <c r="R91" s="41"/>
      <c r="S91" s="41"/>
      <c r="T91" s="41"/>
      <c r="U91" s="45"/>
    </row>
    <row r="92" spans="1:21">
      <c r="A92" s="41">
        <f>A91+1</f>
        <v>84</v>
      </c>
      <c r="B92" s="72">
        <v>46052</v>
      </c>
      <c r="C92" s="207">
        <v>8610578</v>
      </c>
      <c r="D92" s="28">
        <v>73168726</v>
      </c>
      <c r="E92" s="29">
        <v>60.1</v>
      </c>
      <c r="F92" s="272">
        <v>495.79</v>
      </c>
      <c r="G92" s="42">
        <f>E92*F92</f>
        <v>29796.979</v>
      </c>
      <c r="H92" s="32">
        <v>43524.16</v>
      </c>
      <c r="I92" s="103">
        <f>E92*H92</f>
        <v>2615802.016</v>
      </c>
      <c r="J92" s="273" t="s">
        <v>120</v>
      </c>
      <c r="K92" s="274" t="s">
        <v>121</v>
      </c>
      <c r="L92" s="89"/>
      <c r="M92" s="44"/>
      <c r="N92" s="41"/>
      <c r="O92" s="41"/>
      <c r="P92" s="45"/>
      <c r="Q92" s="46"/>
      <c r="R92" s="41"/>
      <c r="S92" s="41"/>
      <c r="T92" s="41"/>
      <c r="U92" s="45"/>
    </row>
    <row r="93" spans="1:21">
      <c r="A93" s="41">
        <f>A92+1</f>
        <v>85</v>
      </c>
      <c r="B93" s="72">
        <v>46052</v>
      </c>
      <c r="C93" s="207">
        <v>8610577</v>
      </c>
      <c r="D93" s="28">
        <v>73229858</v>
      </c>
      <c r="E93" s="29">
        <v>63.05</v>
      </c>
      <c r="F93" s="272">
        <v>495.79</v>
      </c>
      <c r="G93" s="42">
        <f>E93*F93</f>
        <v>31259.5595</v>
      </c>
      <c r="H93" s="32">
        <v>43524.16</v>
      </c>
      <c r="I93" s="103">
        <f>E93*H93</f>
        <v>2744198.288</v>
      </c>
      <c r="J93" s="273" t="s">
        <v>120</v>
      </c>
      <c r="K93" s="274" t="s">
        <v>121</v>
      </c>
      <c r="L93" s="89"/>
      <c r="M93" s="44"/>
      <c r="N93" s="41"/>
      <c r="O93" s="41"/>
      <c r="P93" s="45"/>
      <c r="Q93" s="46"/>
      <c r="R93" s="41"/>
      <c r="S93" s="41"/>
      <c r="T93" s="41"/>
      <c r="U93" s="45"/>
    </row>
    <row r="94" spans="1:21">
      <c r="A94" s="41">
        <f>A93+1</f>
        <v>86</v>
      </c>
      <c r="B94" s="72">
        <v>46052</v>
      </c>
      <c r="C94" s="207">
        <v>8610578</v>
      </c>
      <c r="D94" s="28">
        <v>75226803</v>
      </c>
      <c r="E94" s="29">
        <v>59.7</v>
      </c>
      <c r="F94" s="272">
        <v>495.79</v>
      </c>
      <c r="G94" s="42">
        <f>E94*F94</f>
        <v>29598.663</v>
      </c>
      <c r="H94" s="32">
        <v>43524.16</v>
      </c>
      <c r="I94" s="103">
        <f>E94*H94</f>
        <v>2598392.352</v>
      </c>
      <c r="J94" s="273" t="s">
        <v>120</v>
      </c>
      <c r="K94" s="274" t="s">
        <v>121</v>
      </c>
      <c r="L94" s="89"/>
      <c r="M94" s="44"/>
      <c r="N94" s="41"/>
      <c r="O94" s="41"/>
      <c r="P94" s="45"/>
      <c r="Q94" s="46"/>
      <c r="R94" s="41"/>
      <c r="S94" s="41"/>
      <c r="T94" s="41"/>
      <c r="U94" s="45"/>
    </row>
    <row r="95" spans="1:21">
      <c r="A95" s="41">
        <f>A94+1</f>
        <v>87</v>
      </c>
      <c r="B95" s="72">
        <v>46052</v>
      </c>
      <c r="C95" s="207">
        <v>8610578</v>
      </c>
      <c r="D95" s="28">
        <v>75261305</v>
      </c>
      <c r="E95" s="29">
        <v>60.9</v>
      </c>
      <c r="F95" s="272">
        <v>495.79</v>
      </c>
      <c r="G95" s="42">
        <f>E95*F95</f>
        <v>30193.611</v>
      </c>
      <c r="H95" s="32">
        <v>43524.16</v>
      </c>
      <c r="I95" s="103">
        <f>E95*H95</f>
        <v>2650621.344</v>
      </c>
      <c r="J95" s="273" t="s">
        <v>120</v>
      </c>
      <c r="K95" s="274" t="s">
        <v>121</v>
      </c>
      <c r="L95" s="89"/>
      <c r="M95" s="44"/>
      <c r="N95" s="41"/>
      <c r="O95" s="41"/>
      <c r="P95" s="45"/>
      <c r="Q95" s="46"/>
      <c r="R95" s="41"/>
      <c r="S95" s="41"/>
      <c r="T95" s="41"/>
      <c r="U95" s="45"/>
    </row>
    <row r="96" spans="1:21">
      <c r="A96" s="41">
        <f>A95+1</f>
        <v>88</v>
      </c>
      <c r="B96" s="72">
        <v>46052</v>
      </c>
      <c r="C96" s="207">
        <v>8610577</v>
      </c>
      <c r="D96" s="28">
        <v>75266007</v>
      </c>
      <c r="E96" s="29">
        <v>63.1</v>
      </c>
      <c r="F96" s="272">
        <v>495.79</v>
      </c>
      <c r="G96" s="42">
        <f>E96*F96</f>
        <v>31284.349</v>
      </c>
      <c r="H96" s="32">
        <v>43524.16</v>
      </c>
      <c r="I96" s="103">
        <f>E96*H96</f>
        <v>2746374.496</v>
      </c>
      <c r="J96" s="273" t="s">
        <v>120</v>
      </c>
      <c r="K96" s="274" t="s">
        <v>121</v>
      </c>
      <c r="L96" s="89"/>
      <c r="M96" s="44"/>
      <c r="N96" s="41"/>
      <c r="O96" s="41"/>
      <c r="P96" s="45"/>
      <c r="Q96" s="46"/>
      <c r="R96" s="41"/>
      <c r="S96" s="41"/>
      <c r="T96" s="41"/>
      <c r="U96" s="45"/>
    </row>
    <row r="97" customHeight="1" spans="1:21">
      <c r="A97" s="77">
        <f>A96+1</f>
        <v>89</v>
      </c>
      <c r="B97" s="76">
        <v>46052</v>
      </c>
      <c r="C97" s="216">
        <v>8610578</v>
      </c>
      <c r="D97" s="47">
        <v>75402495</v>
      </c>
      <c r="E97" s="48">
        <v>60.4</v>
      </c>
      <c r="F97" s="272">
        <v>495.79</v>
      </c>
      <c r="G97" s="123">
        <f>E97*F97</f>
        <v>29945.716</v>
      </c>
      <c r="H97" s="49">
        <v>43524.16</v>
      </c>
      <c r="I97" s="106">
        <f>E97*H97</f>
        <v>2628859.264</v>
      </c>
      <c r="J97" s="273" t="s">
        <v>120</v>
      </c>
      <c r="K97" s="303" t="s">
        <v>121</v>
      </c>
      <c r="L97" s="90"/>
      <c r="M97" s="75"/>
      <c r="N97" s="77"/>
      <c r="O97" s="77"/>
      <c r="P97" s="91"/>
      <c r="Q97" s="250"/>
      <c r="R97" s="77"/>
      <c r="S97" s="77"/>
      <c r="T97" s="77"/>
      <c r="U97" s="91"/>
    </row>
    <row r="98" ht="15.75" spans="1:21">
      <c r="A98" s="290"/>
      <c r="B98" s="291"/>
      <c r="C98" s="291"/>
      <c r="D98" s="291"/>
      <c r="E98" s="292">
        <f>SUM(E66:E97)</f>
        <v>1959.4</v>
      </c>
      <c r="F98" s="291"/>
      <c r="G98" s="293">
        <f>SUM(G66:G97)</f>
        <v>971450.926</v>
      </c>
      <c r="H98" s="294"/>
      <c r="I98" s="295">
        <f>SUM(I66:I97)</f>
        <v>85281239.104</v>
      </c>
      <c r="J98" s="291"/>
      <c r="K98" s="298"/>
      <c r="L98" s="297"/>
      <c r="M98" s="290"/>
      <c r="N98" s="291"/>
      <c r="O98" s="291"/>
      <c r="P98" s="298"/>
      <c r="Q98" s="299"/>
      <c r="R98" s="291"/>
      <c r="S98" s="291"/>
      <c r="T98" s="291"/>
      <c r="U98" s="298"/>
    </row>
    <row r="99" ht="16.5" customHeight="1" spans="1:21">
      <c r="A99" s="67">
        <v>90</v>
      </c>
      <c r="B99" s="27">
        <v>46053</v>
      </c>
      <c r="C99" s="207">
        <v>8610625</v>
      </c>
      <c r="D99" s="28">
        <v>50778521</v>
      </c>
      <c r="E99" s="29">
        <v>57.8</v>
      </c>
      <c r="F99" s="272">
        <v>495.79</v>
      </c>
      <c r="G99" s="42">
        <f>E99*F99</f>
        <v>28656.662</v>
      </c>
      <c r="H99" s="32">
        <v>43524.16</v>
      </c>
      <c r="I99" s="103">
        <f>E99*H99</f>
        <v>2515696.448</v>
      </c>
      <c r="J99" s="273" t="s">
        <v>120</v>
      </c>
      <c r="K99" s="274" t="s">
        <v>121</v>
      </c>
      <c r="L99" s="95"/>
      <c r="M99" s="37"/>
      <c r="N99" s="38"/>
      <c r="O99" s="38"/>
      <c r="P99" s="39"/>
      <c r="Q99" s="37"/>
      <c r="R99" s="38"/>
      <c r="S99" s="38"/>
      <c r="T99" s="38"/>
      <c r="U99" s="39"/>
    </row>
    <row r="100" ht="16.5" customHeight="1" spans="1:21">
      <c r="A100" s="41">
        <f>A99+1</f>
        <v>91</v>
      </c>
      <c r="B100" s="27">
        <v>46053</v>
      </c>
      <c r="C100" s="207">
        <v>8610624</v>
      </c>
      <c r="D100" s="28">
        <v>50914191</v>
      </c>
      <c r="E100" s="29">
        <v>62.9</v>
      </c>
      <c r="F100" s="272">
        <v>495.79</v>
      </c>
      <c r="G100" s="42">
        <f>E100*F100</f>
        <v>31185.191</v>
      </c>
      <c r="H100" s="32">
        <v>43524.16</v>
      </c>
      <c r="I100" s="103">
        <f>E100*H100</f>
        <v>2737669.664</v>
      </c>
      <c r="J100" s="273" t="s">
        <v>120</v>
      </c>
      <c r="K100" s="274" t="s">
        <v>121</v>
      </c>
      <c r="L100" s="89"/>
      <c r="M100" s="44"/>
      <c r="N100" s="41"/>
      <c r="O100" s="41"/>
      <c r="P100" s="45"/>
      <c r="Q100" s="44"/>
      <c r="R100" s="41"/>
      <c r="S100" s="41"/>
      <c r="T100" s="41"/>
      <c r="U100" s="45"/>
    </row>
    <row r="101" ht="16.5" customHeight="1" spans="1:21">
      <c r="A101" s="41">
        <f>A100+1</f>
        <v>92</v>
      </c>
      <c r="B101" s="27">
        <v>46053</v>
      </c>
      <c r="C101" s="207">
        <v>8610624</v>
      </c>
      <c r="D101" s="28">
        <v>51402246</v>
      </c>
      <c r="E101" s="29">
        <v>59.95</v>
      </c>
      <c r="F101" s="272">
        <v>495.79</v>
      </c>
      <c r="G101" s="42">
        <f>E101*F101</f>
        <v>29722.6105</v>
      </c>
      <c r="H101" s="32">
        <v>43524.16</v>
      </c>
      <c r="I101" s="103">
        <f>E101*H101</f>
        <v>2609273.392</v>
      </c>
      <c r="J101" s="273" t="s">
        <v>120</v>
      </c>
      <c r="K101" s="274" t="s">
        <v>121</v>
      </c>
      <c r="L101" s="89"/>
      <c r="M101" s="44"/>
      <c r="N101" s="41"/>
      <c r="O101" s="41"/>
      <c r="P101" s="45"/>
      <c r="Q101" s="44"/>
      <c r="R101" s="41"/>
      <c r="S101" s="41"/>
      <c r="T101" s="41"/>
      <c r="U101" s="45"/>
    </row>
    <row r="102" ht="16.5" customHeight="1" spans="1:21">
      <c r="A102" s="41">
        <f>A101+1</f>
        <v>93</v>
      </c>
      <c r="B102" s="27">
        <v>46053</v>
      </c>
      <c r="C102" s="207">
        <v>8610626</v>
      </c>
      <c r="D102" s="28">
        <v>57380495</v>
      </c>
      <c r="E102" s="29">
        <v>57.45</v>
      </c>
      <c r="F102" s="272">
        <v>495.79</v>
      </c>
      <c r="G102" s="42">
        <f>E102*F102</f>
        <v>28483.1355</v>
      </c>
      <c r="H102" s="32">
        <v>43524.16</v>
      </c>
      <c r="I102" s="103">
        <f>E102*H102</f>
        <v>2500462.992</v>
      </c>
      <c r="J102" s="273" t="s">
        <v>120</v>
      </c>
      <c r="K102" s="274" t="s">
        <v>121</v>
      </c>
      <c r="L102" s="89"/>
      <c r="M102" s="44"/>
      <c r="N102" s="41"/>
      <c r="O102" s="41"/>
      <c r="P102" s="45"/>
      <c r="Q102" s="44"/>
      <c r="R102" s="41"/>
      <c r="S102" s="41"/>
      <c r="T102" s="41"/>
      <c r="U102" s="45"/>
    </row>
    <row r="103" ht="16.5" customHeight="1" spans="1:21">
      <c r="A103" s="41">
        <f>A102+1</f>
        <v>94</v>
      </c>
      <c r="B103" s="27">
        <v>46053</v>
      </c>
      <c r="C103" s="207">
        <v>8610624</v>
      </c>
      <c r="D103" s="28">
        <v>57428559</v>
      </c>
      <c r="E103" s="29">
        <v>63.65</v>
      </c>
      <c r="F103" s="272">
        <v>495.79</v>
      </c>
      <c r="G103" s="42">
        <f>E103*F103</f>
        <v>31557.0335</v>
      </c>
      <c r="H103" s="32">
        <v>43524.16</v>
      </c>
      <c r="I103" s="103">
        <f>E103*H103</f>
        <v>2770312.784</v>
      </c>
      <c r="J103" s="273" t="s">
        <v>120</v>
      </c>
      <c r="K103" s="274" t="s">
        <v>121</v>
      </c>
      <c r="L103" s="89"/>
      <c r="M103" s="44"/>
      <c r="N103" s="41"/>
      <c r="O103" s="41"/>
      <c r="P103" s="45"/>
      <c r="Q103" s="44"/>
      <c r="R103" s="41"/>
      <c r="S103" s="41"/>
      <c r="T103" s="41"/>
      <c r="U103" s="45"/>
    </row>
    <row r="104" ht="16.5" customHeight="1" spans="1:21">
      <c r="A104" s="41">
        <f>A103+1</f>
        <v>95</v>
      </c>
      <c r="B104" s="27">
        <v>46053</v>
      </c>
      <c r="C104" s="207">
        <v>8610624</v>
      </c>
      <c r="D104" s="28">
        <v>73065153</v>
      </c>
      <c r="E104" s="29">
        <v>61.55</v>
      </c>
      <c r="F104" s="272">
        <v>495.79</v>
      </c>
      <c r="G104" s="42">
        <f>E104*F104</f>
        <v>30515.8745</v>
      </c>
      <c r="H104" s="32">
        <v>43524.16</v>
      </c>
      <c r="I104" s="103">
        <f>E104*H104</f>
        <v>2678912.048</v>
      </c>
      <c r="J104" s="273" t="s">
        <v>120</v>
      </c>
      <c r="K104" s="274" t="s">
        <v>121</v>
      </c>
      <c r="L104" s="89"/>
      <c r="M104" s="44"/>
      <c r="N104" s="41"/>
      <c r="O104" s="41"/>
      <c r="P104" s="45"/>
      <c r="Q104" s="44"/>
      <c r="R104" s="41"/>
      <c r="S104" s="41"/>
      <c r="T104" s="41"/>
      <c r="U104" s="45"/>
    </row>
    <row r="105" ht="16.5" customHeight="1" spans="1:21">
      <c r="A105" s="41">
        <f>A104+1</f>
        <v>96</v>
      </c>
      <c r="B105" s="27">
        <v>46053</v>
      </c>
      <c r="C105" s="207">
        <v>8610624</v>
      </c>
      <c r="D105" s="28">
        <v>73126559</v>
      </c>
      <c r="E105" s="29">
        <v>60.3</v>
      </c>
      <c r="F105" s="272">
        <v>495.79</v>
      </c>
      <c r="G105" s="42">
        <f>E105*F105</f>
        <v>29896.137</v>
      </c>
      <c r="H105" s="32">
        <v>43524.16</v>
      </c>
      <c r="I105" s="103">
        <f>E105*H105</f>
        <v>2624506.848</v>
      </c>
      <c r="J105" s="273" t="s">
        <v>120</v>
      </c>
      <c r="K105" s="274" t="s">
        <v>121</v>
      </c>
      <c r="L105" s="89"/>
      <c r="M105" s="44"/>
      <c r="N105" s="41"/>
      <c r="O105" s="41"/>
      <c r="P105" s="45"/>
      <c r="Q105" s="44"/>
      <c r="R105" s="41"/>
      <c r="S105" s="41"/>
      <c r="T105" s="41"/>
      <c r="U105" s="45"/>
    </row>
    <row r="106" ht="16.5" customHeight="1" spans="1:21">
      <c r="A106" s="41">
        <f>A105+1</f>
        <v>97</v>
      </c>
      <c r="B106" s="27">
        <v>46053</v>
      </c>
      <c r="C106" s="207">
        <v>8610624</v>
      </c>
      <c r="D106" s="28">
        <v>73179814</v>
      </c>
      <c r="E106" s="29">
        <v>62.05</v>
      </c>
      <c r="F106" s="272">
        <v>495.79</v>
      </c>
      <c r="G106" s="42">
        <f>E106*F106</f>
        <v>30763.7695</v>
      </c>
      <c r="H106" s="32">
        <v>43524.16</v>
      </c>
      <c r="I106" s="103">
        <f>E106*H106</f>
        <v>2700674.128</v>
      </c>
      <c r="J106" s="273" t="s">
        <v>120</v>
      </c>
      <c r="K106" s="274" t="s">
        <v>121</v>
      </c>
      <c r="L106" s="89"/>
      <c r="M106" s="44"/>
      <c r="N106" s="41"/>
      <c r="O106" s="41"/>
      <c r="P106" s="45"/>
      <c r="Q106" s="44"/>
      <c r="R106" s="41"/>
      <c r="S106" s="41"/>
      <c r="T106" s="41"/>
      <c r="U106" s="45"/>
    </row>
    <row r="107" ht="16.5" customHeight="1" spans="1:21">
      <c r="A107" s="41">
        <f>A106+1</f>
        <v>98</v>
      </c>
      <c r="B107" s="27">
        <v>46053</v>
      </c>
      <c r="C107" s="207">
        <v>8610624</v>
      </c>
      <c r="D107" s="28">
        <v>73222267</v>
      </c>
      <c r="E107" s="29">
        <v>62</v>
      </c>
      <c r="F107" s="272">
        <v>495.79</v>
      </c>
      <c r="G107" s="42">
        <f>E107*F107</f>
        <v>30738.98</v>
      </c>
      <c r="H107" s="32">
        <v>43524.16</v>
      </c>
      <c r="I107" s="103">
        <f>E107*H107</f>
        <v>2698497.92</v>
      </c>
      <c r="J107" s="273" t="s">
        <v>120</v>
      </c>
      <c r="K107" s="274" t="s">
        <v>121</v>
      </c>
      <c r="L107" s="89"/>
      <c r="M107" s="44"/>
      <c r="N107" s="41"/>
      <c r="O107" s="41"/>
      <c r="P107" s="45"/>
      <c r="Q107" s="44"/>
      <c r="R107" s="41"/>
      <c r="S107" s="41"/>
      <c r="T107" s="41"/>
      <c r="U107" s="45"/>
    </row>
    <row r="108" ht="16.5" customHeight="1" spans="1:21">
      <c r="A108" s="41">
        <f>A107+1</f>
        <v>99</v>
      </c>
      <c r="B108" s="27">
        <v>46053</v>
      </c>
      <c r="C108" s="207">
        <v>8610624</v>
      </c>
      <c r="D108" s="28">
        <v>73225443</v>
      </c>
      <c r="E108" s="29">
        <v>61.6</v>
      </c>
      <c r="F108" s="272">
        <v>495.79</v>
      </c>
      <c r="G108" s="42">
        <f>E108*F108</f>
        <v>30540.664</v>
      </c>
      <c r="H108" s="32">
        <v>43524.16</v>
      </c>
      <c r="I108" s="103">
        <f>E108*H108</f>
        <v>2681088.256</v>
      </c>
      <c r="J108" s="273" t="s">
        <v>120</v>
      </c>
      <c r="K108" s="274" t="s">
        <v>121</v>
      </c>
      <c r="L108" s="89"/>
      <c r="M108" s="44"/>
      <c r="N108" s="41"/>
      <c r="O108" s="41"/>
      <c r="P108" s="45"/>
      <c r="Q108" s="44"/>
      <c r="R108" s="41"/>
      <c r="S108" s="41"/>
      <c r="T108" s="41"/>
      <c r="U108" s="45"/>
    </row>
    <row r="109" ht="16.5" customHeight="1" spans="1:21">
      <c r="A109" s="41">
        <f>A108+1</f>
        <v>100</v>
      </c>
      <c r="B109" s="27">
        <v>46053</v>
      </c>
      <c r="C109" s="207">
        <v>8610624</v>
      </c>
      <c r="D109" s="28">
        <v>75293506</v>
      </c>
      <c r="E109" s="29">
        <v>62.45</v>
      </c>
      <c r="F109" s="272">
        <v>495.79</v>
      </c>
      <c r="G109" s="42">
        <f>E109*F109</f>
        <v>30962.0855</v>
      </c>
      <c r="H109" s="32">
        <v>43524.16</v>
      </c>
      <c r="I109" s="103">
        <f>E109*H109</f>
        <v>2718083.792</v>
      </c>
      <c r="J109" s="273" t="s">
        <v>120</v>
      </c>
      <c r="K109" s="274" t="s">
        <v>121</v>
      </c>
      <c r="L109" s="89"/>
      <c r="M109" s="44"/>
      <c r="N109" s="41"/>
      <c r="O109" s="41"/>
      <c r="P109" s="45"/>
      <c r="Q109" s="44"/>
      <c r="R109" s="41"/>
      <c r="S109" s="41"/>
      <c r="T109" s="41"/>
      <c r="U109" s="45"/>
    </row>
    <row r="110" ht="16.5" customHeight="1" spans="1:21">
      <c r="A110" s="77">
        <f>A109+1</f>
        <v>101</v>
      </c>
      <c r="B110" s="96">
        <v>46053</v>
      </c>
      <c r="C110" s="216">
        <v>8610624</v>
      </c>
      <c r="D110" s="47">
        <v>76606292</v>
      </c>
      <c r="E110" s="48">
        <v>62.25</v>
      </c>
      <c r="F110" s="272">
        <v>495.79</v>
      </c>
      <c r="G110" s="123">
        <f>E110*F110</f>
        <v>30862.9275</v>
      </c>
      <c r="H110" s="49">
        <v>43524.16</v>
      </c>
      <c r="I110" s="106">
        <f>E110*H110</f>
        <v>2709378.96</v>
      </c>
      <c r="J110" s="273" t="s">
        <v>120</v>
      </c>
      <c r="K110" s="303" t="s">
        <v>121</v>
      </c>
      <c r="L110" s="90"/>
      <c r="M110" s="51"/>
      <c r="N110" s="52"/>
      <c r="O110" s="52"/>
      <c r="P110" s="53"/>
      <c r="Q110" s="51"/>
      <c r="R110" s="52"/>
      <c r="S110" s="52"/>
      <c r="T110" s="52"/>
      <c r="U110" s="53"/>
    </row>
    <row r="111" ht="15.75" spans="1:21">
      <c r="A111" s="279"/>
      <c r="B111" s="280"/>
      <c r="C111" s="280"/>
      <c r="D111" s="280"/>
      <c r="E111" s="281">
        <f>SUM(E99:E110)</f>
        <v>733.95</v>
      </c>
      <c r="F111" s="280"/>
      <c r="G111" s="282">
        <f>SUM(G99:G110)</f>
        <v>363885.0705</v>
      </c>
      <c r="H111" s="283"/>
      <c r="I111" s="284">
        <f>SUM(I99:I110)</f>
        <v>31944557.232</v>
      </c>
      <c r="J111" s="280"/>
      <c r="K111" s="285"/>
      <c r="L111" s="308"/>
      <c r="M111" s="279"/>
      <c r="N111" s="280"/>
      <c r="O111" s="280"/>
      <c r="P111" s="285"/>
      <c r="Q111" s="287"/>
      <c r="R111" s="280"/>
      <c r="S111" s="280"/>
      <c r="T111" s="280"/>
      <c r="U111" s="285"/>
    </row>
    <row r="112" ht="15.75" spans="1:21">
      <c r="A112" s="309" t="s">
        <v>133</v>
      </c>
      <c r="B112" s="310"/>
      <c r="C112" s="310"/>
      <c r="D112" s="311"/>
      <c r="E112" s="312">
        <f>E29+E41+E54+E65+E98+E111</f>
        <v>6159.2</v>
      </c>
      <c r="F112" s="313"/>
      <c r="G112" s="314">
        <f>G29+G41+G54+G65+G98+G111</f>
        <v>3053669.98854546</v>
      </c>
      <c r="H112" s="315"/>
      <c r="I112" s="316">
        <f>I29+I41+I54+I65+I98+I111</f>
        <v>268074006.272</v>
      </c>
      <c r="J112" s="317"/>
      <c r="K112" s="318"/>
      <c r="L112" s="317"/>
      <c r="M112" s="319"/>
      <c r="N112" s="313"/>
      <c r="O112" s="313"/>
      <c r="P112" s="320"/>
      <c r="Q112" s="321"/>
      <c r="R112" s="313"/>
      <c r="S112" s="313"/>
      <c r="T112" s="313"/>
      <c r="U112" s="320"/>
    </row>
    <row r="113" ht="16.5" customHeight="1" spans="1:21">
      <c r="A113" s="37">
        <v>102</v>
      </c>
      <c r="B113" s="115">
        <v>46064</v>
      </c>
      <c r="C113" s="232">
        <v>8610916</v>
      </c>
      <c r="D113" s="177">
        <v>55946727</v>
      </c>
      <c r="E113" s="178">
        <v>59.4</v>
      </c>
      <c r="F113" s="288">
        <f>'[3]Platt''s 2026'!O31-138.57</f>
        <v>545.355</v>
      </c>
      <c r="G113" s="181">
        <f>E113*F113</f>
        <v>32394.087</v>
      </c>
      <c r="H113" s="119">
        <v>43524.16</v>
      </c>
      <c r="I113" s="120">
        <f>E113*H113</f>
        <v>2585335.104</v>
      </c>
      <c r="J113" s="210" t="s">
        <v>120</v>
      </c>
      <c r="K113" s="270" t="s">
        <v>121</v>
      </c>
      <c r="L113" s="36"/>
      <c r="M113" s="37"/>
      <c r="N113" s="38"/>
      <c r="O113" s="38"/>
      <c r="P113" s="39"/>
      <c r="Q113" s="37"/>
      <c r="R113" s="38"/>
      <c r="S113" s="38"/>
      <c r="T113" s="38"/>
      <c r="U113" s="39"/>
    </row>
    <row r="114" ht="16.5" customHeight="1" spans="1:21">
      <c r="A114" s="51">
        <v>103</v>
      </c>
      <c r="B114" s="157">
        <v>46064</v>
      </c>
      <c r="C114" s="226">
        <v>8610915</v>
      </c>
      <c r="D114" s="158">
        <v>71044929</v>
      </c>
      <c r="E114" s="162">
        <v>60.55</v>
      </c>
      <c r="F114" s="289">
        <v>545.36</v>
      </c>
      <c r="G114" s="182">
        <f>E114*F114</f>
        <v>33021.548</v>
      </c>
      <c r="H114" s="275">
        <v>43524.16</v>
      </c>
      <c r="I114" s="184">
        <f>E114*H114</f>
        <v>2635387.888</v>
      </c>
      <c r="J114" s="276" t="s">
        <v>120</v>
      </c>
      <c r="K114" s="277" t="s">
        <v>121</v>
      </c>
      <c r="L114" s="83"/>
      <c r="M114" s="51"/>
      <c r="N114" s="52"/>
      <c r="O114" s="52"/>
      <c r="P114" s="53"/>
      <c r="Q114" s="51"/>
      <c r="R114" s="52"/>
      <c r="S114" s="52"/>
      <c r="T114" s="52"/>
      <c r="U114" s="53"/>
    </row>
    <row r="115" ht="15.75" spans="1:21">
      <c r="A115" s="304"/>
      <c r="B115" s="305"/>
      <c r="C115" s="305"/>
      <c r="D115" s="305"/>
      <c r="E115" s="322">
        <f>SUM(E113:E114)</f>
        <v>119.95</v>
      </c>
      <c r="F115" s="305"/>
      <c r="G115" s="323">
        <f>SUM(G113:G114)</f>
        <v>65415.635</v>
      </c>
      <c r="H115" s="324"/>
      <c r="I115" s="325">
        <f>SUM(I113:I114)</f>
        <v>5220722.992</v>
      </c>
      <c r="J115" s="305"/>
      <c r="K115" s="306"/>
      <c r="L115" s="326"/>
      <c r="M115" s="304"/>
      <c r="N115" s="305"/>
      <c r="O115" s="305"/>
      <c r="P115" s="306"/>
      <c r="Q115" s="307"/>
      <c r="R115" s="305"/>
      <c r="S115" s="305"/>
      <c r="T115" s="305"/>
      <c r="U115" s="306"/>
    </row>
    <row r="116" ht="17.25" customHeight="1" spans="1:21">
      <c r="A116" s="37">
        <v>104</v>
      </c>
      <c r="B116" s="115">
        <v>46067</v>
      </c>
      <c r="C116" s="327" t="s">
        <v>140</v>
      </c>
      <c r="D116" s="38">
        <v>51752368</v>
      </c>
      <c r="E116" s="328">
        <v>57.8</v>
      </c>
      <c r="F116" s="269">
        <v>545.36</v>
      </c>
      <c r="G116" s="329">
        <f>E116*F116</f>
        <v>31521.808</v>
      </c>
      <c r="H116" s="330">
        <v>43524.16</v>
      </c>
      <c r="I116" s="331">
        <f>E116*H116</f>
        <v>2515696.448</v>
      </c>
      <c r="J116" s="210" t="s">
        <v>120</v>
      </c>
      <c r="K116" s="332" t="s">
        <v>121</v>
      </c>
      <c r="L116" s="36"/>
      <c r="M116" s="37"/>
      <c r="N116" s="38"/>
      <c r="O116" s="38"/>
      <c r="P116" s="39"/>
      <c r="Q116" s="37"/>
      <c r="R116" s="38"/>
      <c r="S116" s="38"/>
      <c r="T116" s="38"/>
      <c r="U116" s="39"/>
    </row>
    <row r="117" ht="17.25" customHeight="1" spans="1:21">
      <c r="A117" s="44">
        <f>A116+1</f>
        <v>105</v>
      </c>
      <c r="B117" s="72">
        <v>46067</v>
      </c>
      <c r="C117" s="333" t="s">
        <v>140</v>
      </c>
      <c r="D117" s="41">
        <v>54695895</v>
      </c>
      <c r="E117" s="73">
        <v>62.75</v>
      </c>
      <c r="F117" s="272">
        <v>545.36</v>
      </c>
      <c r="G117" s="42">
        <f>E117*F117</f>
        <v>34221.34</v>
      </c>
      <c r="H117" s="32">
        <v>43524.16</v>
      </c>
      <c r="I117" s="103">
        <f>E117*H117</f>
        <v>2731141.04</v>
      </c>
      <c r="J117" s="34" t="s">
        <v>120</v>
      </c>
      <c r="K117" s="74" t="s">
        <v>121</v>
      </c>
      <c r="L117" s="43"/>
      <c r="M117" s="44"/>
      <c r="N117" s="41"/>
      <c r="O117" s="41"/>
      <c r="P117" s="45"/>
      <c r="Q117" s="44"/>
      <c r="R117" s="41"/>
      <c r="S117" s="41"/>
      <c r="T117" s="41"/>
      <c r="U117" s="45"/>
    </row>
    <row r="118" ht="17.25" customHeight="1" spans="1:21">
      <c r="A118" s="44">
        <f>A117+1</f>
        <v>106</v>
      </c>
      <c r="B118" s="72">
        <v>46067</v>
      </c>
      <c r="C118" s="333" t="s">
        <v>140</v>
      </c>
      <c r="D118" s="41">
        <v>57946998</v>
      </c>
      <c r="E118" s="73">
        <v>62.75</v>
      </c>
      <c r="F118" s="272">
        <v>545.36</v>
      </c>
      <c r="G118" s="42">
        <f>E118*F118</f>
        <v>34221.34</v>
      </c>
      <c r="H118" s="32">
        <v>43524.16</v>
      </c>
      <c r="I118" s="103">
        <f>E118*H118</f>
        <v>2731141.04</v>
      </c>
      <c r="J118" s="34" t="s">
        <v>120</v>
      </c>
      <c r="K118" s="74" t="s">
        <v>121</v>
      </c>
      <c r="L118" s="43"/>
      <c r="M118" s="44"/>
      <c r="N118" s="41"/>
      <c r="O118" s="41"/>
      <c r="P118" s="45"/>
      <c r="Q118" s="44"/>
      <c r="R118" s="41"/>
      <c r="S118" s="41"/>
      <c r="T118" s="41"/>
      <c r="U118" s="45"/>
    </row>
    <row r="119" ht="17.25" customHeight="1" spans="1:21">
      <c r="A119" s="44">
        <f>A118+1</f>
        <v>107</v>
      </c>
      <c r="B119" s="72">
        <v>46067</v>
      </c>
      <c r="C119" s="333" t="s">
        <v>140</v>
      </c>
      <c r="D119" s="41">
        <v>73054538</v>
      </c>
      <c r="E119" s="73">
        <v>63.3</v>
      </c>
      <c r="F119" s="272">
        <v>545.36</v>
      </c>
      <c r="G119" s="42">
        <f>E119*F119</f>
        <v>34521.288</v>
      </c>
      <c r="H119" s="32">
        <v>43524.16</v>
      </c>
      <c r="I119" s="103">
        <f>E119*H119</f>
        <v>2755079.328</v>
      </c>
      <c r="J119" s="34" t="s">
        <v>120</v>
      </c>
      <c r="K119" s="74" t="s">
        <v>121</v>
      </c>
      <c r="L119" s="43"/>
      <c r="M119" s="44"/>
      <c r="N119" s="41"/>
      <c r="O119" s="41"/>
      <c r="P119" s="45"/>
      <c r="Q119" s="44"/>
      <c r="R119" s="41"/>
      <c r="S119" s="41"/>
      <c r="T119" s="41"/>
      <c r="U119" s="45"/>
    </row>
    <row r="120" ht="17.25" customHeight="1" spans="1:21">
      <c r="A120" s="44">
        <f>A119+1</f>
        <v>108</v>
      </c>
      <c r="B120" s="72">
        <v>46067</v>
      </c>
      <c r="C120" s="333" t="s">
        <v>140</v>
      </c>
      <c r="D120" s="41">
        <v>73072613</v>
      </c>
      <c r="E120" s="73">
        <v>62.8</v>
      </c>
      <c r="F120" s="272">
        <v>545.36</v>
      </c>
      <c r="G120" s="42">
        <f>E120*F120</f>
        <v>34248.608</v>
      </c>
      <c r="H120" s="32">
        <v>43524.16</v>
      </c>
      <c r="I120" s="103">
        <f>E120*H120</f>
        <v>2733317.248</v>
      </c>
      <c r="J120" s="34" t="s">
        <v>120</v>
      </c>
      <c r="K120" s="74" t="s">
        <v>121</v>
      </c>
      <c r="L120" s="43"/>
      <c r="M120" s="44"/>
      <c r="N120" s="41"/>
      <c r="O120" s="41"/>
      <c r="P120" s="45"/>
      <c r="Q120" s="44"/>
      <c r="R120" s="41"/>
      <c r="S120" s="41"/>
      <c r="T120" s="41"/>
      <c r="U120" s="45"/>
    </row>
    <row r="121" ht="17.25" customHeight="1" spans="1:21">
      <c r="A121" s="44">
        <f>A120+1</f>
        <v>109</v>
      </c>
      <c r="B121" s="72">
        <v>46067</v>
      </c>
      <c r="C121" s="333" t="s">
        <v>140</v>
      </c>
      <c r="D121" s="41">
        <v>73105306</v>
      </c>
      <c r="E121" s="101">
        <v>62.9</v>
      </c>
      <c r="F121" s="272">
        <v>545.36</v>
      </c>
      <c r="G121" s="42">
        <f>E121*F121</f>
        <v>34303.144</v>
      </c>
      <c r="H121" s="32">
        <v>43524.16</v>
      </c>
      <c r="I121" s="103">
        <f>E121*H121</f>
        <v>2737669.664</v>
      </c>
      <c r="J121" s="34" t="s">
        <v>120</v>
      </c>
      <c r="K121" s="74" t="s">
        <v>121</v>
      </c>
      <c r="L121" s="43"/>
      <c r="M121" s="44"/>
      <c r="N121" s="41"/>
      <c r="O121" s="41"/>
      <c r="P121" s="45"/>
      <c r="Q121" s="44"/>
      <c r="R121" s="41"/>
      <c r="S121" s="41"/>
      <c r="T121" s="41"/>
      <c r="U121" s="45"/>
    </row>
    <row r="122" ht="17.25" customHeight="1" spans="1:21">
      <c r="A122" s="44">
        <f>A121+1</f>
        <v>110</v>
      </c>
      <c r="B122" s="72">
        <v>46067</v>
      </c>
      <c r="C122" s="333" t="s">
        <v>140</v>
      </c>
      <c r="D122" s="41">
        <v>73213803</v>
      </c>
      <c r="E122" s="73">
        <v>62.45</v>
      </c>
      <c r="F122" s="272">
        <v>545.36</v>
      </c>
      <c r="G122" s="42">
        <f>E122*F122</f>
        <v>34057.732</v>
      </c>
      <c r="H122" s="32">
        <v>43524.16</v>
      </c>
      <c r="I122" s="103">
        <f>E122*H122</f>
        <v>2718083.792</v>
      </c>
      <c r="J122" s="34" t="s">
        <v>120</v>
      </c>
      <c r="K122" s="74" t="s">
        <v>121</v>
      </c>
      <c r="L122" s="43"/>
      <c r="M122" s="44"/>
      <c r="N122" s="41"/>
      <c r="O122" s="41"/>
      <c r="P122" s="45"/>
      <c r="Q122" s="44"/>
      <c r="R122" s="41"/>
      <c r="S122" s="41"/>
      <c r="T122" s="41"/>
      <c r="U122" s="45"/>
    </row>
    <row r="123" ht="17.25" customHeight="1" spans="1:21">
      <c r="A123" s="44">
        <f>A122+1</f>
        <v>111</v>
      </c>
      <c r="B123" s="72">
        <v>46067</v>
      </c>
      <c r="C123" s="333" t="s">
        <v>140</v>
      </c>
      <c r="D123" s="41">
        <v>73274086</v>
      </c>
      <c r="E123" s="73">
        <v>62.65</v>
      </c>
      <c r="F123" s="272">
        <v>545.36</v>
      </c>
      <c r="G123" s="42">
        <f>E123*F123</f>
        <v>34166.804</v>
      </c>
      <c r="H123" s="32">
        <v>43524.16</v>
      </c>
      <c r="I123" s="103">
        <f>E123*H123</f>
        <v>2726788.624</v>
      </c>
      <c r="J123" s="34" t="s">
        <v>120</v>
      </c>
      <c r="K123" s="74" t="s">
        <v>121</v>
      </c>
      <c r="L123" s="43"/>
      <c r="M123" s="44"/>
      <c r="N123" s="41"/>
      <c r="O123" s="41"/>
      <c r="P123" s="45"/>
      <c r="Q123" s="44"/>
      <c r="R123" s="41"/>
      <c r="S123" s="41"/>
      <c r="T123" s="41"/>
      <c r="U123" s="45"/>
    </row>
    <row r="124" ht="17.25" customHeight="1" spans="1:21">
      <c r="A124" s="44">
        <f>A123+1</f>
        <v>112</v>
      </c>
      <c r="B124" s="72">
        <v>46067</v>
      </c>
      <c r="C124" s="333" t="s">
        <v>140</v>
      </c>
      <c r="D124" s="41">
        <v>73724080</v>
      </c>
      <c r="E124" s="73">
        <v>60.65</v>
      </c>
      <c r="F124" s="272">
        <v>545.36</v>
      </c>
      <c r="G124" s="42">
        <f>E124*F124</f>
        <v>33076.084</v>
      </c>
      <c r="H124" s="32">
        <v>43524.16</v>
      </c>
      <c r="I124" s="103">
        <f>E124*H124</f>
        <v>2639740.304</v>
      </c>
      <c r="J124" s="34" t="s">
        <v>120</v>
      </c>
      <c r="K124" s="74" t="s">
        <v>121</v>
      </c>
      <c r="L124" s="43"/>
      <c r="M124" s="44"/>
      <c r="N124" s="41"/>
      <c r="O124" s="41"/>
      <c r="P124" s="45"/>
      <c r="Q124" s="44"/>
      <c r="R124" s="41"/>
      <c r="S124" s="41"/>
      <c r="T124" s="41"/>
      <c r="U124" s="45"/>
    </row>
    <row r="125" ht="17.25" customHeight="1" spans="1:21">
      <c r="A125" s="44">
        <f>A124+1</f>
        <v>113</v>
      </c>
      <c r="B125" s="72">
        <v>46067</v>
      </c>
      <c r="C125" s="333" t="s">
        <v>140</v>
      </c>
      <c r="D125" s="41">
        <v>74996380</v>
      </c>
      <c r="E125" s="73">
        <v>63.75</v>
      </c>
      <c r="F125" s="272">
        <v>545.36</v>
      </c>
      <c r="G125" s="42">
        <f>E125*F125</f>
        <v>34766.7</v>
      </c>
      <c r="H125" s="32">
        <v>43524.16</v>
      </c>
      <c r="I125" s="103">
        <f>E125*H125</f>
        <v>2774665.2</v>
      </c>
      <c r="J125" s="34" t="s">
        <v>120</v>
      </c>
      <c r="K125" s="74" t="s">
        <v>121</v>
      </c>
      <c r="L125" s="43"/>
      <c r="M125" s="44"/>
      <c r="N125" s="41"/>
      <c r="O125" s="41"/>
      <c r="P125" s="45"/>
      <c r="Q125" s="44"/>
      <c r="R125" s="41"/>
      <c r="S125" s="41"/>
      <c r="T125" s="41"/>
      <c r="U125" s="45"/>
    </row>
    <row r="126" ht="17.25" customHeight="1" spans="1:21">
      <c r="A126" s="44">
        <f>A125+1</f>
        <v>114</v>
      </c>
      <c r="B126" s="72">
        <v>46067</v>
      </c>
      <c r="C126" s="333" t="s">
        <v>140</v>
      </c>
      <c r="D126" s="41">
        <v>75107631</v>
      </c>
      <c r="E126" s="73">
        <v>63.4</v>
      </c>
      <c r="F126" s="272">
        <v>545.36</v>
      </c>
      <c r="G126" s="42">
        <f>E126*F126</f>
        <v>34575.824</v>
      </c>
      <c r="H126" s="32">
        <v>43524.16</v>
      </c>
      <c r="I126" s="103">
        <f>E126*H126</f>
        <v>2759431.744</v>
      </c>
      <c r="J126" s="34" t="s">
        <v>120</v>
      </c>
      <c r="K126" s="74" t="s">
        <v>121</v>
      </c>
      <c r="L126" s="43"/>
      <c r="M126" s="44"/>
      <c r="N126" s="41"/>
      <c r="O126" s="41"/>
      <c r="P126" s="45"/>
      <c r="Q126" s="44"/>
      <c r="R126" s="41"/>
      <c r="S126" s="41"/>
      <c r="T126" s="41"/>
      <c r="U126" s="45"/>
    </row>
    <row r="127" ht="17.25" customHeight="1" spans="1:21">
      <c r="A127" s="44">
        <f>A126+1</f>
        <v>115</v>
      </c>
      <c r="B127" s="72">
        <v>46067</v>
      </c>
      <c r="C127" s="333" t="s">
        <v>140</v>
      </c>
      <c r="D127" s="41">
        <v>75218834</v>
      </c>
      <c r="E127" s="73">
        <v>63.15</v>
      </c>
      <c r="F127" s="272">
        <v>545.36</v>
      </c>
      <c r="G127" s="42">
        <f>E127*F127</f>
        <v>34439.484</v>
      </c>
      <c r="H127" s="32">
        <v>43524.16</v>
      </c>
      <c r="I127" s="103">
        <f>E127*H127</f>
        <v>2748550.704</v>
      </c>
      <c r="J127" s="34" t="s">
        <v>120</v>
      </c>
      <c r="K127" s="74" t="s">
        <v>121</v>
      </c>
      <c r="L127" s="43"/>
      <c r="M127" s="44"/>
      <c r="N127" s="41"/>
      <c r="O127" s="41"/>
      <c r="P127" s="45"/>
      <c r="Q127" s="44"/>
      <c r="R127" s="41"/>
      <c r="S127" s="41"/>
      <c r="T127" s="41"/>
      <c r="U127" s="45"/>
    </row>
    <row r="128" ht="17.25" customHeight="1" spans="1:21">
      <c r="A128" s="44">
        <f>A127+1</f>
        <v>116</v>
      </c>
      <c r="B128" s="72">
        <v>46067</v>
      </c>
      <c r="C128" s="333" t="s">
        <v>140</v>
      </c>
      <c r="D128" s="41">
        <v>75237453</v>
      </c>
      <c r="E128" s="73">
        <v>64</v>
      </c>
      <c r="F128" s="272">
        <v>545.36</v>
      </c>
      <c r="G128" s="42">
        <f>E128*F128</f>
        <v>34903.04</v>
      </c>
      <c r="H128" s="32">
        <v>43524.16</v>
      </c>
      <c r="I128" s="103">
        <f>E128*H128</f>
        <v>2785546.24</v>
      </c>
      <c r="J128" s="34" t="s">
        <v>120</v>
      </c>
      <c r="K128" s="74" t="s">
        <v>121</v>
      </c>
      <c r="L128" s="43"/>
      <c r="M128" s="44"/>
      <c r="N128" s="41"/>
      <c r="O128" s="41"/>
      <c r="P128" s="45"/>
      <c r="Q128" s="44"/>
      <c r="R128" s="41"/>
      <c r="S128" s="41"/>
      <c r="T128" s="41"/>
      <c r="U128" s="45"/>
    </row>
    <row r="129" ht="17.25" customHeight="1" spans="1:21">
      <c r="A129" s="51">
        <f>A128+1</f>
        <v>117</v>
      </c>
      <c r="B129" s="157">
        <v>46067</v>
      </c>
      <c r="C129" s="334" t="s">
        <v>140</v>
      </c>
      <c r="D129" s="52">
        <v>76224591</v>
      </c>
      <c r="E129" s="335">
        <v>63.4</v>
      </c>
      <c r="F129" s="336">
        <v>545.36</v>
      </c>
      <c r="G129" s="227">
        <f>E129*F129</f>
        <v>34575.824</v>
      </c>
      <c r="H129" s="337">
        <v>43524.16</v>
      </c>
      <c r="I129" s="164">
        <f>E129*H129</f>
        <v>2759431.744</v>
      </c>
      <c r="J129" s="338" t="s">
        <v>120</v>
      </c>
      <c r="K129" s="339" t="s">
        <v>121</v>
      </c>
      <c r="L129" s="83"/>
      <c r="M129" s="51"/>
      <c r="N129" s="52"/>
      <c r="O129" s="52"/>
      <c r="P129" s="53"/>
      <c r="Q129" s="51"/>
      <c r="R129" s="52"/>
      <c r="S129" s="52"/>
      <c r="T129" s="52"/>
      <c r="U129" s="53"/>
    </row>
    <row r="130" ht="15.75" spans="1:21">
      <c r="A130" s="304"/>
      <c r="B130" s="305"/>
      <c r="C130" s="305"/>
      <c r="D130" s="305"/>
      <c r="E130" s="322">
        <f>SUM(E116:E129)</f>
        <v>875.75</v>
      </c>
      <c r="F130" s="305"/>
      <c r="G130" s="323">
        <f>SUM(G116:G129)</f>
        <v>477599.02</v>
      </c>
      <c r="H130" s="324"/>
      <c r="I130" s="325">
        <f>SUM(I116:I129)</f>
        <v>38116283.12</v>
      </c>
      <c r="J130" s="326"/>
      <c r="K130" s="340"/>
      <c r="L130" s="326"/>
      <c r="M130" s="304"/>
      <c r="N130" s="305"/>
      <c r="O130" s="305"/>
      <c r="P130" s="306"/>
      <c r="Q130" s="307"/>
      <c r="R130" s="305"/>
      <c r="S130" s="305"/>
      <c r="T130" s="305"/>
      <c r="U130" s="306"/>
    </row>
    <row r="131" ht="18.75" customHeight="1" spans="1:21">
      <c r="A131" s="37">
        <v>118</v>
      </c>
      <c r="B131" s="115">
        <v>46068</v>
      </c>
      <c r="C131" s="327" t="s">
        <v>141</v>
      </c>
      <c r="D131" s="38">
        <v>50163302</v>
      </c>
      <c r="E131" s="328">
        <v>62.05</v>
      </c>
      <c r="F131" s="288">
        <v>545.36</v>
      </c>
      <c r="G131" s="181">
        <f>E131*F131</f>
        <v>33839.588</v>
      </c>
      <c r="H131" s="119">
        <v>43524.16</v>
      </c>
      <c r="I131" s="120">
        <f>E131*H131</f>
        <v>2700674.128</v>
      </c>
      <c r="J131" s="121" t="s">
        <v>120</v>
      </c>
      <c r="K131" s="122" t="s">
        <v>121</v>
      </c>
      <c r="L131" s="179"/>
      <c r="M131" s="37"/>
      <c r="N131" s="38"/>
      <c r="O131" s="38"/>
      <c r="P131" s="39"/>
      <c r="Q131" s="37"/>
      <c r="R131" s="38"/>
      <c r="S131" s="38"/>
      <c r="T131" s="38"/>
      <c r="U131" s="39"/>
    </row>
    <row r="132" ht="18.75" customHeight="1" spans="1:21">
      <c r="A132" s="44">
        <f>A131+1</f>
        <v>119</v>
      </c>
      <c r="B132" s="72">
        <v>46068</v>
      </c>
      <c r="C132" s="333" t="s">
        <v>141</v>
      </c>
      <c r="D132" s="41">
        <v>54703004</v>
      </c>
      <c r="E132" s="73">
        <v>61.8</v>
      </c>
      <c r="F132" s="272">
        <v>545.36</v>
      </c>
      <c r="G132" s="42">
        <f>E132*F132</f>
        <v>33703.248</v>
      </c>
      <c r="H132" s="32">
        <v>43524.16</v>
      </c>
      <c r="I132" s="103">
        <f>E132*H132</f>
        <v>2689793.088</v>
      </c>
      <c r="J132" s="34" t="s">
        <v>120</v>
      </c>
      <c r="K132" s="74" t="s">
        <v>121</v>
      </c>
      <c r="L132" s="89"/>
      <c r="M132" s="44"/>
      <c r="N132" s="41"/>
      <c r="O132" s="41"/>
      <c r="P132" s="45"/>
      <c r="Q132" s="44"/>
      <c r="R132" s="41"/>
      <c r="S132" s="41"/>
      <c r="T132" s="41"/>
      <c r="U132" s="45"/>
    </row>
    <row r="133" ht="18.75" customHeight="1" spans="1:21">
      <c r="A133" s="44">
        <f>A132+1</f>
        <v>120</v>
      </c>
      <c r="B133" s="72">
        <v>46068</v>
      </c>
      <c r="C133" s="333" t="s">
        <v>141</v>
      </c>
      <c r="D133" s="41">
        <v>57028557</v>
      </c>
      <c r="E133" s="73">
        <v>61.05</v>
      </c>
      <c r="F133" s="272">
        <v>545.36</v>
      </c>
      <c r="G133" s="42">
        <f>E133*F133</f>
        <v>33294.228</v>
      </c>
      <c r="H133" s="32">
        <v>43524.16</v>
      </c>
      <c r="I133" s="103">
        <f>E133*H133</f>
        <v>2657149.968</v>
      </c>
      <c r="J133" s="34" t="s">
        <v>120</v>
      </c>
      <c r="K133" s="74" t="s">
        <v>121</v>
      </c>
      <c r="L133" s="89"/>
      <c r="M133" s="44"/>
      <c r="N133" s="41"/>
      <c r="O133" s="41"/>
      <c r="P133" s="45"/>
      <c r="Q133" s="44"/>
      <c r="R133" s="41"/>
      <c r="S133" s="41"/>
      <c r="T133" s="41"/>
      <c r="U133" s="45"/>
    </row>
    <row r="134" ht="18.75" customHeight="1" spans="1:21">
      <c r="A134" s="44">
        <f>A133+1</f>
        <v>121</v>
      </c>
      <c r="B134" s="72">
        <v>46068</v>
      </c>
      <c r="C134" s="333" t="s">
        <v>141</v>
      </c>
      <c r="D134" s="41">
        <v>57173221</v>
      </c>
      <c r="E134" s="73">
        <v>62.75</v>
      </c>
      <c r="F134" s="272">
        <v>545.36</v>
      </c>
      <c r="G134" s="42">
        <f>E134*F134</f>
        <v>34221.34</v>
      </c>
      <c r="H134" s="32">
        <v>43524.16</v>
      </c>
      <c r="I134" s="103">
        <f>E134*H134</f>
        <v>2731141.04</v>
      </c>
      <c r="J134" s="34" t="s">
        <v>120</v>
      </c>
      <c r="K134" s="74" t="s">
        <v>121</v>
      </c>
      <c r="L134" s="89"/>
      <c r="M134" s="44"/>
      <c r="N134" s="41"/>
      <c r="O134" s="41"/>
      <c r="P134" s="45"/>
      <c r="Q134" s="44"/>
      <c r="R134" s="41"/>
      <c r="S134" s="41"/>
      <c r="T134" s="41"/>
      <c r="U134" s="45"/>
    </row>
    <row r="135" ht="18.75" customHeight="1" spans="1:21">
      <c r="A135" s="44">
        <f>A134+1</f>
        <v>122</v>
      </c>
      <c r="B135" s="72">
        <v>46068</v>
      </c>
      <c r="C135" s="333" t="s">
        <v>141</v>
      </c>
      <c r="D135" s="41">
        <v>57272742</v>
      </c>
      <c r="E135" s="73">
        <v>62.5</v>
      </c>
      <c r="F135" s="272">
        <v>545.36</v>
      </c>
      <c r="G135" s="42">
        <f>E135*F135</f>
        <v>34085</v>
      </c>
      <c r="H135" s="32">
        <v>43524.16</v>
      </c>
      <c r="I135" s="103">
        <f>E135*H135</f>
        <v>2720260</v>
      </c>
      <c r="J135" s="34" t="s">
        <v>120</v>
      </c>
      <c r="K135" s="74" t="s">
        <v>121</v>
      </c>
      <c r="L135" s="89"/>
      <c r="M135" s="44"/>
      <c r="N135" s="41"/>
      <c r="O135" s="41"/>
      <c r="P135" s="45"/>
      <c r="Q135" s="44"/>
      <c r="R135" s="41"/>
      <c r="S135" s="41"/>
      <c r="T135" s="41"/>
      <c r="U135" s="45"/>
    </row>
    <row r="136" ht="18.75" customHeight="1" spans="1:21">
      <c r="A136" s="44">
        <f>A135+1</f>
        <v>123</v>
      </c>
      <c r="B136" s="72">
        <v>46068</v>
      </c>
      <c r="C136" s="333" t="s">
        <v>141</v>
      </c>
      <c r="D136" s="41">
        <v>57333858</v>
      </c>
      <c r="E136" s="73">
        <v>62.35</v>
      </c>
      <c r="F136" s="272">
        <v>545.36</v>
      </c>
      <c r="G136" s="42">
        <f>E136*F136</f>
        <v>34003.196</v>
      </c>
      <c r="H136" s="32">
        <v>43524.16</v>
      </c>
      <c r="I136" s="103">
        <f>E136*H136</f>
        <v>2713731.376</v>
      </c>
      <c r="J136" s="34" t="s">
        <v>120</v>
      </c>
      <c r="K136" s="74" t="s">
        <v>121</v>
      </c>
      <c r="L136" s="89"/>
      <c r="M136" s="44"/>
      <c r="N136" s="41"/>
      <c r="O136" s="41"/>
      <c r="P136" s="45"/>
      <c r="Q136" s="44"/>
      <c r="R136" s="41"/>
      <c r="S136" s="41"/>
      <c r="T136" s="41"/>
      <c r="U136" s="45"/>
    </row>
    <row r="137" ht="18.75" customHeight="1" spans="1:21">
      <c r="A137" s="44">
        <f>A136+1</f>
        <v>124</v>
      </c>
      <c r="B137" s="72">
        <v>46068</v>
      </c>
      <c r="C137" s="333" t="s">
        <v>141</v>
      </c>
      <c r="D137" s="41">
        <v>73965311</v>
      </c>
      <c r="E137" s="73">
        <v>62.25</v>
      </c>
      <c r="F137" s="272">
        <v>545.36</v>
      </c>
      <c r="G137" s="42">
        <f>E137*F137</f>
        <v>33948.66</v>
      </c>
      <c r="H137" s="32">
        <v>43524.16</v>
      </c>
      <c r="I137" s="103">
        <f>E137*H137</f>
        <v>2709378.96</v>
      </c>
      <c r="J137" s="34" t="s">
        <v>120</v>
      </c>
      <c r="K137" s="74" t="s">
        <v>121</v>
      </c>
      <c r="L137" s="89"/>
      <c r="M137" s="44"/>
      <c r="N137" s="41"/>
      <c r="O137" s="41"/>
      <c r="P137" s="45"/>
      <c r="Q137" s="44"/>
      <c r="R137" s="41"/>
      <c r="S137" s="41"/>
      <c r="T137" s="41"/>
      <c r="U137" s="45"/>
    </row>
    <row r="138" ht="18.75" customHeight="1" spans="1:21">
      <c r="A138" s="44">
        <f>A137+1</f>
        <v>125</v>
      </c>
      <c r="B138" s="72">
        <v>46068</v>
      </c>
      <c r="C138" s="333" t="s">
        <v>141</v>
      </c>
      <c r="D138" s="41">
        <v>74038852</v>
      </c>
      <c r="E138" s="73">
        <v>62.6</v>
      </c>
      <c r="F138" s="272">
        <v>545.36</v>
      </c>
      <c r="G138" s="42">
        <f>E138*F138</f>
        <v>34139.536</v>
      </c>
      <c r="H138" s="32">
        <v>43524.16</v>
      </c>
      <c r="I138" s="103">
        <f>E138*H138</f>
        <v>2724612.416</v>
      </c>
      <c r="J138" s="34" t="s">
        <v>120</v>
      </c>
      <c r="K138" s="74" t="s">
        <v>121</v>
      </c>
      <c r="L138" s="89"/>
      <c r="M138" s="44"/>
      <c r="N138" s="41"/>
      <c r="O138" s="41"/>
      <c r="P138" s="45"/>
      <c r="Q138" s="44"/>
      <c r="R138" s="41"/>
      <c r="S138" s="41"/>
      <c r="T138" s="41"/>
      <c r="U138" s="45"/>
    </row>
    <row r="139" ht="18.75" customHeight="1" spans="1:21">
      <c r="A139" s="51">
        <f>A138+1</f>
        <v>126</v>
      </c>
      <c r="B139" s="157">
        <v>46068</v>
      </c>
      <c r="C139" s="334" t="s">
        <v>141</v>
      </c>
      <c r="D139" s="52">
        <v>74952177</v>
      </c>
      <c r="E139" s="335">
        <v>60.15</v>
      </c>
      <c r="F139" s="289">
        <v>545.36</v>
      </c>
      <c r="G139" s="182">
        <f>E139*F139</f>
        <v>32803.404</v>
      </c>
      <c r="H139" s="275">
        <v>43524.16</v>
      </c>
      <c r="I139" s="184">
        <f>E139*H139</f>
        <v>2617978.224</v>
      </c>
      <c r="J139" s="165" t="s">
        <v>120</v>
      </c>
      <c r="K139" s="185" t="s">
        <v>121</v>
      </c>
      <c r="L139" s="180"/>
      <c r="M139" s="51"/>
      <c r="N139" s="52"/>
      <c r="O139" s="52"/>
      <c r="P139" s="53"/>
      <c r="Q139" s="51"/>
      <c r="R139" s="52"/>
      <c r="S139" s="52"/>
      <c r="T139" s="52"/>
      <c r="U139" s="53"/>
    </row>
    <row r="140" ht="15.75" spans="1:21">
      <c r="A140" s="304"/>
      <c r="B140" s="305"/>
      <c r="C140" s="305"/>
      <c r="D140" s="305"/>
      <c r="E140" s="322">
        <f>SUM(E131:E139)</f>
        <v>557.5</v>
      </c>
      <c r="F140" s="305"/>
      <c r="G140" s="323">
        <f>SUM(G131:G139)</f>
        <v>304038.2</v>
      </c>
      <c r="H140" s="324"/>
      <c r="I140" s="325">
        <f>SUM(I131:I139)</f>
        <v>24264719.2</v>
      </c>
      <c r="J140" s="326"/>
      <c r="K140" s="340"/>
      <c r="L140" s="326"/>
      <c r="M140" s="304"/>
      <c r="N140" s="305"/>
      <c r="O140" s="305"/>
      <c r="P140" s="306"/>
      <c r="Q140" s="307"/>
      <c r="R140" s="305"/>
      <c r="S140" s="305"/>
      <c r="T140" s="305"/>
      <c r="U140" s="306"/>
    </row>
    <row r="141" ht="15.75" customHeight="1" spans="1:21">
      <c r="A141" s="37">
        <v>127</v>
      </c>
      <c r="B141" s="115">
        <v>46068</v>
      </c>
      <c r="C141" s="327" t="s">
        <v>142</v>
      </c>
      <c r="D141" s="38">
        <v>52099595</v>
      </c>
      <c r="E141" s="328">
        <v>62.6</v>
      </c>
      <c r="F141" s="288">
        <v>545.36</v>
      </c>
      <c r="G141" s="181">
        <f>E141*F141</f>
        <v>34139.536</v>
      </c>
      <c r="H141" s="119">
        <v>43524.16</v>
      </c>
      <c r="I141" s="120">
        <f>E141*H141</f>
        <v>2724612.416</v>
      </c>
      <c r="J141" s="121" t="s">
        <v>120</v>
      </c>
      <c r="K141" s="122" t="s">
        <v>121</v>
      </c>
      <c r="L141" s="39"/>
      <c r="M141" s="37"/>
      <c r="N141" s="38"/>
      <c r="O141" s="38"/>
      <c r="P141" s="39"/>
      <c r="Q141" s="37"/>
      <c r="R141" s="38"/>
      <c r="S141" s="38"/>
      <c r="T141" s="38"/>
      <c r="U141" s="39"/>
    </row>
    <row r="142" ht="15.75" customHeight="1" spans="1:21">
      <c r="A142" s="44">
        <f>A141+1</f>
        <v>128</v>
      </c>
      <c r="B142" s="72">
        <v>46068</v>
      </c>
      <c r="C142" s="333" t="s">
        <v>142</v>
      </c>
      <c r="D142" s="41">
        <v>57333684</v>
      </c>
      <c r="E142" s="73">
        <v>62.45</v>
      </c>
      <c r="F142" s="272">
        <v>545.36</v>
      </c>
      <c r="G142" s="42">
        <f>E142*F142</f>
        <v>34057.732</v>
      </c>
      <c r="H142" s="32">
        <v>43524.16</v>
      </c>
      <c r="I142" s="103">
        <f>E142*H142</f>
        <v>2718083.792</v>
      </c>
      <c r="J142" s="34" t="s">
        <v>120</v>
      </c>
      <c r="K142" s="74" t="s">
        <v>121</v>
      </c>
      <c r="L142" s="45"/>
      <c r="M142" s="44"/>
      <c r="N142" s="41"/>
      <c r="O142" s="41"/>
      <c r="P142" s="45"/>
      <c r="Q142" s="44"/>
      <c r="R142" s="41"/>
      <c r="S142" s="41"/>
      <c r="T142" s="41"/>
      <c r="U142" s="45"/>
    </row>
    <row r="143" ht="15.75" customHeight="1" spans="1:21">
      <c r="A143" s="44">
        <f>A142+1</f>
        <v>129</v>
      </c>
      <c r="B143" s="72">
        <v>46068</v>
      </c>
      <c r="C143" s="333" t="s">
        <v>142</v>
      </c>
      <c r="D143" s="41">
        <v>58641887</v>
      </c>
      <c r="E143" s="73">
        <v>62.15</v>
      </c>
      <c r="F143" s="272">
        <v>545.36</v>
      </c>
      <c r="G143" s="42">
        <f>E143*F143</f>
        <v>33894.124</v>
      </c>
      <c r="H143" s="32">
        <v>43524.16</v>
      </c>
      <c r="I143" s="103">
        <f>E143*H143</f>
        <v>2705026.544</v>
      </c>
      <c r="J143" s="34" t="s">
        <v>120</v>
      </c>
      <c r="K143" s="74" t="s">
        <v>121</v>
      </c>
      <c r="L143" s="45"/>
      <c r="M143" s="44"/>
      <c r="N143" s="41"/>
      <c r="O143" s="41"/>
      <c r="P143" s="45"/>
      <c r="Q143" s="44"/>
      <c r="R143" s="41"/>
      <c r="S143" s="41"/>
      <c r="T143" s="41"/>
      <c r="U143" s="45"/>
    </row>
    <row r="144" ht="15.75" customHeight="1" spans="1:21">
      <c r="A144" s="44">
        <f>A143+1</f>
        <v>130</v>
      </c>
      <c r="B144" s="72">
        <v>46068</v>
      </c>
      <c r="C144" s="333" t="s">
        <v>142</v>
      </c>
      <c r="D144" s="41">
        <v>71047153</v>
      </c>
      <c r="E144" s="73">
        <v>63.95</v>
      </c>
      <c r="F144" s="272">
        <v>545.36</v>
      </c>
      <c r="G144" s="42">
        <f>E144*F144</f>
        <v>34875.772</v>
      </c>
      <c r="H144" s="32">
        <v>43524.16</v>
      </c>
      <c r="I144" s="103">
        <f>E144*H144</f>
        <v>2783370.032</v>
      </c>
      <c r="J144" s="34" t="s">
        <v>120</v>
      </c>
      <c r="K144" s="74" t="s">
        <v>121</v>
      </c>
      <c r="L144" s="45"/>
      <c r="M144" s="44"/>
      <c r="N144" s="41"/>
      <c r="O144" s="41"/>
      <c r="P144" s="45"/>
      <c r="Q144" s="44"/>
      <c r="R144" s="41"/>
      <c r="S144" s="41"/>
      <c r="T144" s="41"/>
      <c r="U144" s="45"/>
    </row>
    <row r="145" spans="1:21">
      <c r="A145" s="44">
        <f>A144+1</f>
        <v>131</v>
      </c>
      <c r="B145" s="72">
        <v>46068</v>
      </c>
      <c r="C145" s="333" t="s">
        <v>142</v>
      </c>
      <c r="D145" s="41">
        <v>71047179</v>
      </c>
      <c r="E145" s="73">
        <v>63.55</v>
      </c>
      <c r="F145" s="272">
        <v>545.36</v>
      </c>
      <c r="G145" s="42">
        <f>E145*F145</f>
        <v>34657.628</v>
      </c>
      <c r="H145" s="32">
        <v>43524.16</v>
      </c>
      <c r="I145" s="103">
        <f>E145*H145</f>
        <v>2765960.368</v>
      </c>
      <c r="J145" s="34" t="s">
        <v>120</v>
      </c>
      <c r="K145" s="74" t="s">
        <v>121</v>
      </c>
      <c r="L145" s="45"/>
      <c r="M145" s="44"/>
      <c r="N145" s="41"/>
      <c r="O145" s="41"/>
      <c r="P145" s="45"/>
      <c r="Q145" s="44"/>
      <c r="R145" s="41"/>
      <c r="S145" s="41"/>
      <c r="T145" s="41"/>
      <c r="U145" s="45"/>
    </row>
    <row r="146" spans="1:21">
      <c r="A146" s="44">
        <f>A145+1</f>
        <v>132</v>
      </c>
      <c r="B146" s="72">
        <v>46068</v>
      </c>
      <c r="C146" s="333" t="s">
        <v>142</v>
      </c>
      <c r="D146" s="41">
        <v>71047252</v>
      </c>
      <c r="E146" s="73">
        <v>63.45</v>
      </c>
      <c r="F146" s="272">
        <v>545.36</v>
      </c>
      <c r="G146" s="42">
        <f>E146*F146</f>
        <v>34603.092</v>
      </c>
      <c r="H146" s="32">
        <v>43524.16</v>
      </c>
      <c r="I146" s="103">
        <f>E146*H146</f>
        <v>2761607.952</v>
      </c>
      <c r="J146" s="34" t="s">
        <v>120</v>
      </c>
      <c r="K146" s="74" t="s">
        <v>121</v>
      </c>
      <c r="L146" s="45"/>
      <c r="M146" s="44"/>
      <c r="N146" s="41"/>
      <c r="O146" s="41"/>
      <c r="P146" s="45"/>
      <c r="Q146" s="44"/>
      <c r="R146" s="41"/>
      <c r="S146" s="41"/>
      <c r="T146" s="41"/>
      <c r="U146" s="45"/>
    </row>
    <row r="147" spans="1:21">
      <c r="A147" s="44">
        <f>A146+1</f>
        <v>133</v>
      </c>
      <c r="B147" s="72">
        <v>46068</v>
      </c>
      <c r="C147" s="333" t="s">
        <v>142</v>
      </c>
      <c r="D147" s="41">
        <v>71047427</v>
      </c>
      <c r="E147" s="73">
        <v>62.9</v>
      </c>
      <c r="F147" s="272">
        <v>545.36</v>
      </c>
      <c r="G147" s="42">
        <f>E147*F147</f>
        <v>34303.144</v>
      </c>
      <c r="H147" s="32">
        <v>43524.16</v>
      </c>
      <c r="I147" s="103">
        <f>E147*H147</f>
        <v>2737669.664</v>
      </c>
      <c r="J147" s="34" t="s">
        <v>120</v>
      </c>
      <c r="K147" s="74" t="s">
        <v>121</v>
      </c>
      <c r="L147" s="45"/>
      <c r="M147" s="44"/>
      <c r="N147" s="41"/>
      <c r="O147" s="41"/>
      <c r="P147" s="45"/>
      <c r="Q147" s="44"/>
      <c r="R147" s="41"/>
      <c r="S147" s="41"/>
      <c r="T147" s="41"/>
      <c r="U147" s="45"/>
    </row>
    <row r="148" spans="1:21">
      <c r="A148" s="44">
        <f>A147+1</f>
        <v>134</v>
      </c>
      <c r="B148" s="72">
        <v>46068</v>
      </c>
      <c r="C148" s="333" t="s">
        <v>142</v>
      </c>
      <c r="D148" s="41">
        <v>73337180</v>
      </c>
      <c r="E148" s="73">
        <v>61.15</v>
      </c>
      <c r="F148" s="272">
        <v>545.36</v>
      </c>
      <c r="G148" s="42">
        <f>E148*F148</f>
        <v>33348.764</v>
      </c>
      <c r="H148" s="32">
        <v>43524.16</v>
      </c>
      <c r="I148" s="103">
        <f>E148*H148</f>
        <v>2661502.384</v>
      </c>
      <c r="J148" s="34" t="s">
        <v>120</v>
      </c>
      <c r="K148" s="74" t="s">
        <v>121</v>
      </c>
      <c r="L148" s="45"/>
      <c r="M148" s="44"/>
      <c r="N148" s="41"/>
      <c r="O148" s="41"/>
      <c r="P148" s="45"/>
      <c r="Q148" s="44"/>
      <c r="R148" s="41"/>
      <c r="S148" s="41"/>
      <c r="T148" s="41"/>
      <c r="U148" s="45"/>
    </row>
    <row r="149" spans="1:21">
      <c r="A149" s="44">
        <f>A148+1</f>
        <v>135</v>
      </c>
      <c r="B149" s="72">
        <v>46068</v>
      </c>
      <c r="C149" s="333" t="s">
        <v>142</v>
      </c>
      <c r="D149" s="41">
        <v>74917659</v>
      </c>
      <c r="E149" s="73">
        <v>63</v>
      </c>
      <c r="F149" s="272">
        <v>545.36</v>
      </c>
      <c r="G149" s="42">
        <f>E149*F149</f>
        <v>34357.68</v>
      </c>
      <c r="H149" s="32">
        <v>43524.16</v>
      </c>
      <c r="I149" s="103">
        <f>E149*H149</f>
        <v>2742022.08</v>
      </c>
      <c r="J149" s="34" t="s">
        <v>120</v>
      </c>
      <c r="K149" s="74" t="s">
        <v>121</v>
      </c>
      <c r="L149" s="45"/>
      <c r="M149" s="44"/>
      <c r="N149" s="41"/>
      <c r="O149" s="41"/>
      <c r="P149" s="45"/>
      <c r="Q149" s="44"/>
      <c r="R149" s="41"/>
      <c r="S149" s="41"/>
      <c r="T149" s="41"/>
      <c r="U149" s="45"/>
    </row>
    <row r="150" ht="15.75" spans="1:21">
      <c r="A150" s="51">
        <f>A149+1</f>
        <v>136</v>
      </c>
      <c r="B150" s="157">
        <v>46068</v>
      </c>
      <c r="C150" s="334" t="s">
        <v>142</v>
      </c>
      <c r="D150" s="52">
        <v>75058164</v>
      </c>
      <c r="E150" s="335">
        <v>62.35</v>
      </c>
      <c r="F150" s="289">
        <v>545.36</v>
      </c>
      <c r="G150" s="182">
        <f>E150*F150</f>
        <v>34003.196</v>
      </c>
      <c r="H150" s="275">
        <v>43524.16</v>
      </c>
      <c r="I150" s="184">
        <f>E150*H150</f>
        <v>2713731.376</v>
      </c>
      <c r="J150" s="165" t="s">
        <v>120</v>
      </c>
      <c r="K150" s="185" t="s">
        <v>121</v>
      </c>
      <c r="L150" s="53"/>
      <c r="M150" s="51"/>
      <c r="N150" s="52"/>
      <c r="O150" s="52"/>
      <c r="P150" s="53"/>
      <c r="Q150" s="51"/>
      <c r="R150" s="52"/>
      <c r="S150" s="52"/>
      <c r="T150" s="52"/>
      <c r="U150" s="53"/>
    </row>
    <row r="151" ht="15.75" spans="1:21">
      <c r="A151" s="304"/>
      <c r="B151" s="305"/>
      <c r="C151" s="305"/>
      <c r="D151" s="305"/>
      <c r="E151" s="322">
        <f>SUM(E141:E150)</f>
        <v>627.55</v>
      </c>
      <c r="F151" s="305"/>
      <c r="G151" s="323">
        <f>SUM(G141:G150)</f>
        <v>342240.668</v>
      </c>
      <c r="H151" s="324"/>
      <c r="I151" s="325">
        <f>SUM(I141:I150)</f>
        <v>27313586.608</v>
      </c>
      <c r="J151" s="326"/>
      <c r="K151" s="340"/>
      <c r="L151" s="326"/>
      <c r="M151" s="304"/>
      <c r="N151" s="305"/>
      <c r="O151" s="305"/>
      <c r="P151" s="306"/>
      <c r="Q151" s="307"/>
      <c r="R151" s="305"/>
      <c r="S151" s="305"/>
      <c r="T151" s="305"/>
      <c r="U151" s="306"/>
    </row>
    <row r="152" spans="1:21">
      <c r="A152" s="37">
        <v>137</v>
      </c>
      <c r="B152" s="115">
        <v>46070</v>
      </c>
      <c r="C152" s="232">
        <v>8611077</v>
      </c>
      <c r="D152" s="177">
        <v>51151959</v>
      </c>
      <c r="E152" s="178">
        <v>56.5</v>
      </c>
      <c r="F152" s="288">
        <v>545.36</v>
      </c>
      <c r="G152" s="181">
        <f>E152*F152</f>
        <v>30812.84</v>
      </c>
      <c r="H152" s="119">
        <v>43524.16</v>
      </c>
      <c r="I152" s="120">
        <f>E152*H152</f>
        <v>2459115.04</v>
      </c>
      <c r="J152" s="210" t="s">
        <v>120</v>
      </c>
      <c r="K152" s="270" t="s">
        <v>121</v>
      </c>
      <c r="L152" s="39"/>
      <c r="M152" s="37"/>
      <c r="N152" s="38"/>
      <c r="O152" s="38"/>
      <c r="P152" s="39"/>
      <c r="Q152" s="37"/>
      <c r="R152" s="38"/>
      <c r="S152" s="38"/>
      <c r="T152" s="38"/>
      <c r="U152" s="39"/>
    </row>
    <row r="153" spans="1:21">
      <c r="A153" s="44">
        <f>A152+1</f>
        <v>138</v>
      </c>
      <c r="B153" s="72">
        <v>46070</v>
      </c>
      <c r="C153" s="207">
        <v>8611077</v>
      </c>
      <c r="D153" s="28">
        <v>57057648</v>
      </c>
      <c r="E153" s="29">
        <v>61.85</v>
      </c>
      <c r="F153" s="341">
        <v>545.36</v>
      </c>
      <c r="G153" s="42">
        <f>E153*F153</f>
        <v>33730.516</v>
      </c>
      <c r="H153" s="32">
        <v>43524.16</v>
      </c>
      <c r="I153" s="103">
        <f>E153*H153</f>
        <v>2691969.296</v>
      </c>
      <c r="J153" s="273" t="s">
        <v>120</v>
      </c>
      <c r="K153" s="274" t="s">
        <v>121</v>
      </c>
      <c r="L153" s="45"/>
      <c r="M153" s="44"/>
      <c r="N153" s="41"/>
      <c r="O153" s="41"/>
      <c r="P153" s="45"/>
      <c r="Q153" s="44"/>
      <c r="R153" s="41"/>
      <c r="S153" s="41"/>
      <c r="T153" s="41"/>
      <c r="U153" s="45"/>
    </row>
    <row r="154" spans="1:21">
      <c r="A154" s="44">
        <f>A153+1</f>
        <v>139</v>
      </c>
      <c r="B154" s="72">
        <v>46070</v>
      </c>
      <c r="C154" s="207">
        <v>8611077</v>
      </c>
      <c r="D154" s="28">
        <v>71044879</v>
      </c>
      <c r="E154" s="29">
        <v>63.7</v>
      </c>
      <c r="F154" s="272">
        <v>545.36</v>
      </c>
      <c r="G154" s="42">
        <f>E154*F154</f>
        <v>34739.432</v>
      </c>
      <c r="H154" s="32">
        <v>43524.16</v>
      </c>
      <c r="I154" s="103">
        <f>E154*H154</f>
        <v>2772488.992</v>
      </c>
      <c r="J154" s="273" t="s">
        <v>120</v>
      </c>
      <c r="K154" s="274" t="s">
        <v>121</v>
      </c>
      <c r="L154" s="45"/>
      <c r="M154" s="44"/>
      <c r="N154" s="41"/>
      <c r="O154" s="41"/>
      <c r="P154" s="45"/>
      <c r="Q154" s="44"/>
      <c r="R154" s="41"/>
      <c r="S154" s="41"/>
      <c r="T154" s="41"/>
      <c r="U154" s="45"/>
    </row>
    <row r="155" spans="1:21">
      <c r="A155" s="44">
        <f>A154+1</f>
        <v>140</v>
      </c>
      <c r="B155" s="72">
        <v>46070</v>
      </c>
      <c r="C155" s="207">
        <v>8611077</v>
      </c>
      <c r="D155" s="28">
        <v>71045645</v>
      </c>
      <c r="E155" s="29">
        <v>62.95</v>
      </c>
      <c r="F155" s="272">
        <v>545.36</v>
      </c>
      <c r="G155" s="42">
        <f>E155*F155</f>
        <v>34330.412</v>
      </c>
      <c r="H155" s="32">
        <v>43524.16</v>
      </c>
      <c r="I155" s="103">
        <f>E155*H155</f>
        <v>2739845.872</v>
      </c>
      <c r="J155" s="273" t="s">
        <v>120</v>
      </c>
      <c r="K155" s="274" t="s">
        <v>121</v>
      </c>
      <c r="L155" s="45"/>
      <c r="M155" s="44"/>
      <c r="N155" s="41"/>
      <c r="O155" s="41"/>
      <c r="P155" s="45"/>
      <c r="Q155" s="44"/>
      <c r="R155" s="41"/>
      <c r="S155" s="41"/>
      <c r="T155" s="41"/>
      <c r="U155" s="45"/>
    </row>
    <row r="156" spans="1:21">
      <c r="A156" s="44">
        <f>A155+1</f>
        <v>141</v>
      </c>
      <c r="B156" s="72">
        <v>46070</v>
      </c>
      <c r="C156" s="207">
        <v>8611077</v>
      </c>
      <c r="D156" s="28">
        <v>71046106</v>
      </c>
      <c r="E156" s="29">
        <v>60.8</v>
      </c>
      <c r="F156" s="272">
        <v>545.36</v>
      </c>
      <c r="G156" s="42">
        <f>E156*F156</f>
        <v>33157.888</v>
      </c>
      <c r="H156" s="32">
        <v>43524.16</v>
      </c>
      <c r="I156" s="103">
        <f>E156*H156</f>
        <v>2646268.928</v>
      </c>
      <c r="J156" s="273" t="s">
        <v>120</v>
      </c>
      <c r="K156" s="274" t="s">
        <v>121</v>
      </c>
      <c r="L156" s="45"/>
      <c r="M156" s="44"/>
      <c r="N156" s="41"/>
      <c r="O156" s="41"/>
      <c r="P156" s="45"/>
      <c r="Q156" s="44"/>
      <c r="R156" s="41"/>
      <c r="S156" s="41"/>
      <c r="T156" s="41"/>
      <c r="U156" s="45"/>
    </row>
    <row r="157" spans="1:21">
      <c r="A157" s="44">
        <f>A156+1</f>
        <v>142</v>
      </c>
      <c r="B157" s="72">
        <v>46070</v>
      </c>
      <c r="C157" s="207">
        <v>8611077</v>
      </c>
      <c r="D157" s="28">
        <v>71047146</v>
      </c>
      <c r="E157" s="29">
        <v>65.2</v>
      </c>
      <c r="F157" s="272">
        <v>545.36</v>
      </c>
      <c r="G157" s="42">
        <f>E157*F157</f>
        <v>35557.472</v>
      </c>
      <c r="H157" s="32">
        <v>43524.16</v>
      </c>
      <c r="I157" s="103">
        <f>E157*H157</f>
        <v>2837775.232</v>
      </c>
      <c r="J157" s="273" t="s">
        <v>120</v>
      </c>
      <c r="K157" s="274" t="s">
        <v>121</v>
      </c>
      <c r="L157" s="45"/>
      <c r="M157" s="44"/>
      <c r="N157" s="41"/>
      <c r="O157" s="41"/>
      <c r="P157" s="45"/>
      <c r="Q157" s="44"/>
      <c r="R157" s="41"/>
      <c r="S157" s="41"/>
      <c r="T157" s="41"/>
      <c r="U157" s="45"/>
    </row>
    <row r="158" spans="1:21">
      <c r="A158" s="44">
        <f>A157+1</f>
        <v>143</v>
      </c>
      <c r="B158" s="72">
        <v>46070</v>
      </c>
      <c r="C158" s="207">
        <v>8611077</v>
      </c>
      <c r="D158" s="28">
        <v>71047377</v>
      </c>
      <c r="E158" s="29">
        <v>61.25</v>
      </c>
      <c r="F158" s="272">
        <v>545.36</v>
      </c>
      <c r="G158" s="42">
        <f>E158*F158</f>
        <v>33403.3</v>
      </c>
      <c r="H158" s="32">
        <v>43524.16</v>
      </c>
      <c r="I158" s="103">
        <f>E158*H158</f>
        <v>2665854.8</v>
      </c>
      <c r="J158" s="273" t="s">
        <v>120</v>
      </c>
      <c r="K158" s="274" t="s">
        <v>121</v>
      </c>
      <c r="L158" s="45"/>
      <c r="M158" s="44"/>
      <c r="N158" s="41"/>
      <c r="O158" s="41"/>
      <c r="P158" s="45"/>
      <c r="Q158" s="44"/>
      <c r="R158" s="41"/>
      <c r="S158" s="41"/>
      <c r="T158" s="41"/>
      <c r="U158" s="45"/>
    </row>
    <row r="159" spans="1:21">
      <c r="A159" s="44">
        <f>A158+1</f>
        <v>144</v>
      </c>
      <c r="B159" s="72">
        <v>46070</v>
      </c>
      <c r="C159" s="207">
        <v>8611077</v>
      </c>
      <c r="D159" s="28">
        <v>73981334</v>
      </c>
      <c r="E159" s="29">
        <v>58.6</v>
      </c>
      <c r="F159" s="272">
        <v>545.36</v>
      </c>
      <c r="G159" s="42">
        <f>E159*F159</f>
        <v>31958.096</v>
      </c>
      <c r="H159" s="32">
        <v>43524.16</v>
      </c>
      <c r="I159" s="103">
        <f>E159*H159</f>
        <v>2550515.776</v>
      </c>
      <c r="J159" s="273" t="s">
        <v>120</v>
      </c>
      <c r="K159" s="274" t="s">
        <v>121</v>
      </c>
      <c r="L159" s="45"/>
      <c r="M159" s="44"/>
      <c r="N159" s="41"/>
      <c r="O159" s="41"/>
      <c r="P159" s="45"/>
      <c r="Q159" s="44"/>
      <c r="R159" s="41"/>
      <c r="S159" s="41"/>
      <c r="T159" s="41"/>
      <c r="U159" s="45"/>
    </row>
    <row r="160" ht="15.75" spans="1:21">
      <c r="A160" s="75">
        <f>A159+1</f>
        <v>145</v>
      </c>
      <c r="B160" s="76">
        <v>46070</v>
      </c>
      <c r="C160" s="216">
        <v>8611077</v>
      </c>
      <c r="D160" s="47">
        <v>75052407</v>
      </c>
      <c r="E160" s="48">
        <v>62.6</v>
      </c>
      <c r="F160" s="341">
        <v>545.36</v>
      </c>
      <c r="G160" s="123">
        <f>E160*F160</f>
        <v>34139.536</v>
      </c>
      <c r="H160" s="49">
        <v>43524.16</v>
      </c>
      <c r="I160" s="106">
        <f>E160*H160</f>
        <v>2724612.416</v>
      </c>
      <c r="J160" s="273" t="s">
        <v>120</v>
      </c>
      <c r="K160" s="303" t="s">
        <v>121</v>
      </c>
      <c r="L160" s="53"/>
      <c r="M160" s="51"/>
      <c r="N160" s="52"/>
      <c r="O160" s="52"/>
      <c r="P160" s="53"/>
      <c r="Q160" s="51"/>
      <c r="R160" s="52"/>
      <c r="S160" s="52"/>
      <c r="T160" s="52"/>
      <c r="U160" s="53"/>
    </row>
    <row r="161" ht="15.75" spans="1:21">
      <c r="A161" s="279"/>
      <c r="B161" s="280"/>
      <c r="C161" s="280"/>
      <c r="D161" s="280"/>
      <c r="E161" s="281">
        <f>SUM(E152:E160)</f>
        <v>553.45</v>
      </c>
      <c r="F161" s="280"/>
      <c r="G161" s="282">
        <f>SUM(G152:G160)</f>
        <v>301829.492</v>
      </c>
      <c r="H161" s="283"/>
      <c r="I161" s="284">
        <f>SUM(I152:I160)</f>
        <v>24088446.352</v>
      </c>
      <c r="J161" s="280"/>
      <c r="K161" s="285"/>
      <c r="L161" s="326"/>
      <c r="M161" s="304"/>
      <c r="N161" s="305"/>
      <c r="O161" s="305"/>
      <c r="P161" s="306"/>
      <c r="Q161" s="307"/>
      <c r="R161" s="305"/>
      <c r="S161" s="305"/>
      <c r="T161" s="305"/>
      <c r="U161" s="306"/>
    </row>
    <row r="162" spans="1:21">
      <c r="A162" s="37">
        <v>146</v>
      </c>
      <c r="B162" s="115">
        <v>46070</v>
      </c>
      <c r="C162" s="232">
        <v>8611078</v>
      </c>
      <c r="D162" s="177">
        <v>51847507</v>
      </c>
      <c r="E162" s="178">
        <v>62.95</v>
      </c>
      <c r="F162" s="272">
        <v>545.36</v>
      </c>
      <c r="G162" s="181">
        <f>E162*F162</f>
        <v>34330.412</v>
      </c>
      <c r="H162" s="119">
        <v>43524.16</v>
      </c>
      <c r="I162" s="120">
        <f>E162*H162</f>
        <v>2739845.872</v>
      </c>
      <c r="J162" s="210" t="s">
        <v>120</v>
      </c>
      <c r="K162" s="270" t="s">
        <v>121</v>
      </c>
      <c r="L162" s="36"/>
      <c r="M162" s="40"/>
      <c r="N162" s="38"/>
      <c r="O162" s="38"/>
      <c r="P162" s="39"/>
      <c r="Q162" s="37"/>
      <c r="R162" s="38"/>
      <c r="S162" s="38"/>
      <c r="T162" s="38"/>
      <c r="U162" s="39"/>
    </row>
    <row r="163" spans="1:21">
      <c r="A163" s="44">
        <f>A162+1</f>
        <v>147</v>
      </c>
      <c r="B163" s="72">
        <v>46070</v>
      </c>
      <c r="C163" s="207">
        <v>8611078</v>
      </c>
      <c r="D163" s="28">
        <v>55950000</v>
      </c>
      <c r="E163" s="29">
        <v>63.1</v>
      </c>
      <c r="F163" s="272">
        <v>545.36</v>
      </c>
      <c r="G163" s="42">
        <f>E163*F163</f>
        <v>34412.216</v>
      </c>
      <c r="H163" s="32">
        <v>43524.16</v>
      </c>
      <c r="I163" s="103">
        <f>E163*H163</f>
        <v>2746374.496</v>
      </c>
      <c r="J163" s="273" t="s">
        <v>120</v>
      </c>
      <c r="K163" s="274" t="s">
        <v>121</v>
      </c>
      <c r="L163" s="43"/>
      <c r="M163" s="46"/>
      <c r="N163" s="41"/>
      <c r="O163" s="41"/>
      <c r="P163" s="45"/>
      <c r="Q163" s="44"/>
      <c r="R163" s="41"/>
      <c r="S163" s="41"/>
      <c r="T163" s="41"/>
      <c r="U163" s="45"/>
    </row>
    <row r="164" spans="1:21">
      <c r="A164" s="44">
        <f>A163+1</f>
        <v>148</v>
      </c>
      <c r="B164" s="72">
        <v>46070</v>
      </c>
      <c r="C164" s="207">
        <v>8611078</v>
      </c>
      <c r="D164" s="28">
        <v>57206518</v>
      </c>
      <c r="E164" s="29">
        <v>62.25</v>
      </c>
      <c r="F164" s="272">
        <v>545.36</v>
      </c>
      <c r="G164" s="42">
        <f>E164*F164</f>
        <v>33948.66</v>
      </c>
      <c r="H164" s="32">
        <v>43524.16</v>
      </c>
      <c r="I164" s="103">
        <f>E164*H164</f>
        <v>2709378.96</v>
      </c>
      <c r="J164" s="273" t="s">
        <v>120</v>
      </c>
      <c r="K164" s="274" t="s">
        <v>121</v>
      </c>
      <c r="L164" s="43"/>
      <c r="M164" s="46"/>
      <c r="N164" s="41"/>
      <c r="O164" s="41"/>
      <c r="P164" s="45"/>
      <c r="Q164" s="44"/>
      <c r="R164" s="41"/>
      <c r="S164" s="41"/>
      <c r="T164" s="41"/>
      <c r="U164" s="45"/>
    </row>
    <row r="165" spans="1:21">
      <c r="A165" s="44">
        <f>A164+1</f>
        <v>149</v>
      </c>
      <c r="B165" s="72">
        <v>46070</v>
      </c>
      <c r="C165" s="207">
        <v>8611078</v>
      </c>
      <c r="D165" s="28">
        <v>73315582</v>
      </c>
      <c r="E165" s="29">
        <v>60.95</v>
      </c>
      <c r="F165" s="272">
        <v>545.36</v>
      </c>
      <c r="G165" s="42">
        <f>E165*F165</f>
        <v>33239.692</v>
      </c>
      <c r="H165" s="32">
        <v>43524.16</v>
      </c>
      <c r="I165" s="103">
        <f>E165*H165</f>
        <v>2652797.552</v>
      </c>
      <c r="J165" s="273" t="s">
        <v>120</v>
      </c>
      <c r="K165" s="274" t="s">
        <v>121</v>
      </c>
      <c r="L165" s="43"/>
      <c r="M165" s="46"/>
      <c r="N165" s="41"/>
      <c r="O165" s="41"/>
      <c r="P165" s="45"/>
      <c r="Q165" s="44"/>
      <c r="R165" s="41"/>
      <c r="S165" s="41"/>
      <c r="T165" s="41"/>
      <c r="U165" s="45"/>
    </row>
    <row r="166" ht="15.75" spans="1:21">
      <c r="A166" s="75">
        <f>A165+1</f>
        <v>150</v>
      </c>
      <c r="B166" s="76">
        <v>46070</v>
      </c>
      <c r="C166" s="216">
        <v>8611078</v>
      </c>
      <c r="D166" s="47">
        <v>75050237</v>
      </c>
      <c r="E166" s="48">
        <v>62.5</v>
      </c>
      <c r="F166" s="272">
        <v>545.36</v>
      </c>
      <c r="G166" s="123">
        <f>E166*F166</f>
        <v>34085</v>
      </c>
      <c r="H166" s="49">
        <v>43524.16</v>
      </c>
      <c r="I166" s="106">
        <f>E166*H166</f>
        <v>2720260</v>
      </c>
      <c r="J166" s="273" t="s">
        <v>120</v>
      </c>
      <c r="K166" s="303" t="s">
        <v>121</v>
      </c>
      <c r="L166" s="83"/>
      <c r="M166" s="54"/>
      <c r="N166" s="52"/>
      <c r="O166" s="52"/>
      <c r="P166" s="53"/>
      <c r="Q166" s="51"/>
      <c r="R166" s="52"/>
      <c r="S166" s="52"/>
      <c r="T166" s="52"/>
      <c r="U166" s="53"/>
    </row>
    <row r="167" ht="15.75" spans="1:21">
      <c r="A167" s="290"/>
      <c r="B167" s="291"/>
      <c r="C167" s="291"/>
      <c r="D167" s="291"/>
      <c r="E167" s="292">
        <f>SUM(E162:E166)</f>
        <v>311.75</v>
      </c>
      <c r="F167" s="291"/>
      <c r="G167" s="293">
        <f>SUM(G162:G166)</f>
        <v>170015.98</v>
      </c>
      <c r="H167" s="294"/>
      <c r="I167" s="295">
        <f>SUM(I162:I166)</f>
        <v>13568656.88</v>
      </c>
      <c r="J167" s="297"/>
      <c r="K167" s="296"/>
      <c r="L167" s="297"/>
      <c r="M167" s="290"/>
      <c r="N167" s="291"/>
      <c r="O167" s="291"/>
      <c r="P167" s="298"/>
      <c r="Q167" s="299"/>
      <c r="R167" s="291"/>
      <c r="S167" s="291"/>
      <c r="T167" s="291"/>
      <c r="U167" s="298"/>
    </row>
    <row r="168" spans="1:21">
      <c r="A168" s="26">
        <v>151</v>
      </c>
      <c r="B168" s="27">
        <v>46071</v>
      </c>
      <c r="C168" s="221">
        <v>8611095</v>
      </c>
      <c r="D168" s="107">
        <v>50988476</v>
      </c>
      <c r="E168" s="108">
        <v>61.7</v>
      </c>
      <c r="F168" s="272">
        <v>545.36</v>
      </c>
      <c r="G168" s="30">
        <f>E168*F168</f>
        <v>33648.712</v>
      </c>
      <c r="H168" s="69">
        <v>43524.16</v>
      </c>
      <c r="I168" s="33">
        <f>E168*H168</f>
        <v>2685440.672</v>
      </c>
      <c r="J168" s="301" t="s">
        <v>120</v>
      </c>
      <c r="K168" s="302" t="s">
        <v>121</v>
      </c>
      <c r="L168" s="231"/>
      <c r="M168" s="26"/>
      <c r="N168" s="67"/>
      <c r="O168" s="67"/>
      <c r="P168" s="98"/>
      <c r="Q168" s="26"/>
      <c r="R168" s="67"/>
      <c r="S168" s="67"/>
      <c r="T168" s="67"/>
      <c r="U168" s="98"/>
    </row>
    <row r="169" spans="1:21">
      <c r="A169" s="44">
        <f>A168+1</f>
        <v>152</v>
      </c>
      <c r="B169" s="72">
        <v>46071</v>
      </c>
      <c r="C169" s="207">
        <v>8611095</v>
      </c>
      <c r="D169" s="28">
        <v>51861102</v>
      </c>
      <c r="E169" s="29">
        <v>62.75</v>
      </c>
      <c r="F169" s="272">
        <v>545.36</v>
      </c>
      <c r="G169" s="42">
        <f>E169*F169</f>
        <v>34221.34</v>
      </c>
      <c r="H169" s="32">
        <v>43524.16</v>
      </c>
      <c r="I169" s="103">
        <f>E169*H169</f>
        <v>2731141.04</v>
      </c>
      <c r="J169" s="273" t="s">
        <v>120</v>
      </c>
      <c r="K169" s="274" t="s">
        <v>121</v>
      </c>
      <c r="L169" s="43"/>
      <c r="M169" s="44"/>
      <c r="N169" s="41"/>
      <c r="O169" s="41"/>
      <c r="P169" s="45"/>
      <c r="Q169" s="44"/>
      <c r="R169" s="41"/>
      <c r="S169" s="41"/>
      <c r="T169" s="41"/>
      <c r="U169" s="45"/>
    </row>
    <row r="170" spans="1:21">
      <c r="A170" s="44">
        <f>A169+1</f>
        <v>153</v>
      </c>
      <c r="B170" s="72">
        <v>46071</v>
      </c>
      <c r="C170" s="207">
        <v>8611095</v>
      </c>
      <c r="D170" s="28">
        <v>55949226</v>
      </c>
      <c r="E170" s="29">
        <v>62.65</v>
      </c>
      <c r="F170" s="272">
        <v>545.36</v>
      </c>
      <c r="G170" s="42">
        <f>E170*F170</f>
        <v>34166.804</v>
      </c>
      <c r="H170" s="32">
        <v>43524.16</v>
      </c>
      <c r="I170" s="103">
        <f>E170*H170</f>
        <v>2726788.624</v>
      </c>
      <c r="J170" s="273" t="s">
        <v>120</v>
      </c>
      <c r="K170" s="274" t="s">
        <v>121</v>
      </c>
      <c r="L170" s="43"/>
      <c r="M170" s="44"/>
      <c r="N170" s="41"/>
      <c r="O170" s="41"/>
      <c r="P170" s="45"/>
      <c r="Q170" s="44"/>
      <c r="R170" s="41"/>
      <c r="S170" s="41"/>
      <c r="T170" s="41"/>
      <c r="U170" s="45"/>
    </row>
    <row r="171" spans="1:21">
      <c r="A171" s="44">
        <f>A170+1</f>
        <v>154</v>
      </c>
      <c r="B171" s="72">
        <v>46071</v>
      </c>
      <c r="C171" s="207">
        <v>8611095</v>
      </c>
      <c r="D171" s="28">
        <v>71049324</v>
      </c>
      <c r="E171" s="29">
        <v>64.1</v>
      </c>
      <c r="F171" s="272">
        <v>545.36</v>
      </c>
      <c r="G171" s="42">
        <f>E171*F171</f>
        <v>34957.576</v>
      </c>
      <c r="H171" s="32">
        <v>43524.16</v>
      </c>
      <c r="I171" s="103">
        <f>E171*H171</f>
        <v>2789898.656</v>
      </c>
      <c r="J171" s="273" t="s">
        <v>120</v>
      </c>
      <c r="K171" s="274" t="s">
        <v>121</v>
      </c>
      <c r="L171" s="43"/>
      <c r="M171" s="44"/>
      <c r="N171" s="41"/>
      <c r="O171" s="41"/>
      <c r="P171" s="45"/>
      <c r="Q171" s="44"/>
      <c r="R171" s="41"/>
      <c r="S171" s="41"/>
      <c r="T171" s="41"/>
      <c r="U171" s="45"/>
    </row>
    <row r="172" spans="1:21">
      <c r="A172" s="44">
        <f>A171+1</f>
        <v>155</v>
      </c>
      <c r="B172" s="72">
        <v>46071</v>
      </c>
      <c r="C172" s="207">
        <v>8611095</v>
      </c>
      <c r="D172" s="28">
        <v>73657587</v>
      </c>
      <c r="E172" s="29">
        <v>62.9</v>
      </c>
      <c r="F172" s="272">
        <v>545.36</v>
      </c>
      <c r="G172" s="42">
        <f>E172*F172</f>
        <v>34303.144</v>
      </c>
      <c r="H172" s="32">
        <v>43524.16</v>
      </c>
      <c r="I172" s="103">
        <f>E172*H172</f>
        <v>2737669.664</v>
      </c>
      <c r="J172" s="273" t="s">
        <v>120</v>
      </c>
      <c r="K172" s="274" t="s">
        <v>121</v>
      </c>
      <c r="L172" s="43"/>
      <c r="M172" s="44"/>
      <c r="N172" s="41"/>
      <c r="O172" s="41"/>
      <c r="P172" s="45"/>
      <c r="Q172" s="44"/>
      <c r="R172" s="41"/>
      <c r="S172" s="41"/>
      <c r="T172" s="41"/>
      <c r="U172" s="45"/>
    </row>
    <row r="173" spans="1:21">
      <c r="A173" s="44">
        <f>A172+1</f>
        <v>156</v>
      </c>
      <c r="B173" s="72">
        <v>46071</v>
      </c>
      <c r="C173" s="207">
        <v>8611095</v>
      </c>
      <c r="D173" s="28">
        <v>73979387</v>
      </c>
      <c r="E173" s="29">
        <v>65.65</v>
      </c>
      <c r="F173" s="272">
        <v>545.36</v>
      </c>
      <c r="G173" s="42">
        <f>E173*F173</f>
        <v>35802.884</v>
      </c>
      <c r="H173" s="32">
        <v>43524.16</v>
      </c>
      <c r="I173" s="103">
        <f>E173*H173</f>
        <v>2857361.104</v>
      </c>
      <c r="J173" s="273" t="s">
        <v>120</v>
      </c>
      <c r="K173" s="274" t="s">
        <v>121</v>
      </c>
      <c r="L173" s="43"/>
      <c r="M173" s="44"/>
      <c r="N173" s="41"/>
      <c r="O173" s="41"/>
      <c r="P173" s="45"/>
      <c r="Q173" s="44"/>
      <c r="R173" s="41"/>
      <c r="S173" s="41"/>
      <c r="T173" s="41"/>
      <c r="U173" s="45"/>
    </row>
    <row r="174" ht="15.75" spans="1:21">
      <c r="A174" s="75">
        <f>A173+1</f>
        <v>157</v>
      </c>
      <c r="B174" s="76">
        <v>46071</v>
      </c>
      <c r="C174" s="216">
        <v>8611095</v>
      </c>
      <c r="D174" s="47">
        <v>75038505</v>
      </c>
      <c r="E174" s="48">
        <v>64.45</v>
      </c>
      <c r="F174" s="272">
        <v>545.36</v>
      </c>
      <c r="G174" s="123">
        <f>E174*F174</f>
        <v>35148.452</v>
      </c>
      <c r="H174" s="49">
        <v>43524.16</v>
      </c>
      <c r="I174" s="106">
        <f>E174*H174</f>
        <v>2805132.112</v>
      </c>
      <c r="J174" s="273" t="s">
        <v>120</v>
      </c>
      <c r="K174" s="303" t="s">
        <v>121</v>
      </c>
      <c r="L174" s="83"/>
      <c r="M174" s="51"/>
      <c r="N174" s="52"/>
      <c r="O174" s="52"/>
      <c r="P174" s="53"/>
      <c r="Q174" s="51"/>
      <c r="R174" s="52"/>
      <c r="S174" s="52"/>
      <c r="T174" s="52"/>
      <c r="U174" s="53"/>
    </row>
    <row r="175" ht="15.75" spans="1:21">
      <c r="A175" s="290"/>
      <c r="B175" s="291"/>
      <c r="C175" s="291"/>
      <c r="D175" s="291"/>
      <c r="E175" s="292">
        <f>SUM(E168:E174)</f>
        <v>444.2</v>
      </c>
      <c r="F175" s="291"/>
      <c r="G175" s="293">
        <f>SUM(G168:G174)</f>
        <v>242248.912</v>
      </c>
      <c r="H175" s="294"/>
      <c r="I175" s="295">
        <f>SUM(I168:I174)</f>
        <v>19333431.872</v>
      </c>
      <c r="J175" s="291"/>
      <c r="K175" s="298"/>
      <c r="L175" s="342"/>
      <c r="M175" s="304"/>
      <c r="N175" s="305"/>
      <c r="O175" s="305"/>
      <c r="P175" s="306"/>
      <c r="Q175" s="307"/>
      <c r="R175" s="305"/>
      <c r="S175" s="305"/>
      <c r="T175" s="305"/>
      <c r="U175" s="306"/>
    </row>
    <row r="176" spans="1:21">
      <c r="A176" s="26">
        <v>158</v>
      </c>
      <c r="B176" s="27">
        <v>46072</v>
      </c>
      <c r="C176" s="221">
        <v>8611175</v>
      </c>
      <c r="D176" s="107">
        <v>50751775</v>
      </c>
      <c r="E176" s="108">
        <v>59.55</v>
      </c>
      <c r="F176" s="272">
        <v>545.36</v>
      </c>
      <c r="G176" s="30">
        <f>E176*F176</f>
        <v>32476.188</v>
      </c>
      <c r="H176" s="69">
        <v>43524.16</v>
      </c>
      <c r="I176" s="33">
        <f>E176*H176</f>
        <v>2591863.728</v>
      </c>
      <c r="J176" s="301" t="s">
        <v>120</v>
      </c>
      <c r="K176" s="302" t="s">
        <v>121</v>
      </c>
      <c r="L176" s="95"/>
      <c r="M176" s="37"/>
      <c r="N176" s="38"/>
      <c r="O176" s="38"/>
      <c r="P176" s="39"/>
      <c r="Q176" s="37"/>
      <c r="R176" s="38"/>
      <c r="S176" s="38"/>
      <c r="T176" s="38"/>
      <c r="U176" s="39"/>
    </row>
    <row r="177" spans="1:21">
      <c r="A177" s="44">
        <f>A176+1</f>
        <v>159</v>
      </c>
      <c r="B177" s="72">
        <v>46072</v>
      </c>
      <c r="C177" s="207">
        <v>8611174</v>
      </c>
      <c r="D177" s="28">
        <v>51229359</v>
      </c>
      <c r="E177" s="29">
        <v>60.55</v>
      </c>
      <c r="F177" s="272">
        <v>545.36</v>
      </c>
      <c r="G177" s="42">
        <f>E177*F177</f>
        <v>33021.548</v>
      </c>
      <c r="H177" s="32">
        <v>43524.16</v>
      </c>
      <c r="I177" s="103">
        <f>E177*H177</f>
        <v>2635387.888</v>
      </c>
      <c r="J177" s="273" t="s">
        <v>120</v>
      </c>
      <c r="K177" s="274" t="s">
        <v>121</v>
      </c>
      <c r="L177" s="89"/>
      <c r="M177" s="44"/>
      <c r="N177" s="41"/>
      <c r="O177" s="41"/>
      <c r="P177" s="45"/>
      <c r="Q177" s="44"/>
      <c r="R177" s="41"/>
      <c r="S177" s="41"/>
      <c r="T177" s="41"/>
      <c r="U177" s="45"/>
    </row>
    <row r="178" spans="1:21">
      <c r="A178" s="44">
        <f>A177+1</f>
        <v>160</v>
      </c>
      <c r="B178" s="72">
        <v>46072</v>
      </c>
      <c r="C178" s="207">
        <v>8611175</v>
      </c>
      <c r="D178" s="28">
        <v>51886224</v>
      </c>
      <c r="E178" s="29">
        <v>62.05</v>
      </c>
      <c r="F178" s="272">
        <v>545.36</v>
      </c>
      <c r="G178" s="42">
        <f>E178*F178</f>
        <v>33839.588</v>
      </c>
      <c r="H178" s="32">
        <v>43524.16</v>
      </c>
      <c r="I178" s="103">
        <f>E178*H178</f>
        <v>2700674.128</v>
      </c>
      <c r="J178" s="273" t="s">
        <v>120</v>
      </c>
      <c r="K178" s="274" t="s">
        <v>121</v>
      </c>
      <c r="L178" s="89"/>
      <c r="M178" s="44"/>
      <c r="N178" s="41"/>
      <c r="O178" s="41"/>
      <c r="P178" s="45"/>
      <c r="Q178" s="44"/>
      <c r="R178" s="41"/>
      <c r="S178" s="41"/>
      <c r="T178" s="41"/>
      <c r="U178" s="45"/>
    </row>
    <row r="179" spans="1:21">
      <c r="A179" s="44">
        <f>A178+1</f>
        <v>161</v>
      </c>
      <c r="B179" s="72">
        <v>46072</v>
      </c>
      <c r="C179" s="207">
        <v>8611174</v>
      </c>
      <c r="D179" s="28">
        <v>53924452</v>
      </c>
      <c r="E179" s="29">
        <v>61.55</v>
      </c>
      <c r="F179" s="272">
        <v>545.36</v>
      </c>
      <c r="G179" s="42">
        <f>E179*F179</f>
        <v>33566.908</v>
      </c>
      <c r="H179" s="32">
        <v>43524.16</v>
      </c>
      <c r="I179" s="103">
        <f>E179*H179</f>
        <v>2678912.048</v>
      </c>
      <c r="J179" s="273" t="s">
        <v>120</v>
      </c>
      <c r="K179" s="274" t="s">
        <v>121</v>
      </c>
      <c r="L179" s="89"/>
      <c r="M179" s="44"/>
      <c r="N179" s="41"/>
      <c r="O179" s="41"/>
      <c r="P179" s="45"/>
      <c r="Q179" s="44"/>
      <c r="R179" s="41"/>
      <c r="S179" s="41"/>
      <c r="T179" s="41"/>
      <c r="U179" s="45"/>
    </row>
    <row r="180" spans="1:21">
      <c r="A180" s="44">
        <f>A179+1</f>
        <v>162</v>
      </c>
      <c r="B180" s="72">
        <v>46072</v>
      </c>
      <c r="C180" s="207">
        <v>8611174</v>
      </c>
      <c r="D180" s="28">
        <v>55949101</v>
      </c>
      <c r="E180" s="29">
        <v>62.3</v>
      </c>
      <c r="F180" s="272">
        <v>545.36</v>
      </c>
      <c r="G180" s="42">
        <f>E180*F180</f>
        <v>33975.928</v>
      </c>
      <c r="H180" s="32">
        <v>43524.16</v>
      </c>
      <c r="I180" s="103">
        <f>E180*H180</f>
        <v>2711555.168</v>
      </c>
      <c r="J180" s="273" t="s">
        <v>120</v>
      </c>
      <c r="K180" s="274" t="s">
        <v>121</v>
      </c>
      <c r="L180" s="89"/>
      <c r="M180" s="44"/>
      <c r="N180" s="41"/>
      <c r="O180" s="41"/>
      <c r="P180" s="45"/>
      <c r="Q180" s="44"/>
      <c r="R180" s="41"/>
      <c r="S180" s="41"/>
      <c r="T180" s="41"/>
      <c r="U180" s="45"/>
    </row>
    <row r="181" spans="1:21">
      <c r="A181" s="44">
        <f>A180+1</f>
        <v>163</v>
      </c>
      <c r="B181" s="72">
        <v>46072</v>
      </c>
      <c r="C181" s="207">
        <v>8611175</v>
      </c>
      <c r="D181" s="28">
        <v>57209397</v>
      </c>
      <c r="E181" s="29">
        <v>61.75</v>
      </c>
      <c r="F181" s="272">
        <v>545.36</v>
      </c>
      <c r="G181" s="42">
        <f>E181*F181</f>
        <v>33675.98</v>
      </c>
      <c r="H181" s="32">
        <v>43524.16</v>
      </c>
      <c r="I181" s="103">
        <f>E181*H181</f>
        <v>2687616.88</v>
      </c>
      <c r="J181" s="273" t="s">
        <v>120</v>
      </c>
      <c r="K181" s="274" t="s">
        <v>121</v>
      </c>
      <c r="L181" s="89"/>
      <c r="M181" s="44"/>
      <c r="N181" s="41"/>
      <c r="O181" s="41"/>
      <c r="P181" s="45"/>
      <c r="Q181" s="44"/>
      <c r="R181" s="41"/>
      <c r="S181" s="41"/>
      <c r="T181" s="41"/>
      <c r="U181" s="45"/>
    </row>
    <row r="182" spans="1:21">
      <c r="A182" s="44">
        <f>A181+1</f>
        <v>164</v>
      </c>
      <c r="B182" s="72">
        <v>46072</v>
      </c>
      <c r="C182" s="207">
        <v>8611175</v>
      </c>
      <c r="D182" s="28">
        <v>57214140</v>
      </c>
      <c r="E182" s="29">
        <v>60.15</v>
      </c>
      <c r="F182" s="272">
        <v>545.36</v>
      </c>
      <c r="G182" s="42">
        <f>E182*F182</f>
        <v>32803.404</v>
      </c>
      <c r="H182" s="32">
        <v>43524.16</v>
      </c>
      <c r="I182" s="103">
        <f>E182*H182</f>
        <v>2617978.224</v>
      </c>
      <c r="J182" s="273" t="s">
        <v>120</v>
      </c>
      <c r="K182" s="274" t="s">
        <v>121</v>
      </c>
      <c r="L182" s="89"/>
      <c r="M182" s="44"/>
      <c r="N182" s="41"/>
      <c r="O182" s="41"/>
      <c r="P182" s="45"/>
      <c r="Q182" s="44"/>
      <c r="R182" s="41"/>
      <c r="S182" s="41"/>
      <c r="T182" s="41"/>
      <c r="U182" s="45"/>
    </row>
    <row r="183" spans="1:21">
      <c r="A183" s="44">
        <f>A182+1</f>
        <v>165</v>
      </c>
      <c r="B183" s="72">
        <v>46072</v>
      </c>
      <c r="C183" s="207">
        <v>8611175</v>
      </c>
      <c r="D183" s="28">
        <v>58649757</v>
      </c>
      <c r="E183" s="29">
        <v>60.8</v>
      </c>
      <c r="F183" s="272">
        <v>545.36</v>
      </c>
      <c r="G183" s="42">
        <f>E183*F183</f>
        <v>33157.888</v>
      </c>
      <c r="H183" s="32">
        <v>43524.16</v>
      </c>
      <c r="I183" s="103">
        <f>E183*H183</f>
        <v>2646268.928</v>
      </c>
      <c r="J183" s="273" t="s">
        <v>120</v>
      </c>
      <c r="K183" s="274" t="s">
        <v>121</v>
      </c>
      <c r="L183" s="89"/>
      <c r="M183" s="44"/>
      <c r="N183" s="41"/>
      <c r="O183" s="41"/>
      <c r="P183" s="45"/>
      <c r="Q183" s="44"/>
      <c r="R183" s="41"/>
      <c r="S183" s="41"/>
      <c r="T183" s="41"/>
      <c r="U183" s="45"/>
    </row>
    <row r="184" spans="1:21">
      <c r="A184" s="44">
        <f>A183+1</f>
        <v>166</v>
      </c>
      <c r="B184" s="72">
        <v>46072</v>
      </c>
      <c r="C184" s="207">
        <v>8611175</v>
      </c>
      <c r="D184" s="28">
        <v>71044812</v>
      </c>
      <c r="E184" s="29">
        <v>60.2</v>
      </c>
      <c r="F184" s="272">
        <v>545.36</v>
      </c>
      <c r="G184" s="42">
        <f>E184*F184</f>
        <v>32830.672</v>
      </c>
      <c r="H184" s="32">
        <v>43524.16</v>
      </c>
      <c r="I184" s="103">
        <f>E184*H184</f>
        <v>2620154.432</v>
      </c>
      <c r="J184" s="273" t="s">
        <v>120</v>
      </c>
      <c r="K184" s="274" t="s">
        <v>121</v>
      </c>
      <c r="L184" s="89"/>
      <c r="M184" s="44"/>
      <c r="N184" s="41"/>
      <c r="O184" s="41"/>
      <c r="P184" s="45"/>
      <c r="Q184" s="44"/>
      <c r="R184" s="41"/>
      <c r="S184" s="41"/>
      <c r="T184" s="41"/>
      <c r="U184" s="45"/>
    </row>
    <row r="185" spans="1:21">
      <c r="A185" s="44">
        <f>A184+1</f>
        <v>167</v>
      </c>
      <c r="B185" s="72">
        <v>46072</v>
      </c>
      <c r="C185" s="207">
        <v>8611175</v>
      </c>
      <c r="D185" s="28">
        <v>71046130</v>
      </c>
      <c r="E185" s="29">
        <v>61.25</v>
      </c>
      <c r="F185" s="272">
        <v>545.36</v>
      </c>
      <c r="G185" s="42">
        <f>E185*F185</f>
        <v>33403.3</v>
      </c>
      <c r="H185" s="32">
        <v>43524.16</v>
      </c>
      <c r="I185" s="103">
        <f>E185*H185</f>
        <v>2665854.8</v>
      </c>
      <c r="J185" s="273" t="s">
        <v>120</v>
      </c>
      <c r="K185" s="274" t="s">
        <v>121</v>
      </c>
      <c r="L185" s="89"/>
      <c r="M185" s="44"/>
      <c r="N185" s="41"/>
      <c r="O185" s="41"/>
      <c r="P185" s="45"/>
      <c r="Q185" s="44"/>
      <c r="R185" s="41"/>
      <c r="S185" s="41"/>
      <c r="T185" s="41"/>
      <c r="U185" s="45"/>
    </row>
    <row r="186" spans="1:21">
      <c r="A186" s="44">
        <f>A185+1</f>
        <v>168</v>
      </c>
      <c r="B186" s="72">
        <v>46072</v>
      </c>
      <c r="C186" s="207">
        <v>8611175</v>
      </c>
      <c r="D186" s="28">
        <v>71046759</v>
      </c>
      <c r="E186" s="29">
        <v>59.6</v>
      </c>
      <c r="F186" s="272">
        <v>545.36</v>
      </c>
      <c r="G186" s="42">
        <f>E186*F186</f>
        <v>32503.456</v>
      </c>
      <c r="H186" s="32">
        <v>43524.16</v>
      </c>
      <c r="I186" s="103">
        <f>E186*H186</f>
        <v>2594039.936</v>
      </c>
      <c r="J186" s="273" t="s">
        <v>120</v>
      </c>
      <c r="K186" s="274" t="s">
        <v>121</v>
      </c>
      <c r="L186" s="89"/>
      <c r="M186" s="44"/>
      <c r="N186" s="41"/>
      <c r="O186" s="41"/>
      <c r="P186" s="45"/>
      <c r="Q186" s="44"/>
      <c r="R186" s="41"/>
      <c r="S186" s="41"/>
      <c r="T186" s="41"/>
      <c r="U186" s="45"/>
    </row>
    <row r="187" spans="1:21">
      <c r="A187" s="44">
        <f>A186+1</f>
        <v>169</v>
      </c>
      <c r="B187" s="72">
        <v>46072</v>
      </c>
      <c r="C187" s="207">
        <v>8611175</v>
      </c>
      <c r="D187" s="28">
        <v>73007031</v>
      </c>
      <c r="E187" s="29">
        <v>60.85</v>
      </c>
      <c r="F187" s="272">
        <v>545.36</v>
      </c>
      <c r="G187" s="42">
        <f>E187*F187</f>
        <v>33185.156</v>
      </c>
      <c r="H187" s="32">
        <v>43524.16</v>
      </c>
      <c r="I187" s="103">
        <f>E187*H187</f>
        <v>2648445.136</v>
      </c>
      <c r="J187" s="273" t="s">
        <v>120</v>
      </c>
      <c r="K187" s="274" t="s">
        <v>121</v>
      </c>
      <c r="L187" s="89"/>
      <c r="M187" s="44"/>
      <c r="N187" s="41"/>
      <c r="O187" s="41"/>
      <c r="P187" s="45"/>
      <c r="Q187" s="44"/>
      <c r="R187" s="41"/>
      <c r="S187" s="41"/>
      <c r="T187" s="41"/>
      <c r="U187" s="45"/>
    </row>
    <row r="188" spans="1:21">
      <c r="A188" s="44">
        <f>A187+1</f>
        <v>170</v>
      </c>
      <c r="B188" s="72">
        <v>46072</v>
      </c>
      <c r="C188" s="207">
        <v>8611174</v>
      </c>
      <c r="D188" s="28">
        <v>73054801</v>
      </c>
      <c r="E188" s="29">
        <v>60.6</v>
      </c>
      <c r="F188" s="272">
        <v>545.36</v>
      </c>
      <c r="G188" s="42">
        <f>E188*F188</f>
        <v>33048.816</v>
      </c>
      <c r="H188" s="32">
        <v>43524.16</v>
      </c>
      <c r="I188" s="103">
        <f>E188*H188</f>
        <v>2637564.096</v>
      </c>
      <c r="J188" s="273" t="s">
        <v>120</v>
      </c>
      <c r="K188" s="274" t="s">
        <v>121</v>
      </c>
      <c r="L188" s="89"/>
      <c r="M188" s="44"/>
      <c r="N188" s="41"/>
      <c r="O188" s="41"/>
      <c r="P188" s="45"/>
      <c r="Q188" s="44"/>
      <c r="R188" s="41"/>
      <c r="S188" s="41"/>
      <c r="T188" s="41"/>
      <c r="U188" s="45"/>
    </row>
    <row r="189" spans="1:21">
      <c r="A189" s="44">
        <f>A188+1</f>
        <v>171</v>
      </c>
      <c r="B189" s="72">
        <v>46072</v>
      </c>
      <c r="C189" s="207">
        <v>8611174</v>
      </c>
      <c r="D189" s="28">
        <v>73065773</v>
      </c>
      <c r="E189" s="29">
        <v>60.55</v>
      </c>
      <c r="F189" s="272">
        <v>545.36</v>
      </c>
      <c r="G189" s="42">
        <f>E189*F189</f>
        <v>33021.548</v>
      </c>
      <c r="H189" s="32">
        <v>43524.16</v>
      </c>
      <c r="I189" s="103">
        <f>E189*H189</f>
        <v>2635387.888</v>
      </c>
      <c r="J189" s="273" t="s">
        <v>120</v>
      </c>
      <c r="K189" s="274" t="s">
        <v>121</v>
      </c>
      <c r="L189" s="89"/>
      <c r="M189" s="44"/>
      <c r="N189" s="41"/>
      <c r="O189" s="41"/>
      <c r="P189" s="45"/>
      <c r="Q189" s="44"/>
      <c r="R189" s="41"/>
      <c r="S189" s="41"/>
      <c r="T189" s="41"/>
      <c r="U189" s="45"/>
    </row>
    <row r="190" spans="1:21">
      <c r="A190" s="44">
        <f>A189+1</f>
        <v>172</v>
      </c>
      <c r="B190" s="72">
        <v>46072</v>
      </c>
      <c r="C190" s="207">
        <v>8611174</v>
      </c>
      <c r="D190" s="28">
        <v>73145658</v>
      </c>
      <c r="E190" s="29">
        <v>61.45</v>
      </c>
      <c r="F190" s="272">
        <v>545.36</v>
      </c>
      <c r="G190" s="42">
        <f>E190*F190</f>
        <v>33512.372</v>
      </c>
      <c r="H190" s="32">
        <v>43524.16</v>
      </c>
      <c r="I190" s="103">
        <f>E190*H190</f>
        <v>2674559.632</v>
      </c>
      <c r="J190" s="273" t="s">
        <v>120</v>
      </c>
      <c r="K190" s="274" t="s">
        <v>121</v>
      </c>
      <c r="L190" s="89"/>
      <c r="M190" s="44"/>
      <c r="N190" s="41"/>
      <c r="O190" s="41"/>
      <c r="P190" s="45"/>
      <c r="Q190" s="44"/>
      <c r="R190" s="41"/>
      <c r="S190" s="41"/>
      <c r="T190" s="41"/>
      <c r="U190" s="45"/>
    </row>
    <row r="191" spans="1:21">
      <c r="A191" s="44">
        <f>A190+1</f>
        <v>173</v>
      </c>
      <c r="B191" s="72">
        <v>46072</v>
      </c>
      <c r="C191" s="207">
        <v>8611174</v>
      </c>
      <c r="D191" s="28">
        <v>73203457</v>
      </c>
      <c r="E191" s="29">
        <v>59.3</v>
      </c>
      <c r="F191" s="272">
        <v>545.36</v>
      </c>
      <c r="G191" s="42">
        <f>E191*F191</f>
        <v>32339.848</v>
      </c>
      <c r="H191" s="32">
        <v>43524.16</v>
      </c>
      <c r="I191" s="103">
        <f>E191*H191</f>
        <v>2580982.688</v>
      </c>
      <c r="J191" s="273" t="s">
        <v>120</v>
      </c>
      <c r="K191" s="274" t="s">
        <v>121</v>
      </c>
      <c r="L191" s="89"/>
      <c r="M191" s="44"/>
      <c r="N191" s="41"/>
      <c r="O191" s="41"/>
      <c r="P191" s="45"/>
      <c r="Q191" s="44"/>
      <c r="R191" s="41"/>
      <c r="S191" s="41"/>
      <c r="T191" s="41"/>
      <c r="U191" s="45"/>
    </row>
    <row r="192" spans="1:21">
      <c r="A192" s="44">
        <f>A191+1</f>
        <v>174</v>
      </c>
      <c r="B192" s="72">
        <v>46072</v>
      </c>
      <c r="C192" s="207">
        <v>8611174</v>
      </c>
      <c r="D192" s="28">
        <v>73919045</v>
      </c>
      <c r="E192" s="29">
        <v>59.9</v>
      </c>
      <c r="F192" s="272">
        <v>545.36</v>
      </c>
      <c r="G192" s="42">
        <f>E192*F192</f>
        <v>32667.064</v>
      </c>
      <c r="H192" s="32">
        <v>43524.16</v>
      </c>
      <c r="I192" s="103">
        <f>E192*H192</f>
        <v>2607097.184</v>
      </c>
      <c r="J192" s="273" t="s">
        <v>120</v>
      </c>
      <c r="K192" s="274" t="s">
        <v>121</v>
      </c>
      <c r="L192" s="89"/>
      <c r="M192" s="44"/>
      <c r="N192" s="41"/>
      <c r="O192" s="41"/>
      <c r="P192" s="45"/>
      <c r="Q192" s="44"/>
      <c r="R192" s="41"/>
      <c r="S192" s="41"/>
      <c r="T192" s="41"/>
      <c r="U192" s="45"/>
    </row>
    <row r="193" spans="1:21">
      <c r="A193" s="44">
        <f>A192+1</f>
        <v>175</v>
      </c>
      <c r="B193" s="72">
        <v>46072</v>
      </c>
      <c r="C193" s="207">
        <v>8611174</v>
      </c>
      <c r="D193" s="28">
        <v>73953374</v>
      </c>
      <c r="E193" s="29">
        <v>62.05</v>
      </c>
      <c r="F193" s="272">
        <v>545.36</v>
      </c>
      <c r="G193" s="42">
        <f>E193*F193</f>
        <v>33839.588</v>
      </c>
      <c r="H193" s="32">
        <v>43524.16</v>
      </c>
      <c r="I193" s="103">
        <f>E193*H193</f>
        <v>2700674.128</v>
      </c>
      <c r="J193" s="273" t="s">
        <v>120</v>
      </c>
      <c r="K193" s="274" t="s">
        <v>121</v>
      </c>
      <c r="L193" s="89"/>
      <c r="M193" s="44"/>
      <c r="N193" s="41"/>
      <c r="O193" s="41"/>
      <c r="P193" s="45"/>
      <c r="Q193" s="44"/>
      <c r="R193" s="41"/>
      <c r="S193" s="41"/>
      <c r="T193" s="41"/>
      <c r="U193" s="45"/>
    </row>
    <row r="194" spans="1:21">
      <c r="A194" s="44">
        <f>A193+1</f>
        <v>176</v>
      </c>
      <c r="B194" s="72">
        <v>46072</v>
      </c>
      <c r="C194" s="207">
        <v>8611175</v>
      </c>
      <c r="D194" s="28">
        <v>73967705</v>
      </c>
      <c r="E194" s="29">
        <v>60.95</v>
      </c>
      <c r="F194" s="272">
        <v>545.36</v>
      </c>
      <c r="G194" s="42">
        <f>E194*F194</f>
        <v>33239.692</v>
      </c>
      <c r="H194" s="32">
        <v>43524.16</v>
      </c>
      <c r="I194" s="103">
        <f>E194*H194</f>
        <v>2652797.552</v>
      </c>
      <c r="J194" s="273" t="s">
        <v>120</v>
      </c>
      <c r="K194" s="274" t="s">
        <v>121</v>
      </c>
      <c r="L194" s="89"/>
      <c r="M194" s="44"/>
      <c r="N194" s="41"/>
      <c r="O194" s="41"/>
      <c r="P194" s="45"/>
      <c r="Q194" s="44"/>
      <c r="R194" s="41"/>
      <c r="S194" s="41"/>
      <c r="T194" s="41"/>
      <c r="U194" s="45"/>
    </row>
    <row r="195" spans="1:21">
      <c r="A195" s="44">
        <f>A194+1</f>
        <v>177</v>
      </c>
      <c r="B195" s="72">
        <v>46072</v>
      </c>
      <c r="C195" s="207">
        <v>8611175</v>
      </c>
      <c r="D195" s="28">
        <v>75093302</v>
      </c>
      <c r="E195" s="29">
        <v>64.35</v>
      </c>
      <c r="F195" s="272">
        <v>545.36</v>
      </c>
      <c r="G195" s="42">
        <f>E195*F195</f>
        <v>35093.916</v>
      </c>
      <c r="H195" s="32">
        <v>43524.16</v>
      </c>
      <c r="I195" s="103">
        <f>E195*H195</f>
        <v>2800779.696</v>
      </c>
      <c r="J195" s="273" t="s">
        <v>120</v>
      </c>
      <c r="K195" s="274" t="s">
        <v>121</v>
      </c>
      <c r="L195" s="89"/>
      <c r="M195" s="44"/>
      <c r="N195" s="41"/>
      <c r="O195" s="41"/>
      <c r="P195" s="45"/>
      <c r="Q195" s="44"/>
      <c r="R195" s="41"/>
      <c r="S195" s="41"/>
      <c r="T195" s="41"/>
      <c r="U195" s="45"/>
    </row>
    <row r="196" spans="1:21">
      <c r="A196" s="44">
        <f>A195+1</f>
        <v>178</v>
      </c>
      <c r="B196" s="72">
        <v>46072</v>
      </c>
      <c r="C196" s="207">
        <v>8611174</v>
      </c>
      <c r="D196" s="28">
        <v>75507194</v>
      </c>
      <c r="E196" s="29">
        <v>59.75</v>
      </c>
      <c r="F196" s="272">
        <v>545.36</v>
      </c>
      <c r="G196" s="42">
        <f>E196*F196</f>
        <v>32585.26</v>
      </c>
      <c r="H196" s="32">
        <v>43524.16</v>
      </c>
      <c r="I196" s="103">
        <f>E196*H196</f>
        <v>2600568.56</v>
      </c>
      <c r="J196" s="273" t="s">
        <v>120</v>
      </c>
      <c r="K196" s="274" t="s">
        <v>121</v>
      </c>
      <c r="L196" s="89"/>
      <c r="M196" s="44"/>
      <c r="N196" s="41"/>
      <c r="O196" s="41"/>
      <c r="P196" s="45"/>
      <c r="Q196" s="44"/>
      <c r="R196" s="41"/>
      <c r="S196" s="41"/>
      <c r="T196" s="41"/>
      <c r="U196" s="45"/>
    </row>
    <row r="197" spans="1:21">
      <c r="A197" s="44">
        <f>A196+1</f>
        <v>179</v>
      </c>
      <c r="B197" s="72">
        <v>46072</v>
      </c>
      <c r="C197" s="207">
        <v>8611174</v>
      </c>
      <c r="D197" s="28">
        <v>75764092</v>
      </c>
      <c r="E197" s="29">
        <v>64.2</v>
      </c>
      <c r="F197" s="272">
        <v>545.36</v>
      </c>
      <c r="G197" s="42">
        <f>E197*F197</f>
        <v>35012.112</v>
      </c>
      <c r="H197" s="32">
        <v>43524.16</v>
      </c>
      <c r="I197" s="103">
        <f>E197*H197</f>
        <v>2794251.072</v>
      </c>
      <c r="J197" s="273" t="s">
        <v>120</v>
      </c>
      <c r="K197" s="274" t="s">
        <v>121</v>
      </c>
      <c r="L197" s="89"/>
      <c r="M197" s="44"/>
      <c r="N197" s="41"/>
      <c r="O197" s="41"/>
      <c r="P197" s="45"/>
      <c r="Q197" s="44"/>
      <c r="R197" s="41"/>
      <c r="S197" s="41"/>
      <c r="T197" s="41"/>
      <c r="U197" s="45"/>
    </row>
    <row r="198" spans="1:21">
      <c r="A198" s="44">
        <f>A197+1</f>
        <v>180</v>
      </c>
      <c r="B198" s="72">
        <v>46072</v>
      </c>
      <c r="C198" s="207">
        <v>8611174</v>
      </c>
      <c r="D198" s="28">
        <v>75765891</v>
      </c>
      <c r="E198" s="29">
        <v>63.05</v>
      </c>
      <c r="F198" s="272">
        <v>545.36</v>
      </c>
      <c r="G198" s="42">
        <f>E198*F198</f>
        <v>34384.948</v>
      </c>
      <c r="H198" s="32">
        <v>43524.16</v>
      </c>
      <c r="I198" s="103">
        <f>E198*H198</f>
        <v>2744198.288</v>
      </c>
      <c r="J198" s="273" t="s">
        <v>120</v>
      </c>
      <c r="K198" s="274" t="s">
        <v>121</v>
      </c>
      <c r="L198" s="89"/>
      <c r="M198" s="44"/>
      <c r="N198" s="41"/>
      <c r="O198" s="41"/>
      <c r="P198" s="45"/>
      <c r="Q198" s="44"/>
      <c r="R198" s="41"/>
      <c r="S198" s="41"/>
      <c r="T198" s="41"/>
      <c r="U198" s="45"/>
    </row>
    <row r="199" ht="15.75" spans="1:21">
      <c r="A199" s="75">
        <f>A198+1</f>
        <v>181</v>
      </c>
      <c r="B199" s="76">
        <v>46072</v>
      </c>
      <c r="C199" s="216">
        <v>8611174</v>
      </c>
      <c r="D199" s="47">
        <v>76392497</v>
      </c>
      <c r="E199" s="48">
        <v>61.55</v>
      </c>
      <c r="F199" s="272">
        <v>545.36</v>
      </c>
      <c r="G199" s="123">
        <f>E199*F199</f>
        <v>33566.908</v>
      </c>
      <c r="H199" s="49">
        <v>43524.16</v>
      </c>
      <c r="I199" s="106">
        <f>E199*H199</f>
        <v>2678912.048</v>
      </c>
      <c r="J199" s="273" t="s">
        <v>120</v>
      </c>
      <c r="K199" s="303" t="s">
        <v>121</v>
      </c>
      <c r="L199" s="90"/>
      <c r="M199" s="51"/>
      <c r="N199" s="52"/>
      <c r="O199" s="52"/>
      <c r="P199" s="53"/>
      <c r="Q199" s="51"/>
      <c r="R199" s="52"/>
      <c r="S199" s="52"/>
      <c r="T199" s="52"/>
      <c r="U199" s="53"/>
    </row>
    <row r="200" ht="15.75" spans="1:21">
      <c r="A200" s="290"/>
      <c r="B200" s="291"/>
      <c r="C200" s="291"/>
      <c r="D200" s="291"/>
      <c r="E200" s="292">
        <f>SUM(E176:E199)</f>
        <v>1468.3</v>
      </c>
      <c r="F200" s="291"/>
      <c r="G200" s="293">
        <f>SUM(G176:G199)</f>
        <v>800752.088</v>
      </c>
      <c r="H200" s="294"/>
      <c r="I200" s="295">
        <f>SUM(I176:I199)</f>
        <v>63906524.128</v>
      </c>
      <c r="J200" s="291"/>
      <c r="K200" s="298"/>
      <c r="L200" s="342"/>
      <c r="M200" s="343"/>
      <c r="N200" s="344"/>
      <c r="O200" s="344"/>
      <c r="P200" s="345"/>
      <c r="Q200" s="346"/>
      <c r="R200" s="344"/>
      <c r="S200" s="344"/>
      <c r="T200" s="344"/>
      <c r="U200" s="345"/>
    </row>
    <row r="201" ht="15.75" spans="1:21">
      <c r="A201" s="309" t="s">
        <v>136</v>
      </c>
      <c r="B201" s="310"/>
      <c r="C201" s="310"/>
      <c r="D201" s="311"/>
      <c r="E201" s="347">
        <f>E115+E161+E167+E175+E200+E130+E140+E151</f>
        <v>4958.45</v>
      </c>
      <c r="F201" s="348"/>
      <c r="G201" s="349">
        <f>G115+G161+G167+G175+G200+G130+G140+G151</f>
        <v>2704139.995</v>
      </c>
      <c r="H201" s="350"/>
      <c r="I201" s="351">
        <f>I115+I161+I167+I175+I200+I151+I140+I130</f>
        <v>215812371.152</v>
      </c>
      <c r="J201" s="348"/>
      <c r="K201" s="352"/>
      <c r="L201" s="353"/>
      <c r="M201" s="354"/>
      <c r="N201" s="348"/>
      <c r="O201" s="348"/>
      <c r="P201" s="352"/>
      <c r="Q201" s="355"/>
      <c r="R201" s="348"/>
      <c r="S201" s="348"/>
      <c r="T201" s="348"/>
      <c r="U201" s="352"/>
    </row>
    <row r="202" ht="15.75" spans="1:21">
      <c r="A202" s="356"/>
      <c r="B202" s="357"/>
      <c r="C202" s="357"/>
      <c r="D202" s="357"/>
      <c r="E202" s="358">
        <f>E112+E201</f>
        <v>11117.65</v>
      </c>
      <c r="F202" s="357"/>
      <c r="G202" s="359">
        <f>G112+G201</f>
        <v>5757809.98354546</v>
      </c>
      <c r="H202" s="360"/>
      <c r="I202" s="361">
        <f>I112+I201</f>
        <v>483886377.424</v>
      </c>
      <c r="J202" s="357"/>
      <c r="K202" s="362"/>
      <c r="L202" s="363"/>
      <c r="M202" s="356"/>
      <c r="N202" s="357"/>
      <c r="O202" s="357"/>
      <c r="P202" s="362"/>
      <c r="Q202" s="364"/>
      <c r="R202" s="357"/>
      <c r="S202" s="357"/>
      <c r="T202" s="357"/>
      <c r="U202" s="362"/>
    </row>
    <row r="204" ht="15.75"/>
    <row r="205" spans="1:21">
      <c r="B205" s="142" t="s">
        <v>124</v>
      </c>
      <c r="C205" s="204"/>
      <c r="D205" s="144"/>
      <c r="E205" s="145">
        <v>15000</v>
      </c>
    </row>
    <row r="206" spans="1:21">
      <c r="B206" s="146" t="s">
        <v>125</v>
      </c>
      <c r="C206" s="147"/>
      <c r="D206" s="148"/>
      <c r="E206" s="149">
        <f>E202</f>
        <v>11117.65</v>
      </c>
    </row>
    <row r="207" ht="15.75" spans="1:21">
      <c r="B207" s="150" t="s">
        <v>126</v>
      </c>
      <c r="C207" s="151"/>
      <c r="D207" s="152"/>
      <c r="E207" s="153">
        <f>E205-E206</f>
        <v>3882.35</v>
      </c>
    </row>
  </sheetData>
  <mergeCells count="7">
    <mergeCell ref="A1:K1"/>
    <mergeCell ref="A2:K2"/>
    <mergeCell ref="M4:P4"/>
    <mergeCell ref="A112:D112"/>
    <mergeCell ref="A201:D201"/>
    <mergeCell ref="B205:C205"/>
    <mergeCell ref="T1:U2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6"/>
  <sheetViews>
    <sheetView tabSelected="1" topLeftCell="A234" workbookViewId="0">
      <selection activeCell="P259" sqref="P259"/>
    </sheetView>
  </sheetViews>
  <sheetFormatPr defaultColWidth="9.14285714285714" defaultRowHeight="15"/>
  <cols>
    <col min="1" max="1" width="9.28571428571429" style="1" customWidth="1"/>
    <col min="2" max="2" width="11.4285714285714" style="1" customWidth="1"/>
    <col min="3" max="4" width="9.28571428571429" style="1" customWidth="1"/>
    <col min="5" max="5" width="12.2857142857143" style="1" customWidth="1"/>
    <col min="6" max="6" width="10.7142857142857" style="1" customWidth="1"/>
    <col min="7" max="7" width="15.1428571428571" style="1" customWidth="1"/>
    <col min="8" max="8" width="10.7142857142857" style="1" customWidth="1"/>
    <col min="9" max="9" width="17.2857142857143" style="1" customWidth="1"/>
    <col min="10" max="10" width="16" style="1" customWidth="1"/>
    <col min="11" max="11" width="9.14285714285714" style="1" customWidth="1"/>
    <col min="12" max="12" width="1" style="1" customWidth="1"/>
    <col min="13" max="13" width="5.71428571428571" style="1" customWidth="1"/>
    <col min="14" max="14" width="4" style="1" customWidth="1"/>
    <col min="15" max="15" width="13.1428571428571" style="1" customWidth="1"/>
    <col min="16" max="16" width="12.4285714285714" style="1" customWidth="1"/>
    <col min="17" max="16384" width="9.14285714285714" style="1"/>
  </cols>
  <sheetData>
    <row r="1" ht="13.9" customHeight="1" spans="1:21">
      <c r="A1" s="2" t="s">
        <v>102</v>
      </c>
      <c r="L1" s="3"/>
      <c r="M1" s="3"/>
      <c r="N1" s="3"/>
      <c r="O1" s="3"/>
      <c r="P1" s="3"/>
      <c r="T1" s="4" t="s">
        <v>103</v>
      </c>
      <c r="U1" s="4"/>
    </row>
    <row r="2" ht="13.9" customHeight="1" spans="1:21">
      <c r="A2" s="2" t="s">
        <v>143</v>
      </c>
      <c r="L2" s="5"/>
      <c r="M2" s="5"/>
      <c r="N2" s="5"/>
      <c r="O2" s="5"/>
      <c r="P2" s="5"/>
      <c r="T2" s="4"/>
      <c r="U2" s="4"/>
    </row>
    <row r="3" ht="15.75" spans="1:21">
      <c r="F3" s="6" t="s">
        <v>144</v>
      </c>
      <c r="H3" s="7"/>
      <c r="I3" s="7"/>
      <c r="L3" s="8"/>
      <c r="M3" s="9"/>
      <c r="N3" s="9"/>
      <c r="O3" s="10"/>
      <c r="P3" s="10"/>
    </row>
    <row r="4" ht="57.75" spans="1:21">
      <c r="A4" s="12" t="s">
        <v>106</v>
      </c>
      <c r="B4" s="13" t="s">
        <v>3</v>
      </c>
      <c r="C4" s="14" t="s">
        <v>107</v>
      </c>
      <c r="D4" s="13" t="s">
        <v>108</v>
      </c>
      <c r="E4" s="13" t="s">
        <v>109</v>
      </c>
      <c r="F4" s="15" t="s">
        <v>145</v>
      </c>
      <c r="G4" s="15" t="s">
        <v>90</v>
      </c>
      <c r="H4" s="16" t="s">
        <v>111</v>
      </c>
      <c r="I4" s="16" t="s">
        <v>90</v>
      </c>
      <c r="J4" s="13" t="s">
        <v>112</v>
      </c>
      <c r="K4" s="205" t="s">
        <v>113</v>
      </c>
      <c r="L4" s="206"/>
      <c r="M4" s="19" t="s">
        <v>146</v>
      </c>
      <c r="N4" s="20" t="s">
        <v>90</v>
      </c>
      <c r="O4" s="21" t="s">
        <v>147</v>
      </c>
      <c r="P4" s="22" t="s">
        <v>90</v>
      </c>
      <c r="Q4" s="23" t="s">
        <v>115</v>
      </c>
      <c r="R4" s="24" t="s">
        <v>116</v>
      </c>
      <c r="S4" s="24" t="s">
        <v>117</v>
      </c>
      <c r="T4" s="24" t="s">
        <v>118</v>
      </c>
      <c r="U4" s="25" t="s">
        <v>119</v>
      </c>
    </row>
    <row r="5" spans="1:21">
      <c r="A5" s="67">
        <v>1</v>
      </c>
      <c r="B5" s="27">
        <v>46106</v>
      </c>
      <c r="C5" s="207">
        <v>8612351</v>
      </c>
      <c r="D5" s="28">
        <v>50054584</v>
      </c>
      <c r="E5" s="29">
        <v>60.15</v>
      </c>
      <c r="F5" s="30">
        <v>990.01</v>
      </c>
      <c r="G5" s="30">
        <f t="shared" ref="G5:G38" si="0">E5*F5</f>
        <v>59549.1015</v>
      </c>
      <c r="H5" s="208">
        <v>76198.56</v>
      </c>
      <c r="I5" s="209">
        <f t="shared" ref="I5:I38" si="1">E5*H5</f>
        <v>4583343.384</v>
      </c>
      <c r="J5" s="210" t="s">
        <v>120</v>
      </c>
      <c r="K5" s="211" t="s">
        <v>148</v>
      </c>
      <c r="L5" s="36"/>
      <c r="M5" s="37"/>
      <c r="N5" s="38"/>
      <c r="O5" s="212">
        <v>83.02</v>
      </c>
      <c r="P5" s="213">
        <f t="shared" ref="P5:P38" si="2">E5*O5</f>
        <v>4993.653</v>
      </c>
      <c r="Q5" s="38"/>
      <c r="R5" s="38"/>
      <c r="S5" s="38"/>
      <c r="T5" s="38"/>
      <c r="U5" s="39"/>
    </row>
    <row r="6" spans="1:21">
      <c r="A6" s="41">
        <f t="shared" ref="A6:A38" si="3">A5+1</f>
        <v>2</v>
      </c>
      <c r="B6" s="27">
        <v>46106</v>
      </c>
      <c r="C6" s="207">
        <v>8612351</v>
      </c>
      <c r="D6" s="28">
        <v>50398296</v>
      </c>
      <c r="E6" s="29">
        <v>60.1</v>
      </c>
      <c r="F6" s="42">
        <v>990.01</v>
      </c>
      <c r="G6" s="30">
        <f t="shared" si="0"/>
        <v>59499.601</v>
      </c>
      <c r="H6" s="208">
        <v>76198.56</v>
      </c>
      <c r="I6" s="209">
        <f t="shared" si="1"/>
        <v>4579533.456</v>
      </c>
      <c r="J6" s="34" t="s">
        <v>120</v>
      </c>
      <c r="K6" s="35" t="s">
        <v>148</v>
      </c>
      <c r="L6" s="43"/>
      <c r="M6" s="44"/>
      <c r="N6" s="41"/>
      <c r="O6" s="214">
        <v>83.02</v>
      </c>
      <c r="P6" s="215">
        <f t="shared" si="2"/>
        <v>4989.502</v>
      </c>
      <c r="Q6" s="41"/>
      <c r="R6" s="41"/>
      <c r="S6" s="41"/>
      <c r="T6" s="41"/>
      <c r="U6" s="45"/>
    </row>
    <row r="7" spans="1:21">
      <c r="A7" s="41">
        <f t="shared" si="3"/>
        <v>3</v>
      </c>
      <c r="B7" s="27">
        <v>46106</v>
      </c>
      <c r="C7" s="207">
        <v>8612351</v>
      </c>
      <c r="D7" s="28">
        <v>50416825</v>
      </c>
      <c r="E7" s="29">
        <v>60.05</v>
      </c>
      <c r="F7" s="42">
        <v>990.01</v>
      </c>
      <c r="G7" s="30">
        <f t="shared" si="0"/>
        <v>59450.1005</v>
      </c>
      <c r="H7" s="208">
        <v>76198.56</v>
      </c>
      <c r="I7" s="209">
        <f t="shared" si="1"/>
        <v>4575723.528</v>
      </c>
      <c r="J7" s="34" t="s">
        <v>120</v>
      </c>
      <c r="K7" s="35" t="s">
        <v>148</v>
      </c>
      <c r="L7" s="43"/>
      <c r="M7" s="44"/>
      <c r="N7" s="41"/>
      <c r="O7" s="214">
        <v>83.02</v>
      </c>
      <c r="P7" s="215">
        <f t="shared" si="2"/>
        <v>4985.351</v>
      </c>
      <c r="Q7" s="41"/>
      <c r="R7" s="41"/>
      <c r="S7" s="41"/>
      <c r="T7" s="41"/>
      <c r="U7" s="45"/>
    </row>
    <row r="8" spans="1:21">
      <c r="A8" s="41">
        <f t="shared" si="3"/>
        <v>4</v>
      </c>
      <c r="B8" s="27">
        <v>46106</v>
      </c>
      <c r="C8" s="207">
        <v>8612350</v>
      </c>
      <c r="D8" s="28">
        <v>51077568</v>
      </c>
      <c r="E8" s="29">
        <v>60.65</v>
      </c>
      <c r="F8" s="30">
        <v>990.01</v>
      </c>
      <c r="G8" s="30">
        <f t="shared" si="0"/>
        <v>60044.1065</v>
      </c>
      <c r="H8" s="208">
        <v>76198.56</v>
      </c>
      <c r="I8" s="209">
        <f t="shared" si="1"/>
        <v>4621442.664</v>
      </c>
      <c r="J8" s="34" t="s">
        <v>120</v>
      </c>
      <c r="K8" s="35" t="s">
        <v>148</v>
      </c>
      <c r="L8" s="43"/>
      <c r="M8" s="44"/>
      <c r="N8" s="41"/>
      <c r="O8" s="214">
        <v>83.02</v>
      </c>
      <c r="P8" s="215">
        <f t="shared" si="2"/>
        <v>5035.163</v>
      </c>
      <c r="Q8" s="41"/>
      <c r="R8" s="41"/>
      <c r="S8" s="41"/>
      <c r="T8" s="41"/>
      <c r="U8" s="45"/>
    </row>
    <row r="9" spans="1:21">
      <c r="A9" s="41">
        <f t="shared" si="3"/>
        <v>5</v>
      </c>
      <c r="B9" s="27">
        <v>46106</v>
      </c>
      <c r="C9" s="207">
        <v>8612350</v>
      </c>
      <c r="D9" s="28">
        <v>51095644</v>
      </c>
      <c r="E9" s="29">
        <v>60.65</v>
      </c>
      <c r="F9" s="42">
        <v>990.01</v>
      </c>
      <c r="G9" s="30">
        <f t="shared" si="0"/>
        <v>60044.1065</v>
      </c>
      <c r="H9" s="208">
        <v>76198.56</v>
      </c>
      <c r="I9" s="209">
        <f t="shared" si="1"/>
        <v>4621442.664</v>
      </c>
      <c r="J9" s="34" t="s">
        <v>120</v>
      </c>
      <c r="K9" s="35" t="s">
        <v>148</v>
      </c>
      <c r="L9" s="43"/>
      <c r="M9" s="44"/>
      <c r="N9" s="41"/>
      <c r="O9" s="214">
        <v>83.02</v>
      </c>
      <c r="P9" s="215">
        <f t="shared" si="2"/>
        <v>5035.163</v>
      </c>
      <c r="Q9" s="41"/>
      <c r="R9" s="41"/>
      <c r="S9" s="41"/>
      <c r="T9" s="41"/>
      <c r="U9" s="45"/>
    </row>
    <row r="10" spans="1:21">
      <c r="A10" s="41">
        <f t="shared" si="3"/>
        <v>6</v>
      </c>
      <c r="B10" s="27">
        <v>46106</v>
      </c>
      <c r="C10" s="207">
        <v>8612350</v>
      </c>
      <c r="D10" s="28">
        <v>51216737</v>
      </c>
      <c r="E10" s="29">
        <v>60.15</v>
      </c>
      <c r="F10" s="42">
        <v>990.01</v>
      </c>
      <c r="G10" s="30">
        <f t="shared" si="0"/>
        <v>59549.1015</v>
      </c>
      <c r="H10" s="208">
        <v>76198.56</v>
      </c>
      <c r="I10" s="209">
        <f t="shared" si="1"/>
        <v>4583343.384</v>
      </c>
      <c r="J10" s="34" t="s">
        <v>120</v>
      </c>
      <c r="K10" s="35" t="s">
        <v>148</v>
      </c>
      <c r="L10" s="43"/>
      <c r="M10" s="44"/>
      <c r="N10" s="41"/>
      <c r="O10" s="214">
        <v>83.02</v>
      </c>
      <c r="P10" s="215">
        <f t="shared" si="2"/>
        <v>4993.653</v>
      </c>
      <c r="Q10" s="41"/>
      <c r="R10" s="41"/>
      <c r="S10" s="41"/>
      <c r="T10" s="41"/>
      <c r="U10" s="45"/>
    </row>
    <row r="11" spans="1:21">
      <c r="A11" s="41">
        <f t="shared" si="3"/>
        <v>7</v>
      </c>
      <c r="B11" s="27">
        <v>46106</v>
      </c>
      <c r="C11" s="207">
        <v>8612350</v>
      </c>
      <c r="D11" s="28">
        <v>51419166</v>
      </c>
      <c r="E11" s="29">
        <v>60.15</v>
      </c>
      <c r="F11" s="30">
        <v>990.01</v>
      </c>
      <c r="G11" s="30">
        <f t="shared" si="0"/>
        <v>59549.1015</v>
      </c>
      <c r="H11" s="208">
        <v>76198.56</v>
      </c>
      <c r="I11" s="209">
        <f t="shared" si="1"/>
        <v>4583343.384</v>
      </c>
      <c r="J11" s="34" t="s">
        <v>120</v>
      </c>
      <c r="K11" s="35" t="s">
        <v>148</v>
      </c>
      <c r="L11" s="43"/>
      <c r="M11" s="44"/>
      <c r="N11" s="41"/>
      <c r="O11" s="214">
        <v>83.02</v>
      </c>
      <c r="P11" s="215">
        <f t="shared" si="2"/>
        <v>4993.653</v>
      </c>
      <c r="Q11" s="41"/>
      <c r="R11" s="41"/>
      <c r="S11" s="41"/>
      <c r="T11" s="41"/>
      <c r="U11" s="45"/>
    </row>
    <row r="12" spans="1:21">
      <c r="A12" s="41">
        <f t="shared" si="3"/>
        <v>8</v>
      </c>
      <c r="B12" s="27">
        <v>46106</v>
      </c>
      <c r="C12" s="207">
        <v>8612350</v>
      </c>
      <c r="D12" s="28">
        <v>51688893</v>
      </c>
      <c r="E12" s="29">
        <v>60.1</v>
      </c>
      <c r="F12" s="42">
        <v>990.01</v>
      </c>
      <c r="G12" s="30">
        <f t="shared" si="0"/>
        <v>59499.601</v>
      </c>
      <c r="H12" s="208">
        <v>76198.56</v>
      </c>
      <c r="I12" s="209">
        <f t="shared" si="1"/>
        <v>4579533.456</v>
      </c>
      <c r="J12" s="34" t="s">
        <v>120</v>
      </c>
      <c r="K12" s="35" t="s">
        <v>148</v>
      </c>
      <c r="L12" s="43"/>
      <c r="M12" s="44"/>
      <c r="N12" s="41"/>
      <c r="O12" s="214">
        <v>83.02</v>
      </c>
      <c r="P12" s="215">
        <f t="shared" si="2"/>
        <v>4989.502</v>
      </c>
      <c r="Q12" s="41"/>
      <c r="R12" s="41"/>
      <c r="S12" s="41"/>
      <c r="T12" s="41"/>
      <c r="U12" s="45"/>
    </row>
    <row r="13" spans="1:21">
      <c r="A13" s="41">
        <f t="shared" si="3"/>
        <v>9</v>
      </c>
      <c r="B13" s="27">
        <v>46106</v>
      </c>
      <c r="C13" s="207">
        <v>8612350</v>
      </c>
      <c r="D13" s="28">
        <v>51813103</v>
      </c>
      <c r="E13" s="29">
        <v>60.3</v>
      </c>
      <c r="F13" s="42">
        <v>990.01</v>
      </c>
      <c r="G13" s="30">
        <f t="shared" si="0"/>
        <v>59697.603</v>
      </c>
      <c r="H13" s="208">
        <v>76198.56</v>
      </c>
      <c r="I13" s="209">
        <f t="shared" si="1"/>
        <v>4594773.168</v>
      </c>
      <c r="J13" s="34" t="s">
        <v>120</v>
      </c>
      <c r="K13" s="35" t="s">
        <v>148</v>
      </c>
      <c r="L13" s="43"/>
      <c r="M13" s="44"/>
      <c r="N13" s="41"/>
      <c r="O13" s="214">
        <v>83.02</v>
      </c>
      <c r="P13" s="215">
        <f t="shared" si="2"/>
        <v>5006.106</v>
      </c>
      <c r="Q13" s="41"/>
      <c r="R13" s="41"/>
      <c r="S13" s="41"/>
      <c r="T13" s="41"/>
      <c r="U13" s="45"/>
    </row>
    <row r="14" spans="1:21">
      <c r="A14" s="41">
        <f t="shared" si="3"/>
        <v>10</v>
      </c>
      <c r="B14" s="27">
        <v>46106</v>
      </c>
      <c r="C14" s="207">
        <v>8612350</v>
      </c>
      <c r="D14" s="28">
        <v>54075502</v>
      </c>
      <c r="E14" s="29">
        <v>60.1</v>
      </c>
      <c r="F14" s="30">
        <v>990.01</v>
      </c>
      <c r="G14" s="30">
        <f t="shared" si="0"/>
        <v>59499.601</v>
      </c>
      <c r="H14" s="208">
        <v>76198.56</v>
      </c>
      <c r="I14" s="209">
        <f t="shared" si="1"/>
        <v>4579533.456</v>
      </c>
      <c r="J14" s="34" t="s">
        <v>120</v>
      </c>
      <c r="K14" s="35" t="s">
        <v>148</v>
      </c>
      <c r="L14" s="43"/>
      <c r="M14" s="44"/>
      <c r="N14" s="41"/>
      <c r="O14" s="214">
        <v>83.02</v>
      </c>
      <c r="P14" s="215">
        <f t="shared" si="2"/>
        <v>4989.502</v>
      </c>
      <c r="Q14" s="41"/>
      <c r="R14" s="41"/>
      <c r="S14" s="41"/>
      <c r="T14" s="41"/>
      <c r="U14" s="45"/>
    </row>
    <row r="15" spans="1:21">
      <c r="A15" s="41">
        <f t="shared" si="3"/>
        <v>11</v>
      </c>
      <c r="B15" s="27">
        <v>46106</v>
      </c>
      <c r="C15" s="207">
        <v>8612351</v>
      </c>
      <c r="D15" s="28">
        <v>54092374</v>
      </c>
      <c r="E15" s="29">
        <v>60.05</v>
      </c>
      <c r="F15" s="42">
        <v>990.01</v>
      </c>
      <c r="G15" s="30">
        <f t="shared" si="0"/>
        <v>59450.1005</v>
      </c>
      <c r="H15" s="208">
        <v>76198.56</v>
      </c>
      <c r="I15" s="209">
        <f t="shared" si="1"/>
        <v>4575723.528</v>
      </c>
      <c r="J15" s="34" t="s">
        <v>120</v>
      </c>
      <c r="K15" s="35" t="s">
        <v>148</v>
      </c>
      <c r="L15" s="43"/>
      <c r="M15" s="44"/>
      <c r="N15" s="41"/>
      <c r="O15" s="214">
        <v>83.02</v>
      </c>
      <c r="P15" s="215">
        <f t="shared" si="2"/>
        <v>4985.351</v>
      </c>
      <c r="Q15" s="41"/>
      <c r="R15" s="41"/>
      <c r="S15" s="41"/>
      <c r="T15" s="41"/>
      <c r="U15" s="45"/>
    </row>
    <row r="16" spans="1:21">
      <c r="A16" s="41">
        <f t="shared" si="3"/>
        <v>12</v>
      </c>
      <c r="B16" s="27">
        <v>46106</v>
      </c>
      <c r="C16" s="207">
        <v>8612351</v>
      </c>
      <c r="D16" s="28">
        <v>54095849</v>
      </c>
      <c r="E16" s="29">
        <v>60.35</v>
      </c>
      <c r="F16" s="42">
        <v>990.01</v>
      </c>
      <c r="G16" s="30">
        <f t="shared" si="0"/>
        <v>59747.1035</v>
      </c>
      <c r="H16" s="208">
        <v>76198.56</v>
      </c>
      <c r="I16" s="209">
        <f t="shared" si="1"/>
        <v>4598583.096</v>
      </c>
      <c r="J16" s="34" t="s">
        <v>120</v>
      </c>
      <c r="K16" s="35" t="s">
        <v>148</v>
      </c>
      <c r="L16" s="43"/>
      <c r="M16" s="44"/>
      <c r="N16" s="41"/>
      <c r="O16" s="214">
        <v>83.02</v>
      </c>
      <c r="P16" s="215">
        <f t="shared" si="2"/>
        <v>5010.257</v>
      </c>
      <c r="Q16" s="41"/>
      <c r="R16" s="41"/>
      <c r="S16" s="41"/>
      <c r="T16" s="41"/>
      <c r="U16" s="45"/>
    </row>
    <row r="17" spans="1:21">
      <c r="A17" s="41">
        <f t="shared" si="3"/>
        <v>13</v>
      </c>
      <c r="B17" s="27">
        <v>46106</v>
      </c>
      <c r="C17" s="207">
        <v>8612350</v>
      </c>
      <c r="D17" s="28">
        <v>54243910</v>
      </c>
      <c r="E17" s="29">
        <v>60.55</v>
      </c>
      <c r="F17" s="30">
        <v>990.01</v>
      </c>
      <c r="G17" s="30">
        <f t="shared" si="0"/>
        <v>59945.1055</v>
      </c>
      <c r="H17" s="208">
        <v>76198.56</v>
      </c>
      <c r="I17" s="209">
        <f t="shared" si="1"/>
        <v>4613822.808</v>
      </c>
      <c r="J17" s="34" t="s">
        <v>120</v>
      </c>
      <c r="K17" s="35" t="s">
        <v>148</v>
      </c>
      <c r="L17" s="43"/>
      <c r="M17" s="44"/>
      <c r="N17" s="41"/>
      <c r="O17" s="214">
        <v>83.02</v>
      </c>
      <c r="P17" s="215">
        <f t="shared" si="2"/>
        <v>5026.861</v>
      </c>
      <c r="Q17" s="41"/>
      <c r="R17" s="41"/>
      <c r="S17" s="41"/>
      <c r="T17" s="41"/>
      <c r="U17" s="45"/>
    </row>
    <row r="18" spans="1:21">
      <c r="A18" s="41">
        <f t="shared" si="3"/>
        <v>14</v>
      </c>
      <c r="B18" s="27">
        <v>46106</v>
      </c>
      <c r="C18" s="207">
        <v>8612350</v>
      </c>
      <c r="D18" s="28">
        <v>54757562</v>
      </c>
      <c r="E18" s="29">
        <v>60.05</v>
      </c>
      <c r="F18" s="42">
        <v>990.01</v>
      </c>
      <c r="G18" s="30">
        <f t="shared" si="0"/>
        <v>59450.1005</v>
      </c>
      <c r="H18" s="208">
        <v>76198.56</v>
      </c>
      <c r="I18" s="209">
        <f t="shared" si="1"/>
        <v>4575723.528</v>
      </c>
      <c r="J18" s="34" t="s">
        <v>120</v>
      </c>
      <c r="K18" s="35" t="s">
        <v>148</v>
      </c>
      <c r="L18" s="43"/>
      <c r="M18" s="44"/>
      <c r="N18" s="41"/>
      <c r="O18" s="214">
        <v>83.02</v>
      </c>
      <c r="P18" s="215">
        <f t="shared" si="2"/>
        <v>4985.351</v>
      </c>
      <c r="Q18" s="41"/>
      <c r="R18" s="41"/>
      <c r="S18" s="41"/>
      <c r="T18" s="41"/>
      <c r="U18" s="45"/>
    </row>
    <row r="19" spans="1:21">
      <c r="A19" s="41">
        <f t="shared" si="3"/>
        <v>15</v>
      </c>
      <c r="B19" s="27">
        <v>46106</v>
      </c>
      <c r="C19" s="207">
        <v>8612350</v>
      </c>
      <c r="D19" s="28">
        <v>54757802</v>
      </c>
      <c r="E19" s="29">
        <v>60.35</v>
      </c>
      <c r="F19" s="42">
        <v>990.01</v>
      </c>
      <c r="G19" s="30">
        <f t="shared" si="0"/>
        <v>59747.1035</v>
      </c>
      <c r="H19" s="208">
        <v>76198.56</v>
      </c>
      <c r="I19" s="209">
        <f t="shared" si="1"/>
        <v>4598583.096</v>
      </c>
      <c r="J19" s="34" t="s">
        <v>120</v>
      </c>
      <c r="K19" s="35" t="s">
        <v>148</v>
      </c>
      <c r="L19" s="43"/>
      <c r="M19" s="44"/>
      <c r="N19" s="41"/>
      <c r="O19" s="214">
        <v>83.02</v>
      </c>
      <c r="P19" s="215">
        <f t="shared" si="2"/>
        <v>5010.257</v>
      </c>
      <c r="Q19" s="41"/>
      <c r="R19" s="41"/>
      <c r="S19" s="41"/>
      <c r="T19" s="41"/>
      <c r="U19" s="45"/>
    </row>
    <row r="20" spans="1:21">
      <c r="A20" s="41">
        <f t="shared" si="3"/>
        <v>16</v>
      </c>
      <c r="B20" s="27">
        <v>46106</v>
      </c>
      <c r="C20" s="207">
        <v>8612351</v>
      </c>
      <c r="D20" s="28">
        <v>57434490</v>
      </c>
      <c r="E20" s="29">
        <v>60.45</v>
      </c>
      <c r="F20" s="30">
        <v>990.01</v>
      </c>
      <c r="G20" s="30">
        <f t="shared" si="0"/>
        <v>59846.1045</v>
      </c>
      <c r="H20" s="208">
        <v>76198.56</v>
      </c>
      <c r="I20" s="209">
        <f t="shared" si="1"/>
        <v>4606202.952</v>
      </c>
      <c r="J20" s="34" t="s">
        <v>120</v>
      </c>
      <c r="K20" s="35" t="s">
        <v>148</v>
      </c>
      <c r="L20" s="43"/>
      <c r="M20" s="44"/>
      <c r="N20" s="41"/>
      <c r="O20" s="214">
        <v>83.02</v>
      </c>
      <c r="P20" s="215">
        <f t="shared" si="2"/>
        <v>5018.559</v>
      </c>
      <c r="Q20" s="41"/>
      <c r="R20" s="41"/>
      <c r="S20" s="41"/>
      <c r="T20" s="41"/>
      <c r="U20" s="45"/>
    </row>
    <row r="21" spans="1:21">
      <c r="A21" s="41">
        <f t="shared" si="3"/>
        <v>17</v>
      </c>
      <c r="B21" s="27">
        <v>46106</v>
      </c>
      <c r="C21" s="207">
        <v>8612351</v>
      </c>
      <c r="D21" s="28">
        <v>57438194</v>
      </c>
      <c r="E21" s="29">
        <v>60.15</v>
      </c>
      <c r="F21" s="42">
        <v>990.01</v>
      </c>
      <c r="G21" s="30">
        <f t="shared" si="0"/>
        <v>59549.1015</v>
      </c>
      <c r="H21" s="208">
        <v>76198.56</v>
      </c>
      <c r="I21" s="209">
        <f t="shared" si="1"/>
        <v>4583343.384</v>
      </c>
      <c r="J21" s="34" t="s">
        <v>120</v>
      </c>
      <c r="K21" s="35" t="s">
        <v>148</v>
      </c>
      <c r="L21" s="43"/>
      <c r="M21" s="44"/>
      <c r="N21" s="41"/>
      <c r="O21" s="214">
        <v>83.02</v>
      </c>
      <c r="P21" s="215">
        <f t="shared" si="2"/>
        <v>4993.653</v>
      </c>
      <c r="Q21" s="41"/>
      <c r="R21" s="41"/>
      <c r="S21" s="41"/>
      <c r="T21" s="41"/>
      <c r="U21" s="45"/>
    </row>
    <row r="22" spans="1:21">
      <c r="A22" s="41">
        <f t="shared" si="3"/>
        <v>18</v>
      </c>
      <c r="B22" s="27">
        <v>46106</v>
      </c>
      <c r="C22" s="207">
        <v>8612350</v>
      </c>
      <c r="D22" s="28">
        <v>57519191</v>
      </c>
      <c r="E22" s="29">
        <v>60.25</v>
      </c>
      <c r="F22" s="42">
        <v>990.01</v>
      </c>
      <c r="G22" s="30">
        <f t="shared" si="0"/>
        <v>59648.1025</v>
      </c>
      <c r="H22" s="208">
        <v>76198.56</v>
      </c>
      <c r="I22" s="209">
        <f t="shared" si="1"/>
        <v>4590963.24</v>
      </c>
      <c r="J22" s="34" t="s">
        <v>120</v>
      </c>
      <c r="K22" s="35" t="s">
        <v>148</v>
      </c>
      <c r="L22" s="43"/>
      <c r="M22" s="44"/>
      <c r="N22" s="41"/>
      <c r="O22" s="214">
        <v>83.02</v>
      </c>
      <c r="P22" s="215">
        <f t="shared" si="2"/>
        <v>5001.955</v>
      </c>
      <c r="Q22" s="41"/>
      <c r="R22" s="41"/>
      <c r="S22" s="41"/>
      <c r="T22" s="41"/>
      <c r="U22" s="45"/>
    </row>
    <row r="23" spans="1:21">
      <c r="A23" s="41">
        <f t="shared" si="3"/>
        <v>19</v>
      </c>
      <c r="B23" s="27">
        <v>46106</v>
      </c>
      <c r="C23" s="207">
        <v>8612350</v>
      </c>
      <c r="D23" s="28">
        <v>57650590</v>
      </c>
      <c r="E23" s="29">
        <v>60.15</v>
      </c>
      <c r="F23" s="30">
        <v>990.01</v>
      </c>
      <c r="G23" s="30">
        <f t="shared" si="0"/>
        <v>59549.1015</v>
      </c>
      <c r="H23" s="208">
        <v>76198.56</v>
      </c>
      <c r="I23" s="209">
        <f t="shared" si="1"/>
        <v>4583343.384</v>
      </c>
      <c r="J23" s="34" t="s">
        <v>120</v>
      </c>
      <c r="K23" s="35" t="s">
        <v>148</v>
      </c>
      <c r="L23" s="43"/>
      <c r="M23" s="44"/>
      <c r="N23" s="41"/>
      <c r="O23" s="214">
        <v>83.02</v>
      </c>
      <c r="P23" s="215">
        <f t="shared" si="2"/>
        <v>4993.653</v>
      </c>
      <c r="Q23" s="41"/>
      <c r="R23" s="41"/>
      <c r="S23" s="41"/>
      <c r="T23" s="41"/>
      <c r="U23" s="45"/>
    </row>
    <row r="24" spans="1:21">
      <c r="A24" s="41">
        <f t="shared" si="3"/>
        <v>20</v>
      </c>
      <c r="B24" s="27">
        <v>46106</v>
      </c>
      <c r="C24" s="207">
        <v>8612350</v>
      </c>
      <c r="D24" s="28">
        <v>58149931</v>
      </c>
      <c r="E24" s="29">
        <v>60.2</v>
      </c>
      <c r="F24" s="42">
        <v>990.01</v>
      </c>
      <c r="G24" s="30">
        <f t="shared" si="0"/>
        <v>59598.602</v>
      </c>
      <c r="H24" s="208">
        <v>76198.56</v>
      </c>
      <c r="I24" s="209">
        <f t="shared" si="1"/>
        <v>4587153.312</v>
      </c>
      <c r="J24" s="34" t="s">
        <v>120</v>
      </c>
      <c r="K24" s="35" t="s">
        <v>148</v>
      </c>
      <c r="L24" s="43"/>
      <c r="M24" s="44"/>
      <c r="N24" s="41"/>
      <c r="O24" s="214">
        <v>83.02</v>
      </c>
      <c r="P24" s="215">
        <f t="shared" si="2"/>
        <v>4997.804</v>
      </c>
      <c r="Q24" s="41"/>
      <c r="R24" s="41"/>
      <c r="S24" s="41"/>
      <c r="T24" s="41"/>
      <c r="U24" s="45"/>
    </row>
    <row r="25" spans="1:21">
      <c r="A25" s="41">
        <f t="shared" si="3"/>
        <v>21</v>
      </c>
      <c r="B25" s="27">
        <v>46106</v>
      </c>
      <c r="C25" s="207">
        <v>8612350</v>
      </c>
      <c r="D25" s="28">
        <v>58639147</v>
      </c>
      <c r="E25" s="29">
        <v>60.4</v>
      </c>
      <c r="F25" s="42">
        <v>990.01</v>
      </c>
      <c r="G25" s="30">
        <f t="shared" si="0"/>
        <v>59796.604</v>
      </c>
      <c r="H25" s="208">
        <v>76198.56</v>
      </c>
      <c r="I25" s="209">
        <f t="shared" si="1"/>
        <v>4602393.024</v>
      </c>
      <c r="J25" s="34" t="s">
        <v>120</v>
      </c>
      <c r="K25" s="35" t="s">
        <v>148</v>
      </c>
      <c r="L25" s="43"/>
      <c r="M25" s="44"/>
      <c r="N25" s="41"/>
      <c r="O25" s="214">
        <v>83.02</v>
      </c>
      <c r="P25" s="215">
        <f t="shared" si="2"/>
        <v>5014.408</v>
      </c>
      <c r="Q25" s="41"/>
      <c r="R25" s="41"/>
      <c r="S25" s="41"/>
      <c r="T25" s="41"/>
      <c r="U25" s="45"/>
    </row>
    <row r="26" spans="1:21">
      <c r="A26" s="41">
        <f t="shared" si="3"/>
        <v>22</v>
      </c>
      <c r="B26" s="27">
        <v>46106</v>
      </c>
      <c r="C26" s="207">
        <v>8612351</v>
      </c>
      <c r="D26" s="28">
        <v>73045940</v>
      </c>
      <c r="E26" s="29">
        <v>60.85</v>
      </c>
      <c r="F26" s="30">
        <v>990.01</v>
      </c>
      <c r="G26" s="30">
        <f t="shared" si="0"/>
        <v>60242.1085</v>
      </c>
      <c r="H26" s="208">
        <v>76198.56</v>
      </c>
      <c r="I26" s="209">
        <f t="shared" si="1"/>
        <v>4636682.376</v>
      </c>
      <c r="J26" s="34" t="s">
        <v>120</v>
      </c>
      <c r="K26" s="35" t="s">
        <v>148</v>
      </c>
      <c r="L26" s="43"/>
      <c r="M26" s="44"/>
      <c r="N26" s="41"/>
      <c r="O26" s="214">
        <v>83.02</v>
      </c>
      <c r="P26" s="215">
        <f t="shared" si="2"/>
        <v>5051.767</v>
      </c>
      <c r="Q26" s="41"/>
      <c r="R26" s="41"/>
      <c r="S26" s="41"/>
      <c r="T26" s="41"/>
      <c r="U26" s="45"/>
    </row>
    <row r="27" spans="1:21">
      <c r="A27" s="41">
        <f t="shared" si="3"/>
        <v>23</v>
      </c>
      <c r="B27" s="27">
        <v>46106</v>
      </c>
      <c r="C27" s="207">
        <v>8612351</v>
      </c>
      <c r="D27" s="28">
        <v>73053340</v>
      </c>
      <c r="E27" s="29">
        <v>60.9</v>
      </c>
      <c r="F27" s="42">
        <v>990.01</v>
      </c>
      <c r="G27" s="30">
        <f t="shared" si="0"/>
        <v>60291.609</v>
      </c>
      <c r="H27" s="208">
        <v>76198.56</v>
      </c>
      <c r="I27" s="209">
        <f t="shared" si="1"/>
        <v>4640492.304</v>
      </c>
      <c r="J27" s="34" t="s">
        <v>120</v>
      </c>
      <c r="K27" s="35" t="s">
        <v>148</v>
      </c>
      <c r="L27" s="43"/>
      <c r="M27" s="44"/>
      <c r="N27" s="41"/>
      <c r="O27" s="214">
        <v>83.02</v>
      </c>
      <c r="P27" s="215">
        <f t="shared" si="2"/>
        <v>5055.918</v>
      </c>
      <c r="Q27" s="41"/>
      <c r="R27" s="41"/>
      <c r="S27" s="41"/>
      <c r="T27" s="41"/>
      <c r="U27" s="45"/>
    </row>
    <row r="28" spans="1:21">
      <c r="A28" s="41">
        <f t="shared" si="3"/>
        <v>24</v>
      </c>
      <c r="B28" s="27">
        <v>46106</v>
      </c>
      <c r="C28" s="207">
        <v>8612351</v>
      </c>
      <c r="D28" s="28">
        <v>73158917</v>
      </c>
      <c r="E28" s="29">
        <v>60.6</v>
      </c>
      <c r="F28" s="42">
        <v>990.01</v>
      </c>
      <c r="G28" s="30">
        <f t="shared" si="0"/>
        <v>59994.606</v>
      </c>
      <c r="H28" s="208">
        <v>76198.56</v>
      </c>
      <c r="I28" s="209">
        <f t="shared" si="1"/>
        <v>4617632.736</v>
      </c>
      <c r="J28" s="34" t="s">
        <v>120</v>
      </c>
      <c r="K28" s="35" t="s">
        <v>148</v>
      </c>
      <c r="L28" s="43"/>
      <c r="M28" s="44"/>
      <c r="N28" s="41"/>
      <c r="O28" s="214">
        <v>83.02</v>
      </c>
      <c r="P28" s="215">
        <f t="shared" si="2"/>
        <v>5031.012</v>
      </c>
      <c r="Q28" s="41"/>
      <c r="R28" s="41"/>
      <c r="S28" s="41"/>
      <c r="T28" s="41"/>
      <c r="U28" s="45"/>
    </row>
    <row r="29" spans="1:21">
      <c r="A29" s="41">
        <f t="shared" si="3"/>
        <v>25</v>
      </c>
      <c r="B29" s="27">
        <v>46106</v>
      </c>
      <c r="C29" s="207">
        <v>8612351</v>
      </c>
      <c r="D29" s="28">
        <v>73174252</v>
      </c>
      <c r="E29" s="29">
        <v>60.95</v>
      </c>
      <c r="F29" s="30">
        <v>990.01</v>
      </c>
      <c r="G29" s="30">
        <f t="shared" si="0"/>
        <v>60341.1095</v>
      </c>
      <c r="H29" s="208">
        <v>76198.56</v>
      </c>
      <c r="I29" s="209">
        <f t="shared" si="1"/>
        <v>4644302.232</v>
      </c>
      <c r="J29" s="34" t="s">
        <v>120</v>
      </c>
      <c r="K29" s="35" t="s">
        <v>148</v>
      </c>
      <c r="L29" s="43"/>
      <c r="M29" s="44"/>
      <c r="N29" s="41"/>
      <c r="O29" s="214">
        <v>83.02</v>
      </c>
      <c r="P29" s="215">
        <f t="shared" si="2"/>
        <v>5060.069</v>
      </c>
      <c r="Q29" s="41"/>
      <c r="R29" s="41"/>
      <c r="S29" s="41"/>
      <c r="T29" s="41"/>
      <c r="U29" s="45"/>
    </row>
    <row r="30" spans="1:21">
      <c r="A30" s="41">
        <f t="shared" si="3"/>
        <v>26</v>
      </c>
      <c r="B30" s="27">
        <v>46106</v>
      </c>
      <c r="C30" s="207">
        <v>8612351</v>
      </c>
      <c r="D30" s="28">
        <v>73179855</v>
      </c>
      <c r="E30" s="29">
        <v>60.8</v>
      </c>
      <c r="F30" s="42">
        <v>990.01</v>
      </c>
      <c r="G30" s="30">
        <f t="shared" si="0"/>
        <v>60192.608</v>
      </c>
      <c r="H30" s="208">
        <v>76198.56</v>
      </c>
      <c r="I30" s="209">
        <f t="shared" si="1"/>
        <v>4632872.448</v>
      </c>
      <c r="J30" s="34" t="s">
        <v>120</v>
      </c>
      <c r="K30" s="35" t="s">
        <v>148</v>
      </c>
      <c r="L30" s="43"/>
      <c r="M30" s="44"/>
      <c r="N30" s="41"/>
      <c r="O30" s="214">
        <v>83.02</v>
      </c>
      <c r="P30" s="215">
        <f t="shared" si="2"/>
        <v>5047.616</v>
      </c>
      <c r="Q30" s="41"/>
      <c r="R30" s="41"/>
      <c r="S30" s="41"/>
      <c r="T30" s="41"/>
      <c r="U30" s="45"/>
    </row>
    <row r="31" spans="1:21">
      <c r="A31" s="41">
        <f t="shared" si="3"/>
        <v>27</v>
      </c>
      <c r="B31" s="27">
        <v>46106</v>
      </c>
      <c r="C31" s="207">
        <v>8612351</v>
      </c>
      <c r="D31" s="28">
        <v>73235285</v>
      </c>
      <c r="E31" s="29">
        <v>60.7</v>
      </c>
      <c r="F31" s="42">
        <v>990.01</v>
      </c>
      <c r="G31" s="30">
        <f t="shared" si="0"/>
        <v>60093.607</v>
      </c>
      <c r="H31" s="208">
        <v>76198.56</v>
      </c>
      <c r="I31" s="209">
        <f t="shared" si="1"/>
        <v>4625252.592</v>
      </c>
      <c r="J31" s="34" t="s">
        <v>120</v>
      </c>
      <c r="K31" s="35" t="s">
        <v>148</v>
      </c>
      <c r="L31" s="43"/>
      <c r="M31" s="44"/>
      <c r="N31" s="41"/>
      <c r="O31" s="214">
        <v>83.02</v>
      </c>
      <c r="P31" s="215">
        <f t="shared" si="2"/>
        <v>5039.314</v>
      </c>
      <c r="Q31" s="41"/>
      <c r="R31" s="41"/>
      <c r="S31" s="41"/>
      <c r="T31" s="41"/>
      <c r="U31" s="45"/>
    </row>
    <row r="32" spans="1:21">
      <c r="A32" s="41">
        <f t="shared" si="3"/>
        <v>28</v>
      </c>
      <c r="B32" s="27">
        <v>46106</v>
      </c>
      <c r="C32" s="207">
        <v>8612351</v>
      </c>
      <c r="D32" s="28">
        <v>73902330</v>
      </c>
      <c r="E32" s="29">
        <v>61.25</v>
      </c>
      <c r="F32" s="30">
        <v>990.01</v>
      </c>
      <c r="G32" s="30">
        <f t="shared" si="0"/>
        <v>60638.1125</v>
      </c>
      <c r="H32" s="208">
        <v>76198.56</v>
      </c>
      <c r="I32" s="209">
        <f t="shared" si="1"/>
        <v>4667161.8</v>
      </c>
      <c r="J32" s="34" t="s">
        <v>120</v>
      </c>
      <c r="K32" s="35" t="s">
        <v>148</v>
      </c>
      <c r="L32" s="43"/>
      <c r="M32" s="44"/>
      <c r="N32" s="41"/>
      <c r="O32" s="214">
        <v>83.02</v>
      </c>
      <c r="P32" s="215">
        <f t="shared" si="2"/>
        <v>5084.975</v>
      </c>
      <c r="Q32" s="41"/>
      <c r="R32" s="41"/>
      <c r="S32" s="41"/>
      <c r="T32" s="41"/>
      <c r="U32" s="45"/>
    </row>
    <row r="33" spans="1:21">
      <c r="A33" s="41">
        <f t="shared" si="3"/>
        <v>29</v>
      </c>
      <c r="B33" s="27">
        <v>46106</v>
      </c>
      <c r="C33" s="207">
        <v>8612350</v>
      </c>
      <c r="D33" s="28">
        <v>73963910</v>
      </c>
      <c r="E33" s="29">
        <v>60.65</v>
      </c>
      <c r="F33" s="42">
        <v>990.01</v>
      </c>
      <c r="G33" s="30">
        <f t="shared" si="0"/>
        <v>60044.1065</v>
      </c>
      <c r="H33" s="208">
        <v>76198.56</v>
      </c>
      <c r="I33" s="209">
        <f t="shared" si="1"/>
        <v>4621442.664</v>
      </c>
      <c r="J33" s="34" t="s">
        <v>120</v>
      </c>
      <c r="K33" s="35" t="s">
        <v>148</v>
      </c>
      <c r="L33" s="43"/>
      <c r="M33" s="44"/>
      <c r="N33" s="41"/>
      <c r="O33" s="214">
        <v>83.02</v>
      </c>
      <c r="P33" s="215">
        <f t="shared" si="2"/>
        <v>5035.163</v>
      </c>
      <c r="Q33" s="41"/>
      <c r="R33" s="41"/>
      <c r="S33" s="41"/>
      <c r="T33" s="41"/>
      <c r="U33" s="45"/>
    </row>
    <row r="34" spans="1:21">
      <c r="A34" s="41">
        <f t="shared" si="3"/>
        <v>30</v>
      </c>
      <c r="B34" s="27">
        <v>46106</v>
      </c>
      <c r="C34" s="207">
        <v>8612351</v>
      </c>
      <c r="D34" s="28">
        <v>74929829</v>
      </c>
      <c r="E34" s="29">
        <v>60.95</v>
      </c>
      <c r="F34" s="42">
        <v>990.01</v>
      </c>
      <c r="G34" s="30">
        <f t="shared" si="0"/>
        <v>60341.1095</v>
      </c>
      <c r="H34" s="208">
        <v>76198.56</v>
      </c>
      <c r="I34" s="209">
        <f t="shared" si="1"/>
        <v>4644302.232</v>
      </c>
      <c r="J34" s="34" t="s">
        <v>120</v>
      </c>
      <c r="K34" s="35" t="s">
        <v>148</v>
      </c>
      <c r="L34" s="43"/>
      <c r="M34" s="44"/>
      <c r="N34" s="41"/>
      <c r="O34" s="214">
        <v>83.02</v>
      </c>
      <c r="P34" s="215">
        <f t="shared" si="2"/>
        <v>5060.069</v>
      </c>
      <c r="Q34" s="41"/>
      <c r="R34" s="41"/>
      <c r="S34" s="41"/>
      <c r="T34" s="41"/>
      <c r="U34" s="45"/>
    </row>
    <row r="35" spans="1:21">
      <c r="A35" s="41">
        <f t="shared" si="3"/>
        <v>31</v>
      </c>
      <c r="B35" s="27">
        <v>46106</v>
      </c>
      <c r="C35" s="207">
        <v>8612350</v>
      </c>
      <c r="D35" s="28">
        <v>74945569</v>
      </c>
      <c r="E35" s="29">
        <v>60.85</v>
      </c>
      <c r="F35" s="30">
        <v>990.01</v>
      </c>
      <c r="G35" s="30">
        <f t="shared" si="0"/>
        <v>60242.1085</v>
      </c>
      <c r="H35" s="208">
        <v>76198.56</v>
      </c>
      <c r="I35" s="209">
        <f t="shared" si="1"/>
        <v>4636682.376</v>
      </c>
      <c r="J35" s="34" t="s">
        <v>120</v>
      </c>
      <c r="K35" s="35" t="s">
        <v>148</v>
      </c>
      <c r="L35" s="43"/>
      <c r="M35" s="44"/>
      <c r="N35" s="41"/>
      <c r="O35" s="214">
        <v>83.02</v>
      </c>
      <c r="P35" s="215">
        <f t="shared" si="2"/>
        <v>5051.767</v>
      </c>
      <c r="Q35" s="41"/>
      <c r="R35" s="41"/>
      <c r="S35" s="41"/>
      <c r="T35" s="41"/>
      <c r="U35" s="45"/>
    </row>
    <row r="36" spans="1:21">
      <c r="A36" s="41">
        <f t="shared" si="3"/>
        <v>32</v>
      </c>
      <c r="B36" s="27">
        <v>46106</v>
      </c>
      <c r="C36" s="207">
        <v>8612350</v>
      </c>
      <c r="D36" s="28">
        <v>75046789</v>
      </c>
      <c r="E36" s="29">
        <v>60.1</v>
      </c>
      <c r="F36" s="42">
        <v>990.01</v>
      </c>
      <c r="G36" s="30">
        <f t="shared" si="0"/>
        <v>59499.601</v>
      </c>
      <c r="H36" s="208">
        <v>76198.56</v>
      </c>
      <c r="I36" s="209">
        <f t="shared" si="1"/>
        <v>4579533.456</v>
      </c>
      <c r="J36" s="34" t="s">
        <v>120</v>
      </c>
      <c r="K36" s="35" t="s">
        <v>148</v>
      </c>
      <c r="L36" s="43"/>
      <c r="M36" s="44"/>
      <c r="N36" s="41"/>
      <c r="O36" s="214">
        <v>83.02</v>
      </c>
      <c r="P36" s="215">
        <f t="shared" si="2"/>
        <v>4989.502</v>
      </c>
      <c r="Q36" s="41"/>
      <c r="R36" s="41"/>
      <c r="S36" s="41"/>
      <c r="T36" s="41"/>
      <c r="U36" s="45"/>
    </row>
    <row r="37" spans="1:21">
      <c r="A37" s="41">
        <f t="shared" si="3"/>
        <v>33</v>
      </c>
      <c r="B37" s="27">
        <v>46106</v>
      </c>
      <c r="C37" s="207">
        <v>8612350</v>
      </c>
      <c r="D37" s="28">
        <v>75180356</v>
      </c>
      <c r="E37" s="29">
        <v>61.9</v>
      </c>
      <c r="F37" s="42">
        <v>990.01</v>
      </c>
      <c r="G37" s="30">
        <f t="shared" si="0"/>
        <v>61281.619</v>
      </c>
      <c r="H37" s="208">
        <v>76198.56</v>
      </c>
      <c r="I37" s="209">
        <f t="shared" si="1"/>
        <v>4716690.864</v>
      </c>
      <c r="J37" s="34" t="s">
        <v>120</v>
      </c>
      <c r="K37" s="35" t="s">
        <v>148</v>
      </c>
      <c r="L37" s="43"/>
      <c r="M37" s="44"/>
      <c r="N37" s="41"/>
      <c r="O37" s="214">
        <v>83.02</v>
      </c>
      <c r="P37" s="215">
        <f t="shared" si="2"/>
        <v>5138.938</v>
      </c>
      <c r="Q37" s="41"/>
      <c r="R37" s="41"/>
      <c r="S37" s="41"/>
      <c r="T37" s="41"/>
      <c r="U37" s="45"/>
    </row>
    <row r="38" ht="15.75" spans="1:21">
      <c r="A38" s="77">
        <f t="shared" si="3"/>
        <v>34</v>
      </c>
      <c r="B38" s="96">
        <v>46106</v>
      </c>
      <c r="C38" s="216">
        <v>8612351</v>
      </c>
      <c r="D38" s="47">
        <v>75291559</v>
      </c>
      <c r="E38" s="48">
        <v>60.95</v>
      </c>
      <c r="F38" s="30">
        <v>990.01</v>
      </c>
      <c r="G38" s="217">
        <f t="shared" si="0"/>
        <v>60341.1095</v>
      </c>
      <c r="H38" s="208">
        <v>76198.56</v>
      </c>
      <c r="I38" s="218">
        <f t="shared" si="1"/>
        <v>4644302.232</v>
      </c>
      <c r="J38" s="81" t="s">
        <v>120</v>
      </c>
      <c r="K38" s="160" t="s">
        <v>148</v>
      </c>
      <c r="L38" s="50"/>
      <c r="M38" s="51"/>
      <c r="N38" s="52"/>
      <c r="O38" s="219">
        <v>83.02</v>
      </c>
      <c r="P38" s="220">
        <f t="shared" si="2"/>
        <v>5060.069</v>
      </c>
      <c r="Q38" s="52"/>
      <c r="R38" s="52"/>
      <c r="S38" s="52"/>
      <c r="T38" s="52"/>
      <c r="U38" s="53"/>
    </row>
    <row r="39" spans="1:21">
      <c r="A39" s="26">
        <v>35</v>
      </c>
      <c r="B39" s="27">
        <v>46108</v>
      </c>
      <c r="C39" s="221">
        <v>8612382</v>
      </c>
      <c r="D39" s="107">
        <v>50786052</v>
      </c>
      <c r="E39" s="108">
        <v>51.35</v>
      </c>
      <c r="F39" s="42">
        <v>990.01</v>
      </c>
      <c r="G39" s="30">
        <f t="shared" ref="G39:G44" si="4">E39*F39</f>
        <v>50837.0135</v>
      </c>
      <c r="H39" s="208">
        <v>76198.56</v>
      </c>
      <c r="I39" s="209">
        <f t="shared" ref="I39:I44" si="5">E39*H39</f>
        <v>3912796.056</v>
      </c>
      <c r="J39" s="70" t="s">
        <v>120</v>
      </c>
      <c r="K39" s="159" t="s">
        <v>148</v>
      </c>
      <c r="L39" s="36"/>
      <c r="M39" s="37"/>
      <c r="N39" s="38"/>
      <c r="O39" s="212">
        <v>83.02</v>
      </c>
      <c r="P39" s="213">
        <f t="shared" ref="P39:P44" si="6">E39*O39</f>
        <v>4263.077</v>
      </c>
      <c r="Q39" s="222"/>
      <c r="R39" s="222"/>
      <c r="S39" s="222"/>
      <c r="T39" s="222"/>
      <c r="U39" s="223"/>
    </row>
    <row r="40" spans="1:21">
      <c r="A40" s="44">
        <f>A39+1</f>
        <v>36</v>
      </c>
      <c r="B40" s="72">
        <v>46108</v>
      </c>
      <c r="C40" s="207">
        <v>8612382</v>
      </c>
      <c r="D40" s="28">
        <v>51247757</v>
      </c>
      <c r="E40" s="29">
        <v>60.05</v>
      </c>
      <c r="F40" s="42">
        <v>990.01</v>
      </c>
      <c r="G40" s="30">
        <f t="shared" si="4"/>
        <v>59450.1005</v>
      </c>
      <c r="H40" s="208">
        <v>76198.56</v>
      </c>
      <c r="I40" s="209">
        <f t="shared" si="5"/>
        <v>4575723.528</v>
      </c>
      <c r="J40" s="34" t="s">
        <v>120</v>
      </c>
      <c r="K40" s="35" t="s">
        <v>148</v>
      </c>
      <c r="L40" s="43"/>
      <c r="M40" s="44"/>
      <c r="N40" s="41"/>
      <c r="O40" s="214">
        <v>83.02</v>
      </c>
      <c r="P40" s="215">
        <f t="shared" si="6"/>
        <v>4985.351</v>
      </c>
      <c r="Q40" s="224"/>
      <c r="R40" s="224"/>
      <c r="S40" s="224"/>
      <c r="T40" s="224"/>
      <c r="U40" s="225"/>
    </row>
    <row r="41" spans="1:21">
      <c r="A41" s="44">
        <f>A40+1</f>
        <v>37</v>
      </c>
      <c r="B41" s="72">
        <v>46108</v>
      </c>
      <c r="C41" s="207">
        <v>8612382</v>
      </c>
      <c r="D41" s="28">
        <v>53872081</v>
      </c>
      <c r="E41" s="29">
        <v>60.2</v>
      </c>
      <c r="F41" s="30">
        <v>990.01</v>
      </c>
      <c r="G41" s="30">
        <f t="shared" si="4"/>
        <v>59598.602</v>
      </c>
      <c r="H41" s="208">
        <v>76198.56</v>
      </c>
      <c r="I41" s="209">
        <f t="shared" si="5"/>
        <v>4587153.312</v>
      </c>
      <c r="J41" s="34" t="s">
        <v>120</v>
      </c>
      <c r="K41" s="35" t="s">
        <v>148</v>
      </c>
      <c r="L41" s="43"/>
      <c r="M41" s="44"/>
      <c r="N41" s="41"/>
      <c r="O41" s="214">
        <v>83.02</v>
      </c>
      <c r="P41" s="215">
        <f t="shared" si="6"/>
        <v>4997.804</v>
      </c>
      <c r="Q41" s="224"/>
      <c r="R41" s="224"/>
      <c r="S41" s="224"/>
      <c r="T41" s="224"/>
      <c r="U41" s="225"/>
    </row>
    <row r="42" spans="1:21">
      <c r="A42" s="44">
        <f>A41+1</f>
        <v>38</v>
      </c>
      <c r="B42" s="72">
        <v>46108</v>
      </c>
      <c r="C42" s="207">
        <v>8612382</v>
      </c>
      <c r="D42" s="28">
        <v>55306948</v>
      </c>
      <c r="E42" s="29">
        <v>60.2</v>
      </c>
      <c r="F42" s="42">
        <v>990.01</v>
      </c>
      <c r="G42" s="30">
        <f t="shared" si="4"/>
        <v>59598.602</v>
      </c>
      <c r="H42" s="208">
        <v>76198.56</v>
      </c>
      <c r="I42" s="209">
        <f t="shared" si="5"/>
        <v>4587153.312</v>
      </c>
      <c r="J42" s="34" t="s">
        <v>120</v>
      </c>
      <c r="K42" s="35" t="s">
        <v>148</v>
      </c>
      <c r="L42" s="43"/>
      <c r="M42" s="44"/>
      <c r="N42" s="41"/>
      <c r="O42" s="214">
        <v>83.02</v>
      </c>
      <c r="P42" s="215">
        <f t="shared" si="6"/>
        <v>4997.804</v>
      </c>
      <c r="Q42" s="224"/>
      <c r="R42" s="224"/>
      <c r="S42" s="224"/>
      <c r="T42" s="224"/>
      <c r="U42" s="225"/>
    </row>
    <row r="43" spans="1:21">
      <c r="A43" s="44">
        <f>A42+1</f>
        <v>39</v>
      </c>
      <c r="B43" s="72">
        <v>46108</v>
      </c>
      <c r="C43" s="207">
        <v>8612382</v>
      </c>
      <c r="D43" s="28">
        <v>57010274</v>
      </c>
      <c r="E43" s="29">
        <v>60.75</v>
      </c>
      <c r="F43" s="42">
        <v>990.01</v>
      </c>
      <c r="G43" s="30">
        <f t="shared" si="4"/>
        <v>60143.1075</v>
      </c>
      <c r="H43" s="208">
        <v>76198.56</v>
      </c>
      <c r="I43" s="209">
        <f t="shared" si="5"/>
        <v>4629062.52</v>
      </c>
      <c r="J43" s="34" t="s">
        <v>120</v>
      </c>
      <c r="K43" s="35" t="s">
        <v>148</v>
      </c>
      <c r="L43" s="43"/>
      <c r="M43" s="44"/>
      <c r="N43" s="41"/>
      <c r="O43" s="214">
        <v>83.02</v>
      </c>
      <c r="P43" s="215">
        <f t="shared" si="6"/>
        <v>5043.465</v>
      </c>
      <c r="Q43" s="224"/>
      <c r="R43" s="224"/>
      <c r="S43" s="224"/>
      <c r="T43" s="224"/>
      <c r="U43" s="225"/>
    </row>
    <row r="44" ht="15.75" spans="1:21">
      <c r="A44" s="51">
        <f>A43+1</f>
        <v>40</v>
      </c>
      <c r="B44" s="157">
        <v>46108</v>
      </c>
      <c r="C44" s="226">
        <v>8612382</v>
      </c>
      <c r="D44" s="158">
        <v>75032425</v>
      </c>
      <c r="E44" s="162">
        <v>60.8</v>
      </c>
      <c r="F44" s="30">
        <v>990.01</v>
      </c>
      <c r="G44" s="227">
        <f t="shared" si="4"/>
        <v>60192.608</v>
      </c>
      <c r="H44" s="208">
        <v>76198.56</v>
      </c>
      <c r="I44" s="228">
        <f t="shared" si="5"/>
        <v>4632872.448</v>
      </c>
      <c r="J44" s="165" t="s">
        <v>120</v>
      </c>
      <c r="K44" s="166" t="s">
        <v>148</v>
      </c>
      <c r="L44" s="83"/>
      <c r="M44" s="51"/>
      <c r="N44" s="52"/>
      <c r="O44" s="219">
        <v>83.02</v>
      </c>
      <c r="P44" s="220">
        <f t="shared" si="6"/>
        <v>5047.616</v>
      </c>
      <c r="Q44" s="229"/>
      <c r="R44" s="229"/>
      <c r="S44" s="229"/>
      <c r="T44" s="229"/>
      <c r="U44" s="230"/>
    </row>
    <row r="45" spans="1:21">
      <c r="A45" s="67">
        <v>41</v>
      </c>
      <c r="B45" s="27">
        <v>46109</v>
      </c>
      <c r="C45" s="221">
        <v>8612392</v>
      </c>
      <c r="D45" s="107">
        <v>51254498</v>
      </c>
      <c r="E45" s="108">
        <v>50.7</v>
      </c>
      <c r="F45" s="42">
        <v>990.01</v>
      </c>
      <c r="G45" s="30">
        <f t="shared" ref="G45:G102" si="7">E45*F45</f>
        <v>50193.507</v>
      </c>
      <c r="H45" s="208">
        <v>76198.56</v>
      </c>
      <c r="I45" s="209">
        <f t="shared" ref="I45:I102" si="8">E45*H45</f>
        <v>3863266.992</v>
      </c>
      <c r="J45" s="70" t="s">
        <v>120</v>
      </c>
      <c r="K45" s="159" t="s">
        <v>148</v>
      </c>
      <c r="L45" s="231"/>
      <c r="M45" s="37"/>
      <c r="N45" s="38"/>
      <c r="O45" s="212">
        <v>83.02</v>
      </c>
      <c r="P45" s="213">
        <f t="shared" ref="P45:P102" si="9">E45*O45</f>
        <v>4209.114</v>
      </c>
      <c r="Q45" s="222"/>
      <c r="R45" s="222"/>
      <c r="S45" s="222"/>
      <c r="T45" s="222"/>
      <c r="U45" s="223"/>
    </row>
    <row r="46" spans="1:21">
      <c r="A46" s="41">
        <f t="shared" ref="A46:A102" si="10">A45+1</f>
        <v>42</v>
      </c>
      <c r="B46" s="72">
        <v>46109</v>
      </c>
      <c r="C46" s="207">
        <v>8612392</v>
      </c>
      <c r="D46" s="28">
        <v>51463206</v>
      </c>
      <c r="E46" s="29">
        <v>50.75</v>
      </c>
      <c r="F46" s="42">
        <v>990.01</v>
      </c>
      <c r="G46" s="30">
        <f t="shared" si="7"/>
        <v>50243.0075</v>
      </c>
      <c r="H46" s="208">
        <v>76198.56</v>
      </c>
      <c r="I46" s="209">
        <f t="shared" si="8"/>
        <v>3867076.92</v>
      </c>
      <c r="J46" s="34" t="s">
        <v>120</v>
      </c>
      <c r="K46" s="35" t="s">
        <v>148</v>
      </c>
      <c r="L46" s="43"/>
      <c r="M46" s="44"/>
      <c r="N46" s="41"/>
      <c r="O46" s="214">
        <v>83.02</v>
      </c>
      <c r="P46" s="215">
        <f t="shared" si="9"/>
        <v>4213.265</v>
      </c>
      <c r="Q46" s="224"/>
      <c r="R46" s="224"/>
      <c r="S46" s="224"/>
      <c r="T46" s="224"/>
      <c r="U46" s="225"/>
    </row>
    <row r="47" spans="1:21">
      <c r="A47" s="41">
        <f t="shared" si="10"/>
        <v>43</v>
      </c>
      <c r="B47" s="72">
        <v>46109</v>
      </c>
      <c r="C47" s="207">
        <v>8612392</v>
      </c>
      <c r="D47" s="28">
        <v>73013674</v>
      </c>
      <c r="E47" s="29">
        <v>60.4</v>
      </c>
      <c r="F47" s="30">
        <v>990.01</v>
      </c>
      <c r="G47" s="30">
        <f t="shared" si="7"/>
        <v>59796.604</v>
      </c>
      <c r="H47" s="208">
        <v>76198.56</v>
      </c>
      <c r="I47" s="209">
        <f t="shared" si="8"/>
        <v>4602393.024</v>
      </c>
      <c r="J47" s="34" t="s">
        <v>120</v>
      </c>
      <c r="K47" s="35" t="s">
        <v>148</v>
      </c>
      <c r="L47" s="43"/>
      <c r="M47" s="44"/>
      <c r="N47" s="41"/>
      <c r="O47" s="214">
        <v>83.02</v>
      </c>
      <c r="P47" s="215">
        <f t="shared" si="9"/>
        <v>5014.408</v>
      </c>
      <c r="Q47" s="224"/>
      <c r="R47" s="224"/>
      <c r="S47" s="224"/>
      <c r="T47" s="224"/>
      <c r="U47" s="225"/>
    </row>
    <row r="48" spans="1:21">
      <c r="A48" s="41">
        <f t="shared" si="10"/>
        <v>44</v>
      </c>
      <c r="B48" s="72">
        <v>46109</v>
      </c>
      <c r="C48" s="207">
        <v>8612392</v>
      </c>
      <c r="D48" s="28">
        <v>75208835</v>
      </c>
      <c r="E48" s="29">
        <v>60.65</v>
      </c>
      <c r="F48" s="42">
        <v>990.01</v>
      </c>
      <c r="G48" s="30">
        <f t="shared" si="7"/>
        <v>60044.1065</v>
      </c>
      <c r="H48" s="208">
        <v>76198.56</v>
      </c>
      <c r="I48" s="209">
        <f t="shared" si="8"/>
        <v>4621442.664</v>
      </c>
      <c r="J48" s="34" t="s">
        <v>120</v>
      </c>
      <c r="K48" s="35" t="s">
        <v>148</v>
      </c>
      <c r="L48" s="43"/>
      <c r="M48" s="44"/>
      <c r="N48" s="41"/>
      <c r="O48" s="214">
        <v>83.02</v>
      </c>
      <c r="P48" s="215">
        <f t="shared" si="9"/>
        <v>5035.163</v>
      </c>
      <c r="Q48" s="224"/>
      <c r="R48" s="224"/>
      <c r="S48" s="224"/>
      <c r="T48" s="224"/>
      <c r="U48" s="225"/>
    </row>
    <row r="49" spans="1:21">
      <c r="A49" s="41">
        <f t="shared" si="10"/>
        <v>45</v>
      </c>
      <c r="B49" s="72">
        <v>46109</v>
      </c>
      <c r="C49" s="207">
        <v>8612392</v>
      </c>
      <c r="D49" s="28">
        <v>75283051</v>
      </c>
      <c r="E49" s="29">
        <v>60.65</v>
      </c>
      <c r="F49" s="42">
        <v>990.01</v>
      </c>
      <c r="G49" s="30">
        <f t="shared" si="7"/>
        <v>60044.1065</v>
      </c>
      <c r="H49" s="208">
        <v>76198.56</v>
      </c>
      <c r="I49" s="209">
        <f t="shared" si="8"/>
        <v>4621442.664</v>
      </c>
      <c r="J49" s="34" t="s">
        <v>120</v>
      </c>
      <c r="K49" s="35" t="s">
        <v>148</v>
      </c>
      <c r="L49" s="43"/>
      <c r="M49" s="44"/>
      <c r="N49" s="41"/>
      <c r="O49" s="214">
        <v>83.02</v>
      </c>
      <c r="P49" s="215">
        <f t="shared" si="9"/>
        <v>5035.163</v>
      </c>
      <c r="Q49" s="224"/>
      <c r="R49" s="224"/>
      <c r="S49" s="224"/>
      <c r="T49" s="224"/>
      <c r="U49" s="225"/>
    </row>
    <row r="50" spans="1:21">
      <c r="A50" s="41">
        <f t="shared" si="10"/>
        <v>46</v>
      </c>
      <c r="B50" s="72">
        <v>46109</v>
      </c>
      <c r="C50" s="207">
        <v>8612392</v>
      </c>
      <c r="D50" s="28">
        <v>75309278</v>
      </c>
      <c r="E50" s="29">
        <v>60.65</v>
      </c>
      <c r="F50" s="30">
        <v>990.01</v>
      </c>
      <c r="G50" s="30">
        <f t="shared" si="7"/>
        <v>60044.1065</v>
      </c>
      <c r="H50" s="208">
        <v>76198.56</v>
      </c>
      <c r="I50" s="209">
        <f t="shared" si="8"/>
        <v>4621442.664</v>
      </c>
      <c r="J50" s="34" t="s">
        <v>120</v>
      </c>
      <c r="K50" s="35" t="s">
        <v>148</v>
      </c>
      <c r="L50" s="43"/>
      <c r="M50" s="44"/>
      <c r="N50" s="41"/>
      <c r="O50" s="214">
        <v>83.02</v>
      </c>
      <c r="P50" s="215">
        <f t="shared" si="9"/>
        <v>5035.163</v>
      </c>
      <c r="Q50" s="224"/>
      <c r="R50" s="224"/>
      <c r="S50" s="224"/>
      <c r="T50" s="224"/>
      <c r="U50" s="225"/>
    </row>
    <row r="51" spans="1:21">
      <c r="A51" s="41">
        <f t="shared" si="10"/>
        <v>47</v>
      </c>
      <c r="B51" s="72">
        <v>46109</v>
      </c>
      <c r="C51" s="207">
        <v>8612392</v>
      </c>
      <c r="D51" s="28">
        <v>75867697</v>
      </c>
      <c r="E51" s="29">
        <v>60.6</v>
      </c>
      <c r="F51" s="42">
        <v>990.01</v>
      </c>
      <c r="G51" s="30">
        <f t="shared" si="7"/>
        <v>59994.606</v>
      </c>
      <c r="H51" s="208">
        <v>76198.56</v>
      </c>
      <c r="I51" s="209">
        <f t="shared" si="8"/>
        <v>4617632.736</v>
      </c>
      <c r="J51" s="34" t="s">
        <v>120</v>
      </c>
      <c r="K51" s="35" t="s">
        <v>148</v>
      </c>
      <c r="L51" s="43"/>
      <c r="M51" s="44"/>
      <c r="N51" s="41"/>
      <c r="O51" s="214">
        <v>83.02</v>
      </c>
      <c r="P51" s="215">
        <f t="shared" si="9"/>
        <v>5031.012</v>
      </c>
      <c r="Q51" s="224"/>
      <c r="R51" s="224"/>
      <c r="S51" s="224"/>
      <c r="T51" s="224"/>
      <c r="U51" s="225"/>
    </row>
    <row r="52" spans="1:21">
      <c r="A52" s="41">
        <f t="shared" si="10"/>
        <v>48</v>
      </c>
      <c r="B52" s="72">
        <v>46109</v>
      </c>
      <c r="C52" s="207">
        <v>8612393</v>
      </c>
      <c r="D52" s="28">
        <v>50309194</v>
      </c>
      <c r="E52" s="29">
        <v>59.85</v>
      </c>
      <c r="F52" s="42">
        <v>990.01</v>
      </c>
      <c r="G52" s="30">
        <f t="shared" si="7"/>
        <v>59252.0985</v>
      </c>
      <c r="H52" s="208">
        <v>76198.56</v>
      </c>
      <c r="I52" s="209">
        <f t="shared" si="8"/>
        <v>4560483.816</v>
      </c>
      <c r="J52" s="34" t="s">
        <v>120</v>
      </c>
      <c r="K52" s="35" t="s">
        <v>148</v>
      </c>
      <c r="L52" s="43"/>
      <c r="M52" s="44"/>
      <c r="N52" s="41"/>
      <c r="O52" s="214">
        <v>83.02</v>
      </c>
      <c r="P52" s="215">
        <f t="shared" si="9"/>
        <v>4968.747</v>
      </c>
      <c r="Q52" s="224"/>
      <c r="R52" s="224"/>
      <c r="S52" s="224"/>
      <c r="T52" s="224"/>
      <c r="U52" s="225"/>
    </row>
    <row r="53" spans="1:21">
      <c r="A53" s="41">
        <f t="shared" si="10"/>
        <v>49</v>
      </c>
      <c r="B53" s="72">
        <v>46109</v>
      </c>
      <c r="C53" s="207">
        <v>8612390</v>
      </c>
      <c r="D53" s="28">
        <v>50362367</v>
      </c>
      <c r="E53" s="29">
        <v>52.15</v>
      </c>
      <c r="F53" s="30">
        <v>990.01</v>
      </c>
      <c r="G53" s="30">
        <f t="shared" si="7"/>
        <v>51629.0215</v>
      </c>
      <c r="H53" s="208">
        <v>76198.56</v>
      </c>
      <c r="I53" s="209">
        <f t="shared" si="8"/>
        <v>3973754.904</v>
      </c>
      <c r="J53" s="34" t="s">
        <v>120</v>
      </c>
      <c r="K53" s="35" t="s">
        <v>148</v>
      </c>
      <c r="L53" s="43"/>
      <c r="M53" s="44"/>
      <c r="N53" s="41"/>
      <c r="O53" s="214">
        <v>83.02</v>
      </c>
      <c r="P53" s="215">
        <f t="shared" si="9"/>
        <v>4329.493</v>
      </c>
      <c r="Q53" s="224"/>
      <c r="R53" s="224"/>
      <c r="S53" s="224"/>
      <c r="T53" s="224"/>
      <c r="U53" s="225"/>
    </row>
    <row r="54" spans="1:21">
      <c r="A54" s="41">
        <f t="shared" si="10"/>
        <v>50</v>
      </c>
      <c r="B54" s="72">
        <v>46109</v>
      </c>
      <c r="C54" s="207">
        <v>8612390</v>
      </c>
      <c r="D54" s="28">
        <v>50375930</v>
      </c>
      <c r="E54" s="29">
        <v>52.2</v>
      </c>
      <c r="F54" s="42">
        <v>990.01</v>
      </c>
      <c r="G54" s="30">
        <f t="shared" si="7"/>
        <v>51678.522</v>
      </c>
      <c r="H54" s="208">
        <v>76198.56</v>
      </c>
      <c r="I54" s="209">
        <f t="shared" si="8"/>
        <v>3977564.832</v>
      </c>
      <c r="J54" s="34" t="s">
        <v>120</v>
      </c>
      <c r="K54" s="35" t="s">
        <v>148</v>
      </c>
      <c r="L54" s="43"/>
      <c r="M54" s="44"/>
      <c r="N54" s="41"/>
      <c r="O54" s="214">
        <v>83.02</v>
      </c>
      <c r="P54" s="215">
        <f t="shared" si="9"/>
        <v>4333.644</v>
      </c>
      <c r="Q54" s="224"/>
      <c r="R54" s="224"/>
      <c r="S54" s="224"/>
      <c r="T54" s="224"/>
      <c r="U54" s="225"/>
    </row>
    <row r="55" spans="1:21">
      <c r="A55" s="41">
        <f t="shared" si="10"/>
        <v>51</v>
      </c>
      <c r="B55" s="72">
        <v>46109</v>
      </c>
      <c r="C55" s="207">
        <v>8612391</v>
      </c>
      <c r="D55" s="28">
        <v>50413830</v>
      </c>
      <c r="E55" s="29">
        <v>59.85</v>
      </c>
      <c r="F55" s="42">
        <v>990.01</v>
      </c>
      <c r="G55" s="30">
        <f t="shared" si="7"/>
        <v>59252.0985</v>
      </c>
      <c r="H55" s="208">
        <v>76198.56</v>
      </c>
      <c r="I55" s="209">
        <f t="shared" si="8"/>
        <v>4560483.816</v>
      </c>
      <c r="J55" s="34" t="s">
        <v>120</v>
      </c>
      <c r="K55" s="35" t="s">
        <v>148</v>
      </c>
      <c r="L55" s="43"/>
      <c r="M55" s="44"/>
      <c r="N55" s="41"/>
      <c r="O55" s="214">
        <v>83.02</v>
      </c>
      <c r="P55" s="215">
        <f t="shared" si="9"/>
        <v>4968.747</v>
      </c>
      <c r="Q55" s="224"/>
      <c r="R55" s="224"/>
      <c r="S55" s="224"/>
      <c r="T55" s="224"/>
      <c r="U55" s="225"/>
    </row>
    <row r="56" spans="1:21">
      <c r="A56" s="41">
        <f t="shared" si="10"/>
        <v>52</v>
      </c>
      <c r="B56" s="72">
        <v>46109</v>
      </c>
      <c r="C56" s="207">
        <v>8612389</v>
      </c>
      <c r="D56" s="28">
        <v>50484666</v>
      </c>
      <c r="E56" s="29">
        <v>59.9</v>
      </c>
      <c r="F56" s="30">
        <v>990.01</v>
      </c>
      <c r="G56" s="30">
        <f t="shared" si="7"/>
        <v>59301.599</v>
      </c>
      <c r="H56" s="208">
        <v>76198.56</v>
      </c>
      <c r="I56" s="209">
        <f t="shared" si="8"/>
        <v>4564293.744</v>
      </c>
      <c r="J56" s="34" t="s">
        <v>120</v>
      </c>
      <c r="K56" s="35" t="s">
        <v>148</v>
      </c>
      <c r="L56" s="43"/>
      <c r="M56" s="44"/>
      <c r="N56" s="41"/>
      <c r="O56" s="214">
        <v>83.02</v>
      </c>
      <c r="P56" s="215">
        <f t="shared" si="9"/>
        <v>4972.898</v>
      </c>
      <c r="Q56" s="224"/>
      <c r="R56" s="224"/>
      <c r="S56" s="224"/>
      <c r="T56" s="224"/>
      <c r="U56" s="225"/>
    </row>
    <row r="57" spans="1:21">
      <c r="A57" s="41">
        <f t="shared" si="10"/>
        <v>53</v>
      </c>
      <c r="B57" s="72">
        <v>46109</v>
      </c>
      <c r="C57" s="207">
        <v>8612391</v>
      </c>
      <c r="D57" s="28">
        <v>50485200</v>
      </c>
      <c r="E57" s="29">
        <v>59.85</v>
      </c>
      <c r="F57" s="42">
        <v>990.01</v>
      </c>
      <c r="G57" s="30">
        <f t="shared" si="7"/>
        <v>59252.0985</v>
      </c>
      <c r="H57" s="208">
        <v>76198.56</v>
      </c>
      <c r="I57" s="209">
        <f t="shared" si="8"/>
        <v>4560483.816</v>
      </c>
      <c r="J57" s="34" t="s">
        <v>120</v>
      </c>
      <c r="K57" s="35" t="s">
        <v>148</v>
      </c>
      <c r="L57" s="43"/>
      <c r="M57" s="44"/>
      <c r="N57" s="41"/>
      <c r="O57" s="214">
        <v>83.02</v>
      </c>
      <c r="P57" s="215">
        <f t="shared" si="9"/>
        <v>4968.747</v>
      </c>
      <c r="Q57" s="224"/>
      <c r="R57" s="224"/>
      <c r="S57" s="224"/>
      <c r="T57" s="224"/>
      <c r="U57" s="225"/>
    </row>
    <row r="58" spans="1:21">
      <c r="A58" s="41">
        <f t="shared" si="10"/>
        <v>54</v>
      </c>
      <c r="B58" s="72">
        <v>46109</v>
      </c>
      <c r="C58" s="207">
        <v>8612393</v>
      </c>
      <c r="D58" s="28">
        <v>50960558</v>
      </c>
      <c r="E58" s="29">
        <v>59.85</v>
      </c>
      <c r="F58" s="42">
        <v>990.01</v>
      </c>
      <c r="G58" s="30">
        <f t="shared" si="7"/>
        <v>59252.0985</v>
      </c>
      <c r="H58" s="208">
        <v>76198.56</v>
      </c>
      <c r="I58" s="209">
        <f t="shared" si="8"/>
        <v>4560483.816</v>
      </c>
      <c r="J58" s="34" t="s">
        <v>120</v>
      </c>
      <c r="K58" s="35" t="s">
        <v>148</v>
      </c>
      <c r="L58" s="43"/>
      <c r="M58" s="44"/>
      <c r="N58" s="41"/>
      <c r="O58" s="214">
        <v>83.02</v>
      </c>
      <c r="P58" s="215">
        <f t="shared" si="9"/>
        <v>4968.747</v>
      </c>
      <c r="Q58" s="224"/>
      <c r="R58" s="224"/>
      <c r="S58" s="224"/>
      <c r="T58" s="224"/>
      <c r="U58" s="225"/>
    </row>
    <row r="59" spans="1:21">
      <c r="A59" s="41">
        <f t="shared" si="10"/>
        <v>55</v>
      </c>
      <c r="B59" s="72">
        <v>46109</v>
      </c>
      <c r="C59" s="207">
        <v>8612393</v>
      </c>
      <c r="D59" s="28">
        <v>51256949</v>
      </c>
      <c r="E59" s="29">
        <v>59.9</v>
      </c>
      <c r="F59" s="30">
        <v>990.01</v>
      </c>
      <c r="G59" s="30">
        <f t="shared" si="7"/>
        <v>59301.599</v>
      </c>
      <c r="H59" s="208">
        <v>76198.56</v>
      </c>
      <c r="I59" s="209">
        <f t="shared" si="8"/>
        <v>4564293.744</v>
      </c>
      <c r="J59" s="34" t="s">
        <v>120</v>
      </c>
      <c r="K59" s="35" t="s">
        <v>148</v>
      </c>
      <c r="L59" s="43"/>
      <c r="M59" s="44"/>
      <c r="N59" s="41"/>
      <c r="O59" s="214">
        <v>83.02</v>
      </c>
      <c r="P59" s="215">
        <f t="shared" si="9"/>
        <v>4972.898</v>
      </c>
      <c r="Q59" s="224"/>
      <c r="R59" s="224"/>
      <c r="S59" s="224"/>
      <c r="T59" s="224"/>
      <c r="U59" s="225"/>
    </row>
    <row r="60" spans="1:21">
      <c r="A60" s="41">
        <f t="shared" si="10"/>
        <v>56</v>
      </c>
      <c r="B60" s="72">
        <v>46109</v>
      </c>
      <c r="C60" s="207">
        <v>8612391</v>
      </c>
      <c r="D60" s="28">
        <v>51296580</v>
      </c>
      <c r="E60" s="29">
        <v>50.7</v>
      </c>
      <c r="F60" s="42">
        <v>990.01</v>
      </c>
      <c r="G60" s="30">
        <f t="shared" si="7"/>
        <v>50193.507</v>
      </c>
      <c r="H60" s="208">
        <v>76198.56</v>
      </c>
      <c r="I60" s="209">
        <f t="shared" si="8"/>
        <v>3863266.992</v>
      </c>
      <c r="J60" s="34" t="s">
        <v>120</v>
      </c>
      <c r="K60" s="35" t="s">
        <v>148</v>
      </c>
      <c r="L60" s="43"/>
      <c r="M60" s="44"/>
      <c r="N60" s="41"/>
      <c r="O60" s="214">
        <v>83.02</v>
      </c>
      <c r="P60" s="215">
        <f t="shared" si="9"/>
        <v>4209.114</v>
      </c>
      <c r="Q60" s="224"/>
      <c r="R60" s="224"/>
      <c r="S60" s="224"/>
      <c r="T60" s="224"/>
      <c r="U60" s="225"/>
    </row>
    <row r="61" spans="1:21">
      <c r="A61" s="41">
        <f t="shared" si="10"/>
        <v>57</v>
      </c>
      <c r="B61" s="72">
        <v>46109</v>
      </c>
      <c r="C61" s="207">
        <v>8612390</v>
      </c>
      <c r="D61" s="28">
        <v>51379170</v>
      </c>
      <c r="E61" s="29">
        <v>50.9</v>
      </c>
      <c r="F61" s="42">
        <v>990.01</v>
      </c>
      <c r="G61" s="30">
        <f t="shared" si="7"/>
        <v>50391.509</v>
      </c>
      <c r="H61" s="208">
        <v>76198.56</v>
      </c>
      <c r="I61" s="209">
        <f t="shared" si="8"/>
        <v>3878506.704</v>
      </c>
      <c r="J61" s="34" t="s">
        <v>120</v>
      </c>
      <c r="K61" s="35" t="s">
        <v>148</v>
      </c>
      <c r="L61" s="43"/>
      <c r="M61" s="44"/>
      <c r="N61" s="41"/>
      <c r="O61" s="214">
        <v>83.02</v>
      </c>
      <c r="P61" s="215">
        <f t="shared" si="9"/>
        <v>4225.718</v>
      </c>
      <c r="Q61" s="224"/>
      <c r="R61" s="224"/>
      <c r="S61" s="224"/>
      <c r="T61" s="224"/>
      <c r="U61" s="225"/>
    </row>
    <row r="62" spans="1:21">
      <c r="A62" s="41">
        <f t="shared" si="10"/>
        <v>58</v>
      </c>
      <c r="B62" s="72">
        <v>46109</v>
      </c>
      <c r="C62" s="207">
        <v>8612390</v>
      </c>
      <c r="D62" s="28">
        <v>51381507</v>
      </c>
      <c r="E62" s="29">
        <v>51.6</v>
      </c>
      <c r="F62" s="30">
        <v>990.01</v>
      </c>
      <c r="G62" s="30">
        <f t="shared" si="7"/>
        <v>51084.516</v>
      </c>
      <c r="H62" s="208">
        <v>76198.56</v>
      </c>
      <c r="I62" s="209">
        <f t="shared" si="8"/>
        <v>3931845.696</v>
      </c>
      <c r="J62" s="34" t="s">
        <v>120</v>
      </c>
      <c r="K62" s="35" t="s">
        <v>148</v>
      </c>
      <c r="L62" s="43"/>
      <c r="M62" s="44"/>
      <c r="N62" s="41"/>
      <c r="O62" s="214">
        <v>83.02</v>
      </c>
      <c r="P62" s="215">
        <f t="shared" si="9"/>
        <v>4283.832</v>
      </c>
      <c r="Q62" s="224"/>
      <c r="R62" s="224"/>
      <c r="S62" s="224"/>
      <c r="T62" s="224"/>
      <c r="U62" s="225"/>
    </row>
    <row r="63" spans="1:21">
      <c r="A63" s="41">
        <f t="shared" si="10"/>
        <v>59</v>
      </c>
      <c r="B63" s="72">
        <v>46109</v>
      </c>
      <c r="C63" s="207">
        <v>8612389</v>
      </c>
      <c r="D63" s="28">
        <v>51391134</v>
      </c>
      <c r="E63" s="29">
        <v>51.25</v>
      </c>
      <c r="F63" s="42">
        <v>990.01</v>
      </c>
      <c r="G63" s="30">
        <f t="shared" si="7"/>
        <v>50738.0125</v>
      </c>
      <c r="H63" s="208">
        <v>76198.56</v>
      </c>
      <c r="I63" s="209">
        <f t="shared" si="8"/>
        <v>3905176.2</v>
      </c>
      <c r="J63" s="34" t="s">
        <v>120</v>
      </c>
      <c r="K63" s="35" t="s">
        <v>148</v>
      </c>
      <c r="L63" s="43"/>
      <c r="M63" s="44"/>
      <c r="N63" s="41"/>
      <c r="O63" s="214">
        <v>83.02</v>
      </c>
      <c r="P63" s="215">
        <f t="shared" si="9"/>
        <v>4254.775</v>
      </c>
      <c r="Q63" s="224"/>
      <c r="R63" s="224"/>
      <c r="S63" s="224"/>
      <c r="T63" s="224"/>
      <c r="U63" s="225"/>
    </row>
    <row r="64" spans="1:21">
      <c r="A64" s="41">
        <f t="shared" si="10"/>
        <v>60</v>
      </c>
      <c r="B64" s="72">
        <v>46109</v>
      </c>
      <c r="C64" s="207">
        <v>8612393</v>
      </c>
      <c r="D64" s="28">
        <v>51630275</v>
      </c>
      <c r="E64" s="29">
        <v>59.9</v>
      </c>
      <c r="F64" s="42">
        <v>990.01</v>
      </c>
      <c r="G64" s="30">
        <f t="shared" si="7"/>
        <v>59301.599</v>
      </c>
      <c r="H64" s="208">
        <v>76198.56</v>
      </c>
      <c r="I64" s="209">
        <f t="shared" si="8"/>
        <v>4564293.744</v>
      </c>
      <c r="J64" s="34" t="s">
        <v>120</v>
      </c>
      <c r="K64" s="35" t="s">
        <v>148</v>
      </c>
      <c r="L64" s="43"/>
      <c r="M64" s="44"/>
      <c r="N64" s="41"/>
      <c r="O64" s="214">
        <v>83.02</v>
      </c>
      <c r="P64" s="215">
        <f t="shared" si="9"/>
        <v>4972.898</v>
      </c>
      <c r="Q64" s="224"/>
      <c r="R64" s="224"/>
      <c r="S64" s="224"/>
      <c r="T64" s="224"/>
      <c r="U64" s="225"/>
    </row>
    <row r="65" spans="1:21">
      <c r="A65" s="41">
        <f t="shared" si="10"/>
        <v>61</v>
      </c>
      <c r="B65" s="72">
        <v>46109</v>
      </c>
      <c r="C65" s="207">
        <v>8612389</v>
      </c>
      <c r="D65" s="28">
        <v>51814168</v>
      </c>
      <c r="E65" s="29">
        <v>59.95</v>
      </c>
      <c r="F65" s="30">
        <v>990.01</v>
      </c>
      <c r="G65" s="30">
        <f t="shared" si="7"/>
        <v>59351.0995</v>
      </c>
      <c r="H65" s="208">
        <v>76198.56</v>
      </c>
      <c r="I65" s="209">
        <f t="shared" si="8"/>
        <v>4568103.672</v>
      </c>
      <c r="J65" s="34" t="s">
        <v>120</v>
      </c>
      <c r="K65" s="35" t="s">
        <v>148</v>
      </c>
      <c r="L65" s="43"/>
      <c r="M65" s="44"/>
      <c r="N65" s="41"/>
      <c r="O65" s="214">
        <v>83.02</v>
      </c>
      <c r="P65" s="215">
        <f t="shared" si="9"/>
        <v>4977.049</v>
      </c>
      <c r="Q65" s="224"/>
      <c r="R65" s="224"/>
      <c r="S65" s="224"/>
      <c r="T65" s="224"/>
      <c r="U65" s="225"/>
    </row>
    <row r="66" spans="1:21">
      <c r="A66" s="41">
        <f t="shared" si="10"/>
        <v>62</v>
      </c>
      <c r="B66" s="72">
        <v>46109</v>
      </c>
      <c r="C66" s="207">
        <v>8612391</v>
      </c>
      <c r="D66" s="28">
        <v>52078391</v>
      </c>
      <c r="E66" s="29">
        <v>59.85</v>
      </c>
      <c r="F66" s="42">
        <v>990.01</v>
      </c>
      <c r="G66" s="30">
        <f t="shared" si="7"/>
        <v>59252.0985</v>
      </c>
      <c r="H66" s="208">
        <v>76198.56</v>
      </c>
      <c r="I66" s="209">
        <f t="shared" si="8"/>
        <v>4560483.816</v>
      </c>
      <c r="J66" s="34" t="s">
        <v>120</v>
      </c>
      <c r="K66" s="35" t="s">
        <v>148</v>
      </c>
      <c r="L66" s="43"/>
      <c r="M66" s="44"/>
      <c r="N66" s="41"/>
      <c r="O66" s="214">
        <v>83.02</v>
      </c>
      <c r="P66" s="215">
        <f t="shared" si="9"/>
        <v>4968.747</v>
      </c>
      <c r="Q66" s="224"/>
      <c r="R66" s="224"/>
      <c r="S66" s="224"/>
      <c r="T66" s="224"/>
      <c r="U66" s="225"/>
    </row>
    <row r="67" spans="1:21">
      <c r="A67" s="41">
        <f t="shared" si="10"/>
        <v>63</v>
      </c>
      <c r="B67" s="72">
        <v>46109</v>
      </c>
      <c r="C67" s="207">
        <v>8612389</v>
      </c>
      <c r="D67" s="28">
        <v>54077243</v>
      </c>
      <c r="E67" s="29">
        <v>59.9</v>
      </c>
      <c r="F67" s="42">
        <v>990.01</v>
      </c>
      <c r="G67" s="30">
        <f t="shared" si="7"/>
        <v>59301.599</v>
      </c>
      <c r="H67" s="208">
        <v>76198.56</v>
      </c>
      <c r="I67" s="209">
        <f t="shared" si="8"/>
        <v>4564293.744</v>
      </c>
      <c r="J67" s="34" t="s">
        <v>120</v>
      </c>
      <c r="K67" s="35" t="s">
        <v>148</v>
      </c>
      <c r="L67" s="43"/>
      <c r="M67" s="44"/>
      <c r="N67" s="41"/>
      <c r="O67" s="214">
        <v>83.02</v>
      </c>
      <c r="P67" s="215">
        <f t="shared" si="9"/>
        <v>4972.898</v>
      </c>
      <c r="Q67" s="224"/>
      <c r="R67" s="224"/>
      <c r="S67" s="224"/>
      <c r="T67" s="224"/>
      <c r="U67" s="225"/>
    </row>
    <row r="68" spans="1:21">
      <c r="A68" s="41">
        <f t="shared" si="10"/>
        <v>64</v>
      </c>
      <c r="B68" s="72">
        <v>46109</v>
      </c>
      <c r="C68" s="207">
        <v>8612391</v>
      </c>
      <c r="D68" s="28">
        <v>54094164</v>
      </c>
      <c r="E68" s="29">
        <v>59.85</v>
      </c>
      <c r="F68" s="30">
        <v>990.01</v>
      </c>
      <c r="G68" s="30">
        <f t="shared" si="7"/>
        <v>59252.0985</v>
      </c>
      <c r="H68" s="208">
        <v>76198.56</v>
      </c>
      <c r="I68" s="209">
        <f t="shared" si="8"/>
        <v>4560483.816</v>
      </c>
      <c r="J68" s="34" t="s">
        <v>120</v>
      </c>
      <c r="K68" s="35" t="s">
        <v>148</v>
      </c>
      <c r="L68" s="43"/>
      <c r="M68" s="44"/>
      <c r="N68" s="41"/>
      <c r="O68" s="214">
        <v>83.02</v>
      </c>
      <c r="P68" s="215">
        <f t="shared" si="9"/>
        <v>4968.747</v>
      </c>
      <c r="Q68" s="224"/>
      <c r="R68" s="224"/>
      <c r="S68" s="224"/>
      <c r="T68" s="224"/>
      <c r="U68" s="225"/>
    </row>
    <row r="69" spans="1:21">
      <c r="A69" s="41">
        <f t="shared" si="10"/>
        <v>65</v>
      </c>
      <c r="B69" s="72">
        <v>46109</v>
      </c>
      <c r="C69" s="207">
        <v>8612389</v>
      </c>
      <c r="D69" s="28">
        <v>56798093</v>
      </c>
      <c r="E69" s="29">
        <v>59.8</v>
      </c>
      <c r="F69" s="42">
        <v>990.01</v>
      </c>
      <c r="G69" s="30">
        <f t="shared" si="7"/>
        <v>59202.598</v>
      </c>
      <c r="H69" s="208">
        <v>76198.56</v>
      </c>
      <c r="I69" s="209">
        <f t="shared" si="8"/>
        <v>4556673.888</v>
      </c>
      <c r="J69" s="34" t="s">
        <v>120</v>
      </c>
      <c r="K69" s="35" t="s">
        <v>148</v>
      </c>
      <c r="L69" s="43"/>
      <c r="M69" s="44"/>
      <c r="N69" s="41"/>
      <c r="O69" s="214">
        <v>83.02</v>
      </c>
      <c r="P69" s="215">
        <f t="shared" si="9"/>
        <v>4964.596</v>
      </c>
      <c r="Q69" s="224"/>
      <c r="R69" s="224"/>
      <c r="S69" s="224"/>
      <c r="T69" s="224"/>
      <c r="U69" s="225"/>
    </row>
    <row r="70" spans="1:21">
      <c r="A70" s="41">
        <f t="shared" si="10"/>
        <v>66</v>
      </c>
      <c r="B70" s="72">
        <v>46109</v>
      </c>
      <c r="C70" s="207">
        <v>8612391</v>
      </c>
      <c r="D70" s="28">
        <v>57210452</v>
      </c>
      <c r="E70" s="29">
        <v>60.35</v>
      </c>
      <c r="F70" s="42">
        <v>990.01</v>
      </c>
      <c r="G70" s="30">
        <f t="shared" si="7"/>
        <v>59747.1035</v>
      </c>
      <c r="H70" s="208">
        <v>76198.56</v>
      </c>
      <c r="I70" s="209">
        <f t="shared" si="8"/>
        <v>4598583.096</v>
      </c>
      <c r="J70" s="34" t="s">
        <v>120</v>
      </c>
      <c r="K70" s="35" t="s">
        <v>148</v>
      </c>
      <c r="L70" s="43"/>
      <c r="M70" s="44"/>
      <c r="N70" s="41"/>
      <c r="O70" s="214">
        <v>83.02</v>
      </c>
      <c r="P70" s="215">
        <f t="shared" si="9"/>
        <v>5010.257</v>
      </c>
      <c r="Q70" s="224"/>
      <c r="R70" s="224"/>
      <c r="S70" s="224"/>
      <c r="T70" s="224"/>
      <c r="U70" s="225"/>
    </row>
    <row r="71" spans="1:21">
      <c r="A71" s="41">
        <f t="shared" si="10"/>
        <v>67</v>
      </c>
      <c r="B71" s="72">
        <v>46109</v>
      </c>
      <c r="C71" s="207">
        <v>8612393</v>
      </c>
      <c r="D71" s="28">
        <v>58149907</v>
      </c>
      <c r="E71" s="29">
        <v>59.85</v>
      </c>
      <c r="F71" s="30">
        <v>990.01</v>
      </c>
      <c r="G71" s="30">
        <f t="shared" si="7"/>
        <v>59252.0985</v>
      </c>
      <c r="H71" s="208">
        <v>76198.56</v>
      </c>
      <c r="I71" s="209">
        <f t="shared" si="8"/>
        <v>4560483.816</v>
      </c>
      <c r="J71" s="34" t="s">
        <v>120</v>
      </c>
      <c r="K71" s="35" t="s">
        <v>148</v>
      </c>
      <c r="L71" s="43"/>
      <c r="M71" s="44"/>
      <c r="N71" s="41"/>
      <c r="O71" s="214">
        <v>83.02</v>
      </c>
      <c r="P71" s="215">
        <f t="shared" si="9"/>
        <v>4968.747</v>
      </c>
      <c r="Q71" s="224"/>
      <c r="R71" s="224"/>
      <c r="S71" s="224"/>
      <c r="T71" s="224"/>
      <c r="U71" s="225"/>
    </row>
    <row r="72" spans="1:21">
      <c r="A72" s="41">
        <f t="shared" si="10"/>
        <v>68</v>
      </c>
      <c r="B72" s="72">
        <v>46109</v>
      </c>
      <c r="C72" s="207">
        <v>8612391</v>
      </c>
      <c r="D72" s="28">
        <v>73002388</v>
      </c>
      <c r="E72" s="29">
        <v>60.35</v>
      </c>
      <c r="F72" s="42">
        <v>990.01</v>
      </c>
      <c r="G72" s="30">
        <f t="shared" si="7"/>
        <v>59747.1035</v>
      </c>
      <c r="H72" s="208">
        <v>76198.56</v>
      </c>
      <c r="I72" s="209">
        <f t="shared" si="8"/>
        <v>4598583.096</v>
      </c>
      <c r="J72" s="34" t="s">
        <v>120</v>
      </c>
      <c r="K72" s="35" t="s">
        <v>148</v>
      </c>
      <c r="L72" s="43"/>
      <c r="M72" s="44"/>
      <c r="N72" s="41"/>
      <c r="O72" s="214">
        <v>83.02</v>
      </c>
      <c r="P72" s="215">
        <f t="shared" si="9"/>
        <v>5010.257</v>
      </c>
      <c r="Q72" s="224"/>
      <c r="R72" s="224"/>
      <c r="S72" s="224"/>
      <c r="T72" s="224"/>
      <c r="U72" s="225"/>
    </row>
    <row r="73" spans="1:21">
      <c r="A73" s="41">
        <f t="shared" si="10"/>
        <v>69</v>
      </c>
      <c r="B73" s="72">
        <v>46109</v>
      </c>
      <c r="C73" s="207">
        <v>8612390</v>
      </c>
      <c r="D73" s="28">
        <v>73022923</v>
      </c>
      <c r="E73" s="29">
        <v>60.3</v>
      </c>
      <c r="F73" s="42">
        <v>990.01</v>
      </c>
      <c r="G73" s="30">
        <f t="shared" si="7"/>
        <v>59697.603</v>
      </c>
      <c r="H73" s="208">
        <v>76198.56</v>
      </c>
      <c r="I73" s="209">
        <f t="shared" si="8"/>
        <v>4594773.168</v>
      </c>
      <c r="J73" s="34" t="s">
        <v>120</v>
      </c>
      <c r="K73" s="35" t="s">
        <v>148</v>
      </c>
      <c r="L73" s="43"/>
      <c r="M73" s="44"/>
      <c r="N73" s="41"/>
      <c r="O73" s="214">
        <v>83.02</v>
      </c>
      <c r="P73" s="215">
        <f t="shared" si="9"/>
        <v>5006.106</v>
      </c>
      <c r="Q73" s="224"/>
      <c r="R73" s="224"/>
      <c r="S73" s="224"/>
      <c r="T73" s="224"/>
      <c r="U73" s="225"/>
    </row>
    <row r="74" spans="1:21">
      <c r="A74" s="41">
        <f t="shared" si="10"/>
        <v>70</v>
      </c>
      <c r="B74" s="72">
        <v>46109</v>
      </c>
      <c r="C74" s="207">
        <v>8612390</v>
      </c>
      <c r="D74" s="28">
        <v>73082539</v>
      </c>
      <c r="E74" s="29">
        <v>60.35</v>
      </c>
      <c r="F74" s="30">
        <v>990.01</v>
      </c>
      <c r="G74" s="30">
        <f t="shared" si="7"/>
        <v>59747.1035</v>
      </c>
      <c r="H74" s="208">
        <v>76198.56</v>
      </c>
      <c r="I74" s="209">
        <f t="shared" si="8"/>
        <v>4598583.096</v>
      </c>
      <c r="J74" s="34" t="s">
        <v>120</v>
      </c>
      <c r="K74" s="35" t="s">
        <v>148</v>
      </c>
      <c r="L74" s="43"/>
      <c r="M74" s="44"/>
      <c r="N74" s="41"/>
      <c r="O74" s="214">
        <v>83.02</v>
      </c>
      <c r="P74" s="215">
        <f t="shared" si="9"/>
        <v>5010.257</v>
      </c>
      <c r="Q74" s="224"/>
      <c r="R74" s="224"/>
      <c r="S74" s="224"/>
      <c r="T74" s="224"/>
      <c r="U74" s="225"/>
    </row>
    <row r="75" spans="1:21">
      <c r="A75" s="41">
        <f t="shared" si="10"/>
        <v>71</v>
      </c>
      <c r="B75" s="72">
        <v>46109</v>
      </c>
      <c r="C75" s="207">
        <v>8612390</v>
      </c>
      <c r="D75" s="28">
        <v>73085755</v>
      </c>
      <c r="E75" s="29">
        <v>60.3</v>
      </c>
      <c r="F75" s="42">
        <v>990.01</v>
      </c>
      <c r="G75" s="30">
        <f t="shared" si="7"/>
        <v>59697.603</v>
      </c>
      <c r="H75" s="208">
        <v>76198.56</v>
      </c>
      <c r="I75" s="209">
        <f t="shared" si="8"/>
        <v>4594773.168</v>
      </c>
      <c r="J75" s="34" t="s">
        <v>120</v>
      </c>
      <c r="K75" s="35" t="s">
        <v>148</v>
      </c>
      <c r="L75" s="43"/>
      <c r="M75" s="44"/>
      <c r="N75" s="41"/>
      <c r="O75" s="214">
        <v>83.02</v>
      </c>
      <c r="P75" s="215">
        <f t="shared" si="9"/>
        <v>5006.106</v>
      </c>
      <c r="Q75" s="224"/>
      <c r="R75" s="224"/>
      <c r="S75" s="224"/>
      <c r="T75" s="224"/>
      <c r="U75" s="225"/>
    </row>
    <row r="76" spans="1:21">
      <c r="A76" s="41">
        <f t="shared" si="10"/>
        <v>72</v>
      </c>
      <c r="B76" s="72">
        <v>46109</v>
      </c>
      <c r="C76" s="207">
        <v>8612391</v>
      </c>
      <c r="D76" s="28">
        <v>73110116</v>
      </c>
      <c r="E76" s="29">
        <v>60.35</v>
      </c>
      <c r="F76" s="42">
        <v>990.01</v>
      </c>
      <c r="G76" s="30">
        <f t="shared" si="7"/>
        <v>59747.1035</v>
      </c>
      <c r="H76" s="208">
        <v>76198.56</v>
      </c>
      <c r="I76" s="209">
        <f t="shared" si="8"/>
        <v>4598583.096</v>
      </c>
      <c r="J76" s="34" t="s">
        <v>120</v>
      </c>
      <c r="K76" s="35" t="s">
        <v>148</v>
      </c>
      <c r="L76" s="43"/>
      <c r="M76" s="44"/>
      <c r="N76" s="41"/>
      <c r="O76" s="214">
        <v>83.02</v>
      </c>
      <c r="P76" s="215">
        <f t="shared" si="9"/>
        <v>5010.257</v>
      </c>
      <c r="Q76" s="224"/>
      <c r="R76" s="224"/>
      <c r="S76" s="224"/>
      <c r="T76" s="224"/>
      <c r="U76" s="225"/>
    </row>
    <row r="77" spans="1:21">
      <c r="A77" s="41">
        <f t="shared" si="10"/>
        <v>73</v>
      </c>
      <c r="B77" s="72">
        <v>46109</v>
      </c>
      <c r="C77" s="207">
        <v>8612389</v>
      </c>
      <c r="D77" s="28">
        <v>73110736</v>
      </c>
      <c r="E77" s="29">
        <v>60.5</v>
      </c>
      <c r="F77" s="30">
        <v>990.01</v>
      </c>
      <c r="G77" s="30">
        <f t="shared" si="7"/>
        <v>59895.605</v>
      </c>
      <c r="H77" s="208">
        <v>76198.56</v>
      </c>
      <c r="I77" s="209">
        <f t="shared" si="8"/>
        <v>4610012.88</v>
      </c>
      <c r="J77" s="34" t="s">
        <v>120</v>
      </c>
      <c r="K77" s="35" t="s">
        <v>148</v>
      </c>
      <c r="L77" s="43"/>
      <c r="M77" s="44"/>
      <c r="N77" s="41"/>
      <c r="O77" s="214">
        <v>83.02</v>
      </c>
      <c r="P77" s="215">
        <f t="shared" si="9"/>
        <v>5022.71</v>
      </c>
      <c r="Q77" s="224"/>
      <c r="R77" s="224"/>
      <c r="S77" s="224"/>
      <c r="T77" s="224"/>
      <c r="U77" s="225"/>
    </row>
    <row r="78" spans="1:21">
      <c r="A78" s="41">
        <f t="shared" si="10"/>
        <v>74</v>
      </c>
      <c r="B78" s="72">
        <v>46109</v>
      </c>
      <c r="C78" s="207">
        <v>8612389</v>
      </c>
      <c r="D78" s="28">
        <v>73114779</v>
      </c>
      <c r="E78" s="29">
        <v>60.3</v>
      </c>
      <c r="F78" s="42">
        <v>990.01</v>
      </c>
      <c r="G78" s="30">
        <f t="shared" si="7"/>
        <v>59697.603</v>
      </c>
      <c r="H78" s="208">
        <v>76198.56</v>
      </c>
      <c r="I78" s="209">
        <f t="shared" si="8"/>
        <v>4594773.168</v>
      </c>
      <c r="J78" s="34" t="s">
        <v>120</v>
      </c>
      <c r="K78" s="35" t="s">
        <v>148</v>
      </c>
      <c r="L78" s="43"/>
      <c r="M78" s="44"/>
      <c r="N78" s="41"/>
      <c r="O78" s="214">
        <v>83.02</v>
      </c>
      <c r="P78" s="215">
        <f t="shared" si="9"/>
        <v>5006.106</v>
      </c>
      <c r="Q78" s="224"/>
      <c r="R78" s="224"/>
      <c r="S78" s="224"/>
      <c r="T78" s="224"/>
      <c r="U78" s="225"/>
    </row>
    <row r="79" spans="1:21">
      <c r="A79" s="41">
        <f t="shared" si="10"/>
        <v>75</v>
      </c>
      <c r="B79" s="72">
        <v>46109</v>
      </c>
      <c r="C79" s="207">
        <v>8612389</v>
      </c>
      <c r="D79" s="28">
        <v>73115453</v>
      </c>
      <c r="E79" s="29">
        <v>60.25</v>
      </c>
      <c r="F79" s="42">
        <v>990.01</v>
      </c>
      <c r="G79" s="30">
        <f t="shared" si="7"/>
        <v>59648.1025</v>
      </c>
      <c r="H79" s="208">
        <v>76198.56</v>
      </c>
      <c r="I79" s="209">
        <f t="shared" si="8"/>
        <v>4590963.24</v>
      </c>
      <c r="J79" s="34" t="s">
        <v>120</v>
      </c>
      <c r="K79" s="35" t="s">
        <v>148</v>
      </c>
      <c r="L79" s="43"/>
      <c r="M79" s="44"/>
      <c r="N79" s="41"/>
      <c r="O79" s="214">
        <v>83.02</v>
      </c>
      <c r="P79" s="215">
        <f t="shared" si="9"/>
        <v>5001.955</v>
      </c>
      <c r="Q79" s="224"/>
      <c r="R79" s="224"/>
      <c r="S79" s="224"/>
      <c r="T79" s="224"/>
      <c r="U79" s="225"/>
    </row>
    <row r="80" spans="1:21">
      <c r="A80" s="41">
        <f t="shared" si="10"/>
        <v>76</v>
      </c>
      <c r="B80" s="72">
        <v>46109</v>
      </c>
      <c r="C80" s="207">
        <v>8612389</v>
      </c>
      <c r="D80" s="28">
        <v>73135212</v>
      </c>
      <c r="E80" s="29">
        <v>60.3</v>
      </c>
      <c r="F80" s="30">
        <v>990.01</v>
      </c>
      <c r="G80" s="30">
        <f t="shared" si="7"/>
        <v>59697.603</v>
      </c>
      <c r="H80" s="208">
        <v>76198.56</v>
      </c>
      <c r="I80" s="209">
        <f t="shared" si="8"/>
        <v>4594773.168</v>
      </c>
      <c r="J80" s="34" t="s">
        <v>120</v>
      </c>
      <c r="K80" s="35" t="s">
        <v>148</v>
      </c>
      <c r="L80" s="43"/>
      <c r="M80" s="44"/>
      <c r="N80" s="41"/>
      <c r="O80" s="214">
        <v>83.02</v>
      </c>
      <c r="P80" s="215">
        <f t="shared" si="9"/>
        <v>5006.106</v>
      </c>
      <c r="Q80" s="224"/>
      <c r="R80" s="224"/>
      <c r="S80" s="224"/>
      <c r="T80" s="224"/>
      <c r="U80" s="225"/>
    </row>
    <row r="81" spans="1:21">
      <c r="A81" s="41">
        <f t="shared" si="10"/>
        <v>77</v>
      </c>
      <c r="B81" s="72">
        <v>46109</v>
      </c>
      <c r="C81" s="207">
        <v>8612390</v>
      </c>
      <c r="D81" s="28">
        <v>73156507</v>
      </c>
      <c r="E81" s="29">
        <v>60.55</v>
      </c>
      <c r="F81" s="42">
        <v>990.01</v>
      </c>
      <c r="G81" s="30">
        <f t="shared" si="7"/>
        <v>59945.1055</v>
      </c>
      <c r="H81" s="208">
        <v>76198.56</v>
      </c>
      <c r="I81" s="209">
        <f t="shared" si="8"/>
        <v>4613822.808</v>
      </c>
      <c r="J81" s="34" t="s">
        <v>120</v>
      </c>
      <c r="K81" s="35" t="s">
        <v>148</v>
      </c>
      <c r="L81" s="43"/>
      <c r="M81" s="44"/>
      <c r="N81" s="41"/>
      <c r="O81" s="214">
        <v>83.02</v>
      </c>
      <c r="P81" s="215">
        <f t="shared" si="9"/>
        <v>5026.861</v>
      </c>
      <c r="Q81" s="224"/>
      <c r="R81" s="224"/>
      <c r="S81" s="224"/>
      <c r="T81" s="224"/>
      <c r="U81" s="225"/>
    </row>
    <row r="82" spans="1:21">
      <c r="A82" s="41">
        <f t="shared" si="10"/>
        <v>78</v>
      </c>
      <c r="B82" s="72">
        <v>46109</v>
      </c>
      <c r="C82" s="207">
        <v>8612391</v>
      </c>
      <c r="D82" s="28">
        <v>73158420</v>
      </c>
      <c r="E82" s="29">
        <v>60.35</v>
      </c>
      <c r="F82" s="42">
        <v>990.01</v>
      </c>
      <c r="G82" s="30">
        <f t="shared" si="7"/>
        <v>59747.1035</v>
      </c>
      <c r="H82" s="208">
        <v>76198.56</v>
      </c>
      <c r="I82" s="209">
        <f t="shared" si="8"/>
        <v>4598583.096</v>
      </c>
      <c r="J82" s="34" t="s">
        <v>120</v>
      </c>
      <c r="K82" s="35" t="s">
        <v>148</v>
      </c>
      <c r="L82" s="43"/>
      <c r="M82" s="44"/>
      <c r="N82" s="41"/>
      <c r="O82" s="214">
        <v>83.02</v>
      </c>
      <c r="P82" s="215">
        <f t="shared" si="9"/>
        <v>5010.257</v>
      </c>
      <c r="Q82" s="224"/>
      <c r="R82" s="224"/>
      <c r="S82" s="224"/>
      <c r="T82" s="224"/>
      <c r="U82" s="225"/>
    </row>
    <row r="83" spans="1:21">
      <c r="A83" s="41">
        <f t="shared" si="10"/>
        <v>79</v>
      </c>
      <c r="B83" s="72">
        <v>46109</v>
      </c>
      <c r="C83" s="207">
        <v>8612391</v>
      </c>
      <c r="D83" s="28">
        <v>73172363</v>
      </c>
      <c r="E83" s="29">
        <v>60.3</v>
      </c>
      <c r="F83" s="30">
        <v>990.01</v>
      </c>
      <c r="G83" s="30">
        <f t="shared" si="7"/>
        <v>59697.603</v>
      </c>
      <c r="H83" s="208">
        <v>76198.56</v>
      </c>
      <c r="I83" s="209">
        <f t="shared" si="8"/>
        <v>4594773.168</v>
      </c>
      <c r="J83" s="34" t="s">
        <v>120</v>
      </c>
      <c r="K83" s="35" t="s">
        <v>148</v>
      </c>
      <c r="L83" s="43"/>
      <c r="M83" s="44"/>
      <c r="N83" s="41"/>
      <c r="O83" s="214">
        <v>83.02</v>
      </c>
      <c r="P83" s="215">
        <f t="shared" si="9"/>
        <v>5006.106</v>
      </c>
      <c r="Q83" s="224"/>
      <c r="R83" s="224"/>
      <c r="S83" s="224"/>
      <c r="T83" s="224"/>
      <c r="U83" s="225"/>
    </row>
    <row r="84" spans="1:21">
      <c r="A84" s="41">
        <f t="shared" si="10"/>
        <v>80</v>
      </c>
      <c r="B84" s="72">
        <v>46109</v>
      </c>
      <c r="C84" s="207">
        <v>8612390</v>
      </c>
      <c r="D84" s="28">
        <v>73180515</v>
      </c>
      <c r="E84" s="29">
        <v>60.55</v>
      </c>
      <c r="F84" s="42">
        <v>990.01</v>
      </c>
      <c r="G84" s="30">
        <f t="shared" si="7"/>
        <v>59945.1055</v>
      </c>
      <c r="H84" s="208">
        <v>76198.56</v>
      </c>
      <c r="I84" s="209">
        <f t="shared" si="8"/>
        <v>4613822.808</v>
      </c>
      <c r="J84" s="34" t="s">
        <v>120</v>
      </c>
      <c r="K84" s="35" t="s">
        <v>148</v>
      </c>
      <c r="L84" s="43"/>
      <c r="M84" s="44"/>
      <c r="N84" s="41"/>
      <c r="O84" s="214">
        <v>83.02</v>
      </c>
      <c r="P84" s="215">
        <f t="shared" si="9"/>
        <v>5026.861</v>
      </c>
      <c r="Q84" s="224"/>
      <c r="R84" s="224"/>
      <c r="S84" s="224"/>
      <c r="T84" s="224"/>
      <c r="U84" s="225"/>
    </row>
    <row r="85" spans="1:21">
      <c r="A85" s="41">
        <f t="shared" si="10"/>
        <v>81</v>
      </c>
      <c r="B85" s="72">
        <v>46109</v>
      </c>
      <c r="C85" s="207">
        <v>8612389</v>
      </c>
      <c r="D85" s="28">
        <v>73214132</v>
      </c>
      <c r="E85" s="29">
        <v>60.65</v>
      </c>
      <c r="F85" s="42">
        <v>990.01</v>
      </c>
      <c r="G85" s="30">
        <f t="shared" si="7"/>
        <v>60044.1065</v>
      </c>
      <c r="H85" s="208">
        <v>76198.56</v>
      </c>
      <c r="I85" s="209">
        <f t="shared" si="8"/>
        <v>4621442.664</v>
      </c>
      <c r="J85" s="34" t="s">
        <v>120</v>
      </c>
      <c r="K85" s="35" t="s">
        <v>148</v>
      </c>
      <c r="L85" s="43"/>
      <c r="M85" s="44"/>
      <c r="N85" s="41"/>
      <c r="O85" s="214">
        <v>83.02</v>
      </c>
      <c r="P85" s="215">
        <f t="shared" si="9"/>
        <v>5035.163</v>
      </c>
      <c r="Q85" s="224"/>
      <c r="R85" s="224"/>
      <c r="S85" s="224"/>
      <c r="T85" s="224"/>
      <c r="U85" s="225"/>
    </row>
    <row r="86" spans="1:21">
      <c r="A86" s="41">
        <f t="shared" si="10"/>
        <v>82</v>
      </c>
      <c r="B86" s="72">
        <v>46109</v>
      </c>
      <c r="C86" s="207">
        <v>8612391</v>
      </c>
      <c r="D86" s="28">
        <v>73218547</v>
      </c>
      <c r="E86" s="29">
        <v>59.9</v>
      </c>
      <c r="F86" s="30">
        <v>990.01</v>
      </c>
      <c r="G86" s="30">
        <f t="shared" si="7"/>
        <v>59301.599</v>
      </c>
      <c r="H86" s="208">
        <v>76198.56</v>
      </c>
      <c r="I86" s="209">
        <f t="shared" si="8"/>
        <v>4564293.744</v>
      </c>
      <c r="J86" s="34" t="s">
        <v>120</v>
      </c>
      <c r="K86" s="35" t="s">
        <v>148</v>
      </c>
      <c r="L86" s="43"/>
      <c r="M86" s="44"/>
      <c r="N86" s="41"/>
      <c r="O86" s="214">
        <v>83.02</v>
      </c>
      <c r="P86" s="215">
        <f t="shared" si="9"/>
        <v>4972.898</v>
      </c>
      <c r="Q86" s="224"/>
      <c r="R86" s="224"/>
      <c r="S86" s="224"/>
      <c r="T86" s="224"/>
      <c r="U86" s="225"/>
    </row>
    <row r="87" spans="1:21">
      <c r="A87" s="41">
        <f t="shared" si="10"/>
        <v>83</v>
      </c>
      <c r="B87" s="72">
        <v>46109</v>
      </c>
      <c r="C87" s="207">
        <v>8612391</v>
      </c>
      <c r="D87" s="28">
        <v>73222333</v>
      </c>
      <c r="E87" s="29">
        <v>60.35</v>
      </c>
      <c r="F87" s="42">
        <v>990.01</v>
      </c>
      <c r="G87" s="30">
        <f t="shared" si="7"/>
        <v>59747.1035</v>
      </c>
      <c r="H87" s="208">
        <v>76198.56</v>
      </c>
      <c r="I87" s="209">
        <f t="shared" si="8"/>
        <v>4598583.096</v>
      </c>
      <c r="J87" s="34" t="s">
        <v>120</v>
      </c>
      <c r="K87" s="35" t="s">
        <v>148</v>
      </c>
      <c r="L87" s="43"/>
      <c r="M87" s="44"/>
      <c r="N87" s="41"/>
      <c r="O87" s="214">
        <v>83.02</v>
      </c>
      <c r="P87" s="215">
        <f t="shared" si="9"/>
        <v>5010.257</v>
      </c>
      <c r="Q87" s="224"/>
      <c r="R87" s="224"/>
      <c r="S87" s="224"/>
      <c r="T87" s="224"/>
      <c r="U87" s="225"/>
    </row>
    <row r="88" spans="1:21">
      <c r="A88" s="41">
        <f t="shared" si="10"/>
        <v>84</v>
      </c>
      <c r="B88" s="72">
        <v>46109</v>
      </c>
      <c r="C88" s="207">
        <v>8612390</v>
      </c>
      <c r="D88" s="28">
        <v>73223414</v>
      </c>
      <c r="E88" s="29">
        <v>60.6</v>
      </c>
      <c r="F88" s="42">
        <v>990.01</v>
      </c>
      <c r="G88" s="30">
        <f t="shared" si="7"/>
        <v>59994.606</v>
      </c>
      <c r="H88" s="208">
        <v>76198.56</v>
      </c>
      <c r="I88" s="209">
        <f t="shared" si="8"/>
        <v>4617632.736</v>
      </c>
      <c r="J88" s="34" t="s">
        <v>120</v>
      </c>
      <c r="K88" s="35" t="s">
        <v>148</v>
      </c>
      <c r="L88" s="43"/>
      <c r="M88" s="44"/>
      <c r="N88" s="41"/>
      <c r="O88" s="214">
        <v>83.02</v>
      </c>
      <c r="P88" s="215">
        <f t="shared" si="9"/>
        <v>5031.012</v>
      </c>
      <c r="Q88" s="224"/>
      <c r="R88" s="224"/>
      <c r="S88" s="224"/>
      <c r="T88" s="224"/>
      <c r="U88" s="225"/>
    </row>
    <row r="89" spans="1:21">
      <c r="A89" s="41">
        <f t="shared" si="10"/>
        <v>85</v>
      </c>
      <c r="B89" s="72">
        <v>46109</v>
      </c>
      <c r="C89" s="207">
        <v>8612389</v>
      </c>
      <c r="D89" s="28">
        <v>73224016</v>
      </c>
      <c r="E89" s="29">
        <v>60.45</v>
      </c>
      <c r="F89" s="30">
        <v>990.01</v>
      </c>
      <c r="G89" s="30">
        <f t="shared" si="7"/>
        <v>59846.1045</v>
      </c>
      <c r="H89" s="208">
        <v>76198.56</v>
      </c>
      <c r="I89" s="209">
        <f t="shared" si="8"/>
        <v>4606202.952</v>
      </c>
      <c r="J89" s="34" t="s">
        <v>120</v>
      </c>
      <c r="K89" s="35" t="s">
        <v>148</v>
      </c>
      <c r="L89" s="43"/>
      <c r="M89" s="44"/>
      <c r="N89" s="41"/>
      <c r="O89" s="214">
        <v>83.02</v>
      </c>
      <c r="P89" s="215">
        <f t="shared" si="9"/>
        <v>5018.559</v>
      </c>
      <c r="Q89" s="224"/>
      <c r="R89" s="224"/>
      <c r="S89" s="224"/>
      <c r="T89" s="224"/>
      <c r="U89" s="225"/>
    </row>
    <row r="90" spans="1:21">
      <c r="A90" s="41">
        <f t="shared" si="10"/>
        <v>86</v>
      </c>
      <c r="B90" s="72">
        <v>46109</v>
      </c>
      <c r="C90" s="207">
        <v>8612389</v>
      </c>
      <c r="D90" s="28">
        <v>73224172</v>
      </c>
      <c r="E90" s="29">
        <v>60.3</v>
      </c>
      <c r="F90" s="42">
        <v>990.01</v>
      </c>
      <c r="G90" s="30">
        <f t="shared" si="7"/>
        <v>59697.603</v>
      </c>
      <c r="H90" s="208">
        <v>76198.56</v>
      </c>
      <c r="I90" s="209">
        <f t="shared" si="8"/>
        <v>4594773.168</v>
      </c>
      <c r="J90" s="34" t="s">
        <v>120</v>
      </c>
      <c r="K90" s="35" t="s">
        <v>148</v>
      </c>
      <c r="L90" s="43"/>
      <c r="M90" s="44"/>
      <c r="N90" s="41"/>
      <c r="O90" s="214">
        <v>83.02</v>
      </c>
      <c r="P90" s="215">
        <f t="shared" si="9"/>
        <v>5006.106</v>
      </c>
      <c r="Q90" s="224"/>
      <c r="R90" s="224"/>
      <c r="S90" s="224"/>
      <c r="T90" s="224"/>
      <c r="U90" s="225"/>
    </row>
    <row r="91" spans="1:21">
      <c r="A91" s="41">
        <f t="shared" si="10"/>
        <v>87</v>
      </c>
      <c r="B91" s="72">
        <v>46109</v>
      </c>
      <c r="C91" s="207">
        <v>8612391</v>
      </c>
      <c r="D91" s="28">
        <v>73227878</v>
      </c>
      <c r="E91" s="29">
        <v>60.35</v>
      </c>
      <c r="F91" s="42">
        <v>990.01</v>
      </c>
      <c r="G91" s="30">
        <f t="shared" si="7"/>
        <v>59747.1035</v>
      </c>
      <c r="H91" s="208">
        <v>76198.56</v>
      </c>
      <c r="I91" s="209">
        <f t="shared" si="8"/>
        <v>4598583.096</v>
      </c>
      <c r="J91" s="34" t="s">
        <v>120</v>
      </c>
      <c r="K91" s="35" t="s">
        <v>148</v>
      </c>
      <c r="L91" s="43"/>
      <c r="M91" s="44"/>
      <c r="N91" s="41"/>
      <c r="O91" s="214">
        <v>83.02</v>
      </c>
      <c r="P91" s="215">
        <f t="shared" si="9"/>
        <v>5010.257</v>
      </c>
      <c r="Q91" s="224"/>
      <c r="R91" s="224"/>
      <c r="S91" s="224"/>
      <c r="T91" s="224"/>
      <c r="U91" s="225"/>
    </row>
    <row r="92" spans="1:21">
      <c r="A92" s="41">
        <f t="shared" si="10"/>
        <v>88</v>
      </c>
      <c r="B92" s="72">
        <v>46109</v>
      </c>
      <c r="C92" s="207">
        <v>8612390</v>
      </c>
      <c r="D92" s="28">
        <v>73229981</v>
      </c>
      <c r="E92" s="29">
        <v>60.25</v>
      </c>
      <c r="F92" s="30">
        <v>990.01</v>
      </c>
      <c r="G92" s="30">
        <f t="shared" si="7"/>
        <v>59648.1025</v>
      </c>
      <c r="H92" s="208">
        <v>76198.56</v>
      </c>
      <c r="I92" s="209">
        <f t="shared" si="8"/>
        <v>4590963.24</v>
      </c>
      <c r="J92" s="34" t="s">
        <v>120</v>
      </c>
      <c r="K92" s="35" t="s">
        <v>148</v>
      </c>
      <c r="L92" s="43"/>
      <c r="M92" s="44"/>
      <c r="N92" s="41"/>
      <c r="O92" s="214">
        <v>83.02</v>
      </c>
      <c r="P92" s="215">
        <f t="shared" si="9"/>
        <v>5001.955</v>
      </c>
      <c r="Q92" s="224"/>
      <c r="R92" s="224"/>
      <c r="S92" s="224"/>
      <c r="T92" s="224"/>
      <c r="U92" s="225"/>
    </row>
    <row r="93" spans="1:21">
      <c r="A93" s="41">
        <f t="shared" si="10"/>
        <v>89</v>
      </c>
      <c r="B93" s="72">
        <v>46109</v>
      </c>
      <c r="C93" s="207">
        <v>8612390</v>
      </c>
      <c r="D93" s="28">
        <v>73230013</v>
      </c>
      <c r="E93" s="29">
        <v>60.55</v>
      </c>
      <c r="F93" s="42">
        <v>990.01</v>
      </c>
      <c r="G93" s="30">
        <f t="shared" si="7"/>
        <v>59945.1055</v>
      </c>
      <c r="H93" s="208">
        <v>76198.56</v>
      </c>
      <c r="I93" s="209">
        <f t="shared" si="8"/>
        <v>4613822.808</v>
      </c>
      <c r="J93" s="34" t="s">
        <v>120</v>
      </c>
      <c r="K93" s="35" t="s">
        <v>148</v>
      </c>
      <c r="L93" s="43"/>
      <c r="M93" s="44"/>
      <c r="N93" s="41"/>
      <c r="O93" s="214">
        <v>83.02</v>
      </c>
      <c r="P93" s="215">
        <f t="shared" si="9"/>
        <v>5026.861</v>
      </c>
      <c r="Q93" s="224"/>
      <c r="R93" s="224"/>
      <c r="S93" s="224"/>
      <c r="T93" s="224"/>
      <c r="U93" s="225"/>
    </row>
    <row r="94" spans="1:21">
      <c r="A94" s="41">
        <f t="shared" si="10"/>
        <v>90</v>
      </c>
      <c r="B94" s="72">
        <v>46109</v>
      </c>
      <c r="C94" s="207">
        <v>8612391</v>
      </c>
      <c r="D94" s="28">
        <v>73230039</v>
      </c>
      <c r="E94" s="29">
        <v>60.35</v>
      </c>
      <c r="F94" s="42">
        <v>990.01</v>
      </c>
      <c r="G94" s="30">
        <f t="shared" si="7"/>
        <v>59747.1035</v>
      </c>
      <c r="H94" s="208">
        <v>76198.56</v>
      </c>
      <c r="I94" s="209">
        <f t="shared" si="8"/>
        <v>4598583.096</v>
      </c>
      <c r="J94" s="34" t="s">
        <v>120</v>
      </c>
      <c r="K94" s="35" t="s">
        <v>148</v>
      </c>
      <c r="L94" s="43"/>
      <c r="M94" s="44"/>
      <c r="N94" s="41"/>
      <c r="O94" s="214">
        <v>83.02</v>
      </c>
      <c r="P94" s="215">
        <f t="shared" si="9"/>
        <v>5010.257</v>
      </c>
      <c r="Q94" s="224"/>
      <c r="R94" s="224"/>
      <c r="S94" s="224"/>
      <c r="T94" s="224"/>
      <c r="U94" s="225"/>
    </row>
    <row r="95" spans="1:21">
      <c r="A95" s="41">
        <f t="shared" si="10"/>
        <v>91</v>
      </c>
      <c r="B95" s="72">
        <v>46109</v>
      </c>
      <c r="C95" s="207">
        <v>8612390</v>
      </c>
      <c r="D95" s="28">
        <v>73230047</v>
      </c>
      <c r="E95" s="29">
        <v>60.55</v>
      </c>
      <c r="F95" s="30">
        <v>990.01</v>
      </c>
      <c r="G95" s="30">
        <f t="shared" si="7"/>
        <v>59945.1055</v>
      </c>
      <c r="H95" s="208">
        <v>76198.56</v>
      </c>
      <c r="I95" s="209">
        <f t="shared" si="8"/>
        <v>4613822.808</v>
      </c>
      <c r="J95" s="34" t="s">
        <v>120</v>
      </c>
      <c r="K95" s="35" t="s">
        <v>148</v>
      </c>
      <c r="L95" s="43"/>
      <c r="M95" s="44"/>
      <c r="N95" s="41"/>
      <c r="O95" s="214">
        <v>83.02</v>
      </c>
      <c r="P95" s="215">
        <f t="shared" si="9"/>
        <v>5026.861</v>
      </c>
      <c r="Q95" s="224"/>
      <c r="R95" s="224"/>
      <c r="S95" s="224"/>
      <c r="T95" s="224"/>
      <c r="U95" s="225"/>
    </row>
    <row r="96" spans="1:21">
      <c r="A96" s="41">
        <f t="shared" si="10"/>
        <v>92</v>
      </c>
      <c r="B96" s="72">
        <v>46109</v>
      </c>
      <c r="C96" s="207">
        <v>8612389</v>
      </c>
      <c r="D96" s="28">
        <v>73233447</v>
      </c>
      <c r="E96" s="29">
        <v>60.55</v>
      </c>
      <c r="F96" s="42">
        <v>990.01</v>
      </c>
      <c r="G96" s="30">
        <f t="shared" si="7"/>
        <v>59945.1055</v>
      </c>
      <c r="H96" s="208">
        <v>76198.56</v>
      </c>
      <c r="I96" s="209">
        <f t="shared" si="8"/>
        <v>4613822.808</v>
      </c>
      <c r="J96" s="34" t="s">
        <v>120</v>
      </c>
      <c r="K96" s="35" t="s">
        <v>148</v>
      </c>
      <c r="L96" s="43"/>
      <c r="M96" s="44"/>
      <c r="N96" s="41"/>
      <c r="O96" s="214">
        <v>83.02</v>
      </c>
      <c r="P96" s="215">
        <f t="shared" si="9"/>
        <v>5026.861</v>
      </c>
      <c r="Q96" s="224"/>
      <c r="R96" s="224"/>
      <c r="S96" s="224"/>
      <c r="T96" s="224"/>
      <c r="U96" s="225"/>
    </row>
    <row r="97" spans="1:23">
      <c r="A97" s="41">
        <f t="shared" si="10"/>
        <v>93</v>
      </c>
      <c r="B97" s="72">
        <v>46109</v>
      </c>
      <c r="C97" s="207">
        <v>8612389</v>
      </c>
      <c r="D97" s="28">
        <v>73241556</v>
      </c>
      <c r="E97" s="29">
        <v>60.25</v>
      </c>
      <c r="F97" s="42">
        <v>990.01</v>
      </c>
      <c r="G97" s="30">
        <f t="shared" si="7"/>
        <v>59648.1025</v>
      </c>
      <c r="H97" s="208">
        <v>76198.56</v>
      </c>
      <c r="I97" s="209">
        <f t="shared" si="8"/>
        <v>4590963.24</v>
      </c>
      <c r="J97" s="34" t="s">
        <v>120</v>
      </c>
      <c r="K97" s="35" t="s">
        <v>148</v>
      </c>
      <c r="L97" s="43"/>
      <c r="M97" s="44"/>
      <c r="N97" s="41"/>
      <c r="O97" s="214">
        <v>83.02</v>
      </c>
      <c r="P97" s="215">
        <f t="shared" si="9"/>
        <v>5001.955</v>
      </c>
      <c r="Q97" s="224"/>
      <c r="R97" s="224"/>
      <c r="S97" s="224"/>
      <c r="T97" s="224"/>
      <c r="U97" s="225"/>
    </row>
    <row r="98" spans="1:23">
      <c r="A98" s="41">
        <f t="shared" si="10"/>
        <v>94</v>
      </c>
      <c r="B98" s="72">
        <v>46109</v>
      </c>
      <c r="C98" s="207">
        <v>8612393</v>
      </c>
      <c r="D98" s="28">
        <v>74963836</v>
      </c>
      <c r="E98" s="29">
        <v>59.85</v>
      </c>
      <c r="F98" s="30">
        <v>990.01</v>
      </c>
      <c r="G98" s="30">
        <f t="shared" si="7"/>
        <v>59252.0985</v>
      </c>
      <c r="H98" s="208">
        <v>76198.56</v>
      </c>
      <c r="I98" s="209">
        <f t="shared" si="8"/>
        <v>4560483.816</v>
      </c>
      <c r="J98" s="34" t="s">
        <v>120</v>
      </c>
      <c r="K98" s="35" t="s">
        <v>148</v>
      </c>
      <c r="L98" s="43"/>
      <c r="M98" s="44"/>
      <c r="N98" s="41"/>
      <c r="O98" s="214">
        <v>83.02</v>
      </c>
      <c r="P98" s="215">
        <f t="shared" si="9"/>
        <v>4968.747</v>
      </c>
      <c r="Q98" s="224"/>
      <c r="R98" s="224"/>
      <c r="S98" s="224"/>
      <c r="T98" s="224"/>
      <c r="U98" s="225"/>
    </row>
    <row r="99" spans="1:23">
      <c r="A99" s="41">
        <f t="shared" si="10"/>
        <v>95</v>
      </c>
      <c r="B99" s="72">
        <v>46109</v>
      </c>
      <c r="C99" s="207">
        <v>8612391</v>
      </c>
      <c r="D99" s="28">
        <v>75260125</v>
      </c>
      <c r="E99" s="29">
        <v>60.6</v>
      </c>
      <c r="F99" s="42">
        <v>990.01</v>
      </c>
      <c r="G99" s="30">
        <f t="shared" si="7"/>
        <v>59994.606</v>
      </c>
      <c r="H99" s="208">
        <v>76198.56</v>
      </c>
      <c r="I99" s="209">
        <f t="shared" si="8"/>
        <v>4617632.736</v>
      </c>
      <c r="J99" s="34" t="s">
        <v>120</v>
      </c>
      <c r="K99" s="35" t="s">
        <v>148</v>
      </c>
      <c r="L99" s="43"/>
      <c r="M99" s="44"/>
      <c r="N99" s="41"/>
      <c r="O99" s="214">
        <v>83.02</v>
      </c>
      <c r="P99" s="215">
        <f t="shared" si="9"/>
        <v>5031.012</v>
      </c>
      <c r="Q99" s="224"/>
      <c r="R99" s="224"/>
      <c r="S99" s="224"/>
      <c r="T99" s="224"/>
      <c r="U99" s="225"/>
    </row>
    <row r="100" spans="1:23">
      <c r="A100" s="41">
        <f t="shared" si="10"/>
        <v>96</v>
      </c>
      <c r="B100" s="72">
        <v>46109</v>
      </c>
      <c r="C100" s="207">
        <v>8612389</v>
      </c>
      <c r="D100" s="28">
        <v>75721993</v>
      </c>
      <c r="E100" s="29">
        <v>60.55</v>
      </c>
      <c r="F100" s="42">
        <v>990.01</v>
      </c>
      <c r="G100" s="30">
        <f t="shared" si="7"/>
        <v>59945.1055</v>
      </c>
      <c r="H100" s="208">
        <v>76198.56</v>
      </c>
      <c r="I100" s="209">
        <f t="shared" si="8"/>
        <v>4613822.808</v>
      </c>
      <c r="J100" s="34" t="s">
        <v>120</v>
      </c>
      <c r="K100" s="35" t="s">
        <v>148</v>
      </c>
      <c r="L100" s="43"/>
      <c r="M100" s="44"/>
      <c r="N100" s="41"/>
      <c r="O100" s="214">
        <v>83.02</v>
      </c>
      <c r="P100" s="215">
        <f t="shared" si="9"/>
        <v>5026.861</v>
      </c>
      <c r="Q100" s="224"/>
      <c r="R100" s="224"/>
      <c r="S100" s="224"/>
      <c r="T100" s="224"/>
      <c r="U100" s="225"/>
    </row>
    <row r="101" spans="1:23">
      <c r="A101" s="41">
        <f t="shared" si="10"/>
        <v>97</v>
      </c>
      <c r="B101" s="72">
        <v>46109</v>
      </c>
      <c r="C101" s="207">
        <v>8612390</v>
      </c>
      <c r="D101" s="28">
        <v>76527795</v>
      </c>
      <c r="E101" s="29">
        <v>60.6</v>
      </c>
      <c r="F101" s="30">
        <v>990.01</v>
      </c>
      <c r="G101" s="30">
        <f t="shared" si="7"/>
        <v>59994.606</v>
      </c>
      <c r="H101" s="208">
        <v>76198.56</v>
      </c>
      <c r="I101" s="209">
        <f t="shared" si="8"/>
        <v>4617632.736</v>
      </c>
      <c r="J101" s="34" t="s">
        <v>120</v>
      </c>
      <c r="K101" s="35" t="s">
        <v>148</v>
      </c>
      <c r="L101" s="43"/>
      <c r="M101" s="44"/>
      <c r="N101" s="41"/>
      <c r="O101" s="214">
        <v>83.02</v>
      </c>
      <c r="P101" s="215">
        <f t="shared" si="9"/>
        <v>5031.012</v>
      </c>
      <c r="Q101" s="224"/>
      <c r="R101" s="224"/>
      <c r="S101" s="224"/>
      <c r="T101" s="224"/>
      <c r="U101" s="225"/>
    </row>
    <row r="102" ht="15.75" spans="1:23">
      <c r="A102" s="77">
        <f t="shared" si="10"/>
        <v>98</v>
      </c>
      <c r="B102" s="76">
        <v>46109</v>
      </c>
      <c r="C102" s="216">
        <v>8612390</v>
      </c>
      <c r="D102" s="47">
        <v>76575794</v>
      </c>
      <c r="E102" s="48">
        <v>60.65</v>
      </c>
      <c r="F102" s="42">
        <v>990.01</v>
      </c>
      <c r="G102" s="217">
        <f t="shared" si="7"/>
        <v>60044.1065</v>
      </c>
      <c r="H102" s="208">
        <v>76198.56</v>
      </c>
      <c r="I102" s="218">
        <f t="shared" si="8"/>
        <v>4621442.664</v>
      </c>
      <c r="J102" s="81" t="s">
        <v>120</v>
      </c>
      <c r="K102" s="160" t="s">
        <v>148</v>
      </c>
      <c r="L102" s="50"/>
      <c r="M102" s="51"/>
      <c r="N102" s="52"/>
      <c r="O102" s="219">
        <v>83.02</v>
      </c>
      <c r="P102" s="220">
        <f t="shared" si="9"/>
        <v>5035.163</v>
      </c>
      <c r="Q102" s="229"/>
      <c r="R102" s="229"/>
      <c r="S102" s="229"/>
      <c r="T102" s="229"/>
      <c r="U102" s="230"/>
    </row>
    <row r="103" spans="1:23">
      <c r="A103" s="26">
        <v>99</v>
      </c>
      <c r="B103" s="27">
        <v>46111</v>
      </c>
      <c r="C103" s="221">
        <v>8612472</v>
      </c>
      <c r="D103" s="107">
        <v>50414085</v>
      </c>
      <c r="E103" s="108">
        <v>60</v>
      </c>
      <c r="F103" s="42">
        <v>990.01</v>
      </c>
      <c r="G103" s="30">
        <f t="shared" ref="G103:G131" si="11">E103*F103</f>
        <v>59400.6</v>
      </c>
      <c r="H103" s="208">
        <v>76198.56</v>
      </c>
      <c r="I103" s="209">
        <f t="shared" ref="I103:I131" si="12">E103*H103</f>
        <v>4571913.6</v>
      </c>
      <c r="J103" s="70" t="s">
        <v>120</v>
      </c>
      <c r="K103" s="159" t="s">
        <v>148</v>
      </c>
      <c r="L103" s="36"/>
      <c r="M103" s="37"/>
      <c r="N103" s="38"/>
      <c r="O103" s="212">
        <v>83.02</v>
      </c>
      <c r="P103" s="213">
        <f t="shared" ref="P103:P131" si="13">E103*O103</f>
        <v>4981.2</v>
      </c>
      <c r="Q103" s="222"/>
      <c r="R103" s="222"/>
      <c r="S103" s="222"/>
      <c r="T103" s="222"/>
      <c r="U103" s="223"/>
      <c r="W103" s="29"/>
    </row>
    <row r="104" spans="1:23">
      <c r="A104" s="44">
        <f t="shared" ref="A104:A131" si="14">A103+1</f>
        <v>100</v>
      </c>
      <c r="B104" s="72">
        <v>46111</v>
      </c>
      <c r="C104" s="207">
        <v>8612471</v>
      </c>
      <c r="D104" s="28">
        <v>51528214</v>
      </c>
      <c r="E104" s="29">
        <v>51.75</v>
      </c>
      <c r="F104" s="30">
        <v>990.01</v>
      </c>
      <c r="G104" s="30">
        <f t="shared" si="11"/>
        <v>51233.0175</v>
      </c>
      <c r="H104" s="208">
        <v>76198.56</v>
      </c>
      <c r="I104" s="209">
        <f t="shared" si="12"/>
        <v>3943275.48</v>
      </c>
      <c r="J104" s="34" t="s">
        <v>120</v>
      </c>
      <c r="K104" s="35" t="s">
        <v>148</v>
      </c>
      <c r="L104" s="43"/>
      <c r="M104" s="44"/>
      <c r="N104" s="41"/>
      <c r="O104" s="214">
        <v>83.02</v>
      </c>
      <c r="P104" s="215">
        <f t="shared" si="13"/>
        <v>4296.285</v>
      </c>
      <c r="Q104" s="224"/>
      <c r="R104" s="224"/>
      <c r="S104" s="224"/>
      <c r="T104" s="224"/>
      <c r="U104" s="225"/>
      <c r="W104" s="29"/>
    </row>
    <row r="105" spans="1:23">
      <c r="A105" s="44">
        <f t="shared" si="14"/>
        <v>101</v>
      </c>
      <c r="B105" s="72">
        <v>46111</v>
      </c>
      <c r="C105" s="207">
        <v>8612471</v>
      </c>
      <c r="D105" s="28">
        <v>73102147</v>
      </c>
      <c r="E105" s="29">
        <v>60.45</v>
      </c>
      <c r="F105" s="42">
        <v>990.01</v>
      </c>
      <c r="G105" s="30">
        <f t="shared" si="11"/>
        <v>59846.1045</v>
      </c>
      <c r="H105" s="208">
        <v>76198.56</v>
      </c>
      <c r="I105" s="209">
        <f t="shared" si="12"/>
        <v>4606202.952</v>
      </c>
      <c r="J105" s="34" t="s">
        <v>120</v>
      </c>
      <c r="K105" s="35" t="s">
        <v>148</v>
      </c>
      <c r="L105" s="43"/>
      <c r="M105" s="44"/>
      <c r="N105" s="41"/>
      <c r="O105" s="214">
        <v>83.02</v>
      </c>
      <c r="P105" s="215">
        <f t="shared" si="13"/>
        <v>5018.559</v>
      </c>
      <c r="Q105" s="224"/>
      <c r="R105" s="224"/>
      <c r="S105" s="224"/>
      <c r="T105" s="224"/>
      <c r="U105" s="225"/>
      <c r="W105" s="29"/>
    </row>
    <row r="106" spans="1:23">
      <c r="A106" s="44">
        <f t="shared" si="14"/>
        <v>102</v>
      </c>
      <c r="B106" s="72">
        <v>46111</v>
      </c>
      <c r="C106" s="207">
        <v>8612471</v>
      </c>
      <c r="D106" s="28">
        <v>73126328</v>
      </c>
      <c r="E106" s="29">
        <v>60.5</v>
      </c>
      <c r="F106" s="42">
        <v>990.01</v>
      </c>
      <c r="G106" s="30">
        <f t="shared" si="11"/>
        <v>59895.605</v>
      </c>
      <c r="H106" s="208">
        <v>76198.56</v>
      </c>
      <c r="I106" s="209">
        <f t="shared" si="12"/>
        <v>4610012.88</v>
      </c>
      <c r="J106" s="34" t="s">
        <v>120</v>
      </c>
      <c r="K106" s="35" t="s">
        <v>148</v>
      </c>
      <c r="L106" s="43"/>
      <c r="M106" s="44"/>
      <c r="N106" s="41"/>
      <c r="O106" s="214">
        <v>83.02</v>
      </c>
      <c r="P106" s="215">
        <f t="shared" si="13"/>
        <v>5022.71</v>
      </c>
      <c r="Q106" s="224"/>
      <c r="R106" s="224"/>
      <c r="S106" s="224"/>
      <c r="T106" s="224"/>
      <c r="U106" s="225"/>
      <c r="W106" s="29"/>
    </row>
    <row r="107" spans="1:23">
      <c r="A107" s="44">
        <f t="shared" si="14"/>
        <v>103</v>
      </c>
      <c r="B107" s="72">
        <v>46111</v>
      </c>
      <c r="C107" s="207">
        <v>8612472</v>
      </c>
      <c r="D107" s="28">
        <v>73135568</v>
      </c>
      <c r="E107" s="29">
        <v>60.45</v>
      </c>
      <c r="F107" s="30">
        <v>990.01</v>
      </c>
      <c r="G107" s="30">
        <f t="shared" si="11"/>
        <v>59846.1045</v>
      </c>
      <c r="H107" s="208">
        <v>76198.56</v>
      </c>
      <c r="I107" s="209">
        <f t="shared" si="12"/>
        <v>4606202.952</v>
      </c>
      <c r="J107" s="34" t="s">
        <v>120</v>
      </c>
      <c r="K107" s="35" t="s">
        <v>148</v>
      </c>
      <c r="L107" s="43"/>
      <c r="M107" s="44"/>
      <c r="N107" s="41"/>
      <c r="O107" s="214">
        <v>83.02</v>
      </c>
      <c r="P107" s="215">
        <f t="shared" si="13"/>
        <v>5018.559</v>
      </c>
      <c r="Q107" s="224"/>
      <c r="R107" s="224"/>
      <c r="S107" s="224"/>
      <c r="T107" s="224"/>
      <c r="U107" s="225"/>
      <c r="W107" s="29"/>
    </row>
    <row r="108" spans="1:23">
      <c r="A108" s="44">
        <f t="shared" si="14"/>
        <v>104</v>
      </c>
      <c r="B108" s="72">
        <v>46111</v>
      </c>
      <c r="C108" s="207">
        <v>8612471</v>
      </c>
      <c r="D108" s="28">
        <v>73172983</v>
      </c>
      <c r="E108" s="29">
        <v>60.5</v>
      </c>
      <c r="F108" s="42">
        <v>990.01</v>
      </c>
      <c r="G108" s="30">
        <f t="shared" si="11"/>
        <v>59895.605</v>
      </c>
      <c r="H108" s="208">
        <v>76198.56</v>
      </c>
      <c r="I108" s="209">
        <f t="shared" si="12"/>
        <v>4610012.88</v>
      </c>
      <c r="J108" s="34" t="s">
        <v>120</v>
      </c>
      <c r="K108" s="35" t="s">
        <v>148</v>
      </c>
      <c r="L108" s="43"/>
      <c r="M108" s="44"/>
      <c r="N108" s="41"/>
      <c r="O108" s="214">
        <v>83.02</v>
      </c>
      <c r="P108" s="215">
        <f t="shared" si="13"/>
        <v>5022.71</v>
      </c>
      <c r="Q108" s="224"/>
      <c r="R108" s="224"/>
      <c r="S108" s="224"/>
      <c r="T108" s="224"/>
      <c r="U108" s="225"/>
      <c r="W108" s="29"/>
    </row>
    <row r="109" spans="1:23">
      <c r="A109" s="44">
        <f t="shared" si="14"/>
        <v>105</v>
      </c>
      <c r="B109" s="72">
        <v>46111</v>
      </c>
      <c r="C109" s="207">
        <v>8612471</v>
      </c>
      <c r="D109" s="28">
        <v>73173650</v>
      </c>
      <c r="E109" s="29">
        <v>60.5</v>
      </c>
      <c r="F109" s="42">
        <v>990.01</v>
      </c>
      <c r="G109" s="30">
        <f t="shared" si="11"/>
        <v>59895.605</v>
      </c>
      <c r="H109" s="208">
        <v>76198.56</v>
      </c>
      <c r="I109" s="209">
        <f t="shared" si="12"/>
        <v>4610012.88</v>
      </c>
      <c r="J109" s="34" t="s">
        <v>120</v>
      </c>
      <c r="K109" s="35" t="s">
        <v>148</v>
      </c>
      <c r="L109" s="43"/>
      <c r="M109" s="44"/>
      <c r="N109" s="41"/>
      <c r="O109" s="214">
        <v>83.02</v>
      </c>
      <c r="P109" s="215">
        <f t="shared" si="13"/>
        <v>5022.71</v>
      </c>
      <c r="Q109" s="224"/>
      <c r="R109" s="224"/>
      <c r="S109" s="224"/>
      <c r="T109" s="224"/>
      <c r="U109" s="225"/>
      <c r="W109" s="29"/>
    </row>
    <row r="110" spans="1:23">
      <c r="A110" s="44">
        <f t="shared" si="14"/>
        <v>106</v>
      </c>
      <c r="B110" s="72">
        <v>46111</v>
      </c>
      <c r="C110" s="207">
        <v>8612471</v>
      </c>
      <c r="D110" s="28">
        <v>73176737</v>
      </c>
      <c r="E110" s="29">
        <v>60.35</v>
      </c>
      <c r="F110" s="30">
        <v>990.01</v>
      </c>
      <c r="G110" s="30">
        <f t="shared" si="11"/>
        <v>59747.1035</v>
      </c>
      <c r="H110" s="208">
        <v>76198.56</v>
      </c>
      <c r="I110" s="209">
        <f t="shared" si="12"/>
        <v>4598583.096</v>
      </c>
      <c r="J110" s="34" t="s">
        <v>120</v>
      </c>
      <c r="K110" s="35" t="s">
        <v>148</v>
      </c>
      <c r="L110" s="43"/>
      <c r="M110" s="44"/>
      <c r="N110" s="41"/>
      <c r="O110" s="214">
        <v>83.02</v>
      </c>
      <c r="P110" s="215">
        <f t="shared" si="13"/>
        <v>5010.257</v>
      </c>
      <c r="Q110" s="224"/>
      <c r="R110" s="224"/>
      <c r="S110" s="224"/>
      <c r="T110" s="224"/>
      <c r="U110" s="225"/>
      <c r="W110" s="29"/>
    </row>
    <row r="111" spans="1:23">
      <c r="A111" s="44">
        <f t="shared" si="14"/>
        <v>107</v>
      </c>
      <c r="B111" s="72">
        <v>46111</v>
      </c>
      <c r="C111" s="207">
        <v>8612472</v>
      </c>
      <c r="D111" s="28">
        <v>73224552</v>
      </c>
      <c r="E111" s="29">
        <v>60.45</v>
      </c>
      <c r="F111" s="42">
        <v>990.01</v>
      </c>
      <c r="G111" s="30">
        <f t="shared" si="11"/>
        <v>59846.1045</v>
      </c>
      <c r="H111" s="208">
        <v>76198.56</v>
      </c>
      <c r="I111" s="209">
        <f t="shared" si="12"/>
        <v>4606202.952</v>
      </c>
      <c r="J111" s="34" t="s">
        <v>120</v>
      </c>
      <c r="K111" s="35" t="s">
        <v>148</v>
      </c>
      <c r="L111" s="43"/>
      <c r="M111" s="44"/>
      <c r="N111" s="41"/>
      <c r="O111" s="214">
        <v>83.02</v>
      </c>
      <c r="P111" s="215">
        <f t="shared" si="13"/>
        <v>5018.559</v>
      </c>
      <c r="Q111" s="224"/>
      <c r="R111" s="224"/>
      <c r="S111" s="224"/>
      <c r="T111" s="224"/>
      <c r="U111" s="225"/>
      <c r="W111" s="29"/>
    </row>
    <row r="112" spans="1:23">
      <c r="A112" s="44">
        <f t="shared" si="14"/>
        <v>108</v>
      </c>
      <c r="B112" s="72">
        <v>46111</v>
      </c>
      <c r="C112" s="207">
        <v>8612472</v>
      </c>
      <c r="D112" s="28">
        <v>73224644</v>
      </c>
      <c r="E112" s="29">
        <v>60.5</v>
      </c>
      <c r="F112" s="42">
        <v>990.01</v>
      </c>
      <c r="G112" s="30">
        <f t="shared" si="11"/>
        <v>59895.605</v>
      </c>
      <c r="H112" s="208">
        <v>76198.56</v>
      </c>
      <c r="I112" s="209">
        <f t="shared" si="12"/>
        <v>4610012.88</v>
      </c>
      <c r="J112" s="34" t="s">
        <v>120</v>
      </c>
      <c r="K112" s="35" t="s">
        <v>148</v>
      </c>
      <c r="L112" s="43"/>
      <c r="M112" s="44"/>
      <c r="N112" s="41"/>
      <c r="O112" s="214">
        <v>83.02</v>
      </c>
      <c r="P112" s="215">
        <f t="shared" si="13"/>
        <v>5022.71</v>
      </c>
      <c r="Q112" s="224"/>
      <c r="R112" s="224"/>
      <c r="S112" s="224"/>
      <c r="T112" s="224"/>
      <c r="U112" s="225"/>
      <c r="W112" s="29"/>
    </row>
    <row r="113" spans="1:23">
      <c r="A113" s="44">
        <f t="shared" si="14"/>
        <v>109</v>
      </c>
      <c r="B113" s="72">
        <v>46111</v>
      </c>
      <c r="C113" s="207">
        <v>8612472</v>
      </c>
      <c r="D113" s="28">
        <v>73228553</v>
      </c>
      <c r="E113" s="29">
        <v>60.55</v>
      </c>
      <c r="F113" s="30">
        <v>990.01</v>
      </c>
      <c r="G113" s="30">
        <f t="shared" si="11"/>
        <v>59945.1055</v>
      </c>
      <c r="H113" s="208">
        <v>76198.56</v>
      </c>
      <c r="I113" s="209">
        <f t="shared" si="12"/>
        <v>4613822.808</v>
      </c>
      <c r="J113" s="34" t="s">
        <v>120</v>
      </c>
      <c r="K113" s="35" t="s">
        <v>148</v>
      </c>
      <c r="L113" s="43"/>
      <c r="M113" s="44"/>
      <c r="N113" s="41"/>
      <c r="O113" s="214">
        <v>83.02</v>
      </c>
      <c r="P113" s="215">
        <f t="shared" si="13"/>
        <v>5026.861</v>
      </c>
      <c r="Q113" s="224"/>
      <c r="R113" s="224"/>
      <c r="S113" s="224"/>
      <c r="T113" s="224"/>
      <c r="U113" s="225"/>
      <c r="W113" s="29"/>
    </row>
    <row r="114" spans="1:23">
      <c r="A114" s="44">
        <f t="shared" si="14"/>
        <v>110</v>
      </c>
      <c r="B114" s="72">
        <v>46111</v>
      </c>
      <c r="C114" s="207">
        <v>8612472</v>
      </c>
      <c r="D114" s="28">
        <v>75330027</v>
      </c>
      <c r="E114" s="29">
        <v>61</v>
      </c>
      <c r="F114" s="42">
        <v>990.01</v>
      </c>
      <c r="G114" s="30">
        <f t="shared" si="11"/>
        <v>60390.61</v>
      </c>
      <c r="H114" s="208">
        <v>76198.56</v>
      </c>
      <c r="I114" s="209">
        <f t="shared" si="12"/>
        <v>4648112.16</v>
      </c>
      <c r="J114" s="34" t="s">
        <v>120</v>
      </c>
      <c r="K114" s="35" t="s">
        <v>148</v>
      </c>
      <c r="L114" s="43"/>
      <c r="M114" s="44"/>
      <c r="N114" s="41"/>
      <c r="O114" s="214">
        <v>83.02</v>
      </c>
      <c r="P114" s="215">
        <f t="shared" si="13"/>
        <v>5064.22</v>
      </c>
      <c r="Q114" s="224"/>
      <c r="R114" s="224"/>
      <c r="S114" s="224"/>
      <c r="T114" s="224"/>
      <c r="U114" s="225"/>
      <c r="W114" s="29"/>
    </row>
    <row r="115" spans="1:23">
      <c r="A115" s="44">
        <f t="shared" si="14"/>
        <v>111</v>
      </c>
      <c r="B115" s="72">
        <v>46111</v>
      </c>
      <c r="C115" s="207">
        <v>8612471</v>
      </c>
      <c r="D115" s="28">
        <v>75330035</v>
      </c>
      <c r="E115" s="29">
        <v>60.95</v>
      </c>
      <c r="F115" s="42">
        <v>990.01</v>
      </c>
      <c r="G115" s="30">
        <f t="shared" si="11"/>
        <v>60341.1095</v>
      </c>
      <c r="H115" s="208">
        <v>76198.56</v>
      </c>
      <c r="I115" s="209">
        <f t="shared" si="12"/>
        <v>4644302.232</v>
      </c>
      <c r="J115" s="34" t="s">
        <v>120</v>
      </c>
      <c r="K115" s="35" t="s">
        <v>148</v>
      </c>
      <c r="L115" s="43"/>
      <c r="M115" s="44"/>
      <c r="N115" s="41"/>
      <c r="O115" s="214">
        <v>83.02</v>
      </c>
      <c r="P115" s="215">
        <f t="shared" si="13"/>
        <v>5060.069</v>
      </c>
      <c r="Q115" s="224"/>
      <c r="R115" s="224"/>
      <c r="S115" s="224"/>
      <c r="T115" s="224"/>
      <c r="U115" s="225"/>
      <c r="W115" s="29"/>
    </row>
    <row r="116" spans="1:23">
      <c r="A116" s="44">
        <f t="shared" si="14"/>
        <v>112</v>
      </c>
      <c r="B116" s="72">
        <v>46111</v>
      </c>
      <c r="C116" s="207">
        <v>8612472</v>
      </c>
      <c r="D116" s="28">
        <v>75330043</v>
      </c>
      <c r="E116" s="29">
        <v>61</v>
      </c>
      <c r="F116" s="30">
        <v>990.01</v>
      </c>
      <c r="G116" s="30">
        <f t="shared" si="11"/>
        <v>60390.61</v>
      </c>
      <c r="H116" s="208">
        <v>76198.56</v>
      </c>
      <c r="I116" s="209">
        <f t="shared" si="12"/>
        <v>4648112.16</v>
      </c>
      <c r="J116" s="34" t="s">
        <v>120</v>
      </c>
      <c r="K116" s="35" t="s">
        <v>148</v>
      </c>
      <c r="L116" s="43"/>
      <c r="M116" s="44"/>
      <c r="N116" s="41"/>
      <c r="O116" s="214">
        <v>83.02</v>
      </c>
      <c r="P116" s="215">
        <f t="shared" si="13"/>
        <v>5064.22</v>
      </c>
      <c r="Q116" s="224"/>
      <c r="R116" s="224"/>
      <c r="S116" s="224"/>
      <c r="T116" s="224"/>
      <c r="U116" s="225"/>
      <c r="W116" s="29"/>
    </row>
    <row r="117" spans="1:23">
      <c r="A117" s="44">
        <f t="shared" si="14"/>
        <v>113</v>
      </c>
      <c r="B117" s="72">
        <v>46111</v>
      </c>
      <c r="C117" s="207">
        <v>8612472</v>
      </c>
      <c r="D117" s="28">
        <v>75330100</v>
      </c>
      <c r="E117" s="29">
        <v>61</v>
      </c>
      <c r="F117" s="42">
        <v>990.01</v>
      </c>
      <c r="G117" s="30">
        <f t="shared" si="11"/>
        <v>60390.61</v>
      </c>
      <c r="H117" s="208">
        <v>76198.56</v>
      </c>
      <c r="I117" s="209">
        <f t="shared" si="12"/>
        <v>4648112.16</v>
      </c>
      <c r="J117" s="34" t="s">
        <v>120</v>
      </c>
      <c r="K117" s="35" t="s">
        <v>148</v>
      </c>
      <c r="L117" s="43"/>
      <c r="M117" s="44"/>
      <c r="N117" s="41"/>
      <c r="O117" s="214">
        <v>83.02</v>
      </c>
      <c r="P117" s="215">
        <f t="shared" si="13"/>
        <v>5064.22</v>
      </c>
      <c r="Q117" s="224"/>
      <c r="R117" s="224"/>
      <c r="S117" s="224"/>
      <c r="T117" s="224"/>
      <c r="U117" s="225"/>
      <c r="W117" s="29"/>
    </row>
    <row r="118" spans="1:23">
      <c r="A118" s="44">
        <f t="shared" si="14"/>
        <v>114</v>
      </c>
      <c r="B118" s="72">
        <v>46111</v>
      </c>
      <c r="C118" s="207">
        <v>8612472</v>
      </c>
      <c r="D118" s="28">
        <v>75330126</v>
      </c>
      <c r="E118" s="29">
        <v>60.95</v>
      </c>
      <c r="F118" s="42">
        <v>990.01</v>
      </c>
      <c r="G118" s="30">
        <f t="shared" si="11"/>
        <v>60341.1095</v>
      </c>
      <c r="H118" s="208">
        <v>76198.56</v>
      </c>
      <c r="I118" s="209">
        <f t="shared" si="12"/>
        <v>4644302.232</v>
      </c>
      <c r="J118" s="34" t="s">
        <v>120</v>
      </c>
      <c r="K118" s="35" t="s">
        <v>148</v>
      </c>
      <c r="L118" s="43"/>
      <c r="M118" s="44"/>
      <c r="N118" s="41"/>
      <c r="O118" s="214">
        <v>83.02</v>
      </c>
      <c r="P118" s="215">
        <f t="shared" si="13"/>
        <v>5060.069</v>
      </c>
      <c r="Q118" s="224"/>
      <c r="R118" s="224"/>
      <c r="S118" s="224"/>
      <c r="T118" s="224"/>
      <c r="U118" s="225"/>
      <c r="W118" s="29"/>
    </row>
    <row r="119" spans="1:23">
      <c r="A119" s="44">
        <f t="shared" si="14"/>
        <v>115</v>
      </c>
      <c r="B119" s="72">
        <v>46111</v>
      </c>
      <c r="C119" s="207">
        <v>8612471</v>
      </c>
      <c r="D119" s="28">
        <v>75330167</v>
      </c>
      <c r="E119" s="29">
        <v>61</v>
      </c>
      <c r="F119" s="30">
        <v>990.01</v>
      </c>
      <c r="G119" s="30">
        <f t="shared" si="11"/>
        <v>60390.61</v>
      </c>
      <c r="H119" s="208">
        <v>76198.56</v>
      </c>
      <c r="I119" s="209">
        <f t="shared" si="12"/>
        <v>4648112.16</v>
      </c>
      <c r="J119" s="34" t="s">
        <v>120</v>
      </c>
      <c r="K119" s="35" t="s">
        <v>148</v>
      </c>
      <c r="L119" s="43"/>
      <c r="M119" s="44"/>
      <c r="N119" s="41"/>
      <c r="O119" s="214">
        <v>83.02</v>
      </c>
      <c r="P119" s="215">
        <f t="shared" si="13"/>
        <v>5064.22</v>
      </c>
      <c r="Q119" s="224"/>
      <c r="R119" s="224"/>
      <c r="S119" s="224"/>
      <c r="T119" s="224"/>
      <c r="U119" s="225"/>
      <c r="W119" s="29"/>
    </row>
    <row r="120" spans="1:23">
      <c r="A120" s="44">
        <f t="shared" si="14"/>
        <v>116</v>
      </c>
      <c r="B120" s="72">
        <v>46111</v>
      </c>
      <c r="C120" s="207">
        <v>8612471</v>
      </c>
      <c r="D120" s="28">
        <v>75330217</v>
      </c>
      <c r="E120" s="29">
        <v>60.95</v>
      </c>
      <c r="F120" s="42">
        <v>990.01</v>
      </c>
      <c r="G120" s="30">
        <f t="shared" si="11"/>
        <v>60341.1095</v>
      </c>
      <c r="H120" s="208">
        <v>76198.56</v>
      </c>
      <c r="I120" s="209">
        <f t="shared" si="12"/>
        <v>4644302.232</v>
      </c>
      <c r="J120" s="34" t="s">
        <v>120</v>
      </c>
      <c r="K120" s="35" t="s">
        <v>148</v>
      </c>
      <c r="L120" s="43"/>
      <c r="M120" s="44"/>
      <c r="N120" s="41"/>
      <c r="O120" s="214">
        <v>83.02</v>
      </c>
      <c r="P120" s="215">
        <f t="shared" si="13"/>
        <v>5060.069</v>
      </c>
      <c r="Q120" s="224"/>
      <c r="R120" s="224"/>
      <c r="S120" s="224"/>
      <c r="T120" s="224"/>
      <c r="U120" s="225"/>
      <c r="W120" s="29"/>
    </row>
    <row r="121" spans="1:23">
      <c r="A121" s="44">
        <f t="shared" si="14"/>
        <v>117</v>
      </c>
      <c r="B121" s="72">
        <v>46111</v>
      </c>
      <c r="C121" s="207">
        <v>8612472</v>
      </c>
      <c r="D121" s="28">
        <v>75330233</v>
      </c>
      <c r="E121" s="29">
        <v>60.6</v>
      </c>
      <c r="F121" s="42">
        <v>990.01</v>
      </c>
      <c r="G121" s="30">
        <f t="shared" si="11"/>
        <v>59994.606</v>
      </c>
      <c r="H121" s="208">
        <v>76198.56</v>
      </c>
      <c r="I121" s="209">
        <f t="shared" si="12"/>
        <v>4617632.736</v>
      </c>
      <c r="J121" s="34" t="s">
        <v>120</v>
      </c>
      <c r="K121" s="35" t="s">
        <v>148</v>
      </c>
      <c r="L121" s="43"/>
      <c r="M121" s="44"/>
      <c r="N121" s="41"/>
      <c r="O121" s="214">
        <v>83.02</v>
      </c>
      <c r="P121" s="215">
        <f t="shared" si="13"/>
        <v>5031.012</v>
      </c>
      <c r="Q121" s="224"/>
      <c r="R121" s="224"/>
      <c r="S121" s="224"/>
      <c r="T121" s="224"/>
      <c r="U121" s="225"/>
      <c r="W121" s="29"/>
    </row>
    <row r="122" spans="1:23">
      <c r="A122" s="44">
        <f t="shared" si="14"/>
        <v>118</v>
      </c>
      <c r="B122" s="72">
        <v>46111</v>
      </c>
      <c r="C122" s="207">
        <v>8612471</v>
      </c>
      <c r="D122" s="28">
        <v>75330258</v>
      </c>
      <c r="E122" s="29">
        <v>60.9</v>
      </c>
      <c r="F122" s="30">
        <v>990.01</v>
      </c>
      <c r="G122" s="30">
        <f t="shared" si="11"/>
        <v>60291.609</v>
      </c>
      <c r="H122" s="208">
        <v>76198.56</v>
      </c>
      <c r="I122" s="209">
        <f t="shared" si="12"/>
        <v>4640492.304</v>
      </c>
      <c r="J122" s="34" t="s">
        <v>120</v>
      </c>
      <c r="K122" s="35" t="s">
        <v>148</v>
      </c>
      <c r="L122" s="43"/>
      <c r="M122" s="44"/>
      <c r="N122" s="41"/>
      <c r="O122" s="214">
        <v>83.02</v>
      </c>
      <c r="P122" s="215">
        <f t="shared" si="13"/>
        <v>5055.918</v>
      </c>
      <c r="Q122" s="224"/>
      <c r="R122" s="224"/>
      <c r="S122" s="224"/>
      <c r="T122" s="224"/>
      <c r="U122" s="225"/>
      <c r="W122" s="29"/>
    </row>
    <row r="123" spans="1:23">
      <c r="A123" s="44">
        <f t="shared" si="14"/>
        <v>119</v>
      </c>
      <c r="B123" s="72">
        <v>46111</v>
      </c>
      <c r="C123" s="207">
        <v>8612471</v>
      </c>
      <c r="D123" s="28">
        <v>75330266</v>
      </c>
      <c r="E123" s="29">
        <v>60.9</v>
      </c>
      <c r="F123" s="42">
        <v>990.01</v>
      </c>
      <c r="G123" s="30">
        <f t="shared" si="11"/>
        <v>60291.609</v>
      </c>
      <c r="H123" s="208">
        <v>76198.56</v>
      </c>
      <c r="I123" s="209">
        <f t="shared" si="12"/>
        <v>4640492.304</v>
      </c>
      <c r="J123" s="34" t="s">
        <v>120</v>
      </c>
      <c r="K123" s="35" t="s">
        <v>148</v>
      </c>
      <c r="L123" s="43"/>
      <c r="M123" s="44"/>
      <c r="N123" s="41"/>
      <c r="O123" s="214">
        <v>83.02</v>
      </c>
      <c r="P123" s="215">
        <f t="shared" si="13"/>
        <v>5055.918</v>
      </c>
      <c r="Q123" s="224"/>
      <c r="R123" s="224"/>
      <c r="S123" s="224"/>
      <c r="T123" s="224"/>
      <c r="U123" s="225"/>
      <c r="W123" s="29"/>
    </row>
    <row r="124" spans="1:23">
      <c r="A124" s="44">
        <f t="shared" si="14"/>
        <v>120</v>
      </c>
      <c r="B124" s="72">
        <v>46111</v>
      </c>
      <c r="C124" s="207">
        <v>8612472</v>
      </c>
      <c r="D124" s="28">
        <v>75330324</v>
      </c>
      <c r="E124" s="29">
        <v>60.95</v>
      </c>
      <c r="F124" s="42">
        <v>990.01</v>
      </c>
      <c r="G124" s="30">
        <f t="shared" si="11"/>
        <v>60341.1095</v>
      </c>
      <c r="H124" s="208">
        <v>76198.56</v>
      </c>
      <c r="I124" s="209">
        <f t="shared" si="12"/>
        <v>4644302.232</v>
      </c>
      <c r="J124" s="34" t="s">
        <v>120</v>
      </c>
      <c r="K124" s="35" t="s">
        <v>148</v>
      </c>
      <c r="L124" s="43"/>
      <c r="M124" s="44"/>
      <c r="N124" s="41"/>
      <c r="O124" s="214">
        <v>83.02</v>
      </c>
      <c r="P124" s="215">
        <f t="shared" si="13"/>
        <v>5060.069</v>
      </c>
      <c r="Q124" s="224"/>
      <c r="R124" s="224"/>
      <c r="S124" s="224"/>
      <c r="T124" s="224"/>
      <c r="U124" s="225"/>
      <c r="W124" s="29"/>
    </row>
    <row r="125" spans="1:23">
      <c r="A125" s="44">
        <f t="shared" si="14"/>
        <v>121</v>
      </c>
      <c r="B125" s="72">
        <v>46111</v>
      </c>
      <c r="C125" s="207">
        <v>8612472</v>
      </c>
      <c r="D125" s="28">
        <v>75330357</v>
      </c>
      <c r="E125" s="29">
        <v>61</v>
      </c>
      <c r="F125" s="30">
        <v>990.01</v>
      </c>
      <c r="G125" s="30">
        <f t="shared" si="11"/>
        <v>60390.61</v>
      </c>
      <c r="H125" s="208">
        <v>76198.56</v>
      </c>
      <c r="I125" s="209">
        <f t="shared" si="12"/>
        <v>4648112.16</v>
      </c>
      <c r="J125" s="34" t="s">
        <v>120</v>
      </c>
      <c r="K125" s="35" t="s">
        <v>148</v>
      </c>
      <c r="L125" s="43"/>
      <c r="M125" s="44"/>
      <c r="N125" s="41"/>
      <c r="O125" s="214">
        <v>83.02</v>
      </c>
      <c r="P125" s="215">
        <f t="shared" si="13"/>
        <v>5064.22</v>
      </c>
      <c r="Q125" s="224"/>
      <c r="R125" s="224"/>
      <c r="S125" s="224"/>
      <c r="T125" s="224"/>
      <c r="U125" s="225"/>
      <c r="W125" s="29"/>
    </row>
    <row r="126" spans="1:23">
      <c r="A126" s="44">
        <f t="shared" si="14"/>
        <v>122</v>
      </c>
      <c r="B126" s="72">
        <v>46111</v>
      </c>
      <c r="C126" s="207">
        <v>8612471</v>
      </c>
      <c r="D126" s="28">
        <v>75330373</v>
      </c>
      <c r="E126" s="29">
        <v>60.95</v>
      </c>
      <c r="F126" s="42">
        <v>990.01</v>
      </c>
      <c r="G126" s="30">
        <f t="shared" si="11"/>
        <v>60341.1095</v>
      </c>
      <c r="H126" s="208">
        <v>76198.56</v>
      </c>
      <c r="I126" s="209">
        <f t="shared" si="12"/>
        <v>4644302.232</v>
      </c>
      <c r="J126" s="34" t="s">
        <v>120</v>
      </c>
      <c r="K126" s="35" t="s">
        <v>148</v>
      </c>
      <c r="L126" s="43"/>
      <c r="M126" s="44"/>
      <c r="N126" s="41"/>
      <c r="O126" s="214">
        <v>83.02</v>
      </c>
      <c r="P126" s="215">
        <f t="shared" si="13"/>
        <v>5060.069</v>
      </c>
      <c r="Q126" s="224"/>
      <c r="R126" s="224"/>
      <c r="S126" s="224"/>
      <c r="T126" s="224"/>
      <c r="U126" s="225"/>
      <c r="W126" s="29"/>
    </row>
    <row r="127" spans="1:23">
      <c r="A127" s="44">
        <f t="shared" si="14"/>
        <v>123</v>
      </c>
      <c r="B127" s="72">
        <v>46111</v>
      </c>
      <c r="C127" s="207">
        <v>8612471</v>
      </c>
      <c r="D127" s="28">
        <v>75330464</v>
      </c>
      <c r="E127" s="29">
        <v>60.95</v>
      </c>
      <c r="F127" s="42">
        <v>990.01</v>
      </c>
      <c r="G127" s="30">
        <f t="shared" si="11"/>
        <v>60341.1095</v>
      </c>
      <c r="H127" s="208">
        <v>76198.56</v>
      </c>
      <c r="I127" s="209">
        <f t="shared" si="12"/>
        <v>4644302.232</v>
      </c>
      <c r="J127" s="34" t="s">
        <v>120</v>
      </c>
      <c r="K127" s="35" t="s">
        <v>148</v>
      </c>
      <c r="L127" s="43"/>
      <c r="M127" s="44"/>
      <c r="N127" s="41"/>
      <c r="O127" s="214">
        <v>83.02</v>
      </c>
      <c r="P127" s="215">
        <f t="shared" si="13"/>
        <v>5060.069</v>
      </c>
      <c r="Q127" s="224"/>
      <c r="R127" s="224"/>
      <c r="S127" s="224"/>
      <c r="T127" s="224"/>
      <c r="U127" s="225"/>
      <c r="W127" s="29"/>
    </row>
    <row r="128" spans="1:23">
      <c r="A128" s="44">
        <f t="shared" si="14"/>
        <v>124</v>
      </c>
      <c r="B128" s="72">
        <v>46111</v>
      </c>
      <c r="C128" s="207">
        <v>8612472</v>
      </c>
      <c r="D128" s="28">
        <v>75330522</v>
      </c>
      <c r="E128" s="29">
        <v>61.05</v>
      </c>
      <c r="F128" s="30">
        <v>990.01</v>
      </c>
      <c r="G128" s="30">
        <f t="shared" si="11"/>
        <v>60440.1105</v>
      </c>
      <c r="H128" s="208">
        <v>76198.56</v>
      </c>
      <c r="I128" s="209">
        <f t="shared" si="12"/>
        <v>4651922.088</v>
      </c>
      <c r="J128" s="34" t="s">
        <v>120</v>
      </c>
      <c r="K128" s="35" t="s">
        <v>148</v>
      </c>
      <c r="L128" s="43"/>
      <c r="M128" s="44"/>
      <c r="N128" s="41"/>
      <c r="O128" s="214">
        <v>83.02</v>
      </c>
      <c r="P128" s="215">
        <f t="shared" si="13"/>
        <v>5068.371</v>
      </c>
      <c r="Q128" s="224"/>
      <c r="R128" s="224"/>
      <c r="S128" s="224"/>
      <c r="T128" s="224"/>
      <c r="U128" s="225"/>
      <c r="W128" s="29"/>
    </row>
    <row r="129" spans="1:23">
      <c r="A129" s="44">
        <f t="shared" si="14"/>
        <v>125</v>
      </c>
      <c r="B129" s="72">
        <v>46111</v>
      </c>
      <c r="C129" s="207">
        <v>8612472</v>
      </c>
      <c r="D129" s="28">
        <v>75332262</v>
      </c>
      <c r="E129" s="29">
        <v>60.9</v>
      </c>
      <c r="F129" s="42">
        <v>990.01</v>
      </c>
      <c r="G129" s="30">
        <f t="shared" si="11"/>
        <v>60291.609</v>
      </c>
      <c r="H129" s="208">
        <v>76198.56</v>
      </c>
      <c r="I129" s="209">
        <f t="shared" si="12"/>
        <v>4640492.304</v>
      </c>
      <c r="J129" s="34" t="s">
        <v>120</v>
      </c>
      <c r="K129" s="35" t="s">
        <v>148</v>
      </c>
      <c r="L129" s="43"/>
      <c r="M129" s="44"/>
      <c r="N129" s="41"/>
      <c r="O129" s="214">
        <v>83.02</v>
      </c>
      <c r="P129" s="215">
        <f t="shared" si="13"/>
        <v>5055.918</v>
      </c>
      <c r="Q129" s="224"/>
      <c r="R129" s="224"/>
      <c r="S129" s="224"/>
      <c r="T129" s="224"/>
      <c r="U129" s="225"/>
      <c r="W129" s="29"/>
    </row>
    <row r="130" spans="1:23">
      <c r="A130" s="44">
        <f t="shared" si="14"/>
        <v>126</v>
      </c>
      <c r="B130" s="72">
        <v>46111</v>
      </c>
      <c r="C130" s="207">
        <v>8612472</v>
      </c>
      <c r="D130" s="28">
        <v>76505999</v>
      </c>
      <c r="E130" s="29">
        <v>60.85</v>
      </c>
      <c r="F130" s="42">
        <v>990.01</v>
      </c>
      <c r="G130" s="30">
        <f t="shared" si="11"/>
        <v>60242.1085</v>
      </c>
      <c r="H130" s="208">
        <v>76198.56</v>
      </c>
      <c r="I130" s="209">
        <f t="shared" si="12"/>
        <v>4636682.376</v>
      </c>
      <c r="J130" s="34" t="s">
        <v>120</v>
      </c>
      <c r="K130" s="35" t="s">
        <v>148</v>
      </c>
      <c r="L130" s="43"/>
      <c r="M130" s="44"/>
      <c r="N130" s="41"/>
      <c r="O130" s="214">
        <v>83.02</v>
      </c>
      <c r="P130" s="215">
        <f t="shared" si="13"/>
        <v>5051.767</v>
      </c>
      <c r="Q130" s="224"/>
      <c r="R130" s="224"/>
      <c r="S130" s="224"/>
      <c r="T130" s="224"/>
      <c r="U130" s="225"/>
      <c r="W130" s="29"/>
    </row>
    <row r="131" ht="15.75" spans="1:23">
      <c r="A131" s="51">
        <f t="shared" si="14"/>
        <v>127</v>
      </c>
      <c r="B131" s="157">
        <v>46111</v>
      </c>
      <c r="C131" s="226">
        <v>8612472</v>
      </c>
      <c r="D131" s="158">
        <v>76566595</v>
      </c>
      <c r="E131" s="29">
        <v>60.75</v>
      </c>
      <c r="F131" s="30">
        <v>990.01</v>
      </c>
      <c r="G131" s="227">
        <f t="shared" si="11"/>
        <v>60143.1075</v>
      </c>
      <c r="H131" s="208">
        <v>76198.56</v>
      </c>
      <c r="I131" s="228">
        <f t="shared" si="12"/>
        <v>4629062.52</v>
      </c>
      <c r="J131" s="165" t="s">
        <v>120</v>
      </c>
      <c r="K131" s="166" t="s">
        <v>148</v>
      </c>
      <c r="L131" s="83"/>
      <c r="M131" s="51"/>
      <c r="N131" s="52"/>
      <c r="O131" s="219">
        <v>83.02</v>
      </c>
      <c r="P131" s="220">
        <f t="shared" si="13"/>
        <v>5043.465</v>
      </c>
      <c r="Q131" s="229"/>
      <c r="R131" s="229"/>
      <c r="S131" s="229"/>
      <c r="T131" s="229"/>
      <c r="U131" s="230"/>
      <c r="W131" s="29"/>
    </row>
    <row r="132" spans="1:23">
      <c r="A132" s="37">
        <v>128</v>
      </c>
      <c r="B132" s="115">
        <v>46112</v>
      </c>
      <c r="C132" s="232">
        <v>8612494</v>
      </c>
      <c r="D132" s="177">
        <v>51498186</v>
      </c>
      <c r="E132" s="178">
        <v>50.8</v>
      </c>
      <c r="F132" s="42">
        <v>990.01</v>
      </c>
      <c r="G132" s="181">
        <f t="shared" ref="G132:G142" si="15">E132*F132</f>
        <v>50292.508</v>
      </c>
      <c r="H132" s="208">
        <v>76198.56</v>
      </c>
      <c r="I132" s="233">
        <f t="shared" ref="I132:I142" si="16">E132*H132</f>
        <v>3870886.848</v>
      </c>
      <c r="J132" s="121" t="s">
        <v>120</v>
      </c>
      <c r="K132" s="234" t="s">
        <v>148</v>
      </c>
      <c r="L132" s="36"/>
      <c r="M132" s="40"/>
      <c r="N132" s="38"/>
      <c r="O132" s="212">
        <v>83.02</v>
      </c>
      <c r="P132" s="213">
        <f t="shared" ref="P132:P142" si="17">E132*O132</f>
        <v>4217.416</v>
      </c>
      <c r="Q132" s="222"/>
      <c r="R132" s="222"/>
      <c r="S132" s="222"/>
      <c r="T132" s="222"/>
      <c r="U132" s="223"/>
    </row>
    <row r="133" spans="1:23">
      <c r="A133" s="44">
        <f t="shared" ref="A133:A142" si="18">A132+1</f>
        <v>129</v>
      </c>
      <c r="B133" s="72">
        <v>46112</v>
      </c>
      <c r="C133" s="207">
        <v>8612495</v>
      </c>
      <c r="D133" s="28">
        <v>54243985</v>
      </c>
      <c r="E133" s="29">
        <v>60.4</v>
      </c>
      <c r="F133" s="42">
        <v>990.01</v>
      </c>
      <c r="G133" s="42">
        <f t="shared" si="15"/>
        <v>59796.604</v>
      </c>
      <c r="H133" s="208">
        <v>76198.56</v>
      </c>
      <c r="I133" s="235">
        <f t="shared" si="16"/>
        <v>4602393.024</v>
      </c>
      <c r="J133" s="34" t="s">
        <v>120</v>
      </c>
      <c r="K133" s="35" t="s">
        <v>148</v>
      </c>
      <c r="L133" s="43"/>
      <c r="M133" s="46"/>
      <c r="N133" s="41"/>
      <c r="O133" s="236">
        <v>83.02</v>
      </c>
      <c r="P133" s="237">
        <f t="shared" si="17"/>
        <v>5014.408</v>
      </c>
      <c r="Q133" s="224"/>
      <c r="R133" s="224"/>
      <c r="S133" s="224"/>
      <c r="T133" s="224"/>
      <c r="U133" s="225"/>
    </row>
    <row r="134" spans="1:23">
      <c r="A134" s="44">
        <f t="shared" si="18"/>
        <v>130</v>
      </c>
      <c r="B134" s="72">
        <v>46112</v>
      </c>
      <c r="C134" s="207">
        <v>8612496</v>
      </c>
      <c r="D134" s="28">
        <v>58708462</v>
      </c>
      <c r="E134" s="29">
        <v>60.6</v>
      </c>
      <c r="F134" s="30">
        <v>990.01</v>
      </c>
      <c r="G134" s="42">
        <f t="shared" si="15"/>
        <v>59994.606</v>
      </c>
      <c r="H134" s="208">
        <v>76198.56</v>
      </c>
      <c r="I134" s="235">
        <f t="shared" si="16"/>
        <v>4617632.736</v>
      </c>
      <c r="J134" s="34" t="s">
        <v>120</v>
      </c>
      <c r="K134" s="35" t="s">
        <v>148</v>
      </c>
      <c r="L134" s="43"/>
      <c r="M134" s="46"/>
      <c r="N134" s="41"/>
      <c r="O134" s="236">
        <v>83.02</v>
      </c>
      <c r="P134" s="237">
        <f t="shared" si="17"/>
        <v>5031.012</v>
      </c>
      <c r="Q134" s="224"/>
      <c r="R134" s="224"/>
      <c r="S134" s="224"/>
      <c r="T134" s="224"/>
      <c r="U134" s="225"/>
    </row>
    <row r="135" spans="1:23">
      <c r="A135" s="44">
        <f t="shared" si="18"/>
        <v>131</v>
      </c>
      <c r="B135" s="72">
        <v>46112</v>
      </c>
      <c r="C135" s="207">
        <v>8612494</v>
      </c>
      <c r="D135" s="28">
        <v>73007742</v>
      </c>
      <c r="E135" s="29">
        <v>60.65</v>
      </c>
      <c r="F135" s="42">
        <v>990.01</v>
      </c>
      <c r="G135" s="42">
        <f t="shared" si="15"/>
        <v>60044.1065</v>
      </c>
      <c r="H135" s="208">
        <v>76198.56</v>
      </c>
      <c r="I135" s="235">
        <f t="shared" si="16"/>
        <v>4621442.664</v>
      </c>
      <c r="J135" s="34" t="s">
        <v>120</v>
      </c>
      <c r="K135" s="35" t="s">
        <v>148</v>
      </c>
      <c r="L135" s="43"/>
      <c r="M135" s="46"/>
      <c r="N135" s="41"/>
      <c r="O135" s="236">
        <v>83.02</v>
      </c>
      <c r="P135" s="237">
        <f t="shared" si="17"/>
        <v>5035.163</v>
      </c>
      <c r="Q135" s="224"/>
      <c r="R135" s="224"/>
      <c r="S135" s="224"/>
      <c r="T135" s="224"/>
      <c r="U135" s="225"/>
    </row>
    <row r="136" spans="1:23">
      <c r="A136" s="44">
        <f t="shared" si="18"/>
        <v>132</v>
      </c>
      <c r="B136" s="72">
        <v>46112</v>
      </c>
      <c r="C136" s="207">
        <v>8612494</v>
      </c>
      <c r="D136" s="28">
        <v>73034662</v>
      </c>
      <c r="E136" s="29">
        <v>60.4</v>
      </c>
      <c r="F136" s="42">
        <v>990.01</v>
      </c>
      <c r="G136" s="42">
        <f t="shared" si="15"/>
        <v>59796.604</v>
      </c>
      <c r="H136" s="208">
        <v>76198.56</v>
      </c>
      <c r="I136" s="235">
        <f t="shared" si="16"/>
        <v>4602393.024</v>
      </c>
      <c r="J136" s="34" t="s">
        <v>120</v>
      </c>
      <c r="K136" s="35" t="s">
        <v>148</v>
      </c>
      <c r="L136" s="43"/>
      <c r="M136" s="46"/>
      <c r="N136" s="41"/>
      <c r="O136" s="236">
        <v>83.02</v>
      </c>
      <c r="P136" s="237">
        <f t="shared" si="17"/>
        <v>5014.408</v>
      </c>
      <c r="Q136" s="224"/>
      <c r="R136" s="224"/>
      <c r="S136" s="224"/>
      <c r="T136" s="224"/>
      <c r="U136" s="225"/>
    </row>
    <row r="137" spans="1:23">
      <c r="A137" s="44">
        <f t="shared" si="18"/>
        <v>133</v>
      </c>
      <c r="B137" s="72">
        <v>46112</v>
      </c>
      <c r="C137" s="207">
        <v>8612494</v>
      </c>
      <c r="D137" s="28">
        <v>73065823</v>
      </c>
      <c r="E137" s="29">
        <v>60.35</v>
      </c>
      <c r="F137" s="30">
        <v>990.01</v>
      </c>
      <c r="G137" s="42">
        <f t="shared" si="15"/>
        <v>59747.1035</v>
      </c>
      <c r="H137" s="208">
        <v>76198.56</v>
      </c>
      <c r="I137" s="235">
        <f t="shared" si="16"/>
        <v>4598583.096</v>
      </c>
      <c r="J137" s="34" t="s">
        <v>120</v>
      </c>
      <c r="K137" s="35" t="s">
        <v>148</v>
      </c>
      <c r="L137" s="43"/>
      <c r="M137" s="46"/>
      <c r="N137" s="41"/>
      <c r="O137" s="236">
        <v>83.02</v>
      </c>
      <c r="P137" s="237">
        <f t="shared" si="17"/>
        <v>5010.257</v>
      </c>
      <c r="Q137" s="224"/>
      <c r="R137" s="224"/>
      <c r="S137" s="224"/>
      <c r="T137" s="224"/>
      <c r="U137" s="225"/>
    </row>
    <row r="138" spans="1:23">
      <c r="A138" s="44">
        <f t="shared" si="18"/>
        <v>134</v>
      </c>
      <c r="B138" s="72">
        <v>46112</v>
      </c>
      <c r="C138" s="207">
        <v>8612494</v>
      </c>
      <c r="D138" s="28">
        <v>73081838</v>
      </c>
      <c r="E138" s="29">
        <v>60.6</v>
      </c>
      <c r="F138" s="42">
        <v>990.01</v>
      </c>
      <c r="G138" s="42">
        <f t="shared" si="15"/>
        <v>59994.606</v>
      </c>
      <c r="H138" s="208">
        <v>76198.56</v>
      </c>
      <c r="I138" s="235">
        <f t="shared" si="16"/>
        <v>4617632.736</v>
      </c>
      <c r="J138" s="34" t="s">
        <v>120</v>
      </c>
      <c r="K138" s="35" t="s">
        <v>148</v>
      </c>
      <c r="L138" s="43"/>
      <c r="M138" s="46"/>
      <c r="N138" s="41"/>
      <c r="O138" s="236">
        <v>83.02</v>
      </c>
      <c r="P138" s="237">
        <f t="shared" si="17"/>
        <v>5031.012</v>
      </c>
      <c r="Q138" s="224"/>
      <c r="R138" s="224"/>
      <c r="S138" s="224"/>
      <c r="T138" s="224"/>
      <c r="U138" s="225"/>
    </row>
    <row r="139" spans="1:23">
      <c r="A139" s="44">
        <f t="shared" si="18"/>
        <v>135</v>
      </c>
      <c r="B139" s="72">
        <v>46112</v>
      </c>
      <c r="C139" s="207">
        <v>8612494</v>
      </c>
      <c r="D139" s="28">
        <v>73113557</v>
      </c>
      <c r="E139" s="29">
        <v>60.4</v>
      </c>
      <c r="F139" s="42">
        <v>990.01</v>
      </c>
      <c r="G139" s="42">
        <f t="shared" si="15"/>
        <v>59796.604</v>
      </c>
      <c r="H139" s="208">
        <v>76198.56</v>
      </c>
      <c r="I139" s="235">
        <f t="shared" si="16"/>
        <v>4602393.024</v>
      </c>
      <c r="J139" s="34" t="s">
        <v>120</v>
      </c>
      <c r="K139" s="35" t="s">
        <v>148</v>
      </c>
      <c r="L139" s="43"/>
      <c r="M139" s="46"/>
      <c r="N139" s="41"/>
      <c r="O139" s="236">
        <v>83.02</v>
      </c>
      <c r="P139" s="237">
        <f t="shared" si="17"/>
        <v>5014.408</v>
      </c>
      <c r="Q139" s="224"/>
      <c r="R139" s="224"/>
      <c r="S139" s="224"/>
      <c r="T139" s="224"/>
      <c r="U139" s="225"/>
    </row>
    <row r="140" spans="1:23">
      <c r="A140" s="44">
        <f t="shared" si="18"/>
        <v>136</v>
      </c>
      <c r="B140" s="72">
        <v>46112</v>
      </c>
      <c r="C140" s="207">
        <v>8612494</v>
      </c>
      <c r="D140" s="28">
        <v>73165417</v>
      </c>
      <c r="E140" s="29">
        <v>60.75</v>
      </c>
      <c r="F140" s="30">
        <v>990.01</v>
      </c>
      <c r="G140" s="42">
        <f t="shared" si="15"/>
        <v>60143.1075</v>
      </c>
      <c r="H140" s="208">
        <v>76198.56</v>
      </c>
      <c r="I140" s="235">
        <f t="shared" si="16"/>
        <v>4629062.52</v>
      </c>
      <c r="J140" s="34" t="s">
        <v>120</v>
      </c>
      <c r="K140" s="35" t="s">
        <v>148</v>
      </c>
      <c r="L140" s="43"/>
      <c r="M140" s="46"/>
      <c r="N140" s="41"/>
      <c r="O140" s="236">
        <v>83.02</v>
      </c>
      <c r="P140" s="237">
        <f t="shared" si="17"/>
        <v>5043.465</v>
      </c>
      <c r="Q140" s="224"/>
      <c r="R140" s="224"/>
      <c r="S140" s="224"/>
      <c r="T140" s="224"/>
      <c r="U140" s="225"/>
    </row>
    <row r="141" spans="1:23">
      <c r="A141" s="44">
        <f t="shared" si="18"/>
        <v>137</v>
      </c>
      <c r="B141" s="72">
        <v>46112</v>
      </c>
      <c r="C141" s="207">
        <v>8612494</v>
      </c>
      <c r="D141" s="28">
        <v>75330514</v>
      </c>
      <c r="E141" s="29">
        <v>61.15</v>
      </c>
      <c r="F141" s="42">
        <v>990.01</v>
      </c>
      <c r="G141" s="42">
        <f t="shared" si="15"/>
        <v>60539.1115</v>
      </c>
      <c r="H141" s="208">
        <v>76198.56</v>
      </c>
      <c r="I141" s="235">
        <f t="shared" si="16"/>
        <v>4659541.944</v>
      </c>
      <c r="J141" s="34" t="s">
        <v>120</v>
      </c>
      <c r="K141" s="35" t="s">
        <v>148</v>
      </c>
      <c r="L141" s="43"/>
      <c r="M141" s="46"/>
      <c r="N141" s="41"/>
      <c r="O141" s="236">
        <v>83.02</v>
      </c>
      <c r="P141" s="237">
        <f t="shared" si="17"/>
        <v>5076.673</v>
      </c>
      <c r="Q141" s="224"/>
      <c r="R141" s="224"/>
      <c r="S141" s="224"/>
      <c r="T141" s="224"/>
      <c r="U141" s="225"/>
    </row>
    <row r="142" ht="15.75" spans="1:23">
      <c r="A142" s="51">
        <f t="shared" si="18"/>
        <v>138</v>
      </c>
      <c r="B142" s="157">
        <v>46112</v>
      </c>
      <c r="C142" s="226">
        <v>8612494</v>
      </c>
      <c r="D142" s="158">
        <v>76982495</v>
      </c>
      <c r="E142" s="162">
        <v>61</v>
      </c>
      <c r="F142" s="42">
        <v>990.01</v>
      </c>
      <c r="G142" s="182">
        <f t="shared" si="15"/>
        <v>60390.61</v>
      </c>
      <c r="H142" s="208">
        <v>76198.56</v>
      </c>
      <c r="I142" s="238">
        <f t="shared" si="16"/>
        <v>4648112.16</v>
      </c>
      <c r="J142" s="165" t="s">
        <v>120</v>
      </c>
      <c r="K142" s="166" t="s">
        <v>148</v>
      </c>
      <c r="L142" s="83"/>
      <c r="M142" s="54"/>
      <c r="N142" s="52"/>
      <c r="O142" s="239">
        <v>83.02</v>
      </c>
      <c r="P142" s="240">
        <f t="shared" si="17"/>
        <v>5064.22</v>
      </c>
      <c r="Q142" s="229"/>
      <c r="R142" s="229"/>
      <c r="S142" s="229"/>
      <c r="T142" s="229"/>
      <c r="U142" s="230"/>
    </row>
    <row r="143" spans="1:23">
      <c r="A143" s="172">
        <v>139</v>
      </c>
      <c r="B143" s="241">
        <v>46113</v>
      </c>
      <c r="C143" s="232">
        <v>8612511</v>
      </c>
      <c r="D143" s="177">
        <v>51230274</v>
      </c>
      <c r="E143" s="178">
        <v>60.05</v>
      </c>
      <c r="F143" s="30">
        <v>990.01</v>
      </c>
      <c r="G143" s="181">
        <f t="shared" ref="G143:G153" si="19">E143*F143</f>
        <v>59450.1005</v>
      </c>
      <c r="H143" s="208">
        <v>76198.56</v>
      </c>
      <c r="I143" s="233">
        <f t="shared" ref="I143:I153" si="20">E143*H143</f>
        <v>4575723.528</v>
      </c>
      <c r="J143" s="121" t="s">
        <v>120</v>
      </c>
      <c r="K143" s="234" t="s">
        <v>148</v>
      </c>
      <c r="L143" s="36"/>
      <c r="M143" s="40"/>
      <c r="N143" s="38"/>
      <c r="O143" s="212">
        <v>83.02</v>
      </c>
      <c r="P143" s="213">
        <f t="shared" ref="P143:P153" si="21">E143*O143</f>
        <v>4985.351</v>
      </c>
      <c r="Q143" s="242"/>
      <c r="R143" s="242"/>
      <c r="S143" s="242"/>
      <c r="T143" s="242"/>
      <c r="U143" s="243"/>
    </row>
    <row r="144" spans="1:23">
      <c r="A144" s="44">
        <f t="shared" ref="A144:A153" si="22">A143+1</f>
        <v>140</v>
      </c>
      <c r="B144" s="72">
        <v>46113</v>
      </c>
      <c r="C144" s="207">
        <v>8612516</v>
      </c>
      <c r="D144" s="28">
        <v>51457430</v>
      </c>
      <c r="E144" s="29">
        <v>59.9</v>
      </c>
      <c r="F144" s="42">
        <v>990.01</v>
      </c>
      <c r="G144" s="42">
        <f t="shared" si="19"/>
        <v>59301.599</v>
      </c>
      <c r="H144" s="208">
        <v>76198.56</v>
      </c>
      <c r="I144" s="235">
        <f t="shared" si="20"/>
        <v>4564293.744</v>
      </c>
      <c r="J144" s="34" t="s">
        <v>120</v>
      </c>
      <c r="K144" s="35" t="s">
        <v>148</v>
      </c>
      <c r="L144" s="43"/>
      <c r="M144" s="46"/>
      <c r="N144" s="41"/>
      <c r="O144" s="236">
        <v>83.02</v>
      </c>
      <c r="P144" s="237">
        <f t="shared" si="21"/>
        <v>4972.898</v>
      </c>
      <c r="Q144" s="224"/>
      <c r="R144" s="224"/>
      <c r="S144" s="224"/>
      <c r="T144" s="224"/>
      <c r="U144" s="225"/>
    </row>
    <row r="145" spans="1:21">
      <c r="A145" s="44">
        <f t="shared" si="22"/>
        <v>141</v>
      </c>
      <c r="B145" s="72">
        <v>46113</v>
      </c>
      <c r="C145" s="207">
        <v>8612514</v>
      </c>
      <c r="D145" s="28">
        <v>51680908</v>
      </c>
      <c r="E145" s="29">
        <v>51.95</v>
      </c>
      <c r="F145" s="42">
        <v>990.01</v>
      </c>
      <c r="G145" s="42">
        <f t="shared" si="19"/>
        <v>51431.0195</v>
      </c>
      <c r="H145" s="208">
        <v>76198.56</v>
      </c>
      <c r="I145" s="235">
        <f t="shared" si="20"/>
        <v>3958515.192</v>
      </c>
      <c r="J145" s="34" t="s">
        <v>120</v>
      </c>
      <c r="K145" s="35" t="s">
        <v>148</v>
      </c>
      <c r="L145" s="43"/>
      <c r="M145" s="46"/>
      <c r="N145" s="41"/>
      <c r="O145" s="236">
        <v>83.02</v>
      </c>
      <c r="P145" s="237">
        <f t="shared" si="21"/>
        <v>4312.889</v>
      </c>
      <c r="Q145" s="224"/>
      <c r="R145" s="224"/>
      <c r="S145" s="224"/>
      <c r="T145" s="224"/>
      <c r="U145" s="225"/>
    </row>
    <row r="146" spans="1:21">
      <c r="A146" s="44">
        <f t="shared" si="22"/>
        <v>142</v>
      </c>
      <c r="B146" s="72">
        <v>46113</v>
      </c>
      <c r="C146" s="207">
        <v>8612512</v>
      </c>
      <c r="D146" s="28">
        <v>54092978</v>
      </c>
      <c r="E146" s="29">
        <v>60.15</v>
      </c>
      <c r="F146" s="30">
        <v>990.01</v>
      </c>
      <c r="G146" s="42">
        <f t="shared" si="19"/>
        <v>59549.1015</v>
      </c>
      <c r="H146" s="208">
        <v>76198.56</v>
      </c>
      <c r="I146" s="235">
        <f t="shared" si="20"/>
        <v>4583343.384</v>
      </c>
      <c r="J146" s="34" t="s">
        <v>120</v>
      </c>
      <c r="K146" s="35" t="s">
        <v>148</v>
      </c>
      <c r="L146" s="43"/>
      <c r="M146" s="46"/>
      <c r="N146" s="41"/>
      <c r="O146" s="236">
        <v>83.02</v>
      </c>
      <c r="P146" s="237">
        <f t="shared" si="21"/>
        <v>4993.653</v>
      </c>
      <c r="Q146" s="224"/>
      <c r="R146" s="224"/>
      <c r="S146" s="224"/>
      <c r="T146" s="224"/>
      <c r="U146" s="225"/>
    </row>
    <row r="147" spans="1:21">
      <c r="A147" s="44">
        <f t="shared" si="22"/>
        <v>143</v>
      </c>
      <c r="B147" s="72">
        <v>46113</v>
      </c>
      <c r="C147" s="207">
        <v>8612510</v>
      </c>
      <c r="D147" s="28">
        <v>54095138</v>
      </c>
      <c r="E147" s="29">
        <v>59.95</v>
      </c>
      <c r="F147" s="42">
        <v>990.01</v>
      </c>
      <c r="G147" s="42">
        <f t="shared" si="19"/>
        <v>59351.0995</v>
      </c>
      <c r="H147" s="208">
        <v>76198.56</v>
      </c>
      <c r="I147" s="235">
        <f t="shared" si="20"/>
        <v>4568103.672</v>
      </c>
      <c r="J147" s="34" t="s">
        <v>120</v>
      </c>
      <c r="K147" s="35" t="s">
        <v>148</v>
      </c>
      <c r="L147" s="43"/>
      <c r="M147" s="46"/>
      <c r="N147" s="41"/>
      <c r="O147" s="236">
        <v>83.02</v>
      </c>
      <c r="P147" s="237">
        <f t="shared" si="21"/>
        <v>4977.049</v>
      </c>
      <c r="Q147" s="224"/>
      <c r="R147" s="224"/>
      <c r="S147" s="224"/>
      <c r="T147" s="224"/>
      <c r="U147" s="225"/>
    </row>
    <row r="148" spans="1:21">
      <c r="A148" s="44">
        <f t="shared" si="22"/>
        <v>144</v>
      </c>
      <c r="B148" s="72">
        <v>46113</v>
      </c>
      <c r="C148" s="207">
        <v>8612512</v>
      </c>
      <c r="D148" s="28">
        <v>57907479</v>
      </c>
      <c r="E148" s="29">
        <v>60.15</v>
      </c>
      <c r="F148" s="42">
        <v>990.01</v>
      </c>
      <c r="G148" s="42">
        <f t="shared" si="19"/>
        <v>59549.1015</v>
      </c>
      <c r="H148" s="208">
        <v>76198.56</v>
      </c>
      <c r="I148" s="235">
        <f t="shared" si="20"/>
        <v>4583343.384</v>
      </c>
      <c r="J148" s="34" t="s">
        <v>120</v>
      </c>
      <c r="K148" s="35" t="s">
        <v>148</v>
      </c>
      <c r="L148" s="43"/>
      <c r="M148" s="46"/>
      <c r="N148" s="41"/>
      <c r="O148" s="236">
        <v>83.02</v>
      </c>
      <c r="P148" s="237">
        <f t="shared" si="21"/>
        <v>4993.653</v>
      </c>
      <c r="Q148" s="224"/>
      <c r="R148" s="224"/>
      <c r="S148" s="224"/>
      <c r="T148" s="224"/>
      <c r="U148" s="225"/>
    </row>
    <row r="149" spans="1:21">
      <c r="A149" s="44">
        <f t="shared" si="22"/>
        <v>145</v>
      </c>
      <c r="B149" s="72">
        <v>46113</v>
      </c>
      <c r="C149" s="207">
        <v>8612512</v>
      </c>
      <c r="D149" s="28">
        <v>73228447</v>
      </c>
      <c r="E149" s="29">
        <v>60.45</v>
      </c>
      <c r="F149" s="30">
        <v>990.01</v>
      </c>
      <c r="G149" s="42">
        <f t="shared" si="19"/>
        <v>59846.1045</v>
      </c>
      <c r="H149" s="208">
        <v>76198.56</v>
      </c>
      <c r="I149" s="235">
        <f t="shared" si="20"/>
        <v>4606202.952</v>
      </c>
      <c r="J149" s="34" t="s">
        <v>120</v>
      </c>
      <c r="K149" s="35" t="s">
        <v>148</v>
      </c>
      <c r="L149" s="43"/>
      <c r="M149" s="46"/>
      <c r="N149" s="41"/>
      <c r="O149" s="236">
        <v>83.02</v>
      </c>
      <c r="P149" s="237">
        <f t="shared" si="21"/>
        <v>5018.559</v>
      </c>
      <c r="Q149" s="224"/>
      <c r="R149" s="224"/>
      <c r="S149" s="224"/>
      <c r="T149" s="224"/>
      <c r="U149" s="225"/>
    </row>
    <row r="150" spans="1:21">
      <c r="A150" s="44">
        <f t="shared" si="22"/>
        <v>146</v>
      </c>
      <c r="B150" s="72">
        <v>46113</v>
      </c>
      <c r="C150" s="207">
        <v>8612512</v>
      </c>
      <c r="D150" s="28">
        <v>73236077</v>
      </c>
      <c r="E150" s="29">
        <v>60.55</v>
      </c>
      <c r="F150" s="42">
        <v>990.01</v>
      </c>
      <c r="G150" s="42">
        <f t="shared" si="19"/>
        <v>59945.1055</v>
      </c>
      <c r="H150" s="208">
        <v>76198.56</v>
      </c>
      <c r="I150" s="235">
        <f t="shared" si="20"/>
        <v>4613822.808</v>
      </c>
      <c r="J150" s="34" t="s">
        <v>120</v>
      </c>
      <c r="K150" s="35" t="s">
        <v>148</v>
      </c>
      <c r="L150" s="43"/>
      <c r="M150" s="46"/>
      <c r="N150" s="41"/>
      <c r="O150" s="236">
        <v>83.02</v>
      </c>
      <c r="P150" s="237">
        <f t="shared" si="21"/>
        <v>5026.861</v>
      </c>
      <c r="Q150" s="224"/>
      <c r="R150" s="224"/>
      <c r="S150" s="224"/>
      <c r="T150" s="224"/>
      <c r="U150" s="225"/>
    </row>
    <row r="151" spans="1:21">
      <c r="A151" s="44">
        <f t="shared" si="22"/>
        <v>147</v>
      </c>
      <c r="B151" s="72">
        <v>46113</v>
      </c>
      <c r="C151" s="207">
        <v>8612515</v>
      </c>
      <c r="D151" s="28">
        <v>74903931</v>
      </c>
      <c r="E151" s="29">
        <v>60.4</v>
      </c>
      <c r="F151" s="42">
        <v>990.01</v>
      </c>
      <c r="G151" s="42">
        <f t="shared" si="19"/>
        <v>59796.604</v>
      </c>
      <c r="H151" s="208">
        <v>76198.56</v>
      </c>
      <c r="I151" s="235">
        <f t="shared" si="20"/>
        <v>4602393.024</v>
      </c>
      <c r="J151" s="34" t="s">
        <v>120</v>
      </c>
      <c r="K151" s="35" t="s">
        <v>148</v>
      </c>
      <c r="L151" s="43"/>
      <c r="M151" s="46"/>
      <c r="N151" s="41"/>
      <c r="O151" s="236">
        <v>83.02</v>
      </c>
      <c r="P151" s="237">
        <f t="shared" si="21"/>
        <v>5014.408</v>
      </c>
      <c r="Q151" s="224"/>
      <c r="R151" s="224"/>
      <c r="S151" s="224"/>
      <c r="T151" s="224"/>
      <c r="U151" s="225"/>
    </row>
    <row r="152" spans="1:21">
      <c r="A152" s="44">
        <f t="shared" si="22"/>
        <v>148</v>
      </c>
      <c r="B152" s="72">
        <v>46113</v>
      </c>
      <c r="C152" s="207">
        <v>8612513</v>
      </c>
      <c r="D152" s="28">
        <v>75094821</v>
      </c>
      <c r="E152" s="29">
        <v>60.4</v>
      </c>
      <c r="F152" s="30">
        <v>990.01</v>
      </c>
      <c r="G152" s="42">
        <f t="shared" si="19"/>
        <v>59796.604</v>
      </c>
      <c r="H152" s="208">
        <v>76198.56</v>
      </c>
      <c r="I152" s="235">
        <f t="shared" si="20"/>
        <v>4602393.024</v>
      </c>
      <c r="J152" s="34" t="s">
        <v>120</v>
      </c>
      <c r="K152" s="35" t="s">
        <v>148</v>
      </c>
      <c r="L152" s="43"/>
      <c r="M152" s="46"/>
      <c r="N152" s="41"/>
      <c r="O152" s="236">
        <v>83.02</v>
      </c>
      <c r="P152" s="237">
        <f t="shared" si="21"/>
        <v>5014.408</v>
      </c>
      <c r="Q152" s="224"/>
      <c r="R152" s="224"/>
      <c r="S152" s="224"/>
      <c r="T152" s="224"/>
      <c r="U152" s="225"/>
    </row>
    <row r="153" ht="15.75" spans="1:21">
      <c r="A153" s="51">
        <f t="shared" si="22"/>
        <v>149</v>
      </c>
      <c r="B153" s="188">
        <v>46113</v>
      </c>
      <c r="C153" s="226">
        <v>8612512</v>
      </c>
      <c r="D153" s="158">
        <v>76283399</v>
      </c>
      <c r="E153" s="162">
        <v>60.85</v>
      </c>
      <c r="F153" s="42">
        <v>990.01</v>
      </c>
      <c r="G153" s="182">
        <f t="shared" si="19"/>
        <v>60242.1085</v>
      </c>
      <c r="H153" s="208">
        <v>76198.56</v>
      </c>
      <c r="I153" s="238">
        <f t="shared" si="20"/>
        <v>4636682.376</v>
      </c>
      <c r="J153" s="165" t="s">
        <v>120</v>
      </c>
      <c r="K153" s="166" t="s">
        <v>148</v>
      </c>
      <c r="L153" s="83"/>
      <c r="M153" s="54"/>
      <c r="N153" s="52"/>
      <c r="O153" s="239">
        <v>83.02</v>
      </c>
      <c r="P153" s="240">
        <f t="shared" si="21"/>
        <v>5051.767</v>
      </c>
      <c r="Q153" s="244"/>
      <c r="R153" s="244"/>
      <c r="S153" s="244"/>
      <c r="T153" s="244"/>
      <c r="U153" s="245"/>
    </row>
    <row r="154" spans="1:21">
      <c r="A154" s="37">
        <v>150</v>
      </c>
      <c r="B154" s="115">
        <v>46113</v>
      </c>
      <c r="C154" s="246">
        <v>8612519</v>
      </c>
      <c r="D154" s="116">
        <v>50198597</v>
      </c>
      <c r="E154" s="117">
        <v>60.65</v>
      </c>
      <c r="F154" s="42">
        <v>990.01</v>
      </c>
      <c r="G154" s="181">
        <f t="shared" ref="G154:G186" si="23">E154*F154</f>
        <v>60044.1065</v>
      </c>
      <c r="H154" s="208">
        <v>76198.56</v>
      </c>
      <c r="I154" s="233">
        <f t="shared" ref="I154:I186" si="24">E154*H154</f>
        <v>4621442.664</v>
      </c>
      <c r="J154" s="121" t="s">
        <v>120</v>
      </c>
      <c r="K154" s="234" t="s">
        <v>148</v>
      </c>
      <c r="L154" s="36"/>
      <c r="M154" s="40"/>
      <c r="N154" s="38"/>
      <c r="O154" s="212">
        <v>83.02</v>
      </c>
      <c r="P154" s="213">
        <f t="shared" ref="P154:P186" si="25">E154*O154</f>
        <v>5035.163</v>
      </c>
      <c r="Q154" s="222"/>
      <c r="R154" s="222"/>
      <c r="S154" s="222"/>
      <c r="T154" s="222"/>
      <c r="U154" s="223"/>
    </row>
    <row r="155" spans="1:21">
      <c r="A155" s="44">
        <f t="shared" ref="A155:A186" si="26">A154+1</f>
        <v>151</v>
      </c>
      <c r="B155" s="72">
        <v>46113</v>
      </c>
      <c r="C155" s="247">
        <v>8612520</v>
      </c>
      <c r="D155" s="111">
        <v>50362458</v>
      </c>
      <c r="E155" s="112">
        <v>52.7</v>
      </c>
      <c r="F155" s="30">
        <v>990.01</v>
      </c>
      <c r="G155" s="42">
        <f t="shared" si="23"/>
        <v>52173.527</v>
      </c>
      <c r="H155" s="208">
        <v>76198.56</v>
      </c>
      <c r="I155" s="235">
        <f t="shared" si="24"/>
        <v>4015664.112</v>
      </c>
      <c r="J155" s="34" t="s">
        <v>120</v>
      </c>
      <c r="K155" s="35" t="s">
        <v>148</v>
      </c>
      <c r="L155" s="43"/>
      <c r="M155" s="46"/>
      <c r="N155" s="41"/>
      <c r="O155" s="236">
        <v>83.02</v>
      </c>
      <c r="P155" s="237">
        <f t="shared" si="25"/>
        <v>4375.154</v>
      </c>
      <c r="Q155" s="224"/>
      <c r="R155" s="224"/>
      <c r="S155" s="224"/>
      <c r="T155" s="224"/>
      <c r="U155" s="225"/>
    </row>
    <row r="156" spans="1:21">
      <c r="A156" s="44">
        <f t="shared" si="26"/>
        <v>152</v>
      </c>
      <c r="B156" s="72">
        <v>46113</v>
      </c>
      <c r="C156" s="247">
        <v>8612520</v>
      </c>
      <c r="D156" s="111">
        <v>50497163</v>
      </c>
      <c r="E156" s="112">
        <v>60.6</v>
      </c>
      <c r="F156" s="42">
        <v>990.01</v>
      </c>
      <c r="G156" s="42">
        <f t="shared" si="23"/>
        <v>59994.606</v>
      </c>
      <c r="H156" s="208">
        <v>76198.56</v>
      </c>
      <c r="I156" s="235">
        <f t="shared" si="24"/>
        <v>4617632.736</v>
      </c>
      <c r="J156" s="34" t="s">
        <v>120</v>
      </c>
      <c r="K156" s="35" t="s">
        <v>148</v>
      </c>
      <c r="L156" s="43"/>
      <c r="M156" s="46"/>
      <c r="N156" s="41"/>
      <c r="O156" s="236">
        <v>83.02</v>
      </c>
      <c r="P156" s="237">
        <f t="shared" si="25"/>
        <v>5031.012</v>
      </c>
      <c r="Q156" s="224"/>
      <c r="R156" s="224"/>
      <c r="S156" s="224"/>
      <c r="T156" s="224"/>
      <c r="U156" s="225"/>
    </row>
    <row r="157" spans="1:21">
      <c r="A157" s="44">
        <f t="shared" si="26"/>
        <v>153</v>
      </c>
      <c r="B157" s="72">
        <v>46113</v>
      </c>
      <c r="C157" s="247">
        <v>8612519</v>
      </c>
      <c r="D157" s="111">
        <v>50539865</v>
      </c>
      <c r="E157" s="112">
        <v>60.6</v>
      </c>
      <c r="F157" s="42">
        <v>990.01</v>
      </c>
      <c r="G157" s="42">
        <f t="shared" si="23"/>
        <v>59994.606</v>
      </c>
      <c r="H157" s="208">
        <v>76198.56</v>
      </c>
      <c r="I157" s="235">
        <f t="shared" si="24"/>
        <v>4617632.736</v>
      </c>
      <c r="J157" s="34" t="s">
        <v>120</v>
      </c>
      <c r="K157" s="35" t="s">
        <v>148</v>
      </c>
      <c r="L157" s="43"/>
      <c r="M157" s="46"/>
      <c r="N157" s="41"/>
      <c r="O157" s="236">
        <v>83.02</v>
      </c>
      <c r="P157" s="237">
        <f t="shared" si="25"/>
        <v>5031.012</v>
      </c>
      <c r="Q157" s="224"/>
      <c r="R157" s="224"/>
      <c r="S157" s="224"/>
      <c r="T157" s="224"/>
      <c r="U157" s="225"/>
    </row>
    <row r="158" spans="1:21">
      <c r="A158" s="44">
        <f t="shared" si="26"/>
        <v>154</v>
      </c>
      <c r="B158" s="72">
        <v>46113</v>
      </c>
      <c r="C158" s="247">
        <v>8612519</v>
      </c>
      <c r="D158" s="111">
        <v>50749068</v>
      </c>
      <c r="E158" s="112">
        <v>60.35</v>
      </c>
      <c r="F158" s="30">
        <v>990.01</v>
      </c>
      <c r="G158" s="42">
        <f t="shared" si="23"/>
        <v>59747.1035</v>
      </c>
      <c r="H158" s="208">
        <v>76198.56</v>
      </c>
      <c r="I158" s="235">
        <f t="shared" si="24"/>
        <v>4598583.096</v>
      </c>
      <c r="J158" s="34" t="s">
        <v>120</v>
      </c>
      <c r="K158" s="35" t="s">
        <v>148</v>
      </c>
      <c r="L158" s="43"/>
      <c r="M158" s="46"/>
      <c r="N158" s="41"/>
      <c r="O158" s="236">
        <v>83.02</v>
      </c>
      <c r="P158" s="237">
        <f t="shared" si="25"/>
        <v>5010.257</v>
      </c>
      <c r="Q158" s="224"/>
      <c r="R158" s="224"/>
      <c r="S158" s="224"/>
      <c r="T158" s="224"/>
      <c r="U158" s="225"/>
    </row>
    <row r="159" spans="1:21">
      <c r="A159" s="44">
        <f t="shared" si="26"/>
        <v>155</v>
      </c>
      <c r="B159" s="72">
        <v>46113</v>
      </c>
      <c r="C159" s="247">
        <v>8612520</v>
      </c>
      <c r="D159" s="111">
        <v>50974567</v>
      </c>
      <c r="E159" s="112">
        <v>60.6</v>
      </c>
      <c r="F159" s="42">
        <v>990.01</v>
      </c>
      <c r="G159" s="42">
        <f t="shared" si="23"/>
        <v>59994.606</v>
      </c>
      <c r="H159" s="208">
        <v>76198.56</v>
      </c>
      <c r="I159" s="235">
        <f t="shared" si="24"/>
        <v>4617632.736</v>
      </c>
      <c r="J159" s="34" t="s">
        <v>120</v>
      </c>
      <c r="K159" s="35" t="s">
        <v>148</v>
      </c>
      <c r="L159" s="43"/>
      <c r="M159" s="46"/>
      <c r="N159" s="41"/>
      <c r="O159" s="236">
        <v>83.02</v>
      </c>
      <c r="P159" s="237">
        <f t="shared" si="25"/>
        <v>5031.012</v>
      </c>
      <c r="Q159" s="224"/>
      <c r="R159" s="224"/>
      <c r="S159" s="224"/>
      <c r="T159" s="224"/>
      <c r="U159" s="225"/>
    </row>
    <row r="160" spans="1:21">
      <c r="A160" s="44">
        <f t="shared" si="26"/>
        <v>156</v>
      </c>
      <c r="B160" s="72">
        <v>46113</v>
      </c>
      <c r="C160" s="247">
        <v>8612520</v>
      </c>
      <c r="D160" s="111">
        <v>52078698</v>
      </c>
      <c r="E160" s="112">
        <v>60.6</v>
      </c>
      <c r="F160" s="42">
        <v>990.01</v>
      </c>
      <c r="G160" s="42">
        <f t="shared" si="23"/>
        <v>59994.606</v>
      </c>
      <c r="H160" s="208">
        <v>76198.56</v>
      </c>
      <c r="I160" s="235">
        <f t="shared" si="24"/>
        <v>4617632.736</v>
      </c>
      <c r="J160" s="34" t="s">
        <v>120</v>
      </c>
      <c r="K160" s="35" t="s">
        <v>148</v>
      </c>
      <c r="L160" s="43"/>
      <c r="M160" s="46"/>
      <c r="N160" s="41"/>
      <c r="O160" s="236">
        <v>83.02</v>
      </c>
      <c r="P160" s="237">
        <f t="shared" si="25"/>
        <v>5031.012</v>
      </c>
      <c r="Q160" s="224"/>
      <c r="R160" s="224"/>
      <c r="S160" s="224"/>
      <c r="T160" s="224"/>
      <c r="U160" s="225"/>
    </row>
    <row r="161" spans="1:21">
      <c r="A161" s="44">
        <f t="shared" si="26"/>
        <v>157</v>
      </c>
      <c r="B161" s="72">
        <v>46113</v>
      </c>
      <c r="C161" s="247">
        <v>8612519</v>
      </c>
      <c r="D161" s="111">
        <v>53873527</v>
      </c>
      <c r="E161" s="112">
        <v>60.6</v>
      </c>
      <c r="F161" s="30">
        <v>990.01</v>
      </c>
      <c r="G161" s="42">
        <f t="shared" si="23"/>
        <v>59994.606</v>
      </c>
      <c r="H161" s="208">
        <v>76198.56</v>
      </c>
      <c r="I161" s="235">
        <f t="shared" si="24"/>
        <v>4617632.736</v>
      </c>
      <c r="J161" s="34" t="s">
        <v>120</v>
      </c>
      <c r="K161" s="35" t="s">
        <v>148</v>
      </c>
      <c r="L161" s="43"/>
      <c r="M161" s="46"/>
      <c r="N161" s="41"/>
      <c r="O161" s="236">
        <v>83.02</v>
      </c>
      <c r="P161" s="237">
        <f t="shared" si="25"/>
        <v>5031.012</v>
      </c>
      <c r="Q161" s="224"/>
      <c r="R161" s="224"/>
      <c r="S161" s="224"/>
      <c r="T161" s="224"/>
      <c r="U161" s="225"/>
    </row>
    <row r="162" spans="1:21">
      <c r="A162" s="44">
        <f t="shared" si="26"/>
        <v>158</v>
      </c>
      <c r="B162" s="72">
        <v>46113</v>
      </c>
      <c r="C162" s="247">
        <v>8612522</v>
      </c>
      <c r="D162" s="111">
        <v>54032222</v>
      </c>
      <c r="E162" s="112">
        <v>60.7</v>
      </c>
      <c r="F162" s="42">
        <v>990.01</v>
      </c>
      <c r="G162" s="42">
        <f t="shared" si="23"/>
        <v>60093.607</v>
      </c>
      <c r="H162" s="208">
        <v>76198.56</v>
      </c>
      <c r="I162" s="235">
        <f t="shared" si="24"/>
        <v>4625252.592</v>
      </c>
      <c r="J162" s="34" t="s">
        <v>120</v>
      </c>
      <c r="K162" s="35" t="s">
        <v>148</v>
      </c>
      <c r="L162" s="43"/>
      <c r="M162" s="46"/>
      <c r="N162" s="41"/>
      <c r="O162" s="236">
        <v>83.02</v>
      </c>
      <c r="P162" s="237">
        <f t="shared" si="25"/>
        <v>5039.314</v>
      </c>
      <c r="Q162" s="224"/>
      <c r="R162" s="224"/>
      <c r="S162" s="224"/>
      <c r="T162" s="224"/>
      <c r="U162" s="225"/>
    </row>
    <row r="163" spans="1:21">
      <c r="A163" s="44">
        <f t="shared" si="26"/>
        <v>159</v>
      </c>
      <c r="B163" s="72">
        <v>46113</v>
      </c>
      <c r="C163" s="247">
        <v>8612520</v>
      </c>
      <c r="D163" s="111">
        <v>54070933</v>
      </c>
      <c r="E163" s="112">
        <v>60.6</v>
      </c>
      <c r="F163" s="42">
        <v>990.01</v>
      </c>
      <c r="G163" s="42">
        <f t="shared" si="23"/>
        <v>59994.606</v>
      </c>
      <c r="H163" s="208">
        <v>76198.56</v>
      </c>
      <c r="I163" s="235">
        <f t="shared" si="24"/>
        <v>4617632.736</v>
      </c>
      <c r="J163" s="34" t="s">
        <v>120</v>
      </c>
      <c r="K163" s="35" t="s">
        <v>148</v>
      </c>
      <c r="L163" s="43"/>
      <c r="M163" s="46"/>
      <c r="N163" s="41"/>
      <c r="O163" s="236">
        <v>83.02</v>
      </c>
      <c r="P163" s="237">
        <f t="shared" si="25"/>
        <v>5031.012</v>
      </c>
      <c r="Q163" s="224"/>
      <c r="R163" s="224"/>
      <c r="S163" s="224"/>
      <c r="T163" s="224"/>
      <c r="U163" s="225"/>
    </row>
    <row r="164" spans="1:21">
      <c r="A164" s="44">
        <f t="shared" si="26"/>
        <v>160</v>
      </c>
      <c r="B164" s="72">
        <v>46113</v>
      </c>
      <c r="C164" s="247">
        <v>8612520</v>
      </c>
      <c r="D164" s="111">
        <v>54092531</v>
      </c>
      <c r="E164" s="112">
        <v>60.6</v>
      </c>
      <c r="F164" s="30">
        <v>990.01</v>
      </c>
      <c r="G164" s="42">
        <f t="shared" si="23"/>
        <v>59994.606</v>
      </c>
      <c r="H164" s="208">
        <v>76198.56</v>
      </c>
      <c r="I164" s="235">
        <f t="shared" si="24"/>
        <v>4617632.736</v>
      </c>
      <c r="J164" s="34" t="s">
        <v>120</v>
      </c>
      <c r="K164" s="35" t="s">
        <v>148</v>
      </c>
      <c r="L164" s="43"/>
      <c r="M164" s="46"/>
      <c r="N164" s="41"/>
      <c r="O164" s="236">
        <v>83.02</v>
      </c>
      <c r="P164" s="237">
        <f t="shared" si="25"/>
        <v>5031.012</v>
      </c>
      <c r="Q164" s="224"/>
      <c r="R164" s="224"/>
      <c r="S164" s="224"/>
      <c r="T164" s="224"/>
      <c r="U164" s="225"/>
    </row>
    <row r="165" spans="1:21">
      <c r="A165" s="44">
        <f t="shared" si="26"/>
        <v>161</v>
      </c>
      <c r="B165" s="72">
        <v>46113</v>
      </c>
      <c r="C165" s="247">
        <v>8612520</v>
      </c>
      <c r="D165" s="111">
        <v>54092879</v>
      </c>
      <c r="E165" s="112">
        <v>60.7</v>
      </c>
      <c r="F165" s="42">
        <v>990.01</v>
      </c>
      <c r="G165" s="42">
        <f t="shared" si="23"/>
        <v>60093.607</v>
      </c>
      <c r="H165" s="208">
        <v>76198.56</v>
      </c>
      <c r="I165" s="235">
        <f t="shared" si="24"/>
        <v>4625252.592</v>
      </c>
      <c r="J165" s="34" t="s">
        <v>120</v>
      </c>
      <c r="K165" s="35" t="s">
        <v>148</v>
      </c>
      <c r="L165" s="43"/>
      <c r="M165" s="46"/>
      <c r="N165" s="41"/>
      <c r="O165" s="236">
        <v>83.02</v>
      </c>
      <c r="P165" s="237">
        <f t="shared" si="25"/>
        <v>5039.314</v>
      </c>
      <c r="Q165" s="224"/>
      <c r="R165" s="224"/>
      <c r="S165" s="224"/>
      <c r="T165" s="224"/>
      <c r="U165" s="225"/>
    </row>
    <row r="166" spans="1:21">
      <c r="A166" s="44">
        <f t="shared" si="26"/>
        <v>162</v>
      </c>
      <c r="B166" s="72">
        <v>46113</v>
      </c>
      <c r="C166" s="247">
        <v>8612520</v>
      </c>
      <c r="D166" s="111">
        <v>54256474</v>
      </c>
      <c r="E166" s="112">
        <v>60.55</v>
      </c>
      <c r="F166" s="42">
        <v>990.01</v>
      </c>
      <c r="G166" s="42">
        <f t="shared" si="23"/>
        <v>59945.1055</v>
      </c>
      <c r="H166" s="208">
        <v>76198.56</v>
      </c>
      <c r="I166" s="235">
        <f t="shared" si="24"/>
        <v>4613822.808</v>
      </c>
      <c r="J166" s="34" t="s">
        <v>120</v>
      </c>
      <c r="K166" s="35" t="s">
        <v>148</v>
      </c>
      <c r="L166" s="43"/>
      <c r="M166" s="46"/>
      <c r="N166" s="41"/>
      <c r="O166" s="236">
        <v>83.02</v>
      </c>
      <c r="P166" s="237">
        <f t="shared" si="25"/>
        <v>5026.861</v>
      </c>
      <c r="Q166" s="224"/>
      <c r="R166" s="224"/>
      <c r="S166" s="224"/>
      <c r="T166" s="224"/>
      <c r="U166" s="225"/>
    </row>
    <row r="167" spans="1:21">
      <c r="A167" s="44">
        <f t="shared" si="26"/>
        <v>163</v>
      </c>
      <c r="B167" s="72">
        <v>46113</v>
      </c>
      <c r="C167" s="247">
        <v>8612519</v>
      </c>
      <c r="D167" s="111">
        <v>58708371</v>
      </c>
      <c r="E167" s="112">
        <v>61.05</v>
      </c>
      <c r="F167" s="30">
        <v>990.01</v>
      </c>
      <c r="G167" s="42">
        <f t="shared" si="23"/>
        <v>60440.1105</v>
      </c>
      <c r="H167" s="208">
        <v>76198.56</v>
      </c>
      <c r="I167" s="235">
        <f t="shared" si="24"/>
        <v>4651922.088</v>
      </c>
      <c r="J167" s="34" t="s">
        <v>120</v>
      </c>
      <c r="K167" s="35" t="s">
        <v>148</v>
      </c>
      <c r="L167" s="43"/>
      <c r="M167" s="46"/>
      <c r="N167" s="41"/>
      <c r="O167" s="236">
        <v>83.02</v>
      </c>
      <c r="P167" s="237">
        <f t="shared" si="25"/>
        <v>5068.371</v>
      </c>
      <c r="Q167" s="224"/>
      <c r="R167" s="224"/>
      <c r="S167" s="224"/>
      <c r="T167" s="224"/>
      <c r="U167" s="225"/>
    </row>
    <row r="168" spans="1:21">
      <c r="A168" s="44">
        <f t="shared" si="26"/>
        <v>164</v>
      </c>
      <c r="B168" s="72">
        <v>46113</v>
      </c>
      <c r="C168" s="247">
        <v>8612520</v>
      </c>
      <c r="D168" s="111">
        <v>73004012</v>
      </c>
      <c r="E168" s="112">
        <v>61.1</v>
      </c>
      <c r="F168" s="42">
        <v>990.01</v>
      </c>
      <c r="G168" s="42">
        <f t="shared" si="23"/>
        <v>60489.611</v>
      </c>
      <c r="H168" s="208">
        <v>76198.56</v>
      </c>
      <c r="I168" s="235">
        <f t="shared" si="24"/>
        <v>4655732.016</v>
      </c>
      <c r="J168" s="34" t="s">
        <v>120</v>
      </c>
      <c r="K168" s="35" t="s">
        <v>148</v>
      </c>
      <c r="L168" s="43"/>
      <c r="M168" s="46"/>
      <c r="N168" s="41"/>
      <c r="O168" s="236">
        <v>83.02</v>
      </c>
      <c r="P168" s="237">
        <f t="shared" si="25"/>
        <v>5072.522</v>
      </c>
      <c r="Q168" s="224"/>
      <c r="R168" s="224"/>
      <c r="S168" s="224"/>
      <c r="T168" s="224"/>
      <c r="U168" s="225"/>
    </row>
    <row r="169" spans="1:21">
      <c r="A169" s="44">
        <f t="shared" si="26"/>
        <v>165</v>
      </c>
      <c r="B169" s="72">
        <v>46113</v>
      </c>
      <c r="C169" s="247">
        <v>8612520</v>
      </c>
      <c r="D169" s="111">
        <v>73071755</v>
      </c>
      <c r="E169" s="112">
        <v>61.25</v>
      </c>
      <c r="F169" s="42">
        <v>990.01</v>
      </c>
      <c r="G169" s="42">
        <f t="shared" si="23"/>
        <v>60638.1125</v>
      </c>
      <c r="H169" s="208">
        <v>76198.56</v>
      </c>
      <c r="I169" s="235">
        <f t="shared" si="24"/>
        <v>4667161.8</v>
      </c>
      <c r="J169" s="34" t="s">
        <v>120</v>
      </c>
      <c r="K169" s="35" t="s">
        <v>148</v>
      </c>
      <c r="L169" s="43"/>
      <c r="M169" s="46"/>
      <c r="N169" s="41"/>
      <c r="O169" s="236">
        <v>83.02</v>
      </c>
      <c r="P169" s="237">
        <f t="shared" si="25"/>
        <v>5084.975</v>
      </c>
      <c r="Q169" s="224"/>
      <c r="R169" s="224"/>
      <c r="S169" s="224"/>
      <c r="T169" s="224"/>
      <c r="U169" s="225"/>
    </row>
    <row r="170" spans="1:21">
      <c r="A170" s="44">
        <f t="shared" si="26"/>
        <v>166</v>
      </c>
      <c r="B170" s="72">
        <v>46113</v>
      </c>
      <c r="C170" s="247">
        <v>8612520</v>
      </c>
      <c r="D170" s="111">
        <v>73083784</v>
      </c>
      <c r="E170" s="112">
        <v>61.15</v>
      </c>
      <c r="F170" s="30">
        <v>990.01</v>
      </c>
      <c r="G170" s="42">
        <f t="shared" si="23"/>
        <v>60539.1115</v>
      </c>
      <c r="H170" s="208">
        <v>76198.56</v>
      </c>
      <c r="I170" s="235">
        <f t="shared" si="24"/>
        <v>4659541.944</v>
      </c>
      <c r="J170" s="34" t="s">
        <v>120</v>
      </c>
      <c r="K170" s="35" t="s">
        <v>148</v>
      </c>
      <c r="L170" s="43"/>
      <c r="M170" s="46"/>
      <c r="N170" s="41"/>
      <c r="O170" s="236">
        <v>83.02</v>
      </c>
      <c r="P170" s="237">
        <f t="shared" si="25"/>
        <v>5076.673</v>
      </c>
      <c r="Q170" s="224"/>
      <c r="R170" s="224"/>
      <c r="S170" s="224"/>
      <c r="T170" s="224"/>
      <c r="U170" s="225"/>
    </row>
    <row r="171" spans="1:21">
      <c r="A171" s="44">
        <f t="shared" si="26"/>
        <v>167</v>
      </c>
      <c r="B171" s="72">
        <v>46113</v>
      </c>
      <c r="C171" s="247">
        <v>8612520</v>
      </c>
      <c r="D171" s="111">
        <v>73094880</v>
      </c>
      <c r="E171" s="112">
        <v>61.05</v>
      </c>
      <c r="F171" s="42">
        <v>990.01</v>
      </c>
      <c r="G171" s="42">
        <f t="shared" si="23"/>
        <v>60440.1105</v>
      </c>
      <c r="H171" s="208">
        <v>76198.56</v>
      </c>
      <c r="I171" s="235">
        <f t="shared" si="24"/>
        <v>4651922.088</v>
      </c>
      <c r="J171" s="34" t="s">
        <v>120</v>
      </c>
      <c r="K171" s="35" t="s">
        <v>148</v>
      </c>
      <c r="L171" s="43"/>
      <c r="M171" s="46"/>
      <c r="N171" s="41"/>
      <c r="O171" s="236">
        <v>83.02</v>
      </c>
      <c r="P171" s="237">
        <f t="shared" si="25"/>
        <v>5068.371</v>
      </c>
      <c r="Q171" s="224"/>
      <c r="R171" s="224"/>
      <c r="S171" s="224"/>
      <c r="T171" s="224"/>
      <c r="U171" s="225"/>
    </row>
    <row r="172" spans="1:21">
      <c r="A172" s="44">
        <f t="shared" si="26"/>
        <v>168</v>
      </c>
      <c r="B172" s="72">
        <v>46113</v>
      </c>
      <c r="C172" s="247">
        <v>8612523</v>
      </c>
      <c r="D172" s="111">
        <v>73107617</v>
      </c>
      <c r="E172" s="112">
        <v>61.2</v>
      </c>
      <c r="F172" s="42">
        <v>990.01</v>
      </c>
      <c r="G172" s="42">
        <f t="shared" si="23"/>
        <v>60588.612</v>
      </c>
      <c r="H172" s="208">
        <v>76198.56</v>
      </c>
      <c r="I172" s="235">
        <f t="shared" si="24"/>
        <v>4663351.872</v>
      </c>
      <c r="J172" s="34" t="s">
        <v>120</v>
      </c>
      <c r="K172" s="35" t="s">
        <v>148</v>
      </c>
      <c r="L172" s="43"/>
      <c r="M172" s="46"/>
      <c r="N172" s="41"/>
      <c r="O172" s="236">
        <v>83.02</v>
      </c>
      <c r="P172" s="237">
        <f t="shared" si="25"/>
        <v>5080.824</v>
      </c>
      <c r="Q172" s="224"/>
      <c r="R172" s="224"/>
      <c r="S172" s="224"/>
      <c r="T172" s="224"/>
      <c r="U172" s="225"/>
    </row>
    <row r="173" spans="1:21">
      <c r="A173" s="44">
        <f t="shared" si="26"/>
        <v>169</v>
      </c>
      <c r="B173" s="72">
        <v>46113</v>
      </c>
      <c r="C173" s="247">
        <v>8612523</v>
      </c>
      <c r="D173" s="111">
        <v>73113722</v>
      </c>
      <c r="E173" s="112">
        <v>61.1</v>
      </c>
      <c r="F173" s="30">
        <v>990.01</v>
      </c>
      <c r="G173" s="42">
        <f t="shared" si="23"/>
        <v>60489.611</v>
      </c>
      <c r="H173" s="208">
        <v>76198.56</v>
      </c>
      <c r="I173" s="235">
        <f t="shared" si="24"/>
        <v>4655732.016</v>
      </c>
      <c r="J173" s="34" t="s">
        <v>120</v>
      </c>
      <c r="K173" s="35" t="s">
        <v>148</v>
      </c>
      <c r="L173" s="43"/>
      <c r="M173" s="46"/>
      <c r="N173" s="41"/>
      <c r="O173" s="236">
        <v>83.02</v>
      </c>
      <c r="P173" s="237">
        <f t="shared" si="25"/>
        <v>5072.522</v>
      </c>
      <c r="Q173" s="224"/>
      <c r="R173" s="224"/>
      <c r="S173" s="224"/>
      <c r="T173" s="224"/>
      <c r="U173" s="225"/>
    </row>
    <row r="174" spans="1:21">
      <c r="A174" s="44">
        <f t="shared" si="26"/>
        <v>170</v>
      </c>
      <c r="B174" s="72">
        <v>46113</v>
      </c>
      <c r="C174" s="247">
        <v>8612523</v>
      </c>
      <c r="D174" s="111">
        <v>73117830</v>
      </c>
      <c r="E174" s="112">
        <v>61.1</v>
      </c>
      <c r="F174" s="42">
        <v>990.01</v>
      </c>
      <c r="G174" s="42">
        <f t="shared" si="23"/>
        <v>60489.611</v>
      </c>
      <c r="H174" s="208">
        <v>76198.56</v>
      </c>
      <c r="I174" s="235">
        <f t="shared" si="24"/>
        <v>4655732.016</v>
      </c>
      <c r="J174" s="34" t="s">
        <v>120</v>
      </c>
      <c r="K174" s="35" t="s">
        <v>148</v>
      </c>
      <c r="L174" s="43"/>
      <c r="M174" s="46"/>
      <c r="N174" s="41"/>
      <c r="O174" s="236">
        <v>83.02</v>
      </c>
      <c r="P174" s="237">
        <f t="shared" si="25"/>
        <v>5072.522</v>
      </c>
      <c r="Q174" s="224"/>
      <c r="R174" s="224"/>
      <c r="S174" s="224"/>
      <c r="T174" s="224"/>
      <c r="U174" s="225"/>
    </row>
    <row r="175" spans="1:21">
      <c r="A175" s="44">
        <f t="shared" si="26"/>
        <v>171</v>
      </c>
      <c r="B175" s="72">
        <v>46113</v>
      </c>
      <c r="C175" s="247">
        <v>8612523</v>
      </c>
      <c r="D175" s="111">
        <v>73167116</v>
      </c>
      <c r="E175" s="112">
        <v>61.1</v>
      </c>
      <c r="F175" s="42">
        <v>990.01</v>
      </c>
      <c r="G175" s="42">
        <f t="shared" si="23"/>
        <v>60489.611</v>
      </c>
      <c r="H175" s="208">
        <v>76198.56</v>
      </c>
      <c r="I175" s="235">
        <f t="shared" si="24"/>
        <v>4655732.016</v>
      </c>
      <c r="J175" s="34" t="s">
        <v>120</v>
      </c>
      <c r="K175" s="35" t="s">
        <v>148</v>
      </c>
      <c r="L175" s="43"/>
      <c r="M175" s="46"/>
      <c r="N175" s="41"/>
      <c r="O175" s="236">
        <v>83.02</v>
      </c>
      <c r="P175" s="237">
        <f t="shared" si="25"/>
        <v>5072.522</v>
      </c>
      <c r="Q175" s="224"/>
      <c r="R175" s="224"/>
      <c r="S175" s="224"/>
      <c r="T175" s="224"/>
      <c r="U175" s="225"/>
    </row>
    <row r="176" spans="1:21">
      <c r="A176" s="44">
        <f t="shared" si="26"/>
        <v>172</v>
      </c>
      <c r="B176" s="72">
        <v>46113</v>
      </c>
      <c r="C176" s="247">
        <v>8612523</v>
      </c>
      <c r="D176" s="111">
        <v>73172181</v>
      </c>
      <c r="E176" s="112">
        <v>61.1</v>
      </c>
      <c r="F176" s="30">
        <v>990.01</v>
      </c>
      <c r="G176" s="42">
        <f t="shared" si="23"/>
        <v>60489.611</v>
      </c>
      <c r="H176" s="208">
        <v>76198.56</v>
      </c>
      <c r="I176" s="235">
        <f t="shared" si="24"/>
        <v>4655732.016</v>
      </c>
      <c r="J176" s="34" t="s">
        <v>120</v>
      </c>
      <c r="K176" s="35" t="s">
        <v>148</v>
      </c>
      <c r="L176" s="43"/>
      <c r="M176" s="46"/>
      <c r="N176" s="41"/>
      <c r="O176" s="236">
        <v>83.02</v>
      </c>
      <c r="P176" s="237">
        <f t="shared" si="25"/>
        <v>5072.522</v>
      </c>
      <c r="Q176" s="224"/>
      <c r="R176" s="224"/>
      <c r="S176" s="224"/>
      <c r="T176" s="224"/>
      <c r="U176" s="225"/>
    </row>
    <row r="177" spans="1:21">
      <c r="A177" s="44">
        <f t="shared" si="26"/>
        <v>173</v>
      </c>
      <c r="B177" s="72">
        <v>46113</v>
      </c>
      <c r="C177" s="247">
        <v>8612520</v>
      </c>
      <c r="D177" s="111">
        <v>73175101</v>
      </c>
      <c r="E177" s="112">
        <v>61.1</v>
      </c>
      <c r="F177" s="42">
        <v>990.01</v>
      </c>
      <c r="G177" s="42">
        <f t="shared" si="23"/>
        <v>60489.611</v>
      </c>
      <c r="H177" s="208">
        <v>76198.56</v>
      </c>
      <c r="I177" s="235">
        <f t="shared" si="24"/>
        <v>4655732.016</v>
      </c>
      <c r="J177" s="34" t="s">
        <v>120</v>
      </c>
      <c r="K177" s="35" t="s">
        <v>148</v>
      </c>
      <c r="L177" s="43"/>
      <c r="M177" s="46"/>
      <c r="N177" s="41"/>
      <c r="O177" s="236">
        <v>83.02</v>
      </c>
      <c r="P177" s="237">
        <f t="shared" si="25"/>
        <v>5072.522</v>
      </c>
      <c r="Q177" s="224"/>
      <c r="R177" s="224"/>
      <c r="S177" s="224"/>
      <c r="T177" s="224"/>
      <c r="U177" s="225"/>
    </row>
    <row r="178" spans="1:21">
      <c r="A178" s="44">
        <f t="shared" si="26"/>
        <v>174</v>
      </c>
      <c r="B178" s="72">
        <v>46113</v>
      </c>
      <c r="C178" s="247">
        <v>8612523</v>
      </c>
      <c r="D178" s="111">
        <v>73175481</v>
      </c>
      <c r="E178" s="112">
        <v>61.1</v>
      </c>
      <c r="F178" s="42">
        <v>990.01</v>
      </c>
      <c r="G178" s="42">
        <f t="shared" si="23"/>
        <v>60489.611</v>
      </c>
      <c r="H178" s="208">
        <v>76198.56</v>
      </c>
      <c r="I178" s="235">
        <f t="shared" si="24"/>
        <v>4655732.016</v>
      </c>
      <c r="J178" s="34" t="s">
        <v>120</v>
      </c>
      <c r="K178" s="35" t="s">
        <v>148</v>
      </c>
      <c r="L178" s="43"/>
      <c r="M178" s="46"/>
      <c r="N178" s="41"/>
      <c r="O178" s="236">
        <v>83.02</v>
      </c>
      <c r="P178" s="237">
        <f t="shared" si="25"/>
        <v>5072.522</v>
      </c>
      <c r="Q178" s="224"/>
      <c r="R178" s="224"/>
      <c r="S178" s="224"/>
      <c r="T178" s="224"/>
      <c r="U178" s="225"/>
    </row>
    <row r="179" spans="1:21">
      <c r="A179" s="44">
        <f t="shared" si="26"/>
        <v>175</v>
      </c>
      <c r="B179" s="72">
        <v>46113</v>
      </c>
      <c r="C179" s="247">
        <v>8612520</v>
      </c>
      <c r="D179" s="111">
        <v>73221400</v>
      </c>
      <c r="E179" s="112">
        <v>61.05</v>
      </c>
      <c r="F179" s="30">
        <v>990.01</v>
      </c>
      <c r="G179" s="42">
        <f t="shared" si="23"/>
        <v>60440.1105</v>
      </c>
      <c r="H179" s="208">
        <v>76198.56</v>
      </c>
      <c r="I179" s="235">
        <f t="shared" si="24"/>
        <v>4651922.088</v>
      </c>
      <c r="J179" s="34" t="s">
        <v>120</v>
      </c>
      <c r="K179" s="35" t="s">
        <v>148</v>
      </c>
      <c r="L179" s="43"/>
      <c r="M179" s="46"/>
      <c r="N179" s="41"/>
      <c r="O179" s="236">
        <v>83.02</v>
      </c>
      <c r="P179" s="237">
        <f t="shared" si="25"/>
        <v>5068.371</v>
      </c>
      <c r="Q179" s="224"/>
      <c r="R179" s="224"/>
      <c r="S179" s="224"/>
      <c r="T179" s="224"/>
      <c r="U179" s="225"/>
    </row>
    <row r="180" spans="1:21">
      <c r="A180" s="44">
        <f t="shared" si="26"/>
        <v>176</v>
      </c>
      <c r="B180" s="72">
        <v>46113</v>
      </c>
      <c r="C180" s="247">
        <v>8612523</v>
      </c>
      <c r="D180" s="111">
        <v>73233207</v>
      </c>
      <c r="E180" s="112">
        <v>61.15</v>
      </c>
      <c r="F180" s="42">
        <v>990.01</v>
      </c>
      <c r="G180" s="42">
        <f t="shared" si="23"/>
        <v>60539.1115</v>
      </c>
      <c r="H180" s="208">
        <v>76198.56</v>
      </c>
      <c r="I180" s="235">
        <f t="shared" si="24"/>
        <v>4659541.944</v>
      </c>
      <c r="J180" s="34" t="s">
        <v>120</v>
      </c>
      <c r="K180" s="35" t="s">
        <v>148</v>
      </c>
      <c r="L180" s="43"/>
      <c r="M180" s="46"/>
      <c r="N180" s="41"/>
      <c r="O180" s="236">
        <v>83.02</v>
      </c>
      <c r="P180" s="237">
        <f t="shared" si="25"/>
        <v>5076.673</v>
      </c>
      <c r="Q180" s="224"/>
      <c r="R180" s="224"/>
      <c r="S180" s="224"/>
      <c r="T180" s="224"/>
      <c r="U180" s="225"/>
    </row>
    <row r="181" spans="1:21">
      <c r="A181" s="44">
        <f t="shared" si="26"/>
        <v>177</v>
      </c>
      <c r="B181" s="72">
        <v>46113</v>
      </c>
      <c r="C181" s="247">
        <v>8612523</v>
      </c>
      <c r="D181" s="111">
        <v>73240103</v>
      </c>
      <c r="E181" s="112">
        <v>61.2</v>
      </c>
      <c r="F181" s="42">
        <v>990.01</v>
      </c>
      <c r="G181" s="42">
        <f t="shared" si="23"/>
        <v>60588.612</v>
      </c>
      <c r="H181" s="208">
        <v>76198.56</v>
      </c>
      <c r="I181" s="235">
        <f t="shared" si="24"/>
        <v>4663351.872</v>
      </c>
      <c r="J181" s="34" t="s">
        <v>120</v>
      </c>
      <c r="K181" s="35" t="s">
        <v>148</v>
      </c>
      <c r="L181" s="43"/>
      <c r="M181" s="46"/>
      <c r="N181" s="41"/>
      <c r="O181" s="236">
        <v>83.02</v>
      </c>
      <c r="P181" s="237">
        <f t="shared" si="25"/>
        <v>5080.824</v>
      </c>
      <c r="Q181" s="224"/>
      <c r="R181" s="224"/>
      <c r="S181" s="224"/>
      <c r="T181" s="224"/>
      <c r="U181" s="225"/>
    </row>
    <row r="182" spans="1:21">
      <c r="A182" s="44">
        <f t="shared" si="26"/>
        <v>178</v>
      </c>
      <c r="B182" s="72">
        <v>46113</v>
      </c>
      <c r="C182" s="247">
        <v>8612523</v>
      </c>
      <c r="D182" s="111">
        <v>73240137</v>
      </c>
      <c r="E182" s="112">
        <v>61.15</v>
      </c>
      <c r="F182" s="30">
        <v>990.01</v>
      </c>
      <c r="G182" s="42">
        <f t="shared" si="23"/>
        <v>60539.1115</v>
      </c>
      <c r="H182" s="208">
        <v>76198.56</v>
      </c>
      <c r="I182" s="235">
        <f t="shared" si="24"/>
        <v>4659541.944</v>
      </c>
      <c r="J182" s="34" t="s">
        <v>120</v>
      </c>
      <c r="K182" s="35" t="s">
        <v>148</v>
      </c>
      <c r="L182" s="43"/>
      <c r="M182" s="46"/>
      <c r="N182" s="41"/>
      <c r="O182" s="236">
        <v>83.02</v>
      </c>
      <c r="P182" s="237">
        <f t="shared" si="25"/>
        <v>5076.673</v>
      </c>
      <c r="Q182" s="224"/>
      <c r="R182" s="224"/>
      <c r="S182" s="224"/>
      <c r="T182" s="224"/>
      <c r="U182" s="225"/>
    </row>
    <row r="183" spans="1:21">
      <c r="A183" s="44">
        <f t="shared" si="26"/>
        <v>179</v>
      </c>
      <c r="B183" s="72">
        <v>46113</v>
      </c>
      <c r="C183" s="247">
        <v>8612521</v>
      </c>
      <c r="D183" s="111">
        <v>73913733</v>
      </c>
      <c r="E183" s="112">
        <v>61.1</v>
      </c>
      <c r="F183" s="42">
        <v>990.01</v>
      </c>
      <c r="G183" s="42">
        <f t="shared" si="23"/>
        <v>60489.611</v>
      </c>
      <c r="H183" s="208">
        <v>76198.56</v>
      </c>
      <c r="I183" s="235">
        <f t="shared" si="24"/>
        <v>4655732.016</v>
      </c>
      <c r="J183" s="34" t="s">
        <v>120</v>
      </c>
      <c r="K183" s="35" t="s">
        <v>148</v>
      </c>
      <c r="L183" s="43"/>
      <c r="M183" s="46"/>
      <c r="N183" s="41"/>
      <c r="O183" s="236">
        <v>83.02</v>
      </c>
      <c r="P183" s="237">
        <f t="shared" si="25"/>
        <v>5072.522</v>
      </c>
      <c r="Q183" s="224"/>
      <c r="R183" s="224"/>
      <c r="S183" s="224"/>
      <c r="T183" s="224"/>
      <c r="U183" s="225"/>
    </row>
    <row r="184" spans="1:21">
      <c r="A184" s="44">
        <f t="shared" si="26"/>
        <v>180</v>
      </c>
      <c r="B184" s="72">
        <v>46113</v>
      </c>
      <c r="C184" s="247">
        <v>8612520</v>
      </c>
      <c r="D184" s="111">
        <v>73970626</v>
      </c>
      <c r="E184" s="112">
        <v>60.55</v>
      </c>
      <c r="F184" s="42">
        <v>990.01</v>
      </c>
      <c r="G184" s="42">
        <f t="shared" si="23"/>
        <v>59945.1055</v>
      </c>
      <c r="H184" s="208">
        <v>76198.56</v>
      </c>
      <c r="I184" s="235">
        <f t="shared" si="24"/>
        <v>4613822.808</v>
      </c>
      <c r="J184" s="34" t="s">
        <v>120</v>
      </c>
      <c r="K184" s="35" t="s">
        <v>148</v>
      </c>
      <c r="L184" s="43"/>
      <c r="M184" s="46"/>
      <c r="N184" s="41"/>
      <c r="O184" s="236">
        <v>83.02</v>
      </c>
      <c r="P184" s="237">
        <f t="shared" si="25"/>
        <v>5026.861</v>
      </c>
      <c r="Q184" s="224"/>
      <c r="R184" s="224"/>
      <c r="S184" s="224"/>
      <c r="T184" s="224"/>
      <c r="U184" s="225"/>
    </row>
    <row r="185" spans="1:21">
      <c r="A185" s="44">
        <f t="shared" si="26"/>
        <v>181</v>
      </c>
      <c r="B185" s="72">
        <v>46113</v>
      </c>
      <c r="C185" s="247">
        <v>8612523</v>
      </c>
      <c r="D185" s="111">
        <v>75213447</v>
      </c>
      <c r="E185" s="112">
        <v>61.5</v>
      </c>
      <c r="F185" s="30">
        <v>990.01</v>
      </c>
      <c r="G185" s="42">
        <f t="shared" si="23"/>
        <v>60885.615</v>
      </c>
      <c r="H185" s="208">
        <v>76198.56</v>
      </c>
      <c r="I185" s="235">
        <f t="shared" si="24"/>
        <v>4686211.44</v>
      </c>
      <c r="J185" s="34" t="s">
        <v>120</v>
      </c>
      <c r="K185" s="35" t="s">
        <v>148</v>
      </c>
      <c r="L185" s="43"/>
      <c r="M185" s="46"/>
      <c r="N185" s="41"/>
      <c r="O185" s="236">
        <v>83.02</v>
      </c>
      <c r="P185" s="237">
        <f t="shared" si="25"/>
        <v>5105.73</v>
      </c>
      <c r="Q185" s="224"/>
      <c r="R185" s="224"/>
      <c r="S185" s="224"/>
      <c r="T185" s="224"/>
      <c r="U185" s="225"/>
    </row>
    <row r="186" ht="15.75" spans="1:21">
      <c r="A186" s="75">
        <f t="shared" si="26"/>
        <v>182</v>
      </c>
      <c r="B186" s="76">
        <v>46113</v>
      </c>
      <c r="C186" s="248">
        <v>8612520</v>
      </c>
      <c r="D186" s="113">
        <v>76576198</v>
      </c>
      <c r="E186" s="114">
        <v>61.6</v>
      </c>
      <c r="F186" s="42">
        <v>990.01</v>
      </c>
      <c r="G186" s="123">
        <f t="shared" si="23"/>
        <v>60984.616</v>
      </c>
      <c r="H186" s="208">
        <v>76198.56</v>
      </c>
      <c r="I186" s="249">
        <f t="shared" si="24"/>
        <v>4693831.296</v>
      </c>
      <c r="J186" s="81" t="s">
        <v>120</v>
      </c>
      <c r="K186" s="160" t="s">
        <v>148</v>
      </c>
      <c r="L186" s="50"/>
      <c r="M186" s="250"/>
      <c r="N186" s="77"/>
      <c r="O186" s="251">
        <v>83.02</v>
      </c>
      <c r="P186" s="252">
        <f t="shared" si="25"/>
        <v>5114.032</v>
      </c>
      <c r="Q186" s="253"/>
      <c r="R186" s="253"/>
      <c r="S186" s="253"/>
      <c r="T186" s="253"/>
      <c r="U186" s="254"/>
    </row>
    <row r="187" spans="1:21">
      <c r="A187" s="37">
        <v>183</v>
      </c>
      <c r="B187" s="115">
        <v>46119</v>
      </c>
      <c r="C187" s="232">
        <v>8612679</v>
      </c>
      <c r="D187" s="177">
        <v>50032366</v>
      </c>
      <c r="E187" s="178">
        <v>60.25</v>
      </c>
      <c r="F187" s="42">
        <v>990.01</v>
      </c>
      <c r="G187" s="181">
        <f t="shared" ref="G187:G210" si="27">E187*F187</f>
        <v>59648.1025</v>
      </c>
      <c r="H187" s="208">
        <v>76198.56</v>
      </c>
      <c r="I187" s="233">
        <f t="shared" ref="I187:I210" si="28">E187*H187</f>
        <v>4590963.24</v>
      </c>
      <c r="J187" s="121" t="s">
        <v>120</v>
      </c>
      <c r="K187" s="234" t="s">
        <v>148</v>
      </c>
      <c r="L187" s="36"/>
      <c r="M187" s="37"/>
      <c r="N187" s="38"/>
      <c r="O187" s="212">
        <v>83.02</v>
      </c>
      <c r="P187" s="213">
        <f t="shared" ref="P187:P210" si="29">E187*O187</f>
        <v>5001.955</v>
      </c>
      <c r="Q187" s="222"/>
      <c r="R187" s="222"/>
      <c r="S187" s="222"/>
      <c r="T187" s="222"/>
      <c r="U187" s="223"/>
    </row>
    <row r="188" spans="1:21">
      <c r="A188" s="44">
        <f t="shared" ref="A188:A210" si="30">A187+1</f>
        <v>184</v>
      </c>
      <c r="B188" s="72">
        <v>46119</v>
      </c>
      <c r="C188" s="207">
        <v>8612680</v>
      </c>
      <c r="D188" s="28">
        <v>50409713</v>
      </c>
      <c r="E188" s="29">
        <v>59.25</v>
      </c>
      <c r="F188" s="30">
        <v>990.01</v>
      </c>
      <c r="G188" s="30">
        <f t="shared" si="27"/>
        <v>58658.0925</v>
      </c>
      <c r="H188" s="208">
        <v>76198.56</v>
      </c>
      <c r="I188" s="209">
        <f t="shared" si="28"/>
        <v>4514764.68</v>
      </c>
      <c r="J188" s="34" t="s">
        <v>120</v>
      </c>
      <c r="K188" s="35" t="s">
        <v>148</v>
      </c>
      <c r="L188" s="43"/>
      <c r="M188" s="44"/>
      <c r="N188" s="41"/>
      <c r="O188" s="214">
        <v>83.02</v>
      </c>
      <c r="P188" s="215">
        <f t="shared" si="29"/>
        <v>4918.935</v>
      </c>
      <c r="Q188" s="224"/>
      <c r="R188" s="224"/>
      <c r="S188" s="224"/>
      <c r="T188" s="224"/>
      <c r="U188" s="225"/>
    </row>
    <row r="189" spans="1:21">
      <c r="A189" s="44">
        <f t="shared" si="30"/>
        <v>185</v>
      </c>
      <c r="B189" s="72">
        <v>46119</v>
      </c>
      <c r="C189" s="207">
        <v>8612679</v>
      </c>
      <c r="D189" s="28">
        <v>50413368</v>
      </c>
      <c r="E189" s="29">
        <v>58.2</v>
      </c>
      <c r="F189" s="42">
        <v>990.01</v>
      </c>
      <c r="G189" s="30">
        <f t="shared" si="27"/>
        <v>57618.582</v>
      </c>
      <c r="H189" s="208">
        <v>76198.56</v>
      </c>
      <c r="I189" s="209">
        <f t="shared" si="28"/>
        <v>4434756.192</v>
      </c>
      <c r="J189" s="34" t="s">
        <v>120</v>
      </c>
      <c r="K189" s="35" t="s">
        <v>148</v>
      </c>
      <c r="L189" s="43"/>
      <c r="M189" s="44"/>
      <c r="N189" s="41"/>
      <c r="O189" s="214">
        <v>83.02</v>
      </c>
      <c r="P189" s="215">
        <f t="shared" si="29"/>
        <v>4831.764</v>
      </c>
      <c r="Q189" s="224"/>
      <c r="R189" s="224"/>
      <c r="S189" s="224"/>
      <c r="T189" s="224"/>
      <c r="U189" s="225"/>
    </row>
    <row r="190" spans="1:21">
      <c r="A190" s="44">
        <f t="shared" si="30"/>
        <v>186</v>
      </c>
      <c r="B190" s="72">
        <v>46119</v>
      </c>
      <c r="C190" s="207">
        <v>8612679</v>
      </c>
      <c r="D190" s="28">
        <v>50416536</v>
      </c>
      <c r="E190" s="29">
        <v>58.7</v>
      </c>
      <c r="F190" s="42">
        <v>990.01</v>
      </c>
      <c r="G190" s="30">
        <f t="shared" si="27"/>
        <v>58113.587</v>
      </c>
      <c r="H190" s="208">
        <v>76198.56</v>
      </c>
      <c r="I190" s="209">
        <f t="shared" si="28"/>
        <v>4472855.472</v>
      </c>
      <c r="J190" s="34" t="s">
        <v>120</v>
      </c>
      <c r="K190" s="35" t="s">
        <v>148</v>
      </c>
      <c r="L190" s="43"/>
      <c r="M190" s="44"/>
      <c r="N190" s="41"/>
      <c r="O190" s="214">
        <v>83.02</v>
      </c>
      <c r="P190" s="215">
        <f t="shared" si="29"/>
        <v>4873.274</v>
      </c>
      <c r="Q190" s="224"/>
      <c r="R190" s="224"/>
      <c r="S190" s="224"/>
      <c r="T190" s="224"/>
      <c r="U190" s="225"/>
    </row>
    <row r="191" spans="1:21">
      <c r="A191" s="44">
        <f t="shared" si="30"/>
        <v>187</v>
      </c>
      <c r="B191" s="72">
        <v>46119</v>
      </c>
      <c r="C191" s="207">
        <v>8612679</v>
      </c>
      <c r="D191" s="28">
        <v>50913532</v>
      </c>
      <c r="E191" s="29">
        <v>56.65</v>
      </c>
      <c r="F191" s="30">
        <v>990.01</v>
      </c>
      <c r="G191" s="30">
        <f t="shared" si="27"/>
        <v>56084.0665</v>
      </c>
      <c r="H191" s="208">
        <v>76198.56</v>
      </c>
      <c r="I191" s="209">
        <f t="shared" si="28"/>
        <v>4316648.424</v>
      </c>
      <c r="J191" s="34" t="s">
        <v>120</v>
      </c>
      <c r="K191" s="35" t="s">
        <v>148</v>
      </c>
      <c r="L191" s="43"/>
      <c r="M191" s="44"/>
      <c r="N191" s="41"/>
      <c r="O191" s="214">
        <v>83.02</v>
      </c>
      <c r="P191" s="215">
        <f t="shared" si="29"/>
        <v>4703.083</v>
      </c>
      <c r="Q191" s="224"/>
      <c r="R191" s="224"/>
      <c r="S191" s="224"/>
      <c r="T191" s="224"/>
      <c r="U191" s="225"/>
    </row>
    <row r="192" spans="1:21">
      <c r="A192" s="44">
        <f t="shared" si="30"/>
        <v>188</v>
      </c>
      <c r="B192" s="72">
        <v>46119</v>
      </c>
      <c r="C192" s="207">
        <v>8612679</v>
      </c>
      <c r="D192" s="28">
        <v>51470623</v>
      </c>
      <c r="E192" s="29">
        <v>49.5</v>
      </c>
      <c r="F192" s="42">
        <v>990.01</v>
      </c>
      <c r="G192" s="30">
        <f t="shared" si="27"/>
        <v>49005.495</v>
      </c>
      <c r="H192" s="208">
        <v>76198.56</v>
      </c>
      <c r="I192" s="209">
        <f t="shared" si="28"/>
        <v>3771828.72</v>
      </c>
      <c r="J192" s="34" t="s">
        <v>120</v>
      </c>
      <c r="K192" s="35" t="s">
        <v>148</v>
      </c>
      <c r="L192" s="43"/>
      <c r="M192" s="44"/>
      <c r="N192" s="41"/>
      <c r="O192" s="214">
        <v>83.02</v>
      </c>
      <c r="P192" s="215">
        <f t="shared" si="29"/>
        <v>4109.49</v>
      </c>
      <c r="Q192" s="224"/>
      <c r="R192" s="224"/>
      <c r="S192" s="224"/>
      <c r="T192" s="224"/>
      <c r="U192" s="225"/>
    </row>
    <row r="193" spans="1:21">
      <c r="A193" s="44">
        <f t="shared" si="30"/>
        <v>189</v>
      </c>
      <c r="B193" s="72">
        <v>46119</v>
      </c>
      <c r="C193" s="207">
        <v>8612680</v>
      </c>
      <c r="D193" s="28">
        <v>73012080</v>
      </c>
      <c r="E193" s="29">
        <v>57.75</v>
      </c>
      <c r="F193" s="42">
        <v>990.01</v>
      </c>
      <c r="G193" s="30">
        <f t="shared" si="27"/>
        <v>57173.0775</v>
      </c>
      <c r="H193" s="208">
        <v>76198.56</v>
      </c>
      <c r="I193" s="209">
        <f t="shared" si="28"/>
        <v>4400466.84</v>
      </c>
      <c r="J193" s="34" t="s">
        <v>120</v>
      </c>
      <c r="K193" s="35" t="s">
        <v>148</v>
      </c>
      <c r="L193" s="43"/>
      <c r="M193" s="44"/>
      <c r="N193" s="41"/>
      <c r="O193" s="214">
        <v>83.02</v>
      </c>
      <c r="P193" s="215">
        <f t="shared" si="29"/>
        <v>4794.405</v>
      </c>
      <c r="Q193" s="224"/>
      <c r="R193" s="224"/>
      <c r="S193" s="224"/>
      <c r="T193" s="224"/>
      <c r="U193" s="225"/>
    </row>
    <row r="194" spans="1:21">
      <c r="A194" s="44">
        <f t="shared" si="30"/>
        <v>190</v>
      </c>
      <c r="B194" s="72">
        <v>46119</v>
      </c>
      <c r="C194" s="207">
        <v>8612680</v>
      </c>
      <c r="D194" s="28">
        <v>73063927</v>
      </c>
      <c r="E194" s="29">
        <v>59.6</v>
      </c>
      <c r="F194" s="30">
        <v>990.01</v>
      </c>
      <c r="G194" s="30">
        <f t="shared" si="27"/>
        <v>59004.596</v>
      </c>
      <c r="H194" s="208">
        <v>76198.56</v>
      </c>
      <c r="I194" s="209">
        <f t="shared" si="28"/>
        <v>4541434.176</v>
      </c>
      <c r="J194" s="34" t="s">
        <v>120</v>
      </c>
      <c r="K194" s="35" t="s">
        <v>148</v>
      </c>
      <c r="L194" s="43"/>
      <c r="M194" s="44"/>
      <c r="N194" s="41"/>
      <c r="O194" s="214">
        <v>83.02</v>
      </c>
      <c r="P194" s="215">
        <f t="shared" si="29"/>
        <v>4947.992</v>
      </c>
      <c r="Q194" s="224"/>
      <c r="R194" s="224"/>
      <c r="S194" s="224"/>
      <c r="T194" s="224"/>
      <c r="U194" s="225"/>
    </row>
    <row r="195" spans="1:21">
      <c r="A195" s="44">
        <f t="shared" si="30"/>
        <v>191</v>
      </c>
      <c r="B195" s="72">
        <v>46119</v>
      </c>
      <c r="C195" s="207">
        <v>8612679</v>
      </c>
      <c r="D195" s="28">
        <v>73068710</v>
      </c>
      <c r="E195" s="29">
        <v>59.7</v>
      </c>
      <c r="F195" s="42">
        <v>990.01</v>
      </c>
      <c r="G195" s="30">
        <f t="shared" si="27"/>
        <v>59103.597</v>
      </c>
      <c r="H195" s="208">
        <v>76198.56</v>
      </c>
      <c r="I195" s="209">
        <f t="shared" si="28"/>
        <v>4549054.032</v>
      </c>
      <c r="J195" s="34" t="s">
        <v>120</v>
      </c>
      <c r="K195" s="35" t="s">
        <v>148</v>
      </c>
      <c r="L195" s="43"/>
      <c r="M195" s="44"/>
      <c r="N195" s="41"/>
      <c r="O195" s="214">
        <v>83.02</v>
      </c>
      <c r="P195" s="215">
        <f t="shared" si="29"/>
        <v>4956.294</v>
      </c>
      <c r="Q195" s="224"/>
      <c r="R195" s="224"/>
      <c r="S195" s="224"/>
      <c r="T195" s="224"/>
      <c r="U195" s="225"/>
    </row>
    <row r="196" spans="1:21">
      <c r="A196" s="44">
        <f t="shared" si="30"/>
        <v>192</v>
      </c>
      <c r="B196" s="72">
        <v>46119</v>
      </c>
      <c r="C196" s="207">
        <v>8612680</v>
      </c>
      <c r="D196" s="28">
        <v>73072142</v>
      </c>
      <c r="E196" s="29">
        <v>59.25</v>
      </c>
      <c r="F196" s="42">
        <v>990.01</v>
      </c>
      <c r="G196" s="30">
        <f t="shared" si="27"/>
        <v>58658.0925</v>
      </c>
      <c r="H196" s="208">
        <v>76198.56</v>
      </c>
      <c r="I196" s="209">
        <f t="shared" si="28"/>
        <v>4514764.68</v>
      </c>
      <c r="J196" s="34" t="s">
        <v>120</v>
      </c>
      <c r="K196" s="35" t="s">
        <v>148</v>
      </c>
      <c r="L196" s="43"/>
      <c r="M196" s="44"/>
      <c r="N196" s="41"/>
      <c r="O196" s="214">
        <v>83.02</v>
      </c>
      <c r="P196" s="215">
        <f t="shared" si="29"/>
        <v>4918.935</v>
      </c>
      <c r="Q196" s="224"/>
      <c r="R196" s="224"/>
      <c r="S196" s="224"/>
      <c r="T196" s="224"/>
      <c r="U196" s="225"/>
    </row>
    <row r="197" spans="1:21">
      <c r="A197" s="44">
        <f t="shared" si="30"/>
        <v>193</v>
      </c>
      <c r="B197" s="72">
        <v>46119</v>
      </c>
      <c r="C197" s="207">
        <v>8612679</v>
      </c>
      <c r="D197" s="28">
        <v>73075202</v>
      </c>
      <c r="E197" s="29">
        <v>58.95</v>
      </c>
      <c r="F197" s="30">
        <v>990.01</v>
      </c>
      <c r="G197" s="30">
        <f t="shared" si="27"/>
        <v>58361.0895</v>
      </c>
      <c r="H197" s="208">
        <v>76198.56</v>
      </c>
      <c r="I197" s="209">
        <f t="shared" si="28"/>
        <v>4491905.112</v>
      </c>
      <c r="J197" s="34" t="s">
        <v>120</v>
      </c>
      <c r="K197" s="35" t="s">
        <v>148</v>
      </c>
      <c r="L197" s="43"/>
      <c r="M197" s="44"/>
      <c r="N197" s="41"/>
      <c r="O197" s="214">
        <v>83.02</v>
      </c>
      <c r="P197" s="215">
        <f t="shared" si="29"/>
        <v>4894.029</v>
      </c>
      <c r="Q197" s="224"/>
      <c r="R197" s="224"/>
      <c r="S197" s="224"/>
      <c r="T197" s="224"/>
      <c r="U197" s="225"/>
    </row>
    <row r="198" spans="1:21">
      <c r="A198" s="44">
        <f t="shared" si="30"/>
        <v>194</v>
      </c>
      <c r="B198" s="72">
        <v>46119</v>
      </c>
      <c r="C198" s="207">
        <v>8612679</v>
      </c>
      <c r="D198" s="28">
        <v>73110686</v>
      </c>
      <c r="E198" s="29">
        <v>58.45</v>
      </c>
      <c r="F198" s="42">
        <v>990.01</v>
      </c>
      <c r="G198" s="30">
        <f t="shared" si="27"/>
        <v>57866.0845</v>
      </c>
      <c r="H198" s="208">
        <v>76198.56</v>
      </c>
      <c r="I198" s="209">
        <f t="shared" si="28"/>
        <v>4453805.832</v>
      </c>
      <c r="J198" s="34" t="s">
        <v>120</v>
      </c>
      <c r="K198" s="35" t="s">
        <v>148</v>
      </c>
      <c r="L198" s="43"/>
      <c r="M198" s="44"/>
      <c r="N198" s="41"/>
      <c r="O198" s="214">
        <v>83.02</v>
      </c>
      <c r="P198" s="215">
        <f t="shared" si="29"/>
        <v>4852.519</v>
      </c>
      <c r="Q198" s="224"/>
      <c r="R198" s="224"/>
      <c r="S198" s="224"/>
      <c r="T198" s="224"/>
      <c r="U198" s="225"/>
    </row>
    <row r="199" spans="1:21">
      <c r="A199" s="44">
        <f t="shared" si="30"/>
        <v>195</v>
      </c>
      <c r="B199" s="72">
        <v>46119</v>
      </c>
      <c r="C199" s="207">
        <v>8612680</v>
      </c>
      <c r="D199" s="28">
        <v>73114472</v>
      </c>
      <c r="E199" s="29">
        <v>58.45</v>
      </c>
      <c r="F199" s="42">
        <v>990.01</v>
      </c>
      <c r="G199" s="30">
        <f t="shared" si="27"/>
        <v>57866.0845</v>
      </c>
      <c r="H199" s="208">
        <v>76198.56</v>
      </c>
      <c r="I199" s="209">
        <f t="shared" si="28"/>
        <v>4453805.832</v>
      </c>
      <c r="J199" s="34" t="s">
        <v>120</v>
      </c>
      <c r="K199" s="35" t="s">
        <v>148</v>
      </c>
      <c r="L199" s="43"/>
      <c r="M199" s="44"/>
      <c r="N199" s="41"/>
      <c r="O199" s="214">
        <v>83.02</v>
      </c>
      <c r="P199" s="215">
        <f t="shared" si="29"/>
        <v>4852.519</v>
      </c>
      <c r="Q199" s="224"/>
      <c r="R199" s="224"/>
      <c r="S199" s="224"/>
      <c r="T199" s="224"/>
      <c r="U199" s="225"/>
    </row>
    <row r="200" spans="1:21">
      <c r="A200" s="44">
        <f t="shared" si="30"/>
        <v>196</v>
      </c>
      <c r="B200" s="72">
        <v>46119</v>
      </c>
      <c r="C200" s="207">
        <v>8612679</v>
      </c>
      <c r="D200" s="28">
        <v>73117269</v>
      </c>
      <c r="E200" s="29">
        <v>58.85</v>
      </c>
      <c r="F200" s="30">
        <v>990.01</v>
      </c>
      <c r="G200" s="30">
        <f t="shared" si="27"/>
        <v>58262.0885</v>
      </c>
      <c r="H200" s="208">
        <v>76198.56</v>
      </c>
      <c r="I200" s="209">
        <f t="shared" si="28"/>
        <v>4484285.256</v>
      </c>
      <c r="J200" s="34" t="s">
        <v>120</v>
      </c>
      <c r="K200" s="35" t="s">
        <v>148</v>
      </c>
      <c r="L200" s="43"/>
      <c r="M200" s="44"/>
      <c r="N200" s="41"/>
      <c r="O200" s="214">
        <v>83.02</v>
      </c>
      <c r="P200" s="215">
        <f t="shared" si="29"/>
        <v>4885.727</v>
      </c>
      <c r="Q200" s="224"/>
      <c r="R200" s="224"/>
      <c r="S200" s="224"/>
      <c r="T200" s="224"/>
      <c r="U200" s="225"/>
    </row>
    <row r="201" spans="1:21">
      <c r="A201" s="44">
        <f t="shared" si="30"/>
        <v>197</v>
      </c>
      <c r="B201" s="72">
        <v>46119</v>
      </c>
      <c r="C201" s="207">
        <v>8612679</v>
      </c>
      <c r="D201" s="28">
        <v>73119117</v>
      </c>
      <c r="E201" s="29">
        <v>57.65</v>
      </c>
      <c r="F201" s="42">
        <v>990.01</v>
      </c>
      <c r="G201" s="30">
        <f t="shared" si="27"/>
        <v>57074.0765</v>
      </c>
      <c r="H201" s="208">
        <v>76198.56</v>
      </c>
      <c r="I201" s="209">
        <f t="shared" si="28"/>
        <v>4392846.984</v>
      </c>
      <c r="J201" s="34" t="s">
        <v>120</v>
      </c>
      <c r="K201" s="35" t="s">
        <v>148</v>
      </c>
      <c r="L201" s="43"/>
      <c r="M201" s="44"/>
      <c r="N201" s="41"/>
      <c r="O201" s="214">
        <v>83.02</v>
      </c>
      <c r="P201" s="215">
        <f t="shared" si="29"/>
        <v>4786.103</v>
      </c>
      <c r="Q201" s="224"/>
      <c r="R201" s="224"/>
      <c r="S201" s="224"/>
      <c r="T201" s="224"/>
      <c r="U201" s="225"/>
    </row>
    <row r="202" spans="1:21">
      <c r="A202" s="44">
        <f t="shared" si="30"/>
        <v>198</v>
      </c>
      <c r="B202" s="72">
        <v>46119</v>
      </c>
      <c r="C202" s="207">
        <v>8612679</v>
      </c>
      <c r="D202" s="28">
        <v>73131765</v>
      </c>
      <c r="E202" s="29">
        <v>59.4</v>
      </c>
      <c r="F202" s="42">
        <v>990.01</v>
      </c>
      <c r="G202" s="30">
        <f t="shared" si="27"/>
        <v>58806.594</v>
      </c>
      <c r="H202" s="208">
        <v>76198.56</v>
      </c>
      <c r="I202" s="209">
        <f t="shared" si="28"/>
        <v>4526194.464</v>
      </c>
      <c r="J202" s="34" t="s">
        <v>120</v>
      </c>
      <c r="K202" s="35" t="s">
        <v>148</v>
      </c>
      <c r="L202" s="43"/>
      <c r="M202" s="44"/>
      <c r="N202" s="41"/>
      <c r="O202" s="214">
        <v>83.02</v>
      </c>
      <c r="P202" s="215">
        <f t="shared" si="29"/>
        <v>4931.388</v>
      </c>
      <c r="Q202" s="224"/>
      <c r="R202" s="224"/>
      <c r="S202" s="224"/>
      <c r="T202" s="224"/>
      <c r="U202" s="225"/>
    </row>
    <row r="203" spans="1:21">
      <c r="A203" s="44">
        <f t="shared" si="30"/>
        <v>199</v>
      </c>
      <c r="B203" s="72">
        <v>46119</v>
      </c>
      <c r="C203" s="207">
        <v>8612679</v>
      </c>
      <c r="D203" s="28">
        <v>73136673</v>
      </c>
      <c r="E203" s="29">
        <v>57.9</v>
      </c>
      <c r="F203" s="30">
        <v>990.01</v>
      </c>
      <c r="G203" s="30">
        <f t="shared" si="27"/>
        <v>57321.579</v>
      </c>
      <c r="H203" s="208">
        <v>76198.56</v>
      </c>
      <c r="I203" s="209">
        <f t="shared" si="28"/>
        <v>4411896.624</v>
      </c>
      <c r="J203" s="34" t="s">
        <v>120</v>
      </c>
      <c r="K203" s="35" t="s">
        <v>148</v>
      </c>
      <c r="L203" s="43"/>
      <c r="M203" s="44"/>
      <c r="N203" s="41"/>
      <c r="O203" s="214">
        <v>83.02</v>
      </c>
      <c r="P203" s="215">
        <f t="shared" si="29"/>
        <v>4806.858</v>
      </c>
      <c r="Q203" s="224"/>
      <c r="R203" s="224"/>
      <c r="S203" s="224"/>
      <c r="T203" s="224"/>
      <c r="U203" s="225"/>
    </row>
    <row r="204" spans="1:21">
      <c r="A204" s="44">
        <f t="shared" si="30"/>
        <v>200</v>
      </c>
      <c r="B204" s="72">
        <v>46119</v>
      </c>
      <c r="C204" s="207">
        <v>8612680</v>
      </c>
      <c r="D204" s="28">
        <v>73157646</v>
      </c>
      <c r="E204" s="29">
        <v>58.3</v>
      </c>
      <c r="F204" s="42">
        <v>990.01</v>
      </c>
      <c r="G204" s="30">
        <f t="shared" si="27"/>
        <v>57717.583</v>
      </c>
      <c r="H204" s="208">
        <v>76198.56</v>
      </c>
      <c r="I204" s="209">
        <f t="shared" si="28"/>
        <v>4442376.048</v>
      </c>
      <c r="J204" s="34" t="s">
        <v>120</v>
      </c>
      <c r="K204" s="35" t="s">
        <v>148</v>
      </c>
      <c r="L204" s="43"/>
      <c r="M204" s="44"/>
      <c r="N204" s="41"/>
      <c r="O204" s="214">
        <v>83.02</v>
      </c>
      <c r="P204" s="215">
        <f t="shared" si="29"/>
        <v>4840.066</v>
      </c>
      <c r="Q204" s="224"/>
      <c r="R204" s="224"/>
      <c r="S204" s="224"/>
      <c r="T204" s="224"/>
      <c r="U204" s="225"/>
    </row>
    <row r="205" spans="1:21">
      <c r="A205" s="44">
        <f t="shared" si="30"/>
        <v>201</v>
      </c>
      <c r="B205" s="72">
        <v>46119</v>
      </c>
      <c r="C205" s="207">
        <v>8612680</v>
      </c>
      <c r="D205" s="28">
        <v>73175960</v>
      </c>
      <c r="E205" s="29">
        <v>60.2</v>
      </c>
      <c r="F205" s="42">
        <v>990.01</v>
      </c>
      <c r="G205" s="30">
        <f t="shared" si="27"/>
        <v>59598.602</v>
      </c>
      <c r="H205" s="208">
        <v>76198.56</v>
      </c>
      <c r="I205" s="209">
        <f t="shared" si="28"/>
        <v>4587153.312</v>
      </c>
      <c r="J205" s="34" t="s">
        <v>120</v>
      </c>
      <c r="K205" s="35" t="s">
        <v>148</v>
      </c>
      <c r="L205" s="43"/>
      <c r="M205" s="44"/>
      <c r="N205" s="41"/>
      <c r="O205" s="214">
        <v>83.02</v>
      </c>
      <c r="P205" s="215">
        <f t="shared" si="29"/>
        <v>4997.804</v>
      </c>
      <c r="Q205" s="224"/>
      <c r="R205" s="224"/>
      <c r="S205" s="224"/>
      <c r="T205" s="224"/>
      <c r="U205" s="225"/>
    </row>
    <row r="206" spans="1:21">
      <c r="A206" s="44">
        <f t="shared" si="30"/>
        <v>202</v>
      </c>
      <c r="B206" s="72">
        <v>46119</v>
      </c>
      <c r="C206" s="207">
        <v>8612680</v>
      </c>
      <c r="D206" s="28">
        <v>73221574</v>
      </c>
      <c r="E206" s="29">
        <v>59</v>
      </c>
      <c r="F206" s="30">
        <v>990.01</v>
      </c>
      <c r="G206" s="30">
        <f t="shared" si="27"/>
        <v>58410.59</v>
      </c>
      <c r="H206" s="208">
        <v>76198.56</v>
      </c>
      <c r="I206" s="209">
        <f t="shared" si="28"/>
        <v>4495715.04</v>
      </c>
      <c r="J206" s="34" t="s">
        <v>120</v>
      </c>
      <c r="K206" s="35" t="s">
        <v>148</v>
      </c>
      <c r="L206" s="43"/>
      <c r="M206" s="44"/>
      <c r="N206" s="41"/>
      <c r="O206" s="214">
        <v>83.02</v>
      </c>
      <c r="P206" s="215">
        <f t="shared" si="29"/>
        <v>4898.18</v>
      </c>
      <c r="Q206" s="224"/>
      <c r="R206" s="224"/>
      <c r="S206" s="224"/>
      <c r="T206" s="224"/>
      <c r="U206" s="225"/>
    </row>
    <row r="207" spans="1:21">
      <c r="A207" s="44">
        <f t="shared" si="30"/>
        <v>203</v>
      </c>
      <c r="B207" s="72">
        <v>46119</v>
      </c>
      <c r="C207" s="207">
        <v>8612679</v>
      </c>
      <c r="D207" s="28">
        <v>75219527</v>
      </c>
      <c r="E207" s="29">
        <v>58.85</v>
      </c>
      <c r="F207" s="42">
        <v>990.01</v>
      </c>
      <c r="G207" s="30">
        <f t="shared" si="27"/>
        <v>58262.0885</v>
      </c>
      <c r="H207" s="208">
        <v>76198.56</v>
      </c>
      <c r="I207" s="209">
        <f t="shared" si="28"/>
        <v>4484285.256</v>
      </c>
      <c r="J207" s="34" t="s">
        <v>120</v>
      </c>
      <c r="K207" s="35" t="s">
        <v>148</v>
      </c>
      <c r="L207" s="43"/>
      <c r="M207" s="44"/>
      <c r="N207" s="41"/>
      <c r="O207" s="214">
        <v>83.02</v>
      </c>
      <c r="P207" s="215">
        <f t="shared" si="29"/>
        <v>4885.727</v>
      </c>
      <c r="Q207" s="224"/>
      <c r="R207" s="224"/>
      <c r="S207" s="224"/>
      <c r="T207" s="224"/>
      <c r="U207" s="225"/>
    </row>
    <row r="208" spans="1:21">
      <c r="A208" s="44">
        <f t="shared" si="30"/>
        <v>204</v>
      </c>
      <c r="B208" s="72">
        <v>46119</v>
      </c>
      <c r="C208" s="207">
        <v>8612680</v>
      </c>
      <c r="D208" s="28">
        <v>75221887</v>
      </c>
      <c r="E208" s="29">
        <v>57.05</v>
      </c>
      <c r="F208" s="42">
        <v>990.01</v>
      </c>
      <c r="G208" s="30">
        <f t="shared" si="27"/>
        <v>56480.0705</v>
      </c>
      <c r="H208" s="208">
        <v>76198.56</v>
      </c>
      <c r="I208" s="209">
        <f t="shared" si="28"/>
        <v>4347127.848</v>
      </c>
      <c r="J208" s="34" t="s">
        <v>120</v>
      </c>
      <c r="K208" s="35" t="s">
        <v>148</v>
      </c>
      <c r="L208" s="43"/>
      <c r="M208" s="44"/>
      <c r="N208" s="41"/>
      <c r="O208" s="214">
        <v>83.02</v>
      </c>
      <c r="P208" s="215">
        <f t="shared" si="29"/>
        <v>4736.291</v>
      </c>
      <c r="Q208" s="224"/>
      <c r="R208" s="224"/>
      <c r="S208" s="224"/>
      <c r="T208" s="224"/>
      <c r="U208" s="225"/>
    </row>
    <row r="209" spans="1:21">
      <c r="A209" s="44">
        <f t="shared" si="30"/>
        <v>205</v>
      </c>
      <c r="B209" s="72">
        <v>46119</v>
      </c>
      <c r="C209" s="207">
        <v>8612680</v>
      </c>
      <c r="D209" s="28">
        <v>75227405</v>
      </c>
      <c r="E209" s="29">
        <v>59.55</v>
      </c>
      <c r="F209" s="30">
        <v>990.01</v>
      </c>
      <c r="G209" s="30">
        <f t="shared" si="27"/>
        <v>58955.0955</v>
      </c>
      <c r="H209" s="208">
        <v>76198.56</v>
      </c>
      <c r="I209" s="209">
        <f t="shared" si="28"/>
        <v>4537624.248</v>
      </c>
      <c r="J209" s="34" t="s">
        <v>120</v>
      </c>
      <c r="K209" s="35" t="s">
        <v>148</v>
      </c>
      <c r="L209" s="43"/>
      <c r="M209" s="44"/>
      <c r="N209" s="41"/>
      <c r="O209" s="214">
        <v>83.02</v>
      </c>
      <c r="P209" s="215">
        <f t="shared" si="29"/>
        <v>4943.841</v>
      </c>
      <c r="Q209" s="224"/>
      <c r="R209" s="224"/>
      <c r="S209" s="224"/>
      <c r="T209" s="224"/>
      <c r="U209" s="225"/>
    </row>
    <row r="210" ht="15.75" spans="1:21">
      <c r="A210" s="51">
        <f t="shared" si="30"/>
        <v>206</v>
      </c>
      <c r="B210" s="157">
        <v>46119</v>
      </c>
      <c r="C210" s="226">
        <v>8612679</v>
      </c>
      <c r="D210" s="158">
        <v>75230664</v>
      </c>
      <c r="E210" s="162">
        <v>56.55</v>
      </c>
      <c r="F210" s="42">
        <v>990.01</v>
      </c>
      <c r="G210" s="227">
        <f t="shared" si="27"/>
        <v>55985.0655</v>
      </c>
      <c r="H210" s="208">
        <v>76198.56</v>
      </c>
      <c r="I210" s="228">
        <f t="shared" si="28"/>
        <v>4309028.568</v>
      </c>
      <c r="J210" s="165" t="s">
        <v>120</v>
      </c>
      <c r="K210" s="166" t="s">
        <v>148</v>
      </c>
      <c r="L210" s="83"/>
      <c r="M210" s="51"/>
      <c r="N210" s="52"/>
      <c r="O210" s="219">
        <v>83.02</v>
      </c>
      <c r="P210" s="220">
        <f t="shared" si="29"/>
        <v>4694.781</v>
      </c>
      <c r="Q210" s="229"/>
      <c r="R210" s="229"/>
      <c r="S210" s="229"/>
      <c r="T210" s="229"/>
      <c r="U210" s="230"/>
    </row>
    <row r="211" spans="1:21">
      <c r="A211" s="37">
        <v>207</v>
      </c>
      <c r="B211" s="115">
        <v>46120</v>
      </c>
      <c r="C211" s="232">
        <v>8612589</v>
      </c>
      <c r="D211" s="177">
        <v>73223026</v>
      </c>
      <c r="E211" s="178">
        <v>61</v>
      </c>
      <c r="F211" s="42">
        <v>990.01</v>
      </c>
      <c r="G211" s="181">
        <f>E211*F211</f>
        <v>60390.61</v>
      </c>
      <c r="H211" s="208">
        <v>76198.56</v>
      </c>
      <c r="I211" s="233">
        <f>E211*H211</f>
        <v>4648112.16</v>
      </c>
      <c r="J211" s="121" t="s">
        <v>120</v>
      </c>
      <c r="K211" s="234" t="s">
        <v>148</v>
      </c>
      <c r="L211" s="36"/>
      <c r="M211" s="37"/>
      <c r="N211" s="38"/>
      <c r="O211" s="212">
        <v>83.02</v>
      </c>
      <c r="P211" s="213">
        <f>E211*O211</f>
        <v>5064.22</v>
      </c>
      <c r="Q211" s="222"/>
      <c r="R211" s="222"/>
      <c r="S211" s="222"/>
      <c r="T211" s="222"/>
      <c r="U211" s="223"/>
    </row>
    <row r="212" spans="1:21">
      <c r="A212" s="44">
        <f>A211+1</f>
        <v>208</v>
      </c>
      <c r="B212" s="72">
        <v>46120</v>
      </c>
      <c r="C212" s="207">
        <v>8612768</v>
      </c>
      <c r="D212" s="28">
        <v>73231243</v>
      </c>
      <c r="E212" s="29">
        <v>61</v>
      </c>
      <c r="F212" s="30">
        <v>990.01</v>
      </c>
      <c r="G212" s="30">
        <f>E212*F212</f>
        <v>60390.61</v>
      </c>
      <c r="H212" s="208">
        <v>76198.56</v>
      </c>
      <c r="I212" s="209">
        <f>E212*H212</f>
        <v>4648112.16</v>
      </c>
      <c r="J212" s="34" t="s">
        <v>120</v>
      </c>
      <c r="K212" s="35" t="s">
        <v>148</v>
      </c>
      <c r="L212" s="43"/>
      <c r="M212" s="44"/>
      <c r="N212" s="41"/>
      <c r="O212" s="214">
        <v>83.02</v>
      </c>
      <c r="P212" s="215">
        <f>E212*O212</f>
        <v>5064.22</v>
      </c>
      <c r="Q212" s="224"/>
      <c r="R212" s="224"/>
      <c r="S212" s="224"/>
      <c r="T212" s="224"/>
      <c r="U212" s="225"/>
    </row>
    <row r="213" spans="1:21">
      <c r="A213" s="44">
        <f>A212+1</f>
        <v>209</v>
      </c>
      <c r="B213" s="72">
        <v>46120</v>
      </c>
      <c r="C213" s="207">
        <v>8612766</v>
      </c>
      <c r="D213" s="28">
        <v>73231417</v>
      </c>
      <c r="E213" s="29">
        <v>61.05</v>
      </c>
      <c r="F213" s="42">
        <v>990.01</v>
      </c>
      <c r="G213" s="30">
        <f>E213*F213</f>
        <v>60440.1105</v>
      </c>
      <c r="H213" s="208">
        <v>76198.56</v>
      </c>
      <c r="I213" s="209">
        <f>E213*H213</f>
        <v>4651922.088</v>
      </c>
      <c r="J213" s="34" t="s">
        <v>120</v>
      </c>
      <c r="K213" s="35" t="s">
        <v>148</v>
      </c>
      <c r="L213" s="43"/>
      <c r="M213" s="44"/>
      <c r="N213" s="41"/>
      <c r="O213" s="214">
        <v>83.02</v>
      </c>
      <c r="P213" s="215">
        <f>E213*O213</f>
        <v>5068.371</v>
      </c>
      <c r="Q213" s="224"/>
      <c r="R213" s="224"/>
      <c r="S213" s="224"/>
      <c r="T213" s="224"/>
      <c r="U213" s="225"/>
    </row>
    <row r="214" ht="15.75" spans="1:21">
      <c r="A214" s="51">
        <f>A213+1</f>
        <v>210</v>
      </c>
      <c r="B214" s="157">
        <v>46120</v>
      </c>
      <c r="C214" s="226">
        <v>8612767</v>
      </c>
      <c r="D214" s="158">
        <v>73231425</v>
      </c>
      <c r="E214" s="162">
        <v>61</v>
      </c>
      <c r="F214" s="42">
        <v>990.01</v>
      </c>
      <c r="G214" s="227">
        <f>E214*F214</f>
        <v>60390.61</v>
      </c>
      <c r="H214" s="208">
        <v>76198.56</v>
      </c>
      <c r="I214" s="228">
        <f>E214*H214</f>
        <v>4648112.16</v>
      </c>
      <c r="J214" s="165" t="s">
        <v>120</v>
      </c>
      <c r="K214" s="166" t="s">
        <v>148</v>
      </c>
      <c r="L214" s="83"/>
      <c r="M214" s="51"/>
      <c r="N214" s="52"/>
      <c r="O214" s="219">
        <v>83.02</v>
      </c>
      <c r="P214" s="220">
        <f>E214*O214</f>
        <v>5064.22</v>
      </c>
      <c r="Q214" s="229"/>
      <c r="R214" s="229"/>
      <c r="S214" s="229"/>
      <c r="T214" s="229"/>
      <c r="U214" s="230"/>
    </row>
    <row r="215" spans="1:21">
      <c r="A215" s="37">
        <v>211</v>
      </c>
      <c r="B215" s="115">
        <v>46120</v>
      </c>
      <c r="C215" s="232">
        <v>8612773</v>
      </c>
      <c r="D215" s="177">
        <v>51381804</v>
      </c>
      <c r="E215" s="178">
        <v>52.45</v>
      </c>
      <c r="F215" s="30">
        <v>990.01</v>
      </c>
      <c r="G215" s="181">
        <f t="shared" ref="G215:G226" si="31">E215*F215</f>
        <v>51926.0245</v>
      </c>
      <c r="H215" s="208">
        <v>76198.56</v>
      </c>
      <c r="I215" s="233">
        <f t="shared" ref="I215:I226" si="32">E215*H215</f>
        <v>3996614.472</v>
      </c>
      <c r="J215" s="121" t="s">
        <v>120</v>
      </c>
      <c r="K215" s="234" t="s">
        <v>148</v>
      </c>
      <c r="L215" s="36"/>
      <c r="M215" s="37"/>
      <c r="N215" s="38"/>
      <c r="O215" s="212">
        <v>83.02</v>
      </c>
      <c r="P215" s="213">
        <f t="shared" ref="P215:P226" si="33">E215*O215</f>
        <v>4354.399</v>
      </c>
      <c r="Q215" s="222"/>
      <c r="R215" s="222"/>
      <c r="S215" s="222"/>
      <c r="T215" s="222"/>
      <c r="U215" s="223"/>
    </row>
    <row r="216" spans="1:21">
      <c r="A216" s="44">
        <f t="shared" ref="A216:A226" si="34">A215+1</f>
        <v>212</v>
      </c>
      <c r="B216" s="72">
        <v>46120</v>
      </c>
      <c r="C216" s="207">
        <v>8612773</v>
      </c>
      <c r="D216" s="28">
        <v>51497766</v>
      </c>
      <c r="E216" s="29">
        <v>51.2</v>
      </c>
      <c r="F216" s="42">
        <v>990.01</v>
      </c>
      <c r="G216" s="30">
        <f t="shared" si="31"/>
        <v>50688.512</v>
      </c>
      <c r="H216" s="208">
        <v>76198.56</v>
      </c>
      <c r="I216" s="209">
        <f t="shared" si="32"/>
        <v>3901366.272</v>
      </c>
      <c r="J216" s="34" t="s">
        <v>120</v>
      </c>
      <c r="K216" s="35" t="s">
        <v>148</v>
      </c>
      <c r="L216" s="43"/>
      <c r="M216" s="44"/>
      <c r="N216" s="41"/>
      <c r="O216" s="214">
        <v>83.02</v>
      </c>
      <c r="P216" s="215">
        <f t="shared" si="33"/>
        <v>4250.624</v>
      </c>
      <c r="Q216" s="224"/>
      <c r="R216" s="224"/>
      <c r="S216" s="224"/>
      <c r="T216" s="224"/>
      <c r="U216" s="225"/>
    </row>
    <row r="217" spans="1:21">
      <c r="A217" s="44">
        <f t="shared" si="34"/>
        <v>213</v>
      </c>
      <c r="B217" s="72">
        <v>46120</v>
      </c>
      <c r="C217" s="207">
        <v>8612773</v>
      </c>
      <c r="D217" s="28">
        <v>73072340</v>
      </c>
      <c r="E217" s="29">
        <v>61.2</v>
      </c>
      <c r="F217" s="42">
        <v>990.01</v>
      </c>
      <c r="G217" s="30">
        <f t="shared" si="31"/>
        <v>60588.612</v>
      </c>
      <c r="H217" s="208">
        <v>76198.56</v>
      </c>
      <c r="I217" s="209">
        <f t="shared" si="32"/>
        <v>4663351.872</v>
      </c>
      <c r="J217" s="34" t="s">
        <v>120</v>
      </c>
      <c r="K217" s="35" t="s">
        <v>148</v>
      </c>
      <c r="L217" s="43"/>
      <c r="M217" s="44"/>
      <c r="N217" s="41"/>
      <c r="O217" s="214">
        <v>83.02</v>
      </c>
      <c r="P217" s="215">
        <f t="shared" si="33"/>
        <v>5080.824</v>
      </c>
      <c r="Q217" s="224"/>
      <c r="R217" s="224"/>
      <c r="S217" s="224"/>
      <c r="T217" s="224"/>
      <c r="U217" s="225"/>
    </row>
    <row r="218" spans="1:21">
      <c r="A218" s="44">
        <f t="shared" si="34"/>
        <v>214</v>
      </c>
      <c r="B218" s="72">
        <v>46120</v>
      </c>
      <c r="C218" s="207">
        <v>8612773</v>
      </c>
      <c r="D218" s="28">
        <v>73106833</v>
      </c>
      <c r="E218" s="29">
        <v>61.2</v>
      </c>
      <c r="F218" s="30">
        <v>990.01</v>
      </c>
      <c r="G218" s="30">
        <f t="shared" si="31"/>
        <v>60588.612</v>
      </c>
      <c r="H218" s="208">
        <v>76198.56</v>
      </c>
      <c r="I218" s="209">
        <f t="shared" si="32"/>
        <v>4663351.872</v>
      </c>
      <c r="J218" s="34" t="s">
        <v>120</v>
      </c>
      <c r="K218" s="35" t="s">
        <v>148</v>
      </c>
      <c r="L218" s="43"/>
      <c r="M218" s="44"/>
      <c r="N218" s="41"/>
      <c r="O218" s="214">
        <v>83.02</v>
      </c>
      <c r="P218" s="215">
        <f t="shared" si="33"/>
        <v>5080.824</v>
      </c>
      <c r="Q218" s="224"/>
      <c r="R218" s="224"/>
      <c r="S218" s="224"/>
      <c r="T218" s="224"/>
      <c r="U218" s="225"/>
    </row>
    <row r="219" spans="1:21">
      <c r="A219" s="44">
        <f t="shared" si="34"/>
        <v>215</v>
      </c>
      <c r="B219" s="72">
        <v>46120</v>
      </c>
      <c r="C219" s="207">
        <v>8612773</v>
      </c>
      <c r="D219" s="28">
        <v>73108078</v>
      </c>
      <c r="E219" s="29">
        <v>61.15</v>
      </c>
      <c r="F219" s="42">
        <v>990.01</v>
      </c>
      <c r="G219" s="30">
        <f t="shared" si="31"/>
        <v>60539.1115</v>
      </c>
      <c r="H219" s="208">
        <v>76198.56</v>
      </c>
      <c r="I219" s="209">
        <f t="shared" si="32"/>
        <v>4659541.944</v>
      </c>
      <c r="J219" s="34" t="s">
        <v>120</v>
      </c>
      <c r="K219" s="35" t="s">
        <v>148</v>
      </c>
      <c r="L219" s="43"/>
      <c r="M219" s="44"/>
      <c r="N219" s="41"/>
      <c r="O219" s="214">
        <v>83.02</v>
      </c>
      <c r="P219" s="215">
        <f t="shared" si="33"/>
        <v>5076.673</v>
      </c>
      <c r="Q219" s="224"/>
      <c r="R219" s="224"/>
      <c r="S219" s="224"/>
      <c r="T219" s="224"/>
      <c r="U219" s="225"/>
    </row>
    <row r="220" spans="1:21">
      <c r="A220" s="44">
        <f t="shared" si="34"/>
        <v>216</v>
      </c>
      <c r="B220" s="72">
        <v>46120</v>
      </c>
      <c r="C220" s="207">
        <v>8612773</v>
      </c>
      <c r="D220" s="28">
        <v>73111205</v>
      </c>
      <c r="E220" s="29">
        <v>61</v>
      </c>
      <c r="F220" s="42">
        <v>990.01</v>
      </c>
      <c r="G220" s="30">
        <f t="shared" si="31"/>
        <v>60390.61</v>
      </c>
      <c r="H220" s="208">
        <v>76198.56</v>
      </c>
      <c r="I220" s="209">
        <f t="shared" si="32"/>
        <v>4648112.16</v>
      </c>
      <c r="J220" s="34" t="s">
        <v>120</v>
      </c>
      <c r="K220" s="35" t="s">
        <v>148</v>
      </c>
      <c r="L220" s="43"/>
      <c r="M220" s="44"/>
      <c r="N220" s="41"/>
      <c r="O220" s="214">
        <v>83.02</v>
      </c>
      <c r="P220" s="215">
        <f t="shared" si="33"/>
        <v>5064.22</v>
      </c>
      <c r="Q220" s="224"/>
      <c r="R220" s="224"/>
      <c r="S220" s="224"/>
      <c r="T220" s="224"/>
      <c r="U220" s="225"/>
    </row>
    <row r="221" spans="1:21">
      <c r="A221" s="44">
        <f t="shared" si="34"/>
        <v>217</v>
      </c>
      <c r="B221" s="72">
        <v>46120</v>
      </c>
      <c r="C221" s="207">
        <v>8612773</v>
      </c>
      <c r="D221" s="28">
        <v>73118614</v>
      </c>
      <c r="E221" s="29">
        <v>61.15</v>
      </c>
      <c r="F221" s="30">
        <v>990.01</v>
      </c>
      <c r="G221" s="30">
        <f t="shared" si="31"/>
        <v>60539.1115</v>
      </c>
      <c r="H221" s="208">
        <v>76198.56</v>
      </c>
      <c r="I221" s="209">
        <f t="shared" si="32"/>
        <v>4659541.944</v>
      </c>
      <c r="J221" s="34" t="s">
        <v>120</v>
      </c>
      <c r="K221" s="35" t="s">
        <v>148</v>
      </c>
      <c r="L221" s="43"/>
      <c r="M221" s="44"/>
      <c r="N221" s="41"/>
      <c r="O221" s="214">
        <v>83.02</v>
      </c>
      <c r="P221" s="215">
        <f t="shared" si="33"/>
        <v>5076.673</v>
      </c>
      <c r="Q221" s="224"/>
      <c r="R221" s="224"/>
      <c r="S221" s="224"/>
      <c r="T221" s="224"/>
      <c r="U221" s="225"/>
    </row>
    <row r="222" spans="1:21">
      <c r="A222" s="44">
        <f t="shared" si="34"/>
        <v>218</v>
      </c>
      <c r="B222" s="72">
        <v>46120</v>
      </c>
      <c r="C222" s="207">
        <v>8612773</v>
      </c>
      <c r="D222" s="28">
        <v>73118671</v>
      </c>
      <c r="E222" s="29">
        <v>60.95</v>
      </c>
      <c r="F222" s="42">
        <v>990.01</v>
      </c>
      <c r="G222" s="30">
        <f t="shared" si="31"/>
        <v>60341.1095</v>
      </c>
      <c r="H222" s="208">
        <v>76198.56</v>
      </c>
      <c r="I222" s="209">
        <f t="shared" si="32"/>
        <v>4644302.232</v>
      </c>
      <c r="J222" s="34" t="s">
        <v>120</v>
      </c>
      <c r="K222" s="35" t="s">
        <v>148</v>
      </c>
      <c r="L222" s="43"/>
      <c r="M222" s="44"/>
      <c r="N222" s="41"/>
      <c r="O222" s="214">
        <v>83.02</v>
      </c>
      <c r="P222" s="215">
        <f t="shared" si="33"/>
        <v>5060.069</v>
      </c>
      <c r="Q222" s="224"/>
      <c r="R222" s="224"/>
      <c r="S222" s="224"/>
      <c r="T222" s="224"/>
      <c r="U222" s="225"/>
    </row>
    <row r="223" spans="1:21">
      <c r="A223" s="44">
        <f t="shared" si="34"/>
        <v>219</v>
      </c>
      <c r="B223" s="72">
        <v>46120</v>
      </c>
      <c r="C223" s="207">
        <v>8612773</v>
      </c>
      <c r="D223" s="28">
        <v>73134876</v>
      </c>
      <c r="E223" s="29">
        <v>61</v>
      </c>
      <c r="F223" s="42">
        <v>990.01</v>
      </c>
      <c r="G223" s="30">
        <f t="shared" si="31"/>
        <v>60390.61</v>
      </c>
      <c r="H223" s="208">
        <v>76198.56</v>
      </c>
      <c r="I223" s="209">
        <f t="shared" si="32"/>
        <v>4648112.16</v>
      </c>
      <c r="J223" s="34" t="s">
        <v>120</v>
      </c>
      <c r="K223" s="35" t="s">
        <v>148</v>
      </c>
      <c r="L223" s="43"/>
      <c r="M223" s="44"/>
      <c r="N223" s="41"/>
      <c r="O223" s="214">
        <v>83.02</v>
      </c>
      <c r="P223" s="215">
        <f t="shared" si="33"/>
        <v>5064.22</v>
      </c>
      <c r="Q223" s="224"/>
      <c r="R223" s="224"/>
      <c r="S223" s="224"/>
      <c r="T223" s="224"/>
      <c r="U223" s="225"/>
    </row>
    <row r="224" spans="1:21">
      <c r="A224" s="44">
        <f t="shared" si="34"/>
        <v>220</v>
      </c>
      <c r="B224" s="72">
        <v>46120</v>
      </c>
      <c r="C224" s="207">
        <v>8612773</v>
      </c>
      <c r="D224" s="28">
        <v>73235079</v>
      </c>
      <c r="E224" s="29">
        <v>61</v>
      </c>
      <c r="F224" s="30">
        <v>990.01</v>
      </c>
      <c r="G224" s="30">
        <f t="shared" si="31"/>
        <v>60390.61</v>
      </c>
      <c r="H224" s="208">
        <v>76198.56</v>
      </c>
      <c r="I224" s="209">
        <f t="shared" si="32"/>
        <v>4648112.16</v>
      </c>
      <c r="J224" s="34" t="s">
        <v>120</v>
      </c>
      <c r="K224" s="35" t="s">
        <v>148</v>
      </c>
      <c r="L224" s="43"/>
      <c r="M224" s="44"/>
      <c r="N224" s="41"/>
      <c r="O224" s="214">
        <v>83.02</v>
      </c>
      <c r="P224" s="215">
        <f t="shared" si="33"/>
        <v>5064.22</v>
      </c>
      <c r="Q224" s="224"/>
      <c r="R224" s="224"/>
      <c r="S224" s="224"/>
      <c r="T224" s="224"/>
      <c r="U224" s="225"/>
    </row>
    <row r="225" spans="1:21">
      <c r="A225" s="44">
        <f t="shared" si="34"/>
        <v>221</v>
      </c>
      <c r="B225" s="72">
        <v>46120</v>
      </c>
      <c r="C225" s="207">
        <v>8612773</v>
      </c>
      <c r="D225" s="28">
        <v>73239352</v>
      </c>
      <c r="E225" s="29">
        <v>61.15</v>
      </c>
      <c r="F225" s="42">
        <v>990.01</v>
      </c>
      <c r="G225" s="30">
        <f t="shared" si="31"/>
        <v>60539.1115</v>
      </c>
      <c r="H225" s="208">
        <v>76198.56</v>
      </c>
      <c r="I225" s="209">
        <f t="shared" si="32"/>
        <v>4659541.944</v>
      </c>
      <c r="J225" s="34" t="s">
        <v>120</v>
      </c>
      <c r="K225" s="35" t="s">
        <v>148</v>
      </c>
      <c r="L225" s="43"/>
      <c r="M225" s="44"/>
      <c r="N225" s="41"/>
      <c r="O225" s="214">
        <v>83.02</v>
      </c>
      <c r="P225" s="215">
        <f t="shared" si="33"/>
        <v>5076.673</v>
      </c>
      <c r="Q225" s="224"/>
      <c r="R225" s="224"/>
      <c r="S225" s="224"/>
      <c r="T225" s="224"/>
      <c r="U225" s="225"/>
    </row>
    <row r="226" ht="15.75" spans="1:21">
      <c r="A226" s="51">
        <f t="shared" si="34"/>
        <v>222</v>
      </c>
      <c r="B226" s="157">
        <v>46120</v>
      </c>
      <c r="C226" s="226">
        <v>8612773</v>
      </c>
      <c r="D226" s="158">
        <v>75598490</v>
      </c>
      <c r="E226" s="162">
        <v>61.2</v>
      </c>
      <c r="F226" s="42">
        <v>990.01</v>
      </c>
      <c r="G226" s="227">
        <f t="shared" si="31"/>
        <v>60588.612</v>
      </c>
      <c r="H226" s="208">
        <v>76198.56</v>
      </c>
      <c r="I226" s="228">
        <f t="shared" si="32"/>
        <v>4663351.872</v>
      </c>
      <c r="J226" s="165" t="s">
        <v>120</v>
      </c>
      <c r="K226" s="166" t="s">
        <v>148</v>
      </c>
      <c r="L226" s="83"/>
      <c r="M226" s="51"/>
      <c r="N226" s="52"/>
      <c r="O226" s="219">
        <v>83.02</v>
      </c>
      <c r="P226" s="220">
        <f t="shared" si="33"/>
        <v>5080.824</v>
      </c>
      <c r="Q226" s="229"/>
      <c r="R226" s="229"/>
      <c r="S226" s="229"/>
      <c r="T226" s="229"/>
      <c r="U226" s="230"/>
    </row>
    <row r="227" spans="1:21">
      <c r="A227" s="37">
        <v>223</v>
      </c>
      <c r="B227" s="115">
        <v>46121</v>
      </c>
      <c r="C227" s="232">
        <v>8612787</v>
      </c>
      <c r="D227" s="177">
        <v>50748003</v>
      </c>
      <c r="E227" s="178">
        <v>51.3</v>
      </c>
      <c r="F227" s="30">
        <v>990.01</v>
      </c>
      <c r="G227" s="181">
        <f t="shared" ref="G227:G242" si="35">E227*F227</f>
        <v>50787.513</v>
      </c>
      <c r="H227" s="208">
        <v>76198.56</v>
      </c>
      <c r="I227" s="233">
        <f t="shared" ref="I227:I242" si="36">E227*H227</f>
        <v>3908986.128</v>
      </c>
      <c r="J227" s="121" t="s">
        <v>120</v>
      </c>
      <c r="K227" s="234" t="s">
        <v>148</v>
      </c>
      <c r="L227" s="36"/>
      <c r="M227" s="37"/>
      <c r="N227" s="38"/>
      <c r="O227" s="212">
        <v>83.02</v>
      </c>
      <c r="P227" s="213">
        <f t="shared" ref="P227:P242" si="37">E227*O227</f>
        <v>4258.926</v>
      </c>
      <c r="Q227" s="222"/>
      <c r="R227" s="222"/>
      <c r="S227" s="222"/>
      <c r="T227" s="222"/>
      <c r="U227" s="223"/>
    </row>
    <row r="228" spans="1:21">
      <c r="A228" s="44">
        <f t="shared" ref="A228:A242" si="38">A227+1</f>
        <v>224</v>
      </c>
      <c r="B228" s="72">
        <v>46121</v>
      </c>
      <c r="C228" s="207">
        <v>8612788</v>
      </c>
      <c r="D228" s="28">
        <v>51528602</v>
      </c>
      <c r="E228" s="29">
        <v>51.85</v>
      </c>
      <c r="F228" s="42">
        <v>990.01</v>
      </c>
      <c r="G228" s="30">
        <f t="shared" si="35"/>
        <v>51332.0185</v>
      </c>
      <c r="H228" s="208">
        <v>76198.56</v>
      </c>
      <c r="I228" s="209">
        <f t="shared" si="36"/>
        <v>3950895.336</v>
      </c>
      <c r="J228" s="34" t="s">
        <v>120</v>
      </c>
      <c r="K228" s="35" t="s">
        <v>148</v>
      </c>
      <c r="L228" s="43"/>
      <c r="M228" s="44"/>
      <c r="N228" s="41"/>
      <c r="O228" s="214">
        <v>83.02</v>
      </c>
      <c r="P228" s="215">
        <f t="shared" si="37"/>
        <v>4304.587</v>
      </c>
      <c r="Q228" s="224"/>
      <c r="R228" s="224"/>
      <c r="S228" s="224"/>
      <c r="T228" s="224"/>
      <c r="U228" s="225"/>
    </row>
    <row r="229" spans="1:21">
      <c r="A229" s="44">
        <f t="shared" si="38"/>
        <v>225</v>
      </c>
      <c r="B229" s="72">
        <v>46121</v>
      </c>
      <c r="C229" s="207">
        <v>8612794</v>
      </c>
      <c r="D229" s="28">
        <v>51744712</v>
      </c>
      <c r="E229" s="29">
        <v>52</v>
      </c>
      <c r="F229" s="42">
        <v>990.01</v>
      </c>
      <c r="G229" s="30">
        <f t="shared" si="35"/>
        <v>51480.52</v>
      </c>
      <c r="H229" s="208">
        <v>76198.56</v>
      </c>
      <c r="I229" s="209">
        <f t="shared" si="36"/>
        <v>3962325.12</v>
      </c>
      <c r="J229" s="34" t="s">
        <v>120</v>
      </c>
      <c r="K229" s="35" t="s">
        <v>148</v>
      </c>
      <c r="L229" s="43"/>
      <c r="M229" s="44"/>
      <c r="N229" s="41"/>
      <c r="O229" s="214">
        <v>83.02</v>
      </c>
      <c r="P229" s="215">
        <f t="shared" si="37"/>
        <v>4317.04</v>
      </c>
      <c r="Q229" s="224"/>
      <c r="R229" s="224"/>
      <c r="S229" s="224"/>
      <c r="T229" s="224"/>
      <c r="U229" s="225"/>
    </row>
    <row r="230" spans="1:21">
      <c r="A230" s="44">
        <f t="shared" si="38"/>
        <v>226</v>
      </c>
      <c r="B230" s="72">
        <v>46121</v>
      </c>
      <c r="C230" s="207">
        <v>8612790</v>
      </c>
      <c r="D230" s="28">
        <v>53996021</v>
      </c>
      <c r="E230" s="29">
        <v>50.95</v>
      </c>
      <c r="F230" s="30">
        <v>990.01</v>
      </c>
      <c r="G230" s="30">
        <f t="shared" si="35"/>
        <v>50441.0095</v>
      </c>
      <c r="H230" s="208">
        <v>76198.56</v>
      </c>
      <c r="I230" s="209">
        <f t="shared" si="36"/>
        <v>3882316.632</v>
      </c>
      <c r="J230" s="34" t="s">
        <v>120</v>
      </c>
      <c r="K230" s="35" t="s">
        <v>148</v>
      </c>
      <c r="L230" s="43"/>
      <c r="M230" s="44"/>
      <c r="N230" s="41"/>
      <c r="O230" s="214">
        <v>83.02</v>
      </c>
      <c r="P230" s="215">
        <f t="shared" si="37"/>
        <v>4229.869</v>
      </c>
      <c r="Q230" s="224"/>
      <c r="R230" s="224"/>
      <c r="S230" s="224"/>
      <c r="T230" s="224"/>
      <c r="U230" s="225"/>
    </row>
    <row r="231" spans="1:21">
      <c r="A231" s="44">
        <f t="shared" si="38"/>
        <v>227</v>
      </c>
      <c r="B231" s="72">
        <v>46121</v>
      </c>
      <c r="C231" s="207">
        <v>8612792</v>
      </c>
      <c r="D231" s="28">
        <v>54630512</v>
      </c>
      <c r="E231" s="29">
        <v>60.6</v>
      </c>
      <c r="F231" s="42">
        <v>990.01</v>
      </c>
      <c r="G231" s="30">
        <f t="shared" si="35"/>
        <v>59994.606</v>
      </c>
      <c r="H231" s="208">
        <v>76198.56</v>
      </c>
      <c r="I231" s="209">
        <f t="shared" si="36"/>
        <v>4617632.736</v>
      </c>
      <c r="J231" s="34" t="s">
        <v>120</v>
      </c>
      <c r="K231" s="35" t="s">
        <v>148</v>
      </c>
      <c r="L231" s="43"/>
      <c r="M231" s="44"/>
      <c r="N231" s="41"/>
      <c r="O231" s="214">
        <v>83.02</v>
      </c>
      <c r="P231" s="215">
        <f t="shared" si="37"/>
        <v>5031.012</v>
      </c>
      <c r="Q231" s="224"/>
      <c r="R231" s="224"/>
      <c r="S231" s="224"/>
      <c r="T231" s="224"/>
      <c r="U231" s="225"/>
    </row>
    <row r="232" spans="1:21">
      <c r="A232" s="44">
        <f t="shared" si="38"/>
        <v>228</v>
      </c>
      <c r="B232" s="72">
        <v>46121</v>
      </c>
      <c r="C232" s="207">
        <v>8612793</v>
      </c>
      <c r="D232" s="28">
        <v>54691050</v>
      </c>
      <c r="E232" s="29">
        <v>60.6</v>
      </c>
      <c r="F232" s="42">
        <v>990.01</v>
      </c>
      <c r="G232" s="30">
        <f t="shared" si="35"/>
        <v>59994.606</v>
      </c>
      <c r="H232" s="208">
        <v>76198.56</v>
      </c>
      <c r="I232" s="209">
        <f t="shared" si="36"/>
        <v>4617632.736</v>
      </c>
      <c r="J232" s="34" t="s">
        <v>120</v>
      </c>
      <c r="K232" s="35" t="s">
        <v>148</v>
      </c>
      <c r="L232" s="43"/>
      <c r="M232" s="44"/>
      <c r="N232" s="41"/>
      <c r="O232" s="214">
        <v>83.02</v>
      </c>
      <c r="P232" s="215">
        <f t="shared" si="37"/>
        <v>5031.012</v>
      </c>
      <c r="Q232" s="224"/>
      <c r="R232" s="224"/>
      <c r="S232" s="224"/>
      <c r="T232" s="224"/>
      <c r="U232" s="225"/>
    </row>
    <row r="233" spans="1:21">
      <c r="A233" s="44">
        <f t="shared" si="38"/>
        <v>229</v>
      </c>
      <c r="B233" s="72">
        <v>46121</v>
      </c>
      <c r="C233" s="207">
        <v>8612792</v>
      </c>
      <c r="D233" s="28">
        <v>73063414</v>
      </c>
      <c r="E233" s="29">
        <v>61.15</v>
      </c>
      <c r="F233" s="30">
        <v>990.01</v>
      </c>
      <c r="G233" s="30">
        <f t="shared" si="35"/>
        <v>60539.1115</v>
      </c>
      <c r="H233" s="208">
        <v>76198.56</v>
      </c>
      <c r="I233" s="209">
        <f t="shared" si="36"/>
        <v>4659541.944</v>
      </c>
      <c r="J233" s="34" t="s">
        <v>120</v>
      </c>
      <c r="K233" s="35" t="s">
        <v>148</v>
      </c>
      <c r="L233" s="43"/>
      <c r="M233" s="44"/>
      <c r="N233" s="41"/>
      <c r="O233" s="214">
        <v>83.02</v>
      </c>
      <c r="P233" s="215">
        <f t="shared" si="37"/>
        <v>5076.673</v>
      </c>
      <c r="Q233" s="224"/>
      <c r="R233" s="224"/>
      <c r="S233" s="224"/>
      <c r="T233" s="224"/>
      <c r="U233" s="225"/>
    </row>
    <row r="234" spans="1:21">
      <c r="A234" s="44">
        <f t="shared" si="38"/>
        <v>230</v>
      </c>
      <c r="B234" s="72">
        <v>46121</v>
      </c>
      <c r="C234" s="207">
        <v>8612792</v>
      </c>
      <c r="D234" s="28">
        <v>73169369</v>
      </c>
      <c r="E234" s="29">
        <v>61.05</v>
      </c>
      <c r="F234" s="42">
        <v>990.01</v>
      </c>
      <c r="G234" s="30">
        <f t="shared" si="35"/>
        <v>60440.1105</v>
      </c>
      <c r="H234" s="208">
        <v>76198.56</v>
      </c>
      <c r="I234" s="209">
        <f t="shared" si="36"/>
        <v>4651922.088</v>
      </c>
      <c r="J234" s="34" t="s">
        <v>120</v>
      </c>
      <c r="K234" s="35" t="s">
        <v>148</v>
      </c>
      <c r="L234" s="43"/>
      <c r="M234" s="44"/>
      <c r="N234" s="41"/>
      <c r="O234" s="214">
        <v>83.02</v>
      </c>
      <c r="P234" s="215">
        <f t="shared" si="37"/>
        <v>5068.371</v>
      </c>
      <c r="Q234" s="224"/>
      <c r="R234" s="224"/>
      <c r="S234" s="224"/>
      <c r="T234" s="224"/>
      <c r="U234" s="225"/>
    </row>
    <row r="235" spans="1:21">
      <c r="A235" s="44">
        <f t="shared" si="38"/>
        <v>231</v>
      </c>
      <c r="B235" s="72">
        <v>46121</v>
      </c>
      <c r="C235" s="207">
        <v>8612786</v>
      </c>
      <c r="D235" s="28">
        <v>73173429</v>
      </c>
      <c r="E235" s="29">
        <v>60.55</v>
      </c>
      <c r="F235" s="42">
        <v>990.01</v>
      </c>
      <c r="G235" s="30">
        <f t="shared" si="35"/>
        <v>59945.1055</v>
      </c>
      <c r="H235" s="208">
        <v>76198.56</v>
      </c>
      <c r="I235" s="209">
        <f t="shared" si="36"/>
        <v>4613822.808</v>
      </c>
      <c r="J235" s="34" t="s">
        <v>120</v>
      </c>
      <c r="K235" s="35" t="s">
        <v>148</v>
      </c>
      <c r="L235" s="43"/>
      <c r="M235" s="44"/>
      <c r="N235" s="41"/>
      <c r="O235" s="214">
        <v>83.02</v>
      </c>
      <c r="P235" s="215">
        <f t="shared" si="37"/>
        <v>5026.861</v>
      </c>
      <c r="Q235" s="224"/>
      <c r="R235" s="224"/>
      <c r="S235" s="224"/>
      <c r="T235" s="224"/>
      <c r="U235" s="225"/>
    </row>
    <row r="236" spans="1:21">
      <c r="A236" s="44">
        <f t="shared" si="38"/>
        <v>232</v>
      </c>
      <c r="B236" s="72">
        <v>46121</v>
      </c>
      <c r="C236" s="207">
        <v>8612792</v>
      </c>
      <c r="D236" s="28">
        <v>73220006</v>
      </c>
      <c r="E236" s="29">
        <v>61.05</v>
      </c>
      <c r="F236" s="30">
        <v>990.01</v>
      </c>
      <c r="G236" s="30">
        <f t="shared" si="35"/>
        <v>60440.1105</v>
      </c>
      <c r="H236" s="208">
        <v>76198.56</v>
      </c>
      <c r="I236" s="209">
        <f t="shared" si="36"/>
        <v>4651922.088</v>
      </c>
      <c r="J236" s="34" t="s">
        <v>120</v>
      </c>
      <c r="K236" s="35" t="s">
        <v>148</v>
      </c>
      <c r="L236" s="43"/>
      <c r="M236" s="44"/>
      <c r="N236" s="41"/>
      <c r="O236" s="214">
        <v>83.02</v>
      </c>
      <c r="P236" s="215">
        <f t="shared" si="37"/>
        <v>5068.371</v>
      </c>
      <c r="Q236" s="224"/>
      <c r="R236" s="224"/>
      <c r="S236" s="224"/>
      <c r="T236" s="224"/>
      <c r="U236" s="225"/>
    </row>
    <row r="237" spans="1:21">
      <c r="A237" s="44">
        <f t="shared" si="38"/>
        <v>233</v>
      </c>
      <c r="B237" s="72">
        <v>46121</v>
      </c>
      <c r="C237" s="207">
        <v>8612792</v>
      </c>
      <c r="D237" s="28">
        <v>73224941</v>
      </c>
      <c r="E237" s="29">
        <v>61.15</v>
      </c>
      <c r="F237" s="42">
        <v>990.01</v>
      </c>
      <c r="G237" s="30">
        <f t="shared" si="35"/>
        <v>60539.1115</v>
      </c>
      <c r="H237" s="208">
        <v>76198.56</v>
      </c>
      <c r="I237" s="209">
        <f t="shared" si="36"/>
        <v>4659541.944</v>
      </c>
      <c r="J237" s="34" t="s">
        <v>120</v>
      </c>
      <c r="K237" s="35" t="s">
        <v>148</v>
      </c>
      <c r="L237" s="43"/>
      <c r="M237" s="44"/>
      <c r="N237" s="41"/>
      <c r="O237" s="214">
        <v>83.02</v>
      </c>
      <c r="P237" s="215">
        <f t="shared" si="37"/>
        <v>5076.673</v>
      </c>
      <c r="Q237" s="224"/>
      <c r="R237" s="224"/>
      <c r="S237" s="224"/>
      <c r="T237" s="224"/>
      <c r="U237" s="225"/>
    </row>
    <row r="238" spans="1:21">
      <c r="A238" s="44">
        <f t="shared" si="38"/>
        <v>234</v>
      </c>
      <c r="B238" s="72">
        <v>46121</v>
      </c>
      <c r="C238" s="207">
        <v>8612792</v>
      </c>
      <c r="D238" s="28">
        <v>75224253</v>
      </c>
      <c r="E238" s="29">
        <v>61.6</v>
      </c>
      <c r="F238" s="42">
        <v>990.01</v>
      </c>
      <c r="G238" s="30">
        <f t="shared" si="35"/>
        <v>60984.616</v>
      </c>
      <c r="H238" s="208">
        <v>76198.56</v>
      </c>
      <c r="I238" s="209">
        <f t="shared" si="36"/>
        <v>4693831.296</v>
      </c>
      <c r="J238" s="34" t="s">
        <v>120</v>
      </c>
      <c r="K238" s="35" t="s">
        <v>148</v>
      </c>
      <c r="L238" s="43"/>
      <c r="M238" s="44"/>
      <c r="N238" s="41"/>
      <c r="O238" s="214">
        <v>83.02</v>
      </c>
      <c r="P238" s="215">
        <f t="shared" si="37"/>
        <v>5114.032</v>
      </c>
      <c r="Q238" s="224"/>
      <c r="R238" s="224"/>
      <c r="S238" s="224"/>
      <c r="T238" s="224"/>
      <c r="U238" s="225"/>
    </row>
    <row r="239" spans="1:21">
      <c r="A239" s="44">
        <f t="shared" si="38"/>
        <v>235</v>
      </c>
      <c r="B239" s="72">
        <v>46121</v>
      </c>
      <c r="C239" s="207">
        <v>8612792</v>
      </c>
      <c r="D239" s="28">
        <v>75225904</v>
      </c>
      <c r="E239" s="29">
        <v>61.4</v>
      </c>
      <c r="F239" s="30">
        <v>990.01</v>
      </c>
      <c r="G239" s="30">
        <f t="shared" si="35"/>
        <v>60786.614</v>
      </c>
      <c r="H239" s="208">
        <v>76198.56</v>
      </c>
      <c r="I239" s="209">
        <f t="shared" si="36"/>
        <v>4678591.584</v>
      </c>
      <c r="J239" s="34" t="s">
        <v>120</v>
      </c>
      <c r="K239" s="35" t="s">
        <v>148</v>
      </c>
      <c r="L239" s="43"/>
      <c r="M239" s="44"/>
      <c r="N239" s="41"/>
      <c r="O239" s="214">
        <v>83.02</v>
      </c>
      <c r="P239" s="215">
        <f t="shared" si="37"/>
        <v>5097.428</v>
      </c>
      <c r="Q239" s="224"/>
      <c r="R239" s="224"/>
      <c r="S239" s="224"/>
      <c r="T239" s="224"/>
      <c r="U239" s="225"/>
    </row>
    <row r="240" spans="1:21">
      <c r="A240" s="44">
        <f t="shared" si="38"/>
        <v>236</v>
      </c>
      <c r="B240" s="72">
        <v>46121</v>
      </c>
      <c r="C240" s="207">
        <v>8612792</v>
      </c>
      <c r="D240" s="28">
        <v>75226860</v>
      </c>
      <c r="E240" s="29">
        <v>61.4</v>
      </c>
      <c r="F240" s="42">
        <v>990.01</v>
      </c>
      <c r="G240" s="30">
        <f t="shared" si="35"/>
        <v>60786.614</v>
      </c>
      <c r="H240" s="208">
        <v>76198.56</v>
      </c>
      <c r="I240" s="209">
        <f t="shared" si="36"/>
        <v>4678591.584</v>
      </c>
      <c r="J240" s="34" t="s">
        <v>120</v>
      </c>
      <c r="K240" s="35" t="s">
        <v>148</v>
      </c>
      <c r="L240" s="43"/>
      <c r="M240" s="44"/>
      <c r="N240" s="41"/>
      <c r="O240" s="214">
        <v>83.02</v>
      </c>
      <c r="P240" s="215">
        <f t="shared" si="37"/>
        <v>5097.428</v>
      </c>
      <c r="Q240" s="224"/>
      <c r="R240" s="224"/>
      <c r="S240" s="224"/>
      <c r="T240" s="224"/>
      <c r="U240" s="225"/>
    </row>
    <row r="241" spans="1:21">
      <c r="A241" s="44">
        <f t="shared" si="38"/>
        <v>237</v>
      </c>
      <c r="B241" s="72">
        <v>46121</v>
      </c>
      <c r="C241" s="207">
        <v>8612792</v>
      </c>
      <c r="D241" s="28">
        <v>76163591</v>
      </c>
      <c r="E241" s="29">
        <v>61.4</v>
      </c>
      <c r="F241" s="42">
        <v>990.01</v>
      </c>
      <c r="G241" s="30">
        <f t="shared" si="35"/>
        <v>60786.614</v>
      </c>
      <c r="H241" s="208">
        <v>76198.56</v>
      </c>
      <c r="I241" s="209">
        <f t="shared" si="36"/>
        <v>4678591.584</v>
      </c>
      <c r="J241" s="34" t="s">
        <v>120</v>
      </c>
      <c r="K241" s="35" t="s">
        <v>148</v>
      </c>
      <c r="L241" s="43"/>
      <c r="M241" s="44"/>
      <c r="N241" s="41"/>
      <c r="O241" s="214">
        <v>83.02</v>
      </c>
      <c r="P241" s="215">
        <f t="shared" si="37"/>
        <v>5097.428</v>
      </c>
      <c r="Q241" s="224"/>
      <c r="R241" s="224"/>
      <c r="S241" s="224"/>
      <c r="T241" s="224"/>
      <c r="U241" s="225"/>
    </row>
    <row r="242" ht="15.75" spans="1:21">
      <c r="A242" s="51">
        <f t="shared" si="38"/>
        <v>238</v>
      </c>
      <c r="B242" s="157">
        <v>46121</v>
      </c>
      <c r="C242" s="226">
        <v>8612792</v>
      </c>
      <c r="D242" s="158">
        <v>76173095</v>
      </c>
      <c r="E242" s="162">
        <v>61.4</v>
      </c>
      <c r="F242" s="30">
        <v>990.01</v>
      </c>
      <c r="G242" s="227">
        <f t="shared" si="35"/>
        <v>60786.614</v>
      </c>
      <c r="H242" s="208">
        <v>76198.56</v>
      </c>
      <c r="I242" s="228">
        <f t="shared" si="36"/>
        <v>4678591.584</v>
      </c>
      <c r="J242" s="165" t="s">
        <v>120</v>
      </c>
      <c r="K242" s="166" t="s">
        <v>148</v>
      </c>
      <c r="L242" s="83"/>
      <c r="M242" s="51"/>
      <c r="N242" s="52"/>
      <c r="O242" s="219">
        <v>83.02</v>
      </c>
      <c r="P242" s="220">
        <f t="shared" si="37"/>
        <v>5097.428</v>
      </c>
      <c r="Q242" s="229"/>
      <c r="R242" s="229"/>
      <c r="S242" s="229"/>
      <c r="T242" s="229"/>
      <c r="U242" s="230"/>
    </row>
    <row r="243" spans="1:21">
      <c r="A243" s="37">
        <v>239</v>
      </c>
      <c r="B243" s="115">
        <v>46129</v>
      </c>
      <c r="C243" s="232">
        <v>8612948</v>
      </c>
      <c r="D243" s="177">
        <v>50082510</v>
      </c>
      <c r="E243" s="178">
        <v>60.1</v>
      </c>
      <c r="F243" s="42">
        <v>990.01</v>
      </c>
      <c r="G243" s="181">
        <f t="shared" ref="G243:G255" si="39">E243*F243</f>
        <v>59499.601</v>
      </c>
      <c r="H243" s="208">
        <v>76198.56</v>
      </c>
      <c r="I243" s="233">
        <f t="shared" ref="I243:I255" si="40">E243*H243</f>
        <v>4579533.456</v>
      </c>
      <c r="J243" s="121" t="s">
        <v>120</v>
      </c>
      <c r="K243" s="234" t="s">
        <v>148</v>
      </c>
      <c r="L243" s="36"/>
      <c r="M243" s="37"/>
      <c r="N243" s="38"/>
      <c r="O243" s="212">
        <v>83.02</v>
      </c>
      <c r="P243" s="213">
        <f t="shared" ref="P243:P255" si="41">E243*O243</f>
        <v>4989.502</v>
      </c>
      <c r="Q243" s="222"/>
      <c r="R243" s="222"/>
      <c r="S243" s="222"/>
      <c r="T243" s="222"/>
      <c r="U243" s="223"/>
    </row>
    <row r="244" spans="1:21">
      <c r="A244" s="44">
        <f t="shared" ref="A244:A255" si="42">A243+1</f>
        <v>240</v>
      </c>
      <c r="B244" s="72">
        <v>46129</v>
      </c>
      <c r="C244" s="207">
        <v>8612955</v>
      </c>
      <c r="D244" s="28">
        <v>50946094</v>
      </c>
      <c r="E244" s="29">
        <v>59.45</v>
      </c>
      <c r="F244" s="42">
        <v>990.01</v>
      </c>
      <c r="G244" s="30">
        <f t="shared" si="39"/>
        <v>58856.0945</v>
      </c>
      <c r="H244" s="208">
        <v>76198.56</v>
      </c>
      <c r="I244" s="209">
        <f t="shared" si="40"/>
        <v>4530004.392</v>
      </c>
      <c r="J244" s="34" t="s">
        <v>120</v>
      </c>
      <c r="K244" s="35" t="s">
        <v>148</v>
      </c>
      <c r="L244" s="43"/>
      <c r="M244" s="44"/>
      <c r="N244" s="41"/>
      <c r="O244" s="214">
        <v>83.02</v>
      </c>
      <c r="P244" s="215">
        <f t="shared" si="41"/>
        <v>4935.539</v>
      </c>
      <c r="Q244" s="224"/>
      <c r="R244" s="224"/>
      <c r="S244" s="224"/>
      <c r="T244" s="224"/>
      <c r="U244" s="225"/>
    </row>
    <row r="245" spans="1:21">
      <c r="A245" s="44">
        <f t="shared" si="42"/>
        <v>241</v>
      </c>
      <c r="B245" s="72">
        <v>46129</v>
      </c>
      <c r="C245" s="207">
        <v>8612950</v>
      </c>
      <c r="D245" s="28">
        <v>51707586</v>
      </c>
      <c r="E245" s="29">
        <v>50.95</v>
      </c>
      <c r="F245" s="30">
        <v>990.01</v>
      </c>
      <c r="G245" s="30">
        <f t="shared" si="39"/>
        <v>50441.0095</v>
      </c>
      <c r="H245" s="208">
        <v>76198.56</v>
      </c>
      <c r="I245" s="209">
        <f t="shared" si="40"/>
        <v>3882316.632</v>
      </c>
      <c r="J245" s="34" t="s">
        <v>120</v>
      </c>
      <c r="K245" s="35" t="s">
        <v>148</v>
      </c>
      <c r="L245" s="43"/>
      <c r="M245" s="44"/>
      <c r="N245" s="41"/>
      <c r="O245" s="214">
        <v>83.02</v>
      </c>
      <c r="P245" s="215">
        <f t="shared" si="41"/>
        <v>4229.869</v>
      </c>
      <c r="Q245" s="224"/>
      <c r="R245" s="224"/>
      <c r="S245" s="224"/>
      <c r="T245" s="224"/>
      <c r="U245" s="225"/>
    </row>
    <row r="246" spans="1:21">
      <c r="A246" s="44">
        <f t="shared" si="42"/>
        <v>242</v>
      </c>
      <c r="B246" s="72">
        <v>46129</v>
      </c>
      <c r="C246" s="207">
        <v>8612946</v>
      </c>
      <c r="D246" s="28">
        <v>53888376</v>
      </c>
      <c r="E246" s="29">
        <v>59.6</v>
      </c>
      <c r="F246" s="42">
        <v>990.01</v>
      </c>
      <c r="G246" s="30">
        <f t="shared" si="39"/>
        <v>59004.596</v>
      </c>
      <c r="H246" s="208">
        <v>76198.56</v>
      </c>
      <c r="I246" s="209">
        <f t="shared" si="40"/>
        <v>4541434.176</v>
      </c>
      <c r="J246" s="34" t="s">
        <v>120</v>
      </c>
      <c r="K246" s="35" t="s">
        <v>148</v>
      </c>
      <c r="L246" s="43"/>
      <c r="M246" s="44"/>
      <c r="N246" s="41"/>
      <c r="O246" s="214">
        <v>83.02</v>
      </c>
      <c r="P246" s="215">
        <f t="shared" si="41"/>
        <v>4947.992</v>
      </c>
      <c r="Q246" s="224"/>
      <c r="R246" s="224"/>
      <c r="S246" s="224"/>
      <c r="T246" s="224"/>
      <c r="U246" s="225"/>
    </row>
    <row r="247" spans="1:21">
      <c r="A247" s="44">
        <f t="shared" si="42"/>
        <v>243</v>
      </c>
      <c r="B247" s="72">
        <v>46129</v>
      </c>
      <c r="C247" s="207">
        <v>8612949</v>
      </c>
      <c r="D247" s="28">
        <v>54244546</v>
      </c>
      <c r="E247" s="29">
        <v>59.9</v>
      </c>
      <c r="F247" s="42">
        <v>990.01</v>
      </c>
      <c r="G247" s="30">
        <f t="shared" si="39"/>
        <v>59301.599</v>
      </c>
      <c r="H247" s="208">
        <v>76198.56</v>
      </c>
      <c r="I247" s="209">
        <f t="shared" si="40"/>
        <v>4564293.744</v>
      </c>
      <c r="J247" s="34" t="s">
        <v>120</v>
      </c>
      <c r="K247" s="35" t="s">
        <v>148</v>
      </c>
      <c r="L247" s="43"/>
      <c r="M247" s="44"/>
      <c r="N247" s="41"/>
      <c r="O247" s="214">
        <v>83.02</v>
      </c>
      <c r="P247" s="215">
        <f t="shared" si="41"/>
        <v>4972.898</v>
      </c>
      <c r="Q247" s="224"/>
      <c r="R247" s="224"/>
      <c r="S247" s="224"/>
      <c r="T247" s="224"/>
      <c r="U247" s="225"/>
    </row>
    <row r="248" spans="1:21">
      <c r="A248" s="44">
        <f t="shared" si="42"/>
        <v>244</v>
      </c>
      <c r="B248" s="72">
        <v>46129</v>
      </c>
      <c r="C248" s="207">
        <v>8612942</v>
      </c>
      <c r="D248" s="28">
        <v>55344592</v>
      </c>
      <c r="E248" s="29">
        <v>60.15</v>
      </c>
      <c r="F248" s="30">
        <v>990.01</v>
      </c>
      <c r="G248" s="30">
        <f t="shared" si="39"/>
        <v>59549.1015</v>
      </c>
      <c r="H248" s="208">
        <v>76198.56</v>
      </c>
      <c r="I248" s="209">
        <f t="shared" si="40"/>
        <v>4583343.384</v>
      </c>
      <c r="J248" s="34" t="s">
        <v>120</v>
      </c>
      <c r="K248" s="35" t="s">
        <v>148</v>
      </c>
      <c r="L248" s="43"/>
      <c r="M248" s="44"/>
      <c r="N248" s="41"/>
      <c r="O248" s="214">
        <v>83.02</v>
      </c>
      <c r="P248" s="215">
        <f t="shared" si="41"/>
        <v>4993.653</v>
      </c>
      <c r="Q248" s="224"/>
      <c r="R248" s="224"/>
      <c r="S248" s="224"/>
      <c r="T248" s="224"/>
      <c r="U248" s="225"/>
    </row>
    <row r="249" spans="1:21">
      <c r="A249" s="44">
        <f t="shared" si="42"/>
        <v>245</v>
      </c>
      <c r="B249" s="72">
        <v>46129</v>
      </c>
      <c r="C249" s="207">
        <v>8612947</v>
      </c>
      <c r="D249" s="28">
        <v>57191827</v>
      </c>
      <c r="E249" s="29">
        <v>59.65</v>
      </c>
      <c r="F249" s="42">
        <v>990.01</v>
      </c>
      <c r="G249" s="30">
        <f t="shared" si="39"/>
        <v>59054.0965</v>
      </c>
      <c r="H249" s="208">
        <v>76198.56</v>
      </c>
      <c r="I249" s="209">
        <f t="shared" si="40"/>
        <v>4545244.104</v>
      </c>
      <c r="J249" s="34" t="s">
        <v>120</v>
      </c>
      <c r="K249" s="35" t="s">
        <v>148</v>
      </c>
      <c r="L249" s="43"/>
      <c r="M249" s="44"/>
      <c r="N249" s="41"/>
      <c r="O249" s="214">
        <v>83.02</v>
      </c>
      <c r="P249" s="215">
        <f t="shared" si="41"/>
        <v>4952.143</v>
      </c>
      <c r="Q249" s="224"/>
      <c r="R249" s="224"/>
      <c r="S249" s="224"/>
      <c r="T249" s="224"/>
      <c r="U249" s="225"/>
    </row>
    <row r="250" spans="1:21">
      <c r="A250" s="44">
        <f t="shared" si="42"/>
        <v>246</v>
      </c>
      <c r="B250" s="72">
        <v>46129</v>
      </c>
      <c r="C250" s="207">
        <v>8612945</v>
      </c>
      <c r="D250" s="28">
        <v>57391450</v>
      </c>
      <c r="E250" s="29">
        <v>59.65</v>
      </c>
      <c r="F250" s="42">
        <v>990.01</v>
      </c>
      <c r="G250" s="30">
        <f t="shared" si="39"/>
        <v>59054.0965</v>
      </c>
      <c r="H250" s="208">
        <v>76198.56</v>
      </c>
      <c r="I250" s="209">
        <f t="shared" si="40"/>
        <v>4545244.104</v>
      </c>
      <c r="J250" s="34" t="s">
        <v>120</v>
      </c>
      <c r="K250" s="35" t="s">
        <v>148</v>
      </c>
      <c r="L250" s="43"/>
      <c r="M250" s="44"/>
      <c r="N250" s="41"/>
      <c r="O250" s="214">
        <v>83.02</v>
      </c>
      <c r="P250" s="215">
        <f t="shared" si="41"/>
        <v>4952.143</v>
      </c>
      <c r="Q250" s="224"/>
      <c r="R250" s="224"/>
      <c r="S250" s="224"/>
      <c r="T250" s="224"/>
      <c r="U250" s="225"/>
    </row>
    <row r="251" spans="1:21">
      <c r="A251" s="44">
        <f t="shared" si="42"/>
        <v>247</v>
      </c>
      <c r="B251" s="72">
        <v>46129</v>
      </c>
      <c r="C251" s="207">
        <v>8612952</v>
      </c>
      <c r="D251" s="28">
        <v>73178113</v>
      </c>
      <c r="E251" s="29">
        <v>59.95</v>
      </c>
      <c r="F251" s="30">
        <v>990.01</v>
      </c>
      <c r="G251" s="30">
        <f t="shared" si="39"/>
        <v>59351.0995</v>
      </c>
      <c r="H251" s="208">
        <v>76198.56</v>
      </c>
      <c r="I251" s="209">
        <f t="shared" si="40"/>
        <v>4568103.672</v>
      </c>
      <c r="J251" s="34" t="s">
        <v>120</v>
      </c>
      <c r="K251" s="35" t="s">
        <v>148</v>
      </c>
      <c r="L251" s="43"/>
      <c r="M251" s="44"/>
      <c r="N251" s="41"/>
      <c r="O251" s="214">
        <v>83.02</v>
      </c>
      <c r="P251" s="215">
        <f t="shared" si="41"/>
        <v>4977.049</v>
      </c>
      <c r="Q251" s="224"/>
      <c r="R251" s="224"/>
      <c r="S251" s="224"/>
      <c r="T251" s="224"/>
      <c r="U251" s="225"/>
    </row>
    <row r="252" spans="1:21">
      <c r="A252" s="44">
        <f t="shared" si="42"/>
        <v>248</v>
      </c>
      <c r="B252" s="72">
        <v>46129</v>
      </c>
      <c r="C252" s="207">
        <v>8612951</v>
      </c>
      <c r="D252" s="28">
        <v>73186835</v>
      </c>
      <c r="E252" s="29">
        <v>59.9</v>
      </c>
      <c r="F252" s="42">
        <v>990.01</v>
      </c>
      <c r="G252" s="30">
        <f t="shared" si="39"/>
        <v>59301.599</v>
      </c>
      <c r="H252" s="208">
        <v>76198.56</v>
      </c>
      <c r="I252" s="209">
        <f t="shared" si="40"/>
        <v>4564293.744</v>
      </c>
      <c r="J252" s="34" t="s">
        <v>120</v>
      </c>
      <c r="K252" s="35" t="s">
        <v>148</v>
      </c>
      <c r="L252" s="43"/>
      <c r="M252" s="44"/>
      <c r="N252" s="41"/>
      <c r="O252" s="214">
        <v>83.02</v>
      </c>
      <c r="P252" s="215">
        <f t="shared" si="41"/>
        <v>4972.898</v>
      </c>
      <c r="Q252" s="224"/>
      <c r="R252" s="224"/>
      <c r="S252" s="224"/>
      <c r="T252" s="224"/>
      <c r="U252" s="225"/>
    </row>
    <row r="253" spans="1:21">
      <c r="A253" s="44">
        <f t="shared" si="42"/>
        <v>249</v>
      </c>
      <c r="B253" s="72">
        <v>46129</v>
      </c>
      <c r="C253" s="207">
        <v>8612954</v>
      </c>
      <c r="D253" s="28">
        <v>74942434</v>
      </c>
      <c r="E253" s="29">
        <v>59.95</v>
      </c>
      <c r="F253" s="42">
        <v>990.01</v>
      </c>
      <c r="G253" s="30">
        <f t="shared" si="39"/>
        <v>59351.0995</v>
      </c>
      <c r="H253" s="208">
        <v>76198.56</v>
      </c>
      <c r="I253" s="209">
        <f t="shared" si="40"/>
        <v>4568103.672</v>
      </c>
      <c r="J253" s="34" t="s">
        <v>120</v>
      </c>
      <c r="K253" s="35" t="s">
        <v>148</v>
      </c>
      <c r="L253" s="43"/>
      <c r="M253" s="44"/>
      <c r="N253" s="41"/>
      <c r="O253" s="214">
        <v>83.02</v>
      </c>
      <c r="P253" s="215">
        <f t="shared" si="41"/>
        <v>4977.049</v>
      </c>
      <c r="Q253" s="224"/>
      <c r="R253" s="224"/>
      <c r="S253" s="224"/>
      <c r="T253" s="224"/>
      <c r="U253" s="225"/>
    </row>
    <row r="254" spans="1:21">
      <c r="A254" s="44">
        <f t="shared" si="42"/>
        <v>250</v>
      </c>
      <c r="B254" s="72">
        <v>46129</v>
      </c>
      <c r="C254" s="207">
        <v>8612956</v>
      </c>
      <c r="D254" s="28">
        <v>75132902</v>
      </c>
      <c r="E254" s="29">
        <v>59.9</v>
      </c>
      <c r="F254" s="30">
        <v>990.01</v>
      </c>
      <c r="G254" s="30">
        <f t="shared" si="39"/>
        <v>59301.599</v>
      </c>
      <c r="H254" s="208">
        <v>76198.56</v>
      </c>
      <c r="I254" s="209">
        <f t="shared" si="40"/>
        <v>4564293.744</v>
      </c>
      <c r="J254" s="34" t="s">
        <v>120</v>
      </c>
      <c r="K254" s="35" t="s">
        <v>148</v>
      </c>
      <c r="L254" s="43"/>
      <c r="M254" s="44"/>
      <c r="N254" s="41"/>
      <c r="O254" s="214">
        <v>83.02</v>
      </c>
      <c r="P254" s="215">
        <f t="shared" si="41"/>
        <v>4972.898</v>
      </c>
      <c r="Q254" s="224"/>
      <c r="R254" s="224"/>
      <c r="S254" s="224"/>
      <c r="T254" s="224"/>
      <c r="U254" s="225"/>
    </row>
    <row r="255" ht="15.75" spans="1:21">
      <c r="A255" s="51">
        <f t="shared" si="42"/>
        <v>251</v>
      </c>
      <c r="B255" s="157">
        <v>46129</v>
      </c>
      <c r="C255" s="226">
        <v>8612953</v>
      </c>
      <c r="D255" s="158">
        <v>75224048</v>
      </c>
      <c r="E255" s="162">
        <v>60.45</v>
      </c>
      <c r="F255" s="42">
        <v>990.01</v>
      </c>
      <c r="G255" s="227">
        <f t="shared" si="39"/>
        <v>59846.1045</v>
      </c>
      <c r="H255" s="208">
        <v>76198.56</v>
      </c>
      <c r="I255" s="228">
        <f t="shared" si="40"/>
        <v>4606202.952</v>
      </c>
      <c r="J255" s="165" t="s">
        <v>120</v>
      </c>
      <c r="K255" s="166" t="s">
        <v>148</v>
      </c>
      <c r="L255" s="83"/>
      <c r="M255" s="51"/>
      <c r="N255" s="52"/>
      <c r="O255" s="219">
        <v>83.02</v>
      </c>
      <c r="P255" s="220">
        <f t="shared" si="41"/>
        <v>5018.559</v>
      </c>
      <c r="Q255" s="229"/>
      <c r="R255" s="229"/>
      <c r="S255" s="229"/>
      <c r="T255" s="229"/>
      <c r="U255" s="230"/>
    </row>
    <row r="256" ht="15.75" spans="1:21">
      <c r="A256" s="255"/>
      <c r="B256" s="256"/>
      <c r="C256" s="256"/>
      <c r="D256" s="256"/>
      <c r="E256" s="257">
        <f>SUM(E243:E255)</f>
        <v>769.6</v>
      </c>
      <c r="F256" s="257"/>
      <c r="G256" s="257">
        <f>SUM(G5:G255)</f>
        <v>14817430.1695</v>
      </c>
      <c r="H256" s="257"/>
      <c r="I256" s="257">
        <f>SUM(I5:I255)</f>
        <v>1140460037.592</v>
      </c>
      <c r="J256" s="257"/>
      <c r="K256" s="258"/>
      <c r="L256" s="259"/>
      <c r="M256" s="260"/>
      <c r="N256" s="257"/>
      <c r="O256" s="257"/>
      <c r="P256" s="257">
        <f>SUM(P243:P255)</f>
        <v>63892.192</v>
      </c>
      <c r="Q256" s="257"/>
      <c r="R256" s="257"/>
      <c r="S256" s="257"/>
      <c r="T256" s="257"/>
      <c r="U256" s="261"/>
    </row>
  </sheetData>
  <mergeCells count="3">
    <mergeCell ref="A1:K1"/>
    <mergeCell ref="A2:K2"/>
    <mergeCell ref="T1:U2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80"/>
  <sheetViews>
    <sheetView workbookViewId="0">
      <selection activeCell="H5" sqref="H5"/>
    </sheetView>
  </sheetViews>
  <sheetFormatPr defaultColWidth="9.14285714285714" defaultRowHeight="15"/>
  <cols>
    <col min="1" max="1" width="7.14285714285714" style="1" customWidth="1"/>
    <col min="2" max="2" width="11.2857142857143" style="1" customWidth="1"/>
    <col min="3" max="4" width="9.57142857142857" style="1"/>
    <col min="5" max="5" width="12.4285714285714" style="1" customWidth="1"/>
    <col min="6" max="6" width="10.2857142857143" style="1" customWidth="1"/>
    <col min="7" max="7" width="16.8571428571429" style="1" customWidth="1"/>
    <col min="8" max="8" width="20.4285714285714" style="1" customWidth="1"/>
    <col min="9" max="9" width="18.8571428571429" style="1" customWidth="1"/>
    <col min="10" max="10" width="16.5714285714286" style="1" customWidth="1"/>
    <col min="11" max="11" width="11.1428571428571" style="1" customWidth="1"/>
    <col min="12" max="12" width="15" style="1" customWidth="1"/>
    <col min="13" max="13" width="9.14285714285714" style="1"/>
    <col min="14" max="14" width="6.42857142857143" style="1" customWidth="1"/>
    <col min="15" max="15" width="9.14285714285714" style="1"/>
    <col min="16" max="16" width="6.85714285714286" style="1" customWidth="1"/>
    <col min="17" max="19" width="9.14285714285714" style="1"/>
    <col min="20" max="20" width="11.1428571428571" style="1" customWidth="1"/>
    <col min="21" max="16384" width="9.14285714285714" style="1"/>
  </cols>
  <sheetData>
    <row r="1" spans="1:21">
      <c r="A1" s="2" t="s">
        <v>102</v>
      </c>
      <c r="L1" s="3"/>
      <c r="M1" s="3"/>
      <c r="N1" s="3"/>
      <c r="O1" s="3"/>
      <c r="P1" s="3"/>
      <c r="T1" s="4" t="s">
        <v>103</v>
      </c>
      <c r="U1" s="4"/>
    </row>
    <row r="2" spans="1:21">
      <c r="A2" s="2" t="s">
        <v>149</v>
      </c>
      <c r="L2" s="5"/>
      <c r="M2" s="5"/>
      <c r="N2" s="5"/>
      <c r="O2" s="5"/>
      <c r="P2" s="5"/>
      <c r="T2" s="4"/>
      <c r="U2" s="4"/>
    </row>
    <row r="3" ht="21" customHeight="1" spans="1:21">
      <c r="A3" s="2"/>
      <c r="G3" s="154" t="s">
        <v>150</v>
      </c>
      <c r="L3" s="5"/>
      <c r="M3" s="5"/>
      <c r="N3" s="5"/>
      <c r="O3" s="5"/>
      <c r="P3" s="5"/>
      <c r="T3" s="155" t="s">
        <v>151</v>
      </c>
      <c r="U3" s="4"/>
    </row>
    <row r="4" ht="15.75" spans="1:21">
      <c r="F4" s="6" t="s">
        <v>152</v>
      </c>
      <c r="H4" s="7"/>
      <c r="I4" s="7"/>
      <c r="L4" s="8"/>
      <c r="M4" s="9"/>
      <c r="N4" s="9"/>
      <c r="O4" s="10"/>
      <c r="P4" s="10"/>
    </row>
    <row r="5" ht="72" spans="1:21">
      <c r="A5" s="12" t="s">
        <v>106</v>
      </c>
      <c r="B5" s="13" t="s">
        <v>3</v>
      </c>
      <c r="C5" s="14" t="s">
        <v>107</v>
      </c>
      <c r="D5" s="13" t="s">
        <v>108</v>
      </c>
      <c r="E5" s="13" t="s">
        <v>109</v>
      </c>
      <c r="F5" s="15" t="s">
        <v>153</v>
      </c>
      <c r="G5" s="15" t="s">
        <v>90</v>
      </c>
      <c r="H5" s="16" t="s">
        <v>111</v>
      </c>
      <c r="I5" s="16" t="s">
        <v>90</v>
      </c>
      <c r="J5" s="13" t="s">
        <v>112</v>
      </c>
      <c r="K5" s="17" t="s">
        <v>113</v>
      </c>
      <c r="L5" s="18"/>
      <c r="M5" s="19" t="s">
        <v>146</v>
      </c>
      <c r="N5" s="20" t="s">
        <v>90</v>
      </c>
      <c r="O5" s="21" t="s">
        <v>147</v>
      </c>
      <c r="P5" s="22" t="s">
        <v>90</v>
      </c>
      <c r="Q5" s="23" t="s">
        <v>115</v>
      </c>
      <c r="R5" s="24" t="s">
        <v>116</v>
      </c>
      <c r="S5" s="24" t="s">
        <v>117</v>
      </c>
      <c r="T5" s="24" t="s">
        <v>118</v>
      </c>
      <c r="U5" s="25" t="s">
        <v>119</v>
      </c>
    </row>
    <row r="6" ht="15.75" customHeight="1" spans="1:21">
      <c r="A6" s="26">
        <v>1</v>
      </c>
      <c r="B6" s="27">
        <v>46137</v>
      </c>
      <c r="C6" s="107">
        <v>40000334</v>
      </c>
      <c r="D6" s="107">
        <v>50913581</v>
      </c>
      <c r="E6" s="108">
        <v>59.2</v>
      </c>
      <c r="F6" s="30">
        <f>'[4]Platt''s 2026'!V33-44</f>
        <v>1016.0125</v>
      </c>
      <c r="G6" s="31">
        <f>E6*F6</f>
        <v>60147.94</v>
      </c>
      <c r="H6" s="156">
        <v>76.8898</v>
      </c>
      <c r="I6" s="33">
        <f>E6*H6</f>
        <v>4551.87616</v>
      </c>
      <c r="J6" s="34" t="s">
        <v>120</v>
      </c>
      <c r="K6" s="35" t="s">
        <v>148</v>
      </c>
      <c r="L6" s="36"/>
      <c r="M6" s="40"/>
      <c r="N6" s="38"/>
      <c r="O6" s="38"/>
      <c r="P6" s="38"/>
      <c r="Q6" s="38"/>
      <c r="R6" s="38"/>
      <c r="S6" s="38"/>
      <c r="T6" s="38"/>
      <c r="U6" s="39"/>
    </row>
    <row r="7" ht="15.75" customHeight="1" spans="1:21">
      <c r="A7" s="44">
        <f>A6+1</f>
        <v>2</v>
      </c>
      <c r="B7" s="72">
        <v>46137</v>
      </c>
      <c r="C7" s="28">
        <v>40000335</v>
      </c>
      <c r="D7" s="28">
        <v>51513158</v>
      </c>
      <c r="E7" s="29">
        <v>50.05</v>
      </c>
      <c r="F7" s="42">
        <v>1016.01</v>
      </c>
      <c r="G7" s="31">
        <f>E7*F7</f>
        <v>50851.3005</v>
      </c>
      <c r="H7" s="156">
        <v>76.8898</v>
      </c>
      <c r="I7" s="33">
        <f>E7*H7</f>
        <v>3848.33449</v>
      </c>
      <c r="J7" s="34" t="s">
        <v>120</v>
      </c>
      <c r="K7" s="35" t="s">
        <v>148</v>
      </c>
      <c r="L7" s="43"/>
      <c r="M7" s="46"/>
      <c r="N7" s="41">
        <f>F6*H6</f>
        <v>78120.9979225</v>
      </c>
      <c r="O7" s="41"/>
      <c r="P7" s="41"/>
      <c r="Q7" s="41"/>
      <c r="R7" s="41"/>
      <c r="S7" s="41"/>
      <c r="T7" s="41"/>
      <c r="U7" s="45"/>
    </row>
    <row r="8" ht="15.75" customHeight="1" spans="1:21">
      <c r="A8" s="44">
        <f>A7+1</f>
        <v>3</v>
      </c>
      <c r="B8" s="72">
        <v>46137</v>
      </c>
      <c r="C8" s="28">
        <v>40000335</v>
      </c>
      <c r="D8" s="28">
        <v>54702865</v>
      </c>
      <c r="E8" s="29">
        <v>59.7</v>
      </c>
      <c r="F8" s="42">
        <v>1016.01</v>
      </c>
      <c r="G8" s="31">
        <f>E8*F8</f>
        <v>60655.797</v>
      </c>
      <c r="H8" s="156">
        <v>76.8898</v>
      </c>
      <c r="I8" s="33">
        <f>E8*H8</f>
        <v>4590.32106</v>
      </c>
      <c r="J8" s="34" t="s">
        <v>120</v>
      </c>
      <c r="K8" s="35" t="s">
        <v>148</v>
      </c>
      <c r="L8" s="43"/>
      <c r="M8" s="46"/>
      <c r="N8" s="41"/>
      <c r="O8" s="41"/>
      <c r="P8" s="41"/>
      <c r="Q8" s="41"/>
      <c r="R8" s="41"/>
      <c r="S8" s="41"/>
      <c r="T8" s="41"/>
      <c r="U8" s="45"/>
    </row>
    <row r="9" ht="15.75" customHeight="1" spans="1:21">
      <c r="A9" s="44">
        <f>A8+1</f>
        <v>4</v>
      </c>
      <c r="B9" s="72">
        <v>46137</v>
      </c>
      <c r="C9" s="28">
        <v>40000335</v>
      </c>
      <c r="D9" s="28">
        <v>55052153</v>
      </c>
      <c r="E9" s="29">
        <v>59.8</v>
      </c>
      <c r="F9" s="42">
        <v>1016.01</v>
      </c>
      <c r="G9" s="31">
        <f>E9*F9</f>
        <v>60757.398</v>
      </c>
      <c r="H9" s="156">
        <v>76.8898</v>
      </c>
      <c r="I9" s="33">
        <f>E9*H9</f>
        <v>4598.01004</v>
      </c>
      <c r="J9" s="34" t="s">
        <v>120</v>
      </c>
      <c r="K9" s="35" t="s">
        <v>148</v>
      </c>
      <c r="L9" s="43"/>
      <c r="M9" s="46"/>
      <c r="N9" s="41"/>
      <c r="O9" s="41"/>
      <c r="P9" s="41"/>
      <c r="Q9" s="41"/>
      <c r="R9" s="41"/>
      <c r="S9" s="41"/>
      <c r="T9" s="41"/>
      <c r="U9" s="45"/>
    </row>
    <row r="10" ht="15.75" customHeight="1" spans="1:21">
      <c r="A10" s="44">
        <f>A9+1</f>
        <v>5</v>
      </c>
      <c r="B10" s="72">
        <v>46137</v>
      </c>
      <c r="C10" s="28">
        <v>40000335</v>
      </c>
      <c r="D10" s="28">
        <v>57077968</v>
      </c>
      <c r="E10" s="29">
        <v>59.8</v>
      </c>
      <c r="F10" s="42">
        <v>1016.01</v>
      </c>
      <c r="G10" s="31">
        <f>E10*F10</f>
        <v>60757.398</v>
      </c>
      <c r="H10" s="156">
        <v>76.8898</v>
      </c>
      <c r="I10" s="33">
        <f>E10*H10</f>
        <v>4598.01004</v>
      </c>
      <c r="J10" s="34" t="s">
        <v>120</v>
      </c>
      <c r="K10" s="35" t="s">
        <v>148</v>
      </c>
      <c r="L10" s="43"/>
      <c r="M10" s="46"/>
      <c r="N10" s="41"/>
      <c r="O10" s="41"/>
      <c r="P10" s="41"/>
      <c r="Q10" s="41"/>
      <c r="R10" s="41"/>
      <c r="S10" s="41"/>
      <c r="T10" s="41"/>
      <c r="U10" s="45"/>
    </row>
    <row r="11" ht="15.75" customHeight="1" spans="1:21">
      <c r="A11" s="44">
        <f>A10+1</f>
        <v>6</v>
      </c>
      <c r="B11" s="72">
        <v>46137</v>
      </c>
      <c r="C11" s="28">
        <v>40000335</v>
      </c>
      <c r="D11" s="28">
        <v>57634198</v>
      </c>
      <c r="E11" s="29">
        <v>59.2</v>
      </c>
      <c r="F11" s="42">
        <v>1016.01</v>
      </c>
      <c r="G11" s="31">
        <f>E11*F11</f>
        <v>60147.792</v>
      </c>
      <c r="H11" s="156">
        <v>76.8898</v>
      </c>
      <c r="I11" s="33">
        <f>E11*H11</f>
        <v>4551.87616</v>
      </c>
      <c r="J11" s="34" t="s">
        <v>120</v>
      </c>
      <c r="K11" s="35" t="s">
        <v>148</v>
      </c>
      <c r="L11" s="43"/>
      <c r="M11" s="46"/>
      <c r="N11" s="41"/>
      <c r="O11" s="41"/>
      <c r="P11" s="41"/>
      <c r="Q11" s="41"/>
      <c r="R11" s="41"/>
      <c r="S11" s="41"/>
      <c r="T11" s="41"/>
      <c r="U11" s="45"/>
    </row>
    <row r="12" ht="15.75" customHeight="1" spans="1:21">
      <c r="A12" s="44">
        <f>A11+1</f>
        <v>7</v>
      </c>
      <c r="B12" s="72">
        <v>46137</v>
      </c>
      <c r="C12" s="28">
        <v>40000335</v>
      </c>
      <c r="D12" s="28">
        <v>73187700</v>
      </c>
      <c r="E12" s="29">
        <v>59.8</v>
      </c>
      <c r="F12" s="42">
        <v>1016.01</v>
      </c>
      <c r="G12" s="31">
        <f>E12*F12</f>
        <v>60757.398</v>
      </c>
      <c r="H12" s="156">
        <v>76.8898</v>
      </c>
      <c r="I12" s="33">
        <f>E12*H12</f>
        <v>4598.01004</v>
      </c>
      <c r="J12" s="34" t="s">
        <v>120</v>
      </c>
      <c r="K12" s="35" t="s">
        <v>148</v>
      </c>
      <c r="L12" s="43"/>
      <c r="M12" s="46"/>
      <c r="N12" s="41"/>
      <c r="O12" s="41"/>
      <c r="P12" s="41"/>
      <c r="Q12" s="41"/>
      <c r="R12" s="41"/>
      <c r="S12" s="41"/>
      <c r="T12" s="41"/>
      <c r="U12" s="45"/>
    </row>
    <row r="13" ht="15.75" customHeight="1" spans="1:21">
      <c r="A13" s="44">
        <f>A12+1</f>
        <v>8</v>
      </c>
      <c r="B13" s="72">
        <v>46137</v>
      </c>
      <c r="C13" s="28">
        <v>40000335</v>
      </c>
      <c r="D13" s="28">
        <v>73197956</v>
      </c>
      <c r="E13" s="29">
        <v>59.8</v>
      </c>
      <c r="F13" s="42">
        <v>1016.01</v>
      </c>
      <c r="G13" s="31">
        <f>E13*F13</f>
        <v>60757.398</v>
      </c>
      <c r="H13" s="156">
        <v>76.8898</v>
      </c>
      <c r="I13" s="33">
        <f>E13*H13</f>
        <v>4598.01004</v>
      </c>
      <c r="J13" s="34" t="s">
        <v>120</v>
      </c>
      <c r="K13" s="35" t="s">
        <v>148</v>
      </c>
      <c r="L13" s="43"/>
      <c r="M13" s="46"/>
      <c r="N13" s="41"/>
      <c r="O13" s="41"/>
      <c r="P13" s="41"/>
      <c r="Q13" s="41"/>
      <c r="R13" s="41"/>
      <c r="S13" s="41"/>
      <c r="T13" s="41"/>
      <c r="U13" s="45"/>
    </row>
    <row r="14" ht="15.75" customHeight="1" spans="1:21">
      <c r="A14" s="44">
        <f>A13+1</f>
        <v>9</v>
      </c>
      <c r="B14" s="72">
        <v>46137</v>
      </c>
      <c r="C14" s="28">
        <v>40000335</v>
      </c>
      <c r="D14" s="28">
        <v>73198210</v>
      </c>
      <c r="E14" s="29">
        <v>59.85</v>
      </c>
      <c r="F14" s="42">
        <v>1016.01</v>
      </c>
      <c r="G14" s="31">
        <f>E14*F14</f>
        <v>60808.1985</v>
      </c>
      <c r="H14" s="156">
        <v>76.8898</v>
      </c>
      <c r="I14" s="33">
        <f>E14*H14</f>
        <v>4601.85453</v>
      </c>
      <c r="J14" s="34" t="s">
        <v>120</v>
      </c>
      <c r="K14" s="35" t="s">
        <v>148</v>
      </c>
      <c r="L14" s="43"/>
      <c r="M14" s="46"/>
      <c r="N14" s="41"/>
      <c r="O14" s="41"/>
      <c r="P14" s="41"/>
      <c r="Q14" s="41"/>
      <c r="R14" s="41"/>
      <c r="S14" s="41"/>
      <c r="T14" s="41"/>
      <c r="U14" s="45"/>
    </row>
    <row r="15" ht="15.75" customHeight="1" spans="1:21">
      <c r="A15" s="44">
        <f>A14+1</f>
        <v>10</v>
      </c>
      <c r="B15" s="72">
        <v>46137</v>
      </c>
      <c r="C15" s="28">
        <v>40000335</v>
      </c>
      <c r="D15" s="28">
        <v>74084245</v>
      </c>
      <c r="E15" s="29">
        <v>59.8</v>
      </c>
      <c r="F15" s="42">
        <v>1016.01</v>
      </c>
      <c r="G15" s="31">
        <f>E15*F15</f>
        <v>60757.398</v>
      </c>
      <c r="H15" s="156">
        <v>76.8898</v>
      </c>
      <c r="I15" s="33">
        <f>E15*H15</f>
        <v>4598.01004</v>
      </c>
      <c r="J15" s="34" t="s">
        <v>120</v>
      </c>
      <c r="K15" s="35" t="s">
        <v>148</v>
      </c>
      <c r="L15" s="43"/>
      <c r="M15" s="46"/>
      <c r="N15" s="41"/>
      <c r="O15" s="41"/>
      <c r="P15" s="41"/>
      <c r="Q15" s="41"/>
      <c r="R15" s="41"/>
      <c r="S15" s="41"/>
      <c r="T15" s="41"/>
      <c r="U15" s="45"/>
    </row>
    <row r="16" ht="15.75" customHeight="1" spans="1:21">
      <c r="A16" s="44">
        <f>A15+1</f>
        <v>11</v>
      </c>
      <c r="B16" s="72">
        <v>46137</v>
      </c>
      <c r="C16" s="28">
        <v>40000334</v>
      </c>
      <c r="D16" s="28">
        <v>75316208</v>
      </c>
      <c r="E16" s="29">
        <v>60.3</v>
      </c>
      <c r="F16" s="42">
        <v>1016.01</v>
      </c>
      <c r="G16" s="31">
        <f>E16*F16</f>
        <v>61265.403</v>
      </c>
      <c r="H16" s="156">
        <v>76.8898</v>
      </c>
      <c r="I16" s="33">
        <f>E16*H16</f>
        <v>4636.45494</v>
      </c>
      <c r="J16" s="34" t="s">
        <v>120</v>
      </c>
      <c r="K16" s="35" t="s">
        <v>148</v>
      </c>
      <c r="L16" s="43"/>
      <c r="M16" s="46"/>
      <c r="N16" s="41"/>
      <c r="O16" s="41"/>
      <c r="P16" s="41"/>
      <c r="Q16" s="41"/>
      <c r="R16" s="41"/>
      <c r="S16" s="41"/>
      <c r="T16" s="41"/>
      <c r="U16" s="45"/>
    </row>
    <row r="17" ht="15.75" customHeight="1" spans="1:21">
      <c r="A17" s="44">
        <f>A16+1</f>
        <v>12</v>
      </c>
      <c r="B17" s="72">
        <v>46137</v>
      </c>
      <c r="C17" s="28">
        <v>40000334</v>
      </c>
      <c r="D17" s="28">
        <v>75316265</v>
      </c>
      <c r="E17" s="29">
        <v>60.25</v>
      </c>
      <c r="F17" s="42">
        <v>1016.01</v>
      </c>
      <c r="G17" s="31">
        <f>E17*F17</f>
        <v>61214.6025</v>
      </c>
      <c r="H17" s="156">
        <v>76.8898</v>
      </c>
      <c r="I17" s="33">
        <f>E17*H17</f>
        <v>4632.61045</v>
      </c>
      <c r="J17" s="34" t="s">
        <v>120</v>
      </c>
      <c r="K17" s="35" t="s">
        <v>148</v>
      </c>
      <c r="L17" s="43"/>
      <c r="M17" s="46"/>
      <c r="N17" s="41"/>
      <c r="O17" s="41"/>
      <c r="P17" s="41"/>
      <c r="Q17" s="41"/>
      <c r="R17" s="41"/>
      <c r="S17" s="41"/>
      <c r="T17" s="41"/>
      <c r="U17" s="45"/>
    </row>
    <row r="18" ht="15.75" customHeight="1" spans="1:21">
      <c r="A18" s="44">
        <f>A17+1</f>
        <v>13</v>
      </c>
      <c r="B18" s="72">
        <v>46137</v>
      </c>
      <c r="C18" s="28">
        <v>40000334</v>
      </c>
      <c r="D18" s="28">
        <v>75316356</v>
      </c>
      <c r="E18" s="29">
        <v>60.45</v>
      </c>
      <c r="F18" s="42">
        <v>1016.01</v>
      </c>
      <c r="G18" s="31">
        <f>E18*F18</f>
        <v>61417.8045</v>
      </c>
      <c r="H18" s="156">
        <v>76.8898</v>
      </c>
      <c r="I18" s="33">
        <f>E18*H18</f>
        <v>4647.98841</v>
      </c>
      <c r="J18" s="34" t="s">
        <v>120</v>
      </c>
      <c r="K18" s="35" t="s">
        <v>148</v>
      </c>
      <c r="L18" s="43"/>
      <c r="M18" s="46"/>
      <c r="N18" s="41"/>
      <c r="O18" s="41"/>
      <c r="P18" s="41"/>
      <c r="Q18" s="41"/>
      <c r="R18" s="41"/>
      <c r="S18" s="41"/>
      <c r="T18" s="41"/>
      <c r="U18" s="45"/>
    </row>
    <row r="19" ht="15.75" customHeight="1" spans="1:21">
      <c r="A19" s="44">
        <f>A18+1</f>
        <v>14</v>
      </c>
      <c r="B19" s="72">
        <v>46137</v>
      </c>
      <c r="C19" s="28">
        <v>40000334</v>
      </c>
      <c r="D19" s="28">
        <v>75316463</v>
      </c>
      <c r="E19" s="29">
        <v>60.6</v>
      </c>
      <c r="F19" s="42">
        <v>1016.01</v>
      </c>
      <c r="G19" s="31">
        <f>E19*F19</f>
        <v>61570.206</v>
      </c>
      <c r="H19" s="156">
        <v>76.8898</v>
      </c>
      <c r="I19" s="33">
        <f>E19*H19</f>
        <v>4659.52188</v>
      </c>
      <c r="J19" s="34" t="s">
        <v>120</v>
      </c>
      <c r="K19" s="35" t="s">
        <v>148</v>
      </c>
      <c r="L19" s="43"/>
      <c r="M19" s="46"/>
      <c r="N19" s="41"/>
      <c r="O19" s="41"/>
      <c r="P19" s="41"/>
      <c r="Q19" s="41"/>
      <c r="R19" s="41"/>
      <c r="S19" s="41"/>
      <c r="T19" s="41"/>
      <c r="U19" s="45"/>
    </row>
    <row r="20" ht="15.75" customHeight="1" spans="1:21">
      <c r="A20" s="44">
        <f>A19+1</f>
        <v>15</v>
      </c>
      <c r="B20" s="72">
        <v>46137</v>
      </c>
      <c r="C20" s="28">
        <v>40000334</v>
      </c>
      <c r="D20" s="28">
        <v>75316513</v>
      </c>
      <c r="E20" s="29">
        <v>60.45</v>
      </c>
      <c r="F20" s="42">
        <v>1016.01</v>
      </c>
      <c r="G20" s="31">
        <f>E20*F20</f>
        <v>61417.8045</v>
      </c>
      <c r="H20" s="156">
        <v>76.8898</v>
      </c>
      <c r="I20" s="33">
        <f>E20*H20</f>
        <v>4647.98841</v>
      </c>
      <c r="J20" s="34" t="s">
        <v>120</v>
      </c>
      <c r="K20" s="35" t="s">
        <v>148</v>
      </c>
      <c r="L20" s="43"/>
      <c r="M20" s="46"/>
      <c r="N20" s="41"/>
      <c r="O20" s="41"/>
      <c r="P20" s="41"/>
      <c r="Q20" s="41"/>
      <c r="R20" s="41"/>
      <c r="S20" s="41"/>
      <c r="T20" s="41"/>
      <c r="U20" s="45"/>
    </row>
    <row r="21" ht="15.75" customHeight="1" spans="1:21">
      <c r="A21" s="51">
        <f>A20+1</f>
        <v>16</v>
      </c>
      <c r="B21" s="157">
        <v>46137</v>
      </c>
      <c r="C21" s="158">
        <v>40000334</v>
      </c>
      <c r="D21" s="158">
        <v>75318881</v>
      </c>
      <c r="E21" s="29">
        <v>60.3</v>
      </c>
      <c r="F21" s="42">
        <v>1016.01</v>
      </c>
      <c r="G21" s="31">
        <f>E21*F21</f>
        <v>61265.403</v>
      </c>
      <c r="H21" s="156">
        <v>76.8898</v>
      </c>
      <c r="I21" s="33">
        <f>E21*H21</f>
        <v>4636.45494</v>
      </c>
      <c r="J21" s="34" t="s">
        <v>120</v>
      </c>
      <c r="K21" s="35" t="s">
        <v>148</v>
      </c>
      <c r="L21" s="83"/>
      <c r="M21" s="54"/>
      <c r="N21" s="52"/>
      <c r="O21" s="52"/>
      <c r="P21" s="52"/>
      <c r="Q21" s="52"/>
      <c r="R21" s="52"/>
      <c r="S21" s="52"/>
      <c r="T21" s="52"/>
      <c r="U21" s="53"/>
    </row>
    <row r="22" spans="1:21">
      <c r="A22" s="26">
        <v>17</v>
      </c>
      <c r="B22" s="27">
        <v>46139</v>
      </c>
      <c r="C22" s="107">
        <v>40000615</v>
      </c>
      <c r="D22" s="107">
        <v>50175595</v>
      </c>
      <c r="E22" s="108">
        <v>60.3</v>
      </c>
      <c r="F22" s="42">
        <v>1016.01</v>
      </c>
      <c r="G22" s="31">
        <f>E22*F22</f>
        <v>61265.403</v>
      </c>
      <c r="H22" s="156">
        <v>76.8898</v>
      </c>
      <c r="I22" s="33">
        <f>E22*H22</f>
        <v>4636.45494</v>
      </c>
      <c r="J22" s="70" t="s">
        <v>120</v>
      </c>
      <c r="K22" s="159" t="s">
        <v>148</v>
      </c>
      <c r="L22" s="36"/>
      <c r="M22" s="40"/>
      <c r="N22" s="38"/>
      <c r="O22" s="38"/>
      <c r="P22" s="38"/>
      <c r="Q22" s="38"/>
      <c r="R22" s="38"/>
      <c r="S22" s="38"/>
      <c r="T22" s="38"/>
      <c r="U22" s="39"/>
    </row>
    <row r="23" spans="1:21">
      <c r="A23" s="44">
        <f>A22+1</f>
        <v>18</v>
      </c>
      <c r="B23" s="72">
        <v>46139</v>
      </c>
      <c r="C23" s="28">
        <v>40000615</v>
      </c>
      <c r="D23" s="28">
        <v>50485044</v>
      </c>
      <c r="E23" s="29">
        <v>59.3</v>
      </c>
      <c r="F23" s="42">
        <v>1016.01</v>
      </c>
      <c r="G23" s="31">
        <f>E23*F23</f>
        <v>60249.393</v>
      </c>
      <c r="H23" s="156">
        <v>76.8898</v>
      </c>
      <c r="I23" s="33">
        <f>E23*H23</f>
        <v>4559.56514</v>
      </c>
      <c r="J23" s="34" t="s">
        <v>120</v>
      </c>
      <c r="K23" s="35" t="s">
        <v>148</v>
      </c>
      <c r="L23" s="43"/>
      <c r="M23" s="46"/>
      <c r="N23" s="41"/>
      <c r="O23" s="41"/>
      <c r="P23" s="41"/>
      <c r="Q23" s="41"/>
      <c r="R23" s="41"/>
      <c r="S23" s="41"/>
      <c r="T23" s="41"/>
      <c r="U23" s="45"/>
    </row>
    <row r="24" spans="1:21">
      <c r="A24" s="44">
        <f>A23+1</f>
        <v>19</v>
      </c>
      <c r="B24" s="72">
        <v>46139</v>
      </c>
      <c r="C24" s="28">
        <v>40000616</v>
      </c>
      <c r="D24" s="28">
        <v>51247757</v>
      </c>
      <c r="E24" s="29">
        <v>59.4</v>
      </c>
      <c r="F24" s="42">
        <v>1016.01</v>
      </c>
      <c r="G24" s="31">
        <f>E24*F24</f>
        <v>60350.994</v>
      </c>
      <c r="H24" s="156">
        <v>76.8898</v>
      </c>
      <c r="I24" s="33">
        <f>E24*H24</f>
        <v>4567.25412</v>
      </c>
      <c r="J24" s="34" t="s">
        <v>120</v>
      </c>
      <c r="K24" s="35" t="s">
        <v>148</v>
      </c>
      <c r="L24" s="43"/>
      <c r="M24" s="46"/>
      <c r="N24" s="41"/>
      <c r="O24" s="41"/>
      <c r="P24" s="41"/>
      <c r="Q24" s="41"/>
      <c r="R24" s="41"/>
      <c r="S24" s="41"/>
      <c r="T24" s="41"/>
      <c r="U24" s="45"/>
    </row>
    <row r="25" spans="1:21">
      <c r="A25" s="44">
        <f>A24+1</f>
        <v>20</v>
      </c>
      <c r="B25" s="72">
        <v>46139</v>
      </c>
      <c r="C25" s="28">
        <v>40000616</v>
      </c>
      <c r="D25" s="28">
        <v>51404655</v>
      </c>
      <c r="E25" s="29">
        <v>59.25</v>
      </c>
      <c r="F25" s="42">
        <v>1016.01</v>
      </c>
      <c r="G25" s="31">
        <f>E25*F25</f>
        <v>60198.5925</v>
      </c>
      <c r="H25" s="156">
        <v>76.8898</v>
      </c>
      <c r="I25" s="33">
        <f>E25*H25</f>
        <v>4555.72065</v>
      </c>
      <c r="J25" s="34" t="s">
        <v>120</v>
      </c>
      <c r="K25" s="35" t="s">
        <v>148</v>
      </c>
      <c r="L25" s="43"/>
      <c r="M25" s="46"/>
      <c r="N25" s="41"/>
      <c r="O25" s="41"/>
      <c r="P25" s="41"/>
      <c r="Q25" s="41"/>
      <c r="R25" s="41"/>
      <c r="S25" s="41"/>
      <c r="T25" s="41"/>
      <c r="U25" s="45"/>
    </row>
    <row r="26" spans="1:21">
      <c r="A26" s="44">
        <f>A25+1</f>
        <v>21</v>
      </c>
      <c r="B26" s="72">
        <v>46139</v>
      </c>
      <c r="C26" s="28">
        <v>40000615</v>
      </c>
      <c r="D26" s="28">
        <v>51435451</v>
      </c>
      <c r="E26" s="29">
        <v>51</v>
      </c>
      <c r="F26" s="42">
        <v>1016.01</v>
      </c>
      <c r="G26" s="31">
        <f>E26*F26</f>
        <v>51816.51</v>
      </c>
      <c r="H26" s="156">
        <v>76.8898</v>
      </c>
      <c r="I26" s="33">
        <f>E26*H26</f>
        <v>3921.3798</v>
      </c>
      <c r="J26" s="34" t="s">
        <v>120</v>
      </c>
      <c r="K26" s="35" t="s">
        <v>148</v>
      </c>
      <c r="L26" s="43"/>
      <c r="M26" s="46"/>
      <c r="N26" s="41"/>
      <c r="O26" s="41"/>
      <c r="P26" s="41"/>
      <c r="Q26" s="41"/>
      <c r="R26" s="41"/>
      <c r="S26" s="41"/>
      <c r="T26" s="41"/>
      <c r="U26" s="45"/>
    </row>
    <row r="27" spans="1:21">
      <c r="A27" s="44">
        <f>A26+1</f>
        <v>22</v>
      </c>
      <c r="B27" s="72">
        <v>46139</v>
      </c>
      <c r="C27" s="28">
        <v>40000615</v>
      </c>
      <c r="D27" s="28">
        <v>51543791</v>
      </c>
      <c r="E27" s="29">
        <v>59.05</v>
      </c>
      <c r="F27" s="42">
        <v>1016.01</v>
      </c>
      <c r="G27" s="31">
        <f>E27*F27</f>
        <v>59995.3905</v>
      </c>
      <c r="H27" s="156">
        <v>76.8898</v>
      </c>
      <c r="I27" s="33">
        <f>E27*H27</f>
        <v>4540.34269</v>
      </c>
      <c r="J27" s="34" t="s">
        <v>120</v>
      </c>
      <c r="K27" s="35" t="s">
        <v>148</v>
      </c>
      <c r="L27" s="43"/>
      <c r="M27" s="46"/>
      <c r="N27" s="41"/>
      <c r="O27" s="41"/>
      <c r="P27" s="41"/>
      <c r="Q27" s="41"/>
      <c r="R27" s="41"/>
      <c r="S27" s="41"/>
      <c r="T27" s="41"/>
      <c r="U27" s="45"/>
    </row>
    <row r="28" spans="1:21">
      <c r="A28" s="44">
        <f>A27+1</f>
        <v>23</v>
      </c>
      <c r="B28" s="72">
        <v>46139</v>
      </c>
      <c r="C28" s="28">
        <v>40000616</v>
      </c>
      <c r="D28" s="28">
        <v>53872081</v>
      </c>
      <c r="E28" s="29">
        <v>59.25</v>
      </c>
      <c r="F28" s="42">
        <v>1016.01</v>
      </c>
      <c r="G28" s="31">
        <f>E28*F28</f>
        <v>60198.5925</v>
      </c>
      <c r="H28" s="156">
        <v>76.8898</v>
      </c>
      <c r="I28" s="33">
        <f>E28*H28</f>
        <v>4555.72065</v>
      </c>
      <c r="J28" s="34" t="s">
        <v>120</v>
      </c>
      <c r="K28" s="35" t="s">
        <v>148</v>
      </c>
      <c r="L28" s="43"/>
      <c r="M28" s="46"/>
      <c r="N28" s="41"/>
      <c r="O28" s="41"/>
      <c r="P28" s="41"/>
      <c r="Q28" s="41"/>
      <c r="R28" s="41"/>
      <c r="S28" s="41"/>
      <c r="T28" s="41"/>
      <c r="U28" s="45"/>
    </row>
    <row r="29" spans="1:21">
      <c r="A29" s="44">
        <f>A28+1</f>
        <v>24</v>
      </c>
      <c r="B29" s="72">
        <v>46139</v>
      </c>
      <c r="C29" s="28">
        <v>40000615</v>
      </c>
      <c r="D29" s="28">
        <v>54596887</v>
      </c>
      <c r="E29" s="29">
        <v>59.3</v>
      </c>
      <c r="F29" s="42">
        <v>1016.01</v>
      </c>
      <c r="G29" s="31">
        <f>E29*F29</f>
        <v>60249.393</v>
      </c>
      <c r="H29" s="156">
        <v>76.8898</v>
      </c>
      <c r="I29" s="33">
        <f>E29*H29</f>
        <v>4559.56514</v>
      </c>
      <c r="J29" s="34" t="s">
        <v>120</v>
      </c>
      <c r="K29" s="35" t="s">
        <v>148</v>
      </c>
      <c r="L29" s="43"/>
      <c r="M29" s="46"/>
      <c r="N29" s="41"/>
      <c r="O29" s="41"/>
      <c r="P29" s="41"/>
      <c r="Q29" s="41"/>
      <c r="R29" s="41"/>
      <c r="S29" s="41"/>
      <c r="T29" s="41"/>
      <c r="U29" s="45"/>
    </row>
    <row r="30" spans="1:21">
      <c r="A30" s="44">
        <f>A29+1</f>
        <v>25</v>
      </c>
      <c r="B30" s="72">
        <v>46139</v>
      </c>
      <c r="C30" s="28">
        <v>40000616</v>
      </c>
      <c r="D30" s="28">
        <v>57134157</v>
      </c>
      <c r="E30" s="29">
        <v>59.2</v>
      </c>
      <c r="F30" s="42">
        <v>1016.01</v>
      </c>
      <c r="G30" s="31">
        <f>E30*F30</f>
        <v>60147.792</v>
      </c>
      <c r="H30" s="156">
        <v>76.8898</v>
      </c>
      <c r="I30" s="33">
        <f>E30*H30</f>
        <v>4551.87616</v>
      </c>
      <c r="J30" s="34" t="s">
        <v>120</v>
      </c>
      <c r="K30" s="35" t="s">
        <v>148</v>
      </c>
      <c r="L30" s="43"/>
      <c r="M30" s="46"/>
      <c r="N30" s="41"/>
      <c r="O30" s="41"/>
      <c r="P30" s="41"/>
      <c r="Q30" s="41"/>
      <c r="R30" s="41"/>
      <c r="S30" s="41"/>
      <c r="T30" s="41"/>
      <c r="U30" s="45"/>
    </row>
    <row r="31" spans="1:21">
      <c r="A31" s="44">
        <f>A30+1</f>
        <v>26</v>
      </c>
      <c r="B31" s="72">
        <v>46139</v>
      </c>
      <c r="C31" s="28">
        <v>40000616</v>
      </c>
      <c r="D31" s="28">
        <v>57173874</v>
      </c>
      <c r="E31" s="29">
        <v>59.7</v>
      </c>
      <c r="F31" s="42">
        <v>1016.01</v>
      </c>
      <c r="G31" s="31">
        <f>E31*F31</f>
        <v>60655.797</v>
      </c>
      <c r="H31" s="156">
        <v>76.8898</v>
      </c>
      <c r="I31" s="33">
        <f>E31*H31</f>
        <v>4590.32106</v>
      </c>
      <c r="J31" s="34" t="s">
        <v>120</v>
      </c>
      <c r="K31" s="35" t="s">
        <v>148</v>
      </c>
      <c r="L31" s="43"/>
      <c r="M31" s="46"/>
      <c r="N31" s="41"/>
      <c r="O31" s="41"/>
      <c r="P31" s="41"/>
      <c r="Q31" s="41"/>
      <c r="R31" s="41"/>
      <c r="S31" s="41"/>
      <c r="T31" s="41"/>
      <c r="U31" s="45"/>
    </row>
    <row r="32" spans="1:21">
      <c r="A32" s="44">
        <f>A31+1</f>
        <v>27</v>
      </c>
      <c r="B32" s="72">
        <v>46139</v>
      </c>
      <c r="C32" s="28">
        <v>40000616</v>
      </c>
      <c r="D32" s="28">
        <v>57643892</v>
      </c>
      <c r="E32" s="29">
        <v>59.45</v>
      </c>
      <c r="F32" s="42">
        <v>1016.01</v>
      </c>
      <c r="G32" s="31">
        <f>E32*F32</f>
        <v>60401.7945</v>
      </c>
      <c r="H32" s="156">
        <v>76.8898</v>
      </c>
      <c r="I32" s="33">
        <f>E32*H32</f>
        <v>4571.09861</v>
      </c>
      <c r="J32" s="34" t="s">
        <v>120</v>
      </c>
      <c r="K32" s="35" t="s">
        <v>148</v>
      </c>
      <c r="L32" s="43"/>
      <c r="M32" s="46"/>
      <c r="N32" s="41"/>
      <c r="O32" s="41"/>
      <c r="P32" s="41"/>
      <c r="Q32" s="41"/>
      <c r="R32" s="41"/>
      <c r="S32" s="41"/>
      <c r="T32" s="41"/>
      <c r="U32" s="45"/>
    </row>
    <row r="33" spans="1:21">
      <c r="A33" s="44">
        <f>A32+1</f>
        <v>28</v>
      </c>
      <c r="B33" s="72">
        <v>46139</v>
      </c>
      <c r="C33" s="28">
        <v>40000616</v>
      </c>
      <c r="D33" s="28">
        <v>58709866</v>
      </c>
      <c r="E33" s="29">
        <v>59.75</v>
      </c>
      <c r="F33" s="42">
        <v>1016.01</v>
      </c>
      <c r="G33" s="31">
        <f>E33*F33</f>
        <v>60706.5975</v>
      </c>
      <c r="H33" s="156">
        <v>76.8898</v>
      </c>
      <c r="I33" s="33">
        <f>E33*H33</f>
        <v>4594.16555</v>
      </c>
      <c r="J33" s="34" t="s">
        <v>120</v>
      </c>
      <c r="K33" s="35" t="s">
        <v>148</v>
      </c>
      <c r="L33" s="43"/>
      <c r="M33" s="46"/>
      <c r="N33" s="41"/>
      <c r="O33" s="41"/>
      <c r="P33" s="41"/>
      <c r="Q33" s="41"/>
      <c r="R33" s="41"/>
      <c r="S33" s="41"/>
      <c r="T33" s="41"/>
      <c r="U33" s="45"/>
    </row>
    <row r="34" spans="1:21">
      <c r="A34" s="44">
        <f>A33+1</f>
        <v>29</v>
      </c>
      <c r="B34" s="72">
        <v>46139</v>
      </c>
      <c r="C34" s="28">
        <v>40000615</v>
      </c>
      <c r="D34" s="28">
        <v>73036782</v>
      </c>
      <c r="E34" s="29">
        <v>59.75</v>
      </c>
      <c r="F34" s="42">
        <v>1016.01</v>
      </c>
      <c r="G34" s="31">
        <f>E34*F34</f>
        <v>60706.5975</v>
      </c>
      <c r="H34" s="156">
        <v>76.8898</v>
      </c>
      <c r="I34" s="33">
        <f>E34*H34</f>
        <v>4594.16555</v>
      </c>
      <c r="J34" s="34" t="s">
        <v>120</v>
      </c>
      <c r="K34" s="35" t="s">
        <v>148</v>
      </c>
      <c r="L34" s="43"/>
      <c r="M34" s="46"/>
      <c r="N34" s="41"/>
      <c r="O34" s="41"/>
      <c r="P34" s="41"/>
      <c r="Q34" s="41"/>
      <c r="R34" s="41"/>
      <c r="S34" s="41"/>
      <c r="T34" s="41"/>
      <c r="U34" s="45"/>
    </row>
    <row r="35" spans="1:21">
      <c r="A35" s="44">
        <f>A34+1</f>
        <v>30</v>
      </c>
      <c r="B35" s="72">
        <v>46139</v>
      </c>
      <c r="C35" s="28">
        <v>40000615</v>
      </c>
      <c r="D35" s="28">
        <v>73043010</v>
      </c>
      <c r="E35" s="29">
        <v>59.85</v>
      </c>
      <c r="F35" s="42">
        <v>1016.01</v>
      </c>
      <c r="G35" s="31">
        <f>E35*F35</f>
        <v>60808.1985</v>
      </c>
      <c r="H35" s="156">
        <v>76.8898</v>
      </c>
      <c r="I35" s="33">
        <f>E35*H35</f>
        <v>4601.85453</v>
      </c>
      <c r="J35" s="34" t="s">
        <v>120</v>
      </c>
      <c r="K35" s="35" t="s">
        <v>148</v>
      </c>
      <c r="L35" s="43"/>
      <c r="M35" s="46"/>
      <c r="N35" s="41"/>
      <c r="O35" s="41"/>
      <c r="P35" s="41"/>
      <c r="Q35" s="41"/>
      <c r="R35" s="41"/>
      <c r="S35" s="41"/>
      <c r="T35" s="41"/>
      <c r="U35" s="45"/>
    </row>
    <row r="36" spans="1:21">
      <c r="A36" s="44">
        <f>A35+1</f>
        <v>31</v>
      </c>
      <c r="B36" s="72">
        <v>46139</v>
      </c>
      <c r="C36" s="28">
        <v>40000615</v>
      </c>
      <c r="D36" s="28">
        <v>73222838</v>
      </c>
      <c r="E36" s="29">
        <v>59.8</v>
      </c>
      <c r="F36" s="42">
        <v>1016.01</v>
      </c>
      <c r="G36" s="31">
        <f>E36*F36</f>
        <v>60757.398</v>
      </c>
      <c r="H36" s="156">
        <v>76.8898</v>
      </c>
      <c r="I36" s="33">
        <f>E36*H36</f>
        <v>4598.01004</v>
      </c>
      <c r="J36" s="34" t="s">
        <v>120</v>
      </c>
      <c r="K36" s="35" t="s">
        <v>148</v>
      </c>
      <c r="L36" s="43"/>
      <c r="M36" s="46"/>
      <c r="N36" s="41"/>
      <c r="O36" s="41"/>
      <c r="P36" s="41"/>
      <c r="Q36" s="41"/>
      <c r="R36" s="41"/>
      <c r="S36" s="41"/>
      <c r="T36" s="41"/>
      <c r="U36" s="45"/>
    </row>
    <row r="37" spans="1:21">
      <c r="A37" s="44">
        <f>A36+1</f>
        <v>32</v>
      </c>
      <c r="B37" s="72">
        <v>46139</v>
      </c>
      <c r="C37" s="28">
        <v>40000615</v>
      </c>
      <c r="D37" s="28">
        <v>73224131</v>
      </c>
      <c r="E37" s="29">
        <v>59.8</v>
      </c>
      <c r="F37" s="42">
        <v>1016.01</v>
      </c>
      <c r="G37" s="31">
        <f>E37*F37</f>
        <v>60757.398</v>
      </c>
      <c r="H37" s="156">
        <v>76.8898</v>
      </c>
      <c r="I37" s="33">
        <f>E37*H37</f>
        <v>4598.01004</v>
      </c>
      <c r="J37" s="34" t="s">
        <v>120</v>
      </c>
      <c r="K37" s="35" t="s">
        <v>148</v>
      </c>
      <c r="L37" s="43"/>
      <c r="M37" s="46"/>
      <c r="N37" s="41"/>
      <c r="O37" s="41"/>
      <c r="P37" s="41"/>
      <c r="Q37" s="41"/>
      <c r="R37" s="41"/>
      <c r="S37" s="41"/>
      <c r="T37" s="41"/>
      <c r="U37" s="45"/>
    </row>
    <row r="38" spans="1:21">
      <c r="A38" s="44">
        <f>A37+1</f>
        <v>33</v>
      </c>
      <c r="B38" s="72">
        <v>46139</v>
      </c>
      <c r="C38" s="28">
        <v>40000616</v>
      </c>
      <c r="D38" s="28">
        <v>74946351</v>
      </c>
      <c r="E38" s="29">
        <v>59.25</v>
      </c>
      <c r="F38" s="42">
        <v>1016.01</v>
      </c>
      <c r="G38" s="31">
        <f>E38*F38</f>
        <v>60198.5925</v>
      </c>
      <c r="H38" s="156">
        <v>76.8898</v>
      </c>
      <c r="I38" s="33">
        <f>E38*H38</f>
        <v>4555.72065</v>
      </c>
      <c r="J38" s="34" t="s">
        <v>120</v>
      </c>
      <c r="K38" s="35" t="s">
        <v>148</v>
      </c>
      <c r="L38" s="43"/>
      <c r="M38" s="46"/>
      <c r="N38" s="41"/>
      <c r="O38" s="41"/>
      <c r="P38" s="41"/>
      <c r="Q38" s="41"/>
      <c r="R38" s="41"/>
      <c r="S38" s="41"/>
      <c r="T38" s="41"/>
      <c r="U38" s="45"/>
    </row>
    <row r="39" spans="1:21">
      <c r="A39" s="44">
        <f>A38+1</f>
        <v>34</v>
      </c>
      <c r="B39" s="72">
        <v>46139</v>
      </c>
      <c r="C39" s="28">
        <v>40000616</v>
      </c>
      <c r="D39" s="28">
        <v>75005249</v>
      </c>
      <c r="E39" s="29">
        <v>59.4</v>
      </c>
      <c r="F39" s="42">
        <v>1016.01</v>
      </c>
      <c r="G39" s="31">
        <f>E39*F39</f>
        <v>60350.994</v>
      </c>
      <c r="H39" s="156">
        <v>76.8898</v>
      </c>
      <c r="I39" s="33">
        <f>E39*H39</f>
        <v>4567.25412</v>
      </c>
      <c r="J39" s="34" t="s">
        <v>120</v>
      </c>
      <c r="K39" s="35" t="s">
        <v>148</v>
      </c>
      <c r="L39" s="43"/>
      <c r="M39" s="46"/>
      <c r="N39" s="41"/>
      <c r="O39" s="41"/>
      <c r="P39" s="41"/>
      <c r="Q39" s="41"/>
      <c r="R39" s="41"/>
      <c r="S39" s="41"/>
      <c r="T39" s="41"/>
      <c r="U39" s="45"/>
    </row>
    <row r="40" spans="1:21">
      <c r="A40" s="44">
        <f>A39+1</f>
        <v>35</v>
      </c>
      <c r="B40" s="72">
        <v>46139</v>
      </c>
      <c r="C40" s="28">
        <v>40000615</v>
      </c>
      <c r="D40" s="28">
        <v>75330274</v>
      </c>
      <c r="E40" s="29">
        <v>59.8</v>
      </c>
      <c r="F40" s="42">
        <v>1016.01</v>
      </c>
      <c r="G40" s="31">
        <f>E40*F40</f>
        <v>60757.398</v>
      </c>
      <c r="H40" s="156">
        <v>76.8898</v>
      </c>
      <c r="I40" s="33">
        <f>E40*H40</f>
        <v>4598.01004</v>
      </c>
      <c r="J40" s="34" t="s">
        <v>120</v>
      </c>
      <c r="K40" s="35" t="s">
        <v>148</v>
      </c>
      <c r="L40" s="43"/>
      <c r="M40" s="46"/>
      <c r="N40" s="41"/>
      <c r="O40" s="41"/>
      <c r="P40" s="41"/>
      <c r="Q40" s="41"/>
      <c r="R40" s="41"/>
      <c r="S40" s="41"/>
      <c r="T40" s="41"/>
      <c r="U40" s="45"/>
    </row>
    <row r="41" spans="1:21">
      <c r="A41" s="44">
        <f>A40+1</f>
        <v>36</v>
      </c>
      <c r="B41" s="72">
        <v>46139</v>
      </c>
      <c r="C41" s="28">
        <v>40000615</v>
      </c>
      <c r="D41" s="28">
        <v>75330340</v>
      </c>
      <c r="E41" s="29">
        <v>60.65</v>
      </c>
      <c r="F41" s="42">
        <v>1016.01</v>
      </c>
      <c r="G41" s="31">
        <f>E41*F41</f>
        <v>61621.0065</v>
      </c>
      <c r="H41" s="156">
        <v>76.8898</v>
      </c>
      <c r="I41" s="33">
        <f>E41*H41</f>
        <v>4663.36637</v>
      </c>
      <c r="J41" s="34" t="s">
        <v>120</v>
      </c>
      <c r="K41" s="35" t="s">
        <v>148</v>
      </c>
      <c r="L41" s="43"/>
      <c r="M41" s="46"/>
      <c r="N41" s="41"/>
      <c r="O41" s="41"/>
      <c r="P41" s="41"/>
      <c r="Q41" s="41"/>
      <c r="R41" s="41"/>
      <c r="S41" s="41"/>
      <c r="T41" s="41"/>
      <c r="U41" s="45"/>
    </row>
    <row r="42" ht="15.75" spans="1:21">
      <c r="A42" s="75">
        <f>A41+1</f>
        <v>37</v>
      </c>
      <c r="B42" s="76">
        <v>46139</v>
      </c>
      <c r="C42" s="47">
        <v>40000615</v>
      </c>
      <c r="D42" s="47">
        <v>75332239</v>
      </c>
      <c r="E42" s="48">
        <v>60.4</v>
      </c>
      <c r="F42" s="42">
        <v>1016.01</v>
      </c>
      <c r="G42" s="79">
        <f>E42*F42</f>
        <v>61367.004</v>
      </c>
      <c r="H42" s="156">
        <v>76.8898</v>
      </c>
      <c r="I42" s="80">
        <f>E42*H42</f>
        <v>4644.14392</v>
      </c>
      <c r="J42" s="81" t="s">
        <v>120</v>
      </c>
      <c r="K42" s="160" t="s">
        <v>148</v>
      </c>
      <c r="L42" s="83"/>
      <c r="M42" s="54"/>
      <c r="N42" s="52"/>
      <c r="O42" s="52"/>
      <c r="P42" s="52"/>
      <c r="Q42" s="52"/>
      <c r="R42" s="52"/>
      <c r="S42" s="52"/>
      <c r="T42" s="52"/>
      <c r="U42" s="53"/>
    </row>
    <row r="43" spans="1:21">
      <c r="A43" s="26">
        <v>38</v>
      </c>
      <c r="B43" s="27">
        <v>46140</v>
      </c>
      <c r="C43" s="107">
        <v>40000620</v>
      </c>
      <c r="D43" s="107">
        <v>50919323</v>
      </c>
      <c r="E43" s="108">
        <v>59.85</v>
      </c>
      <c r="F43" s="42">
        <v>1016.01</v>
      </c>
      <c r="G43" s="31">
        <f>E43*F43</f>
        <v>60808.1985</v>
      </c>
      <c r="H43" s="156">
        <v>76.8898</v>
      </c>
      <c r="I43" s="33">
        <f>E43*H43</f>
        <v>4601.85453</v>
      </c>
      <c r="J43" s="70" t="s">
        <v>120</v>
      </c>
      <c r="K43" s="159" t="s">
        <v>148</v>
      </c>
      <c r="L43" s="36"/>
      <c r="M43" s="40"/>
      <c r="N43" s="38"/>
      <c r="O43" s="38"/>
      <c r="P43" s="38"/>
      <c r="Q43" s="38"/>
      <c r="R43" s="38"/>
      <c r="S43" s="38"/>
      <c r="T43" s="38"/>
      <c r="U43" s="39"/>
    </row>
    <row r="44" spans="1:21">
      <c r="A44" s="44">
        <f>A43+1</f>
        <v>39</v>
      </c>
      <c r="B44" s="72">
        <v>46140</v>
      </c>
      <c r="C44" s="28">
        <v>40000620</v>
      </c>
      <c r="D44" s="28">
        <v>54695846</v>
      </c>
      <c r="E44" s="29">
        <v>59.9</v>
      </c>
      <c r="F44" s="42">
        <v>1016.01</v>
      </c>
      <c r="G44" s="31">
        <f>E44*F44</f>
        <v>60858.999</v>
      </c>
      <c r="H44" s="156">
        <v>76.8898</v>
      </c>
      <c r="I44" s="33">
        <f>E44*H44</f>
        <v>4605.69902</v>
      </c>
      <c r="J44" s="34" t="s">
        <v>120</v>
      </c>
      <c r="K44" s="35" t="s">
        <v>148</v>
      </c>
      <c r="L44" s="43"/>
      <c r="M44" s="46"/>
      <c r="N44" s="41"/>
      <c r="O44" s="41"/>
      <c r="P44" s="41"/>
      <c r="Q44" s="41"/>
      <c r="R44" s="41"/>
      <c r="S44" s="41"/>
      <c r="T44" s="41"/>
      <c r="U44" s="45"/>
    </row>
    <row r="45" spans="1:21">
      <c r="A45" s="44">
        <f>A44+1</f>
        <v>40</v>
      </c>
      <c r="B45" s="72">
        <v>46140</v>
      </c>
      <c r="C45" s="28">
        <v>40000620</v>
      </c>
      <c r="D45" s="28">
        <v>55948871</v>
      </c>
      <c r="E45" s="29">
        <v>59.85</v>
      </c>
      <c r="F45" s="42">
        <v>1016.01</v>
      </c>
      <c r="G45" s="31">
        <f>E45*F45</f>
        <v>60808.1985</v>
      </c>
      <c r="H45" s="156">
        <v>76.8898</v>
      </c>
      <c r="I45" s="33">
        <f>E45*H45</f>
        <v>4601.85453</v>
      </c>
      <c r="J45" s="34" t="s">
        <v>120</v>
      </c>
      <c r="K45" s="35" t="s">
        <v>148</v>
      </c>
      <c r="L45" s="43"/>
      <c r="M45" s="46"/>
      <c r="N45" s="41"/>
      <c r="O45" s="41"/>
      <c r="P45" s="41"/>
      <c r="Q45" s="41"/>
      <c r="R45" s="41"/>
      <c r="S45" s="41"/>
      <c r="T45" s="41"/>
      <c r="U45" s="45"/>
    </row>
    <row r="46" spans="1:21">
      <c r="A46" s="44">
        <f>A45+1</f>
        <v>41</v>
      </c>
      <c r="B46" s="72">
        <v>46140</v>
      </c>
      <c r="C46" s="28">
        <v>40000620</v>
      </c>
      <c r="D46" s="28">
        <v>57261729</v>
      </c>
      <c r="E46" s="29">
        <v>60</v>
      </c>
      <c r="F46" s="42">
        <v>1016.01</v>
      </c>
      <c r="G46" s="31">
        <f>E46*F46</f>
        <v>60960.6</v>
      </c>
      <c r="H46" s="156">
        <v>76.8898</v>
      </c>
      <c r="I46" s="33">
        <f>E46*H46</f>
        <v>4613.388</v>
      </c>
      <c r="J46" s="34" t="s">
        <v>120</v>
      </c>
      <c r="K46" s="35" t="s">
        <v>148</v>
      </c>
      <c r="L46" s="43"/>
      <c r="M46" s="46"/>
      <c r="N46" s="41"/>
      <c r="O46" s="41"/>
      <c r="P46" s="41"/>
      <c r="Q46" s="41"/>
      <c r="R46" s="41"/>
      <c r="S46" s="41"/>
      <c r="T46" s="41"/>
      <c r="U46" s="45"/>
    </row>
    <row r="47" spans="1:21">
      <c r="A47" s="44">
        <f>A46+1</f>
        <v>42</v>
      </c>
      <c r="B47" s="72">
        <v>46140</v>
      </c>
      <c r="C47" s="28">
        <v>40000620</v>
      </c>
      <c r="D47" s="28">
        <v>58294174</v>
      </c>
      <c r="E47" s="29">
        <v>59.95</v>
      </c>
      <c r="F47" s="42">
        <v>1016.01</v>
      </c>
      <c r="G47" s="31">
        <f>E47*F47</f>
        <v>60909.7995</v>
      </c>
      <c r="H47" s="156">
        <v>76.8898</v>
      </c>
      <c r="I47" s="33">
        <f>E47*H47</f>
        <v>4609.54351</v>
      </c>
      <c r="J47" s="34" t="s">
        <v>120</v>
      </c>
      <c r="K47" s="35" t="s">
        <v>148</v>
      </c>
      <c r="L47" s="43"/>
      <c r="M47" s="46"/>
      <c r="N47" s="41"/>
      <c r="O47" s="41"/>
      <c r="P47" s="41"/>
      <c r="Q47" s="41"/>
      <c r="R47" s="41"/>
      <c r="S47" s="41"/>
      <c r="T47" s="41"/>
      <c r="U47" s="45"/>
    </row>
    <row r="48" spans="1:21">
      <c r="A48" s="44">
        <f>A47+1</f>
        <v>43</v>
      </c>
      <c r="B48" s="72">
        <v>46140</v>
      </c>
      <c r="C48" s="28">
        <v>40000620</v>
      </c>
      <c r="D48" s="28">
        <v>73137572</v>
      </c>
      <c r="E48" s="29">
        <v>59.95</v>
      </c>
      <c r="F48" s="42">
        <v>1016.01</v>
      </c>
      <c r="G48" s="31">
        <f>E48*F48</f>
        <v>60909.7995</v>
      </c>
      <c r="H48" s="156">
        <v>76.8898</v>
      </c>
      <c r="I48" s="33">
        <f>E48*H48</f>
        <v>4609.54351</v>
      </c>
      <c r="J48" s="34" t="s">
        <v>120</v>
      </c>
      <c r="K48" s="35" t="s">
        <v>148</v>
      </c>
      <c r="L48" s="43"/>
      <c r="M48" s="46"/>
      <c r="N48" s="41"/>
      <c r="O48" s="41"/>
      <c r="P48" s="41"/>
      <c r="Q48" s="41"/>
      <c r="R48" s="41"/>
      <c r="S48" s="41"/>
      <c r="T48" s="41"/>
      <c r="U48" s="45"/>
    </row>
    <row r="49" spans="1:21">
      <c r="A49" s="44">
        <f>A48+1</f>
        <v>44</v>
      </c>
      <c r="B49" s="72">
        <v>46140</v>
      </c>
      <c r="C49" s="28">
        <v>40000620</v>
      </c>
      <c r="D49" s="28">
        <v>73171605</v>
      </c>
      <c r="E49" s="29">
        <v>60</v>
      </c>
      <c r="F49" s="42">
        <v>1016.01</v>
      </c>
      <c r="G49" s="31">
        <f>E49*F49</f>
        <v>60960.6</v>
      </c>
      <c r="H49" s="156">
        <v>76.8898</v>
      </c>
      <c r="I49" s="33">
        <f>E49*H49</f>
        <v>4613.388</v>
      </c>
      <c r="J49" s="34" t="s">
        <v>120</v>
      </c>
      <c r="K49" s="35" t="s">
        <v>148</v>
      </c>
      <c r="L49" s="43"/>
      <c r="M49" s="46"/>
      <c r="N49" s="41"/>
      <c r="O49" s="41"/>
      <c r="P49" s="41"/>
      <c r="Q49" s="41"/>
      <c r="R49" s="41"/>
      <c r="S49" s="41"/>
      <c r="T49" s="41"/>
      <c r="U49" s="45"/>
    </row>
    <row r="50" spans="1:21">
      <c r="A50" s="44">
        <f>A49+1</f>
        <v>45</v>
      </c>
      <c r="B50" s="72">
        <v>46140</v>
      </c>
      <c r="C50" s="28">
        <v>40000620</v>
      </c>
      <c r="D50" s="28">
        <v>73189854</v>
      </c>
      <c r="E50" s="29">
        <v>60.1</v>
      </c>
      <c r="F50" s="42">
        <v>1016.01</v>
      </c>
      <c r="G50" s="31">
        <f>E50*F50</f>
        <v>61062.201</v>
      </c>
      <c r="H50" s="156">
        <v>76.8898</v>
      </c>
      <c r="I50" s="33">
        <f>E50*H50</f>
        <v>4621.07698</v>
      </c>
      <c r="J50" s="34" t="s">
        <v>120</v>
      </c>
      <c r="K50" s="35" t="s">
        <v>148</v>
      </c>
      <c r="L50" s="43"/>
      <c r="M50" s="46"/>
      <c r="N50" s="41"/>
      <c r="O50" s="41"/>
      <c r="P50" s="41"/>
      <c r="Q50" s="41"/>
      <c r="R50" s="41"/>
      <c r="S50" s="41"/>
      <c r="T50" s="41"/>
      <c r="U50" s="45"/>
    </row>
    <row r="51" spans="1:21">
      <c r="A51" s="44">
        <f>A50+1</f>
        <v>46</v>
      </c>
      <c r="B51" s="72">
        <v>46140</v>
      </c>
      <c r="C51" s="28">
        <v>40000620</v>
      </c>
      <c r="D51" s="28">
        <v>73190480</v>
      </c>
      <c r="E51" s="29">
        <v>60.15</v>
      </c>
      <c r="F51" s="42">
        <v>1016.01</v>
      </c>
      <c r="G51" s="31">
        <f>E51*F51</f>
        <v>61113.0015</v>
      </c>
      <c r="H51" s="156">
        <v>76.8898</v>
      </c>
      <c r="I51" s="33">
        <f>E51*H51</f>
        <v>4624.92147</v>
      </c>
      <c r="J51" s="34" t="s">
        <v>120</v>
      </c>
      <c r="K51" s="35" t="s">
        <v>148</v>
      </c>
      <c r="L51" s="43"/>
      <c r="M51" s="46"/>
      <c r="N51" s="41"/>
      <c r="O51" s="41"/>
      <c r="P51" s="41"/>
      <c r="Q51" s="41"/>
      <c r="R51" s="41"/>
      <c r="S51" s="41"/>
      <c r="T51" s="41"/>
      <c r="U51" s="45"/>
    </row>
    <row r="52" spans="1:21">
      <c r="A52" s="44">
        <f>A51+1</f>
        <v>47</v>
      </c>
      <c r="B52" s="72">
        <v>46140</v>
      </c>
      <c r="C52" s="28">
        <v>40000620</v>
      </c>
      <c r="D52" s="28">
        <v>73198905</v>
      </c>
      <c r="E52" s="29">
        <v>59.85</v>
      </c>
      <c r="F52" s="42">
        <v>1016.01</v>
      </c>
      <c r="G52" s="31">
        <f>E52*F52</f>
        <v>60808.1985</v>
      </c>
      <c r="H52" s="156">
        <v>76.8898</v>
      </c>
      <c r="I52" s="33">
        <f>E52*H52</f>
        <v>4601.85453</v>
      </c>
      <c r="J52" s="34" t="s">
        <v>120</v>
      </c>
      <c r="K52" s="35" t="s">
        <v>148</v>
      </c>
      <c r="L52" s="43"/>
      <c r="M52" s="46"/>
      <c r="N52" s="41"/>
      <c r="O52" s="41"/>
      <c r="P52" s="41"/>
      <c r="Q52" s="41"/>
      <c r="R52" s="41"/>
      <c r="S52" s="41"/>
      <c r="T52" s="41"/>
      <c r="U52" s="45"/>
    </row>
    <row r="53" spans="1:21">
      <c r="A53" s="44">
        <f>A52+1</f>
        <v>48</v>
      </c>
      <c r="B53" s="72">
        <v>46140</v>
      </c>
      <c r="C53" s="28">
        <v>40000620</v>
      </c>
      <c r="D53" s="28">
        <v>73551525</v>
      </c>
      <c r="E53" s="29">
        <v>60.1</v>
      </c>
      <c r="F53" s="42">
        <v>1016.01</v>
      </c>
      <c r="G53" s="31">
        <f>E53*F53</f>
        <v>61062.201</v>
      </c>
      <c r="H53" s="156">
        <v>76.8898</v>
      </c>
      <c r="I53" s="33">
        <f>E53*H53</f>
        <v>4621.07698</v>
      </c>
      <c r="J53" s="34" t="s">
        <v>120</v>
      </c>
      <c r="K53" s="35" t="s">
        <v>148</v>
      </c>
      <c r="L53" s="43"/>
      <c r="M53" s="46"/>
      <c r="N53" s="41"/>
      <c r="O53" s="41"/>
      <c r="P53" s="41"/>
      <c r="Q53" s="41"/>
      <c r="R53" s="41"/>
      <c r="S53" s="41"/>
      <c r="T53" s="41"/>
      <c r="U53" s="45"/>
    </row>
    <row r="54" spans="1:21">
      <c r="A54" s="44">
        <f>A53+1</f>
        <v>49</v>
      </c>
      <c r="B54" s="72">
        <v>46140</v>
      </c>
      <c r="C54" s="28">
        <v>40000620</v>
      </c>
      <c r="D54" s="28">
        <v>75229989</v>
      </c>
      <c r="E54" s="29">
        <v>60.35</v>
      </c>
      <c r="F54" s="42">
        <v>1016.01</v>
      </c>
      <c r="G54" s="31">
        <f>E54*F54</f>
        <v>61316.2035</v>
      </c>
      <c r="H54" s="156">
        <v>76.8898</v>
      </c>
      <c r="I54" s="33">
        <f>E54*H54</f>
        <v>4640.29943</v>
      </c>
      <c r="J54" s="34" t="s">
        <v>120</v>
      </c>
      <c r="K54" s="35" t="s">
        <v>148</v>
      </c>
      <c r="L54" s="43"/>
      <c r="M54" s="46"/>
      <c r="N54" s="41"/>
      <c r="O54" s="41"/>
      <c r="P54" s="41"/>
      <c r="Q54" s="41"/>
      <c r="R54" s="41"/>
      <c r="S54" s="41"/>
      <c r="T54" s="41"/>
      <c r="U54" s="45"/>
    </row>
    <row r="55" spans="1:21">
      <c r="A55" s="44">
        <f>A54+1</f>
        <v>50</v>
      </c>
      <c r="B55" s="72">
        <v>46140</v>
      </c>
      <c r="C55" s="28">
        <v>40000620</v>
      </c>
      <c r="D55" s="28">
        <v>75231902</v>
      </c>
      <c r="E55" s="29">
        <v>60.45</v>
      </c>
      <c r="F55" s="42">
        <v>1016.01</v>
      </c>
      <c r="G55" s="31">
        <f>E55*F55</f>
        <v>61417.8045</v>
      </c>
      <c r="H55" s="156">
        <v>76.8898</v>
      </c>
      <c r="I55" s="33">
        <f>E55*H55</f>
        <v>4647.98841</v>
      </c>
      <c r="J55" s="34" t="s">
        <v>120</v>
      </c>
      <c r="K55" s="35" t="s">
        <v>148</v>
      </c>
      <c r="L55" s="43"/>
      <c r="M55" s="46"/>
      <c r="N55" s="41"/>
      <c r="O55" s="41"/>
      <c r="P55" s="41"/>
      <c r="Q55" s="41"/>
      <c r="R55" s="41"/>
      <c r="S55" s="41"/>
      <c r="T55" s="41"/>
      <c r="U55" s="45"/>
    </row>
    <row r="56" spans="1:21">
      <c r="A56" s="44">
        <f>A55+1</f>
        <v>51</v>
      </c>
      <c r="B56" s="72">
        <v>46140</v>
      </c>
      <c r="C56" s="28">
        <v>40000620</v>
      </c>
      <c r="D56" s="28">
        <v>75296020</v>
      </c>
      <c r="E56" s="29">
        <v>60.4</v>
      </c>
      <c r="F56" s="42">
        <v>1016.01</v>
      </c>
      <c r="G56" s="31">
        <f>E56*F56</f>
        <v>61367.004</v>
      </c>
      <c r="H56" s="156">
        <v>76.8898</v>
      </c>
      <c r="I56" s="33">
        <f>E56*H56</f>
        <v>4644.14392</v>
      </c>
      <c r="J56" s="34" t="s">
        <v>120</v>
      </c>
      <c r="K56" s="35" t="s">
        <v>148</v>
      </c>
      <c r="L56" s="161"/>
      <c r="M56" s="46"/>
      <c r="N56" s="41"/>
      <c r="O56" s="41"/>
      <c r="P56" s="41"/>
      <c r="Q56" s="41"/>
      <c r="R56" s="41"/>
      <c r="S56" s="41"/>
      <c r="T56" s="41"/>
      <c r="U56" s="45"/>
    </row>
    <row r="57" ht="15.75" spans="1:21">
      <c r="A57" s="51">
        <f>A56+1</f>
        <v>52</v>
      </c>
      <c r="B57" s="157">
        <v>46140</v>
      </c>
      <c r="C57" s="158">
        <v>40000620</v>
      </c>
      <c r="D57" s="158">
        <v>76366392</v>
      </c>
      <c r="E57" s="162">
        <v>60.4</v>
      </c>
      <c r="F57" s="42">
        <v>1016.01</v>
      </c>
      <c r="G57" s="163">
        <f>E57*F57</f>
        <v>61367.004</v>
      </c>
      <c r="H57" s="156">
        <v>76.8898</v>
      </c>
      <c r="I57" s="164">
        <f>E57*H57</f>
        <v>4644.14392</v>
      </c>
      <c r="J57" s="165" t="s">
        <v>120</v>
      </c>
      <c r="K57" s="166" t="s">
        <v>148</v>
      </c>
      <c r="L57" s="167"/>
      <c r="M57" s="168"/>
      <c r="N57" s="169"/>
      <c r="O57" s="169"/>
      <c r="P57" s="169"/>
      <c r="Q57" s="169"/>
      <c r="R57" s="169"/>
      <c r="S57" s="169"/>
      <c r="T57" s="169"/>
      <c r="U57" s="170"/>
    </row>
    <row r="58" spans="1:21">
      <c r="A58" s="26">
        <v>53</v>
      </c>
      <c r="B58" s="27">
        <v>46140</v>
      </c>
      <c r="C58" s="107">
        <v>40000726</v>
      </c>
      <c r="D58" s="107">
        <v>51818730</v>
      </c>
      <c r="E58" s="108">
        <v>59.45</v>
      </c>
      <c r="F58" s="42">
        <v>1016.01</v>
      </c>
      <c r="G58" s="31">
        <f>E58*F58</f>
        <v>60401.7945</v>
      </c>
      <c r="H58" s="156">
        <v>76.8898</v>
      </c>
      <c r="I58" s="33">
        <f>E58*H58</f>
        <v>4571.09861</v>
      </c>
      <c r="J58" s="70" t="s">
        <v>120</v>
      </c>
      <c r="K58" s="71" t="s">
        <v>148</v>
      </c>
      <c r="L58" s="171"/>
      <c r="M58" s="172"/>
      <c r="N58" s="173"/>
      <c r="O58" s="173"/>
      <c r="P58" s="173"/>
      <c r="Q58" s="173"/>
      <c r="R58" s="173"/>
      <c r="S58" s="173"/>
      <c r="T58" s="173"/>
      <c r="U58" s="174"/>
    </row>
    <row r="59" spans="1:21">
      <c r="A59" s="44">
        <f>A58+1</f>
        <v>54</v>
      </c>
      <c r="B59" s="72">
        <v>46140</v>
      </c>
      <c r="C59" s="28">
        <v>40000728</v>
      </c>
      <c r="D59" s="28">
        <v>56905094</v>
      </c>
      <c r="E59" s="29">
        <v>59.45</v>
      </c>
      <c r="F59" s="42">
        <v>1016.01</v>
      </c>
      <c r="G59" s="102">
        <f>E59*F59</f>
        <v>60401.7945</v>
      </c>
      <c r="H59" s="156">
        <v>76.8898</v>
      </c>
      <c r="I59" s="103">
        <f>E59*H59</f>
        <v>4571.09861</v>
      </c>
      <c r="J59" s="34" t="s">
        <v>120</v>
      </c>
      <c r="K59" s="74" t="s">
        <v>148</v>
      </c>
      <c r="M59" s="44"/>
      <c r="N59" s="41"/>
      <c r="O59" s="41"/>
      <c r="P59" s="41"/>
      <c r="Q59" s="41"/>
      <c r="R59" s="41"/>
      <c r="S59" s="41"/>
      <c r="T59" s="41"/>
      <c r="U59" s="45"/>
    </row>
    <row r="60" spans="1:21">
      <c r="A60" s="44">
        <f>A59+1</f>
        <v>55</v>
      </c>
      <c r="B60" s="72">
        <v>46140</v>
      </c>
      <c r="C60" s="28">
        <v>40000729</v>
      </c>
      <c r="D60" s="28">
        <v>74944414</v>
      </c>
      <c r="E60" s="29">
        <v>59.85</v>
      </c>
      <c r="F60" s="42">
        <v>1016.01</v>
      </c>
      <c r="G60" s="102">
        <f>E60*F60</f>
        <v>60808.1985</v>
      </c>
      <c r="H60" s="156">
        <v>76.8898</v>
      </c>
      <c r="I60" s="103">
        <f>E60*H60</f>
        <v>4601.85453</v>
      </c>
      <c r="J60" s="34" t="s">
        <v>120</v>
      </c>
      <c r="K60" s="74" t="s">
        <v>148</v>
      </c>
      <c r="M60" s="44"/>
      <c r="N60" s="41"/>
      <c r="O60" s="41"/>
      <c r="P60" s="41"/>
      <c r="Q60" s="41"/>
      <c r="R60" s="41"/>
      <c r="S60" s="41"/>
      <c r="T60" s="41"/>
      <c r="U60" s="45"/>
    </row>
    <row r="61" ht="15.75" spans="1:21">
      <c r="A61" s="75">
        <f>A60+1</f>
        <v>56</v>
      </c>
      <c r="B61" s="76">
        <v>46140</v>
      </c>
      <c r="C61" s="47">
        <v>40000727</v>
      </c>
      <c r="D61" s="47">
        <v>75085357</v>
      </c>
      <c r="E61" s="48">
        <v>60.4</v>
      </c>
      <c r="F61" s="42">
        <v>1016.01</v>
      </c>
      <c r="G61" s="105">
        <f>E61*F61</f>
        <v>61367.004</v>
      </c>
      <c r="H61" s="156">
        <v>76.8898</v>
      </c>
      <c r="I61" s="106">
        <f>E61*H61</f>
        <v>4644.14392</v>
      </c>
      <c r="J61" s="81" t="s">
        <v>120</v>
      </c>
      <c r="K61" s="82" t="s">
        <v>148</v>
      </c>
      <c r="L61" s="175"/>
      <c r="M61" s="176"/>
      <c r="N61" s="169"/>
      <c r="O61" s="169"/>
      <c r="P61" s="169"/>
      <c r="Q61" s="169"/>
      <c r="R61" s="169"/>
      <c r="S61" s="169"/>
      <c r="T61" s="169"/>
      <c r="U61" s="170"/>
    </row>
    <row r="62" spans="1:21">
      <c r="A62" s="37">
        <v>57</v>
      </c>
      <c r="B62" s="115">
        <v>46141</v>
      </c>
      <c r="C62" s="177">
        <v>40000747</v>
      </c>
      <c r="D62" s="177">
        <v>50350404</v>
      </c>
      <c r="E62" s="178">
        <v>59.4</v>
      </c>
      <c r="F62" s="42">
        <v>1016.01</v>
      </c>
      <c r="G62" s="118">
        <f>E62*F62</f>
        <v>60350.994</v>
      </c>
      <c r="H62" s="156">
        <v>76.8898</v>
      </c>
      <c r="I62" s="120">
        <f>E62*H62</f>
        <v>4567.25412</v>
      </c>
      <c r="J62" s="121" t="s">
        <v>120</v>
      </c>
      <c r="K62" s="122" t="s">
        <v>148</v>
      </c>
      <c r="L62" s="179"/>
      <c r="M62" s="37"/>
      <c r="N62" s="38"/>
      <c r="O62" s="38"/>
      <c r="P62" s="38"/>
      <c r="Q62" s="38"/>
      <c r="R62" s="38"/>
      <c r="S62" s="38"/>
      <c r="T62" s="38"/>
      <c r="U62" s="39"/>
    </row>
    <row r="63" spans="1:21">
      <c r="A63" s="44">
        <f>A62+1</f>
        <v>58</v>
      </c>
      <c r="B63" s="72">
        <v>46141</v>
      </c>
      <c r="C63" s="28">
        <v>40000744</v>
      </c>
      <c r="D63" s="28">
        <v>50779008</v>
      </c>
      <c r="E63" s="29">
        <v>50.95</v>
      </c>
      <c r="F63" s="42">
        <v>1016.01</v>
      </c>
      <c r="G63" s="102">
        <f>E63*F63</f>
        <v>51765.7095</v>
      </c>
      <c r="H63" s="156">
        <v>76.8898</v>
      </c>
      <c r="I63" s="103">
        <f>E63*H63</f>
        <v>3917.53531</v>
      </c>
      <c r="J63" s="34" t="s">
        <v>120</v>
      </c>
      <c r="K63" s="74" t="s">
        <v>148</v>
      </c>
      <c r="L63" s="89"/>
      <c r="M63" s="44"/>
      <c r="N63" s="41"/>
      <c r="O63" s="41"/>
      <c r="P63" s="41"/>
      <c r="Q63" s="41"/>
      <c r="R63" s="41"/>
      <c r="S63" s="41"/>
      <c r="T63" s="41"/>
      <c r="U63" s="45"/>
    </row>
    <row r="64" spans="1:21">
      <c r="A64" s="44">
        <f>A63+1</f>
        <v>59</v>
      </c>
      <c r="B64" s="72">
        <v>46141</v>
      </c>
      <c r="C64" s="28">
        <v>40000745</v>
      </c>
      <c r="D64" s="28">
        <v>51241842</v>
      </c>
      <c r="E64" s="29">
        <v>59.45</v>
      </c>
      <c r="F64" s="42">
        <v>1016.01</v>
      </c>
      <c r="G64" s="102">
        <f>E64*F64</f>
        <v>60401.7945</v>
      </c>
      <c r="H64" s="156">
        <v>76.8898</v>
      </c>
      <c r="I64" s="103">
        <f>E64*H64</f>
        <v>4571.09861</v>
      </c>
      <c r="J64" s="34" t="s">
        <v>120</v>
      </c>
      <c r="K64" s="74" t="s">
        <v>148</v>
      </c>
      <c r="L64" s="89"/>
      <c r="M64" s="44"/>
      <c r="N64" s="41"/>
      <c r="O64" s="41"/>
      <c r="P64" s="41"/>
      <c r="Q64" s="41"/>
      <c r="R64" s="41"/>
      <c r="S64" s="41"/>
      <c r="T64" s="41"/>
      <c r="U64" s="45"/>
    </row>
    <row r="65" spans="1:21">
      <c r="A65" s="44">
        <f>A64+1</f>
        <v>60</v>
      </c>
      <c r="B65" s="72">
        <v>46141</v>
      </c>
      <c r="C65" s="28">
        <v>40000747</v>
      </c>
      <c r="D65" s="28">
        <v>51394385</v>
      </c>
      <c r="E65" s="29">
        <v>59.2</v>
      </c>
      <c r="F65" s="42">
        <v>1016.01</v>
      </c>
      <c r="G65" s="102">
        <f>E65*F65</f>
        <v>60147.792</v>
      </c>
      <c r="H65" s="156">
        <v>76.8898</v>
      </c>
      <c r="I65" s="103">
        <f>E65*H65</f>
        <v>4551.87616</v>
      </c>
      <c r="J65" s="34" t="s">
        <v>120</v>
      </c>
      <c r="K65" s="74" t="s">
        <v>148</v>
      </c>
      <c r="L65" s="89"/>
      <c r="M65" s="44"/>
      <c r="N65" s="41"/>
      <c r="O65" s="41"/>
      <c r="P65" s="41"/>
      <c r="Q65" s="41"/>
      <c r="R65" s="41"/>
      <c r="S65" s="41"/>
      <c r="T65" s="41"/>
      <c r="U65" s="45"/>
    </row>
    <row r="66" spans="1:21">
      <c r="A66" s="44">
        <f>A65+1</f>
        <v>61</v>
      </c>
      <c r="B66" s="72">
        <v>46141</v>
      </c>
      <c r="C66" s="28">
        <v>40000747</v>
      </c>
      <c r="D66" s="28">
        <v>51548071</v>
      </c>
      <c r="E66" s="29">
        <v>50.25</v>
      </c>
      <c r="F66" s="42">
        <v>1016.01</v>
      </c>
      <c r="G66" s="102">
        <f>E66*F66</f>
        <v>51054.5025</v>
      </c>
      <c r="H66" s="156">
        <v>76.8898</v>
      </c>
      <c r="I66" s="103">
        <f>E66*H66</f>
        <v>3863.71245</v>
      </c>
      <c r="J66" s="34" t="s">
        <v>120</v>
      </c>
      <c r="K66" s="74" t="s">
        <v>148</v>
      </c>
      <c r="L66" s="89"/>
      <c r="M66" s="44"/>
      <c r="N66" s="41"/>
      <c r="O66" s="41"/>
      <c r="P66" s="41"/>
      <c r="Q66" s="41"/>
      <c r="R66" s="41"/>
      <c r="S66" s="41"/>
      <c r="T66" s="41"/>
      <c r="U66" s="45"/>
    </row>
    <row r="67" spans="1:21">
      <c r="A67" s="44">
        <f>A66+1</f>
        <v>62</v>
      </c>
      <c r="B67" s="72">
        <v>46141</v>
      </c>
      <c r="C67" s="28">
        <v>40000746</v>
      </c>
      <c r="D67" s="28">
        <v>51892578</v>
      </c>
      <c r="E67" s="29">
        <v>59.8</v>
      </c>
      <c r="F67" s="42">
        <v>1016.01</v>
      </c>
      <c r="G67" s="102">
        <f>E67*F67</f>
        <v>60757.398</v>
      </c>
      <c r="H67" s="156">
        <v>76.8898</v>
      </c>
      <c r="I67" s="103">
        <f>E67*H67</f>
        <v>4598.01004</v>
      </c>
      <c r="J67" s="34" t="s">
        <v>120</v>
      </c>
      <c r="K67" s="74" t="s">
        <v>148</v>
      </c>
      <c r="L67" s="89"/>
      <c r="M67" s="44"/>
      <c r="N67" s="41"/>
      <c r="O67" s="41"/>
      <c r="P67" s="41"/>
      <c r="Q67" s="41"/>
      <c r="R67" s="41"/>
      <c r="S67" s="41"/>
      <c r="T67" s="41"/>
      <c r="U67" s="45"/>
    </row>
    <row r="68" spans="1:21">
      <c r="A68" s="44">
        <f>A67+1</f>
        <v>63</v>
      </c>
      <c r="B68" s="72">
        <v>46141</v>
      </c>
      <c r="C68" s="28">
        <v>40000747</v>
      </c>
      <c r="D68" s="28">
        <v>53988655</v>
      </c>
      <c r="E68" s="29">
        <v>59.15</v>
      </c>
      <c r="F68" s="42">
        <v>1016.01</v>
      </c>
      <c r="G68" s="102">
        <f>E68*F68</f>
        <v>60096.9915</v>
      </c>
      <c r="H68" s="156">
        <v>76.8898</v>
      </c>
      <c r="I68" s="103">
        <f>E68*H68</f>
        <v>4548.03167</v>
      </c>
      <c r="J68" s="34" t="s">
        <v>120</v>
      </c>
      <c r="K68" s="74" t="s">
        <v>148</v>
      </c>
      <c r="L68" s="89"/>
      <c r="M68" s="44"/>
      <c r="N68" s="41"/>
      <c r="O68" s="41"/>
      <c r="P68" s="41"/>
      <c r="Q68" s="41"/>
      <c r="R68" s="41"/>
      <c r="S68" s="41"/>
      <c r="T68" s="41"/>
      <c r="U68" s="45"/>
    </row>
    <row r="69" spans="1:21">
      <c r="A69" s="44">
        <f>A68+1</f>
        <v>64</v>
      </c>
      <c r="B69" s="72">
        <v>46141</v>
      </c>
      <c r="C69" s="28">
        <v>40000747</v>
      </c>
      <c r="D69" s="28">
        <v>55303572</v>
      </c>
      <c r="E69" s="29">
        <v>59.35</v>
      </c>
      <c r="F69" s="42">
        <v>1016.01</v>
      </c>
      <c r="G69" s="102">
        <f>E69*F69</f>
        <v>60300.1935</v>
      </c>
      <c r="H69" s="156">
        <v>76.8898</v>
      </c>
      <c r="I69" s="103">
        <f>E69*H69</f>
        <v>4563.40963</v>
      </c>
      <c r="J69" s="34" t="s">
        <v>120</v>
      </c>
      <c r="K69" s="74" t="s">
        <v>148</v>
      </c>
      <c r="L69" s="89"/>
      <c r="M69" s="44"/>
      <c r="N69" s="41"/>
      <c r="O69" s="41"/>
      <c r="P69" s="41"/>
      <c r="Q69" s="41"/>
      <c r="R69" s="41"/>
      <c r="S69" s="41"/>
      <c r="T69" s="41"/>
      <c r="U69" s="45"/>
    </row>
    <row r="70" spans="1:21">
      <c r="A70" s="44">
        <f>A69+1</f>
        <v>65</v>
      </c>
      <c r="B70" s="72">
        <v>46141</v>
      </c>
      <c r="C70" s="28">
        <v>40000747</v>
      </c>
      <c r="D70" s="28">
        <v>55948368</v>
      </c>
      <c r="E70" s="29">
        <v>59.95</v>
      </c>
      <c r="F70" s="42">
        <v>1016.01</v>
      </c>
      <c r="G70" s="102">
        <f>E70*F70</f>
        <v>60909.7995</v>
      </c>
      <c r="H70" s="156">
        <v>76.8898</v>
      </c>
      <c r="I70" s="103">
        <f>E70*H70</f>
        <v>4609.54351</v>
      </c>
      <c r="J70" s="34" t="s">
        <v>120</v>
      </c>
      <c r="K70" s="74" t="s">
        <v>148</v>
      </c>
      <c r="L70" s="89"/>
      <c r="M70" s="44"/>
      <c r="N70" s="41"/>
      <c r="O70" s="41"/>
      <c r="P70" s="41"/>
      <c r="Q70" s="41"/>
      <c r="R70" s="41"/>
      <c r="S70" s="41"/>
      <c r="T70" s="41"/>
      <c r="U70" s="45"/>
    </row>
    <row r="71" spans="1:21">
      <c r="A71" s="44">
        <f>A70+1</f>
        <v>66</v>
      </c>
      <c r="B71" s="72">
        <v>46141</v>
      </c>
      <c r="C71" s="28">
        <v>40000747</v>
      </c>
      <c r="D71" s="28">
        <v>73100273</v>
      </c>
      <c r="E71" s="29">
        <v>59.95</v>
      </c>
      <c r="F71" s="42">
        <v>1016.01</v>
      </c>
      <c r="G71" s="102">
        <f>E71*F71</f>
        <v>60909.7995</v>
      </c>
      <c r="H71" s="156">
        <v>76.8898</v>
      </c>
      <c r="I71" s="103">
        <f>E71*H71</f>
        <v>4609.54351</v>
      </c>
      <c r="J71" s="34" t="s">
        <v>120</v>
      </c>
      <c r="K71" s="74" t="s">
        <v>148</v>
      </c>
      <c r="L71" s="89"/>
      <c r="M71" s="44"/>
      <c r="N71" s="41"/>
      <c r="O71" s="41"/>
      <c r="P71" s="41"/>
      <c r="Q71" s="41"/>
      <c r="R71" s="41"/>
      <c r="S71" s="41"/>
      <c r="T71" s="41"/>
      <c r="U71" s="45"/>
    </row>
    <row r="72" spans="1:21">
      <c r="A72" s="44">
        <f>A71+1</f>
        <v>67</v>
      </c>
      <c r="B72" s="72">
        <v>46141</v>
      </c>
      <c r="C72" s="28">
        <v>40000747</v>
      </c>
      <c r="D72" s="28">
        <v>73201634</v>
      </c>
      <c r="E72" s="29">
        <v>59.9</v>
      </c>
      <c r="F72" s="42">
        <v>1016.01</v>
      </c>
      <c r="G72" s="102">
        <f>E72*F72</f>
        <v>60858.999</v>
      </c>
      <c r="H72" s="156">
        <v>76.8898</v>
      </c>
      <c r="I72" s="103">
        <f>E72*H72</f>
        <v>4605.69902</v>
      </c>
      <c r="J72" s="34" t="s">
        <v>120</v>
      </c>
      <c r="K72" s="74" t="s">
        <v>148</v>
      </c>
      <c r="L72" s="89"/>
      <c r="M72" s="44"/>
      <c r="N72" s="41"/>
      <c r="O72" s="41"/>
      <c r="P72" s="41"/>
      <c r="Q72" s="41"/>
      <c r="R72" s="41"/>
      <c r="S72" s="41"/>
      <c r="T72" s="41"/>
      <c r="U72" s="45"/>
    </row>
    <row r="73" spans="1:21">
      <c r="A73" s="44">
        <f>A72+1</f>
        <v>68</v>
      </c>
      <c r="B73" s="72">
        <v>46141</v>
      </c>
      <c r="C73" s="28">
        <v>40000747</v>
      </c>
      <c r="D73" s="28">
        <v>73969925</v>
      </c>
      <c r="E73" s="29">
        <v>59.4</v>
      </c>
      <c r="F73" s="42">
        <v>1016.01</v>
      </c>
      <c r="G73" s="102">
        <f>E73*F73</f>
        <v>60350.994</v>
      </c>
      <c r="H73" s="156">
        <v>76.8898</v>
      </c>
      <c r="I73" s="103">
        <f>E73*H73</f>
        <v>4567.25412</v>
      </c>
      <c r="J73" s="34" t="s">
        <v>120</v>
      </c>
      <c r="K73" s="74" t="s">
        <v>148</v>
      </c>
      <c r="L73" s="89"/>
      <c r="M73" s="44"/>
      <c r="N73" s="41"/>
      <c r="O73" s="41"/>
      <c r="P73" s="41"/>
      <c r="Q73" s="41"/>
      <c r="R73" s="41"/>
      <c r="S73" s="41"/>
      <c r="T73" s="41"/>
      <c r="U73" s="45"/>
    </row>
    <row r="74" spans="1:21">
      <c r="A74" s="44">
        <f>A73+1</f>
        <v>69</v>
      </c>
      <c r="B74" s="72">
        <v>46141</v>
      </c>
      <c r="C74" s="28">
        <v>40000747</v>
      </c>
      <c r="D74" s="28">
        <v>75263640</v>
      </c>
      <c r="E74" s="29">
        <v>60.35</v>
      </c>
      <c r="F74" s="42">
        <v>1016.01</v>
      </c>
      <c r="G74" s="102">
        <f>E74*F74</f>
        <v>61316.2035</v>
      </c>
      <c r="H74" s="156">
        <v>76.8898</v>
      </c>
      <c r="I74" s="103">
        <f>E74*H74</f>
        <v>4640.29943</v>
      </c>
      <c r="J74" s="34" t="s">
        <v>120</v>
      </c>
      <c r="K74" s="74" t="s">
        <v>148</v>
      </c>
      <c r="L74" s="89"/>
      <c r="M74" s="44"/>
      <c r="N74" s="41"/>
      <c r="O74" s="41"/>
      <c r="P74" s="41"/>
      <c r="Q74" s="41"/>
      <c r="R74" s="41"/>
      <c r="S74" s="41"/>
      <c r="T74" s="41"/>
      <c r="U74" s="45"/>
    </row>
    <row r="75" spans="1:21">
      <c r="A75" s="44">
        <f>A74+1</f>
        <v>70</v>
      </c>
      <c r="B75" s="72">
        <v>46141</v>
      </c>
      <c r="C75" s="28">
        <v>40000747</v>
      </c>
      <c r="D75" s="28">
        <v>75267229</v>
      </c>
      <c r="E75" s="29">
        <v>60.4</v>
      </c>
      <c r="F75" s="42">
        <v>1016.01</v>
      </c>
      <c r="G75" s="102">
        <f>E75*F75</f>
        <v>61367.004</v>
      </c>
      <c r="H75" s="156">
        <v>76.8898</v>
      </c>
      <c r="I75" s="103">
        <f>E75*H75</f>
        <v>4644.14392</v>
      </c>
      <c r="J75" s="34" t="s">
        <v>120</v>
      </c>
      <c r="K75" s="74" t="s">
        <v>148</v>
      </c>
      <c r="L75" s="89"/>
      <c r="M75" s="44"/>
      <c r="N75" s="41"/>
      <c r="O75" s="41"/>
      <c r="P75" s="41"/>
      <c r="Q75" s="41"/>
      <c r="R75" s="41"/>
      <c r="S75" s="41"/>
      <c r="T75" s="41"/>
      <c r="U75" s="45"/>
    </row>
    <row r="76" spans="1:21">
      <c r="A76" s="44">
        <f>A75+1</f>
        <v>71</v>
      </c>
      <c r="B76" s="72">
        <v>46141</v>
      </c>
      <c r="C76" s="28">
        <v>40000747</v>
      </c>
      <c r="D76" s="28">
        <v>75289561</v>
      </c>
      <c r="E76" s="29">
        <v>60.35</v>
      </c>
      <c r="F76" s="42">
        <v>1016.01</v>
      </c>
      <c r="G76" s="102">
        <f>E76*F76</f>
        <v>61316.2035</v>
      </c>
      <c r="H76" s="156">
        <v>76.8898</v>
      </c>
      <c r="I76" s="103">
        <f>E76*H76</f>
        <v>4640.29943</v>
      </c>
      <c r="J76" s="34" t="s">
        <v>120</v>
      </c>
      <c r="K76" s="74" t="s">
        <v>148</v>
      </c>
      <c r="L76" s="89"/>
      <c r="M76" s="44"/>
      <c r="N76" s="41"/>
      <c r="O76" s="41"/>
      <c r="P76" s="41"/>
      <c r="Q76" s="41"/>
      <c r="R76" s="41"/>
      <c r="S76" s="41"/>
      <c r="T76" s="41"/>
      <c r="U76" s="45"/>
    </row>
    <row r="77" spans="1:21">
      <c r="A77" s="44">
        <f>A76+1</f>
        <v>72</v>
      </c>
      <c r="B77" s="72">
        <v>46141</v>
      </c>
      <c r="C77" s="28">
        <v>40000747</v>
      </c>
      <c r="D77" s="28">
        <v>76305994</v>
      </c>
      <c r="E77" s="29">
        <v>60.35</v>
      </c>
      <c r="F77" s="42">
        <v>1016.01</v>
      </c>
      <c r="G77" s="102">
        <f>E77*F77</f>
        <v>61316.2035</v>
      </c>
      <c r="H77" s="156">
        <v>76.8898</v>
      </c>
      <c r="I77" s="103">
        <f>E77*H77</f>
        <v>4640.29943</v>
      </c>
      <c r="J77" s="34" t="s">
        <v>120</v>
      </c>
      <c r="K77" s="74" t="s">
        <v>148</v>
      </c>
      <c r="L77" s="89"/>
      <c r="M77" s="44"/>
      <c r="N77" s="41"/>
      <c r="O77" s="41"/>
      <c r="P77" s="41"/>
      <c r="Q77" s="41"/>
      <c r="R77" s="41"/>
      <c r="S77" s="41"/>
      <c r="T77" s="41"/>
      <c r="U77" s="45"/>
    </row>
    <row r="78" spans="1:21">
      <c r="A78" s="44">
        <f>A77+1</f>
        <v>73</v>
      </c>
      <c r="B78" s="72">
        <v>46141</v>
      </c>
      <c r="C78" s="28">
        <v>40000747</v>
      </c>
      <c r="D78" s="28">
        <v>76801745</v>
      </c>
      <c r="E78" s="29">
        <v>50.25</v>
      </c>
      <c r="F78" s="42">
        <v>1016.01</v>
      </c>
      <c r="G78" s="102">
        <f>E78*F78</f>
        <v>51054.5025</v>
      </c>
      <c r="H78" s="156">
        <v>76.8898</v>
      </c>
      <c r="I78" s="103">
        <f>E78*H78</f>
        <v>3863.71245</v>
      </c>
      <c r="J78" s="34" t="s">
        <v>120</v>
      </c>
      <c r="K78" s="74" t="s">
        <v>148</v>
      </c>
      <c r="L78" s="89"/>
      <c r="M78" s="44"/>
      <c r="N78" s="41"/>
      <c r="O78" s="41"/>
      <c r="P78" s="41"/>
      <c r="Q78" s="41"/>
      <c r="R78" s="41"/>
      <c r="S78" s="41"/>
      <c r="T78" s="41"/>
      <c r="U78" s="45"/>
    </row>
    <row r="79" ht="15.75" spans="1:21">
      <c r="A79" s="75">
        <f>A78+1</f>
        <v>74</v>
      </c>
      <c r="B79" s="76">
        <v>46141</v>
      </c>
      <c r="C79" s="47">
        <v>40000747</v>
      </c>
      <c r="D79" s="47">
        <v>76802214</v>
      </c>
      <c r="E79" s="48">
        <v>50.35</v>
      </c>
      <c r="F79" s="42">
        <v>1016.01</v>
      </c>
      <c r="G79" s="105">
        <f>E79*F79</f>
        <v>51156.1035</v>
      </c>
      <c r="H79" s="156">
        <v>76.8898</v>
      </c>
      <c r="I79" s="106">
        <f>E79*H79</f>
        <v>3871.40143</v>
      </c>
      <c r="J79" s="81" t="s">
        <v>120</v>
      </c>
      <c r="K79" s="82" t="s">
        <v>148</v>
      </c>
      <c r="L79" s="180"/>
      <c r="M79" s="51"/>
      <c r="N79" s="52"/>
      <c r="O79" s="52"/>
      <c r="P79" s="52"/>
      <c r="Q79" s="52"/>
      <c r="R79" s="52"/>
      <c r="S79" s="52"/>
      <c r="T79" s="52"/>
      <c r="U79" s="53"/>
    </row>
    <row r="80" spans="1:21">
      <c r="A80" s="26">
        <v>75</v>
      </c>
      <c r="B80" s="27">
        <v>46141</v>
      </c>
      <c r="C80" s="107">
        <v>40000814</v>
      </c>
      <c r="D80" s="107">
        <v>50054543</v>
      </c>
      <c r="E80" s="108">
        <v>61.05</v>
      </c>
      <c r="F80" s="42">
        <v>1016.01</v>
      </c>
      <c r="G80" s="31">
        <f>E80*F80</f>
        <v>62027.4105</v>
      </c>
      <c r="H80" s="156">
        <v>76.8898</v>
      </c>
      <c r="I80" s="33">
        <f>E80*H80</f>
        <v>4694.12229</v>
      </c>
      <c r="J80" s="70" t="s">
        <v>120</v>
      </c>
      <c r="K80" s="71" t="s">
        <v>148</v>
      </c>
      <c r="L80" s="95"/>
      <c r="M80" s="37"/>
      <c r="N80" s="38"/>
      <c r="O80" s="38"/>
      <c r="P80" s="38"/>
      <c r="Q80" s="38"/>
      <c r="R80" s="38"/>
      <c r="S80" s="38"/>
      <c r="T80" s="38"/>
      <c r="U80" s="39"/>
    </row>
    <row r="81" spans="1:21">
      <c r="A81" s="44">
        <f>A80+1</f>
        <v>76</v>
      </c>
      <c r="B81" s="72">
        <v>46141</v>
      </c>
      <c r="C81" s="28">
        <v>40000814</v>
      </c>
      <c r="D81" s="28">
        <v>50218692</v>
      </c>
      <c r="E81" s="29">
        <v>60.15</v>
      </c>
      <c r="F81" s="42">
        <v>1016.01</v>
      </c>
      <c r="G81" s="102">
        <f>E81*F81</f>
        <v>61113.0015</v>
      </c>
      <c r="H81" s="156">
        <v>76.8898</v>
      </c>
      <c r="I81" s="103">
        <f>E81*H81</f>
        <v>4624.92147</v>
      </c>
      <c r="J81" s="34" t="s">
        <v>120</v>
      </c>
      <c r="K81" s="74" t="s">
        <v>148</v>
      </c>
      <c r="L81" s="89"/>
      <c r="M81" s="44"/>
      <c r="N81" s="41"/>
      <c r="O81" s="41"/>
      <c r="P81" s="41"/>
      <c r="Q81" s="41"/>
      <c r="R81" s="41"/>
      <c r="S81" s="41"/>
      <c r="T81" s="41"/>
      <c r="U81" s="45"/>
    </row>
    <row r="82" spans="1:21">
      <c r="A82" s="44">
        <f>A81+1</f>
        <v>77</v>
      </c>
      <c r="B82" s="72">
        <v>46141</v>
      </c>
      <c r="C82" s="28">
        <v>40000811</v>
      </c>
      <c r="D82" s="28">
        <v>50439231</v>
      </c>
      <c r="E82" s="29">
        <v>61.35</v>
      </c>
      <c r="F82" s="42">
        <v>1016.01</v>
      </c>
      <c r="G82" s="102">
        <f>E82*F82</f>
        <v>62332.2135</v>
      </c>
      <c r="H82" s="156">
        <v>76.8898</v>
      </c>
      <c r="I82" s="103">
        <f>E82*H82</f>
        <v>4717.18923</v>
      </c>
      <c r="J82" s="34" t="s">
        <v>120</v>
      </c>
      <c r="K82" s="74" t="s">
        <v>148</v>
      </c>
      <c r="L82" s="89"/>
      <c r="M82" s="44"/>
      <c r="N82" s="41"/>
      <c r="O82" s="41"/>
      <c r="P82" s="41"/>
      <c r="Q82" s="41"/>
      <c r="R82" s="41"/>
      <c r="S82" s="41"/>
      <c r="T82" s="41"/>
      <c r="U82" s="45"/>
    </row>
    <row r="83" spans="1:21">
      <c r="A83" s="44">
        <f>A82+1</f>
        <v>78</v>
      </c>
      <c r="B83" s="72">
        <v>46141</v>
      </c>
      <c r="C83" s="28">
        <v>40000813</v>
      </c>
      <c r="D83" s="28">
        <v>50485135</v>
      </c>
      <c r="E83" s="29">
        <v>59.3</v>
      </c>
      <c r="F83" s="42">
        <v>1016.01</v>
      </c>
      <c r="G83" s="102">
        <f>E83*F83</f>
        <v>60249.393</v>
      </c>
      <c r="H83" s="156">
        <v>76.8898</v>
      </c>
      <c r="I83" s="103">
        <f>E83*H83</f>
        <v>4559.56514</v>
      </c>
      <c r="J83" s="34" t="s">
        <v>120</v>
      </c>
      <c r="K83" s="74" t="s">
        <v>148</v>
      </c>
      <c r="L83" s="89"/>
      <c r="M83" s="44"/>
      <c r="N83" s="41"/>
      <c r="O83" s="41"/>
      <c r="P83" s="41"/>
      <c r="Q83" s="41"/>
      <c r="R83" s="41"/>
      <c r="S83" s="41"/>
      <c r="T83" s="41"/>
      <c r="U83" s="45"/>
    </row>
    <row r="84" spans="1:21">
      <c r="A84" s="44">
        <f>A83+1</f>
        <v>79</v>
      </c>
      <c r="B84" s="72">
        <v>46141</v>
      </c>
      <c r="C84" s="28">
        <v>40000814</v>
      </c>
      <c r="D84" s="28">
        <v>50497221</v>
      </c>
      <c r="E84" s="29">
        <v>60.3</v>
      </c>
      <c r="F84" s="42">
        <v>1016.01</v>
      </c>
      <c r="G84" s="102">
        <f>E84*F84</f>
        <v>61265.403</v>
      </c>
      <c r="H84" s="156">
        <v>76.8898</v>
      </c>
      <c r="I84" s="103">
        <f>E84*H84</f>
        <v>4636.45494</v>
      </c>
      <c r="J84" s="34" t="s">
        <v>120</v>
      </c>
      <c r="K84" s="74" t="s">
        <v>148</v>
      </c>
      <c r="L84" s="89"/>
      <c r="M84" s="44"/>
      <c r="N84" s="41"/>
      <c r="O84" s="41"/>
      <c r="P84" s="41"/>
      <c r="Q84" s="41"/>
      <c r="R84" s="41"/>
      <c r="S84" s="41"/>
      <c r="T84" s="41"/>
      <c r="U84" s="45"/>
    </row>
    <row r="85" spans="1:21">
      <c r="A85" s="44">
        <f>A84+1</f>
        <v>80</v>
      </c>
      <c r="B85" s="72">
        <v>46141</v>
      </c>
      <c r="C85" s="28">
        <v>40000815</v>
      </c>
      <c r="D85" s="28">
        <v>50753151</v>
      </c>
      <c r="E85" s="29">
        <v>59.65</v>
      </c>
      <c r="F85" s="42">
        <v>1016.01</v>
      </c>
      <c r="G85" s="102">
        <f>E85*F85</f>
        <v>60604.9965</v>
      </c>
      <c r="H85" s="156">
        <v>76.8898</v>
      </c>
      <c r="I85" s="103">
        <f>E85*H85</f>
        <v>4586.47657</v>
      </c>
      <c r="J85" s="34" t="s">
        <v>120</v>
      </c>
      <c r="K85" s="74" t="s">
        <v>148</v>
      </c>
      <c r="L85" s="89"/>
      <c r="M85" s="44"/>
      <c r="N85" s="41"/>
      <c r="O85" s="41"/>
      <c r="P85" s="41"/>
      <c r="Q85" s="41"/>
      <c r="R85" s="41"/>
      <c r="S85" s="41"/>
      <c r="T85" s="41"/>
      <c r="U85" s="45"/>
    </row>
    <row r="86" spans="1:21">
      <c r="A86" s="44">
        <f>A85+1</f>
        <v>81</v>
      </c>
      <c r="B86" s="72">
        <v>46141</v>
      </c>
      <c r="C86" s="28">
        <v>40000815</v>
      </c>
      <c r="D86" s="28">
        <v>51043966</v>
      </c>
      <c r="E86" s="29">
        <v>59.55</v>
      </c>
      <c r="F86" s="42">
        <v>1016.01</v>
      </c>
      <c r="G86" s="102">
        <f>E86*F86</f>
        <v>60503.3955</v>
      </c>
      <c r="H86" s="156">
        <v>76.8898</v>
      </c>
      <c r="I86" s="103">
        <f>E86*H86</f>
        <v>4578.78759</v>
      </c>
      <c r="J86" s="34" t="s">
        <v>120</v>
      </c>
      <c r="K86" s="74" t="s">
        <v>148</v>
      </c>
      <c r="L86" s="89"/>
      <c r="M86" s="44"/>
      <c r="N86" s="41"/>
      <c r="O86" s="41"/>
      <c r="P86" s="41"/>
      <c r="Q86" s="41"/>
      <c r="R86" s="41"/>
      <c r="S86" s="41"/>
      <c r="T86" s="41"/>
      <c r="U86" s="45"/>
    </row>
    <row r="87" spans="1:21">
      <c r="A87" s="44">
        <f>A86+1</f>
        <v>82</v>
      </c>
      <c r="B87" s="72">
        <v>46141</v>
      </c>
      <c r="C87" s="28">
        <v>40000814</v>
      </c>
      <c r="D87" s="28">
        <v>51264380</v>
      </c>
      <c r="E87" s="29">
        <v>60.15</v>
      </c>
      <c r="F87" s="42">
        <v>1016.01</v>
      </c>
      <c r="G87" s="102">
        <f>E87*F87</f>
        <v>61113.0015</v>
      </c>
      <c r="H87" s="156">
        <v>76.8898</v>
      </c>
      <c r="I87" s="103">
        <f>E87*H87</f>
        <v>4624.92147</v>
      </c>
      <c r="J87" s="34" t="s">
        <v>120</v>
      </c>
      <c r="K87" s="74" t="s">
        <v>148</v>
      </c>
      <c r="L87" s="89"/>
      <c r="M87" s="44"/>
      <c r="N87" s="41"/>
      <c r="O87" s="41"/>
      <c r="P87" s="41"/>
      <c r="Q87" s="41"/>
      <c r="R87" s="41"/>
      <c r="S87" s="41"/>
      <c r="T87" s="41"/>
      <c r="U87" s="45"/>
    </row>
    <row r="88" spans="1:21">
      <c r="A88" s="44">
        <f>A87+1</f>
        <v>83</v>
      </c>
      <c r="B88" s="72">
        <v>46141</v>
      </c>
      <c r="C88" s="28">
        <v>40000815</v>
      </c>
      <c r="D88" s="28">
        <v>51393718</v>
      </c>
      <c r="E88" s="29">
        <v>58.9</v>
      </c>
      <c r="F88" s="42">
        <v>1016.01</v>
      </c>
      <c r="G88" s="102">
        <f>E88*F88</f>
        <v>59842.989</v>
      </c>
      <c r="H88" s="156">
        <v>76.8898</v>
      </c>
      <c r="I88" s="103">
        <f>E88*H88</f>
        <v>4528.80922</v>
      </c>
      <c r="J88" s="34" t="s">
        <v>120</v>
      </c>
      <c r="K88" s="74" t="s">
        <v>148</v>
      </c>
      <c r="L88" s="89"/>
      <c r="M88" s="44"/>
      <c r="N88" s="41"/>
      <c r="O88" s="41"/>
      <c r="P88" s="41"/>
      <c r="Q88" s="41"/>
      <c r="R88" s="41"/>
      <c r="S88" s="41"/>
      <c r="T88" s="41"/>
      <c r="U88" s="45"/>
    </row>
    <row r="89" spans="1:21">
      <c r="A89" s="44">
        <f>A88+1</f>
        <v>84</v>
      </c>
      <c r="B89" s="72">
        <v>46141</v>
      </c>
      <c r="C89" s="28">
        <v>40000811</v>
      </c>
      <c r="D89" s="28">
        <v>51401644</v>
      </c>
      <c r="E89" s="29">
        <v>60.1</v>
      </c>
      <c r="F89" s="42">
        <v>1016.01</v>
      </c>
      <c r="G89" s="102">
        <f>E89*F89</f>
        <v>61062.201</v>
      </c>
      <c r="H89" s="156">
        <v>76.8898</v>
      </c>
      <c r="I89" s="103">
        <f>E89*H89</f>
        <v>4621.07698</v>
      </c>
      <c r="J89" s="34" t="s">
        <v>120</v>
      </c>
      <c r="K89" s="74" t="s">
        <v>148</v>
      </c>
      <c r="L89" s="89"/>
      <c r="M89" s="44"/>
      <c r="N89" s="41"/>
      <c r="O89" s="41"/>
      <c r="P89" s="41"/>
      <c r="Q89" s="41"/>
      <c r="R89" s="41"/>
      <c r="S89" s="41"/>
      <c r="T89" s="41"/>
      <c r="U89" s="45"/>
    </row>
    <row r="90" spans="1:21">
      <c r="A90" s="44">
        <f>A89+1</f>
        <v>85</v>
      </c>
      <c r="B90" s="72">
        <v>46141</v>
      </c>
      <c r="C90" s="28">
        <v>40000813</v>
      </c>
      <c r="D90" s="28">
        <v>51435352</v>
      </c>
      <c r="E90" s="29">
        <v>52.3</v>
      </c>
      <c r="F90" s="42">
        <v>1016.01</v>
      </c>
      <c r="G90" s="102">
        <f>E90*F90</f>
        <v>53137.323</v>
      </c>
      <c r="H90" s="156">
        <v>76.8898</v>
      </c>
      <c r="I90" s="103">
        <f>E90*H90</f>
        <v>4021.33654</v>
      </c>
      <c r="J90" s="34" t="s">
        <v>120</v>
      </c>
      <c r="K90" s="74" t="s">
        <v>148</v>
      </c>
      <c r="L90" s="89"/>
      <c r="M90" s="44"/>
      <c r="N90" s="41"/>
      <c r="O90" s="41"/>
      <c r="P90" s="41"/>
      <c r="Q90" s="41"/>
      <c r="R90" s="41"/>
      <c r="S90" s="41"/>
      <c r="T90" s="41"/>
      <c r="U90" s="45"/>
    </row>
    <row r="91" spans="1:21">
      <c r="A91" s="44">
        <f>A90+1</f>
        <v>86</v>
      </c>
      <c r="B91" s="72">
        <v>46141</v>
      </c>
      <c r="C91" s="28">
        <v>40000812</v>
      </c>
      <c r="D91" s="28">
        <v>51632065</v>
      </c>
      <c r="E91" s="29">
        <v>51.65</v>
      </c>
      <c r="F91" s="42">
        <v>1016.01</v>
      </c>
      <c r="G91" s="102">
        <f>E91*F91</f>
        <v>52476.9165</v>
      </c>
      <c r="H91" s="156">
        <v>76.8898</v>
      </c>
      <c r="I91" s="103">
        <f>E91*H91</f>
        <v>3971.35817</v>
      </c>
      <c r="J91" s="34" t="s">
        <v>120</v>
      </c>
      <c r="K91" s="74" t="s">
        <v>148</v>
      </c>
      <c r="L91" s="89"/>
      <c r="M91" s="44"/>
      <c r="N91" s="41"/>
      <c r="O91" s="41"/>
      <c r="P91" s="41"/>
      <c r="Q91" s="41"/>
      <c r="R91" s="41"/>
      <c r="S91" s="41"/>
      <c r="T91" s="41"/>
      <c r="U91" s="45"/>
    </row>
    <row r="92" spans="1:21">
      <c r="A92" s="44">
        <f>A91+1</f>
        <v>87</v>
      </c>
      <c r="B92" s="72">
        <v>46141</v>
      </c>
      <c r="C92" s="28">
        <v>40000811</v>
      </c>
      <c r="D92" s="28">
        <v>51769347</v>
      </c>
      <c r="E92" s="29">
        <v>60.5</v>
      </c>
      <c r="F92" s="42">
        <v>1016.01</v>
      </c>
      <c r="G92" s="102">
        <f>E92*F92</f>
        <v>61468.605</v>
      </c>
      <c r="H92" s="156">
        <v>76.8898</v>
      </c>
      <c r="I92" s="103">
        <f>E92*H92</f>
        <v>4651.8329</v>
      </c>
      <c r="J92" s="34" t="s">
        <v>120</v>
      </c>
      <c r="K92" s="74" t="s">
        <v>148</v>
      </c>
      <c r="L92" s="89"/>
      <c r="M92" s="44"/>
      <c r="N92" s="41"/>
      <c r="O92" s="41"/>
      <c r="P92" s="41"/>
      <c r="Q92" s="41"/>
      <c r="R92" s="41"/>
      <c r="S92" s="41"/>
      <c r="T92" s="41"/>
      <c r="U92" s="45"/>
    </row>
    <row r="93" spans="1:21">
      <c r="A93" s="44">
        <f>A92+1</f>
        <v>88</v>
      </c>
      <c r="B93" s="72">
        <v>46141</v>
      </c>
      <c r="C93" s="28">
        <v>40000815</v>
      </c>
      <c r="D93" s="28">
        <v>51913853</v>
      </c>
      <c r="E93" s="29">
        <v>59.95</v>
      </c>
      <c r="F93" s="42">
        <v>1016.01</v>
      </c>
      <c r="G93" s="102">
        <f>E93*F93</f>
        <v>60909.7995</v>
      </c>
      <c r="H93" s="156">
        <v>76.8898</v>
      </c>
      <c r="I93" s="103">
        <f>E93*H93</f>
        <v>4609.54351</v>
      </c>
      <c r="J93" s="34" t="s">
        <v>120</v>
      </c>
      <c r="K93" s="74" t="s">
        <v>148</v>
      </c>
      <c r="L93" s="89"/>
      <c r="M93" s="44"/>
      <c r="N93" s="41"/>
      <c r="O93" s="41"/>
      <c r="P93" s="41"/>
      <c r="Q93" s="41"/>
      <c r="R93" s="41"/>
      <c r="S93" s="41"/>
      <c r="T93" s="41"/>
      <c r="U93" s="45"/>
    </row>
    <row r="94" spans="1:21">
      <c r="A94" s="44">
        <f>A93+1</f>
        <v>89</v>
      </c>
      <c r="B94" s="72">
        <v>46141</v>
      </c>
      <c r="C94" s="28">
        <v>40000811</v>
      </c>
      <c r="D94" s="28">
        <v>53952388</v>
      </c>
      <c r="E94" s="29">
        <v>61.45</v>
      </c>
      <c r="F94" s="42">
        <v>1016.01</v>
      </c>
      <c r="G94" s="102">
        <f>E94*F94</f>
        <v>62433.8145</v>
      </c>
      <c r="H94" s="156">
        <v>76.8898</v>
      </c>
      <c r="I94" s="103">
        <f>E94*H94</f>
        <v>4724.87821</v>
      </c>
      <c r="J94" s="34" t="s">
        <v>120</v>
      </c>
      <c r="K94" s="74" t="s">
        <v>148</v>
      </c>
      <c r="L94" s="89"/>
      <c r="M94" s="44"/>
      <c r="N94" s="41"/>
      <c r="O94" s="41"/>
      <c r="P94" s="41"/>
      <c r="Q94" s="41"/>
      <c r="R94" s="41"/>
      <c r="S94" s="41"/>
      <c r="T94" s="41"/>
      <c r="U94" s="45"/>
    </row>
    <row r="95" spans="1:21">
      <c r="A95" s="44">
        <f>A94+1</f>
        <v>90</v>
      </c>
      <c r="B95" s="72">
        <v>46141</v>
      </c>
      <c r="C95" s="28">
        <v>40000811</v>
      </c>
      <c r="D95" s="28">
        <v>53973087</v>
      </c>
      <c r="E95" s="29">
        <v>51.95</v>
      </c>
      <c r="F95" s="42">
        <v>1016.01</v>
      </c>
      <c r="G95" s="102">
        <f>E95*F95</f>
        <v>52781.7195</v>
      </c>
      <c r="H95" s="156">
        <v>76.8898</v>
      </c>
      <c r="I95" s="103">
        <f>E95*H95</f>
        <v>3994.42511</v>
      </c>
      <c r="J95" s="34" t="s">
        <v>120</v>
      </c>
      <c r="K95" s="74" t="s">
        <v>148</v>
      </c>
      <c r="L95" s="89"/>
      <c r="M95" s="44"/>
      <c r="N95" s="41"/>
      <c r="O95" s="41"/>
      <c r="P95" s="41"/>
      <c r="Q95" s="41"/>
      <c r="R95" s="41"/>
      <c r="S95" s="41"/>
      <c r="T95" s="41"/>
      <c r="U95" s="45"/>
    </row>
    <row r="96" spans="1:21">
      <c r="A96" s="44">
        <f>A95+1</f>
        <v>91</v>
      </c>
      <c r="B96" s="72">
        <v>46141</v>
      </c>
      <c r="C96" s="28">
        <v>40000814</v>
      </c>
      <c r="D96" s="28">
        <v>54630355</v>
      </c>
      <c r="E96" s="29">
        <v>60.4</v>
      </c>
      <c r="F96" s="42">
        <v>1016.01</v>
      </c>
      <c r="G96" s="102">
        <f>E96*F96</f>
        <v>61367.004</v>
      </c>
      <c r="H96" s="156">
        <v>76.8898</v>
      </c>
      <c r="I96" s="103">
        <f>E96*H96</f>
        <v>4644.14392</v>
      </c>
      <c r="J96" s="34" t="s">
        <v>120</v>
      </c>
      <c r="K96" s="74" t="s">
        <v>148</v>
      </c>
      <c r="L96" s="89"/>
      <c r="M96" s="44"/>
      <c r="N96" s="41"/>
      <c r="O96" s="41"/>
      <c r="P96" s="41"/>
      <c r="Q96" s="41"/>
      <c r="R96" s="41"/>
      <c r="S96" s="41"/>
      <c r="T96" s="41"/>
      <c r="U96" s="45"/>
    </row>
    <row r="97" spans="1:21">
      <c r="A97" s="44">
        <f>A96+1</f>
        <v>92</v>
      </c>
      <c r="B97" s="72">
        <v>46141</v>
      </c>
      <c r="C97" s="28">
        <v>40000811</v>
      </c>
      <c r="D97" s="28">
        <v>54699319</v>
      </c>
      <c r="E97" s="29">
        <v>61.7</v>
      </c>
      <c r="F97" s="42">
        <v>1016.01</v>
      </c>
      <c r="G97" s="102">
        <f>E97*F97</f>
        <v>62687.817</v>
      </c>
      <c r="H97" s="156">
        <v>76.8898</v>
      </c>
      <c r="I97" s="103">
        <f>E97*H97</f>
        <v>4744.10066</v>
      </c>
      <c r="J97" s="34" t="s">
        <v>120</v>
      </c>
      <c r="K97" s="74" t="s">
        <v>148</v>
      </c>
      <c r="L97" s="89"/>
      <c r="M97" s="44"/>
      <c r="N97" s="41"/>
      <c r="O97" s="41"/>
      <c r="P97" s="41"/>
      <c r="Q97" s="41"/>
      <c r="R97" s="41"/>
      <c r="S97" s="41"/>
      <c r="T97" s="41"/>
      <c r="U97" s="45"/>
    </row>
    <row r="98" spans="1:21">
      <c r="A98" s="44">
        <f>A97+1</f>
        <v>93</v>
      </c>
      <c r="B98" s="72">
        <v>46141</v>
      </c>
      <c r="C98" s="28">
        <v>40000811</v>
      </c>
      <c r="D98" s="28">
        <v>56907934</v>
      </c>
      <c r="E98" s="29">
        <v>59.8</v>
      </c>
      <c r="F98" s="42">
        <v>1016.01</v>
      </c>
      <c r="G98" s="102">
        <f>E98*F98</f>
        <v>60757.398</v>
      </c>
      <c r="H98" s="156">
        <v>76.8898</v>
      </c>
      <c r="I98" s="103">
        <f>E98*H98</f>
        <v>4598.01004</v>
      </c>
      <c r="J98" s="34" t="s">
        <v>120</v>
      </c>
      <c r="K98" s="74" t="s">
        <v>148</v>
      </c>
      <c r="L98" s="89"/>
      <c r="M98" s="44"/>
      <c r="N98" s="41"/>
      <c r="O98" s="41"/>
      <c r="P98" s="41"/>
      <c r="Q98" s="41"/>
      <c r="R98" s="41"/>
      <c r="S98" s="41"/>
      <c r="T98" s="41"/>
      <c r="U98" s="45"/>
    </row>
    <row r="99" spans="1:21">
      <c r="A99" s="44">
        <f>A98+1</f>
        <v>94</v>
      </c>
      <c r="B99" s="72">
        <v>46141</v>
      </c>
      <c r="C99" s="28">
        <v>40000815</v>
      </c>
      <c r="D99" s="28">
        <v>57175358</v>
      </c>
      <c r="E99" s="29">
        <v>60</v>
      </c>
      <c r="F99" s="42">
        <v>1016.01</v>
      </c>
      <c r="G99" s="102">
        <f>E99*F99</f>
        <v>60960.6</v>
      </c>
      <c r="H99" s="156">
        <v>76.8898</v>
      </c>
      <c r="I99" s="103">
        <f>E99*H99</f>
        <v>4613.388</v>
      </c>
      <c r="J99" s="34" t="s">
        <v>120</v>
      </c>
      <c r="K99" s="74" t="s">
        <v>148</v>
      </c>
      <c r="L99" s="89"/>
      <c r="M99" s="44"/>
      <c r="N99" s="41"/>
      <c r="O99" s="41"/>
      <c r="P99" s="41"/>
      <c r="Q99" s="41"/>
      <c r="R99" s="41"/>
      <c r="S99" s="41"/>
      <c r="T99" s="41"/>
      <c r="U99" s="45"/>
    </row>
    <row r="100" spans="1:21">
      <c r="A100" s="44">
        <f>A99+1</f>
        <v>95</v>
      </c>
      <c r="B100" s="72">
        <v>46141</v>
      </c>
      <c r="C100" s="28">
        <v>40000811</v>
      </c>
      <c r="D100" s="28">
        <v>57191751</v>
      </c>
      <c r="E100" s="29">
        <v>60.3</v>
      </c>
      <c r="F100" s="42">
        <v>1016.01</v>
      </c>
      <c r="G100" s="102">
        <f>E100*F100</f>
        <v>61265.403</v>
      </c>
      <c r="H100" s="156">
        <v>76.8898</v>
      </c>
      <c r="I100" s="103">
        <f>E100*H100</f>
        <v>4636.45494</v>
      </c>
      <c r="J100" s="34" t="s">
        <v>120</v>
      </c>
      <c r="K100" s="74" t="s">
        <v>148</v>
      </c>
      <c r="L100" s="89"/>
      <c r="M100" s="44"/>
      <c r="N100" s="41"/>
      <c r="O100" s="41"/>
      <c r="P100" s="41"/>
      <c r="Q100" s="41"/>
      <c r="R100" s="41"/>
      <c r="S100" s="41"/>
      <c r="T100" s="41"/>
      <c r="U100" s="45"/>
    </row>
    <row r="101" spans="1:21">
      <c r="A101" s="44">
        <f>A100+1</f>
        <v>96</v>
      </c>
      <c r="B101" s="72">
        <v>46141</v>
      </c>
      <c r="C101" s="28">
        <v>40000811</v>
      </c>
      <c r="D101" s="28">
        <v>57205486</v>
      </c>
      <c r="E101" s="29">
        <v>60.7</v>
      </c>
      <c r="F101" s="42">
        <v>1016.01</v>
      </c>
      <c r="G101" s="102">
        <f>E101*F101</f>
        <v>61671.807</v>
      </c>
      <c r="H101" s="156">
        <v>76.8898</v>
      </c>
      <c r="I101" s="103">
        <f>E101*H101</f>
        <v>4667.21086</v>
      </c>
      <c r="J101" s="34" t="s">
        <v>120</v>
      </c>
      <c r="K101" s="74" t="s">
        <v>148</v>
      </c>
      <c r="L101" s="89"/>
      <c r="M101" s="44"/>
      <c r="N101" s="41"/>
      <c r="O101" s="41"/>
      <c r="P101" s="41"/>
      <c r="Q101" s="41"/>
      <c r="R101" s="41"/>
      <c r="S101" s="41"/>
      <c r="T101" s="41"/>
      <c r="U101" s="45"/>
    </row>
    <row r="102" spans="1:21">
      <c r="A102" s="44">
        <f>A101+1</f>
        <v>97</v>
      </c>
      <c r="B102" s="72">
        <v>46141</v>
      </c>
      <c r="C102" s="28">
        <v>40000814</v>
      </c>
      <c r="D102" s="28">
        <v>57431694</v>
      </c>
      <c r="E102" s="29">
        <v>61.3</v>
      </c>
      <c r="F102" s="42">
        <v>1016.01</v>
      </c>
      <c r="G102" s="102">
        <f>E102*F102</f>
        <v>62281.413</v>
      </c>
      <c r="H102" s="156">
        <v>76.8898</v>
      </c>
      <c r="I102" s="103">
        <f>E102*H102</f>
        <v>4713.34474</v>
      </c>
      <c r="J102" s="34" t="s">
        <v>120</v>
      </c>
      <c r="K102" s="74" t="s">
        <v>148</v>
      </c>
      <c r="L102" s="89"/>
      <c r="M102" s="44"/>
      <c r="N102" s="41"/>
      <c r="O102" s="41"/>
      <c r="P102" s="41"/>
      <c r="Q102" s="41"/>
      <c r="R102" s="41"/>
      <c r="S102" s="41"/>
      <c r="T102" s="41"/>
      <c r="U102" s="45"/>
    </row>
    <row r="103" spans="1:21">
      <c r="A103" s="44">
        <f>A102+1</f>
        <v>98</v>
      </c>
      <c r="B103" s="72">
        <v>46141</v>
      </c>
      <c r="C103" s="28">
        <v>40000813</v>
      </c>
      <c r="D103" s="28">
        <v>73000481</v>
      </c>
      <c r="E103" s="29">
        <v>61.6</v>
      </c>
      <c r="F103" s="42">
        <v>1016.01</v>
      </c>
      <c r="G103" s="102">
        <f>E103*F103</f>
        <v>62586.216</v>
      </c>
      <c r="H103" s="156">
        <v>76.8898</v>
      </c>
      <c r="I103" s="103">
        <f>E103*H103</f>
        <v>4736.41168</v>
      </c>
      <c r="J103" s="34" t="s">
        <v>120</v>
      </c>
      <c r="K103" s="74" t="s">
        <v>148</v>
      </c>
      <c r="L103" s="89"/>
      <c r="M103" s="44"/>
      <c r="N103" s="41"/>
      <c r="O103" s="41"/>
      <c r="P103" s="41"/>
      <c r="Q103" s="41"/>
      <c r="R103" s="41"/>
      <c r="S103" s="41"/>
      <c r="T103" s="41"/>
      <c r="U103" s="45"/>
    </row>
    <row r="104" spans="1:21">
      <c r="A104" s="44">
        <f>A103+1</f>
        <v>99</v>
      </c>
      <c r="B104" s="72">
        <v>46141</v>
      </c>
      <c r="C104" s="28">
        <v>40000813</v>
      </c>
      <c r="D104" s="28">
        <v>73001307</v>
      </c>
      <c r="E104" s="29">
        <v>63.4</v>
      </c>
      <c r="F104" s="42">
        <v>1016.01</v>
      </c>
      <c r="G104" s="102">
        <f>E104*F104</f>
        <v>64415.034</v>
      </c>
      <c r="H104" s="156">
        <v>76.8898</v>
      </c>
      <c r="I104" s="103">
        <f>E104*H104</f>
        <v>4874.81332</v>
      </c>
      <c r="J104" s="34" t="s">
        <v>120</v>
      </c>
      <c r="K104" s="74" t="s">
        <v>148</v>
      </c>
      <c r="L104" s="89"/>
      <c r="M104" s="44"/>
      <c r="N104" s="41"/>
      <c r="O104" s="41"/>
      <c r="P104" s="41"/>
      <c r="Q104" s="41"/>
      <c r="R104" s="41"/>
      <c r="S104" s="41"/>
      <c r="T104" s="41"/>
      <c r="U104" s="45"/>
    </row>
    <row r="105" spans="1:21">
      <c r="A105" s="44">
        <f>A104+1</f>
        <v>100</v>
      </c>
      <c r="B105" s="72">
        <v>46141</v>
      </c>
      <c r="C105" s="28">
        <v>40000813</v>
      </c>
      <c r="D105" s="28">
        <v>73001570</v>
      </c>
      <c r="E105" s="29">
        <v>61.75</v>
      </c>
      <c r="F105" s="42">
        <v>1016.01</v>
      </c>
      <c r="G105" s="102">
        <f>E105*F105</f>
        <v>62738.6175</v>
      </c>
      <c r="H105" s="156">
        <v>76.8898</v>
      </c>
      <c r="I105" s="103">
        <f>E105*H105</f>
        <v>4747.94515</v>
      </c>
      <c r="J105" s="34" t="s">
        <v>120</v>
      </c>
      <c r="K105" s="74" t="s">
        <v>148</v>
      </c>
      <c r="L105" s="89"/>
      <c r="M105" s="44"/>
      <c r="N105" s="41"/>
      <c r="O105" s="41"/>
      <c r="P105" s="41"/>
      <c r="Q105" s="41"/>
      <c r="R105" s="41"/>
      <c r="S105" s="41"/>
      <c r="T105" s="41"/>
      <c r="U105" s="45"/>
    </row>
    <row r="106" spans="1:21">
      <c r="A106" s="44">
        <f>A105+1</f>
        <v>101</v>
      </c>
      <c r="B106" s="72">
        <v>46141</v>
      </c>
      <c r="C106" s="28">
        <v>40000813</v>
      </c>
      <c r="D106" s="28">
        <v>73005977</v>
      </c>
      <c r="E106" s="29">
        <v>61.85</v>
      </c>
      <c r="F106" s="42">
        <v>1016.01</v>
      </c>
      <c r="G106" s="102">
        <f>E106*F106</f>
        <v>62840.2185</v>
      </c>
      <c r="H106" s="156">
        <v>76.8898</v>
      </c>
      <c r="I106" s="103">
        <f>E106*H106</f>
        <v>4755.63413</v>
      </c>
      <c r="J106" s="34" t="s">
        <v>120</v>
      </c>
      <c r="K106" s="74" t="s">
        <v>148</v>
      </c>
      <c r="L106" s="89"/>
      <c r="M106" s="44"/>
      <c r="N106" s="41"/>
      <c r="O106" s="41"/>
      <c r="P106" s="41"/>
      <c r="Q106" s="41"/>
      <c r="R106" s="41"/>
      <c r="S106" s="41"/>
      <c r="T106" s="41"/>
      <c r="U106" s="45"/>
    </row>
    <row r="107" spans="1:21">
      <c r="A107" s="44">
        <f>A106+1</f>
        <v>102</v>
      </c>
      <c r="B107" s="72">
        <v>46141</v>
      </c>
      <c r="C107" s="28">
        <v>40000813</v>
      </c>
      <c r="D107" s="28">
        <v>73007064</v>
      </c>
      <c r="E107" s="29">
        <v>60.25</v>
      </c>
      <c r="F107" s="42">
        <v>1016.01</v>
      </c>
      <c r="G107" s="102">
        <f>E107*F107</f>
        <v>61214.6025</v>
      </c>
      <c r="H107" s="156">
        <v>76.8898</v>
      </c>
      <c r="I107" s="103">
        <f>E107*H107</f>
        <v>4632.61045</v>
      </c>
      <c r="J107" s="34" t="s">
        <v>120</v>
      </c>
      <c r="K107" s="74" t="s">
        <v>148</v>
      </c>
      <c r="L107" s="89"/>
      <c r="M107" s="44"/>
      <c r="N107" s="41"/>
      <c r="O107" s="41"/>
      <c r="P107" s="41"/>
      <c r="Q107" s="41"/>
      <c r="R107" s="41"/>
      <c r="S107" s="41"/>
      <c r="T107" s="41"/>
      <c r="U107" s="45"/>
    </row>
    <row r="108" spans="1:21">
      <c r="A108" s="44">
        <f>A107+1</f>
        <v>103</v>
      </c>
      <c r="B108" s="72">
        <v>46141</v>
      </c>
      <c r="C108" s="28">
        <v>40000813</v>
      </c>
      <c r="D108" s="28">
        <v>73007684</v>
      </c>
      <c r="E108" s="29">
        <v>59.85</v>
      </c>
      <c r="F108" s="42">
        <v>1016.01</v>
      </c>
      <c r="G108" s="102">
        <f>E108*F108</f>
        <v>60808.1985</v>
      </c>
      <c r="H108" s="156">
        <v>76.8898</v>
      </c>
      <c r="I108" s="103">
        <f>E108*H108</f>
        <v>4601.85453</v>
      </c>
      <c r="J108" s="34" t="s">
        <v>120</v>
      </c>
      <c r="K108" s="74" t="s">
        <v>148</v>
      </c>
      <c r="L108" s="89"/>
      <c r="M108" s="44"/>
      <c r="N108" s="41"/>
      <c r="O108" s="41"/>
      <c r="P108" s="41"/>
      <c r="Q108" s="41"/>
      <c r="R108" s="41"/>
      <c r="S108" s="41"/>
      <c r="T108" s="41"/>
      <c r="U108" s="45"/>
    </row>
    <row r="109" spans="1:21">
      <c r="A109" s="44">
        <f>A108+1</f>
        <v>104</v>
      </c>
      <c r="B109" s="72">
        <v>46141</v>
      </c>
      <c r="C109" s="28">
        <v>40000813</v>
      </c>
      <c r="D109" s="28">
        <v>73010761</v>
      </c>
      <c r="E109" s="29">
        <v>61.5</v>
      </c>
      <c r="F109" s="42">
        <v>1016.01</v>
      </c>
      <c r="G109" s="102">
        <f>E109*F109</f>
        <v>62484.615</v>
      </c>
      <c r="H109" s="156">
        <v>76.8898</v>
      </c>
      <c r="I109" s="103">
        <f>E109*H109</f>
        <v>4728.7227</v>
      </c>
      <c r="J109" s="34" t="s">
        <v>120</v>
      </c>
      <c r="K109" s="74" t="s">
        <v>148</v>
      </c>
      <c r="L109" s="89"/>
      <c r="M109" s="44"/>
      <c r="N109" s="41"/>
      <c r="O109" s="41"/>
      <c r="P109" s="41"/>
      <c r="Q109" s="41"/>
      <c r="R109" s="41"/>
      <c r="S109" s="41"/>
      <c r="T109" s="41"/>
      <c r="U109" s="45"/>
    </row>
    <row r="110" spans="1:21">
      <c r="A110" s="44">
        <f>A109+1</f>
        <v>105</v>
      </c>
      <c r="B110" s="72">
        <v>46141</v>
      </c>
      <c r="C110" s="28">
        <v>40000813</v>
      </c>
      <c r="D110" s="28">
        <v>73010969</v>
      </c>
      <c r="E110" s="29">
        <v>61.65</v>
      </c>
      <c r="F110" s="42">
        <v>1016.01</v>
      </c>
      <c r="G110" s="102">
        <f>E110*F110</f>
        <v>62637.0165</v>
      </c>
      <c r="H110" s="156">
        <v>76.8898</v>
      </c>
      <c r="I110" s="103">
        <f>E110*H110</f>
        <v>4740.25617</v>
      </c>
      <c r="J110" s="34" t="s">
        <v>120</v>
      </c>
      <c r="K110" s="74" t="s">
        <v>148</v>
      </c>
      <c r="L110" s="89"/>
      <c r="M110" s="44"/>
      <c r="N110" s="41"/>
      <c r="O110" s="41"/>
      <c r="P110" s="41"/>
      <c r="Q110" s="41"/>
      <c r="R110" s="41"/>
      <c r="S110" s="41"/>
      <c r="T110" s="41"/>
      <c r="U110" s="45"/>
    </row>
    <row r="111" spans="1:21">
      <c r="A111" s="44">
        <f>A110+1</f>
        <v>106</v>
      </c>
      <c r="B111" s="72">
        <v>46141</v>
      </c>
      <c r="C111" s="28">
        <v>40000813</v>
      </c>
      <c r="D111" s="28">
        <v>73011827</v>
      </c>
      <c r="E111" s="29">
        <v>61</v>
      </c>
      <c r="F111" s="42">
        <v>1016.01</v>
      </c>
      <c r="G111" s="102">
        <f>E111*F111</f>
        <v>61976.61</v>
      </c>
      <c r="H111" s="156">
        <v>76.8898</v>
      </c>
      <c r="I111" s="103">
        <f>E111*H111</f>
        <v>4690.2778</v>
      </c>
      <c r="J111" s="34" t="s">
        <v>120</v>
      </c>
      <c r="K111" s="74" t="s">
        <v>148</v>
      </c>
      <c r="L111" s="89"/>
      <c r="M111" s="44"/>
      <c r="N111" s="41"/>
      <c r="O111" s="41"/>
      <c r="P111" s="41"/>
      <c r="Q111" s="41"/>
      <c r="R111" s="41"/>
      <c r="S111" s="41"/>
      <c r="T111" s="41"/>
      <c r="U111" s="45"/>
    </row>
    <row r="112" spans="1:21">
      <c r="A112" s="44">
        <f>A111+1</f>
        <v>107</v>
      </c>
      <c r="B112" s="72">
        <v>46141</v>
      </c>
      <c r="C112" s="28">
        <v>40000811</v>
      </c>
      <c r="D112" s="28">
        <v>73072803</v>
      </c>
      <c r="E112" s="29">
        <v>61.4</v>
      </c>
      <c r="F112" s="42">
        <v>1016.01</v>
      </c>
      <c r="G112" s="102">
        <f>E112*F112</f>
        <v>62383.014</v>
      </c>
      <c r="H112" s="156">
        <v>76.8898</v>
      </c>
      <c r="I112" s="103">
        <f>E112*H112</f>
        <v>4721.03372</v>
      </c>
      <c r="J112" s="34" t="s">
        <v>120</v>
      </c>
      <c r="K112" s="74" t="s">
        <v>148</v>
      </c>
      <c r="L112" s="89"/>
      <c r="M112" s="44"/>
      <c r="N112" s="41"/>
      <c r="O112" s="41"/>
      <c r="P112" s="41"/>
      <c r="Q112" s="41"/>
      <c r="R112" s="41"/>
      <c r="S112" s="41"/>
      <c r="T112" s="41"/>
      <c r="U112" s="45"/>
    </row>
    <row r="113" spans="1:21">
      <c r="A113" s="44">
        <f>A112+1</f>
        <v>108</v>
      </c>
      <c r="B113" s="72">
        <v>46141</v>
      </c>
      <c r="C113" s="28">
        <v>40000814</v>
      </c>
      <c r="D113" s="28">
        <v>73093056</v>
      </c>
      <c r="E113" s="29">
        <v>60.45</v>
      </c>
      <c r="F113" s="42">
        <v>1016.01</v>
      </c>
      <c r="G113" s="102">
        <f>E113*F113</f>
        <v>61417.8045</v>
      </c>
      <c r="H113" s="156">
        <v>76.8898</v>
      </c>
      <c r="I113" s="103">
        <f>E113*H113</f>
        <v>4647.98841</v>
      </c>
      <c r="J113" s="34" t="s">
        <v>120</v>
      </c>
      <c r="K113" s="74" t="s">
        <v>148</v>
      </c>
      <c r="L113" s="89"/>
      <c r="M113" s="44"/>
      <c r="N113" s="41"/>
      <c r="O113" s="41"/>
      <c r="P113" s="41"/>
      <c r="Q113" s="41"/>
      <c r="R113" s="41"/>
      <c r="S113" s="41"/>
      <c r="T113" s="41"/>
      <c r="U113" s="45"/>
    </row>
    <row r="114" spans="1:21">
      <c r="A114" s="44">
        <f>A113+1</f>
        <v>109</v>
      </c>
      <c r="B114" s="72">
        <v>46141</v>
      </c>
      <c r="C114" s="28">
        <v>40000813</v>
      </c>
      <c r="D114" s="28">
        <v>73094328</v>
      </c>
      <c r="E114" s="29">
        <v>59.75</v>
      </c>
      <c r="F114" s="42">
        <v>1016.01</v>
      </c>
      <c r="G114" s="102">
        <f>E114*F114</f>
        <v>60706.5975</v>
      </c>
      <c r="H114" s="156">
        <v>76.8898</v>
      </c>
      <c r="I114" s="103">
        <f>E114*H114</f>
        <v>4594.16555</v>
      </c>
      <c r="J114" s="34" t="s">
        <v>120</v>
      </c>
      <c r="K114" s="74" t="s">
        <v>148</v>
      </c>
      <c r="L114" s="89"/>
      <c r="M114" s="44"/>
      <c r="N114" s="41"/>
      <c r="O114" s="41"/>
      <c r="P114" s="41"/>
      <c r="Q114" s="41"/>
      <c r="R114" s="41"/>
      <c r="S114" s="41"/>
      <c r="T114" s="41"/>
      <c r="U114" s="45"/>
    </row>
    <row r="115" spans="1:21">
      <c r="A115" s="44">
        <f>A114+1</f>
        <v>110</v>
      </c>
      <c r="B115" s="72">
        <v>46141</v>
      </c>
      <c r="C115" s="28">
        <v>40000814</v>
      </c>
      <c r="D115" s="28">
        <v>73114944</v>
      </c>
      <c r="E115" s="29">
        <v>59.8</v>
      </c>
      <c r="F115" s="42">
        <v>1016.01</v>
      </c>
      <c r="G115" s="102">
        <f>E115*F115</f>
        <v>60757.398</v>
      </c>
      <c r="H115" s="156">
        <v>76.8898</v>
      </c>
      <c r="I115" s="103">
        <f>E115*H115</f>
        <v>4598.01004</v>
      </c>
      <c r="J115" s="34" t="s">
        <v>120</v>
      </c>
      <c r="K115" s="74" t="s">
        <v>148</v>
      </c>
      <c r="L115" s="89"/>
      <c r="M115" s="44"/>
      <c r="N115" s="41"/>
      <c r="O115" s="41"/>
      <c r="P115" s="41"/>
      <c r="Q115" s="41"/>
      <c r="R115" s="41"/>
      <c r="S115" s="41"/>
      <c r="T115" s="41"/>
      <c r="U115" s="45"/>
    </row>
    <row r="116" spans="1:21">
      <c r="A116" s="44">
        <f>A115+1</f>
        <v>111</v>
      </c>
      <c r="B116" s="72">
        <v>46141</v>
      </c>
      <c r="C116" s="28">
        <v>40000813</v>
      </c>
      <c r="D116" s="28">
        <v>73121816</v>
      </c>
      <c r="E116" s="29">
        <v>59.5</v>
      </c>
      <c r="F116" s="42">
        <v>1016.01</v>
      </c>
      <c r="G116" s="102">
        <f>E116*F116</f>
        <v>60452.595</v>
      </c>
      <c r="H116" s="156">
        <v>76.8898</v>
      </c>
      <c r="I116" s="103">
        <f>E116*H116</f>
        <v>4574.9431</v>
      </c>
      <c r="J116" s="34" t="s">
        <v>120</v>
      </c>
      <c r="K116" s="74" t="s">
        <v>148</v>
      </c>
      <c r="L116" s="89"/>
      <c r="M116" s="44"/>
      <c r="N116" s="41"/>
      <c r="O116" s="41"/>
      <c r="P116" s="41"/>
      <c r="Q116" s="41"/>
      <c r="R116" s="41"/>
      <c r="S116" s="41"/>
      <c r="T116" s="41"/>
      <c r="U116" s="45"/>
    </row>
    <row r="117" spans="1:21">
      <c r="A117" s="44">
        <f>A116+1</f>
        <v>112</v>
      </c>
      <c r="B117" s="72">
        <v>46141</v>
      </c>
      <c r="C117" s="28">
        <v>40000813</v>
      </c>
      <c r="D117" s="28">
        <v>73131716</v>
      </c>
      <c r="E117" s="29">
        <v>59.6</v>
      </c>
      <c r="F117" s="42">
        <v>1016.01</v>
      </c>
      <c r="G117" s="102">
        <f>E117*F117</f>
        <v>60554.196</v>
      </c>
      <c r="H117" s="156">
        <v>76.8898</v>
      </c>
      <c r="I117" s="103">
        <f>E117*H117</f>
        <v>4582.63208</v>
      </c>
      <c r="J117" s="34" t="s">
        <v>120</v>
      </c>
      <c r="K117" s="74" t="s">
        <v>148</v>
      </c>
      <c r="L117" s="89"/>
      <c r="M117" s="44"/>
      <c r="N117" s="41"/>
      <c r="O117" s="41"/>
      <c r="P117" s="41"/>
      <c r="Q117" s="41"/>
      <c r="R117" s="41"/>
      <c r="S117" s="41"/>
      <c r="T117" s="41"/>
      <c r="U117" s="45"/>
    </row>
    <row r="118" spans="1:21">
      <c r="A118" s="44">
        <f>A117+1</f>
        <v>113</v>
      </c>
      <c r="B118" s="72">
        <v>46141</v>
      </c>
      <c r="C118" s="28">
        <v>40000813</v>
      </c>
      <c r="D118" s="28">
        <v>73136087</v>
      </c>
      <c r="E118" s="29">
        <v>59.95</v>
      </c>
      <c r="F118" s="42">
        <v>1016.01</v>
      </c>
      <c r="G118" s="102">
        <f>E118*F118</f>
        <v>60909.7995</v>
      </c>
      <c r="H118" s="156">
        <v>76.8898</v>
      </c>
      <c r="I118" s="103">
        <f>E118*H118</f>
        <v>4609.54351</v>
      </c>
      <c r="J118" s="34" t="s">
        <v>120</v>
      </c>
      <c r="K118" s="74" t="s">
        <v>148</v>
      </c>
      <c r="L118" s="89"/>
      <c r="M118" s="44"/>
      <c r="N118" s="41"/>
      <c r="O118" s="41"/>
      <c r="P118" s="41"/>
      <c r="Q118" s="41"/>
      <c r="R118" s="41"/>
      <c r="S118" s="41"/>
      <c r="T118" s="41"/>
      <c r="U118" s="45"/>
    </row>
    <row r="119" spans="1:21">
      <c r="A119" s="44">
        <f>A118+1</f>
        <v>114</v>
      </c>
      <c r="B119" s="72">
        <v>46141</v>
      </c>
      <c r="C119" s="28">
        <v>40000811</v>
      </c>
      <c r="D119" s="28">
        <v>73152530</v>
      </c>
      <c r="E119" s="29">
        <v>58.9</v>
      </c>
      <c r="F119" s="42">
        <v>1016.01</v>
      </c>
      <c r="G119" s="102">
        <f>E119*F119</f>
        <v>59842.989</v>
      </c>
      <c r="H119" s="156">
        <v>76.8898</v>
      </c>
      <c r="I119" s="103">
        <f>E119*H119</f>
        <v>4528.80922</v>
      </c>
      <c r="J119" s="34" t="s">
        <v>120</v>
      </c>
      <c r="K119" s="74" t="s">
        <v>148</v>
      </c>
      <c r="L119" s="89"/>
      <c r="M119" s="44"/>
      <c r="N119" s="41"/>
      <c r="O119" s="41"/>
      <c r="P119" s="41"/>
      <c r="Q119" s="41"/>
      <c r="R119" s="41"/>
      <c r="S119" s="41"/>
      <c r="T119" s="41"/>
      <c r="U119" s="45"/>
    </row>
    <row r="120" spans="1:21">
      <c r="A120" s="44">
        <f>A119+1</f>
        <v>115</v>
      </c>
      <c r="B120" s="72">
        <v>46141</v>
      </c>
      <c r="C120" s="28">
        <v>40000813</v>
      </c>
      <c r="D120" s="28">
        <v>73171969</v>
      </c>
      <c r="E120" s="29">
        <v>59.85</v>
      </c>
      <c r="F120" s="42">
        <v>1016.01</v>
      </c>
      <c r="G120" s="102">
        <f>E120*F120</f>
        <v>60808.1985</v>
      </c>
      <c r="H120" s="156">
        <v>76.8898</v>
      </c>
      <c r="I120" s="103">
        <f>E120*H120</f>
        <v>4601.85453</v>
      </c>
      <c r="J120" s="34" t="s">
        <v>120</v>
      </c>
      <c r="K120" s="74" t="s">
        <v>148</v>
      </c>
      <c r="L120" s="89"/>
      <c r="M120" s="44"/>
      <c r="N120" s="41"/>
      <c r="O120" s="41"/>
      <c r="P120" s="41"/>
      <c r="Q120" s="41"/>
      <c r="R120" s="41"/>
      <c r="S120" s="41"/>
      <c r="T120" s="41"/>
      <c r="U120" s="45"/>
    </row>
    <row r="121" spans="1:21">
      <c r="A121" s="44">
        <f>A120+1</f>
        <v>116</v>
      </c>
      <c r="B121" s="72">
        <v>46141</v>
      </c>
      <c r="C121" s="28">
        <v>40000813</v>
      </c>
      <c r="D121" s="28">
        <v>73174047</v>
      </c>
      <c r="E121" s="29">
        <v>59.65</v>
      </c>
      <c r="F121" s="42">
        <v>1016.01</v>
      </c>
      <c r="G121" s="102">
        <f>E121*F121</f>
        <v>60604.9965</v>
      </c>
      <c r="H121" s="156">
        <v>76.8898</v>
      </c>
      <c r="I121" s="103">
        <f>E121*H121</f>
        <v>4586.47657</v>
      </c>
      <c r="J121" s="34" t="s">
        <v>120</v>
      </c>
      <c r="K121" s="74" t="s">
        <v>148</v>
      </c>
      <c r="L121" s="89"/>
      <c r="M121" s="44"/>
      <c r="N121" s="41"/>
      <c r="O121" s="41"/>
      <c r="P121" s="41"/>
      <c r="Q121" s="41"/>
      <c r="R121" s="41"/>
      <c r="S121" s="41"/>
      <c r="T121" s="41"/>
      <c r="U121" s="45"/>
    </row>
    <row r="122" spans="1:21">
      <c r="A122" s="44">
        <f>A121+1</f>
        <v>117</v>
      </c>
      <c r="B122" s="72">
        <v>46141</v>
      </c>
      <c r="C122" s="28">
        <v>40000814</v>
      </c>
      <c r="D122" s="28">
        <v>73184616</v>
      </c>
      <c r="E122" s="29">
        <v>60.7</v>
      </c>
      <c r="F122" s="42">
        <v>1016.01</v>
      </c>
      <c r="G122" s="102">
        <f>E122*F122</f>
        <v>61671.807</v>
      </c>
      <c r="H122" s="156">
        <v>76.8898</v>
      </c>
      <c r="I122" s="103">
        <f>E122*H122</f>
        <v>4667.21086</v>
      </c>
      <c r="J122" s="34" t="s">
        <v>120</v>
      </c>
      <c r="K122" s="74" t="s">
        <v>148</v>
      </c>
      <c r="L122" s="89"/>
      <c r="M122" s="44"/>
      <c r="N122" s="41"/>
      <c r="O122" s="41"/>
      <c r="P122" s="41"/>
      <c r="Q122" s="41"/>
      <c r="R122" s="41"/>
      <c r="S122" s="41"/>
      <c r="T122" s="41"/>
      <c r="U122" s="45"/>
    </row>
    <row r="123" spans="1:21">
      <c r="A123" s="44">
        <f>A122+1</f>
        <v>118</v>
      </c>
      <c r="B123" s="72">
        <v>46141</v>
      </c>
      <c r="C123" s="28">
        <v>40000811</v>
      </c>
      <c r="D123" s="28">
        <v>73187882</v>
      </c>
      <c r="E123" s="29">
        <v>59.75</v>
      </c>
      <c r="F123" s="42">
        <v>1016.01</v>
      </c>
      <c r="G123" s="102">
        <f>E123*F123</f>
        <v>60706.5975</v>
      </c>
      <c r="H123" s="156">
        <v>76.8898</v>
      </c>
      <c r="I123" s="103">
        <f>E123*H123</f>
        <v>4594.16555</v>
      </c>
      <c r="J123" s="34" t="s">
        <v>120</v>
      </c>
      <c r="K123" s="74" t="s">
        <v>148</v>
      </c>
      <c r="L123" s="89"/>
      <c r="M123" s="44"/>
      <c r="N123" s="41"/>
      <c r="O123" s="41"/>
      <c r="P123" s="41"/>
      <c r="Q123" s="41"/>
      <c r="R123" s="41"/>
      <c r="S123" s="41"/>
      <c r="T123" s="41"/>
      <c r="U123" s="45"/>
    </row>
    <row r="124" spans="1:21">
      <c r="A124" s="44">
        <f>A123+1</f>
        <v>119</v>
      </c>
      <c r="B124" s="72">
        <v>46141</v>
      </c>
      <c r="C124" s="28">
        <v>40000811</v>
      </c>
      <c r="D124" s="28">
        <v>73188765</v>
      </c>
      <c r="E124" s="29">
        <v>60.2</v>
      </c>
      <c r="F124" s="42">
        <v>1016.01</v>
      </c>
      <c r="G124" s="102">
        <f>E124*F124</f>
        <v>61163.802</v>
      </c>
      <c r="H124" s="156">
        <v>76.8898</v>
      </c>
      <c r="I124" s="103">
        <f>E124*H124</f>
        <v>4628.76596</v>
      </c>
      <c r="J124" s="34" t="s">
        <v>120</v>
      </c>
      <c r="K124" s="74" t="s">
        <v>148</v>
      </c>
      <c r="L124" s="89"/>
      <c r="M124" s="44"/>
      <c r="N124" s="41"/>
      <c r="O124" s="41"/>
      <c r="P124" s="41"/>
      <c r="Q124" s="41"/>
      <c r="R124" s="41"/>
      <c r="S124" s="41"/>
      <c r="T124" s="41"/>
      <c r="U124" s="45"/>
    </row>
    <row r="125" spans="1:21">
      <c r="A125" s="44">
        <f>A124+1</f>
        <v>120</v>
      </c>
      <c r="B125" s="72">
        <v>46141</v>
      </c>
      <c r="C125" s="28">
        <v>40000811</v>
      </c>
      <c r="D125" s="28">
        <v>73191041</v>
      </c>
      <c r="E125" s="29">
        <v>61.35</v>
      </c>
      <c r="F125" s="42">
        <v>1016.01</v>
      </c>
      <c r="G125" s="102">
        <f>E125*F125</f>
        <v>62332.2135</v>
      </c>
      <c r="H125" s="156">
        <v>76.8898</v>
      </c>
      <c r="I125" s="103">
        <f>E125*H125</f>
        <v>4717.18923</v>
      </c>
      <c r="J125" s="34" t="s">
        <v>120</v>
      </c>
      <c r="K125" s="74" t="s">
        <v>148</v>
      </c>
      <c r="L125" s="89"/>
      <c r="M125" s="44"/>
      <c r="N125" s="41"/>
      <c r="O125" s="41"/>
      <c r="P125" s="41"/>
      <c r="Q125" s="41"/>
      <c r="R125" s="41"/>
      <c r="S125" s="41"/>
      <c r="T125" s="41"/>
      <c r="U125" s="45"/>
    </row>
    <row r="126" spans="1:21">
      <c r="A126" s="44">
        <f>A125+1</f>
        <v>121</v>
      </c>
      <c r="B126" s="72">
        <v>46141</v>
      </c>
      <c r="C126" s="28">
        <v>40000811</v>
      </c>
      <c r="D126" s="28">
        <v>73191215</v>
      </c>
      <c r="E126" s="29">
        <v>60.2</v>
      </c>
      <c r="F126" s="42">
        <v>1016.01</v>
      </c>
      <c r="G126" s="102">
        <f>E126*F126</f>
        <v>61163.802</v>
      </c>
      <c r="H126" s="156">
        <v>76.8898</v>
      </c>
      <c r="I126" s="103">
        <f>E126*H126</f>
        <v>4628.76596</v>
      </c>
      <c r="J126" s="34" t="s">
        <v>120</v>
      </c>
      <c r="K126" s="74" t="s">
        <v>148</v>
      </c>
      <c r="L126" s="89"/>
      <c r="M126" s="44"/>
      <c r="N126" s="41"/>
      <c r="O126" s="41"/>
      <c r="P126" s="41"/>
      <c r="Q126" s="41"/>
      <c r="R126" s="41"/>
      <c r="S126" s="41"/>
      <c r="T126" s="41"/>
      <c r="U126" s="45"/>
    </row>
    <row r="127" spans="1:21">
      <c r="A127" s="44">
        <f>A126+1</f>
        <v>122</v>
      </c>
      <c r="B127" s="72">
        <v>46141</v>
      </c>
      <c r="C127" s="28">
        <v>40000812</v>
      </c>
      <c r="D127" s="28">
        <v>73207268</v>
      </c>
      <c r="E127" s="29">
        <v>60.6</v>
      </c>
      <c r="F127" s="42">
        <v>1016.01</v>
      </c>
      <c r="G127" s="102">
        <f>E127*F127</f>
        <v>61570.206</v>
      </c>
      <c r="H127" s="156">
        <v>76.8898</v>
      </c>
      <c r="I127" s="103">
        <f>E127*H127</f>
        <v>4659.52188</v>
      </c>
      <c r="J127" s="34" t="s">
        <v>120</v>
      </c>
      <c r="K127" s="74" t="s">
        <v>148</v>
      </c>
      <c r="L127" s="89"/>
      <c r="M127" s="44"/>
      <c r="N127" s="41"/>
      <c r="O127" s="41"/>
      <c r="P127" s="41"/>
      <c r="Q127" s="41"/>
      <c r="R127" s="41"/>
      <c r="S127" s="41"/>
      <c r="T127" s="41"/>
      <c r="U127" s="45"/>
    </row>
    <row r="128" spans="1:21">
      <c r="A128" s="44">
        <f>A127+1</f>
        <v>123</v>
      </c>
      <c r="B128" s="72">
        <v>46141</v>
      </c>
      <c r="C128" s="28">
        <v>40000813</v>
      </c>
      <c r="D128" s="28">
        <v>73230336</v>
      </c>
      <c r="E128" s="29">
        <v>60.8</v>
      </c>
      <c r="F128" s="42">
        <v>1016.01</v>
      </c>
      <c r="G128" s="102">
        <f>E128*F128</f>
        <v>61773.408</v>
      </c>
      <c r="H128" s="156">
        <v>76.8898</v>
      </c>
      <c r="I128" s="103">
        <f>E128*H128</f>
        <v>4674.89984</v>
      </c>
      <c r="J128" s="34" t="s">
        <v>120</v>
      </c>
      <c r="K128" s="74" t="s">
        <v>148</v>
      </c>
      <c r="L128" s="89"/>
      <c r="M128" s="44"/>
      <c r="N128" s="41"/>
      <c r="O128" s="41"/>
      <c r="P128" s="41"/>
      <c r="Q128" s="41"/>
      <c r="R128" s="41"/>
      <c r="S128" s="41"/>
      <c r="T128" s="41"/>
      <c r="U128" s="45"/>
    </row>
    <row r="129" spans="1:21">
      <c r="A129" s="44">
        <f>A128+1</f>
        <v>124</v>
      </c>
      <c r="B129" s="72">
        <v>46141</v>
      </c>
      <c r="C129" s="28">
        <v>40000813</v>
      </c>
      <c r="D129" s="28">
        <v>73241838</v>
      </c>
      <c r="E129" s="29">
        <v>61.35</v>
      </c>
      <c r="F129" s="42">
        <v>1016.01</v>
      </c>
      <c r="G129" s="102">
        <f>E129*F129</f>
        <v>62332.2135</v>
      </c>
      <c r="H129" s="156">
        <v>76.8898</v>
      </c>
      <c r="I129" s="103">
        <f>E129*H129</f>
        <v>4717.18923</v>
      </c>
      <c r="J129" s="34" t="s">
        <v>120</v>
      </c>
      <c r="K129" s="74" t="s">
        <v>148</v>
      </c>
      <c r="L129" s="89"/>
      <c r="M129" s="44"/>
      <c r="N129" s="41"/>
      <c r="O129" s="41"/>
      <c r="P129" s="41"/>
      <c r="Q129" s="41"/>
      <c r="R129" s="41"/>
      <c r="S129" s="41"/>
      <c r="T129" s="41"/>
      <c r="U129" s="45"/>
    </row>
    <row r="130" spans="1:21">
      <c r="A130" s="44">
        <f>A129+1</f>
        <v>125</v>
      </c>
      <c r="B130" s="72">
        <v>46141</v>
      </c>
      <c r="C130" s="28">
        <v>40000812</v>
      </c>
      <c r="D130" s="28">
        <v>73978488</v>
      </c>
      <c r="E130" s="29">
        <v>60.25</v>
      </c>
      <c r="F130" s="42">
        <v>1016.01</v>
      </c>
      <c r="G130" s="102">
        <f>E130*F130</f>
        <v>61214.6025</v>
      </c>
      <c r="H130" s="156">
        <v>76.8898</v>
      </c>
      <c r="I130" s="103">
        <f>E130*H130</f>
        <v>4632.61045</v>
      </c>
      <c r="J130" s="34" t="s">
        <v>120</v>
      </c>
      <c r="K130" s="74" t="s">
        <v>148</v>
      </c>
      <c r="L130" s="89"/>
      <c r="M130" s="44"/>
      <c r="N130" s="41"/>
      <c r="O130" s="41"/>
      <c r="P130" s="41"/>
      <c r="Q130" s="41"/>
      <c r="R130" s="41"/>
      <c r="S130" s="41"/>
      <c r="T130" s="41"/>
      <c r="U130" s="45"/>
    </row>
    <row r="131" spans="1:21">
      <c r="A131" s="44">
        <f>A130+1</f>
        <v>126</v>
      </c>
      <c r="B131" s="72">
        <v>46141</v>
      </c>
      <c r="C131" s="28">
        <v>40000815</v>
      </c>
      <c r="D131" s="28">
        <v>74979766</v>
      </c>
      <c r="E131" s="29">
        <v>60.1</v>
      </c>
      <c r="F131" s="42">
        <v>1016.01</v>
      </c>
      <c r="G131" s="102">
        <f>E131*F131</f>
        <v>61062.201</v>
      </c>
      <c r="H131" s="156">
        <v>76.8898</v>
      </c>
      <c r="I131" s="103">
        <f>E131*H131</f>
        <v>4621.07698</v>
      </c>
      <c r="J131" s="34" t="s">
        <v>120</v>
      </c>
      <c r="K131" s="74" t="s">
        <v>148</v>
      </c>
      <c r="L131" s="89"/>
      <c r="M131" s="44"/>
      <c r="N131" s="41"/>
      <c r="O131" s="41"/>
      <c r="P131" s="41"/>
      <c r="Q131" s="41"/>
      <c r="R131" s="41"/>
      <c r="S131" s="41"/>
      <c r="T131" s="41"/>
      <c r="U131" s="45"/>
    </row>
    <row r="132" spans="1:21">
      <c r="A132" s="44">
        <f>A131+1</f>
        <v>127</v>
      </c>
      <c r="B132" s="72">
        <v>46141</v>
      </c>
      <c r="C132" s="28">
        <v>40000812</v>
      </c>
      <c r="D132" s="28">
        <v>75109322</v>
      </c>
      <c r="E132" s="29">
        <v>61</v>
      </c>
      <c r="F132" s="42">
        <v>1016.01</v>
      </c>
      <c r="G132" s="102">
        <f>E132*F132</f>
        <v>61976.61</v>
      </c>
      <c r="H132" s="156">
        <v>76.8898</v>
      </c>
      <c r="I132" s="103">
        <f>E132*H132</f>
        <v>4690.2778</v>
      </c>
      <c r="J132" s="34" t="s">
        <v>120</v>
      </c>
      <c r="K132" s="74" t="s">
        <v>148</v>
      </c>
      <c r="L132" s="89"/>
      <c r="M132" s="44"/>
      <c r="N132" s="41"/>
      <c r="O132" s="41"/>
      <c r="P132" s="41"/>
      <c r="Q132" s="41"/>
      <c r="R132" s="41"/>
      <c r="S132" s="41"/>
      <c r="T132" s="41"/>
      <c r="U132" s="45"/>
    </row>
    <row r="133" spans="1:21">
      <c r="A133" s="44">
        <f>A132+1</f>
        <v>128</v>
      </c>
      <c r="B133" s="72">
        <v>46141</v>
      </c>
      <c r="C133" s="28">
        <v>40000811</v>
      </c>
      <c r="D133" s="28">
        <v>75112714</v>
      </c>
      <c r="E133" s="29">
        <v>61.3</v>
      </c>
      <c r="F133" s="42">
        <v>1016.01</v>
      </c>
      <c r="G133" s="102">
        <f>E133*F133</f>
        <v>62281.413</v>
      </c>
      <c r="H133" s="156">
        <v>76.8898</v>
      </c>
      <c r="I133" s="103">
        <f>E133*H133</f>
        <v>4713.34474</v>
      </c>
      <c r="J133" s="34" t="s">
        <v>120</v>
      </c>
      <c r="K133" s="74" t="s">
        <v>148</v>
      </c>
      <c r="L133" s="89"/>
      <c r="M133" s="44"/>
      <c r="N133" s="41"/>
      <c r="O133" s="41"/>
      <c r="P133" s="41"/>
      <c r="Q133" s="41"/>
      <c r="R133" s="41"/>
      <c r="S133" s="41"/>
      <c r="T133" s="41"/>
      <c r="U133" s="45"/>
    </row>
    <row r="134" spans="1:21">
      <c r="A134" s="44">
        <f>A133+1</f>
        <v>129</v>
      </c>
      <c r="B134" s="72">
        <v>46141</v>
      </c>
      <c r="C134" s="28">
        <v>40000812</v>
      </c>
      <c r="D134" s="28">
        <v>75126763</v>
      </c>
      <c r="E134" s="29">
        <v>60.3</v>
      </c>
      <c r="F134" s="42">
        <v>1016.01</v>
      </c>
      <c r="G134" s="102">
        <f>E134*F134</f>
        <v>61265.403</v>
      </c>
      <c r="H134" s="156">
        <v>76.8898</v>
      </c>
      <c r="I134" s="103">
        <f>E134*H134</f>
        <v>4636.45494</v>
      </c>
      <c r="J134" s="34" t="s">
        <v>120</v>
      </c>
      <c r="K134" s="74" t="s">
        <v>148</v>
      </c>
      <c r="L134" s="89"/>
      <c r="M134" s="44"/>
      <c r="N134" s="41"/>
      <c r="O134" s="41"/>
      <c r="P134" s="41"/>
      <c r="Q134" s="41"/>
      <c r="R134" s="41"/>
      <c r="S134" s="41"/>
      <c r="T134" s="41"/>
      <c r="U134" s="45"/>
    </row>
    <row r="135" spans="1:21">
      <c r="A135" s="44">
        <f>A134+1</f>
        <v>130</v>
      </c>
      <c r="B135" s="72">
        <v>46141</v>
      </c>
      <c r="C135" s="28">
        <v>40000812</v>
      </c>
      <c r="D135" s="28">
        <v>75208124</v>
      </c>
      <c r="E135" s="29">
        <v>62.3</v>
      </c>
      <c r="F135" s="42">
        <v>1016.01</v>
      </c>
      <c r="G135" s="102">
        <f>E135*F135</f>
        <v>63297.423</v>
      </c>
      <c r="H135" s="156">
        <v>76.8898</v>
      </c>
      <c r="I135" s="103">
        <f>E135*H135</f>
        <v>4790.23454</v>
      </c>
      <c r="J135" s="34" t="s">
        <v>120</v>
      </c>
      <c r="K135" s="74" t="s">
        <v>148</v>
      </c>
      <c r="L135" s="89"/>
      <c r="M135" s="44"/>
      <c r="N135" s="41"/>
      <c r="O135" s="41"/>
      <c r="P135" s="41"/>
      <c r="Q135" s="41"/>
      <c r="R135" s="41"/>
      <c r="S135" s="41"/>
      <c r="T135" s="41"/>
      <c r="U135" s="45"/>
    </row>
    <row r="136" spans="1:21">
      <c r="A136" s="44">
        <f>A135+1</f>
        <v>131</v>
      </c>
      <c r="B136" s="72">
        <v>46141</v>
      </c>
      <c r="C136" s="28">
        <v>40000814</v>
      </c>
      <c r="D136" s="28">
        <v>75223958</v>
      </c>
      <c r="E136" s="29">
        <v>60.95</v>
      </c>
      <c r="F136" s="42">
        <v>1016.01</v>
      </c>
      <c r="G136" s="102">
        <f>E136*F136</f>
        <v>61925.8095</v>
      </c>
      <c r="H136" s="156">
        <v>76.8898</v>
      </c>
      <c r="I136" s="103">
        <f>E136*H136</f>
        <v>4686.43331</v>
      </c>
      <c r="J136" s="34" t="s">
        <v>120</v>
      </c>
      <c r="K136" s="74" t="s">
        <v>148</v>
      </c>
      <c r="L136" s="89"/>
      <c r="M136" s="44"/>
      <c r="N136" s="41"/>
      <c r="O136" s="41"/>
      <c r="P136" s="41"/>
      <c r="Q136" s="41"/>
      <c r="R136" s="41"/>
      <c r="S136" s="41"/>
      <c r="T136" s="41"/>
      <c r="U136" s="45"/>
    </row>
    <row r="137" spans="1:21">
      <c r="A137" s="44">
        <f>A136+1</f>
        <v>132</v>
      </c>
      <c r="B137" s="72">
        <v>46141</v>
      </c>
      <c r="C137" s="28">
        <v>40000812</v>
      </c>
      <c r="D137" s="28">
        <v>75281378</v>
      </c>
      <c r="E137" s="29">
        <v>61.6</v>
      </c>
      <c r="F137" s="42">
        <v>1016.01</v>
      </c>
      <c r="G137" s="102">
        <f>E137*F137</f>
        <v>62586.216</v>
      </c>
      <c r="H137" s="156">
        <v>76.8898</v>
      </c>
      <c r="I137" s="103">
        <f>E137*H137</f>
        <v>4736.41168</v>
      </c>
      <c r="J137" s="34" t="s">
        <v>120</v>
      </c>
      <c r="K137" s="74" t="s">
        <v>148</v>
      </c>
      <c r="L137" s="89"/>
      <c r="M137" s="44"/>
      <c r="N137" s="41"/>
      <c r="O137" s="41"/>
      <c r="P137" s="41"/>
      <c r="Q137" s="41"/>
      <c r="R137" s="41"/>
      <c r="S137" s="41"/>
      <c r="T137" s="41"/>
      <c r="U137" s="45"/>
    </row>
    <row r="138" spans="1:21">
      <c r="A138" s="44">
        <f>A137+1</f>
        <v>133</v>
      </c>
      <c r="B138" s="72">
        <v>46141</v>
      </c>
      <c r="C138" s="28">
        <v>40000812</v>
      </c>
      <c r="D138" s="28">
        <v>75292433</v>
      </c>
      <c r="E138" s="29">
        <v>61.7</v>
      </c>
      <c r="F138" s="42">
        <v>1016.01</v>
      </c>
      <c r="G138" s="102">
        <f>E138*F138</f>
        <v>62687.817</v>
      </c>
      <c r="H138" s="156">
        <v>76.8898</v>
      </c>
      <c r="I138" s="103">
        <f>E138*H138</f>
        <v>4744.10066</v>
      </c>
      <c r="J138" s="34" t="s">
        <v>120</v>
      </c>
      <c r="K138" s="74" t="s">
        <v>148</v>
      </c>
      <c r="L138" s="89"/>
      <c r="M138" s="44"/>
      <c r="N138" s="41"/>
      <c r="O138" s="41"/>
      <c r="P138" s="41"/>
      <c r="Q138" s="41"/>
      <c r="R138" s="41"/>
      <c r="S138" s="41"/>
      <c r="T138" s="41"/>
      <c r="U138" s="45"/>
    </row>
    <row r="139" spans="1:21">
      <c r="A139" s="44">
        <f>A138+1</f>
        <v>134</v>
      </c>
      <c r="B139" s="72">
        <v>46141</v>
      </c>
      <c r="C139" s="28">
        <v>40000812</v>
      </c>
      <c r="D139" s="28">
        <v>75857698</v>
      </c>
      <c r="E139" s="29">
        <v>61.7</v>
      </c>
      <c r="F139" s="42">
        <v>1016.01</v>
      </c>
      <c r="G139" s="102">
        <f>E139*F139</f>
        <v>62687.817</v>
      </c>
      <c r="H139" s="156">
        <v>76.8898</v>
      </c>
      <c r="I139" s="103">
        <f>E139*H139</f>
        <v>4744.10066</v>
      </c>
      <c r="J139" s="34" t="s">
        <v>120</v>
      </c>
      <c r="K139" s="74" t="s">
        <v>148</v>
      </c>
      <c r="L139" s="89"/>
      <c r="M139" s="44"/>
      <c r="N139" s="41"/>
      <c r="O139" s="41"/>
      <c r="P139" s="41"/>
      <c r="Q139" s="41"/>
      <c r="R139" s="41"/>
      <c r="S139" s="41"/>
      <c r="T139" s="41"/>
      <c r="U139" s="45"/>
    </row>
    <row r="140" spans="1:21">
      <c r="A140" s="44">
        <f>A139+1</f>
        <v>135</v>
      </c>
      <c r="B140" s="72">
        <v>46141</v>
      </c>
      <c r="C140" s="28">
        <v>40000813</v>
      </c>
      <c r="D140" s="28">
        <v>76597798</v>
      </c>
      <c r="E140" s="29">
        <v>60.7</v>
      </c>
      <c r="F140" s="42">
        <v>1016.01</v>
      </c>
      <c r="G140" s="102">
        <f>E140*F140</f>
        <v>61671.807</v>
      </c>
      <c r="H140" s="156">
        <v>76.8898</v>
      </c>
      <c r="I140" s="103">
        <f>E140*H140</f>
        <v>4667.21086</v>
      </c>
      <c r="J140" s="34" t="s">
        <v>120</v>
      </c>
      <c r="K140" s="74" t="s">
        <v>148</v>
      </c>
      <c r="L140" s="89"/>
      <c r="M140" s="44"/>
      <c r="N140" s="41"/>
      <c r="O140" s="41"/>
      <c r="P140" s="41"/>
      <c r="Q140" s="41"/>
      <c r="R140" s="41"/>
      <c r="S140" s="41"/>
      <c r="T140" s="41"/>
      <c r="U140" s="45"/>
    </row>
    <row r="141" ht="15.75" spans="1:21">
      <c r="A141" s="75">
        <f>A140+1</f>
        <v>136</v>
      </c>
      <c r="B141" s="76">
        <v>46141</v>
      </c>
      <c r="C141" s="47">
        <v>40000812</v>
      </c>
      <c r="D141" s="47">
        <v>76921394</v>
      </c>
      <c r="E141" s="48">
        <v>60.35</v>
      </c>
      <c r="F141" s="42">
        <v>1016.01</v>
      </c>
      <c r="G141" s="105">
        <f>E141*F141</f>
        <v>61316.2035</v>
      </c>
      <c r="H141" s="156">
        <v>76.8898</v>
      </c>
      <c r="I141" s="106">
        <f>E141*H141</f>
        <v>4640.29943</v>
      </c>
      <c r="J141" s="81" t="s">
        <v>120</v>
      </c>
      <c r="K141" s="82" t="s">
        <v>148</v>
      </c>
      <c r="L141" s="90"/>
      <c r="M141" s="51"/>
      <c r="N141" s="52"/>
      <c r="O141" s="52"/>
      <c r="P141" s="52"/>
      <c r="Q141" s="52"/>
      <c r="R141" s="52"/>
      <c r="S141" s="52"/>
      <c r="T141" s="52"/>
      <c r="U141" s="53"/>
    </row>
    <row r="142" spans="1:21">
      <c r="A142" s="37">
        <v>137</v>
      </c>
      <c r="B142" s="115">
        <v>46143</v>
      </c>
      <c r="C142" s="177">
        <v>40001022</v>
      </c>
      <c r="D142" s="177">
        <v>50414218</v>
      </c>
      <c r="E142" s="178">
        <v>59.9</v>
      </c>
      <c r="F142" s="181">
        <v>1016.01</v>
      </c>
      <c r="G142" s="118">
        <f>E142*F142</f>
        <v>60858.999</v>
      </c>
      <c r="H142" s="156">
        <v>76.8898</v>
      </c>
      <c r="I142" s="120">
        <f>E142*H142</f>
        <v>4605.69902</v>
      </c>
      <c r="J142" s="121" t="s">
        <v>120</v>
      </c>
      <c r="K142" s="122" t="s">
        <v>148</v>
      </c>
      <c r="L142" s="39"/>
      <c r="M142" s="37"/>
      <c r="N142" s="38"/>
      <c r="O142" s="38"/>
      <c r="P142" s="38"/>
      <c r="Q142" s="38"/>
      <c r="R142" s="38"/>
      <c r="S142" s="38"/>
      <c r="T142" s="38"/>
      <c r="U142" s="39"/>
    </row>
    <row r="143" spans="1:21">
      <c r="A143" s="44">
        <f>A142+1</f>
        <v>138</v>
      </c>
      <c r="B143" s="72">
        <v>46143</v>
      </c>
      <c r="C143" s="28">
        <v>40001018</v>
      </c>
      <c r="D143" s="28">
        <v>73011587</v>
      </c>
      <c r="E143" s="29">
        <v>60.25</v>
      </c>
      <c r="F143" s="42">
        <v>1016.01</v>
      </c>
      <c r="G143" s="102">
        <f>E143*F143</f>
        <v>61214.6025</v>
      </c>
      <c r="H143" s="156">
        <v>76.8898</v>
      </c>
      <c r="I143" s="103">
        <f>E143*H143</f>
        <v>4632.61045</v>
      </c>
      <c r="J143" s="34" t="s">
        <v>120</v>
      </c>
      <c r="K143" s="74" t="s">
        <v>148</v>
      </c>
      <c r="L143" s="45"/>
      <c r="M143" s="44"/>
      <c r="N143" s="41"/>
      <c r="O143" s="41"/>
      <c r="P143" s="41"/>
      <c r="Q143" s="41"/>
      <c r="R143" s="41"/>
      <c r="S143" s="41"/>
      <c r="T143" s="41"/>
      <c r="U143" s="45"/>
    </row>
    <row r="144" spans="1:21">
      <c r="A144" s="44">
        <f>A143+1</f>
        <v>139</v>
      </c>
      <c r="B144" s="72">
        <v>46143</v>
      </c>
      <c r="C144" s="28">
        <v>40001020</v>
      </c>
      <c r="D144" s="28">
        <v>75342170</v>
      </c>
      <c r="E144" s="29">
        <v>60.95</v>
      </c>
      <c r="F144" s="42">
        <v>1016.01</v>
      </c>
      <c r="G144" s="102">
        <f>E144*F144</f>
        <v>61925.8095</v>
      </c>
      <c r="H144" s="156">
        <v>76.8898</v>
      </c>
      <c r="I144" s="103">
        <f>E144*H144</f>
        <v>4686.43331</v>
      </c>
      <c r="J144" s="34" t="s">
        <v>120</v>
      </c>
      <c r="K144" s="74" t="s">
        <v>148</v>
      </c>
      <c r="L144" s="45"/>
      <c r="M144" s="44"/>
      <c r="N144" s="41"/>
      <c r="O144" s="41"/>
      <c r="P144" s="41"/>
      <c r="Q144" s="41"/>
      <c r="R144" s="41"/>
      <c r="S144" s="41"/>
      <c r="T144" s="41"/>
      <c r="U144" s="45"/>
    </row>
    <row r="145" ht="15.75" spans="1:21">
      <c r="A145" s="51">
        <f>A144+1</f>
        <v>140</v>
      </c>
      <c r="B145" s="157">
        <v>46143</v>
      </c>
      <c r="C145" s="158">
        <v>40001021</v>
      </c>
      <c r="D145" s="158">
        <v>75342220</v>
      </c>
      <c r="E145" s="162">
        <v>60.75</v>
      </c>
      <c r="F145" s="182">
        <v>1016.01</v>
      </c>
      <c r="G145" s="183">
        <f>E145*F145</f>
        <v>61722.6075</v>
      </c>
      <c r="H145" s="156">
        <v>76.8898</v>
      </c>
      <c r="I145" s="184">
        <f>E145*H145</f>
        <v>4671.05535</v>
      </c>
      <c r="J145" s="165" t="s">
        <v>120</v>
      </c>
      <c r="K145" s="185" t="s">
        <v>148</v>
      </c>
      <c r="L145" s="53"/>
      <c r="M145" s="51"/>
      <c r="N145" s="52"/>
      <c r="O145" s="52"/>
      <c r="P145" s="52"/>
      <c r="Q145" s="52"/>
      <c r="R145" s="52"/>
      <c r="S145" s="52"/>
      <c r="T145" s="52"/>
      <c r="U145" s="53"/>
    </row>
    <row r="146" spans="1:21">
      <c r="A146" s="37">
        <v>141</v>
      </c>
      <c r="B146" s="115">
        <v>46145</v>
      </c>
      <c r="C146" s="177">
        <v>40001023</v>
      </c>
      <c r="D146" s="177">
        <v>51487452</v>
      </c>
      <c r="E146" s="178">
        <v>59.55</v>
      </c>
      <c r="F146" s="181">
        <v>1016.01</v>
      </c>
      <c r="G146" s="118">
        <f>E146*F146</f>
        <v>60503.3955</v>
      </c>
      <c r="H146" s="156">
        <v>76.8898</v>
      </c>
      <c r="I146" s="120">
        <f>E146*H146</f>
        <v>4578.78759</v>
      </c>
      <c r="J146" s="121" t="s">
        <v>120</v>
      </c>
      <c r="K146" s="122" t="s">
        <v>148</v>
      </c>
      <c r="L146" s="186"/>
      <c r="M146" s="37"/>
      <c r="N146" s="38"/>
      <c r="O146" s="38"/>
      <c r="P146" s="38"/>
      <c r="Q146" s="38"/>
      <c r="R146" s="38"/>
      <c r="S146" s="38"/>
      <c r="T146" s="38"/>
      <c r="U146" s="39"/>
    </row>
    <row r="147" spans="1:21">
      <c r="A147" s="44">
        <f>A146+1</f>
        <v>142</v>
      </c>
      <c r="B147" s="27">
        <v>46145</v>
      </c>
      <c r="C147" s="28">
        <v>40001023</v>
      </c>
      <c r="D147" s="28">
        <v>51893618</v>
      </c>
      <c r="E147" s="29">
        <v>60.35</v>
      </c>
      <c r="F147" s="42">
        <v>1016.01</v>
      </c>
      <c r="G147" s="102">
        <f>E147*F147</f>
        <v>61316.2035</v>
      </c>
      <c r="H147" s="156">
        <v>76.8898</v>
      </c>
      <c r="I147" s="103">
        <f>E147*H147</f>
        <v>4640.29943</v>
      </c>
      <c r="J147" s="34" t="s">
        <v>120</v>
      </c>
      <c r="K147" s="74" t="s">
        <v>148</v>
      </c>
      <c r="L147" s="187"/>
      <c r="M147" s="44"/>
      <c r="N147" s="41"/>
      <c r="O147" s="41"/>
      <c r="P147" s="41"/>
      <c r="Q147" s="41"/>
      <c r="R147" s="41"/>
      <c r="S147" s="41"/>
      <c r="T147" s="41"/>
      <c r="U147" s="45"/>
    </row>
    <row r="148" spans="1:21">
      <c r="A148" s="44">
        <f>A147+1</f>
        <v>143</v>
      </c>
      <c r="B148" s="27">
        <v>46145</v>
      </c>
      <c r="C148" s="28">
        <v>40001023</v>
      </c>
      <c r="D148" s="28">
        <v>51921211</v>
      </c>
      <c r="E148" s="29">
        <v>51.9</v>
      </c>
      <c r="F148" s="42">
        <v>1016.01</v>
      </c>
      <c r="G148" s="102">
        <f>E148*F148</f>
        <v>52730.919</v>
      </c>
      <c r="H148" s="156">
        <v>76.8898</v>
      </c>
      <c r="I148" s="103">
        <f>E148*H148</f>
        <v>3990.58062</v>
      </c>
      <c r="J148" s="34" t="s">
        <v>120</v>
      </c>
      <c r="K148" s="74" t="s">
        <v>148</v>
      </c>
      <c r="L148" s="187"/>
      <c r="M148" s="44"/>
      <c r="N148" s="41"/>
      <c r="O148" s="41"/>
      <c r="P148" s="41"/>
      <c r="Q148" s="41"/>
      <c r="R148" s="41"/>
      <c r="S148" s="41"/>
      <c r="T148" s="41"/>
      <c r="U148" s="45"/>
    </row>
    <row r="149" spans="1:21">
      <c r="A149" s="44">
        <f>A148+1</f>
        <v>144</v>
      </c>
      <c r="B149" s="27">
        <v>46145</v>
      </c>
      <c r="C149" s="28">
        <v>40001023</v>
      </c>
      <c r="D149" s="28">
        <v>53945887</v>
      </c>
      <c r="E149" s="29">
        <v>50.5</v>
      </c>
      <c r="F149" s="42">
        <v>1016.01</v>
      </c>
      <c r="G149" s="102">
        <f>E149*F149</f>
        <v>51308.505</v>
      </c>
      <c r="H149" s="156">
        <v>76.8898</v>
      </c>
      <c r="I149" s="103">
        <f>E149*H149</f>
        <v>3882.9349</v>
      </c>
      <c r="J149" s="34" t="s">
        <v>120</v>
      </c>
      <c r="K149" s="74" t="s">
        <v>148</v>
      </c>
      <c r="L149" s="187"/>
      <c r="M149" s="44"/>
      <c r="N149" s="41"/>
      <c r="O149" s="41"/>
      <c r="P149" s="41"/>
      <c r="Q149" s="41"/>
      <c r="R149" s="41"/>
      <c r="S149" s="41"/>
      <c r="T149" s="41"/>
      <c r="U149" s="45"/>
    </row>
    <row r="150" spans="1:21">
      <c r="A150" s="44">
        <f>A149+1</f>
        <v>145</v>
      </c>
      <c r="B150" s="27">
        <v>46145</v>
      </c>
      <c r="C150" s="28">
        <v>40001023</v>
      </c>
      <c r="D150" s="28">
        <v>54027016</v>
      </c>
      <c r="E150" s="29">
        <v>59.8</v>
      </c>
      <c r="F150" s="42">
        <v>1016.01</v>
      </c>
      <c r="G150" s="102">
        <f>E150*F150</f>
        <v>60757.398</v>
      </c>
      <c r="H150" s="156">
        <v>76.8898</v>
      </c>
      <c r="I150" s="103">
        <f>E150*H150</f>
        <v>4598.01004</v>
      </c>
      <c r="J150" s="34" t="s">
        <v>120</v>
      </c>
      <c r="K150" s="74" t="s">
        <v>148</v>
      </c>
      <c r="L150" s="187"/>
      <c r="M150" s="44"/>
      <c r="N150" s="41"/>
      <c r="O150" s="41"/>
      <c r="P150" s="41"/>
      <c r="Q150" s="41"/>
      <c r="R150" s="41"/>
      <c r="S150" s="41"/>
      <c r="T150" s="41"/>
      <c r="U150" s="45"/>
    </row>
    <row r="151" spans="1:21">
      <c r="A151" s="44">
        <f>A150+1</f>
        <v>146</v>
      </c>
      <c r="B151" s="27">
        <v>46145</v>
      </c>
      <c r="C151" s="28">
        <v>40001023</v>
      </c>
      <c r="D151" s="28">
        <v>54046370</v>
      </c>
      <c r="E151" s="29">
        <v>59.8</v>
      </c>
      <c r="F151" s="42">
        <v>1016.01</v>
      </c>
      <c r="G151" s="102">
        <f>E151*F151</f>
        <v>60757.398</v>
      </c>
      <c r="H151" s="156">
        <v>76.8898</v>
      </c>
      <c r="I151" s="103">
        <f>E151*H151</f>
        <v>4598.01004</v>
      </c>
      <c r="J151" s="34" t="s">
        <v>120</v>
      </c>
      <c r="K151" s="74" t="s">
        <v>148</v>
      </c>
      <c r="L151" s="187"/>
      <c r="M151" s="44"/>
      <c r="N151" s="41"/>
      <c r="O151" s="41"/>
      <c r="P151" s="41"/>
      <c r="Q151" s="41"/>
      <c r="R151" s="41"/>
      <c r="S151" s="41"/>
      <c r="T151" s="41"/>
      <c r="U151" s="45"/>
    </row>
    <row r="152" spans="1:21">
      <c r="A152" s="44">
        <f>A151+1</f>
        <v>147</v>
      </c>
      <c r="B152" s="27">
        <v>46145</v>
      </c>
      <c r="C152" s="28">
        <v>40001023</v>
      </c>
      <c r="D152" s="28">
        <v>58638453</v>
      </c>
      <c r="E152" s="29">
        <v>59.7</v>
      </c>
      <c r="F152" s="42">
        <v>1016.01</v>
      </c>
      <c r="G152" s="102">
        <f>E152*F152</f>
        <v>60655.797</v>
      </c>
      <c r="H152" s="156">
        <v>76.8898</v>
      </c>
      <c r="I152" s="103">
        <f>E152*H152</f>
        <v>4590.32106</v>
      </c>
      <c r="J152" s="34" t="s">
        <v>120</v>
      </c>
      <c r="K152" s="74" t="s">
        <v>148</v>
      </c>
      <c r="L152" s="187"/>
      <c r="M152" s="44"/>
      <c r="N152" s="41"/>
      <c r="O152" s="41"/>
      <c r="P152" s="41"/>
      <c r="Q152" s="41"/>
      <c r="R152" s="41"/>
      <c r="S152" s="41"/>
      <c r="T152" s="41"/>
      <c r="U152" s="45"/>
    </row>
    <row r="153" spans="1:21">
      <c r="A153" s="44">
        <f>A152+1</f>
        <v>148</v>
      </c>
      <c r="B153" s="27">
        <v>46145</v>
      </c>
      <c r="C153" s="28">
        <v>40001113</v>
      </c>
      <c r="D153" s="28">
        <v>73117855</v>
      </c>
      <c r="E153" s="29">
        <v>60.25</v>
      </c>
      <c r="F153" s="42">
        <v>1016.01</v>
      </c>
      <c r="G153" s="102">
        <f>E153*F153</f>
        <v>61214.6025</v>
      </c>
      <c r="H153" s="156">
        <v>76.8898</v>
      </c>
      <c r="I153" s="103">
        <f>E153*H153</f>
        <v>4632.61045</v>
      </c>
      <c r="J153" s="34" t="s">
        <v>120</v>
      </c>
      <c r="K153" s="74" t="s">
        <v>148</v>
      </c>
      <c r="L153" s="187"/>
      <c r="M153" s="44"/>
      <c r="N153" s="41"/>
      <c r="O153" s="41"/>
      <c r="P153" s="41"/>
      <c r="Q153" s="41"/>
      <c r="R153" s="41"/>
      <c r="S153" s="41"/>
      <c r="T153" s="41"/>
      <c r="U153" s="45"/>
    </row>
    <row r="154" spans="1:21">
      <c r="A154" s="44">
        <f>A153+1</f>
        <v>149</v>
      </c>
      <c r="B154" s="27">
        <v>46145</v>
      </c>
      <c r="C154" s="28">
        <v>40001112</v>
      </c>
      <c r="D154" s="28">
        <v>73228405</v>
      </c>
      <c r="E154" s="29">
        <v>60.35</v>
      </c>
      <c r="F154" s="42">
        <v>1016.01</v>
      </c>
      <c r="G154" s="102">
        <f>E154*F154</f>
        <v>61316.2035</v>
      </c>
      <c r="H154" s="156">
        <v>76.8898</v>
      </c>
      <c r="I154" s="103">
        <f>E154*H154</f>
        <v>4640.29943</v>
      </c>
      <c r="J154" s="34" t="s">
        <v>120</v>
      </c>
      <c r="K154" s="74" t="s">
        <v>148</v>
      </c>
      <c r="L154" s="187"/>
      <c r="M154" s="44"/>
      <c r="N154" s="41"/>
      <c r="O154" s="41"/>
      <c r="P154" s="41"/>
      <c r="Q154" s="41"/>
      <c r="R154" s="41"/>
      <c r="S154" s="41"/>
      <c r="T154" s="41"/>
      <c r="U154" s="45"/>
    </row>
    <row r="155" ht="15.75" spans="1:21">
      <c r="A155" s="51">
        <f>A154+1</f>
        <v>150</v>
      </c>
      <c r="B155" s="188">
        <v>46145</v>
      </c>
      <c r="C155" s="158">
        <v>40001023</v>
      </c>
      <c r="D155" s="158">
        <v>74979964</v>
      </c>
      <c r="E155" s="162">
        <v>59.85</v>
      </c>
      <c r="F155" s="182">
        <v>1016.01</v>
      </c>
      <c r="G155" s="183">
        <f>E155*F155</f>
        <v>60808.1985</v>
      </c>
      <c r="H155" s="156">
        <v>76.8898</v>
      </c>
      <c r="I155" s="184">
        <f>E155*H155</f>
        <v>4601.85453</v>
      </c>
      <c r="J155" s="165" t="s">
        <v>120</v>
      </c>
      <c r="K155" s="185" t="s">
        <v>148</v>
      </c>
      <c r="L155" s="189"/>
      <c r="M155" s="51"/>
      <c r="N155" s="52"/>
      <c r="O155" s="52"/>
      <c r="P155" s="52"/>
      <c r="Q155" s="52"/>
      <c r="R155" s="52"/>
      <c r="S155" s="52"/>
      <c r="T155" s="52"/>
      <c r="U155" s="53"/>
    </row>
    <row r="156" spans="1:21">
      <c r="A156" s="37">
        <v>151</v>
      </c>
      <c r="B156" s="115">
        <v>46145</v>
      </c>
      <c r="C156" s="177">
        <v>40001182</v>
      </c>
      <c r="D156" s="177">
        <v>50786581</v>
      </c>
      <c r="E156" s="178">
        <v>50.85</v>
      </c>
      <c r="F156" s="181">
        <v>1016.01</v>
      </c>
      <c r="G156" s="118">
        <f>E156*F156</f>
        <v>51664.1085</v>
      </c>
      <c r="H156" s="156">
        <v>76.8898</v>
      </c>
      <c r="I156" s="120">
        <f>E156*H156</f>
        <v>3909.84633</v>
      </c>
      <c r="J156" s="121" t="s">
        <v>120</v>
      </c>
      <c r="K156" s="122" t="s">
        <v>148</v>
      </c>
      <c r="L156" s="179"/>
      <c r="M156" s="37"/>
      <c r="N156" s="38"/>
      <c r="O156" s="38"/>
      <c r="P156" s="38"/>
      <c r="Q156" s="38"/>
      <c r="R156" s="38"/>
      <c r="S156" s="38"/>
      <c r="T156" s="38"/>
      <c r="U156" s="39"/>
    </row>
    <row r="157" spans="1:21">
      <c r="A157" s="44">
        <f>A156+1</f>
        <v>152</v>
      </c>
      <c r="B157" s="27">
        <v>46145</v>
      </c>
      <c r="C157" s="28">
        <v>40001182</v>
      </c>
      <c r="D157" s="28">
        <v>51427177</v>
      </c>
      <c r="E157" s="29">
        <v>50.5</v>
      </c>
      <c r="F157" s="42">
        <v>1016.01</v>
      </c>
      <c r="G157" s="102">
        <f>E157*F157</f>
        <v>51308.505</v>
      </c>
      <c r="H157" s="156">
        <v>76.8898</v>
      </c>
      <c r="I157" s="103">
        <f>E157*H157</f>
        <v>3882.9349</v>
      </c>
      <c r="J157" s="34" t="s">
        <v>120</v>
      </c>
      <c r="K157" s="74" t="s">
        <v>148</v>
      </c>
      <c r="L157" s="89"/>
      <c r="M157" s="44"/>
      <c r="N157" s="41"/>
      <c r="O157" s="41"/>
      <c r="P157" s="41"/>
      <c r="Q157" s="41"/>
      <c r="R157" s="41"/>
      <c r="S157" s="41"/>
      <c r="T157" s="41"/>
      <c r="U157" s="45"/>
    </row>
    <row r="158" spans="1:21">
      <c r="A158" s="44">
        <f>A157+1</f>
        <v>153</v>
      </c>
      <c r="B158" s="27">
        <v>46145</v>
      </c>
      <c r="C158" s="28">
        <v>40001182</v>
      </c>
      <c r="D158" s="28">
        <v>51689016</v>
      </c>
      <c r="E158" s="29">
        <v>60</v>
      </c>
      <c r="F158" s="42">
        <v>1016.01</v>
      </c>
      <c r="G158" s="102">
        <f>E158*F158</f>
        <v>60960.6</v>
      </c>
      <c r="H158" s="156">
        <v>76.8898</v>
      </c>
      <c r="I158" s="103">
        <f>E158*H158</f>
        <v>4613.388</v>
      </c>
      <c r="J158" s="34" t="s">
        <v>120</v>
      </c>
      <c r="K158" s="74" t="s">
        <v>148</v>
      </c>
      <c r="L158" s="89"/>
      <c r="M158" s="44"/>
      <c r="N158" s="41"/>
      <c r="O158" s="41"/>
      <c r="P158" s="41"/>
      <c r="Q158" s="41"/>
      <c r="R158" s="41"/>
      <c r="S158" s="41"/>
      <c r="T158" s="41"/>
      <c r="U158" s="45"/>
    </row>
    <row r="159" spans="1:21">
      <c r="A159" s="44">
        <f>A158+1</f>
        <v>154</v>
      </c>
      <c r="B159" s="27">
        <v>46145</v>
      </c>
      <c r="C159" s="28">
        <v>40001182</v>
      </c>
      <c r="D159" s="28">
        <v>51921138</v>
      </c>
      <c r="E159" s="29">
        <v>51.9</v>
      </c>
      <c r="F159" s="42">
        <v>1016.01</v>
      </c>
      <c r="G159" s="102">
        <f>E159*F159</f>
        <v>52730.919</v>
      </c>
      <c r="H159" s="156">
        <v>76.8898</v>
      </c>
      <c r="I159" s="103">
        <f>E159*H159</f>
        <v>3990.58062</v>
      </c>
      <c r="J159" s="34" t="s">
        <v>120</v>
      </c>
      <c r="K159" s="74" t="s">
        <v>148</v>
      </c>
      <c r="L159" s="89"/>
      <c r="M159" s="44"/>
      <c r="N159" s="41"/>
      <c r="O159" s="41"/>
      <c r="P159" s="41"/>
      <c r="Q159" s="41"/>
      <c r="R159" s="41"/>
      <c r="S159" s="41"/>
      <c r="T159" s="41"/>
      <c r="U159" s="45"/>
    </row>
    <row r="160" spans="1:21">
      <c r="A160" s="44">
        <f>A159+1</f>
        <v>155</v>
      </c>
      <c r="B160" s="27">
        <v>46145</v>
      </c>
      <c r="C160" s="28">
        <v>40001182</v>
      </c>
      <c r="D160" s="28">
        <v>54047030</v>
      </c>
      <c r="E160" s="29">
        <v>59.75</v>
      </c>
      <c r="F160" s="42">
        <v>1016.01</v>
      </c>
      <c r="G160" s="102">
        <f>E160*F160</f>
        <v>60706.5975</v>
      </c>
      <c r="H160" s="156">
        <v>76.8898</v>
      </c>
      <c r="I160" s="103">
        <f>E160*H160</f>
        <v>4594.16555</v>
      </c>
      <c r="J160" s="34" t="s">
        <v>120</v>
      </c>
      <c r="K160" s="74" t="s">
        <v>148</v>
      </c>
      <c r="L160" s="89"/>
      <c r="M160" s="44"/>
      <c r="N160" s="41"/>
      <c r="O160" s="41"/>
      <c r="P160" s="41"/>
      <c r="Q160" s="41"/>
      <c r="R160" s="41"/>
      <c r="S160" s="41"/>
      <c r="T160" s="41"/>
      <c r="U160" s="45"/>
    </row>
    <row r="161" spans="1:21">
      <c r="A161" s="44">
        <f>A160+1</f>
        <v>156</v>
      </c>
      <c r="B161" s="27">
        <v>46145</v>
      </c>
      <c r="C161" s="28">
        <v>40001183</v>
      </c>
      <c r="D161" s="28">
        <v>54070727</v>
      </c>
      <c r="E161" s="29">
        <v>59.75</v>
      </c>
      <c r="F161" s="42">
        <v>1016.01</v>
      </c>
      <c r="G161" s="102">
        <f>E161*F161</f>
        <v>60706.5975</v>
      </c>
      <c r="H161" s="156">
        <v>76.8898</v>
      </c>
      <c r="I161" s="103">
        <f>E161*H161</f>
        <v>4594.16555</v>
      </c>
      <c r="J161" s="34" t="s">
        <v>120</v>
      </c>
      <c r="K161" s="74" t="s">
        <v>148</v>
      </c>
      <c r="L161" s="89"/>
      <c r="M161" s="44"/>
      <c r="N161" s="41"/>
      <c r="O161" s="41"/>
      <c r="P161" s="41"/>
      <c r="Q161" s="41"/>
      <c r="R161" s="41"/>
      <c r="S161" s="41"/>
      <c r="T161" s="41"/>
      <c r="U161" s="45"/>
    </row>
    <row r="162" spans="1:21">
      <c r="A162" s="44">
        <f>A161+1</f>
        <v>157</v>
      </c>
      <c r="B162" s="27">
        <v>46145</v>
      </c>
      <c r="C162" s="28">
        <v>40001182</v>
      </c>
      <c r="D162" s="28">
        <v>54247598</v>
      </c>
      <c r="E162" s="29">
        <v>60.35</v>
      </c>
      <c r="F162" s="42">
        <v>1016.01</v>
      </c>
      <c r="G162" s="102">
        <f>E162*F162</f>
        <v>61316.2035</v>
      </c>
      <c r="H162" s="156">
        <v>76.8898</v>
      </c>
      <c r="I162" s="103">
        <f>E162*H162</f>
        <v>4640.29943</v>
      </c>
      <c r="J162" s="34" t="s">
        <v>120</v>
      </c>
      <c r="K162" s="74" t="s">
        <v>148</v>
      </c>
      <c r="L162" s="89"/>
      <c r="M162" s="44"/>
      <c r="N162" s="41"/>
      <c r="O162" s="41"/>
      <c r="P162" s="41"/>
      <c r="Q162" s="41"/>
      <c r="R162" s="41"/>
      <c r="S162" s="41"/>
      <c r="T162" s="41"/>
      <c r="U162" s="45"/>
    </row>
    <row r="163" spans="1:21">
      <c r="A163" s="44">
        <f>A162+1</f>
        <v>158</v>
      </c>
      <c r="B163" s="27">
        <v>46145</v>
      </c>
      <c r="C163" s="28">
        <v>40001182</v>
      </c>
      <c r="D163" s="28">
        <v>57134389</v>
      </c>
      <c r="E163" s="29">
        <v>60.05</v>
      </c>
      <c r="F163" s="42">
        <v>1016.01</v>
      </c>
      <c r="G163" s="102">
        <f>E163*F163</f>
        <v>61011.4005</v>
      </c>
      <c r="H163" s="156">
        <v>76.8898</v>
      </c>
      <c r="I163" s="103">
        <f>E163*H163</f>
        <v>4617.23249</v>
      </c>
      <c r="J163" s="34" t="s">
        <v>120</v>
      </c>
      <c r="K163" s="74" t="s">
        <v>148</v>
      </c>
      <c r="L163" s="89"/>
      <c r="M163" s="44"/>
      <c r="N163" s="41"/>
      <c r="O163" s="41"/>
      <c r="P163" s="41"/>
      <c r="Q163" s="41"/>
      <c r="R163" s="41"/>
      <c r="S163" s="41"/>
      <c r="T163" s="41"/>
      <c r="U163" s="45"/>
    </row>
    <row r="164" spans="1:21">
      <c r="A164" s="44">
        <f>A163+1</f>
        <v>159</v>
      </c>
      <c r="B164" s="27">
        <v>46145</v>
      </c>
      <c r="C164" s="28">
        <v>40001182</v>
      </c>
      <c r="D164" s="28">
        <v>58708447</v>
      </c>
      <c r="E164" s="29">
        <v>60.15</v>
      </c>
      <c r="F164" s="42">
        <v>1016.01</v>
      </c>
      <c r="G164" s="102">
        <f>E164*F164</f>
        <v>61113.0015</v>
      </c>
      <c r="H164" s="156">
        <v>76.8898</v>
      </c>
      <c r="I164" s="103">
        <f>E164*H164</f>
        <v>4624.92147</v>
      </c>
      <c r="J164" s="34" t="s">
        <v>120</v>
      </c>
      <c r="K164" s="74" t="s">
        <v>148</v>
      </c>
      <c r="L164" s="89"/>
      <c r="M164" s="44"/>
      <c r="N164" s="41"/>
      <c r="O164" s="41"/>
      <c r="P164" s="41"/>
      <c r="Q164" s="41"/>
      <c r="R164" s="41"/>
      <c r="S164" s="41"/>
      <c r="T164" s="41"/>
      <c r="U164" s="45"/>
    </row>
    <row r="165" spans="1:21">
      <c r="A165" s="44">
        <f>A164+1</f>
        <v>160</v>
      </c>
      <c r="B165" s="27">
        <v>46145</v>
      </c>
      <c r="C165" s="28">
        <v>40001183</v>
      </c>
      <c r="D165" s="28">
        <v>73112658</v>
      </c>
      <c r="E165" s="29">
        <v>60.25</v>
      </c>
      <c r="F165" s="42">
        <v>1016.01</v>
      </c>
      <c r="G165" s="102">
        <f>E165*F165</f>
        <v>61214.6025</v>
      </c>
      <c r="H165" s="156">
        <v>76.8898</v>
      </c>
      <c r="I165" s="103">
        <f>E165*H165</f>
        <v>4632.61045</v>
      </c>
      <c r="J165" s="34" t="s">
        <v>120</v>
      </c>
      <c r="K165" s="74" t="s">
        <v>148</v>
      </c>
      <c r="L165" s="89"/>
      <c r="M165" s="44"/>
      <c r="N165" s="41"/>
      <c r="O165" s="41"/>
      <c r="P165" s="41"/>
      <c r="Q165" s="41"/>
      <c r="R165" s="41"/>
      <c r="S165" s="41"/>
      <c r="T165" s="41"/>
      <c r="U165" s="45"/>
    </row>
    <row r="166" spans="1:21">
      <c r="A166" s="44">
        <f>A165+1</f>
        <v>161</v>
      </c>
      <c r="B166" s="27">
        <v>46145</v>
      </c>
      <c r="C166" s="28">
        <v>40001183</v>
      </c>
      <c r="D166" s="28">
        <v>73179244</v>
      </c>
      <c r="E166" s="29">
        <v>60.45</v>
      </c>
      <c r="F166" s="42">
        <v>1016.01</v>
      </c>
      <c r="G166" s="102">
        <f>E166*F166</f>
        <v>61417.8045</v>
      </c>
      <c r="H166" s="156">
        <v>76.8898</v>
      </c>
      <c r="I166" s="103">
        <f>E166*H166</f>
        <v>4647.98841</v>
      </c>
      <c r="J166" s="34" t="s">
        <v>120</v>
      </c>
      <c r="K166" s="74" t="s">
        <v>148</v>
      </c>
      <c r="L166" s="89"/>
      <c r="M166" s="44"/>
      <c r="N166" s="41"/>
      <c r="O166" s="41"/>
      <c r="P166" s="41"/>
      <c r="Q166" s="41"/>
      <c r="R166" s="41"/>
      <c r="S166" s="41"/>
      <c r="T166" s="41"/>
      <c r="U166" s="45"/>
    </row>
    <row r="167" spans="1:21">
      <c r="A167" s="44">
        <f>A166+1</f>
        <v>162</v>
      </c>
      <c r="B167" s="27">
        <v>46145</v>
      </c>
      <c r="C167" s="28">
        <v>40001182</v>
      </c>
      <c r="D167" s="28">
        <v>75004911</v>
      </c>
      <c r="E167" s="29">
        <v>59.8</v>
      </c>
      <c r="F167" s="42">
        <v>1016.01</v>
      </c>
      <c r="G167" s="102">
        <f>E167*F167</f>
        <v>60757.398</v>
      </c>
      <c r="H167" s="156">
        <v>76.8898</v>
      </c>
      <c r="I167" s="103">
        <f>E167*H167</f>
        <v>4598.01004</v>
      </c>
      <c r="J167" s="34" t="s">
        <v>120</v>
      </c>
      <c r="K167" s="74" t="s">
        <v>148</v>
      </c>
      <c r="L167" s="89"/>
      <c r="M167" s="44"/>
      <c r="N167" s="41"/>
      <c r="O167" s="41"/>
      <c r="P167" s="41"/>
      <c r="Q167" s="41"/>
      <c r="R167" s="41"/>
      <c r="S167" s="41"/>
      <c r="T167" s="41"/>
      <c r="U167" s="45"/>
    </row>
    <row r="168" spans="1:21">
      <c r="A168" s="44">
        <f>A167+1</f>
        <v>163</v>
      </c>
      <c r="B168" s="27">
        <v>46145</v>
      </c>
      <c r="C168" s="28">
        <v>40001182</v>
      </c>
      <c r="D168" s="28">
        <v>75005264</v>
      </c>
      <c r="E168" s="29">
        <v>59.65</v>
      </c>
      <c r="F168" s="42">
        <v>1016.01</v>
      </c>
      <c r="G168" s="102">
        <f>E168*F168</f>
        <v>60604.9965</v>
      </c>
      <c r="H168" s="156">
        <v>76.8898</v>
      </c>
      <c r="I168" s="103">
        <f>E168*H168</f>
        <v>4586.47657</v>
      </c>
      <c r="J168" s="34" t="s">
        <v>120</v>
      </c>
      <c r="K168" s="74" t="s">
        <v>148</v>
      </c>
      <c r="L168" s="89"/>
      <c r="M168" s="44"/>
      <c r="N168" s="41"/>
      <c r="O168" s="41"/>
      <c r="P168" s="41"/>
      <c r="Q168" s="41"/>
      <c r="R168" s="41"/>
      <c r="S168" s="41"/>
      <c r="T168" s="41"/>
      <c r="U168" s="45"/>
    </row>
    <row r="169" spans="1:21">
      <c r="A169" s="44">
        <f>A168+1</f>
        <v>164</v>
      </c>
      <c r="B169" s="27">
        <v>46145</v>
      </c>
      <c r="C169" s="28">
        <v>40001182</v>
      </c>
      <c r="D169" s="28">
        <v>75046334</v>
      </c>
      <c r="E169" s="29">
        <v>59.7</v>
      </c>
      <c r="F169" s="42">
        <v>1016.01</v>
      </c>
      <c r="G169" s="102">
        <f>E169*F169</f>
        <v>60655.797</v>
      </c>
      <c r="H169" s="156">
        <v>76.8898</v>
      </c>
      <c r="I169" s="103">
        <f>E169*H169</f>
        <v>4590.32106</v>
      </c>
      <c r="J169" s="34" t="s">
        <v>120</v>
      </c>
      <c r="K169" s="74" t="s">
        <v>148</v>
      </c>
      <c r="L169" s="89"/>
      <c r="M169" s="44"/>
      <c r="N169" s="41"/>
      <c r="O169" s="41"/>
      <c r="P169" s="41"/>
      <c r="Q169" s="41"/>
      <c r="R169" s="41"/>
      <c r="S169" s="41"/>
      <c r="T169" s="41"/>
      <c r="U169" s="45"/>
    </row>
    <row r="170" spans="1:21">
      <c r="A170" s="44">
        <f>A169+1</f>
        <v>165</v>
      </c>
      <c r="B170" s="27">
        <v>46145</v>
      </c>
      <c r="C170" s="28">
        <v>40001183</v>
      </c>
      <c r="D170" s="28">
        <v>75250639</v>
      </c>
      <c r="E170" s="29">
        <v>60.75</v>
      </c>
      <c r="F170" s="42">
        <v>1016.01</v>
      </c>
      <c r="G170" s="102">
        <f>E170*F170</f>
        <v>61722.6075</v>
      </c>
      <c r="H170" s="156">
        <v>76.8898</v>
      </c>
      <c r="I170" s="103">
        <f>E170*H170</f>
        <v>4671.05535</v>
      </c>
      <c r="J170" s="34" t="s">
        <v>120</v>
      </c>
      <c r="K170" s="74" t="s">
        <v>148</v>
      </c>
      <c r="L170" s="89"/>
      <c r="M170" s="44"/>
      <c r="N170" s="41"/>
      <c r="O170" s="41"/>
      <c r="P170" s="41"/>
      <c r="Q170" s="41"/>
      <c r="R170" s="41"/>
      <c r="S170" s="41"/>
      <c r="T170" s="41"/>
      <c r="U170" s="45"/>
    </row>
    <row r="171" ht="15.75" spans="1:21">
      <c r="A171" s="75">
        <f>A170+1</f>
        <v>166</v>
      </c>
      <c r="B171" s="96">
        <v>46145</v>
      </c>
      <c r="C171" s="47">
        <v>40001183</v>
      </c>
      <c r="D171" s="47">
        <v>75260166</v>
      </c>
      <c r="E171" s="48">
        <v>60.8</v>
      </c>
      <c r="F171" s="123">
        <v>1016.01</v>
      </c>
      <c r="G171" s="105">
        <f>E171*F171</f>
        <v>61773.408</v>
      </c>
      <c r="H171" s="190">
        <v>76.8898</v>
      </c>
      <c r="I171" s="106">
        <f>E171*H171</f>
        <v>4674.89984</v>
      </c>
      <c r="J171" s="81" t="s">
        <v>120</v>
      </c>
      <c r="K171" s="82" t="s">
        <v>148</v>
      </c>
      <c r="L171" s="180"/>
      <c r="M171" s="51"/>
      <c r="N171" s="52"/>
      <c r="O171" s="52"/>
      <c r="P171" s="52"/>
      <c r="Q171" s="52"/>
      <c r="R171" s="52"/>
      <c r="S171" s="52"/>
      <c r="T171" s="52"/>
      <c r="U171" s="53"/>
    </row>
    <row r="172" spans="1:21">
      <c r="A172" s="26">
        <v>167</v>
      </c>
      <c r="B172" s="27">
        <v>46146</v>
      </c>
      <c r="C172" s="107">
        <v>40001190</v>
      </c>
      <c r="D172" s="107">
        <v>73108755</v>
      </c>
      <c r="E172" s="108">
        <v>60.25</v>
      </c>
      <c r="F172" s="191">
        <v>1016.01</v>
      </c>
      <c r="G172" s="31">
        <f>E172*F172</f>
        <v>61214.6025</v>
      </c>
      <c r="H172" s="192">
        <v>76.8898</v>
      </c>
      <c r="I172" s="33">
        <f>E172*H172</f>
        <v>4632.61045</v>
      </c>
      <c r="J172" s="70" t="s">
        <v>120</v>
      </c>
      <c r="K172" s="71" t="s">
        <v>148</v>
      </c>
      <c r="L172" s="36"/>
      <c r="M172" s="37"/>
      <c r="N172" s="38"/>
      <c r="O172" s="38"/>
      <c r="P172" s="38"/>
      <c r="Q172" s="38"/>
      <c r="R172" s="38"/>
      <c r="S172" s="38"/>
      <c r="T172" s="38"/>
      <c r="U172" s="39"/>
    </row>
    <row r="173" ht="15.75" spans="1:21">
      <c r="A173" s="75">
        <v>168</v>
      </c>
      <c r="B173" s="76">
        <v>46146</v>
      </c>
      <c r="C173" s="47">
        <v>40001189</v>
      </c>
      <c r="D173" s="47">
        <v>73166886</v>
      </c>
      <c r="E173" s="48">
        <v>60.2</v>
      </c>
      <c r="F173" s="193">
        <v>1016.01</v>
      </c>
      <c r="G173" s="105">
        <f>E173*F173</f>
        <v>61163.802</v>
      </c>
      <c r="H173" s="190">
        <v>76.8898</v>
      </c>
      <c r="I173" s="106">
        <f>E173*H173</f>
        <v>4628.76596</v>
      </c>
      <c r="J173" s="81" t="s">
        <v>120</v>
      </c>
      <c r="K173" s="82" t="s">
        <v>148</v>
      </c>
      <c r="L173" s="83"/>
      <c r="M173" s="51"/>
      <c r="N173" s="52"/>
      <c r="O173" s="52"/>
      <c r="P173" s="52"/>
      <c r="Q173" s="52"/>
      <c r="R173" s="52"/>
      <c r="S173" s="52"/>
      <c r="T173" s="52"/>
      <c r="U173" s="53"/>
    </row>
    <row r="174" ht="15.75" spans="1:21">
      <c r="A174" s="194"/>
      <c r="B174" s="195"/>
      <c r="C174" s="195"/>
      <c r="D174" s="195"/>
      <c r="E174" s="196" t="e">
        <f>#REF!+#REF!+#REF!+#REF!+#REF!+#REF!+#REF!+#REF!+#REF!+#REF!</f>
        <v>#REF!</v>
      </c>
      <c r="F174" s="195"/>
      <c r="G174" s="197" t="e">
        <f>#REF!+#REF!+#REF!+#REF!+#REF!+#REF!+#REF!+#REF!+#REF!+#REF!</f>
        <v>#REF!</v>
      </c>
      <c r="H174" s="198"/>
      <c r="I174" s="199" t="e">
        <f>#REF!+#REF!+#REF!+#REF!+#REF!+#REF!+#REF!+#REF!+#REF!+#REF!</f>
        <v>#REF!</v>
      </c>
      <c r="J174" s="195"/>
      <c r="K174" s="200"/>
      <c r="L174" s="201"/>
      <c r="M174" s="202"/>
      <c r="N174" s="195"/>
      <c r="O174" s="195"/>
      <c r="P174" s="195"/>
      <c r="Q174" s="195"/>
      <c r="R174" s="195"/>
      <c r="S174" s="195"/>
      <c r="T174" s="195"/>
      <c r="U174" s="203"/>
    </row>
    <row r="176" ht="15.75"/>
    <row r="177" spans="2:5">
      <c r="B177" s="142" t="s">
        <v>124</v>
      </c>
      <c r="C177" s="204"/>
      <c r="D177" s="144"/>
      <c r="E177" s="145">
        <v>10000</v>
      </c>
    </row>
    <row r="178" spans="2:5">
      <c r="B178" s="146" t="s">
        <v>125</v>
      </c>
      <c r="C178" s="147"/>
      <c r="D178" s="148"/>
      <c r="E178" s="149" t="e">
        <f>E174</f>
        <v>#REF!</v>
      </c>
    </row>
    <row r="179" ht="15.75" spans="2:5">
      <c r="B179" s="150" t="s">
        <v>126</v>
      </c>
      <c r="C179" s="151"/>
      <c r="D179" s="152"/>
      <c r="E179" s="153" t="e">
        <f>E177-E178</f>
        <v>#REF!</v>
      </c>
    </row>
    <row r="180" ht="21.75" customHeight="1"/>
  </sheetData>
  <mergeCells count="4">
    <mergeCell ref="A1:K1"/>
    <mergeCell ref="A2:K2"/>
    <mergeCell ref="B177:C177"/>
    <mergeCell ref="T1:U2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90"/>
  <sheetViews>
    <sheetView topLeftCell="A164" workbookViewId="0">
      <selection activeCell="F28" sqref="F28"/>
    </sheetView>
  </sheetViews>
  <sheetFormatPr defaultColWidth="9.14285714285714" defaultRowHeight="15"/>
  <cols>
    <col min="1" max="3" width="9.14285714285714" style="1"/>
    <col min="4" max="4" width="15.7142857142857" style="1" customWidth="1"/>
    <col min="5" max="5" width="12.5714285714286" style="1" customWidth="1"/>
    <col min="6" max="6" width="10.2857142857143" style="1" customWidth="1"/>
    <col min="7" max="7" width="16.1428571428571" style="1" customWidth="1"/>
    <col min="8" max="8" width="12.1428571428571" style="1" customWidth="1"/>
    <col min="9" max="9" width="18.1428571428571" style="1" customWidth="1"/>
    <col min="10" max="10" width="16.1428571428571" style="1" customWidth="1"/>
    <col min="11" max="11" width="9.14285714285714" style="1"/>
    <col min="12" max="12" width="0.857142857142857" style="1" customWidth="1"/>
    <col min="13" max="16384" width="9.14285714285714" style="1"/>
  </cols>
  <sheetData>
    <row r="1" spans="1:21">
      <c r="A1" s="2" t="s">
        <v>102</v>
      </c>
      <c r="L1" s="3"/>
      <c r="M1" s="3"/>
      <c r="N1" s="3"/>
      <c r="O1" s="3"/>
      <c r="P1" s="3"/>
      <c r="T1" s="4" t="s">
        <v>103</v>
      </c>
      <c r="U1" s="4"/>
    </row>
    <row r="2" spans="1:21">
      <c r="A2" s="2" t="s">
        <v>154</v>
      </c>
      <c r="L2" s="5"/>
      <c r="M2" s="5"/>
      <c r="N2" s="5"/>
      <c r="O2" s="5"/>
      <c r="P2" s="5"/>
      <c r="T2" s="4"/>
      <c r="U2" s="4"/>
    </row>
    <row r="3" ht="15.75" spans="1:21">
      <c r="F3" s="6" t="s">
        <v>155</v>
      </c>
      <c r="H3" s="7"/>
      <c r="I3" s="7"/>
      <c r="L3" s="8"/>
      <c r="M3" s="9"/>
      <c r="N3" s="9"/>
      <c r="O3" s="10"/>
      <c r="P3" s="10"/>
      <c r="T3" s="11" t="s">
        <v>151</v>
      </c>
      <c r="U3" s="11"/>
    </row>
    <row r="4" ht="72" spans="1:21">
      <c r="A4" s="12" t="s">
        <v>106</v>
      </c>
      <c r="B4" s="13" t="s">
        <v>3</v>
      </c>
      <c r="C4" s="14" t="s">
        <v>107</v>
      </c>
      <c r="D4" s="13" t="s">
        <v>108</v>
      </c>
      <c r="E4" s="13" t="s">
        <v>109</v>
      </c>
      <c r="F4" s="15" t="s">
        <v>156</v>
      </c>
      <c r="G4" s="15" t="s">
        <v>90</v>
      </c>
      <c r="H4" s="16" t="s">
        <v>111</v>
      </c>
      <c r="I4" s="16" t="s">
        <v>90</v>
      </c>
      <c r="J4" s="13" t="s">
        <v>112</v>
      </c>
      <c r="K4" s="17" t="s">
        <v>113</v>
      </c>
      <c r="L4" s="18"/>
      <c r="M4" s="19" t="s">
        <v>146</v>
      </c>
      <c r="N4" s="20" t="s">
        <v>90</v>
      </c>
      <c r="O4" s="21" t="s">
        <v>147</v>
      </c>
      <c r="P4" s="22" t="s">
        <v>90</v>
      </c>
      <c r="Q4" s="23" t="s">
        <v>115</v>
      </c>
      <c r="R4" s="24" t="s">
        <v>116</v>
      </c>
      <c r="S4" s="24" t="s">
        <v>117</v>
      </c>
      <c r="T4" s="24" t="s">
        <v>118</v>
      </c>
      <c r="U4" s="25" t="s">
        <v>119</v>
      </c>
    </row>
    <row r="5" ht="17.25" customHeight="1" spans="1:21">
      <c r="A5" s="26">
        <v>1</v>
      </c>
      <c r="B5" s="27">
        <v>46149</v>
      </c>
      <c r="C5" s="28">
        <v>40001542</v>
      </c>
      <c r="D5" s="28">
        <v>50071216</v>
      </c>
      <c r="E5" s="29">
        <v>51.4</v>
      </c>
      <c r="F5" s="30">
        <f>'[5]Platt''s 2026'!Z34-41</f>
        <v>1086.14473684211</v>
      </c>
      <c r="G5" s="31">
        <f>E5*F5</f>
        <v>55827.8394736842</v>
      </c>
      <c r="H5" s="32">
        <v>82601.11</v>
      </c>
      <c r="I5" s="33">
        <f>E5*H5</f>
        <v>4245697.054</v>
      </c>
      <c r="J5" s="34" t="s">
        <v>120</v>
      </c>
      <c r="K5" s="35" t="s">
        <v>148</v>
      </c>
      <c r="L5" s="36"/>
      <c r="M5" s="37"/>
      <c r="N5" s="38"/>
      <c r="O5" s="38"/>
      <c r="P5" s="39"/>
      <c r="Q5" s="40"/>
      <c r="R5" s="38"/>
      <c r="S5" s="38"/>
      <c r="T5" s="38"/>
      <c r="U5" s="39"/>
    </row>
    <row r="6" spans="1:21">
      <c r="A6" s="41">
        <f>A5+1</f>
        <v>2</v>
      </c>
      <c r="B6" s="27">
        <v>46149</v>
      </c>
      <c r="C6" s="28">
        <v>40001542</v>
      </c>
      <c r="D6" s="28">
        <v>50391234</v>
      </c>
      <c r="E6" s="29">
        <v>58.95</v>
      </c>
      <c r="F6" s="42">
        <v>1086.14</v>
      </c>
      <c r="G6" s="31">
        <f>E6*F6</f>
        <v>64027.953</v>
      </c>
      <c r="H6" s="32">
        <v>82601.11</v>
      </c>
      <c r="I6" s="33">
        <f>E6*H6</f>
        <v>4869335.4345</v>
      </c>
      <c r="J6" s="34" t="s">
        <v>120</v>
      </c>
      <c r="K6" s="35" t="s">
        <v>148</v>
      </c>
      <c r="L6" s="43"/>
      <c r="M6" s="44"/>
      <c r="N6" s="41"/>
      <c r="O6" s="41"/>
      <c r="P6" s="45"/>
      <c r="Q6" s="46"/>
      <c r="R6" s="41"/>
      <c r="S6" s="41"/>
      <c r="T6" s="41"/>
      <c r="U6" s="45"/>
    </row>
    <row r="7" spans="1:21">
      <c r="A7" s="41">
        <f>A6+1</f>
        <v>3</v>
      </c>
      <c r="B7" s="27">
        <v>46149</v>
      </c>
      <c r="C7" s="28">
        <v>40001542</v>
      </c>
      <c r="D7" s="28">
        <v>50768233</v>
      </c>
      <c r="E7" s="29">
        <v>50.15</v>
      </c>
      <c r="F7" s="42">
        <v>1086.14</v>
      </c>
      <c r="G7" s="31">
        <f>E7*F7</f>
        <v>54469.921</v>
      </c>
      <c r="H7" s="32">
        <v>82601.11</v>
      </c>
      <c r="I7" s="33">
        <f>E7*H7</f>
        <v>4142445.6665</v>
      </c>
      <c r="J7" s="34" t="s">
        <v>120</v>
      </c>
      <c r="K7" s="35" t="s">
        <v>148</v>
      </c>
      <c r="L7" s="43"/>
      <c r="M7" s="44"/>
      <c r="N7" s="41"/>
      <c r="O7" s="41"/>
      <c r="P7" s="45"/>
      <c r="Q7" s="46"/>
      <c r="R7" s="41"/>
      <c r="S7" s="41"/>
      <c r="T7" s="41"/>
      <c r="U7" s="45"/>
    </row>
    <row r="8" spans="1:21">
      <c r="A8" s="41">
        <f>A7+1</f>
        <v>4</v>
      </c>
      <c r="B8" s="27">
        <v>46149</v>
      </c>
      <c r="C8" s="28">
        <v>40001542</v>
      </c>
      <c r="D8" s="28">
        <v>50774322</v>
      </c>
      <c r="E8" s="29">
        <v>50.55</v>
      </c>
      <c r="F8" s="42">
        <v>1086.14</v>
      </c>
      <c r="G8" s="31">
        <f>E8*F8</f>
        <v>54904.377</v>
      </c>
      <c r="H8" s="32">
        <v>82601.11</v>
      </c>
      <c r="I8" s="33">
        <f>E8*H8</f>
        <v>4175486.1105</v>
      </c>
      <c r="J8" s="34" t="s">
        <v>120</v>
      </c>
      <c r="K8" s="35" t="s">
        <v>148</v>
      </c>
      <c r="L8" s="43"/>
      <c r="M8" s="44"/>
      <c r="N8" s="41"/>
      <c r="O8" s="41"/>
      <c r="P8" s="45"/>
      <c r="Q8" s="46"/>
      <c r="R8" s="41"/>
      <c r="S8" s="41"/>
      <c r="T8" s="41"/>
      <c r="U8" s="45"/>
    </row>
    <row r="9" spans="1:21">
      <c r="A9" s="41">
        <f>A8+1</f>
        <v>5</v>
      </c>
      <c r="B9" s="27">
        <v>46149</v>
      </c>
      <c r="C9" s="28">
        <v>40001542</v>
      </c>
      <c r="D9" s="28">
        <v>50778943</v>
      </c>
      <c r="E9" s="29">
        <v>50.45</v>
      </c>
      <c r="F9" s="42">
        <v>1086.14</v>
      </c>
      <c r="G9" s="31">
        <f>E9*F9</f>
        <v>54795.763</v>
      </c>
      <c r="H9" s="32">
        <v>82601.11</v>
      </c>
      <c r="I9" s="33">
        <f>E9*H9</f>
        <v>4167225.9995</v>
      </c>
      <c r="J9" s="34" t="s">
        <v>120</v>
      </c>
      <c r="K9" s="35" t="s">
        <v>148</v>
      </c>
      <c r="L9" s="43"/>
      <c r="M9" s="44"/>
      <c r="N9" s="41"/>
      <c r="O9" s="41"/>
      <c r="P9" s="45"/>
      <c r="Q9" s="46"/>
      <c r="R9" s="41"/>
      <c r="S9" s="41"/>
      <c r="T9" s="41"/>
      <c r="U9" s="45"/>
    </row>
    <row r="10" spans="1:21">
      <c r="A10" s="41">
        <f>A9+1</f>
        <v>6</v>
      </c>
      <c r="B10" s="27">
        <v>46149</v>
      </c>
      <c r="C10" s="28">
        <v>40001542</v>
      </c>
      <c r="D10" s="28">
        <v>50786771</v>
      </c>
      <c r="E10" s="29">
        <v>50.15</v>
      </c>
      <c r="F10" s="42">
        <v>1086.14</v>
      </c>
      <c r="G10" s="31">
        <f>E10*F10</f>
        <v>54469.921</v>
      </c>
      <c r="H10" s="32">
        <v>82601.11</v>
      </c>
      <c r="I10" s="33">
        <f>E10*H10</f>
        <v>4142445.6665</v>
      </c>
      <c r="J10" s="34" t="s">
        <v>120</v>
      </c>
      <c r="K10" s="35" t="s">
        <v>148</v>
      </c>
      <c r="L10" s="43"/>
      <c r="M10" s="44"/>
      <c r="N10" s="41"/>
      <c r="O10" s="41"/>
      <c r="P10" s="45"/>
      <c r="Q10" s="46"/>
      <c r="R10" s="41"/>
      <c r="S10" s="41"/>
      <c r="T10" s="41"/>
      <c r="U10" s="45"/>
    </row>
    <row r="11" spans="1:21">
      <c r="A11" s="41">
        <f>A10+1</f>
        <v>7</v>
      </c>
      <c r="B11" s="27">
        <v>46149</v>
      </c>
      <c r="C11" s="28">
        <v>40001542</v>
      </c>
      <c r="D11" s="28">
        <v>50960707</v>
      </c>
      <c r="E11" s="29">
        <v>59.1</v>
      </c>
      <c r="F11" s="42">
        <v>1086.14</v>
      </c>
      <c r="G11" s="31">
        <f>E11*F11</f>
        <v>64190.874</v>
      </c>
      <c r="H11" s="32">
        <v>82601.11</v>
      </c>
      <c r="I11" s="33">
        <f>E11*H11</f>
        <v>4881725.601</v>
      </c>
      <c r="J11" s="34" t="s">
        <v>120</v>
      </c>
      <c r="K11" s="35" t="s">
        <v>148</v>
      </c>
      <c r="L11" s="43"/>
      <c r="M11" s="44"/>
      <c r="N11" s="41"/>
      <c r="O11" s="41"/>
      <c r="P11" s="45"/>
      <c r="Q11" s="46"/>
      <c r="R11" s="41"/>
      <c r="S11" s="41"/>
      <c r="T11" s="41"/>
      <c r="U11" s="45"/>
    </row>
    <row r="12" spans="1:21">
      <c r="A12" s="41">
        <f>A11+1</f>
        <v>8</v>
      </c>
      <c r="B12" s="27">
        <v>46149</v>
      </c>
      <c r="C12" s="28">
        <v>40001542</v>
      </c>
      <c r="D12" s="28">
        <v>51217610</v>
      </c>
      <c r="E12" s="29">
        <v>50.8</v>
      </c>
      <c r="F12" s="42">
        <v>1086.14</v>
      </c>
      <c r="G12" s="31">
        <f>E12*F12</f>
        <v>55175.912</v>
      </c>
      <c r="H12" s="32">
        <v>82601.11</v>
      </c>
      <c r="I12" s="33">
        <f>E12*H12</f>
        <v>4196136.388</v>
      </c>
      <c r="J12" s="34" t="s">
        <v>120</v>
      </c>
      <c r="K12" s="35" t="s">
        <v>148</v>
      </c>
      <c r="L12" s="43"/>
      <c r="M12" s="44"/>
      <c r="N12" s="41"/>
      <c r="O12" s="41"/>
      <c r="P12" s="45"/>
      <c r="Q12" s="46"/>
      <c r="R12" s="41"/>
      <c r="S12" s="41"/>
      <c r="T12" s="41"/>
      <c r="U12" s="45"/>
    </row>
    <row r="13" spans="1:21">
      <c r="A13" s="41">
        <f>A12+1</f>
        <v>9</v>
      </c>
      <c r="B13" s="27">
        <v>46149</v>
      </c>
      <c r="C13" s="28">
        <v>40001542</v>
      </c>
      <c r="D13" s="28">
        <v>51231413</v>
      </c>
      <c r="E13" s="29">
        <v>50.75</v>
      </c>
      <c r="F13" s="42">
        <v>1086.14</v>
      </c>
      <c r="G13" s="31">
        <f>E13*F13</f>
        <v>55121.605</v>
      </c>
      <c r="H13" s="32">
        <v>82601.11</v>
      </c>
      <c r="I13" s="33">
        <f>E13*H13</f>
        <v>4192006.3325</v>
      </c>
      <c r="J13" s="34" t="s">
        <v>120</v>
      </c>
      <c r="K13" s="35" t="s">
        <v>148</v>
      </c>
      <c r="L13" s="43"/>
      <c r="M13" s="44"/>
      <c r="N13" s="41"/>
      <c r="O13" s="41"/>
      <c r="P13" s="45"/>
      <c r="Q13" s="46"/>
      <c r="R13" s="41"/>
      <c r="S13" s="41"/>
      <c r="T13" s="41"/>
      <c r="U13" s="45"/>
    </row>
    <row r="14" spans="1:21">
      <c r="A14" s="41">
        <f>A13+1</f>
        <v>10</v>
      </c>
      <c r="B14" s="27">
        <v>46149</v>
      </c>
      <c r="C14" s="28">
        <v>40001542</v>
      </c>
      <c r="D14" s="28">
        <v>51289874</v>
      </c>
      <c r="E14" s="29">
        <v>50.2</v>
      </c>
      <c r="F14" s="42">
        <v>1086.14</v>
      </c>
      <c r="G14" s="31">
        <f>E14*F14</f>
        <v>54524.228</v>
      </c>
      <c r="H14" s="32">
        <v>82601.11</v>
      </c>
      <c r="I14" s="33">
        <f>E14*H14</f>
        <v>4146575.722</v>
      </c>
      <c r="J14" s="34" t="s">
        <v>120</v>
      </c>
      <c r="K14" s="35" t="s">
        <v>148</v>
      </c>
      <c r="L14" s="43"/>
      <c r="M14" s="44"/>
      <c r="N14" s="41"/>
      <c r="O14" s="41"/>
      <c r="P14" s="45"/>
      <c r="Q14" s="46"/>
      <c r="R14" s="41"/>
      <c r="S14" s="41"/>
      <c r="T14" s="41"/>
      <c r="U14" s="45"/>
    </row>
    <row r="15" spans="1:21">
      <c r="A15" s="41">
        <f>A14+1</f>
        <v>11</v>
      </c>
      <c r="B15" s="27">
        <v>46149</v>
      </c>
      <c r="C15" s="28">
        <v>40001542</v>
      </c>
      <c r="D15" s="28">
        <v>51487775</v>
      </c>
      <c r="E15" s="29">
        <v>58.85</v>
      </c>
      <c r="F15" s="42">
        <v>1086.14</v>
      </c>
      <c r="G15" s="31">
        <f>E15*F15</f>
        <v>63919.339</v>
      </c>
      <c r="H15" s="32">
        <v>82601.11</v>
      </c>
      <c r="I15" s="33">
        <f>E15*H15</f>
        <v>4861075.3235</v>
      </c>
      <c r="J15" s="34" t="s">
        <v>120</v>
      </c>
      <c r="K15" s="35" t="s">
        <v>148</v>
      </c>
      <c r="L15" s="43"/>
      <c r="M15" s="44"/>
      <c r="N15" s="41"/>
      <c r="O15" s="41"/>
      <c r="P15" s="45"/>
      <c r="Q15" s="46"/>
      <c r="R15" s="41"/>
      <c r="S15" s="41"/>
      <c r="T15" s="41"/>
      <c r="U15" s="45"/>
    </row>
    <row r="16" spans="1:21">
      <c r="A16" s="41">
        <f>A15+1</f>
        <v>12</v>
      </c>
      <c r="B16" s="27">
        <v>46149</v>
      </c>
      <c r="C16" s="28">
        <v>40001542</v>
      </c>
      <c r="D16" s="28">
        <v>51630762</v>
      </c>
      <c r="E16" s="29">
        <v>49.85</v>
      </c>
      <c r="F16" s="42">
        <v>1086.14</v>
      </c>
      <c r="G16" s="31">
        <f>E16*F16</f>
        <v>54144.079</v>
      </c>
      <c r="H16" s="32">
        <v>82601.11</v>
      </c>
      <c r="I16" s="33">
        <f>E16*H16</f>
        <v>4117665.3335</v>
      </c>
      <c r="J16" s="34" t="s">
        <v>120</v>
      </c>
      <c r="K16" s="35" t="s">
        <v>148</v>
      </c>
      <c r="L16" s="43"/>
      <c r="M16" s="44"/>
      <c r="N16" s="41"/>
      <c r="O16" s="41"/>
      <c r="P16" s="45"/>
      <c r="Q16" s="46"/>
      <c r="R16" s="41"/>
      <c r="S16" s="41"/>
      <c r="T16" s="41"/>
      <c r="U16" s="45"/>
    </row>
    <row r="17" spans="1:21">
      <c r="A17" s="41">
        <f>A16+1</f>
        <v>13</v>
      </c>
      <c r="B17" s="27">
        <v>46149</v>
      </c>
      <c r="C17" s="28">
        <v>40001542</v>
      </c>
      <c r="D17" s="28">
        <v>51812808</v>
      </c>
      <c r="E17" s="29">
        <v>59.05</v>
      </c>
      <c r="F17" s="42">
        <v>1086.14</v>
      </c>
      <c r="G17" s="31">
        <f>E17*F17</f>
        <v>64136.567</v>
      </c>
      <c r="H17" s="32">
        <v>82601.11</v>
      </c>
      <c r="I17" s="33">
        <f>E17*H17</f>
        <v>4877595.5455</v>
      </c>
      <c r="J17" s="34" t="s">
        <v>120</v>
      </c>
      <c r="K17" s="35" t="s">
        <v>148</v>
      </c>
      <c r="L17" s="43"/>
      <c r="M17" s="44"/>
      <c r="N17" s="41"/>
      <c r="O17" s="41"/>
      <c r="P17" s="45"/>
      <c r="Q17" s="46"/>
      <c r="R17" s="41"/>
      <c r="S17" s="41"/>
      <c r="T17" s="41"/>
      <c r="U17" s="45"/>
    </row>
    <row r="18" spans="1:21">
      <c r="A18" s="41">
        <f>A17+1</f>
        <v>14</v>
      </c>
      <c r="B18" s="27">
        <v>46149</v>
      </c>
      <c r="C18" s="28">
        <v>40001542</v>
      </c>
      <c r="D18" s="28">
        <v>51813038</v>
      </c>
      <c r="E18" s="29">
        <v>59.15</v>
      </c>
      <c r="F18" s="42">
        <v>1086.14</v>
      </c>
      <c r="G18" s="31">
        <f>E18*F18</f>
        <v>64245.181</v>
      </c>
      <c r="H18" s="32">
        <v>82601.11</v>
      </c>
      <c r="I18" s="33">
        <f>E18*H18</f>
        <v>4885855.6565</v>
      </c>
      <c r="J18" s="34" t="s">
        <v>120</v>
      </c>
      <c r="K18" s="35" t="s">
        <v>148</v>
      </c>
      <c r="L18" s="43"/>
      <c r="M18" s="44"/>
      <c r="N18" s="41"/>
      <c r="O18" s="41"/>
      <c r="P18" s="45"/>
      <c r="Q18" s="46"/>
      <c r="R18" s="41"/>
      <c r="S18" s="41"/>
      <c r="T18" s="41"/>
      <c r="U18" s="45"/>
    </row>
    <row r="19" spans="1:21">
      <c r="A19" s="41">
        <f>A18+1</f>
        <v>15</v>
      </c>
      <c r="B19" s="27">
        <v>46149</v>
      </c>
      <c r="C19" s="28">
        <v>40001542</v>
      </c>
      <c r="D19" s="28">
        <v>53887576</v>
      </c>
      <c r="E19" s="29">
        <v>59.15</v>
      </c>
      <c r="F19" s="42">
        <v>1086.14</v>
      </c>
      <c r="G19" s="31">
        <f>E19*F19</f>
        <v>64245.181</v>
      </c>
      <c r="H19" s="32">
        <v>82601.11</v>
      </c>
      <c r="I19" s="33">
        <f>E19*H19</f>
        <v>4885855.6565</v>
      </c>
      <c r="J19" s="34" t="s">
        <v>120</v>
      </c>
      <c r="K19" s="35" t="s">
        <v>148</v>
      </c>
      <c r="L19" s="43"/>
      <c r="M19" s="44"/>
      <c r="N19" s="41"/>
      <c r="O19" s="41"/>
      <c r="P19" s="45"/>
      <c r="Q19" s="46"/>
      <c r="R19" s="41"/>
      <c r="S19" s="41"/>
      <c r="T19" s="41"/>
      <c r="U19" s="45"/>
    </row>
    <row r="20" spans="1:21">
      <c r="A20" s="41">
        <f>A19+1</f>
        <v>16</v>
      </c>
      <c r="B20" s="27">
        <v>46149</v>
      </c>
      <c r="C20" s="28">
        <v>40001542</v>
      </c>
      <c r="D20" s="28">
        <v>53945978</v>
      </c>
      <c r="E20" s="29">
        <v>49.8</v>
      </c>
      <c r="F20" s="42">
        <v>1086.14</v>
      </c>
      <c r="G20" s="31">
        <f>E20*F20</f>
        <v>54089.772</v>
      </c>
      <c r="H20" s="32">
        <v>82601.11</v>
      </c>
      <c r="I20" s="33">
        <f>E20*H20</f>
        <v>4113535.278</v>
      </c>
      <c r="J20" s="34" t="s">
        <v>120</v>
      </c>
      <c r="K20" s="35" t="s">
        <v>148</v>
      </c>
      <c r="L20" s="43"/>
      <c r="M20" s="44"/>
      <c r="N20" s="41"/>
      <c r="O20" s="41"/>
      <c r="P20" s="45"/>
      <c r="Q20" s="46"/>
      <c r="R20" s="41"/>
      <c r="S20" s="41"/>
      <c r="T20" s="41"/>
      <c r="U20" s="45"/>
    </row>
    <row r="21" spans="1:21">
      <c r="A21" s="41">
        <f>A20+1</f>
        <v>17</v>
      </c>
      <c r="B21" s="27">
        <v>46149</v>
      </c>
      <c r="C21" s="28">
        <v>40001542</v>
      </c>
      <c r="D21" s="28">
        <v>54258231</v>
      </c>
      <c r="E21" s="29">
        <v>58.8</v>
      </c>
      <c r="F21" s="42">
        <v>1086.14</v>
      </c>
      <c r="G21" s="31">
        <f>E21*F21</f>
        <v>63865.032</v>
      </c>
      <c r="H21" s="32">
        <v>82601.11</v>
      </c>
      <c r="I21" s="33">
        <f>E21*H21</f>
        <v>4856945.268</v>
      </c>
      <c r="J21" s="34" t="s">
        <v>120</v>
      </c>
      <c r="K21" s="35" t="s">
        <v>148</v>
      </c>
      <c r="L21" s="43"/>
      <c r="M21" s="44"/>
      <c r="N21" s="41"/>
      <c r="O21" s="41"/>
      <c r="P21" s="45"/>
      <c r="Q21" s="46"/>
      <c r="R21" s="41"/>
      <c r="S21" s="41"/>
      <c r="T21" s="41"/>
      <c r="U21" s="45"/>
    </row>
    <row r="22" spans="1:21">
      <c r="A22" s="41">
        <f>A21+1</f>
        <v>18</v>
      </c>
      <c r="B22" s="27">
        <v>46149</v>
      </c>
      <c r="C22" s="28">
        <v>40001542</v>
      </c>
      <c r="D22" s="28">
        <v>54677646</v>
      </c>
      <c r="E22" s="29">
        <v>58.9</v>
      </c>
      <c r="F22" s="42">
        <v>1086.14</v>
      </c>
      <c r="G22" s="31">
        <f>E22*F22</f>
        <v>63973.646</v>
      </c>
      <c r="H22" s="32">
        <v>82601.11</v>
      </c>
      <c r="I22" s="33">
        <f>E22*H22</f>
        <v>4865205.379</v>
      </c>
      <c r="J22" s="34" t="s">
        <v>120</v>
      </c>
      <c r="K22" s="35" t="s">
        <v>148</v>
      </c>
      <c r="L22" s="43"/>
      <c r="M22" s="44"/>
      <c r="N22" s="41"/>
      <c r="O22" s="41"/>
      <c r="P22" s="45"/>
      <c r="Q22" s="46"/>
      <c r="R22" s="41"/>
      <c r="S22" s="41"/>
      <c r="T22" s="41"/>
      <c r="U22" s="45"/>
    </row>
    <row r="23" spans="1:21">
      <c r="A23" s="41">
        <f>A22+1</f>
        <v>19</v>
      </c>
      <c r="B23" s="27">
        <v>46149</v>
      </c>
      <c r="C23" s="28">
        <v>40001542</v>
      </c>
      <c r="D23" s="28">
        <v>57214421</v>
      </c>
      <c r="E23" s="29">
        <v>59.05</v>
      </c>
      <c r="F23" s="42">
        <v>1086.14</v>
      </c>
      <c r="G23" s="31">
        <f>E23*F23</f>
        <v>64136.567</v>
      </c>
      <c r="H23" s="32">
        <v>82601.11</v>
      </c>
      <c r="I23" s="33">
        <f>E23*H23</f>
        <v>4877595.5455</v>
      </c>
      <c r="J23" s="34" t="s">
        <v>120</v>
      </c>
      <c r="K23" s="35" t="s">
        <v>148</v>
      </c>
      <c r="L23" s="43"/>
      <c r="M23" s="44"/>
      <c r="N23" s="41"/>
      <c r="O23" s="41"/>
      <c r="P23" s="45"/>
      <c r="Q23" s="46"/>
      <c r="R23" s="41"/>
      <c r="S23" s="41"/>
      <c r="T23" s="41"/>
      <c r="U23" s="45"/>
    </row>
    <row r="24" ht="15.75" spans="1:21">
      <c r="A24" s="41">
        <f>A23+1</f>
        <v>20</v>
      </c>
      <c r="B24" s="27">
        <v>46149</v>
      </c>
      <c r="C24" s="47">
        <v>40001542</v>
      </c>
      <c r="D24" s="47">
        <v>73131427</v>
      </c>
      <c r="E24" s="48">
        <v>59.35</v>
      </c>
      <c r="F24" s="42">
        <v>1086.14</v>
      </c>
      <c r="G24" s="31">
        <f>E24*F24</f>
        <v>64462.409</v>
      </c>
      <c r="H24" s="49">
        <v>82601.11</v>
      </c>
      <c r="I24" s="33">
        <f>E24*H24</f>
        <v>4902375.8785</v>
      </c>
      <c r="J24" s="34" t="s">
        <v>120</v>
      </c>
      <c r="K24" s="35" t="s">
        <v>148</v>
      </c>
      <c r="L24" s="50"/>
      <c r="M24" s="51"/>
      <c r="N24" s="52"/>
      <c r="O24" s="52"/>
      <c r="P24" s="53"/>
      <c r="Q24" s="54"/>
      <c r="R24" s="52"/>
      <c r="S24" s="52"/>
      <c r="T24" s="52"/>
      <c r="U24" s="53"/>
    </row>
    <row r="25" ht="15.75" spans="1:21">
      <c r="A25" s="55"/>
      <c r="B25" s="56"/>
      <c r="C25" s="56"/>
      <c r="D25" s="56"/>
      <c r="E25" s="57">
        <f>SUM(E5:E24)</f>
        <v>1094.45</v>
      </c>
      <c r="F25" s="58"/>
      <c r="G25" s="59">
        <f>SUM(G5:G24)</f>
        <v>1188726.16647368</v>
      </c>
      <c r="H25" s="58"/>
      <c r="I25" s="60">
        <f>SUM(I5:I24)</f>
        <v>90402784.8395</v>
      </c>
      <c r="J25" s="56"/>
      <c r="K25" s="61"/>
      <c r="L25" s="62"/>
      <c r="M25" s="63"/>
      <c r="N25" s="64"/>
      <c r="O25" s="64"/>
      <c r="P25" s="65"/>
      <c r="Q25" s="66"/>
      <c r="R25" s="64"/>
      <c r="S25" s="64"/>
      <c r="T25" s="64"/>
      <c r="U25" s="65"/>
    </row>
    <row r="26" spans="1:21">
      <c r="A26" s="26">
        <v>21</v>
      </c>
      <c r="B26" s="27">
        <v>46150</v>
      </c>
      <c r="C26" s="67">
        <v>40001614</v>
      </c>
      <c r="D26" s="67">
        <v>73765687</v>
      </c>
      <c r="E26" s="68">
        <v>59.35</v>
      </c>
      <c r="F26" s="42">
        <v>1086.14</v>
      </c>
      <c r="G26" s="31">
        <f>E26*F26</f>
        <v>64462.409</v>
      </c>
      <c r="H26" s="69">
        <v>82601.11</v>
      </c>
      <c r="I26" s="33">
        <f>E26*H26</f>
        <v>4902375.8785</v>
      </c>
      <c r="J26" s="70" t="s">
        <v>120</v>
      </c>
      <c r="K26" s="71" t="s">
        <v>148</v>
      </c>
      <c r="L26" s="36"/>
      <c r="M26" s="37"/>
      <c r="N26" s="38"/>
      <c r="O26" s="38"/>
      <c r="P26" s="39"/>
      <c r="Q26" s="37"/>
      <c r="R26" s="38"/>
      <c r="S26" s="38"/>
      <c r="T26" s="38"/>
      <c r="U26" s="39"/>
    </row>
    <row r="27" spans="1:21">
      <c r="A27" s="44">
        <f>A26+1</f>
        <v>22</v>
      </c>
      <c r="B27" s="72">
        <v>46150</v>
      </c>
      <c r="C27" s="41">
        <v>40001614</v>
      </c>
      <c r="D27" s="41">
        <v>50411693</v>
      </c>
      <c r="E27" s="73">
        <v>59.4</v>
      </c>
      <c r="F27" s="42">
        <v>1086.14</v>
      </c>
      <c r="G27" s="31">
        <f>E27*F27</f>
        <v>64516.716</v>
      </c>
      <c r="H27" s="32">
        <v>82601.11</v>
      </c>
      <c r="I27" s="33">
        <f>E27*H27</f>
        <v>4906505.934</v>
      </c>
      <c r="J27" s="34" t="s">
        <v>120</v>
      </c>
      <c r="K27" s="74" t="s">
        <v>148</v>
      </c>
      <c r="L27" s="43"/>
      <c r="M27" s="44"/>
      <c r="N27" s="41"/>
      <c r="O27" s="41"/>
      <c r="P27" s="45"/>
      <c r="Q27" s="44"/>
      <c r="R27" s="41"/>
      <c r="S27" s="41"/>
      <c r="T27" s="41"/>
      <c r="U27" s="45"/>
    </row>
    <row r="28" spans="1:21">
      <c r="A28" s="44">
        <f>A27+1</f>
        <v>23</v>
      </c>
      <c r="B28" s="72">
        <v>46150</v>
      </c>
      <c r="C28" s="41">
        <v>40001614</v>
      </c>
      <c r="D28" s="41">
        <v>75852699</v>
      </c>
      <c r="E28" s="73">
        <v>59.95</v>
      </c>
      <c r="F28" s="42">
        <v>1086.14</v>
      </c>
      <c r="G28" s="31">
        <f>E28*F28</f>
        <v>65114.093</v>
      </c>
      <c r="H28" s="32">
        <v>82601.11</v>
      </c>
      <c r="I28" s="33">
        <f>E28*H28</f>
        <v>4951936.5445</v>
      </c>
      <c r="J28" s="34" t="s">
        <v>120</v>
      </c>
      <c r="K28" s="74" t="s">
        <v>148</v>
      </c>
      <c r="L28" s="43"/>
      <c r="M28" s="44"/>
      <c r="N28" s="41"/>
      <c r="O28" s="41"/>
      <c r="P28" s="45"/>
      <c r="Q28" s="44"/>
      <c r="R28" s="41"/>
      <c r="S28" s="41"/>
      <c r="T28" s="41"/>
      <c r="U28" s="45"/>
    </row>
    <row r="29" spans="1:21">
      <c r="A29" s="44">
        <f>A28+1</f>
        <v>24</v>
      </c>
      <c r="B29" s="72">
        <v>46150</v>
      </c>
      <c r="C29" s="41">
        <v>40001614</v>
      </c>
      <c r="D29" s="41">
        <v>75008144</v>
      </c>
      <c r="E29" s="73">
        <v>59.25</v>
      </c>
      <c r="F29" s="42">
        <v>1086.14</v>
      </c>
      <c r="G29" s="31">
        <f>E29*F29</f>
        <v>64353.795</v>
      </c>
      <c r="H29" s="32">
        <v>82601.11</v>
      </c>
      <c r="I29" s="33">
        <f>E29*H29</f>
        <v>4894115.7675</v>
      </c>
      <c r="J29" s="34" t="s">
        <v>120</v>
      </c>
      <c r="K29" s="74" t="s">
        <v>148</v>
      </c>
      <c r="L29" s="43"/>
      <c r="M29" s="44"/>
      <c r="N29" s="41"/>
      <c r="O29" s="41"/>
      <c r="P29" s="45"/>
      <c r="Q29" s="44"/>
      <c r="R29" s="41"/>
      <c r="S29" s="41"/>
      <c r="T29" s="41"/>
      <c r="U29" s="45"/>
    </row>
    <row r="30" spans="1:21">
      <c r="A30" s="44">
        <f>A29+1</f>
        <v>25</v>
      </c>
      <c r="B30" s="72">
        <v>46150</v>
      </c>
      <c r="C30" s="41">
        <v>40001614</v>
      </c>
      <c r="D30" s="41">
        <v>75207852</v>
      </c>
      <c r="E30" s="73">
        <v>60.1</v>
      </c>
      <c r="F30" s="42">
        <v>1086.14</v>
      </c>
      <c r="G30" s="31">
        <f>E30*F30</f>
        <v>65277.014</v>
      </c>
      <c r="H30" s="32">
        <v>82601.11</v>
      </c>
      <c r="I30" s="33">
        <f>E30*H30</f>
        <v>4964326.711</v>
      </c>
      <c r="J30" s="34" t="s">
        <v>120</v>
      </c>
      <c r="K30" s="74" t="s">
        <v>148</v>
      </c>
      <c r="L30" s="43"/>
      <c r="M30" s="44"/>
      <c r="N30" s="41"/>
      <c r="O30" s="41"/>
      <c r="P30" s="45"/>
      <c r="Q30" s="44"/>
      <c r="R30" s="41"/>
      <c r="S30" s="41"/>
      <c r="T30" s="41"/>
      <c r="U30" s="45"/>
    </row>
    <row r="31" spans="1:21">
      <c r="A31" s="44">
        <f>A30+1</f>
        <v>26</v>
      </c>
      <c r="B31" s="72">
        <v>46150</v>
      </c>
      <c r="C31" s="41">
        <v>40001614</v>
      </c>
      <c r="D31" s="41">
        <v>76307594</v>
      </c>
      <c r="E31" s="73">
        <v>59.9</v>
      </c>
      <c r="F31" s="42">
        <v>1086.14</v>
      </c>
      <c r="G31" s="31">
        <f>E31*F31</f>
        <v>65059.786</v>
      </c>
      <c r="H31" s="32">
        <v>82601.11</v>
      </c>
      <c r="I31" s="33">
        <f>E31*H31</f>
        <v>4947806.489</v>
      </c>
      <c r="J31" s="34" t="s">
        <v>120</v>
      </c>
      <c r="K31" s="74" t="s">
        <v>148</v>
      </c>
      <c r="L31" s="43"/>
      <c r="M31" s="44"/>
      <c r="N31" s="41"/>
      <c r="O31" s="41"/>
      <c r="P31" s="45"/>
      <c r="Q31" s="44"/>
      <c r="R31" s="41"/>
      <c r="S31" s="41"/>
      <c r="T31" s="41"/>
      <c r="U31" s="45"/>
    </row>
    <row r="32" spans="1:21">
      <c r="A32" s="44">
        <f>A31+1</f>
        <v>27</v>
      </c>
      <c r="B32" s="72">
        <v>46150</v>
      </c>
      <c r="C32" s="41">
        <v>40001614</v>
      </c>
      <c r="D32" s="41">
        <v>50438233</v>
      </c>
      <c r="E32" s="73">
        <v>59.45</v>
      </c>
      <c r="F32" s="42">
        <v>1086.14</v>
      </c>
      <c r="G32" s="31">
        <f>E32*F32</f>
        <v>64571.023</v>
      </c>
      <c r="H32" s="32">
        <v>82601.11</v>
      </c>
      <c r="I32" s="33">
        <f>E32*H32</f>
        <v>4910635.9895</v>
      </c>
      <c r="J32" s="34" t="s">
        <v>120</v>
      </c>
      <c r="K32" s="74" t="s">
        <v>148</v>
      </c>
      <c r="L32" s="43"/>
      <c r="M32" s="44"/>
      <c r="N32" s="41"/>
      <c r="O32" s="41"/>
      <c r="P32" s="45"/>
      <c r="Q32" s="44"/>
      <c r="R32" s="41"/>
      <c r="S32" s="41"/>
      <c r="T32" s="41"/>
      <c r="U32" s="45"/>
    </row>
    <row r="33" spans="1:21">
      <c r="A33" s="44">
        <f>A32+1</f>
        <v>28</v>
      </c>
      <c r="B33" s="72">
        <v>46150</v>
      </c>
      <c r="C33" s="41">
        <v>40001614</v>
      </c>
      <c r="D33" s="41">
        <v>51551216</v>
      </c>
      <c r="E33" s="73">
        <v>49.8</v>
      </c>
      <c r="F33" s="42">
        <v>1086.14</v>
      </c>
      <c r="G33" s="31">
        <f>E33*F33</f>
        <v>54089.772</v>
      </c>
      <c r="H33" s="32">
        <v>82601.11</v>
      </c>
      <c r="I33" s="33">
        <f>E33*H33</f>
        <v>4113535.278</v>
      </c>
      <c r="J33" s="34" t="s">
        <v>120</v>
      </c>
      <c r="K33" s="74" t="s">
        <v>148</v>
      </c>
      <c r="L33" s="43"/>
      <c r="M33" s="44"/>
      <c r="N33" s="41"/>
      <c r="O33" s="41"/>
      <c r="P33" s="45"/>
      <c r="Q33" s="44"/>
      <c r="R33" s="41"/>
      <c r="S33" s="41"/>
      <c r="T33" s="41"/>
      <c r="U33" s="45"/>
    </row>
    <row r="34" spans="1:21">
      <c r="A34" s="44">
        <f>A33+1</f>
        <v>29</v>
      </c>
      <c r="B34" s="72">
        <v>46150</v>
      </c>
      <c r="C34" s="41">
        <v>40001614</v>
      </c>
      <c r="D34" s="41">
        <v>57201899</v>
      </c>
      <c r="E34" s="73">
        <v>59.35</v>
      </c>
      <c r="F34" s="42">
        <v>1086.14</v>
      </c>
      <c r="G34" s="31">
        <f>E34*F34</f>
        <v>64462.409</v>
      </c>
      <c r="H34" s="32">
        <v>82601.11</v>
      </c>
      <c r="I34" s="33">
        <f>E34*H34</f>
        <v>4902375.8785</v>
      </c>
      <c r="J34" s="34" t="s">
        <v>120</v>
      </c>
      <c r="K34" s="74" t="s">
        <v>148</v>
      </c>
      <c r="L34" s="43"/>
      <c r="M34" s="44"/>
      <c r="N34" s="41"/>
      <c r="O34" s="41"/>
      <c r="P34" s="45"/>
      <c r="Q34" s="44"/>
      <c r="R34" s="41"/>
      <c r="S34" s="41"/>
      <c r="T34" s="41"/>
      <c r="U34" s="45"/>
    </row>
    <row r="35" spans="1:21">
      <c r="A35" s="44">
        <f>A34+1</f>
        <v>30</v>
      </c>
      <c r="B35" s="72">
        <v>46150</v>
      </c>
      <c r="C35" s="41">
        <v>40001614</v>
      </c>
      <c r="D35" s="41">
        <v>57028649</v>
      </c>
      <c r="E35" s="73">
        <v>58.85</v>
      </c>
      <c r="F35" s="42">
        <v>1086.14</v>
      </c>
      <c r="G35" s="31">
        <f>E35*F35</f>
        <v>63919.339</v>
      </c>
      <c r="H35" s="32">
        <v>82601.11</v>
      </c>
      <c r="I35" s="33">
        <f>E35*H35</f>
        <v>4861075.3235</v>
      </c>
      <c r="J35" s="34" t="s">
        <v>120</v>
      </c>
      <c r="K35" s="74" t="s">
        <v>148</v>
      </c>
      <c r="L35" s="43"/>
      <c r="M35" s="44"/>
      <c r="N35" s="41"/>
      <c r="O35" s="41"/>
      <c r="P35" s="45"/>
      <c r="Q35" s="44"/>
      <c r="R35" s="41"/>
      <c r="S35" s="41"/>
      <c r="T35" s="41"/>
      <c r="U35" s="45"/>
    </row>
    <row r="36" spans="1:21">
      <c r="A36" s="44">
        <f>A35+1</f>
        <v>31</v>
      </c>
      <c r="B36" s="72">
        <v>46150</v>
      </c>
      <c r="C36" s="41">
        <v>40001614</v>
      </c>
      <c r="D36" s="41">
        <v>51228310</v>
      </c>
      <c r="E36" s="73">
        <v>59</v>
      </c>
      <c r="F36" s="42">
        <v>1086.14</v>
      </c>
      <c r="G36" s="31">
        <f>E36*F36</f>
        <v>64082.26</v>
      </c>
      <c r="H36" s="32">
        <v>82601.11</v>
      </c>
      <c r="I36" s="33">
        <f>E36*H36</f>
        <v>4873465.49</v>
      </c>
      <c r="J36" s="34" t="s">
        <v>120</v>
      </c>
      <c r="K36" s="74" t="s">
        <v>148</v>
      </c>
      <c r="L36" s="43"/>
      <c r="M36" s="44"/>
      <c r="N36" s="41"/>
      <c r="O36" s="41"/>
      <c r="P36" s="45"/>
      <c r="Q36" s="44"/>
      <c r="R36" s="41"/>
      <c r="S36" s="41"/>
      <c r="T36" s="41"/>
      <c r="U36" s="45"/>
    </row>
    <row r="37" spans="1:21">
      <c r="A37" s="44">
        <f>A36+1</f>
        <v>32</v>
      </c>
      <c r="B37" s="72">
        <v>46150</v>
      </c>
      <c r="C37" s="41">
        <v>40001614</v>
      </c>
      <c r="D37" s="41">
        <v>55551824</v>
      </c>
      <c r="E37" s="73">
        <v>59.45</v>
      </c>
      <c r="F37" s="42">
        <v>1086.14</v>
      </c>
      <c r="G37" s="31">
        <f>E37*F37</f>
        <v>64571.023</v>
      </c>
      <c r="H37" s="32">
        <v>82601.11</v>
      </c>
      <c r="I37" s="33">
        <f>E37*H37</f>
        <v>4910635.9895</v>
      </c>
      <c r="J37" s="34" t="s">
        <v>120</v>
      </c>
      <c r="K37" s="74" t="s">
        <v>148</v>
      </c>
      <c r="L37" s="43"/>
      <c r="M37" s="44"/>
      <c r="N37" s="41"/>
      <c r="O37" s="41"/>
      <c r="P37" s="45"/>
      <c r="Q37" s="44"/>
      <c r="R37" s="41"/>
      <c r="S37" s="41"/>
      <c r="T37" s="41"/>
      <c r="U37" s="45"/>
    </row>
    <row r="38" ht="15.75" spans="1:21">
      <c r="A38" s="75">
        <f>A37+1</f>
        <v>33</v>
      </c>
      <c r="B38" s="76">
        <v>46150</v>
      </c>
      <c r="C38" s="77">
        <v>40001614</v>
      </c>
      <c r="D38" s="77">
        <v>75113159</v>
      </c>
      <c r="E38" s="78">
        <v>59.35</v>
      </c>
      <c r="F38" s="42">
        <v>1086.14</v>
      </c>
      <c r="G38" s="79">
        <f>E38*F38</f>
        <v>64462.409</v>
      </c>
      <c r="H38" s="49">
        <v>82601.11</v>
      </c>
      <c r="I38" s="80">
        <f>E38*H38</f>
        <v>4902375.8785</v>
      </c>
      <c r="J38" s="81" t="s">
        <v>120</v>
      </c>
      <c r="K38" s="82" t="s">
        <v>148</v>
      </c>
      <c r="L38" s="83"/>
      <c r="M38" s="51"/>
      <c r="N38" s="52"/>
      <c r="O38" s="52"/>
      <c r="P38" s="53"/>
      <c r="Q38" s="51"/>
      <c r="R38" s="52"/>
      <c r="S38" s="52"/>
      <c r="T38" s="52"/>
      <c r="U38" s="53"/>
    </row>
    <row r="39" ht="15.75" spans="1:21">
      <c r="A39" s="55"/>
      <c r="B39" s="56"/>
      <c r="C39" s="56"/>
      <c r="D39" s="56"/>
      <c r="E39" s="57">
        <f>SUM(E26:E38)</f>
        <v>763.2</v>
      </c>
      <c r="F39" s="58"/>
      <c r="G39" s="59">
        <f>SUM(G26:G38)</f>
        <v>828942.048</v>
      </c>
      <c r="H39" s="58"/>
      <c r="I39" s="60">
        <f>SUM(I26:I38)</f>
        <v>63041167.152</v>
      </c>
      <c r="J39" s="56"/>
      <c r="K39" s="61"/>
      <c r="L39" s="84"/>
      <c r="M39" s="85"/>
      <c r="N39" s="86"/>
      <c r="O39" s="86"/>
      <c r="P39" s="87"/>
      <c r="Q39" s="88"/>
      <c r="R39" s="86"/>
      <c r="S39" s="86"/>
      <c r="T39" s="86"/>
      <c r="U39" s="87"/>
    </row>
    <row r="40" spans="1:21">
      <c r="A40" s="26">
        <v>34</v>
      </c>
      <c r="B40" s="67" t="s">
        <v>157</v>
      </c>
      <c r="C40" s="67">
        <v>40001709</v>
      </c>
      <c r="D40" s="67">
        <v>54095757</v>
      </c>
      <c r="E40" s="68">
        <v>58.8</v>
      </c>
      <c r="F40" s="42">
        <v>1086.14</v>
      </c>
      <c r="G40" s="31">
        <f>E40*F40</f>
        <v>63865.032</v>
      </c>
      <c r="H40" s="69">
        <v>82601.11</v>
      </c>
      <c r="I40" s="33">
        <f>E40*H40</f>
        <v>4856945.268</v>
      </c>
      <c r="J40" s="70" t="s">
        <v>120</v>
      </c>
      <c r="K40" s="71" t="s">
        <v>148</v>
      </c>
      <c r="L40" s="89"/>
      <c r="M40" s="37"/>
      <c r="N40" s="38"/>
      <c r="O40" s="38"/>
      <c r="P40" s="39"/>
      <c r="Q40" s="37"/>
      <c r="R40" s="38"/>
      <c r="S40" s="38"/>
      <c r="T40" s="38"/>
      <c r="U40" s="39"/>
    </row>
    <row r="41" spans="1:21">
      <c r="A41" s="44">
        <f>A40+1</f>
        <v>35</v>
      </c>
      <c r="B41" s="41" t="s">
        <v>157</v>
      </c>
      <c r="C41" s="41">
        <v>40001709</v>
      </c>
      <c r="D41" s="41">
        <v>57431595</v>
      </c>
      <c r="E41" s="73">
        <v>58.8</v>
      </c>
      <c r="F41" s="42">
        <v>1086.14</v>
      </c>
      <c r="G41" s="31">
        <f>E41*F41</f>
        <v>63865.032</v>
      </c>
      <c r="H41" s="32">
        <v>82601.11</v>
      </c>
      <c r="I41" s="33">
        <f>E41*H41</f>
        <v>4856945.268</v>
      </c>
      <c r="J41" s="34" t="s">
        <v>120</v>
      </c>
      <c r="K41" s="74" t="s">
        <v>148</v>
      </c>
      <c r="L41" s="89"/>
      <c r="M41" s="44"/>
      <c r="N41" s="41"/>
      <c r="O41" s="41"/>
      <c r="P41" s="45"/>
      <c r="Q41" s="44"/>
      <c r="R41" s="41"/>
      <c r="S41" s="41"/>
      <c r="T41" s="41"/>
      <c r="U41" s="45"/>
    </row>
    <row r="42" spans="1:21">
      <c r="A42" s="44">
        <f>A41+1</f>
        <v>36</v>
      </c>
      <c r="B42" s="41" t="s">
        <v>157</v>
      </c>
      <c r="C42" s="41">
        <v>40001709</v>
      </c>
      <c r="D42" s="41">
        <v>51622850</v>
      </c>
      <c r="E42" s="73">
        <v>58.55</v>
      </c>
      <c r="F42" s="42">
        <v>1086.14</v>
      </c>
      <c r="G42" s="31">
        <f>E42*F42</f>
        <v>63593.497</v>
      </c>
      <c r="H42" s="32">
        <v>82601.11</v>
      </c>
      <c r="I42" s="33">
        <f>E42*H42</f>
        <v>4836294.9905</v>
      </c>
      <c r="J42" s="34" t="s">
        <v>120</v>
      </c>
      <c r="K42" s="74" t="s">
        <v>148</v>
      </c>
      <c r="L42" s="89"/>
      <c r="M42" s="44"/>
      <c r="N42" s="41"/>
      <c r="O42" s="41"/>
      <c r="P42" s="45"/>
      <c r="Q42" s="44"/>
      <c r="R42" s="41"/>
      <c r="S42" s="41"/>
      <c r="T42" s="41"/>
      <c r="U42" s="45"/>
    </row>
    <row r="43" spans="1:21">
      <c r="A43" s="44">
        <f>A42+1</f>
        <v>37</v>
      </c>
      <c r="B43" s="41" t="s">
        <v>157</v>
      </c>
      <c r="C43" s="41">
        <v>40001709</v>
      </c>
      <c r="D43" s="41">
        <v>51622801</v>
      </c>
      <c r="E43" s="73">
        <v>58.6</v>
      </c>
      <c r="F43" s="42">
        <v>1086.14</v>
      </c>
      <c r="G43" s="31">
        <f>E43*F43</f>
        <v>63647.804</v>
      </c>
      <c r="H43" s="32">
        <v>82601.11</v>
      </c>
      <c r="I43" s="33">
        <f>E43*H43</f>
        <v>4840425.046</v>
      </c>
      <c r="J43" s="34" t="s">
        <v>120</v>
      </c>
      <c r="K43" s="74" t="s">
        <v>148</v>
      </c>
      <c r="L43" s="89"/>
      <c r="M43" s="44"/>
      <c r="N43" s="41"/>
      <c r="O43" s="41"/>
      <c r="P43" s="45"/>
      <c r="Q43" s="44"/>
      <c r="R43" s="41"/>
      <c r="S43" s="41"/>
      <c r="T43" s="41"/>
      <c r="U43" s="45"/>
    </row>
    <row r="44" spans="1:21">
      <c r="A44" s="44">
        <f>A43+1</f>
        <v>38</v>
      </c>
      <c r="B44" s="41" t="s">
        <v>157</v>
      </c>
      <c r="C44" s="41">
        <v>40001709</v>
      </c>
      <c r="D44" s="41">
        <v>73144529</v>
      </c>
      <c r="E44" s="73">
        <v>59.3</v>
      </c>
      <c r="F44" s="42">
        <v>1086.14</v>
      </c>
      <c r="G44" s="31">
        <f>E44*F44</f>
        <v>64408.102</v>
      </c>
      <c r="H44" s="32">
        <v>82601.11</v>
      </c>
      <c r="I44" s="33">
        <f>E44*H44</f>
        <v>4898245.823</v>
      </c>
      <c r="J44" s="34" t="s">
        <v>120</v>
      </c>
      <c r="K44" s="74" t="s">
        <v>148</v>
      </c>
      <c r="L44" s="89"/>
      <c r="M44" s="44"/>
      <c r="N44" s="41"/>
      <c r="O44" s="41"/>
      <c r="P44" s="45"/>
      <c r="Q44" s="44"/>
      <c r="R44" s="41"/>
      <c r="S44" s="41"/>
      <c r="T44" s="41"/>
      <c r="U44" s="45"/>
    </row>
    <row r="45" spans="1:21">
      <c r="A45" s="44">
        <f>A44+1</f>
        <v>39</v>
      </c>
      <c r="B45" s="41" t="s">
        <v>157</v>
      </c>
      <c r="C45" s="41">
        <v>40001709</v>
      </c>
      <c r="D45" s="41">
        <v>73228728</v>
      </c>
      <c r="E45" s="73">
        <v>59.3</v>
      </c>
      <c r="F45" s="42">
        <v>1086.14</v>
      </c>
      <c r="G45" s="31">
        <f>E45*F45</f>
        <v>64408.102</v>
      </c>
      <c r="H45" s="32">
        <v>82601.11</v>
      </c>
      <c r="I45" s="33">
        <f>E45*H45</f>
        <v>4898245.823</v>
      </c>
      <c r="J45" s="34" t="s">
        <v>120</v>
      </c>
      <c r="K45" s="74" t="s">
        <v>148</v>
      </c>
      <c r="L45" s="89"/>
      <c r="M45" s="44"/>
      <c r="N45" s="41"/>
      <c r="O45" s="41"/>
      <c r="P45" s="45"/>
      <c r="Q45" s="44"/>
      <c r="R45" s="41"/>
      <c r="S45" s="41"/>
      <c r="T45" s="41"/>
      <c r="U45" s="45"/>
    </row>
    <row r="46" spans="1:21">
      <c r="A46" s="44">
        <f>A45+1</f>
        <v>40</v>
      </c>
      <c r="B46" s="41" t="s">
        <v>157</v>
      </c>
      <c r="C46" s="41">
        <v>40001709</v>
      </c>
      <c r="D46" s="41">
        <v>73157679</v>
      </c>
      <c r="E46" s="73">
        <v>59.3</v>
      </c>
      <c r="F46" s="42">
        <v>1086.14</v>
      </c>
      <c r="G46" s="31">
        <f>E46*F46</f>
        <v>64408.102</v>
      </c>
      <c r="H46" s="32">
        <v>82601.11</v>
      </c>
      <c r="I46" s="33">
        <f>E46*H46</f>
        <v>4898245.823</v>
      </c>
      <c r="J46" s="34" t="s">
        <v>120</v>
      </c>
      <c r="K46" s="74" t="s">
        <v>148</v>
      </c>
      <c r="L46" s="89"/>
      <c r="M46" s="44"/>
      <c r="N46" s="41"/>
      <c r="O46" s="41"/>
      <c r="P46" s="45"/>
      <c r="Q46" s="44"/>
      <c r="R46" s="41"/>
      <c r="S46" s="41"/>
      <c r="T46" s="41"/>
      <c r="U46" s="45"/>
    </row>
    <row r="47" spans="1:21">
      <c r="A47" s="44">
        <f>A46+1</f>
        <v>41</v>
      </c>
      <c r="B47" s="41" t="s">
        <v>157</v>
      </c>
      <c r="C47" s="41">
        <v>40001709</v>
      </c>
      <c r="D47" s="41">
        <v>73038879</v>
      </c>
      <c r="E47" s="73">
        <v>59.3</v>
      </c>
      <c r="F47" s="42">
        <v>1086.14</v>
      </c>
      <c r="G47" s="31">
        <f>E47*F47</f>
        <v>64408.102</v>
      </c>
      <c r="H47" s="32">
        <v>82601.11</v>
      </c>
      <c r="I47" s="33">
        <f>E47*H47</f>
        <v>4898245.823</v>
      </c>
      <c r="J47" s="34" t="s">
        <v>120</v>
      </c>
      <c r="K47" s="74" t="s">
        <v>148</v>
      </c>
      <c r="L47" s="89"/>
      <c r="M47" s="44"/>
      <c r="N47" s="41"/>
      <c r="O47" s="41"/>
      <c r="P47" s="45"/>
      <c r="Q47" s="44"/>
      <c r="R47" s="41"/>
      <c r="S47" s="41"/>
      <c r="T47" s="41"/>
      <c r="U47" s="45"/>
    </row>
    <row r="48" spans="1:21">
      <c r="A48" s="44">
        <f>A47+1</f>
        <v>42</v>
      </c>
      <c r="B48" s="41" t="s">
        <v>157</v>
      </c>
      <c r="C48" s="41">
        <v>40001709</v>
      </c>
      <c r="D48" s="41">
        <v>73000309</v>
      </c>
      <c r="E48" s="73">
        <v>59.45</v>
      </c>
      <c r="F48" s="42">
        <v>1086.14</v>
      </c>
      <c r="G48" s="31">
        <f>E48*F48</f>
        <v>64571.023</v>
      </c>
      <c r="H48" s="32">
        <v>82601.11</v>
      </c>
      <c r="I48" s="33">
        <f>E48*H48</f>
        <v>4910635.9895</v>
      </c>
      <c r="J48" s="34" t="s">
        <v>120</v>
      </c>
      <c r="K48" s="74" t="s">
        <v>148</v>
      </c>
      <c r="L48" s="89"/>
      <c r="M48" s="44"/>
      <c r="N48" s="41"/>
      <c r="O48" s="41"/>
      <c r="P48" s="45"/>
      <c r="Q48" s="44"/>
      <c r="R48" s="41"/>
      <c r="S48" s="41"/>
      <c r="T48" s="41"/>
      <c r="U48" s="45"/>
    </row>
    <row r="49" spans="1:21">
      <c r="A49" s="44">
        <f>A48+1</f>
        <v>43</v>
      </c>
      <c r="B49" s="41" t="s">
        <v>157</v>
      </c>
      <c r="C49" s="41">
        <v>40001709</v>
      </c>
      <c r="D49" s="41">
        <v>73237182</v>
      </c>
      <c r="E49" s="73">
        <v>59.25</v>
      </c>
      <c r="F49" s="42">
        <v>1086.14</v>
      </c>
      <c r="G49" s="31">
        <f>E49*F49</f>
        <v>64353.795</v>
      </c>
      <c r="H49" s="32">
        <v>82601.11</v>
      </c>
      <c r="I49" s="33">
        <f>E49*H49</f>
        <v>4894115.7675</v>
      </c>
      <c r="J49" s="34" t="s">
        <v>120</v>
      </c>
      <c r="K49" s="74" t="s">
        <v>148</v>
      </c>
      <c r="L49" s="89"/>
      <c r="M49" s="44"/>
      <c r="N49" s="41"/>
      <c r="O49" s="41"/>
      <c r="P49" s="45"/>
      <c r="Q49" s="44"/>
      <c r="R49" s="41"/>
      <c r="S49" s="41"/>
      <c r="T49" s="41"/>
      <c r="U49" s="45"/>
    </row>
    <row r="50" spans="1:21">
      <c r="A50" s="44">
        <f>A49+1</f>
        <v>44</v>
      </c>
      <c r="B50" s="41" t="s">
        <v>157</v>
      </c>
      <c r="C50" s="41">
        <v>40001709</v>
      </c>
      <c r="D50" s="41">
        <v>57527426</v>
      </c>
      <c r="E50" s="73">
        <v>59.35</v>
      </c>
      <c r="F50" s="42">
        <v>1086.14</v>
      </c>
      <c r="G50" s="31">
        <f>E50*F50</f>
        <v>64462.409</v>
      </c>
      <c r="H50" s="32">
        <v>82601.11</v>
      </c>
      <c r="I50" s="33">
        <f>E50*H50</f>
        <v>4902375.8785</v>
      </c>
      <c r="J50" s="34" t="s">
        <v>120</v>
      </c>
      <c r="K50" s="74" t="s">
        <v>148</v>
      </c>
      <c r="L50" s="89"/>
      <c r="M50" s="44"/>
      <c r="N50" s="41"/>
      <c r="O50" s="41"/>
      <c r="P50" s="45"/>
      <c r="Q50" s="44"/>
      <c r="R50" s="41"/>
      <c r="S50" s="41"/>
      <c r="T50" s="41"/>
      <c r="U50" s="45"/>
    </row>
    <row r="51" spans="1:21">
      <c r="A51" s="44">
        <f>A50+1</f>
        <v>45</v>
      </c>
      <c r="B51" s="41" t="s">
        <v>157</v>
      </c>
      <c r="C51" s="41">
        <v>40001709</v>
      </c>
      <c r="D51" s="41">
        <v>57016156</v>
      </c>
      <c r="E51" s="73">
        <v>58.9</v>
      </c>
      <c r="F51" s="42">
        <v>1086.14</v>
      </c>
      <c r="G51" s="31">
        <f>E51*F51</f>
        <v>63973.646</v>
      </c>
      <c r="H51" s="32">
        <v>82601.11</v>
      </c>
      <c r="I51" s="33">
        <f>E51*H51</f>
        <v>4865205.379</v>
      </c>
      <c r="J51" s="34" t="s">
        <v>120</v>
      </c>
      <c r="K51" s="74" t="s">
        <v>148</v>
      </c>
      <c r="L51" s="89"/>
      <c r="M51" s="44"/>
      <c r="N51" s="41"/>
      <c r="O51" s="41"/>
      <c r="P51" s="45"/>
      <c r="Q51" s="44"/>
      <c r="R51" s="41"/>
      <c r="S51" s="41"/>
      <c r="T51" s="41"/>
      <c r="U51" s="45"/>
    </row>
    <row r="52" spans="1:21">
      <c r="A52" s="44">
        <f>A51+1</f>
        <v>46</v>
      </c>
      <c r="B52" s="41" t="s">
        <v>157</v>
      </c>
      <c r="C52" s="41">
        <v>40001709</v>
      </c>
      <c r="D52" s="41">
        <v>73231037</v>
      </c>
      <c r="E52" s="73">
        <v>59.35</v>
      </c>
      <c r="F52" s="42">
        <v>1086.14</v>
      </c>
      <c r="G52" s="31">
        <f>E52*F52</f>
        <v>64462.409</v>
      </c>
      <c r="H52" s="32">
        <v>82601.11</v>
      </c>
      <c r="I52" s="33">
        <f>E52*H52</f>
        <v>4902375.8785</v>
      </c>
      <c r="J52" s="34" t="s">
        <v>120</v>
      </c>
      <c r="K52" s="74" t="s">
        <v>148</v>
      </c>
      <c r="L52" s="89"/>
      <c r="M52" s="44"/>
      <c r="N52" s="41"/>
      <c r="O52" s="41"/>
      <c r="P52" s="45"/>
      <c r="Q52" s="44"/>
      <c r="R52" s="41"/>
      <c r="S52" s="41"/>
      <c r="T52" s="41"/>
      <c r="U52" s="45"/>
    </row>
    <row r="53" spans="1:21">
      <c r="A53" s="44">
        <f>A52+1</f>
        <v>47</v>
      </c>
      <c r="B53" s="41" t="s">
        <v>157</v>
      </c>
      <c r="C53" s="41">
        <v>40001709</v>
      </c>
      <c r="D53" s="41">
        <v>73159048</v>
      </c>
      <c r="E53" s="73">
        <v>59.35</v>
      </c>
      <c r="F53" s="42">
        <v>1086.14</v>
      </c>
      <c r="G53" s="31">
        <f>E53*F53</f>
        <v>64462.409</v>
      </c>
      <c r="H53" s="32">
        <v>82601.11</v>
      </c>
      <c r="I53" s="33">
        <f>E53*H53</f>
        <v>4902375.8785</v>
      </c>
      <c r="J53" s="34" t="s">
        <v>120</v>
      </c>
      <c r="K53" s="74" t="s">
        <v>148</v>
      </c>
      <c r="L53" s="89"/>
      <c r="M53" s="44"/>
      <c r="N53" s="41"/>
      <c r="O53" s="41"/>
      <c r="P53" s="45"/>
      <c r="Q53" s="44"/>
      <c r="R53" s="41"/>
      <c r="S53" s="41"/>
      <c r="T53" s="41"/>
      <c r="U53" s="45"/>
    </row>
    <row r="54" spans="1:21">
      <c r="A54" s="44">
        <f>A53+1</f>
        <v>48</v>
      </c>
      <c r="B54" s="41" t="s">
        <v>157</v>
      </c>
      <c r="C54" s="41">
        <v>40001709</v>
      </c>
      <c r="D54" s="41">
        <v>75205484</v>
      </c>
      <c r="E54" s="73">
        <v>59.85</v>
      </c>
      <c r="F54" s="42">
        <v>1086.14</v>
      </c>
      <c r="G54" s="31">
        <f>E54*F54</f>
        <v>65005.479</v>
      </c>
      <c r="H54" s="32">
        <v>82601.11</v>
      </c>
      <c r="I54" s="33">
        <f>E54*H54</f>
        <v>4943676.4335</v>
      </c>
      <c r="J54" s="34" t="s">
        <v>120</v>
      </c>
      <c r="K54" s="74" t="s">
        <v>148</v>
      </c>
      <c r="L54" s="89"/>
      <c r="M54" s="44"/>
      <c r="N54" s="41"/>
      <c r="O54" s="41"/>
      <c r="P54" s="45"/>
      <c r="Q54" s="44"/>
      <c r="R54" s="41"/>
      <c r="S54" s="41"/>
      <c r="T54" s="41"/>
      <c r="U54" s="45"/>
    </row>
    <row r="55" spans="1:21">
      <c r="A55" s="44">
        <f>A54+1</f>
        <v>49</v>
      </c>
      <c r="B55" s="41" t="s">
        <v>157</v>
      </c>
      <c r="C55" s="41">
        <v>40001709</v>
      </c>
      <c r="D55" s="41">
        <v>51519825</v>
      </c>
      <c r="E55" s="73">
        <v>50.35</v>
      </c>
      <c r="F55" s="42">
        <v>1086.14</v>
      </c>
      <c r="G55" s="31">
        <f>E55*F55</f>
        <v>54687.149</v>
      </c>
      <c r="H55" s="32">
        <v>82601.11</v>
      </c>
      <c r="I55" s="33">
        <f>E55*H55</f>
        <v>4158965.8885</v>
      </c>
      <c r="J55" s="34" t="s">
        <v>120</v>
      </c>
      <c r="K55" s="74" t="s">
        <v>148</v>
      </c>
      <c r="L55" s="89"/>
      <c r="M55" s="44"/>
      <c r="N55" s="41"/>
      <c r="O55" s="41"/>
      <c r="P55" s="45"/>
      <c r="Q55" s="44"/>
      <c r="R55" s="41"/>
      <c r="S55" s="41"/>
      <c r="T55" s="41"/>
      <c r="U55" s="45"/>
    </row>
    <row r="56" spans="1:21">
      <c r="A56" s="44">
        <f>A55+1</f>
        <v>50</v>
      </c>
      <c r="B56" s="41" t="s">
        <v>157</v>
      </c>
      <c r="C56" s="41">
        <v>40001709</v>
      </c>
      <c r="D56" s="41">
        <v>73237422</v>
      </c>
      <c r="E56" s="73">
        <v>59.3</v>
      </c>
      <c r="F56" s="42">
        <v>1086.14</v>
      </c>
      <c r="G56" s="31">
        <f>E56*F56</f>
        <v>64408.102</v>
      </c>
      <c r="H56" s="32">
        <v>82601.11</v>
      </c>
      <c r="I56" s="33">
        <f>E56*H56</f>
        <v>4898245.823</v>
      </c>
      <c r="J56" s="34" t="s">
        <v>120</v>
      </c>
      <c r="K56" s="74" t="s">
        <v>148</v>
      </c>
      <c r="L56" s="89"/>
      <c r="M56" s="44"/>
      <c r="N56" s="41"/>
      <c r="O56" s="41"/>
      <c r="P56" s="45"/>
      <c r="Q56" s="44"/>
      <c r="R56" s="41"/>
      <c r="S56" s="41"/>
      <c r="T56" s="41"/>
      <c r="U56" s="45"/>
    </row>
    <row r="57" ht="15.75" spans="1:21">
      <c r="A57" s="75">
        <f>A56+1</f>
        <v>51</v>
      </c>
      <c r="B57" s="77" t="s">
        <v>157</v>
      </c>
      <c r="C57" s="77">
        <v>40001709</v>
      </c>
      <c r="D57" s="77">
        <v>50034628</v>
      </c>
      <c r="E57" s="78">
        <v>58.8</v>
      </c>
      <c r="F57" s="42">
        <v>1086.14</v>
      </c>
      <c r="G57" s="79">
        <f>E57*F57</f>
        <v>63865.032</v>
      </c>
      <c r="H57" s="49">
        <v>82601.11</v>
      </c>
      <c r="I57" s="80">
        <f>E57*H57</f>
        <v>4856945.268</v>
      </c>
      <c r="J57" s="81" t="s">
        <v>120</v>
      </c>
      <c r="K57" s="82" t="s">
        <v>148</v>
      </c>
      <c r="L57" s="90"/>
      <c r="M57" s="75"/>
      <c r="N57" s="77"/>
      <c r="O57" s="77"/>
      <c r="P57" s="91"/>
      <c r="Q57" s="75"/>
      <c r="R57" s="77"/>
      <c r="S57" s="77"/>
      <c r="T57" s="77"/>
      <c r="U57" s="91"/>
    </row>
    <row r="58" ht="15.75" spans="1:21">
      <c r="A58" s="55"/>
      <c r="B58" s="56"/>
      <c r="C58" s="56"/>
      <c r="D58" s="56"/>
      <c r="E58" s="57">
        <f>SUM(E40:E57)</f>
        <v>1055.9</v>
      </c>
      <c r="F58" s="58"/>
      <c r="G58" s="59">
        <f>SUM(G40:G57)</f>
        <v>1146855.226</v>
      </c>
      <c r="H58" s="58"/>
      <c r="I58" s="60">
        <f>SUM(I40:I57)</f>
        <v>87218512.049</v>
      </c>
      <c r="J58" s="56"/>
      <c r="K58" s="92"/>
      <c r="L58" s="93"/>
      <c r="M58" s="55"/>
      <c r="N58" s="56"/>
      <c r="O58" s="56"/>
      <c r="P58" s="61"/>
      <c r="Q58" s="94"/>
      <c r="R58" s="56"/>
      <c r="S58" s="56"/>
      <c r="T58" s="56"/>
      <c r="U58" s="61"/>
    </row>
    <row r="59" spans="1:21">
      <c r="A59" s="67">
        <v>52</v>
      </c>
      <c r="B59" s="27">
        <v>46152</v>
      </c>
      <c r="C59" s="67">
        <v>40001739</v>
      </c>
      <c r="D59" s="67">
        <v>75110064</v>
      </c>
      <c r="E59" s="68">
        <v>59.45</v>
      </c>
      <c r="F59" s="42">
        <v>1086.14</v>
      </c>
      <c r="G59" s="31">
        <f>E59*F59</f>
        <v>64571.023</v>
      </c>
      <c r="H59" s="69">
        <v>82601.11</v>
      </c>
      <c r="I59" s="33">
        <f>E59*H59</f>
        <v>4910635.9895</v>
      </c>
      <c r="J59" s="70" t="s">
        <v>120</v>
      </c>
      <c r="K59" s="71" t="s">
        <v>148</v>
      </c>
      <c r="L59" s="95"/>
      <c r="M59" s="37"/>
      <c r="N59" s="38"/>
      <c r="O59" s="38"/>
      <c r="P59" s="39"/>
      <c r="Q59" s="37"/>
      <c r="R59" s="38"/>
      <c r="S59" s="38"/>
      <c r="T59" s="38"/>
      <c r="U59" s="39"/>
    </row>
    <row r="60" spans="1:21">
      <c r="A60" s="26">
        <f>A59+1</f>
        <v>53</v>
      </c>
      <c r="B60" s="96">
        <v>46152</v>
      </c>
      <c r="C60" s="67">
        <v>40001740</v>
      </c>
      <c r="D60" s="67">
        <v>57129678</v>
      </c>
      <c r="E60" s="68">
        <v>59.15</v>
      </c>
      <c r="F60" s="42">
        <v>1086.14</v>
      </c>
      <c r="G60" s="31">
        <f>E60*F60</f>
        <v>64245.181</v>
      </c>
      <c r="H60" s="69">
        <v>82601.11</v>
      </c>
      <c r="I60" s="33">
        <f>E60*H60</f>
        <v>4885855.6565</v>
      </c>
      <c r="J60" s="70" t="s">
        <v>120</v>
      </c>
      <c r="K60" s="71" t="s">
        <v>148</v>
      </c>
      <c r="L60" s="97"/>
      <c r="M60" s="26"/>
      <c r="N60" s="67"/>
      <c r="O60" s="67"/>
      <c r="P60" s="98"/>
      <c r="Q60" s="26"/>
      <c r="R60" s="67"/>
      <c r="S60" s="67"/>
      <c r="T60" s="67"/>
      <c r="U60" s="98"/>
    </row>
    <row r="61" spans="1:21">
      <c r="A61" s="44">
        <f>A60+1</f>
        <v>54</v>
      </c>
      <c r="B61" s="72">
        <v>46152</v>
      </c>
      <c r="C61" s="41">
        <v>40001741</v>
      </c>
      <c r="D61" s="41">
        <v>57106288</v>
      </c>
      <c r="E61" s="73">
        <v>59</v>
      </c>
      <c r="F61" s="42">
        <v>1086.14</v>
      </c>
      <c r="G61" s="31">
        <f>E61*F61</f>
        <v>64082.26</v>
      </c>
      <c r="H61" s="32">
        <v>82601.11</v>
      </c>
      <c r="I61" s="33">
        <f>E61*H61</f>
        <v>4873465.49</v>
      </c>
      <c r="J61" s="34" t="s">
        <v>120</v>
      </c>
      <c r="K61" s="74" t="s">
        <v>148</v>
      </c>
      <c r="L61" s="99"/>
      <c r="M61" s="44"/>
      <c r="N61" s="41"/>
      <c r="O61" s="41"/>
      <c r="P61" s="45"/>
      <c r="Q61" s="44"/>
      <c r="R61" s="41"/>
      <c r="S61" s="41"/>
      <c r="T61" s="41"/>
      <c r="U61" s="45"/>
    </row>
    <row r="62" spans="1:21">
      <c r="A62" s="44">
        <f>A61+1</f>
        <v>55</v>
      </c>
      <c r="B62" s="72">
        <v>46152</v>
      </c>
      <c r="C62" s="41">
        <v>40001810</v>
      </c>
      <c r="D62" s="41">
        <v>73064677</v>
      </c>
      <c r="E62" s="73">
        <v>59.65</v>
      </c>
      <c r="F62" s="42">
        <v>1086.14</v>
      </c>
      <c r="G62" s="31">
        <f>E62*F62</f>
        <v>64788.251</v>
      </c>
      <c r="H62" s="32">
        <v>82601.11</v>
      </c>
      <c r="I62" s="33">
        <f>E62*H62</f>
        <v>4927156.2115</v>
      </c>
      <c r="J62" s="34" t="s">
        <v>120</v>
      </c>
      <c r="K62" s="74" t="s">
        <v>148</v>
      </c>
      <c r="L62" s="99"/>
      <c r="M62" s="44"/>
      <c r="N62" s="41"/>
      <c r="O62" s="41"/>
      <c r="P62" s="45"/>
      <c r="Q62" s="44"/>
      <c r="R62" s="41"/>
      <c r="S62" s="41"/>
      <c r="T62" s="41"/>
      <c r="U62" s="45"/>
    </row>
    <row r="63" spans="1:21">
      <c r="A63" s="44">
        <f>A62+1</f>
        <v>56</v>
      </c>
      <c r="B63" s="72">
        <v>46152</v>
      </c>
      <c r="C63" s="41">
        <v>40001811</v>
      </c>
      <c r="D63" s="41">
        <v>54092564</v>
      </c>
      <c r="E63" s="73">
        <v>59</v>
      </c>
      <c r="F63" s="42">
        <v>1086.14</v>
      </c>
      <c r="G63" s="31">
        <f>E63*F63</f>
        <v>64082.26</v>
      </c>
      <c r="H63" s="32">
        <v>82601.11</v>
      </c>
      <c r="I63" s="33">
        <f>E63*H63</f>
        <v>4873465.49</v>
      </c>
      <c r="J63" s="34" t="s">
        <v>120</v>
      </c>
      <c r="K63" s="74" t="s">
        <v>148</v>
      </c>
      <c r="L63" s="99"/>
      <c r="M63" s="44"/>
      <c r="N63" s="41"/>
      <c r="O63" s="41"/>
      <c r="P63" s="45"/>
      <c r="Q63" s="44"/>
      <c r="R63" s="41"/>
      <c r="S63" s="41"/>
      <c r="T63" s="41"/>
      <c r="U63" s="45"/>
    </row>
    <row r="64" spans="1:21">
      <c r="A64" s="44">
        <f>A63+1</f>
        <v>57</v>
      </c>
      <c r="B64" s="72">
        <v>46152</v>
      </c>
      <c r="C64" s="41">
        <v>40001812</v>
      </c>
      <c r="D64" s="41">
        <v>73223208</v>
      </c>
      <c r="E64" s="73">
        <v>59.5</v>
      </c>
      <c r="F64" s="42">
        <v>1086.14</v>
      </c>
      <c r="G64" s="31">
        <f>E64*F64</f>
        <v>64625.33</v>
      </c>
      <c r="H64" s="32">
        <v>82601.11</v>
      </c>
      <c r="I64" s="33">
        <f>E64*H64</f>
        <v>4914766.045</v>
      </c>
      <c r="J64" s="34" t="s">
        <v>120</v>
      </c>
      <c r="K64" s="74" t="s">
        <v>148</v>
      </c>
      <c r="L64" s="99"/>
      <c r="M64" s="44"/>
      <c r="N64" s="41"/>
      <c r="O64" s="41"/>
      <c r="P64" s="45"/>
      <c r="Q64" s="44"/>
      <c r="R64" s="41"/>
      <c r="S64" s="41"/>
      <c r="T64" s="41"/>
      <c r="U64" s="45"/>
    </row>
    <row r="65" spans="1:21">
      <c r="A65" s="44">
        <f>A64+1</f>
        <v>58</v>
      </c>
      <c r="B65" s="72">
        <v>46152</v>
      </c>
      <c r="C65" s="41">
        <v>40001813</v>
      </c>
      <c r="D65" s="41">
        <v>73054603</v>
      </c>
      <c r="E65" s="73">
        <v>59.55</v>
      </c>
      <c r="F65" s="42">
        <v>1086.14</v>
      </c>
      <c r="G65" s="31">
        <f>E65*F65</f>
        <v>64679.637</v>
      </c>
      <c r="H65" s="32">
        <v>82601.11</v>
      </c>
      <c r="I65" s="33">
        <f>E65*H65</f>
        <v>4918896.1005</v>
      </c>
      <c r="J65" s="34" t="s">
        <v>120</v>
      </c>
      <c r="K65" s="74" t="s">
        <v>148</v>
      </c>
      <c r="L65" s="99"/>
      <c r="M65" s="44"/>
      <c r="N65" s="41"/>
      <c r="O65" s="41"/>
      <c r="P65" s="45"/>
      <c r="Q65" s="44"/>
      <c r="R65" s="41"/>
      <c r="S65" s="41"/>
      <c r="T65" s="41"/>
      <c r="U65" s="45"/>
    </row>
    <row r="66" spans="1:21">
      <c r="A66" s="44">
        <f>A65+1</f>
        <v>59</v>
      </c>
      <c r="B66" s="72">
        <v>46152</v>
      </c>
      <c r="C66" s="41">
        <v>40001814</v>
      </c>
      <c r="D66" s="41">
        <v>75332551</v>
      </c>
      <c r="E66" s="73">
        <v>59.85</v>
      </c>
      <c r="F66" s="42">
        <v>1086.14</v>
      </c>
      <c r="G66" s="31">
        <f>E66*F66</f>
        <v>65005.479</v>
      </c>
      <c r="H66" s="32">
        <v>82601.11</v>
      </c>
      <c r="I66" s="33">
        <f>E66*H66</f>
        <v>4943676.4335</v>
      </c>
      <c r="J66" s="34" t="s">
        <v>120</v>
      </c>
      <c r="K66" s="74" t="s">
        <v>148</v>
      </c>
      <c r="L66" s="99"/>
      <c r="M66" s="44"/>
      <c r="N66" s="41"/>
      <c r="O66" s="41"/>
      <c r="P66" s="45"/>
      <c r="Q66" s="44"/>
      <c r="R66" s="41"/>
      <c r="S66" s="41"/>
      <c r="T66" s="41"/>
      <c r="U66" s="45"/>
    </row>
    <row r="67" spans="1:21">
      <c r="A67" s="44">
        <f>A66+1</f>
        <v>60</v>
      </c>
      <c r="B67" s="72">
        <v>46152</v>
      </c>
      <c r="C67" s="41">
        <v>40001814</v>
      </c>
      <c r="D67" s="41">
        <v>50914118</v>
      </c>
      <c r="E67" s="73">
        <v>59.15</v>
      </c>
      <c r="F67" s="42">
        <v>1086.14</v>
      </c>
      <c r="G67" s="31">
        <f>E67*F67</f>
        <v>64245.181</v>
      </c>
      <c r="H67" s="32">
        <v>82601.11</v>
      </c>
      <c r="I67" s="33">
        <f>E67*H67</f>
        <v>4885855.6565</v>
      </c>
      <c r="J67" s="34" t="s">
        <v>120</v>
      </c>
      <c r="K67" s="74" t="s">
        <v>148</v>
      </c>
      <c r="L67" s="99"/>
      <c r="M67" s="44"/>
      <c r="N67" s="41"/>
      <c r="O67" s="41"/>
      <c r="P67" s="45"/>
      <c r="Q67" s="44"/>
      <c r="R67" s="41"/>
      <c r="S67" s="41"/>
      <c r="T67" s="41"/>
      <c r="U67" s="45"/>
    </row>
    <row r="68" spans="1:21">
      <c r="A68" s="44">
        <f>A67+1</f>
        <v>61</v>
      </c>
      <c r="B68" s="72">
        <v>46152</v>
      </c>
      <c r="C68" s="41">
        <v>40001814</v>
      </c>
      <c r="D68" s="41">
        <v>51498236</v>
      </c>
      <c r="E68" s="73">
        <v>49.7</v>
      </c>
      <c r="F68" s="42">
        <v>1086.14</v>
      </c>
      <c r="G68" s="31">
        <f>E68*F68</f>
        <v>53981.158</v>
      </c>
      <c r="H68" s="32">
        <v>82601.11</v>
      </c>
      <c r="I68" s="33">
        <f>E68*H68</f>
        <v>4105275.167</v>
      </c>
      <c r="J68" s="34" t="s">
        <v>120</v>
      </c>
      <c r="K68" s="74" t="s">
        <v>148</v>
      </c>
      <c r="L68" s="99"/>
      <c r="M68" s="44"/>
      <c r="N68" s="41"/>
      <c r="O68" s="41"/>
      <c r="P68" s="45"/>
      <c r="Q68" s="44"/>
      <c r="R68" s="41"/>
      <c r="S68" s="41"/>
      <c r="T68" s="41"/>
      <c r="U68" s="45"/>
    </row>
    <row r="69" spans="1:21">
      <c r="A69" s="44">
        <f>A68+1</f>
        <v>62</v>
      </c>
      <c r="B69" s="72">
        <v>46152</v>
      </c>
      <c r="C69" s="41">
        <v>40001814</v>
      </c>
      <c r="D69" s="41">
        <v>73218018</v>
      </c>
      <c r="E69" s="73">
        <v>59.7</v>
      </c>
      <c r="F69" s="42">
        <v>1086.14</v>
      </c>
      <c r="G69" s="31">
        <f>E69*F69</f>
        <v>64842.558</v>
      </c>
      <c r="H69" s="32">
        <v>82601.11</v>
      </c>
      <c r="I69" s="33">
        <f>E69*H69</f>
        <v>4931286.267</v>
      </c>
      <c r="J69" s="34" t="s">
        <v>120</v>
      </c>
      <c r="K69" s="74" t="s">
        <v>148</v>
      </c>
      <c r="L69" s="99"/>
      <c r="M69" s="44"/>
      <c r="N69" s="41"/>
      <c r="O69" s="41"/>
      <c r="P69" s="45"/>
      <c r="Q69" s="44"/>
      <c r="R69" s="41"/>
      <c r="S69" s="41"/>
      <c r="T69" s="41"/>
      <c r="U69" s="45"/>
    </row>
    <row r="70" spans="1:21">
      <c r="A70" s="44">
        <f>A69+1</f>
        <v>63</v>
      </c>
      <c r="B70" s="72">
        <v>46152</v>
      </c>
      <c r="C70" s="41">
        <v>40001814</v>
      </c>
      <c r="D70" s="41">
        <v>73242448</v>
      </c>
      <c r="E70" s="73">
        <v>59.4</v>
      </c>
      <c r="F70" s="42">
        <v>1086.14</v>
      </c>
      <c r="G70" s="31">
        <f>E70*F70</f>
        <v>64516.716</v>
      </c>
      <c r="H70" s="32">
        <v>82601.11</v>
      </c>
      <c r="I70" s="33">
        <f>E70*H70</f>
        <v>4906505.934</v>
      </c>
      <c r="J70" s="34" t="s">
        <v>120</v>
      </c>
      <c r="K70" s="74" t="s">
        <v>148</v>
      </c>
      <c r="L70" s="99"/>
      <c r="M70" s="44"/>
      <c r="N70" s="41"/>
      <c r="O70" s="41"/>
      <c r="P70" s="45"/>
      <c r="Q70" s="44"/>
      <c r="R70" s="41"/>
      <c r="S70" s="41"/>
      <c r="T70" s="41"/>
      <c r="U70" s="45"/>
    </row>
    <row r="71" spans="1:21">
      <c r="A71" s="44">
        <f>A70+1</f>
        <v>64</v>
      </c>
      <c r="B71" s="72">
        <v>46152</v>
      </c>
      <c r="C71" s="41">
        <v>40001814</v>
      </c>
      <c r="D71" s="41">
        <v>73179806</v>
      </c>
      <c r="E71" s="73">
        <v>59.65</v>
      </c>
      <c r="F71" s="42">
        <v>1086.14</v>
      </c>
      <c r="G71" s="31">
        <f>E71*F71</f>
        <v>64788.251</v>
      </c>
      <c r="H71" s="32">
        <v>82601.11</v>
      </c>
      <c r="I71" s="33">
        <f>E71*H71</f>
        <v>4927156.2115</v>
      </c>
      <c r="J71" s="34" t="s">
        <v>120</v>
      </c>
      <c r="K71" s="74" t="s">
        <v>148</v>
      </c>
      <c r="L71" s="99"/>
      <c r="M71" s="44"/>
      <c r="N71" s="41"/>
      <c r="O71" s="41"/>
      <c r="P71" s="45"/>
      <c r="Q71" s="44"/>
      <c r="R71" s="41"/>
      <c r="S71" s="41"/>
      <c r="T71" s="41"/>
      <c r="U71" s="45"/>
    </row>
    <row r="72" spans="1:21">
      <c r="A72" s="44">
        <f>A71+1</f>
        <v>65</v>
      </c>
      <c r="B72" s="72">
        <v>46152</v>
      </c>
      <c r="C72" s="41">
        <v>40001814</v>
      </c>
      <c r="D72" s="41">
        <v>73101610</v>
      </c>
      <c r="E72" s="73">
        <v>59.4</v>
      </c>
      <c r="F72" s="42">
        <v>1086.14</v>
      </c>
      <c r="G72" s="31">
        <f>E72*F72</f>
        <v>64516.716</v>
      </c>
      <c r="H72" s="32">
        <v>82601.11</v>
      </c>
      <c r="I72" s="33">
        <f>E72*H72</f>
        <v>4906505.934</v>
      </c>
      <c r="J72" s="34" t="s">
        <v>120</v>
      </c>
      <c r="K72" s="74" t="s">
        <v>148</v>
      </c>
      <c r="L72" s="99"/>
      <c r="M72" s="44"/>
      <c r="N72" s="41"/>
      <c r="O72" s="41"/>
      <c r="P72" s="45"/>
      <c r="Q72" s="44"/>
      <c r="R72" s="41"/>
      <c r="S72" s="41"/>
      <c r="T72" s="41"/>
      <c r="U72" s="45"/>
    </row>
    <row r="73" spans="1:21">
      <c r="A73" s="75">
        <f>A72+1</f>
        <v>66</v>
      </c>
      <c r="B73" s="76">
        <v>46152</v>
      </c>
      <c r="C73" s="77">
        <v>40001814</v>
      </c>
      <c r="D73" s="77">
        <v>73095770</v>
      </c>
      <c r="E73" s="78">
        <v>59.6</v>
      </c>
      <c r="F73" s="42">
        <v>1086.14</v>
      </c>
      <c r="G73" s="79">
        <f>E73*F73</f>
        <v>64733.944</v>
      </c>
      <c r="H73" s="49">
        <v>82601.11</v>
      </c>
      <c r="I73" s="80">
        <f>E73*H73</f>
        <v>4923026.156</v>
      </c>
      <c r="J73" s="81" t="s">
        <v>120</v>
      </c>
      <c r="K73" s="82" t="s">
        <v>148</v>
      </c>
      <c r="L73" s="100"/>
      <c r="M73" s="75"/>
      <c r="N73" s="77"/>
      <c r="O73" s="77"/>
      <c r="P73" s="91"/>
      <c r="Q73" s="75"/>
      <c r="R73" s="77"/>
      <c r="S73" s="77"/>
      <c r="T73" s="77"/>
      <c r="U73" s="91"/>
    </row>
    <row r="74" spans="1:21">
      <c r="A74" s="75">
        <f>A73+1</f>
        <v>67</v>
      </c>
      <c r="B74" s="76">
        <v>46152</v>
      </c>
      <c r="C74" s="41">
        <v>40001815</v>
      </c>
      <c r="D74" s="41">
        <v>75179580</v>
      </c>
      <c r="E74" s="101">
        <v>60.85</v>
      </c>
      <c r="F74" s="42">
        <v>1086.14</v>
      </c>
      <c r="G74" s="102">
        <f>E74*F74</f>
        <v>66091.619</v>
      </c>
      <c r="H74" s="32">
        <v>82601.11</v>
      </c>
      <c r="I74" s="103">
        <f>E74*H74</f>
        <v>5026277.5435</v>
      </c>
      <c r="J74" s="34" t="s">
        <v>120</v>
      </c>
      <c r="K74" s="74" t="s">
        <v>148</v>
      </c>
      <c r="L74" s="99"/>
      <c r="M74" s="44"/>
      <c r="N74" s="41"/>
      <c r="O74" s="41"/>
      <c r="P74" s="45"/>
      <c r="Q74" s="44"/>
      <c r="R74" s="41"/>
      <c r="S74" s="41"/>
      <c r="T74" s="41"/>
      <c r="U74" s="45"/>
    </row>
    <row r="75" spans="1:21">
      <c r="A75" s="75">
        <f>A74+1</f>
        <v>68</v>
      </c>
      <c r="B75" s="76">
        <v>46152</v>
      </c>
      <c r="C75" s="41">
        <v>40001815</v>
      </c>
      <c r="D75" s="41">
        <v>54243753</v>
      </c>
      <c r="E75" s="73">
        <v>59.35</v>
      </c>
      <c r="F75" s="42">
        <v>1086.14</v>
      </c>
      <c r="G75" s="102">
        <f>E75*F75</f>
        <v>64462.409</v>
      </c>
      <c r="H75" s="32">
        <v>82601.11</v>
      </c>
      <c r="I75" s="103">
        <f>E75*H75</f>
        <v>4902375.8785</v>
      </c>
      <c r="J75" s="34" t="s">
        <v>120</v>
      </c>
      <c r="K75" s="74" t="s">
        <v>148</v>
      </c>
      <c r="L75" s="99"/>
      <c r="M75" s="44"/>
      <c r="N75" s="41"/>
      <c r="O75" s="41"/>
      <c r="P75" s="45"/>
      <c r="Q75" s="44"/>
      <c r="R75" s="41"/>
      <c r="S75" s="41"/>
      <c r="T75" s="41"/>
      <c r="U75" s="45"/>
    </row>
    <row r="76" spans="1:21">
      <c r="A76" s="75">
        <f>A75+1</f>
        <v>69</v>
      </c>
      <c r="B76" s="76">
        <v>46152</v>
      </c>
      <c r="C76" s="41">
        <v>40001815</v>
      </c>
      <c r="D76" s="41">
        <v>51404457</v>
      </c>
      <c r="E76" s="73">
        <v>58.9</v>
      </c>
      <c r="F76" s="42">
        <v>1086.14</v>
      </c>
      <c r="G76" s="102">
        <f>E76*F76</f>
        <v>63973.646</v>
      </c>
      <c r="H76" s="32">
        <v>82601.11</v>
      </c>
      <c r="I76" s="103">
        <f>E76*H76</f>
        <v>4865205.379</v>
      </c>
      <c r="J76" s="34" t="s">
        <v>120</v>
      </c>
      <c r="K76" s="74" t="s">
        <v>148</v>
      </c>
      <c r="L76" s="99"/>
      <c r="M76" s="44"/>
      <c r="N76" s="41"/>
      <c r="O76" s="41"/>
      <c r="P76" s="45"/>
      <c r="Q76" s="44"/>
      <c r="R76" s="41"/>
      <c r="S76" s="41"/>
      <c r="T76" s="41"/>
      <c r="U76" s="45"/>
    </row>
    <row r="77" spans="1:21">
      <c r="A77" s="75">
        <f>A76+1</f>
        <v>70</v>
      </c>
      <c r="B77" s="76">
        <v>46152</v>
      </c>
      <c r="C77" s="41">
        <v>40001815</v>
      </c>
      <c r="D77" s="41">
        <v>73920654</v>
      </c>
      <c r="E77" s="73">
        <v>58.9</v>
      </c>
      <c r="F77" s="42">
        <v>1086.14</v>
      </c>
      <c r="G77" s="102">
        <f>E77*F77</f>
        <v>63973.646</v>
      </c>
      <c r="H77" s="32">
        <v>82601.11</v>
      </c>
      <c r="I77" s="103">
        <f>E77*H77</f>
        <v>4865205.379</v>
      </c>
      <c r="J77" s="34" t="s">
        <v>120</v>
      </c>
      <c r="K77" s="74" t="s">
        <v>148</v>
      </c>
      <c r="L77" s="99"/>
      <c r="M77" s="44"/>
      <c r="N77" s="41"/>
      <c r="O77" s="41"/>
      <c r="P77" s="45"/>
      <c r="Q77" s="44"/>
      <c r="R77" s="41"/>
      <c r="S77" s="41"/>
      <c r="T77" s="41"/>
      <c r="U77" s="45"/>
    </row>
    <row r="78" spans="1:21">
      <c r="A78" s="75">
        <f>A77+1</f>
        <v>71</v>
      </c>
      <c r="B78" s="76">
        <v>46152</v>
      </c>
      <c r="C78" s="41">
        <v>40001815</v>
      </c>
      <c r="D78" s="41">
        <v>50576792</v>
      </c>
      <c r="E78" s="73">
        <v>59.05</v>
      </c>
      <c r="F78" s="42">
        <v>1086.14</v>
      </c>
      <c r="G78" s="102">
        <f>E78*F78</f>
        <v>64136.567</v>
      </c>
      <c r="H78" s="32">
        <v>82601.11</v>
      </c>
      <c r="I78" s="103">
        <f>E78*H78</f>
        <v>4877595.5455</v>
      </c>
      <c r="J78" s="34" t="s">
        <v>120</v>
      </c>
      <c r="K78" s="74" t="s">
        <v>148</v>
      </c>
      <c r="L78" s="99"/>
      <c r="M78" s="44"/>
      <c r="N78" s="41"/>
      <c r="O78" s="41"/>
      <c r="P78" s="45"/>
      <c r="Q78" s="44"/>
      <c r="R78" s="41"/>
      <c r="S78" s="41"/>
      <c r="T78" s="41"/>
      <c r="U78" s="45"/>
    </row>
    <row r="79" spans="1:21">
      <c r="A79" s="44">
        <f>A78+1</f>
        <v>72</v>
      </c>
      <c r="B79" s="72">
        <v>46152</v>
      </c>
      <c r="C79" s="41">
        <v>40001815</v>
      </c>
      <c r="D79" s="41">
        <v>50770213</v>
      </c>
      <c r="E79" s="73">
        <v>50.05</v>
      </c>
      <c r="F79" s="42">
        <v>1086.14</v>
      </c>
      <c r="G79" s="102">
        <f>E79*F79</f>
        <v>54361.307</v>
      </c>
      <c r="H79" s="32">
        <v>82601.11</v>
      </c>
      <c r="I79" s="103">
        <f>E79*H79</f>
        <v>4134185.5555</v>
      </c>
      <c r="J79" s="34" t="s">
        <v>120</v>
      </c>
      <c r="K79" s="74" t="s">
        <v>148</v>
      </c>
      <c r="L79" s="99"/>
      <c r="M79" s="44"/>
      <c r="N79" s="41"/>
      <c r="O79" s="41"/>
      <c r="P79" s="45"/>
      <c r="Q79" s="44"/>
      <c r="R79" s="41"/>
      <c r="S79" s="41"/>
      <c r="T79" s="41"/>
      <c r="U79" s="45"/>
    </row>
    <row r="80" spans="1:21">
      <c r="A80" s="67">
        <f>A79+1</f>
        <v>73</v>
      </c>
      <c r="B80" s="27">
        <v>46152</v>
      </c>
      <c r="C80" s="67">
        <v>40001818</v>
      </c>
      <c r="D80" s="67">
        <v>53970901</v>
      </c>
      <c r="E80" s="68">
        <v>50</v>
      </c>
      <c r="F80" s="42">
        <v>1086.14</v>
      </c>
      <c r="G80" s="102">
        <f>E80*F80</f>
        <v>54307</v>
      </c>
      <c r="H80" s="32">
        <v>82601.11</v>
      </c>
      <c r="I80" s="103">
        <f>E80*H80</f>
        <v>4130055.5</v>
      </c>
      <c r="J80" s="34" t="s">
        <v>120</v>
      </c>
      <c r="K80" s="74" t="s">
        <v>148</v>
      </c>
      <c r="L80" s="95"/>
      <c r="M80" s="26"/>
      <c r="N80" s="67"/>
      <c r="O80" s="67"/>
      <c r="P80" s="98"/>
      <c r="Q80" s="26"/>
      <c r="R80" s="67"/>
      <c r="S80" s="67"/>
      <c r="T80" s="67"/>
      <c r="U80" s="98"/>
    </row>
    <row r="81" spans="1:21">
      <c r="A81" s="41">
        <f>A80+1</f>
        <v>74</v>
      </c>
      <c r="B81" s="27">
        <v>46152</v>
      </c>
      <c r="C81" s="67">
        <v>40001818</v>
      </c>
      <c r="D81" s="41">
        <v>51459469</v>
      </c>
      <c r="E81" s="73">
        <v>58.85</v>
      </c>
      <c r="F81" s="42">
        <v>1086.14</v>
      </c>
      <c r="G81" s="102">
        <f>E81*F81</f>
        <v>63919.339</v>
      </c>
      <c r="H81" s="32">
        <v>82601.11</v>
      </c>
      <c r="I81" s="103">
        <f>E81*H81</f>
        <v>4861075.3235</v>
      </c>
      <c r="J81" s="34" t="s">
        <v>120</v>
      </c>
      <c r="K81" s="74" t="s">
        <v>148</v>
      </c>
      <c r="L81" s="89"/>
      <c r="M81" s="44"/>
      <c r="N81" s="41"/>
      <c r="O81" s="41"/>
      <c r="P81" s="45"/>
      <c r="Q81" s="44"/>
      <c r="R81" s="41"/>
      <c r="S81" s="41"/>
      <c r="T81" s="41"/>
      <c r="U81" s="45"/>
    </row>
    <row r="82" spans="1:21">
      <c r="A82" s="41">
        <f>A81+1</f>
        <v>75</v>
      </c>
      <c r="B82" s="27">
        <v>46152</v>
      </c>
      <c r="C82" s="67">
        <v>40001818</v>
      </c>
      <c r="D82" s="41">
        <v>75071209</v>
      </c>
      <c r="E82" s="73">
        <v>59.55</v>
      </c>
      <c r="F82" s="42">
        <v>1086.14</v>
      </c>
      <c r="G82" s="102">
        <f>E82*F82</f>
        <v>64679.637</v>
      </c>
      <c r="H82" s="32">
        <v>82601.11</v>
      </c>
      <c r="I82" s="103">
        <f>E82*H82</f>
        <v>4918896.1005</v>
      </c>
      <c r="J82" s="34" t="s">
        <v>120</v>
      </c>
      <c r="K82" s="74" t="s">
        <v>148</v>
      </c>
      <c r="L82" s="89"/>
      <c r="M82" s="44"/>
      <c r="N82" s="41"/>
      <c r="O82" s="41"/>
      <c r="P82" s="45"/>
      <c r="Q82" s="44"/>
      <c r="R82" s="41"/>
      <c r="S82" s="41"/>
      <c r="T82" s="41"/>
      <c r="U82" s="45"/>
    </row>
    <row r="83" spans="1:21">
      <c r="A83" s="41">
        <f>A82+1</f>
        <v>76</v>
      </c>
      <c r="B83" s="27">
        <v>46152</v>
      </c>
      <c r="C83" s="67">
        <v>40001818</v>
      </c>
      <c r="D83" s="41">
        <v>53856910</v>
      </c>
      <c r="E83" s="73">
        <v>59.55</v>
      </c>
      <c r="F83" s="42">
        <v>1086.14</v>
      </c>
      <c r="G83" s="102">
        <f>E83*F83</f>
        <v>64679.637</v>
      </c>
      <c r="H83" s="32">
        <v>82601.11</v>
      </c>
      <c r="I83" s="103">
        <f>E83*H83</f>
        <v>4918896.1005</v>
      </c>
      <c r="J83" s="34" t="s">
        <v>120</v>
      </c>
      <c r="K83" s="74" t="s">
        <v>148</v>
      </c>
      <c r="L83" s="89"/>
      <c r="M83" s="44"/>
      <c r="N83" s="41"/>
      <c r="O83" s="41"/>
      <c r="P83" s="45"/>
      <c r="Q83" s="44"/>
      <c r="R83" s="41"/>
      <c r="S83" s="41"/>
      <c r="T83" s="41"/>
      <c r="U83" s="45"/>
    </row>
    <row r="84" spans="1:21">
      <c r="A84" s="41">
        <f>A83+1</f>
        <v>77</v>
      </c>
      <c r="B84" s="27">
        <v>46152</v>
      </c>
      <c r="C84" s="67">
        <v>40001818</v>
      </c>
      <c r="D84" s="41">
        <v>73213332</v>
      </c>
      <c r="E84" s="73">
        <v>59.65</v>
      </c>
      <c r="F84" s="42">
        <v>1086.14</v>
      </c>
      <c r="G84" s="102">
        <f>E84*F84</f>
        <v>64788.251</v>
      </c>
      <c r="H84" s="32">
        <v>82601.11</v>
      </c>
      <c r="I84" s="103">
        <f>E84*H84</f>
        <v>4927156.2115</v>
      </c>
      <c r="J84" s="34" t="s">
        <v>120</v>
      </c>
      <c r="K84" s="74" t="s">
        <v>148</v>
      </c>
      <c r="L84" s="89"/>
      <c r="M84" s="44"/>
      <c r="N84" s="41"/>
      <c r="O84" s="41"/>
      <c r="P84" s="45"/>
      <c r="Q84" s="44"/>
      <c r="R84" s="41"/>
      <c r="S84" s="41"/>
      <c r="T84" s="41"/>
      <c r="U84" s="45"/>
    </row>
    <row r="85" spans="1:21">
      <c r="A85" s="41">
        <f>A84+1</f>
        <v>78</v>
      </c>
      <c r="B85" s="27">
        <v>46152</v>
      </c>
      <c r="C85" s="67">
        <v>40001818</v>
      </c>
      <c r="D85" s="41">
        <v>53985693</v>
      </c>
      <c r="E85" s="73">
        <v>50</v>
      </c>
      <c r="F85" s="42">
        <v>1086.14</v>
      </c>
      <c r="G85" s="102">
        <f>E85*F85</f>
        <v>54307</v>
      </c>
      <c r="H85" s="32">
        <v>82601.11</v>
      </c>
      <c r="I85" s="103">
        <f>E85*H85</f>
        <v>4130055.5</v>
      </c>
      <c r="J85" s="34" t="s">
        <v>120</v>
      </c>
      <c r="K85" s="74" t="s">
        <v>148</v>
      </c>
      <c r="L85" s="89"/>
      <c r="M85" s="44"/>
      <c r="N85" s="41"/>
      <c r="O85" s="41"/>
      <c r="P85" s="45"/>
      <c r="Q85" s="44"/>
      <c r="R85" s="41"/>
      <c r="S85" s="41"/>
      <c r="T85" s="41"/>
      <c r="U85" s="45"/>
    </row>
    <row r="86" spans="1:21">
      <c r="A86" s="41">
        <f>A85+1</f>
        <v>79</v>
      </c>
      <c r="B86" s="27">
        <v>46152</v>
      </c>
      <c r="C86" s="67">
        <v>40001818</v>
      </c>
      <c r="D86" s="41">
        <v>73086522</v>
      </c>
      <c r="E86" s="73">
        <v>59.6</v>
      </c>
      <c r="F86" s="42">
        <v>1086.14</v>
      </c>
      <c r="G86" s="102">
        <f>E86*F86</f>
        <v>64733.944</v>
      </c>
      <c r="H86" s="32">
        <v>82601.11</v>
      </c>
      <c r="I86" s="103">
        <f>E86*H86</f>
        <v>4923026.156</v>
      </c>
      <c r="J86" s="34" t="s">
        <v>120</v>
      </c>
      <c r="K86" s="74" t="s">
        <v>148</v>
      </c>
      <c r="L86" s="89"/>
      <c r="M86" s="44"/>
      <c r="N86" s="41"/>
      <c r="O86" s="41"/>
      <c r="P86" s="45"/>
      <c r="Q86" s="44"/>
      <c r="R86" s="41"/>
      <c r="S86" s="41"/>
      <c r="T86" s="41"/>
      <c r="U86" s="45"/>
    </row>
    <row r="87" spans="1:21">
      <c r="A87" s="41">
        <f>A86+1</f>
        <v>80</v>
      </c>
      <c r="B87" s="27">
        <v>46152</v>
      </c>
      <c r="C87" s="67">
        <v>40001818</v>
      </c>
      <c r="D87" s="41">
        <v>74909680</v>
      </c>
      <c r="E87" s="73">
        <v>59.85</v>
      </c>
      <c r="F87" s="42">
        <v>1086.14</v>
      </c>
      <c r="G87" s="102">
        <f>E87*F87</f>
        <v>65005.479</v>
      </c>
      <c r="H87" s="32">
        <v>82601.11</v>
      </c>
      <c r="I87" s="103">
        <f>E87*H87</f>
        <v>4943676.4335</v>
      </c>
      <c r="J87" s="34" t="s">
        <v>120</v>
      </c>
      <c r="K87" s="74" t="s">
        <v>148</v>
      </c>
      <c r="L87" s="89"/>
      <c r="M87" s="44"/>
      <c r="N87" s="41"/>
      <c r="O87" s="41"/>
      <c r="P87" s="45"/>
      <c r="Q87" s="44"/>
      <c r="R87" s="41"/>
      <c r="S87" s="41"/>
      <c r="T87" s="41"/>
      <c r="U87" s="45"/>
    </row>
    <row r="88" spans="1:21">
      <c r="A88" s="41">
        <f>A87+1</f>
        <v>81</v>
      </c>
      <c r="B88" s="27">
        <v>46152</v>
      </c>
      <c r="C88" s="67">
        <v>40001818</v>
      </c>
      <c r="D88" s="41">
        <v>51344463</v>
      </c>
      <c r="E88" s="73">
        <v>50.3</v>
      </c>
      <c r="F88" s="42">
        <v>1086.14</v>
      </c>
      <c r="G88" s="102">
        <f>E88*F88</f>
        <v>54632.842</v>
      </c>
      <c r="H88" s="32">
        <v>82601.11</v>
      </c>
      <c r="I88" s="103">
        <f>E88*H88</f>
        <v>4154835.833</v>
      </c>
      <c r="J88" s="34" t="s">
        <v>120</v>
      </c>
      <c r="K88" s="74" t="s">
        <v>148</v>
      </c>
      <c r="L88" s="89"/>
      <c r="M88" s="44"/>
      <c r="N88" s="41"/>
      <c r="O88" s="41"/>
      <c r="P88" s="45"/>
      <c r="Q88" s="44"/>
      <c r="R88" s="41"/>
      <c r="S88" s="41"/>
      <c r="T88" s="41"/>
      <c r="U88" s="45"/>
    </row>
    <row r="89" spans="1:21">
      <c r="A89" s="41">
        <f>A88+1</f>
        <v>82</v>
      </c>
      <c r="B89" s="27">
        <v>46152</v>
      </c>
      <c r="C89" s="67">
        <v>40001818</v>
      </c>
      <c r="D89" s="41">
        <v>76828490</v>
      </c>
      <c r="E89" s="73">
        <v>60.1</v>
      </c>
      <c r="F89" s="42">
        <v>1086.14</v>
      </c>
      <c r="G89" s="102">
        <f>E89*F89</f>
        <v>65277.014</v>
      </c>
      <c r="H89" s="32">
        <v>82601.11</v>
      </c>
      <c r="I89" s="103">
        <f>E89*H89</f>
        <v>4964326.711</v>
      </c>
      <c r="J89" s="34" t="s">
        <v>120</v>
      </c>
      <c r="K89" s="74" t="s">
        <v>148</v>
      </c>
      <c r="L89" s="89"/>
      <c r="M89" s="44"/>
      <c r="N89" s="41"/>
      <c r="O89" s="41"/>
      <c r="P89" s="45"/>
      <c r="Q89" s="44"/>
      <c r="R89" s="41"/>
      <c r="S89" s="41"/>
      <c r="T89" s="41"/>
      <c r="U89" s="45"/>
    </row>
    <row r="90" spans="1:21">
      <c r="A90" s="41">
        <f>A89+1</f>
        <v>83</v>
      </c>
      <c r="B90" s="27">
        <v>46152</v>
      </c>
      <c r="C90" s="67">
        <v>40001818</v>
      </c>
      <c r="D90" s="41">
        <v>75131177</v>
      </c>
      <c r="E90" s="73">
        <v>60.2</v>
      </c>
      <c r="F90" s="42">
        <v>1086.14</v>
      </c>
      <c r="G90" s="102">
        <f>E90*F90</f>
        <v>65385.628</v>
      </c>
      <c r="H90" s="32">
        <v>82601.11</v>
      </c>
      <c r="I90" s="103">
        <f>E90*H90</f>
        <v>4972586.822</v>
      </c>
      <c r="J90" s="34" t="s">
        <v>120</v>
      </c>
      <c r="K90" s="74" t="s">
        <v>148</v>
      </c>
      <c r="L90" s="89"/>
      <c r="M90" s="44"/>
      <c r="N90" s="41"/>
      <c r="O90" s="41"/>
      <c r="P90" s="45"/>
      <c r="Q90" s="44"/>
      <c r="R90" s="41"/>
      <c r="S90" s="41"/>
      <c r="T90" s="41"/>
      <c r="U90" s="45"/>
    </row>
    <row r="91" spans="1:21">
      <c r="A91" s="41">
        <f>A90+1</f>
        <v>84</v>
      </c>
      <c r="B91" s="27">
        <v>46152</v>
      </c>
      <c r="C91" s="67">
        <v>40001818</v>
      </c>
      <c r="D91" s="41">
        <v>75104141</v>
      </c>
      <c r="E91" s="73">
        <v>59.45</v>
      </c>
      <c r="F91" s="42">
        <v>1086.14</v>
      </c>
      <c r="G91" s="102">
        <f>E91*F91</f>
        <v>64571.023</v>
      </c>
      <c r="H91" s="32">
        <v>82601.11</v>
      </c>
      <c r="I91" s="103">
        <f>E91*H91</f>
        <v>4910635.9895</v>
      </c>
      <c r="J91" s="34" t="s">
        <v>120</v>
      </c>
      <c r="K91" s="74" t="s">
        <v>148</v>
      </c>
      <c r="L91" s="89"/>
      <c r="M91" s="44"/>
      <c r="N91" s="41"/>
      <c r="O91" s="41"/>
      <c r="P91" s="45"/>
      <c r="Q91" s="44"/>
      <c r="R91" s="41"/>
      <c r="S91" s="41"/>
      <c r="T91" s="41"/>
      <c r="U91" s="45"/>
    </row>
    <row r="92" spans="1:21">
      <c r="A92" s="41">
        <f>A91+1</f>
        <v>85</v>
      </c>
      <c r="B92" s="27">
        <v>46152</v>
      </c>
      <c r="C92" s="67">
        <v>40001818</v>
      </c>
      <c r="D92" s="41">
        <v>75015164</v>
      </c>
      <c r="E92" s="73">
        <v>59.1</v>
      </c>
      <c r="F92" s="42">
        <v>1086.14</v>
      </c>
      <c r="G92" s="102">
        <f>E92*F92</f>
        <v>64190.874</v>
      </c>
      <c r="H92" s="32">
        <v>82601.11</v>
      </c>
      <c r="I92" s="103">
        <f>E92*H92</f>
        <v>4881725.601</v>
      </c>
      <c r="J92" s="34" t="s">
        <v>120</v>
      </c>
      <c r="K92" s="74" t="s">
        <v>148</v>
      </c>
      <c r="L92" s="89"/>
      <c r="M92" s="44"/>
      <c r="N92" s="41"/>
      <c r="O92" s="41"/>
      <c r="P92" s="45"/>
      <c r="Q92" s="44"/>
      <c r="R92" s="41"/>
      <c r="S92" s="41"/>
      <c r="T92" s="41"/>
      <c r="U92" s="45"/>
    </row>
    <row r="93" spans="1:21">
      <c r="A93" s="41">
        <f>A92+1</f>
        <v>86</v>
      </c>
      <c r="B93" s="27">
        <v>46152</v>
      </c>
      <c r="C93" s="67">
        <v>40001818</v>
      </c>
      <c r="D93" s="41">
        <v>51705556</v>
      </c>
      <c r="E93" s="73">
        <v>51.45</v>
      </c>
      <c r="F93" s="42">
        <v>1086.14</v>
      </c>
      <c r="G93" s="102">
        <f>E93*F93</f>
        <v>55881.903</v>
      </c>
      <c r="H93" s="32">
        <v>82601.11</v>
      </c>
      <c r="I93" s="103">
        <f>E93*H93</f>
        <v>4249827.1095</v>
      </c>
      <c r="J93" s="34" t="s">
        <v>120</v>
      </c>
      <c r="K93" s="74" t="s">
        <v>148</v>
      </c>
      <c r="L93" s="89"/>
      <c r="M93" s="44"/>
      <c r="N93" s="41"/>
      <c r="O93" s="41"/>
      <c r="P93" s="45"/>
      <c r="Q93" s="44"/>
      <c r="R93" s="41"/>
      <c r="S93" s="41"/>
      <c r="T93" s="41"/>
      <c r="U93" s="45"/>
    </row>
    <row r="94" spans="1:21">
      <c r="A94" s="41">
        <f>A93+1</f>
        <v>87</v>
      </c>
      <c r="B94" s="27">
        <v>46152</v>
      </c>
      <c r="C94" s="67">
        <v>40001818</v>
      </c>
      <c r="D94" s="41">
        <v>73098428</v>
      </c>
      <c r="E94" s="73">
        <v>59.65</v>
      </c>
      <c r="F94" s="42">
        <v>1086.14</v>
      </c>
      <c r="G94" s="102">
        <f>E94*F94</f>
        <v>64788.251</v>
      </c>
      <c r="H94" s="32">
        <v>82601.11</v>
      </c>
      <c r="I94" s="103">
        <f>E94*H94</f>
        <v>4927156.2115</v>
      </c>
      <c r="J94" s="34" t="s">
        <v>120</v>
      </c>
      <c r="K94" s="74" t="s">
        <v>148</v>
      </c>
      <c r="L94" s="89"/>
      <c r="M94" s="44"/>
      <c r="N94" s="41"/>
      <c r="O94" s="41"/>
      <c r="P94" s="45"/>
      <c r="Q94" s="44"/>
      <c r="R94" s="41"/>
      <c r="S94" s="41"/>
      <c r="T94" s="41"/>
      <c r="U94" s="45"/>
    </row>
    <row r="95" spans="1:21">
      <c r="A95" s="41">
        <f>A94+1</f>
        <v>88</v>
      </c>
      <c r="B95" s="27">
        <v>46152</v>
      </c>
      <c r="C95" s="67">
        <v>40001818</v>
      </c>
      <c r="D95" s="28">
        <v>75062232</v>
      </c>
      <c r="E95" s="101">
        <v>59.5</v>
      </c>
      <c r="F95" s="42">
        <v>1086.14</v>
      </c>
      <c r="G95" s="102">
        <f>E95*F95</f>
        <v>64625.33</v>
      </c>
      <c r="H95" s="32">
        <v>82601.11</v>
      </c>
      <c r="I95" s="103">
        <f>E95*H95</f>
        <v>4914766.045</v>
      </c>
      <c r="J95" s="34" t="s">
        <v>120</v>
      </c>
      <c r="K95" s="74" t="s">
        <v>148</v>
      </c>
      <c r="L95" s="89"/>
      <c r="M95" s="44"/>
      <c r="N95" s="41"/>
      <c r="O95" s="41"/>
      <c r="P95" s="45"/>
      <c r="Q95" s="44"/>
      <c r="R95" s="41"/>
      <c r="S95" s="41"/>
      <c r="T95" s="41"/>
      <c r="U95" s="45"/>
    </row>
    <row r="96" spans="1:21">
      <c r="A96" s="41">
        <f>A95+1</f>
        <v>89</v>
      </c>
      <c r="B96" s="27">
        <v>46152</v>
      </c>
      <c r="C96" s="67">
        <v>40001818</v>
      </c>
      <c r="D96" s="41">
        <v>52090099</v>
      </c>
      <c r="E96" s="73">
        <v>59.65</v>
      </c>
      <c r="F96" s="42">
        <v>1086.14</v>
      </c>
      <c r="G96" s="102">
        <f>E96*F96</f>
        <v>64788.251</v>
      </c>
      <c r="H96" s="32">
        <v>82601.11</v>
      </c>
      <c r="I96" s="103">
        <f>E96*H96</f>
        <v>4927156.2115</v>
      </c>
      <c r="J96" s="34" t="s">
        <v>120</v>
      </c>
      <c r="K96" s="74" t="s">
        <v>148</v>
      </c>
      <c r="L96" s="89"/>
      <c r="M96" s="44"/>
      <c r="N96" s="41"/>
      <c r="O96" s="41"/>
      <c r="P96" s="45"/>
      <c r="Q96" s="44"/>
      <c r="R96" s="41"/>
      <c r="S96" s="41"/>
      <c r="T96" s="41"/>
      <c r="U96" s="45"/>
    </row>
    <row r="97" spans="1:21">
      <c r="A97" s="41">
        <f>A96+1</f>
        <v>90</v>
      </c>
      <c r="B97" s="27">
        <v>46152</v>
      </c>
      <c r="C97" s="67">
        <v>40001818</v>
      </c>
      <c r="D97" s="41">
        <v>53944740</v>
      </c>
      <c r="E97" s="73">
        <v>50</v>
      </c>
      <c r="F97" s="42">
        <v>1086.14</v>
      </c>
      <c r="G97" s="102">
        <f>E97*F97</f>
        <v>54307</v>
      </c>
      <c r="H97" s="32">
        <v>82601.11</v>
      </c>
      <c r="I97" s="103">
        <f>E97*H97</f>
        <v>4130055.5</v>
      </c>
      <c r="J97" s="34" t="s">
        <v>120</v>
      </c>
      <c r="K97" s="74" t="s">
        <v>148</v>
      </c>
      <c r="L97" s="89"/>
      <c r="M97" s="44"/>
      <c r="N97" s="41"/>
      <c r="O97" s="41"/>
      <c r="P97" s="45"/>
      <c r="Q97" s="44"/>
      <c r="R97" s="41"/>
      <c r="S97" s="41"/>
      <c r="T97" s="41"/>
      <c r="U97" s="45"/>
    </row>
    <row r="98" ht="15.75" spans="1:21">
      <c r="A98" s="77">
        <f>A97+1</f>
        <v>91</v>
      </c>
      <c r="B98" s="96">
        <v>46152</v>
      </c>
      <c r="C98" s="104">
        <v>40001818</v>
      </c>
      <c r="D98" s="77">
        <v>73214736</v>
      </c>
      <c r="E98" s="78">
        <v>59.6</v>
      </c>
      <c r="F98" s="42">
        <v>1086.14</v>
      </c>
      <c r="G98" s="105">
        <f>E98*F98</f>
        <v>64733.944</v>
      </c>
      <c r="H98" s="49">
        <v>82601.11</v>
      </c>
      <c r="I98" s="106">
        <f>E98*H98</f>
        <v>4923026.156</v>
      </c>
      <c r="J98" s="81" t="s">
        <v>120</v>
      </c>
      <c r="K98" s="82" t="s">
        <v>148</v>
      </c>
      <c r="L98" s="90"/>
      <c r="M98" s="51"/>
      <c r="N98" s="52"/>
      <c r="O98" s="52"/>
      <c r="P98" s="53"/>
      <c r="Q98" s="51"/>
      <c r="R98" s="52"/>
      <c r="S98" s="52"/>
      <c r="T98" s="52"/>
      <c r="U98" s="53"/>
    </row>
    <row r="99" ht="15.75" spans="1:21">
      <c r="A99" s="55"/>
      <c r="B99" s="56"/>
      <c r="C99" s="56"/>
      <c r="D99" s="56"/>
      <c r="E99" s="57">
        <f>SUM(E59:E98)</f>
        <v>2314.9</v>
      </c>
      <c r="F99" s="58"/>
      <c r="G99" s="59">
        <f>SUM(G60:G98)</f>
        <v>2449734.463</v>
      </c>
      <c r="H99" s="58"/>
      <c r="I99" s="60">
        <f>SUM(I60:I98)</f>
        <v>186302673.5495</v>
      </c>
      <c r="J99" s="56"/>
      <c r="K99" s="61"/>
      <c r="L99" s="93"/>
      <c r="M99" s="85"/>
      <c r="N99" s="86"/>
      <c r="O99" s="86"/>
      <c r="P99" s="87"/>
      <c r="Q99" s="85"/>
      <c r="R99" s="86"/>
      <c r="S99" s="86"/>
      <c r="T99" s="86"/>
      <c r="U99" s="87"/>
    </row>
    <row r="100" spans="1:21">
      <c r="A100" s="26">
        <f>A98+1</f>
        <v>92</v>
      </c>
      <c r="B100" s="27">
        <v>46157</v>
      </c>
      <c r="C100" s="107">
        <v>40002242</v>
      </c>
      <c r="D100" s="107">
        <v>50434166</v>
      </c>
      <c r="E100" s="108">
        <v>51.25</v>
      </c>
      <c r="F100" s="42">
        <v>1086.14</v>
      </c>
      <c r="G100" s="31">
        <f>E100*F100</f>
        <v>55664.675</v>
      </c>
      <c r="H100" s="69">
        <v>82601.11</v>
      </c>
      <c r="I100" s="33">
        <f>E100*H100</f>
        <v>4233306.8875</v>
      </c>
      <c r="J100" s="70" t="s">
        <v>120</v>
      </c>
      <c r="K100" s="71" t="s">
        <v>148</v>
      </c>
      <c r="L100" s="95"/>
      <c r="M100" s="37"/>
      <c r="N100" s="38"/>
      <c r="O100" s="38"/>
      <c r="P100" s="39"/>
      <c r="Q100" s="40"/>
      <c r="R100" s="38"/>
      <c r="S100" s="38"/>
      <c r="T100" s="38"/>
      <c r="U100" s="39"/>
    </row>
    <row r="101" spans="1:21">
      <c r="A101" s="44">
        <f>A100+1</f>
        <v>93</v>
      </c>
      <c r="B101" s="72">
        <v>46157</v>
      </c>
      <c r="C101" s="28">
        <v>40002242</v>
      </c>
      <c r="D101" s="28">
        <v>51142453</v>
      </c>
      <c r="E101" s="29">
        <v>50.7</v>
      </c>
      <c r="F101" s="42">
        <v>1086.14</v>
      </c>
      <c r="G101" s="102">
        <f>E101*F101</f>
        <v>55067.298</v>
      </c>
      <c r="H101" s="32">
        <v>82601.11</v>
      </c>
      <c r="I101" s="103">
        <f>E101*H101</f>
        <v>4187876.277</v>
      </c>
      <c r="J101" s="34" t="s">
        <v>120</v>
      </c>
      <c r="K101" s="74" t="s">
        <v>148</v>
      </c>
      <c r="L101" s="89"/>
      <c r="M101" s="44"/>
      <c r="N101" s="41"/>
      <c r="O101" s="41"/>
      <c r="P101" s="45"/>
      <c r="Q101" s="46"/>
      <c r="R101" s="41"/>
      <c r="S101" s="41"/>
      <c r="T101" s="41"/>
      <c r="U101" s="45"/>
    </row>
    <row r="102" spans="1:21">
      <c r="A102" s="44">
        <f>A101+1</f>
        <v>94</v>
      </c>
      <c r="B102" s="72">
        <v>46157</v>
      </c>
      <c r="C102" s="28">
        <v>40002242</v>
      </c>
      <c r="D102" s="28">
        <v>54712708</v>
      </c>
      <c r="E102" s="29">
        <v>59.4</v>
      </c>
      <c r="F102" s="42">
        <v>1086.14</v>
      </c>
      <c r="G102" s="102">
        <f>E102*F102</f>
        <v>64516.716</v>
      </c>
      <c r="H102" s="32">
        <v>82601.11</v>
      </c>
      <c r="I102" s="103">
        <f>E102*H102</f>
        <v>4906505.934</v>
      </c>
      <c r="J102" s="34" t="s">
        <v>120</v>
      </c>
      <c r="K102" s="74" t="s">
        <v>148</v>
      </c>
      <c r="L102" s="89"/>
      <c r="M102" s="44"/>
      <c r="N102" s="41"/>
      <c r="O102" s="41"/>
      <c r="P102" s="45"/>
      <c r="Q102" s="46"/>
      <c r="R102" s="41"/>
      <c r="S102" s="41"/>
      <c r="T102" s="41"/>
      <c r="U102" s="45"/>
    </row>
    <row r="103" spans="1:21">
      <c r="A103" s="44">
        <f>A102+1</f>
        <v>95</v>
      </c>
      <c r="B103" s="72">
        <v>46157</v>
      </c>
      <c r="C103" s="28">
        <v>40002242</v>
      </c>
      <c r="D103" s="28">
        <v>73186652</v>
      </c>
      <c r="E103" s="29">
        <v>59.5</v>
      </c>
      <c r="F103" s="42">
        <v>1086.14</v>
      </c>
      <c r="G103" s="102">
        <f>E103*F103</f>
        <v>64625.33</v>
      </c>
      <c r="H103" s="32">
        <v>82601.11</v>
      </c>
      <c r="I103" s="103">
        <f>E103*H103</f>
        <v>4914766.045</v>
      </c>
      <c r="J103" s="34" t="s">
        <v>120</v>
      </c>
      <c r="K103" s="74" t="s">
        <v>148</v>
      </c>
      <c r="L103" s="89"/>
      <c r="M103" s="44"/>
      <c r="N103" s="41"/>
      <c r="O103" s="41"/>
      <c r="P103" s="45"/>
      <c r="Q103" s="46"/>
      <c r="R103" s="41"/>
      <c r="S103" s="41"/>
      <c r="T103" s="41"/>
      <c r="U103" s="45"/>
    </row>
    <row r="104" spans="1:21">
      <c r="A104" s="44">
        <f>A103+1</f>
        <v>96</v>
      </c>
      <c r="B104" s="72">
        <v>46157</v>
      </c>
      <c r="C104" s="28">
        <v>40002242</v>
      </c>
      <c r="D104" s="28">
        <v>73197212</v>
      </c>
      <c r="E104" s="29">
        <v>59.6</v>
      </c>
      <c r="F104" s="42">
        <v>1086.14</v>
      </c>
      <c r="G104" s="102">
        <f>E104*F104</f>
        <v>64733.944</v>
      </c>
      <c r="H104" s="32">
        <v>82601.11</v>
      </c>
      <c r="I104" s="103">
        <f>E104*H104</f>
        <v>4923026.156</v>
      </c>
      <c r="J104" s="34" t="s">
        <v>120</v>
      </c>
      <c r="K104" s="74" t="s">
        <v>148</v>
      </c>
      <c r="L104" s="89"/>
      <c r="M104" s="44"/>
      <c r="N104" s="41"/>
      <c r="O104" s="41"/>
      <c r="P104" s="45"/>
      <c r="Q104" s="46"/>
      <c r="R104" s="41"/>
      <c r="S104" s="41"/>
      <c r="T104" s="41"/>
      <c r="U104" s="45"/>
    </row>
    <row r="105" spans="1:21">
      <c r="A105" s="44">
        <f>A104+1</f>
        <v>97</v>
      </c>
      <c r="B105" s="72">
        <v>46157</v>
      </c>
      <c r="C105" s="28">
        <v>40002242</v>
      </c>
      <c r="D105" s="28">
        <v>75110650</v>
      </c>
      <c r="E105" s="29">
        <v>59.35</v>
      </c>
      <c r="F105" s="42">
        <v>1086.14</v>
      </c>
      <c r="G105" s="102">
        <f>E105*F105</f>
        <v>64462.409</v>
      </c>
      <c r="H105" s="32">
        <v>82601.11</v>
      </c>
      <c r="I105" s="103">
        <f>E105*H105</f>
        <v>4902375.8785</v>
      </c>
      <c r="J105" s="34" t="s">
        <v>120</v>
      </c>
      <c r="K105" s="74" t="s">
        <v>148</v>
      </c>
      <c r="L105" s="89"/>
      <c r="M105" s="44"/>
      <c r="N105" s="41"/>
      <c r="O105" s="41"/>
      <c r="P105" s="45"/>
      <c r="Q105" s="46"/>
      <c r="R105" s="41"/>
      <c r="S105" s="41"/>
      <c r="T105" s="41"/>
      <c r="U105" s="45"/>
    </row>
    <row r="106" spans="1:21">
      <c r="A106" s="44">
        <f>A105+1</f>
        <v>98</v>
      </c>
      <c r="B106" s="72">
        <v>46157</v>
      </c>
      <c r="C106" s="28">
        <v>40002242</v>
      </c>
      <c r="D106" s="28">
        <v>75216929</v>
      </c>
      <c r="E106" s="29">
        <v>59.95</v>
      </c>
      <c r="F106" s="42">
        <v>1086.14</v>
      </c>
      <c r="G106" s="102">
        <f>E106*F106</f>
        <v>65114.093</v>
      </c>
      <c r="H106" s="32">
        <v>82601.11</v>
      </c>
      <c r="I106" s="103">
        <f>E106*H106</f>
        <v>4951936.5445</v>
      </c>
      <c r="J106" s="34" t="s">
        <v>120</v>
      </c>
      <c r="K106" s="74" t="s">
        <v>148</v>
      </c>
      <c r="L106" s="89"/>
      <c r="M106" s="44"/>
      <c r="N106" s="41"/>
      <c r="O106" s="41"/>
      <c r="P106" s="45"/>
      <c r="Q106" s="46"/>
      <c r="R106" s="41"/>
      <c r="S106" s="41"/>
      <c r="T106" s="41"/>
      <c r="U106" s="45"/>
    </row>
    <row r="107" ht="15.75" spans="1:21">
      <c r="A107" s="75">
        <f>A106+1</f>
        <v>99</v>
      </c>
      <c r="B107" s="76">
        <v>46157</v>
      </c>
      <c r="C107" s="47">
        <v>40002242</v>
      </c>
      <c r="D107" s="47">
        <v>75290882</v>
      </c>
      <c r="E107" s="48">
        <v>59.95</v>
      </c>
      <c r="F107" s="42">
        <v>1086.14</v>
      </c>
      <c r="G107" s="105">
        <f>E107*F107</f>
        <v>65114.093</v>
      </c>
      <c r="H107" s="49">
        <v>82601.11</v>
      </c>
      <c r="I107" s="106">
        <f>E107*H107</f>
        <v>4951936.5445</v>
      </c>
      <c r="J107" s="81" t="s">
        <v>120</v>
      </c>
      <c r="K107" s="82" t="s">
        <v>148</v>
      </c>
      <c r="L107" s="90"/>
      <c r="M107" s="51"/>
      <c r="N107" s="52"/>
      <c r="O107" s="52"/>
      <c r="P107" s="53"/>
      <c r="Q107" s="54"/>
      <c r="R107" s="52"/>
      <c r="S107" s="52"/>
      <c r="T107" s="52"/>
      <c r="U107" s="53"/>
    </row>
    <row r="108" ht="15.75" spans="1:21">
      <c r="A108" s="55"/>
      <c r="B108" s="56"/>
      <c r="C108" s="56"/>
      <c r="D108" s="56"/>
      <c r="E108" s="57">
        <f>SUM(E100:E107)</f>
        <v>459.7</v>
      </c>
      <c r="F108" s="58"/>
      <c r="G108" s="59">
        <f>SUM(G100:G107)</f>
        <v>499298.558</v>
      </c>
      <c r="H108" s="58"/>
      <c r="I108" s="60">
        <f>SUM(I100:I107)</f>
        <v>37971730.267</v>
      </c>
      <c r="J108" s="56"/>
      <c r="K108" s="61"/>
      <c r="L108" s="62"/>
      <c r="M108" s="85"/>
      <c r="N108" s="86"/>
      <c r="O108" s="86"/>
      <c r="P108" s="87"/>
      <c r="Q108" s="88"/>
      <c r="R108" s="86"/>
      <c r="S108" s="86"/>
      <c r="T108" s="86"/>
      <c r="U108" s="87"/>
    </row>
    <row r="109" spans="1:21">
      <c r="A109" s="26">
        <f>A107+1</f>
        <v>100</v>
      </c>
      <c r="B109" s="27">
        <v>46163</v>
      </c>
      <c r="C109" s="109">
        <v>40003013</v>
      </c>
      <c r="D109" s="109">
        <v>50913524</v>
      </c>
      <c r="E109" s="110">
        <v>59.05</v>
      </c>
      <c r="F109" s="42">
        <v>1086.14</v>
      </c>
      <c r="G109" s="31">
        <f>E109*F109</f>
        <v>64136.567</v>
      </c>
      <c r="H109" s="69">
        <v>82601.11</v>
      </c>
      <c r="I109" s="33">
        <f>E109*H109</f>
        <v>4877595.5455</v>
      </c>
      <c r="J109" s="70" t="s">
        <v>120</v>
      </c>
      <c r="K109" s="71" t="s">
        <v>148</v>
      </c>
      <c r="L109" s="36"/>
      <c r="M109" s="37"/>
      <c r="N109" s="38"/>
      <c r="O109" s="38"/>
      <c r="P109" s="39"/>
      <c r="Q109" s="40"/>
      <c r="R109" s="38"/>
      <c r="S109" s="38"/>
      <c r="T109" s="38"/>
      <c r="U109" s="39"/>
    </row>
    <row r="110" spans="1:21">
      <c r="A110" s="44">
        <f>A109+1</f>
        <v>101</v>
      </c>
      <c r="B110" s="72">
        <v>46163</v>
      </c>
      <c r="C110" s="111">
        <v>40003013</v>
      </c>
      <c r="D110" s="111">
        <v>54717392</v>
      </c>
      <c r="E110" s="112">
        <v>58.9</v>
      </c>
      <c r="F110" s="42">
        <v>1086.14</v>
      </c>
      <c r="G110" s="102">
        <f>E110*F110</f>
        <v>63973.646</v>
      </c>
      <c r="H110" s="32">
        <v>82601.11</v>
      </c>
      <c r="I110" s="103">
        <f>E110*H110</f>
        <v>4865205.379</v>
      </c>
      <c r="J110" s="34" t="s">
        <v>120</v>
      </c>
      <c r="K110" s="74" t="s">
        <v>148</v>
      </c>
      <c r="L110" s="43"/>
      <c r="M110" s="44"/>
      <c r="N110" s="41"/>
      <c r="O110" s="41"/>
      <c r="P110" s="45"/>
      <c r="Q110" s="46"/>
      <c r="R110" s="41"/>
      <c r="S110" s="41"/>
      <c r="T110" s="41"/>
      <c r="U110" s="45"/>
    </row>
    <row r="111" spans="1:21">
      <c r="A111" s="44">
        <f>A110+1</f>
        <v>102</v>
      </c>
      <c r="B111" s="72">
        <v>46163</v>
      </c>
      <c r="C111" s="111">
        <v>40003013</v>
      </c>
      <c r="D111" s="111">
        <v>54746367</v>
      </c>
      <c r="E111" s="112">
        <v>58.95</v>
      </c>
      <c r="F111" s="42">
        <v>1086.14</v>
      </c>
      <c r="G111" s="102">
        <f>E111*F111</f>
        <v>64027.953</v>
      </c>
      <c r="H111" s="32">
        <v>82601.11</v>
      </c>
      <c r="I111" s="103">
        <f>E111*H111</f>
        <v>4869335.4345</v>
      </c>
      <c r="J111" s="34" t="s">
        <v>120</v>
      </c>
      <c r="K111" s="74" t="s">
        <v>148</v>
      </c>
      <c r="L111" s="43"/>
      <c r="M111" s="44"/>
      <c r="N111" s="41"/>
      <c r="O111" s="41"/>
      <c r="P111" s="45"/>
      <c r="Q111" s="46"/>
      <c r="R111" s="41"/>
      <c r="S111" s="41"/>
      <c r="T111" s="41"/>
      <c r="U111" s="45"/>
    </row>
    <row r="112" spans="1:21">
      <c r="A112" s="44">
        <f>A111+1</f>
        <v>103</v>
      </c>
      <c r="B112" s="72">
        <v>46163</v>
      </c>
      <c r="C112" s="111">
        <v>40003013</v>
      </c>
      <c r="D112" s="111">
        <v>73009631</v>
      </c>
      <c r="E112" s="112">
        <v>59.35</v>
      </c>
      <c r="F112" s="42">
        <v>1086.14</v>
      </c>
      <c r="G112" s="102">
        <f>E112*F112</f>
        <v>64462.409</v>
      </c>
      <c r="H112" s="32">
        <v>82601.11</v>
      </c>
      <c r="I112" s="103">
        <f>E112*H112</f>
        <v>4902375.8785</v>
      </c>
      <c r="J112" s="34" t="s">
        <v>120</v>
      </c>
      <c r="K112" s="74" t="s">
        <v>148</v>
      </c>
      <c r="L112" s="43"/>
      <c r="M112" s="44"/>
      <c r="N112" s="41"/>
      <c r="O112" s="41"/>
      <c r="P112" s="45"/>
      <c r="Q112" s="46"/>
      <c r="R112" s="41"/>
      <c r="S112" s="41"/>
      <c r="T112" s="41"/>
      <c r="U112" s="45"/>
    </row>
    <row r="113" spans="1:21">
      <c r="A113" s="44">
        <f>A112+1</f>
        <v>104</v>
      </c>
      <c r="B113" s="72">
        <v>46163</v>
      </c>
      <c r="C113" s="111">
        <v>40003013</v>
      </c>
      <c r="D113" s="111">
        <v>73049934</v>
      </c>
      <c r="E113" s="112">
        <v>59.6</v>
      </c>
      <c r="F113" s="42">
        <v>1086.14</v>
      </c>
      <c r="G113" s="102">
        <f>E113*F113</f>
        <v>64733.944</v>
      </c>
      <c r="H113" s="32">
        <v>82601.11</v>
      </c>
      <c r="I113" s="103">
        <f>E113*H113</f>
        <v>4923026.156</v>
      </c>
      <c r="J113" s="34" t="s">
        <v>120</v>
      </c>
      <c r="K113" s="74" t="s">
        <v>148</v>
      </c>
      <c r="L113" s="43"/>
      <c r="M113" s="44"/>
      <c r="N113" s="41"/>
      <c r="O113" s="41"/>
      <c r="P113" s="45"/>
      <c r="Q113" s="46"/>
      <c r="R113" s="41"/>
      <c r="S113" s="41"/>
      <c r="T113" s="41"/>
      <c r="U113" s="45"/>
    </row>
    <row r="114" spans="1:21">
      <c r="A114" s="44">
        <f>A113+1</f>
        <v>105</v>
      </c>
      <c r="B114" s="72">
        <v>46163</v>
      </c>
      <c r="C114" s="111">
        <v>40003013</v>
      </c>
      <c r="D114" s="111">
        <v>73102048</v>
      </c>
      <c r="E114" s="112">
        <v>59.35</v>
      </c>
      <c r="F114" s="42">
        <v>1086.14</v>
      </c>
      <c r="G114" s="102">
        <f>E114*F114</f>
        <v>64462.409</v>
      </c>
      <c r="H114" s="32">
        <v>82601.11</v>
      </c>
      <c r="I114" s="103">
        <f>E114*H114</f>
        <v>4902375.8785</v>
      </c>
      <c r="J114" s="34" t="s">
        <v>120</v>
      </c>
      <c r="K114" s="74" t="s">
        <v>148</v>
      </c>
      <c r="L114" s="43"/>
      <c r="M114" s="44"/>
      <c r="N114" s="41"/>
      <c r="O114" s="41"/>
      <c r="P114" s="45"/>
      <c r="Q114" s="46"/>
      <c r="R114" s="41"/>
      <c r="S114" s="41"/>
      <c r="T114" s="41"/>
      <c r="U114" s="45"/>
    </row>
    <row r="115" spans="1:21">
      <c r="A115" s="44">
        <f>A114+1</f>
        <v>106</v>
      </c>
      <c r="B115" s="72">
        <v>46163</v>
      </c>
      <c r="C115" s="111">
        <v>40003013</v>
      </c>
      <c r="D115" s="111">
        <v>73102907</v>
      </c>
      <c r="E115" s="112">
        <v>59.3</v>
      </c>
      <c r="F115" s="42">
        <v>1086.14</v>
      </c>
      <c r="G115" s="102">
        <f>E115*F115</f>
        <v>64408.102</v>
      </c>
      <c r="H115" s="32">
        <v>82601.11</v>
      </c>
      <c r="I115" s="103">
        <f>E115*H115</f>
        <v>4898245.823</v>
      </c>
      <c r="J115" s="34" t="s">
        <v>120</v>
      </c>
      <c r="K115" s="74" t="s">
        <v>148</v>
      </c>
      <c r="L115" s="43"/>
      <c r="M115" s="44"/>
      <c r="N115" s="41"/>
      <c r="O115" s="41"/>
      <c r="P115" s="45"/>
      <c r="Q115" s="46"/>
      <c r="R115" s="41"/>
      <c r="S115" s="41"/>
      <c r="T115" s="41"/>
      <c r="U115" s="45"/>
    </row>
    <row r="116" spans="1:21">
      <c r="A116" s="44">
        <f>A115+1</f>
        <v>107</v>
      </c>
      <c r="B116" s="72">
        <v>46163</v>
      </c>
      <c r="C116" s="111">
        <v>40003013</v>
      </c>
      <c r="D116" s="111">
        <v>73118515</v>
      </c>
      <c r="E116" s="112">
        <v>59.6</v>
      </c>
      <c r="F116" s="42">
        <v>1086.14</v>
      </c>
      <c r="G116" s="102">
        <f>E116*F116</f>
        <v>64733.944</v>
      </c>
      <c r="H116" s="32">
        <v>82601.11</v>
      </c>
      <c r="I116" s="103">
        <f>E116*H116</f>
        <v>4923026.156</v>
      </c>
      <c r="J116" s="34" t="s">
        <v>120</v>
      </c>
      <c r="K116" s="74" t="s">
        <v>148</v>
      </c>
      <c r="L116" s="43"/>
      <c r="M116" s="44"/>
      <c r="N116" s="41"/>
      <c r="O116" s="41"/>
      <c r="P116" s="45"/>
      <c r="Q116" s="46"/>
      <c r="R116" s="41"/>
      <c r="S116" s="41"/>
      <c r="T116" s="41"/>
      <c r="U116" s="45"/>
    </row>
    <row r="117" spans="1:21">
      <c r="A117" s="44">
        <f>A116+1</f>
        <v>108</v>
      </c>
      <c r="B117" s="72">
        <v>46163</v>
      </c>
      <c r="C117" s="111">
        <v>40003013</v>
      </c>
      <c r="D117" s="111">
        <v>73133571</v>
      </c>
      <c r="E117" s="112">
        <v>59.4</v>
      </c>
      <c r="F117" s="42">
        <v>1086.14</v>
      </c>
      <c r="G117" s="102">
        <f>E117*F117</f>
        <v>64516.716</v>
      </c>
      <c r="H117" s="32">
        <v>82601.11</v>
      </c>
      <c r="I117" s="103">
        <f>E117*H117</f>
        <v>4906505.934</v>
      </c>
      <c r="J117" s="34" t="s">
        <v>120</v>
      </c>
      <c r="K117" s="74" t="s">
        <v>148</v>
      </c>
      <c r="L117" s="43"/>
      <c r="M117" s="44"/>
      <c r="N117" s="41"/>
      <c r="O117" s="41"/>
      <c r="P117" s="45"/>
      <c r="Q117" s="46"/>
      <c r="R117" s="41"/>
      <c r="S117" s="41"/>
      <c r="T117" s="41"/>
      <c r="U117" s="45"/>
    </row>
    <row r="118" spans="1:21">
      <c r="A118" s="44">
        <f>A117+1</f>
        <v>109</v>
      </c>
      <c r="B118" s="72">
        <v>46163</v>
      </c>
      <c r="C118" s="111">
        <v>40003013</v>
      </c>
      <c r="D118" s="111">
        <v>73168833</v>
      </c>
      <c r="E118" s="112">
        <v>59.4</v>
      </c>
      <c r="F118" s="42">
        <v>1086.14</v>
      </c>
      <c r="G118" s="102">
        <f>E118*F118</f>
        <v>64516.716</v>
      </c>
      <c r="H118" s="32">
        <v>82601.11</v>
      </c>
      <c r="I118" s="103">
        <f>E118*H118</f>
        <v>4906505.934</v>
      </c>
      <c r="J118" s="34" t="s">
        <v>120</v>
      </c>
      <c r="K118" s="74" t="s">
        <v>148</v>
      </c>
      <c r="L118" s="43"/>
      <c r="M118" s="44"/>
      <c r="N118" s="41"/>
      <c r="O118" s="41"/>
      <c r="P118" s="45"/>
      <c r="Q118" s="46"/>
      <c r="R118" s="41"/>
      <c r="S118" s="41"/>
      <c r="T118" s="41"/>
      <c r="U118" s="45"/>
    </row>
    <row r="119" spans="1:21">
      <c r="A119" s="44">
        <f>A118+1</f>
        <v>110</v>
      </c>
      <c r="B119" s="72">
        <v>46163</v>
      </c>
      <c r="C119" s="111">
        <v>40003013</v>
      </c>
      <c r="D119" s="111">
        <v>73229882</v>
      </c>
      <c r="E119" s="112">
        <v>59.5</v>
      </c>
      <c r="F119" s="42">
        <v>1086.14</v>
      </c>
      <c r="G119" s="102">
        <f>E119*F119</f>
        <v>64625.33</v>
      </c>
      <c r="H119" s="32">
        <v>82601.11</v>
      </c>
      <c r="I119" s="103">
        <f>E119*H119</f>
        <v>4914766.045</v>
      </c>
      <c r="J119" s="34" t="s">
        <v>120</v>
      </c>
      <c r="K119" s="74" t="s">
        <v>148</v>
      </c>
      <c r="L119" s="43"/>
      <c r="M119" s="44"/>
      <c r="N119" s="41"/>
      <c r="O119" s="41"/>
      <c r="P119" s="45"/>
      <c r="Q119" s="46"/>
      <c r="R119" s="41"/>
      <c r="S119" s="41"/>
      <c r="T119" s="41"/>
      <c r="U119" s="45"/>
    </row>
    <row r="120" spans="1:21">
      <c r="A120" s="44">
        <f>A119+1</f>
        <v>111</v>
      </c>
      <c r="B120" s="72">
        <v>46163</v>
      </c>
      <c r="C120" s="111">
        <v>40003013</v>
      </c>
      <c r="D120" s="111">
        <v>73236978</v>
      </c>
      <c r="E120" s="112">
        <v>59.6</v>
      </c>
      <c r="F120" s="42">
        <v>1086.14</v>
      </c>
      <c r="G120" s="102">
        <f>E120*F120</f>
        <v>64733.944</v>
      </c>
      <c r="H120" s="32">
        <v>82601.11</v>
      </c>
      <c r="I120" s="103">
        <f>E120*H120</f>
        <v>4923026.156</v>
      </c>
      <c r="J120" s="34" t="s">
        <v>120</v>
      </c>
      <c r="K120" s="74" t="s">
        <v>148</v>
      </c>
      <c r="L120" s="43"/>
      <c r="M120" s="44"/>
      <c r="N120" s="41"/>
      <c r="O120" s="41"/>
      <c r="P120" s="45"/>
      <c r="Q120" s="46"/>
      <c r="R120" s="41"/>
      <c r="S120" s="41"/>
      <c r="T120" s="41"/>
      <c r="U120" s="45"/>
    </row>
    <row r="121" spans="1:21">
      <c r="A121" s="44">
        <f>A120+1</f>
        <v>112</v>
      </c>
      <c r="B121" s="72">
        <v>46163</v>
      </c>
      <c r="C121" s="111">
        <v>40003013</v>
      </c>
      <c r="D121" s="111">
        <v>73240533</v>
      </c>
      <c r="E121" s="112">
        <v>59.3</v>
      </c>
      <c r="F121" s="42">
        <v>1086.14</v>
      </c>
      <c r="G121" s="102">
        <f>E121*F121</f>
        <v>64408.102</v>
      </c>
      <c r="H121" s="32">
        <v>82601.11</v>
      </c>
      <c r="I121" s="103">
        <f>E121*H121</f>
        <v>4898245.823</v>
      </c>
      <c r="J121" s="34" t="s">
        <v>120</v>
      </c>
      <c r="K121" s="74" t="s">
        <v>148</v>
      </c>
      <c r="L121" s="43"/>
      <c r="M121" s="44"/>
      <c r="N121" s="41"/>
      <c r="O121" s="41"/>
      <c r="P121" s="45"/>
      <c r="Q121" s="46"/>
      <c r="R121" s="41"/>
      <c r="S121" s="41"/>
      <c r="T121" s="41"/>
      <c r="U121" s="45"/>
    </row>
    <row r="122" spans="1:21">
      <c r="A122" s="44">
        <f>A121+1</f>
        <v>113</v>
      </c>
      <c r="B122" s="72">
        <v>46163</v>
      </c>
      <c r="C122" s="111">
        <v>40003013</v>
      </c>
      <c r="D122" s="111">
        <v>73241630</v>
      </c>
      <c r="E122" s="112">
        <v>59.7</v>
      </c>
      <c r="F122" s="42">
        <v>1086.14</v>
      </c>
      <c r="G122" s="102">
        <f>E122*F122</f>
        <v>64842.558</v>
      </c>
      <c r="H122" s="32">
        <v>82601.11</v>
      </c>
      <c r="I122" s="103">
        <f>E122*H122</f>
        <v>4931286.267</v>
      </c>
      <c r="J122" s="34" t="s">
        <v>120</v>
      </c>
      <c r="K122" s="74" t="s">
        <v>148</v>
      </c>
      <c r="L122" s="43"/>
      <c r="M122" s="44"/>
      <c r="N122" s="41"/>
      <c r="O122" s="41"/>
      <c r="P122" s="45"/>
      <c r="Q122" s="46"/>
      <c r="R122" s="41"/>
      <c r="S122" s="41"/>
      <c r="T122" s="41"/>
      <c r="U122" s="45"/>
    </row>
    <row r="123" ht="15.75" spans="1:21">
      <c r="A123" s="75">
        <f>A122+1</f>
        <v>114</v>
      </c>
      <c r="B123" s="76">
        <v>46163</v>
      </c>
      <c r="C123" s="113">
        <v>40003013</v>
      </c>
      <c r="D123" s="113">
        <v>74985227</v>
      </c>
      <c r="E123" s="114">
        <v>59.2</v>
      </c>
      <c r="F123" s="42">
        <v>1086.14</v>
      </c>
      <c r="G123" s="105">
        <f>E123*F123</f>
        <v>64299.488</v>
      </c>
      <c r="H123" s="49">
        <v>82601.11</v>
      </c>
      <c r="I123" s="106">
        <f>E123*H123</f>
        <v>4889985.712</v>
      </c>
      <c r="J123" s="81" t="s">
        <v>120</v>
      </c>
      <c r="K123" s="82" t="s">
        <v>148</v>
      </c>
      <c r="L123" s="83"/>
      <c r="M123" s="51"/>
      <c r="N123" s="52"/>
      <c r="O123" s="52"/>
      <c r="P123" s="53"/>
      <c r="Q123" s="54"/>
      <c r="R123" s="52"/>
      <c r="S123" s="52"/>
      <c r="T123" s="52"/>
      <c r="U123" s="53"/>
    </row>
    <row r="124" ht="15.75" spans="1:21">
      <c r="A124" s="55"/>
      <c r="B124" s="56"/>
      <c r="C124" s="56"/>
      <c r="D124" s="56"/>
      <c r="E124" s="57">
        <f>SUM(E109:E123)</f>
        <v>890.2</v>
      </c>
      <c r="F124" s="58"/>
      <c r="G124" s="59">
        <f>SUM(G109:G123)</f>
        <v>966881.828</v>
      </c>
      <c r="H124" s="58"/>
      <c r="I124" s="60">
        <f>SUM(I109:I123)</f>
        <v>73531508.122</v>
      </c>
      <c r="J124" s="56"/>
      <c r="K124" s="61"/>
      <c r="L124" s="84"/>
      <c r="M124" s="85"/>
      <c r="N124" s="86"/>
      <c r="O124" s="86"/>
      <c r="P124" s="87"/>
      <c r="Q124" s="88"/>
      <c r="R124" s="86"/>
      <c r="S124" s="86"/>
      <c r="T124" s="86"/>
      <c r="U124" s="87"/>
    </row>
    <row r="125" spans="1:21">
      <c r="A125" s="37">
        <v>115</v>
      </c>
      <c r="B125" s="115">
        <v>46167</v>
      </c>
      <c r="C125" s="116">
        <v>40003434</v>
      </c>
      <c r="D125" s="116">
        <v>50217793</v>
      </c>
      <c r="E125" s="117">
        <v>58.75</v>
      </c>
      <c r="F125" s="42">
        <v>1086.14</v>
      </c>
      <c r="G125" s="118">
        <f>E125*F125</f>
        <v>63810.725</v>
      </c>
      <c r="H125" s="119">
        <v>82601.11</v>
      </c>
      <c r="I125" s="120">
        <f>E125*H125</f>
        <v>4852815.2125</v>
      </c>
      <c r="J125" s="121" t="s">
        <v>120</v>
      </c>
      <c r="K125" s="122" t="s">
        <v>148</v>
      </c>
      <c r="L125" s="39"/>
      <c r="M125" s="37"/>
      <c r="N125" s="38"/>
      <c r="O125" s="38"/>
      <c r="P125" s="39"/>
      <c r="Q125" s="37"/>
      <c r="R125" s="38"/>
      <c r="S125" s="38"/>
      <c r="T125" s="38"/>
      <c r="U125" s="39"/>
    </row>
    <row r="126" spans="1:21">
      <c r="A126" s="44">
        <f>A125+1</f>
        <v>116</v>
      </c>
      <c r="B126" s="72">
        <v>46167</v>
      </c>
      <c r="C126" s="111">
        <v>40003434</v>
      </c>
      <c r="D126" s="111">
        <v>54072236</v>
      </c>
      <c r="E126" s="112">
        <v>58.8</v>
      </c>
      <c r="F126" s="42">
        <v>1086.14</v>
      </c>
      <c r="G126" s="102">
        <f>E126*F126</f>
        <v>63865.032</v>
      </c>
      <c r="H126" s="32">
        <v>82601.11</v>
      </c>
      <c r="I126" s="103">
        <f>E126*H126</f>
        <v>4856945.268</v>
      </c>
      <c r="J126" s="34" t="s">
        <v>120</v>
      </c>
      <c r="K126" s="74" t="s">
        <v>148</v>
      </c>
      <c r="L126" s="45"/>
      <c r="M126" s="44"/>
      <c r="N126" s="41"/>
      <c r="O126" s="41"/>
      <c r="P126" s="45"/>
      <c r="Q126" s="44"/>
      <c r="R126" s="41"/>
      <c r="S126" s="41"/>
      <c r="T126" s="41"/>
      <c r="U126" s="45"/>
    </row>
    <row r="127" spans="1:21">
      <c r="A127" s="44">
        <f>A126+1</f>
        <v>117</v>
      </c>
      <c r="B127" s="72">
        <v>46167</v>
      </c>
      <c r="C127" s="111">
        <v>40003434</v>
      </c>
      <c r="D127" s="111">
        <v>73001810</v>
      </c>
      <c r="E127" s="112">
        <v>58.4</v>
      </c>
      <c r="F127" s="42">
        <v>1086.14</v>
      </c>
      <c r="G127" s="102">
        <f>E127*F127</f>
        <v>63430.576</v>
      </c>
      <c r="H127" s="32">
        <v>82601.11</v>
      </c>
      <c r="I127" s="103">
        <f>E127*H127</f>
        <v>4823904.824</v>
      </c>
      <c r="J127" s="34" t="s">
        <v>120</v>
      </c>
      <c r="K127" s="74" t="s">
        <v>148</v>
      </c>
      <c r="L127" s="45"/>
      <c r="M127" s="44"/>
      <c r="N127" s="41"/>
      <c r="O127" s="41"/>
      <c r="P127" s="45"/>
      <c r="Q127" s="44"/>
      <c r="R127" s="41"/>
      <c r="S127" s="41"/>
      <c r="T127" s="41"/>
      <c r="U127" s="45"/>
    </row>
    <row r="128" spans="1:21">
      <c r="A128" s="44">
        <f>A127+1</f>
        <v>118</v>
      </c>
      <c r="B128" s="72">
        <v>46167</v>
      </c>
      <c r="C128" s="111">
        <v>40003434</v>
      </c>
      <c r="D128" s="111">
        <v>73004251</v>
      </c>
      <c r="E128" s="112">
        <v>58.35</v>
      </c>
      <c r="F128" s="42">
        <v>1086.14</v>
      </c>
      <c r="G128" s="102">
        <f>E128*F128</f>
        <v>63376.269</v>
      </c>
      <c r="H128" s="32">
        <v>82601.11</v>
      </c>
      <c r="I128" s="103">
        <f>E128*H128</f>
        <v>4819774.7685</v>
      </c>
      <c r="J128" s="34" t="s">
        <v>120</v>
      </c>
      <c r="K128" s="74" t="s">
        <v>148</v>
      </c>
      <c r="L128" s="45"/>
      <c r="M128" s="44"/>
      <c r="N128" s="41"/>
      <c r="O128" s="41"/>
      <c r="P128" s="45"/>
      <c r="Q128" s="44"/>
      <c r="R128" s="41"/>
      <c r="S128" s="41"/>
      <c r="T128" s="41"/>
      <c r="U128" s="45"/>
    </row>
    <row r="129" spans="1:21">
      <c r="A129" s="44">
        <f>A128+1</f>
        <v>119</v>
      </c>
      <c r="B129" s="72">
        <v>46167</v>
      </c>
      <c r="C129" s="111">
        <v>40003434</v>
      </c>
      <c r="D129" s="111">
        <v>73062887</v>
      </c>
      <c r="E129" s="112">
        <v>58.4</v>
      </c>
      <c r="F129" s="42">
        <v>1086.14</v>
      </c>
      <c r="G129" s="102">
        <f>E129*F129</f>
        <v>63430.576</v>
      </c>
      <c r="H129" s="32">
        <v>82601.11</v>
      </c>
      <c r="I129" s="103">
        <f>E129*H129</f>
        <v>4823904.824</v>
      </c>
      <c r="J129" s="34" t="s">
        <v>120</v>
      </c>
      <c r="K129" s="74" t="s">
        <v>148</v>
      </c>
      <c r="L129" s="45"/>
      <c r="M129" s="44"/>
      <c r="N129" s="41"/>
      <c r="O129" s="41"/>
      <c r="P129" s="45"/>
      <c r="Q129" s="44"/>
      <c r="R129" s="41"/>
      <c r="S129" s="41"/>
      <c r="T129" s="41"/>
      <c r="U129" s="45"/>
    </row>
    <row r="130" spans="1:21">
      <c r="A130" s="44">
        <f>A129+1</f>
        <v>120</v>
      </c>
      <c r="B130" s="72">
        <v>46167</v>
      </c>
      <c r="C130" s="111">
        <v>40003434</v>
      </c>
      <c r="D130" s="111">
        <v>73080731</v>
      </c>
      <c r="E130" s="112">
        <v>58.5</v>
      </c>
      <c r="F130" s="42">
        <v>1086.14</v>
      </c>
      <c r="G130" s="102">
        <f>E130*F130</f>
        <v>63539.19</v>
      </c>
      <c r="H130" s="32">
        <v>82601.11</v>
      </c>
      <c r="I130" s="103">
        <f>E130*H130</f>
        <v>4832164.935</v>
      </c>
      <c r="J130" s="34" t="s">
        <v>120</v>
      </c>
      <c r="K130" s="74" t="s">
        <v>148</v>
      </c>
      <c r="L130" s="45"/>
      <c r="M130" s="44"/>
      <c r="N130" s="41"/>
      <c r="O130" s="41"/>
      <c r="P130" s="45"/>
      <c r="Q130" s="44"/>
      <c r="R130" s="41"/>
      <c r="S130" s="41"/>
      <c r="T130" s="41"/>
      <c r="U130" s="45"/>
    </row>
    <row r="131" spans="1:21">
      <c r="A131" s="44">
        <f>A130+1</f>
        <v>121</v>
      </c>
      <c r="B131" s="72">
        <v>46167</v>
      </c>
      <c r="C131" s="111">
        <v>40003434</v>
      </c>
      <c r="D131" s="111">
        <v>73118036</v>
      </c>
      <c r="E131" s="112">
        <v>58.4</v>
      </c>
      <c r="F131" s="42">
        <v>1086.14</v>
      </c>
      <c r="G131" s="102">
        <f>E131*F131</f>
        <v>63430.576</v>
      </c>
      <c r="H131" s="32">
        <v>82601.11</v>
      </c>
      <c r="I131" s="103">
        <f>E131*H131</f>
        <v>4823904.824</v>
      </c>
      <c r="J131" s="34" t="s">
        <v>120</v>
      </c>
      <c r="K131" s="74" t="s">
        <v>148</v>
      </c>
      <c r="L131" s="45"/>
      <c r="M131" s="44"/>
      <c r="N131" s="41"/>
      <c r="O131" s="41"/>
      <c r="P131" s="45"/>
      <c r="Q131" s="44"/>
      <c r="R131" s="41"/>
      <c r="S131" s="41"/>
      <c r="T131" s="41"/>
      <c r="U131" s="45"/>
    </row>
    <row r="132" spans="1:21">
      <c r="A132" s="44">
        <f>A131+1</f>
        <v>122</v>
      </c>
      <c r="B132" s="72">
        <v>46167</v>
      </c>
      <c r="C132" s="111">
        <v>40003434</v>
      </c>
      <c r="D132" s="111">
        <v>73121105</v>
      </c>
      <c r="E132" s="112">
        <v>58.55</v>
      </c>
      <c r="F132" s="42">
        <v>1086.14</v>
      </c>
      <c r="G132" s="102">
        <f>E132*F132</f>
        <v>63593.497</v>
      </c>
      <c r="H132" s="32">
        <v>82601.11</v>
      </c>
      <c r="I132" s="103">
        <f>E132*H132</f>
        <v>4836294.9905</v>
      </c>
      <c r="J132" s="34" t="s">
        <v>120</v>
      </c>
      <c r="K132" s="74" t="s">
        <v>148</v>
      </c>
      <c r="L132" s="45"/>
      <c r="M132" s="44"/>
      <c r="N132" s="41"/>
      <c r="O132" s="41"/>
      <c r="P132" s="45"/>
      <c r="Q132" s="44"/>
      <c r="R132" s="41"/>
      <c r="S132" s="41"/>
      <c r="T132" s="41"/>
      <c r="U132" s="45"/>
    </row>
    <row r="133" spans="1:21">
      <c r="A133" s="44">
        <f>A132+1</f>
        <v>123</v>
      </c>
      <c r="B133" s="72">
        <v>46167</v>
      </c>
      <c r="C133" s="111">
        <v>40003434</v>
      </c>
      <c r="D133" s="111">
        <v>73122558</v>
      </c>
      <c r="E133" s="112">
        <v>58.65</v>
      </c>
      <c r="F133" s="42">
        <v>1086.14</v>
      </c>
      <c r="G133" s="102">
        <f>E133*F133</f>
        <v>63702.111</v>
      </c>
      <c r="H133" s="32">
        <v>82601.11</v>
      </c>
      <c r="I133" s="103">
        <f>E133*H133</f>
        <v>4844555.1015</v>
      </c>
      <c r="J133" s="34" t="s">
        <v>120</v>
      </c>
      <c r="K133" s="74" t="s">
        <v>148</v>
      </c>
      <c r="L133" s="45"/>
      <c r="M133" s="44"/>
      <c r="N133" s="41"/>
      <c r="O133" s="41"/>
      <c r="P133" s="45"/>
      <c r="Q133" s="44"/>
      <c r="R133" s="41"/>
      <c r="S133" s="41"/>
      <c r="T133" s="41"/>
      <c r="U133" s="45"/>
    </row>
    <row r="134" spans="1:21">
      <c r="A134" s="44">
        <f>A133+1</f>
        <v>124</v>
      </c>
      <c r="B134" s="72">
        <v>46167</v>
      </c>
      <c r="C134" s="111">
        <v>40003434</v>
      </c>
      <c r="D134" s="111">
        <v>73133878</v>
      </c>
      <c r="E134" s="112">
        <v>58.45</v>
      </c>
      <c r="F134" s="42">
        <v>1086.14</v>
      </c>
      <c r="G134" s="102">
        <f>E134*F134</f>
        <v>63484.883</v>
      </c>
      <c r="H134" s="32">
        <v>82601.11</v>
      </c>
      <c r="I134" s="103">
        <f>E134*H134</f>
        <v>4828034.8795</v>
      </c>
      <c r="J134" s="34" t="s">
        <v>120</v>
      </c>
      <c r="K134" s="74" t="s">
        <v>148</v>
      </c>
      <c r="L134" s="45"/>
      <c r="M134" s="44"/>
      <c r="N134" s="41"/>
      <c r="O134" s="41"/>
      <c r="P134" s="45"/>
      <c r="Q134" s="44"/>
      <c r="R134" s="41"/>
      <c r="S134" s="41"/>
      <c r="T134" s="41"/>
      <c r="U134" s="45"/>
    </row>
    <row r="135" spans="1:21">
      <c r="A135" s="44">
        <f>A134+1</f>
        <v>125</v>
      </c>
      <c r="B135" s="72">
        <v>46167</v>
      </c>
      <c r="C135" s="111">
        <v>40003434</v>
      </c>
      <c r="D135" s="111">
        <v>73145054</v>
      </c>
      <c r="E135" s="112">
        <v>58.45</v>
      </c>
      <c r="F135" s="42">
        <v>1086.14</v>
      </c>
      <c r="G135" s="102">
        <f>E135*F135</f>
        <v>63484.883</v>
      </c>
      <c r="H135" s="32">
        <v>82601.11</v>
      </c>
      <c r="I135" s="103">
        <f>E135*H135</f>
        <v>4828034.8795</v>
      </c>
      <c r="J135" s="34" t="s">
        <v>120</v>
      </c>
      <c r="K135" s="74" t="s">
        <v>148</v>
      </c>
      <c r="L135" s="45"/>
      <c r="M135" s="44"/>
      <c r="N135" s="41"/>
      <c r="O135" s="41"/>
      <c r="P135" s="45"/>
      <c r="Q135" s="44"/>
      <c r="R135" s="41"/>
      <c r="S135" s="41"/>
      <c r="T135" s="41"/>
      <c r="U135" s="45"/>
    </row>
    <row r="136" spans="1:21">
      <c r="A136" s="44">
        <f>A135+1</f>
        <v>126</v>
      </c>
      <c r="B136" s="72">
        <v>46167</v>
      </c>
      <c r="C136" s="111">
        <v>40003434</v>
      </c>
      <c r="D136" s="111">
        <v>73162059</v>
      </c>
      <c r="E136" s="112">
        <v>58.4</v>
      </c>
      <c r="F136" s="42">
        <v>1086.14</v>
      </c>
      <c r="G136" s="102">
        <f>E136*F136</f>
        <v>63430.576</v>
      </c>
      <c r="H136" s="32">
        <v>82601.11</v>
      </c>
      <c r="I136" s="103">
        <f>E136*H136</f>
        <v>4823904.824</v>
      </c>
      <c r="J136" s="34" t="s">
        <v>120</v>
      </c>
      <c r="K136" s="74" t="s">
        <v>148</v>
      </c>
      <c r="L136" s="45"/>
      <c r="M136" s="44"/>
      <c r="N136" s="41"/>
      <c r="O136" s="41"/>
      <c r="P136" s="45"/>
      <c r="Q136" s="44"/>
      <c r="R136" s="41"/>
      <c r="S136" s="41"/>
      <c r="T136" s="41"/>
      <c r="U136" s="45"/>
    </row>
    <row r="137" spans="1:21">
      <c r="A137" s="44">
        <f>A136+1</f>
        <v>127</v>
      </c>
      <c r="B137" s="72">
        <v>46167</v>
      </c>
      <c r="C137" s="111">
        <v>40003434</v>
      </c>
      <c r="D137" s="111">
        <v>73183261</v>
      </c>
      <c r="E137" s="112">
        <v>58.2</v>
      </c>
      <c r="F137" s="42">
        <v>1086.14</v>
      </c>
      <c r="G137" s="102">
        <f>E137*F137</f>
        <v>63213.348</v>
      </c>
      <c r="H137" s="32">
        <v>82601.11</v>
      </c>
      <c r="I137" s="103">
        <f>E137*H137</f>
        <v>4807384.602</v>
      </c>
      <c r="J137" s="34" t="s">
        <v>120</v>
      </c>
      <c r="K137" s="74" t="s">
        <v>148</v>
      </c>
      <c r="L137" s="45"/>
      <c r="M137" s="44"/>
      <c r="N137" s="41"/>
      <c r="O137" s="41"/>
      <c r="P137" s="45"/>
      <c r="Q137" s="44"/>
      <c r="R137" s="41"/>
      <c r="S137" s="41"/>
      <c r="T137" s="41"/>
      <c r="U137" s="45"/>
    </row>
    <row r="138" spans="1:21">
      <c r="A138" s="44">
        <f>A137+1</f>
        <v>128</v>
      </c>
      <c r="B138" s="72">
        <v>46167</v>
      </c>
      <c r="C138" s="111">
        <v>40003434</v>
      </c>
      <c r="D138" s="111">
        <v>73217556</v>
      </c>
      <c r="E138" s="112">
        <v>58.25</v>
      </c>
      <c r="F138" s="42">
        <v>1086.14</v>
      </c>
      <c r="G138" s="102">
        <f>E138*F138</f>
        <v>63267.655</v>
      </c>
      <c r="H138" s="32">
        <v>82601.11</v>
      </c>
      <c r="I138" s="103">
        <f>E138*H138</f>
        <v>4811514.6575</v>
      </c>
      <c r="J138" s="34" t="s">
        <v>120</v>
      </c>
      <c r="K138" s="74" t="s">
        <v>148</v>
      </c>
      <c r="L138" s="45"/>
      <c r="M138" s="44"/>
      <c r="N138" s="41"/>
      <c r="O138" s="41"/>
      <c r="P138" s="45"/>
      <c r="Q138" s="44"/>
      <c r="R138" s="41"/>
      <c r="S138" s="41"/>
      <c r="T138" s="41"/>
      <c r="U138" s="45"/>
    </row>
    <row r="139" spans="1:21">
      <c r="A139" s="44">
        <f>A138+1</f>
        <v>129</v>
      </c>
      <c r="B139" s="72">
        <v>46167</v>
      </c>
      <c r="C139" s="111">
        <v>40003434</v>
      </c>
      <c r="D139" s="111">
        <v>73219164</v>
      </c>
      <c r="E139" s="112">
        <v>58.4</v>
      </c>
      <c r="F139" s="42">
        <v>1086.14</v>
      </c>
      <c r="G139" s="102">
        <f>E139*F139</f>
        <v>63430.576</v>
      </c>
      <c r="H139" s="32">
        <v>82601.11</v>
      </c>
      <c r="I139" s="103">
        <f>E139*H139</f>
        <v>4823904.824</v>
      </c>
      <c r="J139" s="34" t="s">
        <v>120</v>
      </c>
      <c r="K139" s="74" t="s">
        <v>148</v>
      </c>
      <c r="L139" s="45"/>
      <c r="M139" s="44"/>
      <c r="N139" s="41"/>
      <c r="O139" s="41"/>
      <c r="P139" s="45"/>
      <c r="Q139" s="44"/>
      <c r="R139" s="41"/>
      <c r="S139" s="41"/>
      <c r="T139" s="41"/>
      <c r="U139" s="45"/>
    </row>
    <row r="140" spans="1:21">
      <c r="A140" s="44">
        <f>A139+1</f>
        <v>130</v>
      </c>
      <c r="B140" s="72">
        <v>46167</v>
      </c>
      <c r="C140" s="111">
        <v>40003434</v>
      </c>
      <c r="D140" s="111">
        <v>73240152</v>
      </c>
      <c r="E140" s="112">
        <v>58.45</v>
      </c>
      <c r="F140" s="42">
        <v>1086.14</v>
      </c>
      <c r="G140" s="102">
        <f>E140*F140</f>
        <v>63484.883</v>
      </c>
      <c r="H140" s="32">
        <v>82601.11</v>
      </c>
      <c r="I140" s="103">
        <f>E140*H140</f>
        <v>4828034.8795</v>
      </c>
      <c r="J140" s="34" t="s">
        <v>120</v>
      </c>
      <c r="K140" s="74" t="s">
        <v>148</v>
      </c>
      <c r="L140" s="45"/>
      <c r="M140" s="44"/>
      <c r="N140" s="41"/>
      <c r="O140" s="41"/>
      <c r="P140" s="45"/>
      <c r="Q140" s="44"/>
      <c r="R140" s="41"/>
      <c r="S140" s="41"/>
      <c r="T140" s="41"/>
      <c r="U140" s="45"/>
    </row>
    <row r="141" spans="1:21">
      <c r="A141" s="44">
        <f>A140+1</f>
        <v>131</v>
      </c>
      <c r="B141" s="72">
        <v>46167</v>
      </c>
      <c r="C141" s="111">
        <v>40003434</v>
      </c>
      <c r="D141" s="111">
        <v>73240251</v>
      </c>
      <c r="E141" s="112">
        <v>58.25</v>
      </c>
      <c r="F141" s="42">
        <v>1086.14</v>
      </c>
      <c r="G141" s="102">
        <f>E141*F141</f>
        <v>63267.655</v>
      </c>
      <c r="H141" s="32">
        <v>82601.11</v>
      </c>
      <c r="I141" s="103">
        <f>E141*H141</f>
        <v>4811514.6575</v>
      </c>
      <c r="J141" s="34" t="s">
        <v>120</v>
      </c>
      <c r="K141" s="74" t="s">
        <v>148</v>
      </c>
      <c r="L141" s="45"/>
      <c r="M141" s="44"/>
      <c r="N141" s="41"/>
      <c r="O141" s="41"/>
      <c r="P141" s="45"/>
      <c r="Q141" s="44"/>
      <c r="R141" s="41"/>
      <c r="S141" s="41"/>
      <c r="T141" s="41"/>
      <c r="U141" s="45"/>
    </row>
    <row r="142" spans="1:21">
      <c r="A142" s="44">
        <f>A141+1</f>
        <v>132</v>
      </c>
      <c r="B142" s="72">
        <v>46167</v>
      </c>
      <c r="C142" s="111">
        <v>40003434</v>
      </c>
      <c r="D142" s="111">
        <v>75223933</v>
      </c>
      <c r="E142" s="112">
        <v>58.65</v>
      </c>
      <c r="F142" s="42">
        <v>1086.14</v>
      </c>
      <c r="G142" s="102">
        <f>E142*F142</f>
        <v>63702.111</v>
      </c>
      <c r="H142" s="32">
        <v>82601.11</v>
      </c>
      <c r="I142" s="103">
        <f>E142*H142</f>
        <v>4844555.1015</v>
      </c>
      <c r="J142" s="34" t="s">
        <v>120</v>
      </c>
      <c r="K142" s="74" t="s">
        <v>148</v>
      </c>
      <c r="L142" s="45"/>
      <c r="M142" s="44"/>
      <c r="N142" s="41"/>
      <c r="O142" s="41"/>
      <c r="P142" s="45"/>
      <c r="Q142" s="44"/>
      <c r="R142" s="41"/>
      <c r="S142" s="41"/>
      <c r="T142" s="41"/>
      <c r="U142" s="45"/>
    </row>
    <row r="143" spans="1:21">
      <c r="A143" s="44">
        <f>A142+1</f>
        <v>133</v>
      </c>
      <c r="B143" s="72">
        <v>46167</v>
      </c>
      <c r="C143" s="111">
        <v>40003434</v>
      </c>
      <c r="D143" s="111">
        <v>75319053</v>
      </c>
      <c r="E143" s="112">
        <v>58.8</v>
      </c>
      <c r="F143" s="42">
        <v>1086.14</v>
      </c>
      <c r="G143" s="102">
        <f>E143*F143</f>
        <v>63865.032</v>
      </c>
      <c r="H143" s="32">
        <v>82601.11</v>
      </c>
      <c r="I143" s="103">
        <f>E143*H143</f>
        <v>4856945.268</v>
      </c>
      <c r="J143" s="34" t="s">
        <v>120</v>
      </c>
      <c r="K143" s="74" t="s">
        <v>148</v>
      </c>
      <c r="L143" s="45"/>
      <c r="M143" s="44"/>
      <c r="N143" s="41"/>
      <c r="O143" s="41"/>
      <c r="P143" s="45"/>
      <c r="Q143" s="44"/>
      <c r="R143" s="41"/>
      <c r="S143" s="41"/>
      <c r="T143" s="41"/>
      <c r="U143" s="45"/>
    </row>
    <row r="144" ht="15.75" spans="1:21">
      <c r="A144" s="75">
        <f>A143+1</f>
        <v>134</v>
      </c>
      <c r="B144" s="76">
        <v>46167</v>
      </c>
      <c r="C144" s="113">
        <v>40003434</v>
      </c>
      <c r="D144" s="113">
        <v>76982792</v>
      </c>
      <c r="E144" s="114">
        <v>58.7</v>
      </c>
      <c r="F144" s="123">
        <v>1086.14</v>
      </c>
      <c r="G144" s="105">
        <f>E144*F144</f>
        <v>63756.418</v>
      </c>
      <c r="H144" s="49">
        <v>82601.11</v>
      </c>
      <c r="I144" s="106">
        <f>E144*H144</f>
        <v>4848685.157</v>
      </c>
      <c r="J144" s="81" t="s">
        <v>120</v>
      </c>
      <c r="K144" s="82" t="s">
        <v>148</v>
      </c>
      <c r="L144" s="91"/>
      <c r="M144" s="51"/>
      <c r="N144" s="52"/>
      <c r="O144" s="52"/>
      <c r="P144" s="53"/>
      <c r="Q144" s="51"/>
      <c r="R144" s="52"/>
      <c r="S144" s="52"/>
      <c r="T144" s="52"/>
      <c r="U144" s="53"/>
    </row>
    <row r="145" ht="15.75" spans="1:21">
      <c r="A145" s="55"/>
      <c r="B145" s="56"/>
      <c r="C145" s="56"/>
      <c r="D145" s="56"/>
      <c r="E145" s="57">
        <f>SUM(E125:E144)</f>
        <v>1169.8</v>
      </c>
      <c r="F145" s="58"/>
      <c r="G145" s="59">
        <f>SUM(G125:G144)</f>
        <v>1270566.572</v>
      </c>
      <c r="H145" s="58"/>
      <c r="I145" s="60">
        <f>SUM(I125:I144)</f>
        <v>96626778.478</v>
      </c>
      <c r="J145" s="56"/>
      <c r="K145" s="92"/>
      <c r="L145" s="93"/>
      <c r="M145" s="85"/>
      <c r="N145" s="86"/>
      <c r="O145" s="86"/>
      <c r="P145" s="87"/>
      <c r="Q145" s="88"/>
      <c r="R145" s="86"/>
      <c r="S145" s="86"/>
      <c r="T145" s="86"/>
      <c r="U145" s="87"/>
    </row>
    <row r="146" spans="1:21">
      <c r="A146" s="26">
        <v>135</v>
      </c>
      <c r="B146" s="96">
        <v>46169</v>
      </c>
      <c r="C146" s="124" t="s">
        <v>158</v>
      </c>
      <c r="D146" s="125" t="s">
        <v>159</v>
      </c>
      <c r="E146" s="126">
        <v>58.85</v>
      </c>
      <c r="F146" s="30">
        <v>1086.14</v>
      </c>
      <c r="G146" s="31">
        <f>E146*F146</f>
        <v>63919.339</v>
      </c>
      <c r="H146" s="69">
        <v>82601.11</v>
      </c>
      <c r="I146" s="33">
        <f>E146*H146</f>
        <v>4861075.3235</v>
      </c>
      <c r="J146" s="70" t="s">
        <v>120</v>
      </c>
      <c r="K146" s="71" t="s">
        <v>148</v>
      </c>
      <c r="L146" s="95"/>
      <c r="M146" s="37"/>
      <c r="N146" s="38"/>
      <c r="O146" s="38"/>
      <c r="P146" s="39"/>
      <c r="Q146" s="37"/>
      <c r="R146" s="38"/>
      <c r="S146" s="38"/>
      <c r="T146" s="38"/>
      <c r="U146" s="39"/>
    </row>
    <row r="147" spans="1:21">
      <c r="A147" s="44">
        <f>A146+1</f>
        <v>136</v>
      </c>
      <c r="B147" s="72">
        <v>46169</v>
      </c>
      <c r="C147" s="127" t="s">
        <v>158</v>
      </c>
      <c r="D147" s="127" t="s">
        <v>160</v>
      </c>
      <c r="E147" s="128">
        <v>59.95</v>
      </c>
      <c r="F147" s="42">
        <v>1086.14</v>
      </c>
      <c r="G147" s="102">
        <f>E147*F147</f>
        <v>65114.093</v>
      </c>
      <c r="H147" s="32">
        <v>82601.11</v>
      </c>
      <c r="I147" s="103">
        <f>E147*H147</f>
        <v>4951936.5445</v>
      </c>
      <c r="J147" s="34" t="s">
        <v>120</v>
      </c>
      <c r="K147" s="74" t="s">
        <v>148</v>
      </c>
      <c r="L147" s="89"/>
      <c r="M147" s="44"/>
      <c r="N147" s="41"/>
      <c r="O147" s="41"/>
      <c r="P147" s="45"/>
      <c r="Q147" s="44"/>
      <c r="R147" s="41"/>
      <c r="S147" s="41"/>
      <c r="T147" s="41"/>
      <c r="U147" s="45"/>
    </row>
    <row r="148" spans="1:21">
      <c r="A148" s="44">
        <f>A147+1</f>
        <v>137</v>
      </c>
      <c r="B148" s="72">
        <v>46169</v>
      </c>
      <c r="C148" s="127" t="s">
        <v>158</v>
      </c>
      <c r="D148" s="127" t="s">
        <v>161</v>
      </c>
      <c r="E148" s="128">
        <v>60.3</v>
      </c>
      <c r="F148" s="42">
        <v>1086.14</v>
      </c>
      <c r="G148" s="102">
        <f>E148*F148</f>
        <v>65494.242</v>
      </c>
      <c r="H148" s="32">
        <v>82601.11</v>
      </c>
      <c r="I148" s="103">
        <f>E148*H148</f>
        <v>4980846.933</v>
      </c>
      <c r="J148" s="34" t="s">
        <v>120</v>
      </c>
      <c r="K148" s="74" t="s">
        <v>148</v>
      </c>
      <c r="L148" s="89"/>
      <c r="M148" s="44"/>
      <c r="N148" s="41"/>
      <c r="O148" s="41"/>
      <c r="P148" s="45"/>
      <c r="Q148" s="44"/>
      <c r="R148" s="41"/>
      <c r="S148" s="41"/>
      <c r="T148" s="41"/>
      <c r="U148" s="45"/>
    </row>
    <row r="149" spans="1:21">
      <c r="A149" s="44">
        <f>A148+1</f>
        <v>138</v>
      </c>
      <c r="B149" s="72">
        <v>46169</v>
      </c>
      <c r="C149" s="127" t="s">
        <v>158</v>
      </c>
      <c r="D149" s="127" t="s">
        <v>162</v>
      </c>
      <c r="E149" s="128">
        <v>60.25</v>
      </c>
      <c r="F149" s="42">
        <v>1086.14</v>
      </c>
      <c r="G149" s="102">
        <f>E149*F149</f>
        <v>65439.935</v>
      </c>
      <c r="H149" s="32">
        <v>82601.11</v>
      </c>
      <c r="I149" s="103">
        <f>E149*H149</f>
        <v>4976716.8775</v>
      </c>
      <c r="J149" s="34" t="s">
        <v>120</v>
      </c>
      <c r="K149" s="74" t="s">
        <v>148</v>
      </c>
      <c r="L149" s="89"/>
      <c r="M149" s="44"/>
      <c r="N149" s="41"/>
      <c r="O149" s="41"/>
      <c r="P149" s="45"/>
      <c r="Q149" s="44"/>
      <c r="R149" s="41"/>
      <c r="S149" s="41"/>
      <c r="T149" s="41"/>
      <c r="U149" s="45"/>
    </row>
    <row r="150" ht="15.75" spans="1:21">
      <c r="A150" s="75">
        <f>A149+1</f>
        <v>139</v>
      </c>
      <c r="B150" s="76">
        <v>46169</v>
      </c>
      <c r="C150" s="129" t="s">
        <v>158</v>
      </c>
      <c r="D150" s="129" t="s">
        <v>163</v>
      </c>
      <c r="E150" s="130">
        <v>60.25</v>
      </c>
      <c r="F150" s="42">
        <v>1086.14</v>
      </c>
      <c r="G150" s="105">
        <f>E150*F150</f>
        <v>65439.935</v>
      </c>
      <c r="H150" s="49">
        <v>82601.11</v>
      </c>
      <c r="I150" s="106">
        <f>E150*H150</f>
        <v>4976716.8775</v>
      </c>
      <c r="J150" s="81" t="s">
        <v>120</v>
      </c>
      <c r="K150" s="82" t="s">
        <v>148</v>
      </c>
      <c r="L150" s="90"/>
      <c r="M150" s="51"/>
      <c r="N150" s="52"/>
      <c r="O150" s="52"/>
      <c r="P150" s="53"/>
      <c r="Q150" s="51"/>
      <c r="R150" s="52"/>
      <c r="S150" s="52"/>
      <c r="T150" s="52"/>
      <c r="U150" s="53"/>
    </row>
    <row r="151" ht="15.75" spans="1:21">
      <c r="A151" s="55"/>
      <c r="B151" s="56"/>
      <c r="C151" s="56"/>
      <c r="D151" s="56"/>
      <c r="E151" s="57">
        <f>SUM(E146:E150)</f>
        <v>299.6</v>
      </c>
      <c r="F151" s="58"/>
      <c r="G151" s="59">
        <f>SUM(G146:G150)</f>
        <v>325407.544</v>
      </c>
      <c r="H151" s="58"/>
      <c r="I151" s="60">
        <f>SUM(I146:I150)</f>
        <v>24747292.556</v>
      </c>
      <c r="J151" s="56"/>
      <c r="K151" s="92"/>
      <c r="L151" s="93"/>
      <c r="M151" s="85"/>
      <c r="N151" s="86"/>
      <c r="O151" s="86"/>
      <c r="P151" s="87"/>
      <c r="Q151" s="88"/>
      <c r="R151" s="86"/>
      <c r="S151" s="86"/>
      <c r="T151" s="86"/>
      <c r="U151" s="87"/>
    </row>
    <row r="152" spans="1:21">
      <c r="A152" s="67">
        <v>140</v>
      </c>
      <c r="B152" s="27">
        <v>46170</v>
      </c>
      <c r="C152" s="124" t="s">
        <v>164</v>
      </c>
      <c r="D152" s="125" t="s">
        <v>165</v>
      </c>
      <c r="E152" s="126">
        <v>58.5</v>
      </c>
      <c r="F152" s="42">
        <v>1086.14</v>
      </c>
      <c r="G152" s="31">
        <f>E152*F152</f>
        <v>63539.19</v>
      </c>
      <c r="H152" s="69">
        <v>82601.11</v>
      </c>
      <c r="I152" s="33">
        <f>E152*H152</f>
        <v>4832164.935</v>
      </c>
      <c r="J152" s="70" t="s">
        <v>120</v>
      </c>
      <c r="K152" s="71" t="s">
        <v>148</v>
      </c>
      <c r="L152" s="95"/>
      <c r="M152" s="37"/>
      <c r="N152" s="38"/>
      <c r="O152" s="38"/>
      <c r="P152" s="39"/>
      <c r="Q152" s="37"/>
      <c r="R152" s="38"/>
      <c r="S152" s="38"/>
      <c r="T152" s="38"/>
      <c r="U152" s="39"/>
    </row>
    <row r="153" spans="1:21">
      <c r="A153" s="41">
        <f>A152+1</f>
        <v>141</v>
      </c>
      <c r="B153" s="72">
        <v>46170</v>
      </c>
      <c r="C153" s="127" t="s">
        <v>164</v>
      </c>
      <c r="D153" s="127" t="s">
        <v>166</v>
      </c>
      <c r="E153" s="128">
        <v>50.4</v>
      </c>
      <c r="F153" s="42">
        <v>1086.14</v>
      </c>
      <c r="G153" s="102">
        <f>E153*F153</f>
        <v>54741.456</v>
      </c>
      <c r="H153" s="32">
        <v>82601.11</v>
      </c>
      <c r="I153" s="103">
        <f>E153*H153</f>
        <v>4163095.944</v>
      </c>
      <c r="J153" s="34" t="s">
        <v>120</v>
      </c>
      <c r="K153" s="74" t="s">
        <v>148</v>
      </c>
      <c r="L153" s="89"/>
      <c r="M153" s="44"/>
      <c r="N153" s="41"/>
      <c r="O153" s="41"/>
      <c r="P153" s="45"/>
      <c r="Q153" s="44"/>
      <c r="R153" s="41"/>
      <c r="S153" s="41"/>
      <c r="T153" s="41"/>
      <c r="U153" s="45"/>
    </row>
    <row r="154" spans="1:21">
      <c r="A154" s="41">
        <f>A153+1</f>
        <v>142</v>
      </c>
      <c r="B154" s="72">
        <v>46170</v>
      </c>
      <c r="C154" s="127" t="s">
        <v>164</v>
      </c>
      <c r="D154" s="127" t="s">
        <v>167</v>
      </c>
      <c r="E154" s="128">
        <v>58.9</v>
      </c>
      <c r="F154" s="42">
        <v>1086.14</v>
      </c>
      <c r="G154" s="102">
        <f>E154*F154</f>
        <v>63973.646</v>
      </c>
      <c r="H154" s="32">
        <v>82601.11</v>
      </c>
      <c r="I154" s="103">
        <f>E154*H154</f>
        <v>4865205.379</v>
      </c>
      <c r="J154" s="34" t="s">
        <v>120</v>
      </c>
      <c r="K154" s="74" t="s">
        <v>148</v>
      </c>
      <c r="L154" s="89"/>
      <c r="M154" s="44"/>
      <c r="N154" s="41"/>
      <c r="O154" s="41"/>
      <c r="P154" s="45"/>
      <c r="Q154" s="44"/>
      <c r="R154" s="41"/>
      <c r="S154" s="41"/>
      <c r="T154" s="41"/>
      <c r="U154" s="45"/>
    </row>
    <row r="155" spans="1:21">
      <c r="A155" s="41">
        <f>A154+1</f>
        <v>143</v>
      </c>
      <c r="B155" s="72">
        <v>46170</v>
      </c>
      <c r="C155" s="127" t="s">
        <v>164</v>
      </c>
      <c r="D155" s="127" t="s">
        <v>168</v>
      </c>
      <c r="E155" s="128">
        <v>58.4</v>
      </c>
      <c r="F155" s="42">
        <v>1086.14</v>
      </c>
      <c r="G155" s="102">
        <f>E155*F155</f>
        <v>63430.576</v>
      </c>
      <c r="H155" s="32">
        <v>82601.11</v>
      </c>
      <c r="I155" s="103">
        <f>E155*H155</f>
        <v>4823904.824</v>
      </c>
      <c r="J155" s="34" t="s">
        <v>120</v>
      </c>
      <c r="K155" s="74" t="s">
        <v>148</v>
      </c>
      <c r="L155" s="89"/>
      <c r="M155" s="44"/>
      <c r="N155" s="41"/>
      <c r="O155" s="41"/>
      <c r="P155" s="45"/>
      <c r="Q155" s="44"/>
      <c r="R155" s="41"/>
      <c r="S155" s="41"/>
      <c r="T155" s="41"/>
      <c r="U155" s="45"/>
    </row>
    <row r="156" spans="1:21">
      <c r="A156" s="41">
        <f>A155+1</f>
        <v>144</v>
      </c>
      <c r="B156" s="72">
        <v>46170</v>
      </c>
      <c r="C156" s="127" t="s">
        <v>164</v>
      </c>
      <c r="D156" s="127" t="s">
        <v>169</v>
      </c>
      <c r="E156" s="128">
        <v>58.3</v>
      </c>
      <c r="F156" s="42">
        <v>1086.14</v>
      </c>
      <c r="G156" s="102">
        <f>E156*F156</f>
        <v>63321.962</v>
      </c>
      <c r="H156" s="32">
        <v>82601.11</v>
      </c>
      <c r="I156" s="103">
        <f>E156*H156</f>
        <v>4815644.713</v>
      </c>
      <c r="J156" s="34" t="s">
        <v>120</v>
      </c>
      <c r="K156" s="74" t="s">
        <v>148</v>
      </c>
      <c r="L156" s="89"/>
      <c r="M156" s="44"/>
      <c r="N156" s="41"/>
      <c r="O156" s="41"/>
      <c r="P156" s="45"/>
      <c r="Q156" s="44"/>
      <c r="R156" s="41"/>
      <c r="S156" s="41"/>
      <c r="T156" s="41"/>
      <c r="U156" s="45"/>
    </row>
    <row r="157" spans="1:21">
      <c r="A157" s="41">
        <f>A156+1</f>
        <v>145</v>
      </c>
      <c r="B157" s="72">
        <v>46170</v>
      </c>
      <c r="C157" s="127" t="s">
        <v>164</v>
      </c>
      <c r="D157" s="127" t="s">
        <v>170</v>
      </c>
      <c r="E157" s="128">
        <v>58.4</v>
      </c>
      <c r="F157" s="42">
        <v>1086.14</v>
      </c>
      <c r="G157" s="102">
        <f>E157*F157</f>
        <v>63430.576</v>
      </c>
      <c r="H157" s="32">
        <v>82601.11</v>
      </c>
      <c r="I157" s="103">
        <f>E157*H157</f>
        <v>4823904.824</v>
      </c>
      <c r="J157" s="34" t="s">
        <v>120</v>
      </c>
      <c r="K157" s="74" t="s">
        <v>148</v>
      </c>
      <c r="L157" s="89"/>
      <c r="M157" s="44"/>
      <c r="N157" s="41"/>
      <c r="O157" s="41"/>
      <c r="P157" s="45"/>
      <c r="Q157" s="44"/>
      <c r="R157" s="41"/>
      <c r="S157" s="41"/>
      <c r="T157" s="41"/>
      <c r="U157" s="45"/>
    </row>
    <row r="158" spans="1:21">
      <c r="A158" s="41">
        <f>A157+1</f>
        <v>146</v>
      </c>
      <c r="B158" s="72">
        <v>46170</v>
      </c>
      <c r="C158" s="127" t="s">
        <v>164</v>
      </c>
      <c r="D158" s="127" t="s">
        <v>171</v>
      </c>
      <c r="E158" s="128">
        <v>58.95</v>
      </c>
      <c r="F158" s="42">
        <v>1086.14</v>
      </c>
      <c r="G158" s="102">
        <f>E158*F158</f>
        <v>64027.953</v>
      </c>
      <c r="H158" s="32">
        <v>82601.11</v>
      </c>
      <c r="I158" s="103">
        <f>E158*H158</f>
        <v>4869335.4345</v>
      </c>
      <c r="J158" s="34" t="s">
        <v>120</v>
      </c>
      <c r="K158" s="74" t="s">
        <v>148</v>
      </c>
      <c r="L158" s="89"/>
      <c r="M158" s="44"/>
      <c r="N158" s="41"/>
      <c r="O158" s="41"/>
      <c r="P158" s="45"/>
      <c r="Q158" s="44"/>
      <c r="R158" s="41"/>
      <c r="S158" s="41"/>
      <c r="T158" s="41"/>
      <c r="U158" s="45"/>
    </row>
    <row r="159" spans="1:21">
      <c r="A159" s="41">
        <f>A158+1</f>
        <v>147</v>
      </c>
      <c r="B159" s="72">
        <v>46170</v>
      </c>
      <c r="C159" s="127" t="s">
        <v>164</v>
      </c>
      <c r="D159" s="127" t="s">
        <v>172</v>
      </c>
      <c r="E159" s="128">
        <v>58.9</v>
      </c>
      <c r="F159" s="42">
        <v>1086.14</v>
      </c>
      <c r="G159" s="102">
        <f>E159*F159</f>
        <v>63973.646</v>
      </c>
      <c r="H159" s="32">
        <v>82601.11</v>
      </c>
      <c r="I159" s="103">
        <f>E159*H159</f>
        <v>4865205.379</v>
      </c>
      <c r="J159" s="34" t="s">
        <v>120</v>
      </c>
      <c r="K159" s="74" t="s">
        <v>148</v>
      </c>
      <c r="L159" s="89"/>
      <c r="M159" s="44"/>
      <c r="N159" s="41"/>
      <c r="O159" s="41"/>
      <c r="P159" s="45"/>
      <c r="Q159" s="44"/>
      <c r="R159" s="41"/>
      <c r="S159" s="41"/>
      <c r="T159" s="41"/>
      <c r="U159" s="45"/>
    </row>
    <row r="160" spans="1:21">
      <c r="A160" s="41">
        <f>A159+1</f>
        <v>148</v>
      </c>
      <c r="B160" s="72">
        <v>46170</v>
      </c>
      <c r="C160" s="127" t="s">
        <v>164</v>
      </c>
      <c r="D160" s="127" t="s">
        <v>173</v>
      </c>
      <c r="E160" s="128">
        <v>59</v>
      </c>
      <c r="F160" s="42">
        <v>1086.14</v>
      </c>
      <c r="G160" s="102">
        <f>E160*F160</f>
        <v>64082.26</v>
      </c>
      <c r="H160" s="32">
        <v>82601.11</v>
      </c>
      <c r="I160" s="103">
        <f>E160*H160</f>
        <v>4873465.49</v>
      </c>
      <c r="J160" s="34" t="s">
        <v>120</v>
      </c>
      <c r="K160" s="74" t="s">
        <v>148</v>
      </c>
      <c r="L160" s="89"/>
      <c r="M160" s="44"/>
      <c r="N160" s="41"/>
      <c r="O160" s="41"/>
      <c r="P160" s="45"/>
      <c r="Q160" s="44"/>
      <c r="R160" s="41"/>
      <c r="S160" s="41"/>
      <c r="T160" s="41"/>
      <c r="U160" s="45"/>
    </row>
    <row r="161" spans="1:21">
      <c r="A161" s="41">
        <f>A160+1</f>
        <v>149</v>
      </c>
      <c r="B161" s="72">
        <v>46170</v>
      </c>
      <c r="C161" s="127" t="s">
        <v>164</v>
      </c>
      <c r="D161" s="127" t="s">
        <v>174</v>
      </c>
      <c r="E161" s="128">
        <v>59</v>
      </c>
      <c r="F161" s="42">
        <v>1086.14</v>
      </c>
      <c r="G161" s="102">
        <f>E161*F161</f>
        <v>64082.26</v>
      </c>
      <c r="H161" s="32">
        <v>82601.11</v>
      </c>
      <c r="I161" s="103">
        <f>E161*H161</f>
        <v>4873465.49</v>
      </c>
      <c r="J161" s="34" t="s">
        <v>120</v>
      </c>
      <c r="K161" s="74" t="s">
        <v>148</v>
      </c>
      <c r="L161" s="89"/>
      <c r="M161" s="44"/>
      <c r="N161" s="41"/>
      <c r="O161" s="41"/>
      <c r="P161" s="45"/>
      <c r="Q161" s="44"/>
      <c r="R161" s="41"/>
      <c r="S161" s="41"/>
      <c r="T161" s="41"/>
      <c r="U161" s="45"/>
    </row>
    <row r="162" spans="1:21">
      <c r="A162" s="41">
        <f>A161+1</f>
        <v>150</v>
      </c>
      <c r="B162" s="72">
        <v>46170</v>
      </c>
      <c r="C162" s="127" t="s">
        <v>164</v>
      </c>
      <c r="D162" s="127" t="s">
        <v>175</v>
      </c>
      <c r="E162" s="128">
        <v>58.95</v>
      </c>
      <c r="F162" s="42">
        <v>1086.14</v>
      </c>
      <c r="G162" s="102">
        <f>E162*F162</f>
        <v>64027.953</v>
      </c>
      <c r="H162" s="32">
        <v>82601.11</v>
      </c>
      <c r="I162" s="103">
        <f>E162*H162</f>
        <v>4869335.4345</v>
      </c>
      <c r="J162" s="34" t="s">
        <v>120</v>
      </c>
      <c r="K162" s="74" t="s">
        <v>148</v>
      </c>
      <c r="L162" s="89"/>
      <c r="M162" s="44"/>
      <c r="N162" s="41"/>
      <c r="O162" s="41"/>
      <c r="P162" s="45"/>
      <c r="Q162" s="44"/>
      <c r="R162" s="41"/>
      <c r="S162" s="41"/>
      <c r="T162" s="41"/>
      <c r="U162" s="45"/>
    </row>
    <row r="163" spans="1:21">
      <c r="A163" s="41">
        <f>A162+1</f>
        <v>151</v>
      </c>
      <c r="B163" s="72">
        <v>46170</v>
      </c>
      <c r="C163" s="127" t="s">
        <v>164</v>
      </c>
      <c r="D163" s="127" t="s">
        <v>176</v>
      </c>
      <c r="E163" s="128">
        <v>58.9</v>
      </c>
      <c r="F163" s="42">
        <v>1086.14</v>
      </c>
      <c r="G163" s="102">
        <f>E163*F163</f>
        <v>63973.646</v>
      </c>
      <c r="H163" s="32">
        <v>82601.11</v>
      </c>
      <c r="I163" s="103">
        <f>E163*H163</f>
        <v>4865205.379</v>
      </c>
      <c r="J163" s="34" t="s">
        <v>120</v>
      </c>
      <c r="K163" s="74" t="s">
        <v>148</v>
      </c>
      <c r="L163" s="89"/>
      <c r="M163" s="44"/>
      <c r="N163" s="41"/>
      <c r="O163" s="41"/>
      <c r="P163" s="45"/>
      <c r="Q163" s="44"/>
      <c r="R163" s="41"/>
      <c r="S163" s="41"/>
      <c r="T163" s="41"/>
      <c r="U163" s="45"/>
    </row>
    <row r="164" spans="1:21">
      <c r="A164" s="41">
        <f>A163+1</f>
        <v>152</v>
      </c>
      <c r="B164" s="72">
        <v>46170</v>
      </c>
      <c r="C164" s="127" t="s">
        <v>164</v>
      </c>
      <c r="D164" s="127" t="s">
        <v>177</v>
      </c>
      <c r="E164" s="128">
        <v>58.95</v>
      </c>
      <c r="F164" s="42">
        <v>1086.14</v>
      </c>
      <c r="G164" s="102">
        <f>E164*F164</f>
        <v>64027.953</v>
      </c>
      <c r="H164" s="32">
        <v>82601.11</v>
      </c>
      <c r="I164" s="103">
        <f>E164*H164</f>
        <v>4869335.4345</v>
      </c>
      <c r="J164" s="34" t="s">
        <v>120</v>
      </c>
      <c r="K164" s="74" t="s">
        <v>148</v>
      </c>
      <c r="L164" s="89"/>
      <c r="M164" s="44"/>
      <c r="N164" s="41"/>
      <c r="O164" s="41"/>
      <c r="P164" s="45"/>
      <c r="Q164" s="44"/>
      <c r="R164" s="41"/>
      <c r="S164" s="41"/>
      <c r="T164" s="41"/>
      <c r="U164" s="45"/>
    </row>
    <row r="165" spans="1:21">
      <c r="A165" s="41">
        <f>A164+1</f>
        <v>153</v>
      </c>
      <c r="B165" s="72">
        <v>46170</v>
      </c>
      <c r="C165" s="127" t="s">
        <v>164</v>
      </c>
      <c r="D165" s="127" t="s">
        <v>178</v>
      </c>
      <c r="E165" s="128">
        <v>58.95</v>
      </c>
      <c r="F165" s="42">
        <v>1086.14</v>
      </c>
      <c r="G165" s="102">
        <f>E165*F165</f>
        <v>64027.953</v>
      </c>
      <c r="H165" s="32">
        <v>82601.11</v>
      </c>
      <c r="I165" s="103">
        <f>E165*H165</f>
        <v>4869335.4345</v>
      </c>
      <c r="J165" s="34" t="s">
        <v>120</v>
      </c>
      <c r="K165" s="74" t="s">
        <v>148</v>
      </c>
      <c r="L165" s="89"/>
      <c r="M165" s="44"/>
      <c r="N165" s="41"/>
      <c r="O165" s="41"/>
      <c r="P165" s="45"/>
      <c r="Q165" s="44"/>
      <c r="R165" s="41"/>
      <c r="S165" s="41"/>
      <c r="T165" s="41"/>
      <c r="U165" s="45"/>
    </row>
    <row r="166" spans="1:21">
      <c r="A166" s="41">
        <f>A165+1</f>
        <v>154</v>
      </c>
      <c r="B166" s="72">
        <v>46170</v>
      </c>
      <c r="C166" s="127" t="s">
        <v>164</v>
      </c>
      <c r="D166" s="127" t="s">
        <v>179</v>
      </c>
      <c r="E166" s="128">
        <v>58.9</v>
      </c>
      <c r="F166" s="42">
        <v>1086.14</v>
      </c>
      <c r="G166" s="102">
        <f>E166*F166</f>
        <v>63973.646</v>
      </c>
      <c r="H166" s="32">
        <v>82601.11</v>
      </c>
      <c r="I166" s="103">
        <f>E166*H166</f>
        <v>4865205.379</v>
      </c>
      <c r="J166" s="34" t="s">
        <v>120</v>
      </c>
      <c r="K166" s="74" t="s">
        <v>148</v>
      </c>
      <c r="L166" s="89"/>
      <c r="M166" s="44"/>
      <c r="N166" s="41"/>
      <c r="O166" s="41"/>
      <c r="P166" s="45"/>
      <c r="Q166" s="44"/>
      <c r="R166" s="41"/>
      <c r="S166" s="41"/>
      <c r="T166" s="41"/>
      <c r="U166" s="45"/>
    </row>
    <row r="167" spans="1:21">
      <c r="A167" s="41">
        <f>A166+1</f>
        <v>155</v>
      </c>
      <c r="B167" s="72">
        <v>46170</v>
      </c>
      <c r="C167" s="127" t="s">
        <v>164</v>
      </c>
      <c r="D167" s="127" t="s">
        <v>180</v>
      </c>
      <c r="E167" s="128">
        <v>59.1</v>
      </c>
      <c r="F167" s="42">
        <v>1086.14</v>
      </c>
      <c r="G167" s="102">
        <f>E167*F167</f>
        <v>64190.874</v>
      </c>
      <c r="H167" s="32">
        <v>82601.11</v>
      </c>
      <c r="I167" s="103">
        <f>E167*H167</f>
        <v>4881725.601</v>
      </c>
      <c r="J167" s="34" t="s">
        <v>120</v>
      </c>
      <c r="K167" s="74" t="s">
        <v>148</v>
      </c>
      <c r="L167" s="89"/>
      <c r="M167" s="44"/>
      <c r="N167" s="41"/>
      <c r="O167" s="41"/>
      <c r="P167" s="45"/>
      <c r="Q167" s="44"/>
      <c r="R167" s="41"/>
      <c r="S167" s="41"/>
      <c r="T167" s="41"/>
      <c r="U167" s="45"/>
    </row>
    <row r="168" spans="1:21">
      <c r="A168" s="41">
        <f>A167+1</f>
        <v>156</v>
      </c>
      <c r="B168" s="72">
        <v>46170</v>
      </c>
      <c r="C168" s="127" t="s">
        <v>164</v>
      </c>
      <c r="D168" s="127" t="s">
        <v>181</v>
      </c>
      <c r="E168" s="128">
        <v>58.85</v>
      </c>
      <c r="F168" s="42">
        <v>1086.14</v>
      </c>
      <c r="G168" s="102">
        <f>E168*F168</f>
        <v>63919.339</v>
      </c>
      <c r="H168" s="32">
        <v>82601.11</v>
      </c>
      <c r="I168" s="103">
        <f>E168*H168</f>
        <v>4861075.3235</v>
      </c>
      <c r="J168" s="34" t="s">
        <v>120</v>
      </c>
      <c r="K168" s="74" t="s">
        <v>148</v>
      </c>
      <c r="L168" s="89"/>
      <c r="M168" s="44"/>
      <c r="N168" s="41"/>
      <c r="O168" s="41"/>
      <c r="P168" s="45"/>
      <c r="Q168" s="44"/>
      <c r="R168" s="41"/>
      <c r="S168" s="41"/>
      <c r="T168" s="41"/>
      <c r="U168" s="45"/>
    </row>
    <row r="169" spans="1:21">
      <c r="A169" s="41">
        <f>A168+1</f>
        <v>157</v>
      </c>
      <c r="B169" s="72">
        <v>46170</v>
      </c>
      <c r="C169" s="127" t="s">
        <v>164</v>
      </c>
      <c r="D169" s="127" t="s">
        <v>182</v>
      </c>
      <c r="E169" s="128">
        <v>59.5</v>
      </c>
      <c r="F169" s="42">
        <v>1086.14</v>
      </c>
      <c r="G169" s="102">
        <f>E169*F169</f>
        <v>64625.33</v>
      </c>
      <c r="H169" s="32">
        <v>82601.11</v>
      </c>
      <c r="I169" s="103">
        <f>E169*H169</f>
        <v>4914766.045</v>
      </c>
      <c r="J169" s="34" t="s">
        <v>120</v>
      </c>
      <c r="K169" s="74" t="s">
        <v>148</v>
      </c>
      <c r="L169" s="89"/>
      <c r="M169" s="44"/>
      <c r="N169" s="41"/>
      <c r="O169" s="41"/>
      <c r="P169" s="45"/>
      <c r="Q169" s="44"/>
      <c r="R169" s="41"/>
      <c r="S169" s="41"/>
      <c r="T169" s="41"/>
      <c r="U169" s="45"/>
    </row>
    <row r="170" spans="1:21">
      <c r="A170" s="41">
        <f>A169+1</f>
        <v>158</v>
      </c>
      <c r="B170" s="72">
        <v>46170</v>
      </c>
      <c r="C170" s="127" t="s">
        <v>164</v>
      </c>
      <c r="D170" s="127" t="s">
        <v>183</v>
      </c>
      <c r="E170" s="128">
        <v>59.55</v>
      </c>
      <c r="F170" s="42">
        <v>1086.14</v>
      </c>
      <c r="G170" s="102">
        <f>E170*F170</f>
        <v>64679.637</v>
      </c>
      <c r="H170" s="32">
        <v>82601.11</v>
      </c>
      <c r="I170" s="103">
        <f>E170*H170</f>
        <v>4918896.1005</v>
      </c>
      <c r="J170" s="34" t="s">
        <v>120</v>
      </c>
      <c r="K170" s="74" t="s">
        <v>148</v>
      </c>
      <c r="L170" s="89"/>
      <c r="M170" s="44"/>
      <c r="N170" s="41"/>
      <c r="O170" s="41"/>
      <c r="P170" s="45"/>
      <c r="Q170" s="44"/>
      <c r="R170" s="41"/>
      <c r="S170" s="41"/>
      <c r="T170" s="41"/>
      <c r="U170" s="45"/>
    </row>
    <row r="171" spans="1:21">
      <c r="A171" s="41">
        <f>A170+1</f>
        <v>159</v>
      </c>
      <c r="B171" s="72">
        <v>46170</v>
      </c>
      <c r="C171" s="127" t="s">
        <v>164</v>
      </c>
      <c r="D171" s="127" t="s">
        <v>184</v>
      </c>
      <c r="E171" s="128">
        <v>59.5</v>
      </c>
      <c r="F171" s="42">
        <v>1086.14</v>
      </c>
      <c r="G171" s="102">
        <f>E171*F171</f>
        <v>64625.33</v>
      </c>
      <c r="H171" s="32">
        <v>82601.11</v>
      </c>
      <c r="I171" s="103">
        <f>E171*H171</f>
        <v>4914766.045</v>
      </c>
      <c r="J171" s="34" t="s">
        <v>120</v>
      </c>
      <c r="K171" s="74" t="s">
        <v>148</v>
      </c>
      <c r="L171" s="89"/>
      <c r="M171" s="44"/>
      <c r="N171" s="41"/>
      <c r="O171" s="41"/>
      <c r="P171" s="45"/>
      <c r="Q171" s="44"/>
      <c r="R171" s="41"/>
      <c r="S171" s="41"/>
      <c r="T171" s="41"/>
      <c r="U171" s="45"/>
    </row>
    <row r="172" spans="1:21">
      <c r="A172" s="26">
        <v>160</v>
      </c>
      <c r="B172" s="96">
        <v>46170</v>
      </c>
      <c r="C172" s="124" t="s">
        <v>185</v>
      </c>
      <c r="D172" s="125" t="s">
        <v>186</v>
      </c>
      <c r="E172" s="126">
        <v>58.4</v>
      </c>
      <c r="F172" s="30">
        <v>1086.14</v>
      </c>
      <c r="G172" s="31">
        <f>E172*F172</f>
        <v>63430.576</v>
      </c>
      <c r="H172" s="69">
        <v>82601.11</v>
      </c>
      <c r="I172" s="33">
        <f>E172*H172</f>
        <v>4823904.824</v>
      </c>
      <c r="J172" s="70" t="s">
        <v>120</v>
      </c>
      <c r="K172" s="71" t="s">
        <v>148</v>
      </c>
      <c r="L172" s="98"/>
      <c r="M172" s="26"/>
      <c r="N172" s="67"/>
      <c r="O172" s="67"/>
      <c r="P172" s="98"/>
      <c r="Q172" s="26"/>
      <c r="R172" s="67"/>
      <c r="S172" s="67"/>
      <c r="T172" s="67"/>
      <c r="U172" s="98"/>
    </row>
    <row r="173" spans="1:21">
      <c r="A173" s="44">
        <f>A172+1</f>
        <v>161</v>
      </c>
      <c r="B173" s="72">
        <v>46170</v>
      </c>
      <c r="C173" s="127" t="s">
        <v>185</v>
      </c>
      <c r="D173" s="127" t="s">
        <v>187</v>
      </c>
      <c r="E173" s="128">
        <v>58.6</v>
      </c>
      <c r="F173" s="42">
        <v>1086.14</v>
      </c>
      <c r="G173" s="102">
        <f>E173*F173</f>
        <v>63647.804</v>
      </c>
      <c r="H173" s="32">
        <v>82601.11</v>
      </c>
      <c r="I173" s="103">
        <f>E173*H173</f>
        <v>4840425.046</v>
      </c>
      <c r="J173" s="34" t="s">
        <v>120</v>
      </c>
      <c r="K173" s="74" t="s">
        <v>148</v>
      </c>
      <c r="L173" s="45"/>
      <c r="M173" s="44"/>
      <c r="N173" s="41"/>
      <c r="O173" s="41"/>
      <c r="P173" s="45"/>
      <c r="Q173" s="44"/>
      <c r="R173" s="41"/>
      <c r="S173" s="41"/>
      <c r="T173" s="41"/>
      <c r="U173" s="45"/>
    </row>
    <row r="174" spans="1:21">
      <c r="A174" s="44">
        <f>A173+1</f>
        <v>162</v>
      </c>
      <c r="B174" s="72">
        <v>46170</v>
      </c>
      <c r="C174" s="127" t="s">
        <v>185</v>
      </c>
      <c r="D174" s="127" t="s">
        <v>188</v>
      </c>
      <c r="E174" s="128">
        <v>58.5</v>
      </c>
      <c r="F174" s="42">
        <v>1086.14</v>
      </c>
      <c r="G174" s="102">
        <f>E174*F174</f>
        <v>63539.19</v>
      </c>
      <c r="H174" s="32">
        <v>82601.11</v>
      </c>
      <c r="I174" s="103">
        <f>E174*H174</f>
        <v>4832164.935</v>
      </c>
      <c r="J174" s="34" t="s">
        <v>120</v>
      </c>
      <c r="K174" s="74" t="s">
        <v>148</v>
      </c>
      <c r="L174" s="45"/>
      <c r="M174" s="44"/>
      <c r="N174" s="41"/>
      <c r="O174" s="41"/>
      <c r="P174" s="45"/>
      <c r="Q174" s="44"/>
      <c r="R174" s="41"/>
      <c r="S174" s="41"/>
      <c r="T174" s="41"/>
      <c r="U174" s="45"/>
    </row>
    <row r="175" spans="1:21">
      <c r="A175" s="44">
        <f>A174+1</f>
        <v>163</v>
      </c>
      <c r="B175" s="72">
        <v>46170</v>
      </c>
      <c r="C175" s="127" t="s">
        <v>185</v>
      </c>
      <c r="D175" s="127" t="s">
        <v>189</v>
      </c>
      <c r="E175" s="128">
        <v>58.95</v>
      </c>
      <c r="F175" s="42">
        <v>1086.14</v>
      </c>
      <c r="G175" s="102">
        <f>E175*F175</f>
        <v>64027.953</v>
      </c>
      <c r="H175" s="32">
        <v>82601.11</v>
      </c>
      <c r="I175" s="103">
        <f>E175*H175</f>
        <v>4869335.4345</v>
      </c>
      <c r="J175" s="34" t="s">
        <v>120</v>
      </c>
      <c r="K175" s="74" t="s">
        <v>148</v>
      </c>
      <c r="L175" s="45"/>
      <c r="M175" s="44"/>
      <c r="N175" s="41"/>
      <c r="O175" s="41"/>
      <c r="P175" s="45"/>
      <c r="Q175" s="44"/>
      <c r="R175" s="41"/>
      <c r="S175" s="41"/>
      <c r="T175" s="41"/>
      <c r="U175" s="45"/>
    </row>
    <row r="176" spans="1:21">
      <c r="A176" s="44">
        <f>A175+1</f>
        <v>164</v>
      </c>
      <c r="B176" s="72">
        <v>46170</v>
      </c>
      <c r="C176" s="127" t="s">
        <v>185</v>
      </c>
      <c r="D176" s="127" t="s">
        <v>190</v>
      </c>
      <c r="E176" s="128">
        <v>58.95</v>
      </c>
      <c r="F176" s="42">
        <v>1086.14</v>
      </c>
      <c r="G176" s="102">
        <f>E176*F176</f>
        <v>64027.953</v>
      </c>
      <c r="H176" s="32">
        <v>82601.11</v>
      </c>
      <c r="I176" s="103">
        <f>E176*H176</f>
        <v>4869335.4345</v>
      </c>
      <c r="J176" s="34" t="s">
        <v>120</v>
      </c>
      <c r="K176" s="74" t="s">
        <v>148</v>
      </c>
      <c r="L176" s="45"/>
      <c r="M176" s="44"/>
      <c r="N176" s="41"/>
      <c r="O176" s="41"/>
      <c r="P176" s="45"/>
      <c r="Q176" s="44"/>
      <c r="R176" s="41"/>
      <c r="S176" s="41"/>
      <c r="T176" s="41"/>
      <c r="U176" s="45"/>
    </row>
    <row r="177" spans="1:21">
      <c r="A177" s="44">
        <f>A176+1</f>
        <v>165</v>
      </c>
      <c r="B177" s="72">
        <v>46170</v>
      </c>
      <c r="C177" s="127" t="s">
        <v>185</v>
      </c>
      <c r="D177" s="127" t="s">
        <v>191</v>
      </c>
      <c r="E177" s="128">
        <v>58.9</v>
      </c>
      <c r="F177" s="42">
        <v>1086.14</v>
      </c>
      <c r="G177" s="102">
        <f>E177*F177</f>
        <v>63973.646</v>
      </c>
      <c r="H177" s="32">
        <v>82601.11</v>
      </c>
      <c r="I177" s="103">
        <f>E177*H177</f>
        <v>4865205.379</v>
      </c>
      <c r="J177" s="34" t="s">
        <v>120</v>
      </c>
      <c r="K177" s="74" t="s">
        <v>148</v>
      </c>
      <c r="L177" s="45"/>
      <c r="M177" s="44"/>
      <c r="N177" s="41"/>
      <c r="O177" s="41"/>
      <c r="P177" s="45"/>
      <c r="Q177" s="44"/>
      <c r="R177" s="41"/>
      <c r="S177" s="41"/>
      <c r="T177" s="41"/>
      <c r="U177" s="45"/>
    </row>
    <row r="178" spans="1:21">
      <c r="A178" s="44">
        <f>A177+1</f>
        <v>166</v>
      </c>
      <c r="B178" s="72">
        <v>46170</v>
      </c>
      <c r="C178" s="127" t="s">
        <v>185</v>
      </c>
      <c r="D178" s="127" t="s">
        <v>192</v>
      </c>
      <c r="E178" s="128">
        <v>59.15</v>
      </c>
      <c r="F178" s="42">
        <v>1086.14</v>
      </c>
      <c r="G178" s="102">
        <f>E178*F178</f>
        <v>64245.181</v>
      </c>
      <c r="H178" s="32">
        <v>82601.11</v>
      </c>
      <c r="I178" s="103">
        <f>E178*H178</f>
        <v>4885855.6565</v>
      </c>
      <c r="J178" s="34" t="s">
        <v>120</v>
      </c>
      <c r="K178" s="74" t="s">
        <v>148</v>
      </c>
      <c r="L178" s="45"/>
      <c r="M178" s="44"/>
      <c r="N178" s="41"/>
      <c r="O178" s="41"/>
      <c r="P178" s="45"/>
      <c r="Q178" s="44"/>
      <c r="R178" s="41"/>
      <c r="S178" s="41"/>
      <c r="T178" s="41"/>
      <c r="U178" s="45"/>
    </row>
    <row r="179" spans="1:21">
      <c r="A179" s="44">
        <f>A178+1</f>
        <v>167</v>
      </c>
      <c r="B179" s="72">
        <v>46170</v>
      </c>
      <c r="C179" s="127" t="s">
        <v>185</v>
      </c>
      <c r="D179" s="127" t="s">
        <v>193</v>
      </c>
      <c r="E179" s="128">
        <v>58.95</v>
      </c>
      <c r="F179" s="42">
        <v>1086.14</v>
      </c>
      <c r="G179" s="102">
        <f>E179*F179</f>
        <v>64027.953</v>
      </c>
      <c r="H179" s="32">
        <v>82601.11</v>
      </c>
      <c r="I179" s="103">
        <f>E179*H179</f>
        <v>4869335.4345</v>
      </c>
      <c r="J179" s="34" t="s">
        <v>120</v>
      </c>
      <c r="K179" s="74" t="s">
        <v>148</v>
      </c>
      <c r="L179" s="45"/>
      <c r="M179" s="44"/>
      <c r="N179" s="41"/>
      <c r="O179" s="41"/>
      <c r="P179" s="45"/>
      <c r="Q179" s="44"/>
      <c r="R179" s="41"/>
      <c r="S179" s="41"/>
      <c r="T179" s="41"/>
      <c r="U179" s="45"/>
    </row>
    <row r="180" spans="1:21">
      <c r="A180" s="44">
        <f>A179+1</f>
        <v>168</v>
      </c>
      <c r="B180" s="72">
        <v>46170</v>
      </c>
      <c r="C180" s="127" t="s">
        <v>185</v>
      </c>
      <c r="D180" s="127" t="s">
        <v>194</v>
      </c>
      <c r="E180" s="128">
        <v>58.85</v>
      </c>
      <c r="F180" s="42">
        <v>1086.14</v>
      </c>
      <c r="G180" s="102">
        <f>E180*F180</f>
        <v>63919.339</v>
      </c>
      <c r="H180" s="32">
        <v>82601.11</v>
      </c>
      <c r="I180" s="103">
        <f>E180*H180</f>
        <v>4861075.3235</v>
      </c>
      <c r="J180" s="34" t="s">
        <v>120</v>
      </c>
      <c r="K180" s="74" t="s">
        <v>148</v>
      </c>
      <c r="L180" s="45"/>
      <c r="M180" s="44"/>
      <c r="N180" s="41"/>
      <c r="O180" s="41"/>
      <c r="P180" s="45"/>
      <c r="Q180" s="44"/>
      <c r="R180" s="41"/>
      <c r="S180" s="41"/>
      <c r="T180" s="41"/>
      <c r="U180" s="45"/>
    </row>
    <row r="181" spans="1:21">
      <c r="A181" s="44">
        <f>A180+1</f>
        <v>169</v>
      </c>
      <c r="B181" s="72">
        <v>46170</v>
      </c>
      <c r="C181" s="127" t="s">
        <v>185</v>
      </c>
      <c r="D181" s="127" t="s">
        <v>195</v>
      </c>
      <c r="E181" s="128">
        <v>59.5</v>
      </c>
      <c r="F181" s="42">
        <v>1086.14</v>
      </c>
      <c r="G181" s="102">
        <f>E181*F181</f>
        <v>64625.33</v>
      </c>
      <c r="H181" s="32">
        <v>82601.11</v>
      </c>
      <c r="I181" s="103">
        <f>E181*H181</f>
        <v>4914766.045</v>
      </c>
      <c r="J181" s="34" t="s">
        <v>120</v>
      </c>
      <c r="K181" s="74" t="s">
        <v>148</v>
      </c>
      <c r="L181" s="45"/>
      <c r="M181" s="44"/>
      <c r="N181" s="41"/>
      <c r="O181" s="41"/>
      <c r="P181" s="45"/>
      <c r="Q181" s="44"/>
      <c r="R181" s="41"/>
      <c r="S181" s="41"/>
      <c r="T181" s="41"/>
      <c r="U181" s="45"/>
    </row>
    <row r="182" spans="1:21">
      <c r="A182" s="44">
        <f>A181+1</f>
        <v>170</v>
      </c>
      <c r="B182" s="72">
        <v>46170</v>
      </c>
      <c r="C182" s="127" t="s">
        <v>185</v>
      </c>
      <c r="D182" s="127" t="s">
        <v>196</v>
      </c>
      <c r="E182" s="128">
        <v>59.35</v>
      </c>
      <c r="F182" s="42">
        <v>1086.14</v>
      </c>
      <c r="G182" s="102">
        <f>E182*F182</f>
        <v>64462.409</v>
      </c>
      <c r="H182" s="32">
        <v>82601.11</v>
      </c>
      <c r="I182" s="103">
        <f>E182*H182</f>
        <v>4902375.8785</v>
      </c>
      <c r="J182" s="34" t="s">
        <v>120</v>
      </c>
      <c r="K182" s="74" t="s">
        <v>148</v>
      </c>
      <c r="L182" s="45"/>
      <c r="M182" s="44"/>
      <c r="N182" s="41"/>
      <c r="O182" s="41"/>
      <c r="P182" s="45"/>
      <c r="Q182" s="44"/>
      <c r="R182" s="41"/>
      <c r="S182" s="41"/>
      <c r="T182" s="41"/>
      <c r="U182" s="45"/>
    </row>
    <row r="183" spans="1:21">
      <c r="A183" s="44">
        <f>A182+1</f>
        <v>171</v>
      </c>
      <c r="B183" s="72">
        <v>46170</v>
      </c>
      <c r="C183" s="127" t="s">
        <v>185</v>
      </c>
      <c r="D183" s="127" t="s">
        <v>197</v>
      </c>
      <c r="E183" s="128">
        <v>59.55</v>
      </c>
      <c r="F183" s="42">
        <v>1086.14</v>
      </c>
      <c r="G183" s="102">
        <f>E183*F183</f>
        <v>64679.637</v>
      </c>
      <c r="H183" s="32">
        <v>82601.11</v>
      </c>
      <c r="I183" s="103">
        <f>E183*H183</f>
        <v>4918896.1005</v>
      </c>
      <c r="J183" s="34" t="s">
        <v>120</v>
      </c>
      <c r="K183" s="74" t="s">
        <v>148</v>
      </c>
      <c r="L183" s="45"/>
      <c r="M183" s="44"/>
      <c r="N183" s="41"/>
      <c r="O183" s="41"/>
      <c r="P183" s="45"/>
      <c r="Q183" s="44"/>
      <c r="R183" s="41"/>
      <c r="S183" s="41"/>
      <c r="T183" s="41"/>
      <c r="U183" s="45"/>
    </row>
    <row r="184" ht="15.75" spans="1:21">
      <c r="A184" s="75">
        <f>A183+1</f>
        <v>172</v>
      </c>
      <c r="B184" s="76">
        <v>46170</v>
      </c>
      <c r="C184" s="129" t="s">
        <v>185</v>
      </c>
      <c r="D184" s="129" t="s">
        <v>198</v>
      </c>
      <c r="E184" s="130">
        <v>59.7</v>
      </c>
      <c r="F184" s="123">
        <v>1086.14</v>
      </c>
      <c r="G184" s="105">
        <f>E184*F184</f>
        <v>64842.558</v>
      </c>
      <c r="H184" s="49">
        <v>82601.11</v>
      </c>
      <c r="I184" s="106">
        <f>E184*H184</f>
        <v>4931286.267</v>
      </c>
      <c r="J184" s="81" t="s">
        <v>120</v>
      </c>
      <c r="K184" s="82" t="s">
        <v>148</v>
      </c>
      <c r="L184" s="53"/>
      <c r="M184" s="51"/>
      <c r="N184" s="52"/>
      <c r="O184" s="52"/>
      <c r="P184" s="53"/>
      <c r="Q184" s="51"/>
      <c r="R184" s="52"/>
      <c r="S184" s="52"/>
      <c r="T184" s="52"/>
      <c r="U184" s="53"/>
    </row>
    <row r="185" ht="15.75" spans="1:21">
      <c r="A185" s="55"/>
      <c r="B185" s="56"/>
      <c r="C185" s="56"/>
      <c r="D185" s="56"/>
      <c r="E185" s="57">
        <f>SUM(E152:E184)</f>
        <v>1937.25</v>
      </c>
      <c r="F185" s="58"/>
      <c r="G185" s="59">
        <f>SUM(G152:G184)</f>
        <v>2104124.715</v>
      </c>
      <c r="H185" s="58"/>
      <c r="I185" s="60">
        <f>SUM(I152:I184)</f>
        <v>160019000.3475</v>
      </c>
      <c r="J185" s="56"/>
      <c r="K185" s="61"/>
      <c r="L185" s="131"/>
      <c r="M185" s="85"/>
      <c r="N185" s="86"/>
      <c r="O185" s="86"/>
      <c r="P185" s="87"/>
      <c r="Q185" s="88"/>
      <c r="R185" s="86"/>
      <c r="S185" s="86"/>
      <c r="T185" s="86"/>
      <c r="U185" s="87"/>
    </row>
    <row r="186" ht="15.75" spans="1:21">
      <c r="A186" s="132"/>
      <c r="B186" s="133"/>
      <c r="C186" s="133"/>
      <c r="D186" s="133"/>
      <c r="E186" s="134">
        <f>E25+E39+E58+E99+E108+E124+E145+E151+E185</f>
        <v>9985</v>
      </c>
      <c r="F186" s="135"/>
      <c r="G186" s="136">
        <f>G25+G39+G58+G99+G108+G124+G145+G151+G185</f>
        <v>10780537.1204737</v>
      </c>
      <c r="H186" s="135"/>
      <c r="I186" s="137">
        <f>I25+I39+I58+I99+I108+I124+I145+I151+I185</f>
        <v>819861447.3605</v>
      </c>
      <c r="J186" s="133"/>
      <c r="K186" s="138"/>
      <c r="L186" s="139"/>
      <c r="M186" s="132"/>
      <c r="N186" s="133"/>
      <c r="O186" s="133"/>
      <c r="P186" s="140"/>
      <c r="Q186" s="141"/>
      <c r="R186" s="133"/>
      <c r="S186" s="133"/>
      <c r="T186" s="133"/>
      <c r="U186" s="140"/>
    </row>
    <row r="187" ht="15.75"/>
    <row r="188" spans="1:21">
      <c r="B188" s="142" t="s">
        <v>124</v>
      </c>
      <c r="C188" s="143"/>
      <c r="D188" s="144"/>
      <c r="E188" s="145">
        <v>10000</v>
      </c>
    </row>
    <row r="189" spans="1:21">
      <c r="B189" s="146" t="s">
        <v>125</v>
      </c>
      <c r="C189" s="147"/>
      <c r="D189" s="148"/>
      <c r="E189" s="149">
        <f>E186</f>
        <v>9985</v>
      </c>
    </row>
    <row r="190" ht="15.75" spans="1:21">
      <c r="B190" s="150" t="s">
        <v>126</v>
      </c>
      <c r="C190" s="151"/>
      <c r="D190" s="152"/>
      <c r="E190" s="153">
        <f>E188-E189</f>
        <v>15</v>
      </c>
    </row>
  </sheetData>
  <mergeCells count="7">
    <mergeCell ref="A1:K1"/>
    <mergeCell ref="A2:K2"/>
    <mergeCell ref="T3:U3"/>
    <mergeCell ref="B188:D188"/>
    <mergeCell ref="B189:D189"/>
    <mergeCell ref="B190:D190"/>
    <mergeCell ref="T1:U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Account </vt:lpstr>
      <vt:lpstr>Rent </vt:lpstr>
      <vt:lpstr>14170 MT</vt:lpstr>
      <vt:lpstr>830 MT</vt:lpstr>
      <vt:lpstr> 34-M AI-92 -15000 MT </vt:lpstr>
      <vt:lpstr>35 - M -15000 MT Diesel</vt:lpstr>
      <vt:lpstr>37 - M -15000 MT Gasoline -70</vt:lpstr>
      <vt:lpstr>38 - M # 10000#APRIL -44</vt:lpstr>
      <vt:lpstr>39 - M # 10000 # MAY -41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PARSA COMPUTER</cp:lastModifiedBy>
  <dcterms:created xsi:type="dcterms:W3CDTF">2006-09-16T00:00:00Z</dcterms:created>
  <dcterms:modified xsi:type="dcterms:W3CDTF">2026-08-03T15:54:56Z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C9694247F6CA4694BA18E6B0F8743C7F_12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