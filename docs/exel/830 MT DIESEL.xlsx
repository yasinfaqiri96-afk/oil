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 folder\Contract\2026\BNK KHUMOR\"/>
    </mc:Choice>
  </mc:AlternateContent>
  <xr:revisionPtr revIDLastSave="0" documentId="13_ncr:1_{29DC5E12-81BE-4B0B-9104-11044F019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4" i="1" s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I6" i="1"/>
  <c r="G6" i="1"/>
  <c r="A6" i="1"/>
  <c r="I5" i="1"/>
  <c r="F5" i="1"/>
  <c r="G5" i="1" s="1"/>
</calcChain>
</file>

<file path=xl/sharedStrings.xml><?xml version="1.0" encoding="utf-8"?>
<sst xmlns="http://schemas.openxmlformats.org/spreadsheetml/2006/main" count="45" uniqueCount="18">
  <si>
    <t xml:space="preserve"> Contract BNK-KHM/9-4-12/140 dd 29.07.2022, between "BNK-FZCO" (UAE) and "KHUMOR" LLC (KYRGYZ REPUBLIC) </t>
  </si>
  <si>
    <t>ADDENDUM № 33-M dd 17.12.25 (FCA NOVOPOLOTSK)  830 mt</t>
  </si>
  <si>
    <t>-122,43$</t>
  </si>
  <si>
    <t>№</t>
  </si>
  <si>
    <t>Date</t>
  </si>
  <si>
    <t>RWB No</t>
  </si>
  <si>
    <t xml:space="preserve">Wagons No </t>
  </si>
  <si>
    <t>Loaded quantity (MT)</t>
  </si>
  <si>
    <t>Price in  December 01.12.25-31.12.25 $</t>
  </si>
  <si>
    <t>Total</t>
  </si>
  <si>
    <t xml:space="preserve">Fix price in rub </t>
  </si>
  <si>
    <t>Consignee</t>
  </si>
  <si>
    <t>Destination</t>
  </si>
  <si>
    <t>Terminal Ilinka</t>
  </si>
  <si>
    <t>Novopolotsk</t>
  </si>
  <si>
    <t>FULL TONNAGE</t>
  </si>
  <si>
    <t>LOADED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</si>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</sst>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"/>
    <numFmt numFmtId="165" formatCode="00000000"/>
    <numFmt numFmtId="166" formatCode="0.000"/>
    <numFmt numFmtId="167" formatCode="[$$-C09]#,##0.00"/>
    <numFmt numFmtId="168" formatCode="#,##0.00\ [$₽-419]"/>
    <numFmt numFmtId="169" formatCode="#,##0.000\ [$₽-419]"/>
    <numFmt numFmtId="170" formatCode="#,##0.00;[Red]#,##0.00"/>
    <numFmt numFmtId="171" formatCode="#,##0.000;[Red]#,##0.000"/>
  </numFmts>
  <fonts count="8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F8CBAD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 wrapText="1"/>
    </xf>
    <xf numFmtId="167" fontId="2" fillId="0" borderId="8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168" fontId="2" fillId="0" borderId="10" xfId="0" applyNumberFormat="1" applyFont="1" applyBorder="1" applyAlignment="1">
      <alignment horizontal="center" vertical="center"/>
    </xf>
    <xf numFmtId="169" fontId="2" fillId="0" borderId="6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 wrapText="1"/>
    </xf>
    <xf numFmtId="167" fontId="2" fillId="0" borderId="13" xfId="0" applyNumberFormat="1" applyFont="1" applyBorder="1" applyAlignment="1">
      <alignment horizontal="center"/>
    </xf>
    <xf numFmtId="168" fontId="2" fillId="0" borderId="12" xfId="0" applyNumberFormat="1" applyFont="1" applyBorder="1" applyAlignment="1">
      <alignment horizontal="center" vertical="center"/>
    </xf>
    <xf numFmtId="169" fontId="2" fillId="0" borderId="13" xfId="0" applyNumberFormat="1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67" fontId="2" fillId="0" borderId="12" xfId="0" applyNumberFormat="1" applyFont="1" applyBorder="1" applyAlignment="1">
      <alignment horizontal="center"/>
    </xf>
    <xf numFmtId="169" fontId="2" fillId="0" borderId="12" xfId="0" applyNumberFormat="1" applyFont="1" applyBorder="1" applyAlignment="1">
      <alignment horizontal="center"/>
    </xf>
    <xf numFmtId="167" fontId="6" fillId="0" borderId="14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/>
    </xf>
    <xf numFmtId="1" fontId="2" fillId="0" borderId="15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 wrapText="1"/>
    </xf>
    <xf numFmtId="168" fontId="2" fillId="0" borderId="16" xfId="0" applyNumberFormat="1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66" fontId="1" fillId="2" borderId="18" xfId="0" applyNumberFormat="1" applyFont="1" applyFill="1" applyBorder="1" applyAlignment="1">
      <alignment horizontal="center"/>
    </xf>
    <xf numFmtId="167" fontId="1" fillId="2" borderId="18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169" fontId="1" fillId="2" borderId="18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66" fontId="1" fillId="3" borderId="18" xfId="0" applyNumberFormat="1" applyFont="1" applyFill="1" applyBorder="1" applyAlignment="1">
      <alignment horizontal="center"/>
    </xf>
    <xf numFmtId="167" fontId="1" fillId="3" borderId="18" xfId="0" applyNumberFormat="1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169" fontId="1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170" fontId="1" fillId="0" borderId="23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71" fontId="1" fillId="0" borderId="27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71" fontId="7" fillId="0" borderId="3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fawad%20S%20G%20C/Downloads/Humor%20bnc%20(7).xlsx" TargetMode="External"/><Relationship Id="rId1" Type="http://schemas.openxmlformats.org/officeDocument/2006/relationships/externalLinkPath" Target="/Users/fawad%20S%20G%20C/Downloads/Humor%20bnc%20(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I-92-K5 -EURO"/>
      <sheetName val="ACCOUNT 2024-15M"/>
      <sheetName val="Add Agreement15-M-16"/>
      <sheetName val="Add Agreement M-17"/>
      <sheetName val="Add Agreement M-18"/>
      <sheetName val="Add Agreement M-19"/>
      <sheetName val="Add Agreement M-20"/>
      <sheetName val="Add Agreement M-21"/>
      <sheetName val="Add Agreement M-22"/>
      <sheetName val="23-М"/>
      <sheetName val="AddAgreement 24-C"/>
      <sheetName val="Add Agreement 25-H"/>
      <sheetName val="Add Agreement 26-M"/>
      <sheetName val="Add Agreement 27-M"/>
      <sheetName val="28-M"/>
      <sheetName val="29-H"/>
      <sheetName val="Add Agreement 30-M"/>
      <sheetName val="32-M"/>
      <sheetName val="33-М"/>
      <sheetName val="34-М"/>
      <sheetName val="Platts2025"/>
      <sheetName val="Acc AGR. M-16;17;18;19;20;21"/>
      <sheetName val="Vessels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4">
          <cell r="AD34">
            <v>651.88095238095241</v>
          </cell>
          <cell r="AH34">
            <v>634.76470588235293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10" workbookViewId="0">
      <selection activeCell="G22" sqref="G22"/>
    </sheetView>
  </sheetViews>
  <sheetFormatPr defaultRowHeight="15" x14ac:dyDescent="0.25"/>
  <cols>
    <col min="7" max="7" width="14" customWidth="1"/>
    <col min="8" max="8" width="16" customWidth="1"/>
    <col min="9" max="9" width="17.5703125" customWidth="1"/>
  </cols>
  <sheetData>
    <row r="1" spans="1:1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x14ac:dyDescent="0.25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5.75" thickBot="1" x14ac:dyDescent="0.3">
      <c r="A3" s="1"/>
      <c r="B3" s="1"/>
      <c r="C3" s="1"/>
      <c r="D3" s="1"/>
      <c r="E3" s="1"/>
      <c r="F3" s="2" t="s">
        <v>2</v>
      </c>
      <c r="G3" s="1"/>
      <c r="H3" s="3"/>
      <c r="I3" s="3"/>
      <c r="J3" s="1"/>
      <c r="K3" s="1"/>
    </row>
    <row r="4" spans="1:11" ht="105.75" thickBot="1" x14ac:dyDescent="0.3">
      <c r="A4" s="4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7" t="s">
        <v>8</v>
      </c>
      <c r="G4" s="7" t="s">
        <v>9</v>
      </c>
      <c r="H4" s="8" t="s">
        <v>10</v>
      </c>
      <c r="I4" s="8" t="s">
        <v>9</v>
      </c>
      <c r="J4" s="5" t="s">
        <v>11</v>
      </c>
      <c r="K4" s="9" t="s">
        <v>12</v>
      </c>
    </row>
    <row r="5" spans="1:11" ht="30" x14ac:dyDescent="0.25">
      <c r="A5" s="10">
        <v>1</v>
      </c>
      <c r="B5" s="11">
        <v>46031</v>
      </c>
      <c r="C5" s="12">
        <v>9983074</v>
      </c>
      <c r="D5" s="13">
        <v>50197284</v>
      </c>
      <c r="E5" s="14">
        <v>56.243000000000002</v>
      </c>
      <c r="F5" s="15">
        <f>[1]Platts2025!AH34-122.43</f>
        <v>512.33470588235286</v>
      </c>
      <c r="G5" s="16">
        <f>E5*F5</f>
        <v>28815.240862941173</v>
      </c>
      <c r="H5" s="17">
        <v>41508.94</v>
      </c>
      <c r="I5" s="18">
        <f>E5*H5</f>
        <v>2334587.3124200003</v>
      </c>
      <c r="J5" s="19" t="s">
        <v>13</v>
      </c>
      <c r="K5" s="20" t="s">
        <v>14</v>
      </c>
    </row>
    <row r="6" spans="1:11" ht="30" x14ac:dyDescent="0.25">
      <c r="A6" s="21">
        <f>A5+1</f>
        <v>2</v>
      </c>
      <c r="B6" s="22">
        <v>46031</v>
      </c>
      <c r="C6" s="23">
        <v>9983074</v>
      </c>
      <c r="D6" s="24">
        <v>51147684</v>
      </c>
      <c r="E6" s="25">
        <v>57.545999999999999</v>
      </c>
      <c r="F6" s="26">
        <v>488.82</v>
      </c>
      <c r="G6" s="26">
        <f t="shared" ref="G6:G18" si="0">E6*F6</f>
        <v>28129.635719999998</v>
      </c>
      <c r="H6" s="27">
        <v>41508.94</v>
      </c>
      <c r="I6" s="28">
        <f t="shared" ref="I6:I18" si="1">E6*H6</f>
        <v>2388673.4612400001</v>
      </c>
      <c r="J6" s="19" t="s">
        <v>13</v>
      </c>
      <c r="K6" s="20" t="s">
        <v>14</v>
      </c>
    </row>
    <row r="7" spans="1:11" ht="30" x14ac:dyDescent="0.25">
      <c r="A7" s="21">
        <f t="shared" ref="A7:A18" si="2">A6+1</f>
        <v>3</v>
      </c>
      <c r="B7" s="29">
        <v>46031</v>
      </c>
      <c r="C7" s="23">
        <v>9983074</v>
      </c>
      <c r="D7" s="24">
        <v>51867471</v>
      </c>
      <c r="E7" s="25">
        <v>57.445</v>
      </c>
      <c r="F7" s="30">
        <v>488.82</v>
      </c>
      <c r="G7" s="30">
        <f t="shared" si="0"/>
        <v>28080.264899999998</v>
      </c>
      <c r="H7" s="27">
        <v>41508.94</v>
      </c>
      <c r="I7" s="31">
        <f t="shared" si="1"/>
        <v>2384481.0583000001</v>
      </c>
      <c r="J7" s="32" t="s">
        <v>13</v>
      </c>
      <c r="K7" s="20" t="s">
        <v>14</v>
      </c>
    </row>
    <row r="8" spans="1:11" ht="30" x14ac:dyDescent="0.25">
      <c r="A8" s="21">
        <f t="shared" si="2"/>
        <v>4</v>
      </c>
      <c r="B8" s="29">
        <v>46031</v>
      </c>
      <c r="C8" s="23">
        <v>9983074</v>
      </c>
      <c r="D8" s="24">
        <v>57190753</v>
      </c>
      <c r="E8" s="25">
        <v>58.948</v>
      </c>
      <c r="F8" s="30">
        <v>488.82</v>
      </c>
      <c r="G8" s="30">
        <f t="shared" si="0"/>
        <v>28814.961360000001</v>
      </c>
      <c r="H8" s="27">
        <v>41508.94</v>
      </c>
      <c r="I8" s="31">
        <f t="shared" si="1"/>
        <v>2446868.9951200001</v>
      </c>
      <c r="J8" s="32" t="s">
        <v>13</v>
      </c>
      <c r="K8" s="20" t="s">
        <v>14</v>
      </c>
    </row>
    <row r="9" spans="1:11" ht="30" x14ac:dyDescent="0.25">
      <c r="A9" s="21">
        <f t="shared" si="2"/>
        <v>5</v>
      </c>
      <c r="B9" s="29">
        <v>46031</v>
      </c>
      <c r="C9" s="23">
        <v>9983074</v>
      </c>
      <c r="D9" s="24">
        <v>73901266</v>
      </c>
      <c r="E9" s="25">
        <v>57.344999999999999</v>
      </c>
      <c r="F9" s="30">
        <v>488.82</v>
      </c>
      <c r="G9" s="30">
        <f t="shared" si="0"/>
        <v>28031.382900000001</v>
      </c>
      <c r="H9" s="27">
        <v>41508.94</v>
      </c>
      <c r="I9" s="31">
        <f t="shared" si="1"/>
        <v>2380330.1643000003</v>
      </c>
      <c r="J9" s="32" t="s">
        <v>13</v>
      </c>
      <c r="K9" s="20" t="s">
        <v>14</v>
      </c>
    </row>
    <row r="10" spans="1:11" ht="30" x14ac:dyDescent="0.25">
      <c r="A10" s="21">
        <f t="shared" si="2"/>
        <v>6</v>
      </c>
      <c r="B10" s="29">
        <v>46031</v>
      </c>
      <c r="C10" s="23">
        <v>9983074</v>
      </c>
      <c r="D10" s="24">
        <v>75004127</v>
      </c>
      <c r="E10" s="25">
        <v>58.296999999999997</v>
      </c>
      <c r="F10" s="30">
        <v>488.82</v>
      </c>
      <c r="G10" s="30">
        <f t="shared" si="0"/>
        <v>28496.739539999999</v>
      </c>
      <c r="H10" s="27">
        <v>41508.94</v>
      </c>
      <c r="I10" s="31">
        <f t="shared" si="1"/>
        <v>2419846.6751799998</v>
      </c>
      <c r="J10" s="32" t="s">
        <v>13</v>
      </c>
      <c r="K10" s="20" t="s">
        <v>14</v>
      </c>
    </row>
    <row r="11" spans="1:11" ht="30" x14ac:dyDescent="0.25">
      <c r="A11" s="21">
        <f t="shared" si="2"/>
        <v>7</v>
      </c>
      <c r="B11" s="29">
        <v>46031</v>
      </c>
      <c r="C11" s="23">
        <v>9983074</v>
      </c>
      <c r="D11" s="24">
        <v>75671792</v>
      </c>
      <c r="E11" s="25">
        <v>60.600999999999999</v>
      </c>
      <c r="F11" s="30">
        <v>488.82</v>
      </c>
      <c r="G11" s="30">
        <f t="shared" si="0"/>
        <v>29622.980820000001</v>
      </c>
      <c r="H11" s="27">
        <v>41508.94</v>
      </c>
      <c r="I11" s="31">
        <f t="shared" si="1"/>
        <v>2515483.2729400001</v>
      </c>
      <c r="J11" s="32" t="s">
        <v>13</v>
      </c>
      <c r="K11" s="20" t="s">
        <v>14</v>
      </c>
    </row>
    <row r="12" spans="1:11" ht="30" x14ac:dyDescent="0.25">
      <c r="A12" s="21">
        <f t="shared" si="2"/>
        <v>8</v>
      </c>
      <c r="B12" s="29">
        <v>46031</v>
      </c>
      <c r="C12" s="23">
        <v>9983074</v>
      </c>
      <c r="D12" s="24">
        <v>75671990</v>
      </c>
      <c r="E12" s="25">
        <v>60</v>
      </c>
      <c r="F12" s="30">
        <v>488.82</v>
      </c>
      <c r="G12" s="30">
        <f t="shared" si="0"/>
        <v>29329.200000000001</v>
      </c>
      <c r="H12" s="27">
        <v>41508.94</v>
      </c>
      <c r="I12" s="31">
        <f t="shared" si="1"/>
        <v>2490536.4000000004</v>
      </c>
      <c r="J12" s="32" t="s">
        <v>13</v>
      </c>
      <c r="K12" s="20" t="s">
        <v>14</v>
      </c>
    </row>
    <row r="13" spans="1:11" ht="30" x14ac:dyDescent="0.25">
      <c r="A13" s="21">
        <f t="shared" si="2"/>
        <v>9</v>
      </c>
      <c r="B13" s="29">
        <v>46031</v>
      </c>
      <c r="C13" s="23">
        <v>9983074</v>
      </c>
      <c r="D13" s="24">
        <v>75672097</v>
      </c>
      <c r="E13" s="25">
        <v>60.600999999999999</v>
      </c>
      <c r="F13" s="30">
        <v>488.82</v>
      </c>
      <c r="G13" s="30">
        <f t="shared" si="0"/>
        <v>29622.980820000001</v>
      </c>
      <c r="H13" s="27">
        <v>41508.94</v>
      </c>
      <c r="I13" s="31">
        <f t="shared" si="1"/>
        <v>2515483.2729400001</v>
      </c>
      <c r="J13" s="32" t="s">
        <v>13</v>
      </c>
      <c r="K13" s="20" t="s">
        <v>14</v>
      </c>
    </row>
    <row r="14" spans="1:11" ht="30" x14ac:dyDescent="0.25">
      <c r="A14" s="21">
        <f t="shared" si="2"/>
        <v>10</v>
      </c>
      <c r="B14" s="29">
        <v>46031</v>
      </c>
      <c r="C14" s="23">
        <v>9983074</v>
      </c>
      <c r="D14" s="24">
        <v>75673293</v>
      </c>
      <c r="E14" s="25">
        <v>60.15</v>
      </c>
      <c r="F14" s="30">
        <v>488.82</v>
      </c>
      <c r="G14" s="30">
        <f t="shared" si="0"/>
        <v>29402.522999999997</v>
      </c>
      <c r="H14" s="27">
        <v>41508.94</v>
      </c>
      <c r="I14" s="31">
        <f t="shared" si="1"/>
        <v>2496762.7409999999</v>
      </c>
      <c r="J14" s="32" t="s">
        <v>13</v>
      </c>
      <c r="K14" s="20" t="s">
        <v>14</v>
      </c>
    </row>
    <row r="15" spans="1:11" ht="30" x14ac:dyDescent="0.25">
      <c r="A15" s="21">
        <f t="shared" si="2"/>
        <v>11</v>
      </c>
      <c r="B15" s="29">
        <v>46031</v>
      </c>
      <c r="C15" s="23">
        <v>9983074</v>
      </c>
      <c r="D15" s="24">
        <v>75673491</v>
      </c>
      <c r="E15" s="25">
        <v>60.551000000000002</v>
      </c>
      <c r="F15" s="30">
        <v>488.82</v>
      </c>
      <c r="G15" s="30">
        <f t="shared" si="0"/>
        <v>29598.539820000002</v>
      </c>
      <c r="H15" s="27">
        <v>41508.94</v>
      </c>
      <c r="I15" s="31">
        <f t="shared" si="1"/>
        <v>2513407.8259400004</v>
      </c>
      <c r="J15" s="32" t="s">
        <v>13</v>
      </c>
      <c r="K15" s="20" t="s">
        <v>14</v>
      </c>
    </row>
    <row r="16" spans="1:11" ht="30" x14ac:dyDescent="0.25">
      <c r="A16" s="21">
        <f t="shared" si="2"/>
        <v>12</v>
      </c>
      <c r="B16" s="29">
        <v>46031</v>
      </c>
      <c r="C16" s="23">
        <v>9983074</v>
      </c>
      <c r="D16" s="24">
        <v>75673590</v>
      </c>
      <c r="E16" s="25">
        <v>60.05</v>
      </c>
      <c r="F16" s="30">
        <v>488.82</v>
      </c>
      <c r="G16" s="30">
        <f t="shared" si="0"/>
        <v>29353.641</v>
      </c>
      <c r="H16" s="27">
        <v>41508.94</v>
      </c>
      <c r="I16" s="31">
        <f t="shared" si="1"/>
        <v>2492611.8470000001</v>
      </c>
      <c r="J16" s="32" t="s">
        <v>13</v>
      </c>
      <c r="K16" s="20" t="s">
        <v>14</v>
      </c>
    </row>
    <row r="17" spans="1:11" ht="30" x14ac:dyDescent="0.25">
      <c r="A17" s="21">
        <f t="shared" si="2"/>
        <v>13</v>
      </c>
      <c r="B17" s="29">
        <v>46031</v>
      </c>
      <c r="C17" s="23">
        <v>9983074</v>
      </c>
      <c r="D17" s="24">
        <v>75674390</v>
      </c>
      <c r="E17" s="25">
        <v>58.146999999999998</v>
      </c>
      <c r="F17" s="30">
        <v>488.82</v>
      </c>
      <c r="G17" s="30">
        <f t="shared" si="0"/>
        <v>28423.416539999998</v>
      </c>
      <c r="H17" s="27">
        <v>41508.94</v>
      </c>
      <c r="I17" s="31">
        <f t="shared" si="1"/>
        <v>2413620.3341800002</v>
      </c>
      <c r="J17" s="32" t="s">
        <v>13</v>
      </c>
      <c r="K17" s="20" t="s">
        <v>14</v>
      </c>
    </row>
    <row r="18" spans="1:11" ht="30.75" thickBot="1" x14ac:dyDescent="0.3">
      <c r="A18" s="21">
        <f t="shared" si="2"/>
        <v>14</v>
      </c>
      <c r="B18" s="22">
        <v>46031</v>
      </c>
      <c r="C18" s="33">
        <v>9983074</v>
      </c>
      <c r="D18" s="34">
        <v>75675298</v>
      </c>
      <c r="E18" s="35">
        <v>58.247</v>
      </c>
      <c r="F18" s="26">
        <v>488.82</v>
      </c>
      <c r="G18" s="26">
        <f t="shared" si="0"/>
        <v>28472.29854</v>
      </c>
      <c r="H18" s="36">
        <v>41508.94</v>
      </c>
      <c r="I18" s="28">
        <f t="shared" si="1"/>
        <v>2417771.2281800001</v>
      </c>
      <c r="J18" s="19" t="s">
        <v>13</v>
      </c>
      <c r="K18" s="20" t="s">
        <v>14</v>
      </c>
    </row>
    <row r="19" spans="1:11" ht="15.75" thickBot="1" x14ac:dyDescent="0.3">
      <c r="A19" s="37"/>
      <c r="B19" s="38"/>
      <c r="C19" s="38"/>
      <c r="D19" s="38"/>
      <c r="E19" s="39"/>
      <c r="F19" s="38"/>
      <c r="G19" s="40"/>
      <c r="H19" s="41"/>
      <c r="I19" s="42"/>
      <c r="J19" s="38"/>
      <c r="K19" s="43"/>
    </row>
    <row r="20" spans="1:11" ht="15.75" thickBot="1" x14ac:dyDescent="0.3">
      <c r="A20" s="44"/>
      <c r="B20" s="45"/>
      <c r="C20" s="45"/>
      <c r="D20" s="45"/>
      <c r="E20" s="46"/>
      <c r="F20" s="45"/>
      <c r="G20" s="47"/>
      <c r="H20" s="48"/>
      <c r="I20" s="49"/>
      <c r="J20" s="45"/>
      <c r="K20" s="50"/>
    </row>
    <row r="21" spans="1:11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63" t="s">
        <v>15</v>
      </c>
      <c r="C22" s="64"/>
      <c r="D22" s="51"/>
      <c r="E22" s="52">
        <v>830</v>
      </c>
      <c r="F22" s="1"/>
      <c r="G22" s="1"/>
      <c r="H22" s="1"/>
      <c r="I22" s="1"/>
      <c r="J22" s="1"/>
      <c r="K22" s="1"/>
    </row>
    <row r="23" spans="1:11" x14ac:dyDescent="0.25">
      <c r="A23" s="1"/>
      <c r="B23" s="53" t="s">
        <v>16</v>
      </c>
      <c r="C23" s="54"/>
      <c r="D23" s="55"/>
      <c r="E23" s="56">
        <f>E20</f>
        <v>0</v>
      </c>
      <c r="F23" s="1"/>
      <c r="G23" s="1"/>
      <c r="H23" s="1"/>
      <c r="I23" s="1"/>
      <c r="J23" s="1"/>
      <c r="K23" s="1"/>
    </row>
    <row r="24" spans="1:11" ht="15.75" thickBot="1" x14ac:dyDescent="0.3">
      <c r="A24" s="1"/>
      <c r="B24" s="57" t="s">
        <v>17</v>
      </c>
      <c r="C24" s="58"/>
      <c r="D24" s="59"/>
      <c r="E24" s="60">
        <f>E22-E23</f>
        <v>830</v>
      </c>
      <c r="F24" s="1"/>
      <c r="G24" s="1">
        <v>78.394100000000009</v>
      </c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mergeCells count="3">
    <mergeCell ref="A1:K1"/>
    <mergeCell ref="A2:K2"/>
    <mergeCell ref="B22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Fawad Seddiqi</dc:creator>
  <cp:lastModifiedBy>Sayed Neman Alemi</cp:lastModifiedBy>
  <dcterms:created xsi:type="dcterms:W3CDTF">2015-06-05T18:17:20Z</dcterms:created>
  <dcterms:modified xsi:type="dcterms:W3CDTF">2026-08-02T07:05:34Z</dcterms:modified>
</cp:coreProperties>
</file>