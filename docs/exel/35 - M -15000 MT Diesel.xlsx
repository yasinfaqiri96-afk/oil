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 folder\Contract\2026\BNK KHUMOR\"/>
    </mc:Choice>
  </mc:AlternateContent>
  <xr:revisionPtr revIDLastSave="0" documentId="13_ncr:1_{2BD563BA-217C-4DAE-8BCE-211E634E44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9" i="1" l="1"/>
  <c r="G199" i="1"/>
  <c r="I198" i="1"/>
  <c r="G198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A177" i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I176" i="1"/>
  <c r="G176" i="1"/>
  <c r="I174" i="1"/>
  <c r="G174" i="1"/>
  <c r="I173" i="1"/>
  <c r="G173" i="1"/>
  <c r="I172" i="1"/>
  <c r="G172" i="1"/>
  <c r="I171" i="1"/>
  <c r="G171" i="1"/>
  <c r="I170" i="1"/>
  <c r="G170" i="1"/>
  <c r="A170" i="1"/>
  <c r="A171" i="1" s="1"/>
  <c r="A172" i="1" s="1"/>
  <c r="A173" i="1" s="1"/>
  <c r="A174" i="1" s="1"/>
  <c r="I169" i="1"/>
  <c r="G169" i="1"/>
  <c r="A169" i="1"/>
  <c r="I168" i="1"/>
  <c r="G168" i="1"/>
  <c r="I166" i="1"/>
  <c r="G166" i="1"/>
  <c r="I165" i="1"/>
  <c r="G165" i="1"/>
  <c r="I164" i="1"/>
  <c r="G164" i="1"/>
  <c r="I163" i="1"/>
  <c r="G163" i="1"/>
  <c r="A163" i="1"/>
  <c r="A164" i="1" s="1"/>
  <c r="A165" i="1" s="1"/>
  <c r="A166" i="1" s="1"/>
  <c r="I162" i="1"/>
  <c r="G162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A153" i="1"/>
  <c r="A154" i="1" s="1"/>
  <c r="A155" i="1" s="1"/>
  <c r="A156" i="1" s="1"/>
  <c r="A157" i="1" s="1"/>
  <c r="A158" i="1" s="1"/>
  <c r="A159" i="1" s="1"/>
  <c r="A160" i="1" s="1"/>
  <c r="I152" i="1"/>
  <c r="G152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A142" i="1"/>
  <c r="A143" i="1" s="1"/>
  <c r="A144" i="1" s="1"/>
  <c r="A145" i="1" s="1"/>
  <c r="A146" i="1" s="1"/>
  <c r="A147" i="1" s="1"/>
  <c r="A148" i="1" s="1"/>
  <c r="A149" i="1" s="1"/>
  <c r="A150" i="1" s="1"/>
  <c r="I141" i="1"/>
  <c r="G141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A134" i="1"/>
  <c r="A135" i="1" s="1"/>
  <c r="A136" i="1" s="1"/>
  <c r="A137" i="1" s="1"/>
  <c r="A138" i="1" s="1"/>
  <c r="A139" i="1" s="1"/>
  <c r="I133" i="1"/>
  <c r="G133" i="1"/>
  <c r="A133" i="1"/>
  <c r="I132" i="1"/>
  <c r="G132" i="1"/>
  <c r="A132" i="1"/>
  <c r="I131" i="1"/>
  <c r="G131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A119" i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I118" i="1"/>
  <c r="G118" i="1"/>
  <c r="A118" i="1"/>
  <c r="I117" i="1"/>
  <c r="G117" i="1"/>
  <c r="A117" i="1"/>
  <c r="I116" i="1"/>
  <c r="G116" i="1"/>
  <c r="I114" i="1"/>
  <c r="G114" i="1"/>
  <c r="I113" i="1"/>
  <c r="F113" i="1"/>
  <c r="G113" i="1" s="1"/>
  <c r="I110" i="1"/>
  <c r="G110" i="1"/>
  <c r="I109" i="1"/>
  <c r="G109" i="1"/>
  <c r="I108" i="1"/>
  <c r="G108" i="1"/>
  <c r="I107" i="1"/>
  <c r="G107" i="1"/>
  <c r="I106" i="1"/>
  <c r="G106" i="1"/>
  <c r="I105" i="1"/>
  <c r="G105" i="1"/>
  <c r="A105" i="1"/>
  <c r="A106" i="1" s="1"/>
  <c r="A107" i="1" s="1"/>
  <c r="A108" i="1" s="1"/>
  <c r="A109" i="1" s="1"/>
  <c r="A110" i="1" s="1"/>
  <c r="I104" i="1"/>
  <c r="G104" i="1"/>
  <c r="I103" i="1"/>
  <c r="G103" i="1"/>
  <c r="I102" i="1"/>
  <c r="G102" i="1"/>
  <c r="I101" i="1"/>
  <c r="G101" i="1"/>
  <c r="A101" i="1"/>
  <c r="A102" i="1" s="1"/>
  <c r="A103" i="1" s="1"/>
  <c r="A104" i="1" s="1"/>
  <c r="I100" i="1"/>
  <c r="G100" i="1"/>
  <c r="A100" i="1"/>
  <c r="I99" i="1"/>
  <c r="G99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A70" i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I69" i="1"/>
  <c r="G69" i="1"/>
  <c r="I68" i="1"/>
  <c r="G68" i="1"/>
  <c r="I67" i="1"/>
  <c r="G67" i="1"/>
  <c r="A67" i="1"/>
  <c r="A68" i="1" s="1"/>
  <c r="A69" i="1" s="1"/>
  <c r="I66" i="1"/>
  <c r="G66" i="1"/>
  <c r="I64" i="1"/>
  <c r="G64" i="1"/>
  <c r="I63" i="1"/>
  <c r="G63" i="1"/>
  <c r="I62" i="1"/>
  <c r="G62" i="1"/>
  <c r="I61" i="1"/>
  <c r="G61" i="1"/>
  <c r="I60" i="1"/>
  <c r="G60" i="1"/>
  <c r="I59" i="1"/>
  <c r="G59" i="1"/>
  <c r="A59" i="1"/>
  <c r="A60" i="1" s="1"/>
  <c r="A61" i="1" s="1"/>
  <c r="A62" i="1" s="1"/>
  <c r="A63" i="1" s="1"/>
  <c r="A64" i="1" s="1"/>
  <c r="I58" i="1"/>
  <c r="G58" i="1"/>
  <c r="I57" i="1"/>
  <c r="G57" i="1"/>
  <c r="I56" i="1"/>
  <c r="G56" i="1"/>
  <c r="A56" i="1"/>
  <c r="A57" i="1" s="1"/>
  <c r="A58" i="1" s="1"/>
  <c r="I55" i="1"/>
  <c r="G55" i="1"/>
  <c r="I53" i="1"/>
  <c r="G53" i="1"/>
  <c r="I52" i="1"/>
  <c r="G52" i="1"/>
  <c r="I51" i="1"/>
  <c r="G51" i="1"/>
  <c r="I50" i="1"/>
  <c r="G50" i="1"/>
  <c r="I49" i="1"/>
  <c r="G49" i="1"/>
  <c r="I48" i="1"/>
  <c r="G48" i="1"/>
  <c r="A48" i="1"/>
  <c r="A49" i="1" s="1"/>
  <c r="A50" i="1" s="1"/>
  <c r="A51" i="1" s="1"/>
  <c r="A52" i="1" s="1"/>
  <c r="A53" i="1" s="1"/>
  <c r="I47" i="1"/>
  <c r="G47" i="1"/>
  <c r="I46" i="1"/>
  <c r="G46" i="1"/>
  <c r="I45" i="1"/>
  <c r="G45" i="1"/>
  <c r="I44" i="1"/>
  <c r="G44" i="1"/>
  <c r="A44" i="1"/>
  <c r="A45" i="1" s="1"/>
  <c r="A46" i="1" s="1"/>
  <c r="A47" i="1" s="1"/>
  <c r="I43" i="1"/>
  <c r="G43" i="1"/>
  <c r="A43" i="1"/>
  <c r="I42" i="1"/>
  <c r="G42" i="1"/>
  <c r="I40" i="1"/>
  <c r="G40" i="1"/>
  <c r="I39" i="1"/>
  <c r="G39" i="1"/>
  <c r="I38" i="1"/>
  <c r="G38" i="1"/>
  <c r="I37" i="1"/>
  <c r="G37" i="1"/>
  <c r="A37" i="1"/>
  <c r="A38" i="1" s="1"/>
  <c r="A39" i="1" s="1"/>
  <c r="A40" i="1" s="1"/>
  <c r="I36" i="1"/>
  <c r="G36" i="1"/>
  <c r="I35" i="1"/>
  <c r="G35" i="1"/>
  <c r="I34" i="1"/>
  <c r="G34" i="1"/>
  <c r="I33" i="1"/>
  <c r="G33" i="1"/>
  <c r="A33" i="1"/>
  <c r="A34" i="1" s="1"/>
  <c r="A35" i="1" s="1"/>
  <c r="A36" i="1" s="1"/>
  <c r="I32" i="1"/>
  <c r="G32" i="1"/>
  <c r="A32" i="1"/>
  <c r="I31" i="1"/>
  <c r="G31" i="1"/>
  <c r="A31" i="1"/>
  <c r="I30" i="1"/>
  <c r="G30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I5" i="1"/>
  <c r="F5" i="1"/>
  <c r="G5" i="1" s="1"/>
  <c r="E206" i="1" l="1"/>
  <c r="E207" i="1" s="1"/>
</calcChain>
</file>

<file path=xl/sharedStrings.xml><?xml version="1.0" encoding="utf-8"?>
<sst xmlns="http://schemas.openxmlformats.org/spreadsheetml/2006/main" count="412" uniqueCount="21">
  <si>
    <t xml:space="preserve"> Contract BNK-KHM/9-4-12/140 dd 29.07.2022, between "BNK-FZCO" (UAE) and "KHUMOR" LLC (KYRGYZ REPUBLIC) </t>
  </si>
  <si>
    <t>ADDENDUM № 35-M dd 12.01.26 (FCA BARBAROV) 15'000 mt</t>
  </si>
  <si>
    <t>-138,57$</t>
  </si>
  <si>
    <t>№</t>
  </si>
  <si>
    <t>Date</t>
  </si>
  <si>
    <t>RWB No</t>
  </si>
  <si>
    <t xml:space="preserve">Wagons No </t>
  </si>
  <si>
    <t>Loaded quantity (MT)</t>
  </si>
  <si>
    <t>Price in January 01.01.26-31.01.26 $</t>
  </si>
  <si>
    <t>Total</t>
  </si>
  <si>
    <t xml:space="preserve">Fix price in rub </t>
  </si>
  <si>
    <t>Consignee</t>
  </si>
  <si>
    <t>Destination</t>
  </si>
  <si>
    <t>Terminal Ilinka</t>
  </si>
  <si>
    <t>Barbarov</t>
  </si>
  <si>
    <t>08610998</t>
  </si>
  <si>
    <t>08611065</t>
  </si>
  <si>
    <t>08611069</t>
  </si>
  <si>
    <t>FULL TONNAGE</t>
  </si>
  <si>
    <t>LOADED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</si>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</sst>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.mm\.yy"/>
    <numFmt numFmtId="165" formatCode="00000000"/>
    <numFmt numFmtId="166" formatCode="0.000"/>
    <numFmt numFmtId="167" formatCode="[$$-C09]#,##0.00"/>
    <numFmt numFmtId="168" formatCode="#,##0.00\ &quot;₽&quot;"/>
    <numFmt numFmtId="169" formatCode="#,##0.000\ &quot;₽&quot;"/>
    <numFmt numFmtId="170" formatCode="#,##0.000"/>
    <numFmt numFmtId="171" formatCode="#,##0.00;[Red]#,##0.00"/>
    <numFmt numFmtId="172" formatCode="#,##0.000;[Red]#,##0.000"/>
  </numFmts>
  <fonts count="8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 wrapText="1"/>
    </xf>
    <xf numFmtId="2" fontId="2" fillId="0" borderId="7" xfId="0" applyNumberFormat="1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68" fontId="2" fillId="0" borderId="6" xfId="0" applyNumberFormat="1" applyFont="1" applyBorder="1" applyAlignment="1">
      <alignment horizontal="center" vertical="center"/>
    </xf>
    <xf numFmtId="169" fontId="2" fillId="0" borderId="6" xfId="0" applyNumberFormat="1" applyFont="1" applyBorder="1" applyAlignment="1">
      <alignment horizontal="center"/>
    </xf>
    <xf numFmtId="167" fontId="6" fillId="0" borderId="8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 wrapText="1"/>
    </xf>
    <xf numFmtId="2" fontId="2" fillId="0" borderId="11" xfId="0" applyNumberFormat="1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68" fontId="2" fillId="0" borderId="11" xfId="0" applyNumberFormat="1" applyFont="1" applyBorder="1" applyAlignment="1">
      <alignment horizontal="center" vertical="center"/>
    </xf>
    <xf numFmtId="169" fontId="2" fillId="0" borderId="11" xfId="0" applyNumberFormat="1" applyFont="1" applyBorder="1" applyAlignment="1">
      <alignment horizontal="center"/>
    </xf>
    <xf numFmtId="167" fontId="6" fillId="0" borderId="12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 wrapText="1"/>
    </xf>
    <xf numFmtId="167" fontId="2" fillId="0" borderId="15" xfId="0" applyNumberFormat="1" applyFont="1" applyBorder="1" applyAlignment="1">
      <alignment horizontal="center"/>
    </xf>
    <xf numFmtId="168" fontId="2" fillId="0" borderId="15" xfId="0" applyNumberFormat="1" applyFont="1" applyBorder="1" applyAlignment="1">
      <alignment horizontal="center" vertical="center"/>
    </xf>
    <xf numFmtId="169" fontId="2" fillId="0" borderId="15" xfId="0" applyNumberFormat="1" applyFont="1" applyBorder="1" applyAlignment="1">
      <alignment horizontal="center"/>
    </xf>
    <xf numFmtId="167" fontId="6" fillId="0" borderId="16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70" fontId="1" fillId="2" borderId="7" xfId="0" applyNumberFormat="1" applyFont="1" applyFill="1" applyBorder="1" applyAlignment="1">
      <alignment horizontal="center"/>
    </xf>
    <xf numFmtId="167" fontId="1" fillId="2" borderId="7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9" fontId="1" fillId="2" borderId="7" xfId="0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170" fontId="1" fillId="2" borderId="21" xfId="0" applyNumberFormat="1" applyFont="1" applyFill="1" applyBorder="1" applyAlignment="1">
      <alignment horizontal="center"/>
    </xf>
    <xf numFmtId="167" fontId="1" fillId="2" borderId="21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169" fontId="1" fillId="2" borderId="21" xfId="0" applyNumberFormat="1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14" fontId="2" fillId="0" borderId="23" xfId="0" applyNumberFormat="1" applyFont="1" applyBorder="1" applyAlignment="1">
      <alignment horizontal="center"/>
    </xf>
    <xf numFmtId="165" fontId="2" fillId="0" borderId="23" xfId="0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166" fontId="2" fillId="0" borderId="23" xfId="0" applyNumberFormat="1" applyFont="1" applyBorder="1" applyAlignment="1">
      <alignment horizontal="center" wrapText="1"/>
    </xf>
    <xf numFmtId="2" fontId="2" fillId="0" borderId="23" xfId="0" applyNumberFormat="1" applyFont="1" applyBorder="1" applyAlignment="1">
      <alignment horizontal="center"/>
    </xf>
    <xf numFmtId="167" fontId="2" fillId="0" borderId="23" xfId="0" applyNumberFormat="1" applyFont="1" applyBorder="1" applyAlignment="1">
      <alignment horizontal="center"/>
    </xf>
    <xf numFmtId="168" fontId="2" fillId="0" borderId="23" xfId="0" applyNumberFormat="1" applyFont="1" applyBorder="1" applyAlignment="1">
      <alignment horizontal="center" vertical="center"/>
    </xf>
    <xf numFmtId="169" fontId="2" fillId="0" borderId="23" xfId="0" applyNumberFormat="1" applyFont="1" applyBorder="1" applyAlignment="1">
      <alignment horizontal="center"/>
    </xf>
    <xf numFmtId="167" fontId="6" fillId="0" borderId="2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4" fontId="2" fillId="0" borderId="26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 wrapText="1"/>
    </xf>
    <xf numFmtId="167" fontId="2" fillId="0" borderId="26" xfId="0" applyNumberFormat="1" applyFont="1" applyBorder="1" applyAlignment="1">
      <alignment horizontal="center"/>
    </xf>
    <xf numFmtId="168" fontId="2" fillId="0" borderId="26" xfId="0" applyNumberFormat="1" applyFont="1" applyBorder="1" applyAlignment="1">
      <alignment horizontal="center" vertical="center"/>
    </xf>
    <xf numFmtId="169" fontId="2" fillId="0" borderId="26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14" fontId="2" fillId="0" borderId="30" xfId="0" applyNumberFormat="1" applyFont="1" applyBorder="1" applyAlignment="1">
      <alignment horizontal="center"/>
    </xf>
    <xf numFmtId="170" fontId="1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7" fontId="1" fillId="3" borderId="7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69" fontId="1" fillId="3" borderId="7" xfId="0" applyNumberFormat="1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70" fontId="1" fillId="2" borderId="30" xfId="0" applyNumberFormat="1" applyFont="1" applyFill="1" applyBorder="1" applyAlignment="1">
      <alignment horizontal="center"/>
    </xf>
    <xf numFmtId="167" fontId="1" fillId="2" borderId="30" xfId="0" applyNumberFormat="1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169" fontId="1" fillId="2" borderId="30" xfId="0" applyNumberFormat="1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70" fontId="2" fillId="0" borderId="6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 vertical="center"/>
    </xf>
    <xf numFmtId="169" fontId="2" fillId="0" borderId="7" xfId="0" applyNumberFormat="1" applyFont="1" applyBorder="1" applyAlignment="1">
      <alignment horizontal="center"/>
    </xf>
    <xf numFmtId="0" fontId="6" fillId="0" borderId="38" xfId="0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67" fontId="6" fillId="0" borderId="11" xfId="0" applyNumberFormat="1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66" fontId="2" fillId="0" borderId="11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70" fontId="2" fillId="0" borderId="15" xfId="0" applyNumberFormat="1" applyFont="1" applyBorder="1" applyAlignment="1">
      <alignment horizontal="center"/>
    </xf>
    <xf numFmtId="2" fontId="2" fillId="0" borderId="40" xfId="0" applyNumberFormat="1" applyFont="1" applyBorder="1" applyAlignment="1">
      <alignment horizontal="center"/>
    </xf>
    <xf numFmtId="167" fontId="2" fillId="0" borderId="40" xfId="0" applyNumberFormat="1" applyFont="1" applyBorder="1" applyAlignment="1">
      <alignment horizontal="center"/>
    </xf>
    <xf numFmtId="168" fontId="2" fillId="0" borderId="40" xfId="0" applyNumberFormat="1" applyFont="1" applyBorder="1" applyAlignment="1">
      <alignment horizontal="center" vertical="center"/>
    </xf>
    <xf numFmtId="169" fontId="2" fillId="0" borderId="40" xfId="0" applyNumberFormat="1" applyFont="1" applyBorder="1" applyAlignment="1">
      <alignment horizontal="center"/>
    </xf>
    <xf numFmtId="167" fontId="6" fillId="0" borderId="41" xfId="0" applyNumberFormat="1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43" xfId="0" applyFont="1" applyFill="1" applyBorder="1" applyAlignment="1">
      <alignment horizontal="center"/>
    </xf>
    <xf numFmtId="167" fontId="6" fillId="0" borderId="6" xfId="0" applyNumberFormat="1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167" fontId="6" fillId="0" borderId="15" xfId="0" applyNumberFormat="1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170" fontId="1" fillId="3" borderId="21" xfId="0" applyNumberFormat="1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167" fontId="1" fillId="3" borderId="21" xfId="0" applyNumberFormat="1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169" fontId="1" fillId="3" borderId="21" xfId="0" applyNumberFormat="1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170" fontId="1" fillId="4" borderId="21" xfId="0" applyNumberFormat="1" applyFont="1" applyFill="1" applyBorder="1" applyAlignment="1">
      <alignment horizontal="center"/>
    </xf>
    <xf numFmtId="167" fontId="1" fillId="4" borderId="21" xfId="0" applyNumberFormat="1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169" fontId="1" fillId="4" borderId="21" xfId="0" applyNumberFormat="1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171" fontId="1" fillId="0" borderId="50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172" fontId="1" fillId="0" borderId="54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172" fontId="7" fillId="0" borderId="5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2026%20-%20Loading%20of%20Khumor%20-%20BNK%20(LAST)-1%20(5).xlsx" TargetMode="External"/><Relationship Id="rId1" Type="http://schemas.openxmlformats.org/officeDocument/2006/relationships/externalLinkPath" Target="/Users/fawad%20S%20G%20C/Downloads/2026%20-%20Loading%20of%20Khumor%20-%20BNK%20(LAST)-1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3-М"/>
      <sheetName val=" 34-M AI-92"/>
      <sheetName val="35-М Diesel DT-E-K5"/>
      <sheetName val="37-М AI-92 15000"/>
      <sheetName val="Platt's 2026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1">
          <cell r="O31">
            <v>683.92499999999995</v>
          </cell>
        </row>
        <row r="34">
          <cell r="F34">
            <v>634.36363636363637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"/>
  <sheetViews>
    <sheetView tabSelected="1" topLeftCell="A184" workbookViewId="0">
      <selection activeCell="A202" sqref="A202:XFD202"/>
    </sheetView>
  </sheetViews>
  <sheetFormatPr defaultRowHeight="15" x14ac:dyDescent="0.25"/>
  <cols>
    <col min="5" max="5" width="14.28515625" customWidth="1"/>
    <col min="7" max="7" width="20" customWidth="1"/>
    <col min="8" max="8" width="21" customWidth="1"/>
    <col min="9" max="9" width="23.5703125" customWidth="1"/>
    <col min="10" max="10" width="17" customWidth="1"/>
    <col min="11" max="11" width="16.85546875" customWidth="1"/>
  </cols>
  <sheetData>
    <row r="1" spans="1:11" x14ac:dyDescent="0.25">
      <c r="A1" s="149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x14ac:dyDescent="0.25">
      <c r="A2" s="149" t="s">
        <v>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1" ht="15.75" thickBot="1" x14ac:dyDescent="0.3">
      <c r="A3" s="1"/>
      <c r="B3" s="1"/>
      <c r="C3" s="1"/>
      <c r="D3" s="1"/>
      <c r="E3" s="1"/>
      <c r="F3" s="2" t="s">
        <v>2</v>
      </c>
      <c r="G3" s="1"/>
      <c r="H3" s="3"/>
      <c r="I3" s="3"/>
      <c r="J3" s="1"/>
      <c r="K3" s="1"/>
    </row>
    <row r="4" spans="1:11" ht="80.25" customHeight="1" thickBot="1" x14ac:dyDescent="0.3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7" t="s">
        <v>8</v>
      </c>
      <c r="G4" s="7" t="s">
        <v>9</v>
      </c>
      <c r="H4" s="8" t="s">
        <v>10</v>
      </c>
      <c r="I4" s="8" t="s">
        <v>9</v>
      </c>
      <c r="J4" s="5" t="s">
        <v>11</v>
      </c>
      <c r="K4" s="9" t="s">
        <v>12</v>
      </c>
    </row>
    <row r="5" spans="1:11" ht="30" x14ac:dyDescent="0.25">
      <c r="A5" s="10">
        <v>1</v>
      </c>
      <c r="B5" s="11">
        <v>46050</v>
      </c>
      <c r="C5" s="12">
        <v>8610493</v>
      </c>
      <c r="D5" s="13">
        <v>54093679</v>
      </c>
      <c r="E5" s="14">
        <v>60.65</v>
      </c>
      <c r="F5" s="15">
        <f>'[1]Platt''s 2026'!F34-138.57</f>
        <v>495.79363636363638</v>
      </c>
      <c r="G5" s="16">
        <f>E5*F5</f>
        <v>30069.884045454546</v>
      </c>
      <c r="H5" s="17">
        <v>43524.160000000003</v>
      </c>
      <c r="I5" s="18">
        <f>E5*H5</f>
        <v>2639740.304</v>
      </c>
      <c r="J5" s="19" t="s">
        <v>13</v>
      </c>
      <c r="K5" s="20" t="s">
        <v>14</v>
      </c>
    </row>
    <row r="6" spans="1:11" ht="30" x14ac:dyDescent="0.25">
      <c r="A6" s="21">
        <f>A5+1</f>
        <v>2</v>
      </c>
      <c r="B6" s="22">
        <v>46050</v>
      </c>
      <c r="C6" s="23">
        <v>8610492</v>
      </c>
      <c r="D6" s="24">
        <v>73006025</v>
      </c>
      <c r="E6" s="25">
        <v>61.25</v>
      </c>
      <c r="F6" s="26">
        <v>495.79</v>
      </c>
      <c r="G6" s="27">
        <f t="shared" ref="G6:G28" si="0">E6*F6</f>
        <v>30367.137500000001</v>
      </c>
      <c r="H6" s="28">
        <v>43524.160000000003</v>
      </c>
      <c r="I6" s="29">
        <f t="shared" ref="I6:I28" si="1">E6*H6</f>
        <v>2665854.8000000003</v>
      </c>
      <c r="J6" s="30" t="s">
        <v>13</v>
      </c>
      <c r="K6" s="31" t="s">
        <v>14</v>
      </c>
    </row>
    <row r="7" spans="1:11" ht="30" x14ac:dyDescent="0.25">
      <c r="A7" s="21">
        <f t="shared" ref="A7:A28" si="2">A6+1</f>
        <v>3</v>
      </c>
      <c r="B7" s="22">
        <v>46050</v>
      </c>
      <c r="C7" s="23">
        <v>8610493</v>
      </c>
      <c r="D7" s="24">
        <v>73009359</v>
      </c>
      <c r="E7" s="25">
        <v>60.6</v>
      </c>
      <c r="F7" s="26">
        <v>495.79</v>
      </c>
      <c r="G7" s="27">
        <f t="shared" si="0"/>
        <v>30044.874000000003</v>
      </c>
      <c r="H7" s="28">
        <v>43524.160000000003</v>
      </c>
      <c r="I7" s="29">
        <f t="shared" si="1"/>
        <v>2637564.0960000004</v>
      </c>
      <c r="J7" s="30" t="s">
        <v>13</v>
      </c>
      <c r="K7" s="31" t="s">
        <v>14</v>
      </c>
    </row>
    <row r="8" spans="1:11" ht="30" x14ac:dyDescent="0.25">
      <c r="A8" s="21">
        <f t="shared" si="2"/>
        <v>4</v>
      </c>
      <c r="B8" s="22">
        <v>46050</v>
      </c>
      <c r="C8" s="23">
        <v>8610492</v>
      </c>
      <c r="D8" s="24">
        <v>73045130</v>
      </c>
      <c r="E8" s="25">
        <v>59.75</v>
      </c>
      <c r="F8" s="26">
        <v>495.79</v>
      </c>
      <c r="G8" s="27">
        <f t="shared" si="0"/>
        <v>29623.452499999999</v>
      </c>
      <c r="H8" s="28">
        <v>43524.160000000003</v>
      </c>
      <c r="I8" s="29">
        <f t="shared" si="1"/>
        <v>2600568.56</v>
      </c>
      <c r="J8" s="30" t="s">
        <v>13</v>
      </c>
      <c r="K8" s="31" t="s">
        <v>14</v>
      </c>
    </row>
    <row r="9" spans="1:11" ht="30" x14ac:dyDescent="0.25">
      <c r="A9" s="21">
        <f t="shared" si="2"/>
        <v>5</v>
      </c>
      <c r="B9" s="22">
        <v>46050</v>
      </c>
      <c r="C9" s="23">
        <v>8610492</v>
      </c>
      <c r="D9" s="24">
        <v>73107013</v>
      </c>
      <c r="E9" s="25">
        <v>63.6</v>
      </c>
      <c r="F9" s="26">
        <v>495.79</v>
      </c>
      <c r="G9" s="27">
        <f t="shared" si="0"/>
        <v>31532.244000000002</v>
      </c>
      <c r="H9" s="28">
        <v>43524.160000000003</v>
      </c>
      <c r="I9" s="29">
        <f t="shared" si="1"/>
        <v>2768136.5760000004</v>
      </c>
      <c r="J9" s="30" t="s">
        <v>13</v>
      </c>
      <c r="K9" s="31" t="s">
        <v>14</v>
      </c>
    </row>
    <row r="10" spans="1:11" ht="30" x14ac:dyDescent="0.25">
      <c r="A10" s="21">
        <f t="shared" si="2"/>
        <v>6</v>
      </c>
      <c r="B10" s="22">
        <v>46050</v>
      </c>
      <c r="C10" s="23">
        <v>8610493</v>
      </c>
      <c r="D10" s="24">
        <v>73118945</v>
      </c>
      <c r="E10" s="25">
        <v>61.6</v>
      </c>
      <c r="F10" s="26">
        <v>495.79</v>
      </c>
      <c r="G10" s="27">
        <f t="shared" si="0"/>
        <v>30540.664000000001</v>
      </c>
      <c r="H10" s="28">
        <v>43524.160000000003</v>
      </c>
      <c r="I10" s="29">
        <f t="shared" si="1"/>
        <v>2681088.2560000001</v>
      </c>
      <c r="J10" s="30" t="s">
        <v>13</v>
      </c>
      <c r="K10" s="31" t="s">
        <v>14</v>
      </c>
    </row>
    <row r="11" spans="1:11" ht="30" x14ac:dyDescent="0.25">
      <c r="A11" s="21">
        <f t="shared" si="2"/>
        <v>7</v>
      </c>
      <c r="B11" s="22">
        <v>46050</v>
      </c>
      <c r="C11" s="23">
        <v>8610492</v>
      </c>
      <c r="D11" s="24">
        <v>73126948</v>
      </c>
      <c r="E11" s="25">
        <v>60.65</v>
      </c>
      <c r="F11" s="26">
        <v>495.79</v>
      </c>
      <c r="G11" s="27">
        <f t="shared" si="0"/>
        <v>30069.663499999999</v>
      </c>
      <c r="H11" s="28">
        <v>43524.160000000003</v>
      </c>
      <c r="I11" s="29">
        <f t="shared" si="1"/>
        <v>2639740.304</v>
      </c>
      <c r="J11" s="30" t="s">
        <v>13</v>
      </c>
      <c r="K11" s="31" t="s">
        <v>14</v>
      </c>
    </row>
    <row r="12" spans="1:11" ht="30" x14ac:dyDescent="0.25">
      <c r="A12" s="21">
        <f t="shared" si="2"/>
        <v>8</v>
      </c>
      <c r="B12" s="22">
        <v>46050</v>
      </c>
      <c r="C12" s="23">
        <v>8610492</v>
      </c>
      <c r="D12" s="24">
        <v>73131419</v>
      </c>
      <c r="E12" s="25">
        <v>61.15</v>
      </c>
      <c r="F12" s="26">
        <v>495.79</v>
      </c>
      <c r="G12" s="27">
        <f t="shared" si="0"/>
        <v>30317.558499999999</v>
      </c>
      <c r="H12" s="28">
        <v>43524.160000000003</v>
      </c>
      <c r="I12" s="29">
        <f t="shared" si="1"/>
        <v>2661502.3840000001</v>
      </c>
      <c r="J12" s="30" t="s">
        <v>13</v>
      </c>
      <c r="K12" s="31" t="s">
        <v>14</v>
      </c>
    </row>
    <row r="13" spans="1:11" ht="30" x14ac:dyDescent="0.25">
      <c r="A13" s="21">
        <f t="shared" si="2"/>
        <v>9</v>
      </c>
      <c r="B13" s="22">
        <v>46050</v>
      </c>
      <c r="C13" s="23">
        <v>8610492</v>
      </c>
      <c r="D13" s="24">
        <v>73158156</v>
      </c>
      <c r="E13" s="25">
        <v>61.05</v>
      </c>
      <c r="F13" s="26">
        <v>495.79</v>
      </c>
      <c r="G13" s="27">
        <f t="shared" si="0"/>
        <v>30267.979500000001</v>
      </c>
      <c r="H13" s="28">
        <v>43524.160000000003</v>
      </c>
      <c r="I13" s="29">
        <f t="shared" si="1"/>
        <v>2657149.9679999999</v>
      </c>
      <c r="J13" s="30" t="s">
        <v>13</v>
      </c>
      <c r="K13" s="31" t="s">
        <v>14</v>
      </c>
    </row>
    <row r="14" spans="1:11" ht="30" x14ac:dyDescent="0.25">
      <c r="A14" s="21">
        <f t="shared" si="2"/>
        <v>10</v>
      </c>
      <c r="B14" s="22">
        <v>46050</v>
      </c>
      <c r="C14" s="23">
        <v>8610492</v>
      </c>
      <c r="D14" s="24">
        <v>73161713</v>
      </c>
      <c r="E14" s="25">
        <v>60.55</v>
      </c>
      <c r="F14" s="26">
        <v>495.79</v>
      </c>
      <c r="G14" s="27">
        <f t="shared" si="0"/>
        <v>30020.084500000001</v>
      </c>
      <c r="H14" s="28">
        <v>43524.160000000003</v>
      </c>
      <c r="I14" s="29">
        <f t="shared" si="1"/>
        <v>2635387.8880000003</v>
      </c>
      <c r="J14" s="30" t="s">
        <v>13</v>
      </c>
      <c r="K14" s="31" t="s">
        <v>14</v>
      </c>
    </row>
    <row r="15" spans="1:11" ht="30" x14ac:dyDescent="0.25">
      <c r="A15" s="21">
        <f t="shared" si="2"/>
        <v>11</v>
      </c>
      <c r="B15" s="22">
        <v>46050</v>
      </c>
      <c r="C15" s="23">
        <v>8610492</v>
      </c>
      <c r="D15" s="24">
        <v>73182727</v>
      </c>
      <c r="E15" s="25">
        <v>61.15</v>
      </c>
      <c r="F15" s="26">
        <v>495.79</v>
      </c>
      <c r="G15" s="27">
        <f t="shared" si="0"/>
        <v>30317.558499999999</v>
      </c>
      <c r="H15" s="28">
        <v>43524.160000000003</v>
      </c>
      <c r="I15" s="29">
        <f t="shared" si="1"/>
        <v>2661502.3840000001</v>
      </c>
      <c r="J15" s="30" t="s">
        <v>13</v>
      </c>
      <c r="K15" s="31" t="s">
        <v>14</v>
      </c>
    </row>
    <row r="16" spans="1:11" ht="30" x14ac:dyDescent="0.25">
      <c r="A16" s="21">
        <f t="shared" si="2"/>
        <v>12</v>
      </c>
      <c r="B16" s="22">
        <v>46050</v>
      </c>
      <c r="C16" s="23">
        <v>8610493</v>
      </c>
      <c r="D16" s="24">
        <v>73230583</v>
      </c>
      <c r="E16" s="25">
        <v>60.1</v>
      </c>
      <c r="F16" s="26">
        <v>495.79</v>
      </c>
      <c r="G16" s="27">
        <f t="shared" si="0"/>
        <v>29796.979000000003</v>
      </c>
      <c r="H16" s="28">
        <v>43524.160000000003</v>
      </c>
      <c r="I16" s="29">
        <f t="shared" si="1"/>
        <v>2615802.0160000003</v>
      </c>
      <c r="J16" s="30" t="s">
        <v>13</v>
      </c>
      <c r="K16" s="31" t="s">
        <v>14</v>
      </c>
    </row>
    <row r="17" spans="1:11" ht="30" x14ac:dyDescent="0.25">
      <c r="A17" s="21">
        <f t="shared" si="2"/>
        <v>13</v>
      </c>
      <c r="B17" s="22">
        <v>46050</v>
      </c>
      <c r="C17" s="23">
        <v>8610492</v>
      </c>
      <c r="D17" s="24">
        <v>73230773</v>
      </c>
      <c r="E17" s="25">
        <v>59.15</v>
      </c>
      <c r="F17" s="26">
        <v>495.79</v>
      </c>
      <c r="G17" s="27">
        <f t="shared" si="0"/>
        <v>29325.978500000001</v>
      </c>
      <c r="H17" s="28">
        <v>43524.160000000003</v>
      </c>
      <c r="I17" s="29">
        <f t="shared" si="1"/>
        <v>2574454.0640000002</v>
      </c>
      <c r="J17" s="30" t="s">
        <v>13</v>
      </c>
      <c r="K17" s="31" t="s">
        <v>14</v>
      </c>
    </row>
    <row r="18" spans="1:11" ht="30" x14ac:dyDescent="0.25">
      <c r="A18" s="21">
        <f t="shared" si="2"/>
        <v>14</v>
      </c>
      <c r="B18" s="22">
        <v>46050</v>
      </c>
      <c r="C18" s="23">
        <v>8610492</v>
      </c>
      <c r="D18" s="24">
        <v>73232472</v>
      </c>
      <c r="E18" s="25">
        <v>63.1</v>
      </c>
      <c r="F18" s="26">
        <v>495.79</v>
      </c>
      <c r="G18" s="27">
        <f t="shared" si="0"/>
        <v>31284.349000000002</v>
      </c>
      <c r="H18" s="28">
        <v>43524.160000000003</v>
      </c>
      <c r="I18" s="29">
        <f t="shared" si="1"/>
        <v>2746374.4960000003</v>
      </c>
      <c r="J18" s="30" t="s">
        <v>13</v>
      </c>
      <c r="K18" s="31" t="s">
        <v>14</v>
      </c>
    </row>
    <row r="19" spans="1:11" ht="30" x14ac:dyDescent="0.25">
      <c r="A19" s="21">
        <f t="shared" si="2"/>
        <v>15</v>
      </c>
      <c r="B19" s="22">
        <v>46050</v>
      </c>
      <c r="C19" s="23">
        <v>8610492</v>
      </c>
      <c r="D19" s="24">
        <v>73232530</v>
      </c>
      <c r="E19" s="25">
        <v>63.75</v>
      </c>
      <c r="F19" s="26">
        <v>495.79</v>
      </c>
      <c r="G19" s="27">
        <f t="shared" si="0"/>
        <v>31606.612500000003</v>
      </c>
      <c r="H19" s="28">
        <v>43524.160000000003</v>
      </c>
      <c r="I19" s="29">
        <f t="shared" si="1"/>
        <v>2774665.2</v>
      </c>
      <c r="J19" s="30" t="s">
        <v>13</v>
      </c>
      <c r="K19" s="31" t="s">
        <v>14</v>
      </c>
    </row>
    <row r="20" spans="1:11" x14ac:dyDescent="0.25">
      <c r="A20" s="21">
        <f t="shared" si="2"/>
        <v>16</v>
      </c>
      <c r="B20" s="22">
        <v>46050</v>
      </c>
      <c r="C20" s="23">
        <v>8610493</v>
      </c>
      <c r="D20" s="24">
        <v>73232621</v>
      </c>
      <c r="E20" s="25">
        <v>59.85</v>
      </c>
      <c r="F20" s="26">
        <v>495.79</v>
      </c>
      <c r="G20" s="27">
        <f t="shared" si="0"/>
        <v>29673.031500000001</v>
      </c>
      <c r="H20" s="28">
        <v>43524.160000000003</v>
      </c>
      <c r="I20" s="29">
        <f t="shared" si="1"/>
        <v>2604920.9760000003</v>
      </c>
      <c r="J20" s="30" t="s">
        <v>13</v>
      </c>
      <c r="K20" s="31" t="s">
        <v>14</v>
      </c>
    </row>
    <row r="21" spans="1:11" x14ac:dyDescent="0.25">
      <c r="A21" s="21">
        <f t="shared" si="2"/>
        <v>17</v>
      </c>
      <c r="B21" s="22">
        <v>46050</v>
      </c>
      <c r="C21" s="23">
        <v>8610493</v>
      </c>
      <c r="D21" s="24">
        <v>73232688</v>
      </c>
      <c r="E21" s="25">
        <v>59.3</v>
      </c>
      <c r="F21" s="26">
        <v>495.79</v>
      </c>
      <c r="G21" s="27">
        <f t="shared" si="0"/>
        <v>29400.347000000002</v>
      </c>
      <c r="H21" s="28">
        <v>43524.160000000003</v>
      </c>
      <c r="I21" s="29">
        <f t="shared" si="1"/>
        <v>2580982.6880000001</v>
      </c>
      <c r="J21" s="30" t="s">
        <v>13</v>
      </c>
      <c r="K21" s="31" t="s">
        <v>14</v>
      </c>
    </row>
    <row r="22" spans="1:11" x14ac:dyDescent="0.25">
      <c r="A22" s="21">
        <f t="shared" si="2"/>
        <v>18</v>
      </c>
      <c r="B22" s="22">
        <v>46050</v>
      </c>
      <c r="C22" s="23">
        <v>8610493</v>
      </c>
      <c r="D22" s="24">
        <v>73232704</v>
      </c>
      <c r="E22" s="25">
        <v>61</v>
      </c>
      <c r="F22" s="26">
        <v>495.79</v>
      </c>
      <c r="G22" s="27">
        <f t="shared" si="0"/>
        <v>30243.190000000002</v>
      </c>
      <c r="H22" s="28">
        <v>43524.160000000003</v>
      </c>
      <c r="I22" s="29">
        <f t="shared" si="1"/>
        <v>2654973.7600000002</v>
      </c>
      <c r="J22" s="30" t="s">
        <v>13</v>
      </c>
      <c r="K22" s="31" t="s">
        <v>14</v>
      </c>
    </row>
    <row r="23" spans="1:11" x14ac:dyDescent="0.25">
      <c r="A23" s="21">
        <f t="shared" si="2"/>
        <v>19</v>
      </c>
      <c r="B23" s="22">
        <v>46050</v>
      </c>
      <c r="C23" s="23">
        <v>8610493</v>
      </c>
      <c r="D23" s="24">
        <v>73235251</v>
      </c>
      <c r="E23" s="25">
        <v>60</v>
      </c>
      <c r="F23" s="26">
        <v>495.79</v>
      </c>
      <c r="G23" s="27">
        <f t="shared" si="0"/>
        <v>29747.4</v>
      </c>
      <c r="H23" s="28">
        <v>43524.160000000003</v>
      </c>
      <c r="I23" s="29">
        <f t="shared" si="1"/>
        <v>2611449.6</v>
      </c>
      <c r="J23" s="30" t="s">
        <v>13</v>
      </c>
      <c r="K23" s="31" t="s">
        <v>14</v>
      </c>
    </row>
    <row r="24" spans="1:11" x14ac:dyDescent="0.25">
      <c r="A24" s="21">
        <f t="shared" si="2"/>
        <v>20</v>
      </c>
      <c r="B24" s="22">
        <v>46050</v>
      </c>
      <c r="C24" s="23">
        <v>8610493</v>
      </c>
      <c r="D24" s="24">
        <v>73235269</v>
      </c>
      <c r="E24" s="25">
        <v>60.45</v>
      </c>
      <c r="F24" s="26">
        <v>495.79</v>
      </c>
      <c r="G24" s="27">
        <f t="shared" si="0"/>
        <v>29970.505500000003</v>
      </c>
      <c r="H24" s="28">
        <v>43524.160000000003</v>
      </c>
      <c r="I24" s="29">
        <f t="shared" si="1"/>
        <v>2631035.4720000005</v>
      </c>
      <c r="J24" s="30" t="s">
        <v>13</v>
      </c>
      <c r="K24" s="31" t="s">
        <v>14</v>
      </c>
    </row>
    <row r="25" spans="1:11" x14ac:dyDescent="0.25">
      <c r="A25" s="21">
        <f t="shared" si="2"/>
        <v>21</v>
      </c>
      <c r="B25" s="22">
        <v>46050</v>
      </c>
      <c r="C25" s="23">
        <v>8610493</v>
      </c>
      <c r="D25" s="24">
        <v>73235533</v>
      </c>
      <c r="E25" s="25">
        <v>60.4</v>
      </c>
      <c r="F25" s="26">
        <v>495.79</v>
      </c>
      <c r="G25" s="27">
        <f t="shared" si="0"/>
        <v>29945.716</v>
      </c>
      <c r="H25" s="28">
        <v>43524.160000000003</v>
      </c>
      <c r="I25" s="29">
        <f t="shared" si="1"/>
        <v>2628859.264</v>
      </c>
      <c r="J25" s="30" t="s">
        <v>13</v>
      </c>
      <c r="K25" s="31" t="s">
        <v>14</v>
      </c>
    </row>
    <row r="26" spans="1:11" x14ac:dyDescent="0.25">
      <c r="A26" s="21">
        <f t="shared" si="2"/>
        <v>22</v>
      </c>
      <c r="B26" s="22">
        <v>46050</v>
      </c>
      <c r="C26" s="23">
        <v>8610493</v>
      </c>
      <c r="D26" s="24">
        <v>75613299</v>
      </c>
      <c r="E26" s="25">
        <v>60.85</v>
      </c>
      <c r="F26" s="26">
        <v>495.79</v>
      </c>
      <c r="G26" s="27">
        <f t="shared" si="0"/>
        <v>30168.821500000002</v>
      </c>
      <c r="H26" s="28">
        <v>43524.160000000003</v>
      </c>
      <c r="I26" s="29">
        <f t="shared" si="1"/>
        <v>2648445.1360000004</v>
      </c>
      <c r="J26" s="30" t="s">
        <v>13</v>
      </c>
      <c r="K26" s="31" t="s">
        <v>14</v>
      </c>
    </row>
    <row r="27" spans="1:11" x14ac:dyDescent="0.25">
      <c r="A27" s="21">
        <f t="shared" si="2"/>
        <v>23</v>
      </c>
      <c r="B27" s="22">
        <v>46050</v>
      </c>
      <c r="C27" s="23">
        <v>8610493</v>
      </c>
      <c r="D27" s="24">
        <v>75613398</v>
      </c>
      <c r="E27" s="25">
        <v>62.6</v>
      </c>
      <c r="F27" s="26">
        <v>495.79</v>
      </c>
      <c r="G27" s="27">
        <f t="shared" si="0"/>
        <v>31036.454000000002</v>
      </c>
      <c r="H27" s="28">
        <v>43524.160000000003</v>
      </c>
      <c r="I27" s="29">
        <f t="shared" si="1"/>
        <v>2724612.4160000002</v>
      </c>
      <c r="J27" s="30" t="s">
        <v>13</v>
      </c>
      <c r="K27" s="31" t="s">
        <v>14</v>
      </c>
    </row>
    <row r="28" spans="1:11" ht="15.75" thickBot="1" x14ac:dyDescent="0.3">
      <c r="A28" s="32">
        <f t="shared" si="2"/>
        <v>24</v>
      </c>
      <c r="B28" s="33">
        <v>46050</v>
      </c>
      <c r="C28" s="34">
        <v>8610493</v>
      </c>
      <c r="D28" s="35">
        <v>76163393</v>
      </c>
      <c r="E28" s="36">
        <v>62.35</v>
      </c>
      <c r="F28" s="26">
        <v>495.79</v>
      </c>
      <c r="G28" s="37">
        <f t="shared" si="0"/>
        <v>30912.506500000003</v>
      </c>
      <c r="H28" s="38">
        <v>43524.160000000003</v>
      </c>
      <c r="I28" s="39">
        <f t="shared" si="1"/>
        <v>2713731.3760000002</v>
      </c>
      <c r="J28" s="40" t="s">
        <v>13</v>
      </c>
      <c r="K28" s="41" t="s">
        <v>14</v>
      </c>
    </row>
    <row r="29" spans="1:11" ht="15.75" thickBot="1" x14ac:dyDescent="0.3">
      <c r="A29" s="42"/>
      <c r="B29" s="43"/>
      <c r="C29" s="43"/>
      <c r="D29" s="43"/>
      <c r="E29" s="44"/>
      <c r="F29" s="43"/>
      <c r="G29" s="45"/>
      <c r="H29" s="46"/>
      <c r="I29" s="47"/>
      <c r="J29" s="43"/>
      <c r="K29" s="48"/>
    </row>
    <row r="30" spans="1:11" x14ac:dyDescent="0.25">
      <c r="A30" s="10">
        <v>25</v>
      </c>
      <c r="B30" s="11">
        <v>46050</v>
      </c>
      <c r="C30" s="12">
        <v>8610498</v>
      </c>
      <c r="D30" s="13">
        <v>50416544</v>
      </c>
      <c r="E30" s="14">
        <v>57.5</v>
      </c>
      <c r="F30" s="49">
        <v>495.79</v>
      </c>
      <c r="G30" s="16">
        <f t="shared" ref="G30:G40" si="3">E30*F30</f>
        <v>28507.925000000003</v>
      </c>
      <c r="H30" s="17">
        <v>43524.160000000003</v>
      </c>
      <c r="I30" s="18">
        <f t="shared" ref="I30:I40" si="4">E30*H30</f>
        <v>2502639.2000000002</v>
      </c>
      <c r="J30" s="19" t="s">
        <v>13</v>
      </c>
      <c r="K30" s="20" t="s">
        <v>14</v>
      </c>
    </row>
    <row r="31" spans="1:11" x14ac:dyDescent="0.25">
      <c r="A31" s="21">
        <f>A30+1</f>
        <v>26</v>
      </c>
      <c r="B31" s="22">
        <v>46050</v>
      </c>
      <c r="C31" s="23">
        <v>8610498</v>
      </c>
      <c r="D31" s="24">
        <v>50485804</v>
      </c>
      <c r="E31" s="25">
        <v>57.35</v>
      </c>
      <c r="F31" s="26">
        <v>495.79</v>
      </c>
      <c r="G31" s="27">
        <f t="shared" si="3"/>
        <v>28433.556500000002</v>
      </c>
      <c r="H31" s="28">
        <v>43524.160000000003</v>
      </c>
      <c r="I31" s="29">
        <f t="shared" si="4"/>
        <v>2496110.5760000004</v>
      </c>
      <c r="J31" s="30" t="s">
        <v>13</v>
      </c>
      <c r="K31" s="31" t="s">
        <v>14</v>
      </c>
    </row>
    <row r="32" spans="1:11" x14ac:dyDescent="0.25">
      <c r="A32" s="21">
        <f t="shared" ref="A32:A39" si="5">A31+1</f>
        <v>27</v>
      </c>
      <c r="B32" s="22">
        <v>46050</v>
      </c>
      <c r="C32" s="23">
        <v>8610498</v>
      </c>
      <c r="D32" s="24">
        <v>51308252</v>
      </c>
      <c r="E32" s="25">
        <v>56.15</v>
      </c>
      <c r="F32" s="26">
        <v>495.79</v>
      </c>
      <c r="G32" s="27">
        <f t="shared" si="3"/>
        <v>27838.608500000002</v>
      </c>
      <c r="H32" s="28">
        <v>43524.160000000003</v>
      </c>
      <c r="I32" s="29">
        <f t="shared" si="4"/>
        <v>2443881.5840000003</v>
      </c>
      <c r="J32" s="30" t="s">
        <v>13</v>
      </c>
      <c r="K32" s="31" t="s">
        <v>14</v>
      </c>
    </row>
    <row r="33" spans="1:11" x14ac:dyDescent="0.25">
      <c r="A33" s="21">
        <f t="shared" si="5"/>
        <v>28</v>
      </c>
      <c r="B33" s="22">
        <v>46050</v>
      </c>
      <c r="C33" s="23">
        <v>8610498</v>
      </c>
      <c r="D33" s="24">
        <v>57446692</v>
      </c>
      <c r="E33" s="25">
        <v>58.65</v>
      </c>
      <c r="F33" s="26">
        <v>495.79</v>
      </c>
      <c r="G33" s="27">
        <f t="shared" si="3"/>
        <v>29078.083500000001</v>
      </c>
      <c r="H33" s="28">
        <v>43524.160000000003</v>
      </c>
      <c r="I33" s="29">
        <f t="shared" si="4"/>
        <v>2552691.9840000002</v>
      </c>
      <c r="J33" s="30" t="s">
        <v>13</v>
      </c>
      <c r="K33" s="31" t="s">
        <v>14</v>
      </c>
    </row>
    <row r="34" spans="1:11" x14ac:dyDescent="0.25">
      <c r="A34" s="21">
        <f t="shared" si="5"/>
        <v>29</v>
      </c>
      <c r="B34" s="22">
        <v>46050</v>
      </c>
      <c r="C34" s="23">
        <v>8610498</v>
      </c>
      <c r="D34" s="24">
        <v>73120339</v>
      </c>
      <c r="E34" s="25">
        <v>60.4</v>
      </c>
      <c r="F34" s="26">
        <v>495.79</v>
      </c>
      <c r="G34" s="27">
        <f t="shared" si="3"/>
        <v>29945.716</v>
      </c>
      <c r="H34" s="28">
        <v>43524.160000000003</v>
      </c>
      <c r="I34" s="29">
        <f t="shared" si="4"/>
        <v>2628859.264</v>
      </c>
      <c r="J34" s="30" t="s">
        <v>13</v>
      </c>
      <c r="K34" s="31" t="s">
        <v>14</v>
      </c>
    </row>
    <row r="35" spans="1:11" x14ac:dyDescent="0.25">
      <c r="A35" s="21">
        <f t="shared" si="5"/>
        <v>30</v>
      </c>
      <c r="B35" s="22">
        <v>46050</v>
      </c>
      <c r="C35" s="23">
        <v>8610498</v>
      </c>
      <c r="D35" s="24">
        <v>73137333</v>
      </c>
      <c r="E35" s="25">
        <v>58.65</v>
      </c>
      <c r="F35" s="26">
        <v>495.79</v>
      </c>
      <c r="G35" s="27">
        <f t="shared" si="3"/>
        <v>29078.083500000001</v>
      </c>
      <c r="H35" s="28">
        <v>43524.160000000003</v>
      </c>
      <c r="I35" s="29">
        <f t="shared" si="4"/>
        <v>2552691.9840000002</v>
      </c>
      <c r="J35" s="30" t="s">
        <v>13</v>
      </c>
      <c r="K35" s="31" t="s">
        <v>14</v>
      </c>
    </row>
    <row r="36" spans="1:11" x14ac:dyDescent="0.25">
      <c r="A36" s="21">
        <f t="shared" si="5"/>
        <v>31</v>
      </c>
      <c r="B36" s="22">
        <v>46050</v>
      </c>
      <c r="C36" s="23">
        <v>8610498</v>
      </c>
      <c r="D36" s="24">
        <v>73166217</v>
      </c>
      <c r="E36" s="25">
        <v>59.75</v>
      </c>
      <c r="F36" s="26">
        <v>495.79</v>
      </c>
      <c r="G36" s="27">
        <f t="shared" si="3"/>
        <v>29623.452499999999</v>
      </c>
      <c r="H36" s="28">
        <v>43524.160000000003</v>
      </c>
      <c r="I36" s="29">
        <f t="shared" si="4"/>
        <v>2600568.56</v>
      </c>
      <c r="J36" s="30" t="s">
        <v>13</v>
      </c>
      <c r="K36" s="31" t="s">
        <v>14</v>
      </c>
    </row>
    <row r="37" spans="1:11" x14ac:dyDescent="0.25">
      <c r="A37" s="21">
        <f t="shared" si="5"/>
        <v>32</v>
      </c>
      <c r="B37" s="22">
        <v>46050</v>
      </c>
      <c r="C37" s="23">
        <v>8610498</v>
      </c>
      <c r="D37" s="24">
        <v>73169328</v>
      </c>
      <c r="E37" s="25">
        <v>59.7</v>
      </c>
      <c r="F37" s="26">
        <v>495.79</v>
      </c>
      <c r="G37" s="27">
        <f t="shared" si="3"/>
        <v>29598.663000000004</v>
      </c>
      <c r="H37" s="28">
        <v>43524.160000000003</v>
      </c>
      <c r="I37" s="29">
        <f t="shared" si="4"/>
        <v>2598392.3520000004</v>
      </c>
      <c r="J37" s="30" t="s">
        <v>13</v>
      </c>
      <c r="K37" s="31" t="s">
        <v>14</v>
      </c>
    </row>
    <row r="38" spans="1:11" x14ac:dyDescent="0.25">
      <c r="A38" s="21">
        <f t="shared" si="5"/>
        <v>33</v>
      </c>
      <c r="B38" s="22">
        <v>46050</v>
      </c>
      <c r="C38" s="23">
        <v>8610498</v>
      </c>
      <c r="D38" s="24">
        <v>73225385</v>
      </c>
      <c r="E38" s="25">
        <v>60.55</v>
      </c>
      <c r="F38" s="26">
        <v>495.79</v>
      </c>
      <c r="G38" s="27">
        <f t="shared" si="3"/>
        <v>30020.084500000001</v>
      </c>
      <c r="H38" s="28">
        <v>43524.160000000003</v>
      </c>
      <c r="I38" s="29">
        <f t="shared" si="4"/>
        <v>2635387.8880000003</v>
      </c>
      <c r="J38" s="30" t="s">
        <v>13</v>
      </c>
      <c r="K38" s="31" t="s">
        <v>14</v>
      </c>
    </row>
    <row r="39" spans="1:11" x14ac:dyDescent="0.25">
      <c r="A39" s="21">
        <f t="shared" si="5"/>
        <v>34</v>
      </c>
      <c r="B39" s="22">
        <v>46050</v>
      </c>
      <c r="C39" s="23">
        <v>8610498</v>
      </c>
      <c r="D39" s="24">
        <v>73229270</v>
      </c>
      <c r="E39" s="25">
        <v>61.1</v>
      </c>
      <c r="F39" s="26">
        <v>495.79</v>
      </c>
      <c r="G39" s="27">
        <f t="shared" si="3"/>
        <v>30292.769</v>
      </c>
      <c r="H39" s="28">
        <v>43524.160000000003</v>
      </c>
      <c r="I39" s="29">
        <f t="shared" si="4"/>
        <v>2659326.1760000004</v>
      </c>
      <c r="J39" s="30" t="s">
        <v>13</v>
      </c>
      <c r="K39" s="31" t="s">
        <v>14</v>
      </c>
    </row>
    <row r="40" spans="1:11" ht="15.75" thickBot="1" x14ac:dyDescent="0.3">
      <c r="A40" s="32">
        <f>A39+1</f>
        <v>35</v>
      </c>
      <c r="B40" s="33">
        <v>46050</v>
      </c>
      <c r="C40" s="34">
        <v>8610498</v>
      </c>
      <c r="D40" s="35">
        <v>73232035</v>
      </c>
      <c r="E40" s="36">
        <v>59.9</v>
      </c>
      <c r="F40" s="50">
        <v>495.79</v>
      </c>
      <c r="G40" s="37">
        <f t="shared" si="3"/>
        <v>29697.821</v>
      </c>
      <c r="H40" s="38">
        <v>43524.160000000003</v>
      </c>
      <c r="I40" s="39">
        <f t="shared" si="4"/>
        <v>2607097.1840000004</v>
      </c>
      <c r="J40" s="40" t="s">
        <v>13</v>
      </c>
      <c r="K40" s="41" t="s">
        <v>14</v>
      </c>
    </row>
    <row r="41" spans="1:11" ht="15.75" thickBot="1" x14ac:dyDescent="0.3">
      <c r="A41" s="51"/>
      <c r="B41" s="52"/>
      <c r="C41" s="52"/>
      <c r="D41" s="52"/>
      <c r="E41" s="53"/>
      <c r="F41" s="52"/>
      <c r="G41" s="54"/>
      <c r="H41" s="55"/>
      <c r="I41" s="56"/>
      <c r="J41" s="52"/>
      <c r="K41" s="57"/>
    </row>
    <row r="42" spans="1:11" x14ac:dyDescent="0.25">
      <c r="A42" s="58">
        <v>36</v>
      </c>
      <c r="B42" s="59">
        <v>46051</v>
      </c>
      <c r="C42" s="60">
        <v>8610559</v>
      </c>
      <c r="D42" s="61">
        <v>51340032</v>
      </c>
      <c r="E42" s="62">
        <v>62.5</v>
      </c>
      <c r="F42" s="63">
        <v>495.79</v>
      </c>
      <c r="G42" s="64">
        <f t="shared" ref="G42:G53" si="6">E42*F42</f>
        <v>30986.875</v>
      </c>
      <c r="H42" s="65">
        <v>43524.160000000003</v>
      </c>
      <c r="I42" s="66">
        <f t="shared" ref="I42:I53" si="7">E42*H42</f>
        <v>2720260</v>
      </c>
      <c r="J42" s="67" t="s">
        <v>13</v>
      </c>
      <c r="K42" s="68" t="s">
        <v>14</v>
      </c>
    </row>
    <row r="43" spans="1:11" x14ac:dyDescent="0.25">
      <c r="A43" s="69">
        <f>A42+1</f>
        <v>37</v>
      </c>
      <c r="B43" s="22">
        <v>46051</v>
      </c>
      <c r="C43" s="23">
        <v>8610559</v>
      </c>
      <c r="D43" s="24">
        <v>51513380</v>
      </c>
      <c r="E43" s="25">
        <v>59.3</v>
      </c>
      <c r="F43" s="26">
        <v>495.79</v>
      </c>
      <c r="G43" s="27">
        <f t="shared" si="6"/>
        <v>29400.347000000002</v>
      </c>
      <c r="H43" s="28">
        <v>43524.160000000003</v>
      </c>
      <c r="I43" s="29">
        <f t="shared" si="7"/>
        <v>2580982.6880000001</v>
      </c>
      <c r="J43" s="30" t="s">
        <v>13</v>
      </c>
      <c r="K43" s="31" t="s">
        <v>14</v>
      </c>
    </row>
    <row r="44" spans="1:11" x14ac:dyDescent="0.25">
      <c r="A44" s="69">
        <f t="shared" ref="A44:A53" si="8">A43+1</f>
        <v>38</v>
      </c>
      <c r="B44" s="22">
        <v>46051</v>
      </c>
      <c r="C44" s="23">
        <v>8610559</v>
      </c>
      <c r="D44" s="24">
        <v>53935144</v>
      </c>
      <c r="E44" s="25">
        <v>58.65</v>
      </c>
      <c r="F44" s="26">
        <v>495.79</v>
      </c>
      <c r="G44" s="27">
        <f t="shared" si="6"/>
        <v>29078.083500000001</v>
      </c>
      <c r="H44" s="28">
        <v>43524.160000000003</v>
      </c>
      <c r="I44" s="29">
        <f t="shared" si="7"/>
        <v>2552691.9840000002</v>
      </c>
      <c r="J44" s="30" t="s">
        <v>13</v>
      </c>
      <c r="K44" s="31" t="s">
        <v>14</v>
      </c>
    </row>
    <row r="45" spans="1:11" x14ac:dyDescent="0.25">
      <c r="A45" s="69">
        <f t="shared" si="8"/>
        <v>39</v>
      </c>
      <c r="B45" s="22">
        <v>46051</v>
      </c>
      <c r="C45" s="23">
        <v>8610559</v>
      </c>
      <c r="D45" s="24">
        <v>53935631</v>
      </c>
      <c r="E45" s="25">
        <v>58.5</v>
      </c>
      <c r="F45" s="26">
        <v>495.79</v>
      </c>
      <c r="G45" s="27">
        <f t="shared" si="6"/>
        <v>29003.715</v>
      </c>
      <c r="H45" s="28">
        <v>43524.160000000003</v>
      </c>
      <c r="I45" s="29">
        <f t="shared" si="7"/>
        <v>2546163.3600000003</v>
      </c>
      <c r="J45" s="30" t="s">
        <v>13</v>
      </c>
      <c r="K45" s="31" t="s">
        <v>14</v>
      </c>
    </row>
    <row r="46" spans="1:11" x14ac:dyDescent="0.25">
      <c r="A46" s="69">
        <f t="shared" si="8"/>
        <v>40</v>
      </c>
      <c r="B46" s="22">
        <v>46051</v>
      </c>
      <c r="C46" s="23">
        <v>8610559</v>
      </c>
      <c r="D46" s="24">
        <v>54696091</v>
      </c>
      <c r="E46" s="25">
        <v>62.4</v>
      </c>
      <c r="F46" s="26">
        <v>495.79</v>
      </c>
      <c r="G46" s="27">
        <f t="shared" si="6"/>
        <v>30937.296000000002</v>
      </c>
      <c r="H46" s="28">
        <v>43524.160000000003</v>
      </c>
      <c r="I46" s="29">
        <f t="shared" si="7"/>
        <v>2715907.5840000003</v>
      </c>
      <c r="J46" s="30" t="s">
        <v>13</v>
      </c>
      <c r="K46" s="31" t="s">
        <v>14</v>
      </c>
    </row>
    <row r="47" spans="1:11" x14ac:dyDescent="0.25">
      <c r="A47" s="69">
        <f t="shared" si="8"/>
        <v>41</v>
      </c>
      <c r="B47" s="22">
        <v>46051</v>
      </c>
      <c r="C47" s="23">
        <v>8610559</v>
      </c>
      <c r="D47" s="24">
        <v>73185563</v>
      </c>
      <c r="E47" s="25">
        <v>62.1</v>
      </c>
      <c r="F47" s="26">
        <v>495.79</v>
      </c>
      <c r="G47" s="27">
        <f t="shared" si="6"/>
        <v>30788.559000000001</v>
      </c>
      <c r="H47" s="28">
        <v>43524.160000000003</v>
      </c>
      <c r="I47" s="29">
        <f t="shared" si="7"/>
        <v>2702850.3360000001</v>
      </c>
      <c r="J47" s="30" t="s">
        <v>13</v>
      </c>
      <c r="K47" s="31" t="s">
        <v>14</v>
      </c>
    </row>
    <row r="48" spans="1:11" x14ac:dyDescent="0.25">
      <c r="A48" s="69">
        <f t="shared" si="8"/>
        <v>42</v>
      </c>
      <c r="B48" s="22">
        <v>46051</v>
      </c>
      <c r="C48" s="23">
        <v>8610559</v>
      </c>
      <c r="D48" s="24">
        <v>73964405</v>
      </c>
      <c r="E48" s="25">
        <v>61.35</v>
      </c>
      <c r="F48" s="26">
        <v>495.79</v>
      </c>
      <c r="G48" s="27">
        <f t="shared" si="6"/>
        <v>30416.716500000002</v>
      </c>
      <c r="H48" s="28">
        <v>43524.160000000003</v>
      </c>
      <c r="I48" s="29">
        <f t="shared" si="7"/>
        <v>2670207.2160000005</v>
      </c>
      <c r="J48" s="30" t="s">
        <v>13</v>
      </c>
      <c r="K48" s="31" t="s">
        <v>14</v>
      </c>
    </row>
    <row r="49" spans="1:11" x14ac:dyDescent="0.25">
      <c r="A49" s="69">
        <f t="shared" si="8"/>
        <v>43</v>
      </c>
      <c r="B49" s="22">
        <v>46051</v>
      </c>
      <c r="C49" s="23">
        <v>8610559</v>
      </c>
      <c r="D49" s="24">
        <v>75056986</v>
      </c>
      <c r="E49" s="25">
        <v>64.25</v>
      </c>
      <c r="F49" s="26">
        <v>495.79</v>
      </c>
      <c r="G49" s="27">
        <f t="shared" si="6"/>
        <v>31854.5075</v>
      </c>
      <c r="H49" s="28">
        <v>43524.160000000003</v>
      </c>
      <c r="I49" s="29">
        <f t="shared" si="7"/>
        <v>2796427.2800000003</v>
      </c>
      <c r="J49" s="30" t="s">
        <v>13</v>
      </c>
      <c r="K49" s="31" t="s">
        <v>14</v>
      </c>
    </row>
    <row r="50" spans="1:11" x14ac:dyDescent="0.25">
      <c r="A50" s="69">
        <f t="shared" si="8"/>
        <v>44</v>
      </c>
      <c r="B50" s="22">
        <v>46051</v>
      </c>
      <c r="C50" s="23">
        <v>8610559</v>
      </c>
      <c r="D50" s="24">
        <v>75295915</v>
      </c>
      <c r="E50" s="25">
        <v>64.900000000000006</v>
      </c>
      <c r="F50" s="26">
        <v>495.79</v>
      </c>
      <c r="G50" s="27">
        <f t="shared" si="6"/>
        <v>32176.771000000004</v>
      </c>
      <c r="H50" s="28">
        <v>43524.160000000003</v>
      </c>
      <c r="I50" s="29">
        <f t="shared" si="7"/>
        <v>2824717.9840000006</v>
      </c>
      <c r="J50" s="30" t="s">
        <v>13</v>
      </c>
      <c r="K50" s="31" t="s">
        <v>14</v>
      </c>
    </row>
    <row r="51" spans="1:11" x14ac:dyDescent="0.25">
      <c r="A51" s="69">
        <f t="shared" si="8"/>
        <v>45</v>
      </c>
      <c r="B51" s="22">
        <v>46051</v>
      </c>
      <c r="C51" s="23">
        <v>8610559</v>
      </c>
      <c r="D51" s="24">
        <v>75523795</v>
      </c>
      <c r="E51" s="25">
        <v>63.05</v>
      </c>
      <c r="F51" s="26">
        <v>495.79</v>
      </c>
      <c r="G51" s="27">
        <f t="shared" si="6"/>
        <v>31259.559499999999</v>
      </c>
      <c r="H51" s="28">
        <v>43524.160000000003</v>
      </c>
      <c r="I51" s="29">
        <f t="shared" si="7"/>
        <v>2744198.2880000002</v>
      </c>
      <c r="J51" s="30" t="s">
        <v>13</v>
      </c>
      <c r="K51" s="31" t="s">
        <v>14</v>
      </c>
    </row>
    <row r="52" spans="1:11" x14ac:dyDescent="0.25">
      <c r="A52" s="69">
        <f t="shared" si="8"/>
        <v>46</v>
      </c>
      <c r="B52" s="22">
        <v>46051</v>
      </c>
      <c r="C52" s="23">
        <v>8610559</v>
      </c>
      <c r="D52" s="24">
        <v>76198399</v>
      </c>
      <c r="E52" s="25">
        <v>61.5</v>
      </c>
      <c r="F52" s="26">
        <v>495.79</v>
      </c>
      <c r="G52" s="27">
        <f t="shared" si="6"/>
        <v>30491.085000000003</v>
      </c>
      <c r="H52" s="28">
        <v>43524.160000000003</v>
      </c>
      <c r="I52" s="29">
        <f t="shared" si="7"/>
        <v>2676735.8400000003</v>
      </c>
      <c r="J52" s="30" t="s">
        <v>13</v>
      </c>
      <c r="K52" s="31" t="s">
        <v>14</v>
      </c>
    </row>
    <row r="53" spans="1:11" ht="15.75" thickBot="1" x14ac:dyDescent="0.3">
      <c r="A53" s="70">
        <f t="shared" si="8"/>
        <v>47</v>
      </c>
      <c r="B53" s="71">
        <v>46051</v>
      </c>
      <c r="C53" s="72">
        <v>8610559</v>
      </c>
      <c r="D53" s="73">
        <v>76422997</v>
      </c>
      <c r="E53" s="74">
        <v>63.8</v>
      </c>
      <c r="F53" s="26">
        <v>495.79</v>
      </c>
      <c r="G53" s="75">
        <f t="shared" si="6"/>
        <v>31631.401999999998</v>
      </c>
      <c r="H53" s="76">
        <v>43524.160000000003</v>
      </c>
      <c r="I53" s="77">
        <f t="shared" si="7"/>
        <v>2776841.4080000003</v>
      </c>
      <c r="J53" s="30" t="s">
        <v>13</v>
      </c>
      <c r="K53" s="78" t="s">
        <v>14</v>
      </c>
    </row>
    <row r="54" spans="1:11" ht="15.75" thickBot="1" x14ac:dyDescent="0.3">
      <c r="A54" s="51"/>
      <c r="B54" s="52"/>
      <c r="C54" s="52"/>
      <c r="D54" s="52"/>
      <c r="E54" s="53"/>
      <c r="F54" s="52"/>
      <c r="G54" s="54"/>
      <c r="H54" s="55"/>
      <c r="I54" s="56"/>
      <c r="J54" s="52"/>
      <c r="K54" s="79"/>
    </row>
    <row r="55" spans="1:11" x14ac:dyDescent="0.25">
      <c r="A55" s="10">
        <v>48</v>
      </c>
      <c r="B55" s="11">
        <v>46052</v>
      </c>
      <c r="C55" s="12">
        <v>8610571</v>
      </c>
      <c r="D55" s="13">
        <v>50937911</v>
      </c>
      <c r="E55" s="14">
        <v>61</v>
      </c>
      <c r="F55" s="26">
        <v>495.79</v>
      </c>
      <c r="G55" s="16">
        <f t="shared" ref="G55:G64" si="9">E55*F55</f>
        <v>30243.190000000002</v>
      </c>
      <c r="H55" s="17">
        <v>43524.160000000003</v>
      </c>
      <c r="I55" s="18">
        <f t="shared" ref="I55:I64" si="10">E55*H55</f>
        <v>2654973.7600000002</v>
      </c>
      <c r="J55" s="19" t="s">
        <v>13</v>
      </c>
      <c r="K55" s="20" t="s">
        <v>14</v>
      </c>
    </row>
    <row r="56" spans="1:11" x14ac:dyDescent="0.25">
      <c r="A56" s="21">
        <f>A55+1</f>
        <v>49</v>
      </c>
      <c r="B56" s="22">
        <v>46052</v>
      </c>
      <c r="C56" s="23">
        <v>8610571</v>
      </c>
      <c r="D56" s="24">
        <v>51378586</v>
      </c>
      <c r="E56" s="25">
        <v>57.35</v>
      </c>
      <c r="F56" s="26">
        <v>495.79</v>
      </c>
      <c r="G56" s="27">
        <f t="shared" si="9"/>
        <v>28433.556500000002</v>
      </c>
      <c r="H56" s="28">
        <v>43524.160000000003</v>
      </c>
      <c r="I56" s="29">
        <f t="shared" si="10"/>
        <v>2496110.5760000004</v>
      </c>
      <c r="J56" s="30" t="s">
        <v>13</v>
      </c>
      <c r="K56" s="31" t="s">
        <v>14</v>
      </c>
    </row>
    <row r="57" spans="1:11" x14ac:dyDescent="0.25">
      <c r="A57" s="21">
        <f t="shared" ref="A57:A64" si="11">A56+1</f>
        <v>50</v>
      </c>
      <c r="B57" s="22">
        <v>46052</v>
      </c>
      <c r="C57" s="23">
        <v>8610571</v>
      </c>
      <c r="D57" s="24">
        <v>51791002</v>
      </c>
      <c r="E57" s="25">
        <v>57.55</v>
      </c>
      <c r="F57" s="26">
        <v>495.79</v>
      </c>
      <c r="G57" s="27">
        <f t="shared" si="9"/>
        <v>28532.714499999998</v>
      </c>
      <c r="H57" s="28">
        <v>43524.160000000003</v>
      </c>
      <c r="I57" s="29">
        <f t="shared" si="10"/>
        <v>2504815.4080000003</v>
      </c>
      <c r="J57" s="30" t="s">
        <v>13</v>
      </c>
      <c r="K57" s="31" t="s">
        <v>14</v>
      </c>
    </row>
    <row r="58" spans="1:11" x14ac:dyDescent="0.25">
      <c r="A58" s="21">
        <f t="shared" si="11"/>
        <v>51</v>
      </c>
      <c r="B58" s="22">
        <v>46052</v>
      </c>
      <c r="C58" s="23">
        <v>8610571</v>
      </c>
      <c r="D58" s="24">
        <v>51858553</v>
      </c>
      <c r="E58" s="25">
        <v>61.45</v>
      </c>
      <c r="F58" s="26">
        <v>495.79</v>
      </c>
      <c r="G58" s="27">
        <f t="shared" si="9"/>
        <v>30466.295500000004</v>
      </c>
      <c r="H58" s="28">
        <v>43524.160000000003</v>
      </c>
      <c r="I58" s="29">
        <f t="shared" si="10"/>
        <v>2674559.6320000002</v>
      </c>
      <c r="J58" s="30" t="s">
        <v>13</v>
      </c>
      <c r="K58" s="31" t="s">
        <v>14</v>
      </c>
    </row>
    <row r="59" spans="1:11" x14ac:dyDescent="0.25">
      <c r="A59" s="21">
        <f t="shared" si="11"/>
        <v>52</v>
      </c>
      <c r="B59" s="22">
        <v>46052</v>
      </c>
      <c r="C59" s="23">
        <v>8610571</v>
      </c>
      <c r="D59" s="24">
        <v>54098553</v>
      </c>
      <c r="E59" s="25">
        <v>60.7</v>
      </c>
      <c r="F59" s="26">
        <v>495.79</v>
      </c>
      <c r="G59" s="27">
        <f t="shared" si="9"/>
        <v>30094.453000000001</v>
      </c>
      <c r="H59" s="28">
        <v>43524.160000000003</v>
      </c>
      <c r="I59" s="29">
        <f t="shared" si="10"/>
        <v>2641916.5120000001</v>
      </c>
      <c r="J59" s="30" t="s">
        <v>13</v>
      </c>
      <c r="K59" s="31" t="s">
        <v>14</v>
      </c>
    </row>
    <row r="60" spans="1:11" x14ac:dyDescent="0.25">
      <c r="A60" s="21">
        <f t="shared" si="11"/>
        <v>53</v>
      </c>
      <c r="B60" s="22">
        <v>46052</v>
      </c>
      <c r="C60" s="23">
        <v>8610571</v>
      </c>
      <c r="D60" s="24">
        <v>54604350</v>
      </c>
      <c r="E60" s="25">
        <v>63.9</v>
      </c>
      <c r="F60" s="26">
        <v>495.79</v>
      </c>
      <c r="G60" s="27">
        <f t="shared" si="9"/>
        <v>31680.981</v>
      </c>
      <c r="H60" s="28">
        <v>43524.160000000003</v>
      </c>
      <c r="I60" s="29">
        <f t="shared" si="10"/>
        <v>2781193.824</v>
      </c>
      <c r="J60" s="30" t="s">
        <v>13</v>
      </c>
      <c r="K60" s="31" t="s">
        <v>14</v>
      </c>
    </row>
    <row r="61" spans="1:11" x14ac:dyDescent="0.25">
      <c r="A61" s="21">
        <f t="shared" si="11"/>
        <v>54</v>
      </c>
      <c r="B61" s="22">
        <v>46052</v>
      </c>
      <c r="C61" s="23">
        <v>8610571</v>
      </c>
      <c r="D61" s="24">
        <v>54699046</v>
      </c>
      <c r="E61" s="25">
        <v>62.05</v>
      </c>
      <c r="F61" s="26">
        <v>495.79</v>
      </c>
      <c r="G61" s="27">
        <f t="shared" si="9"/>
        <v>30763.769499999999</v>
      </c>
      <c r="H61" s="28">
        <v>43524.160000000003</v>
      </c>
      <c r="I61" s="29">
        <f t="shared" si="10"/>
        <v>2700674.128</v>
      </c>
      <c r="J61" s="30" t="s">
        <v>13</v>
      </c>
      <c r="K61" s="31" t="s">
        <v>14</v>
      </c>
    </row>
    <row r="62" spans="1:11" x14ac:dyDescent="0.25">
      <c r="A62" s="21">
        <f t="shared" si="11"/>
        <v>55</v>
      </c>
      <c r="B62" s="22">
        <v>46052</v>
      </c>
      <c r="C62" s="23">
        <v>8610571</v>
      </c>
      <c r="D62" s="24">
        <v>54719117</v>
      </c>
      <c r="E62" s="25">
        <v>63.5</v>
      </c>
      <c r="F62" s="26">
        <v>495.79</v>
      </c>
      <c r="G62" s="27">
        <f t="shared" si="9"/>
        <v>31482.665000000001</v>
      </c>
      <c r="H62" s="28">
        <v>43524.160000000003</v>
      </c>
      <c r="I62" s="29">
        <f t="shared" si="10"/>
        <v>2763784.16</v>
      </c>
      <c r="J62" s="30" t="s">
        <v>13</v>
      </c>
      <c r="K62" s="31" t="s">
        <v>14</v>
      </c>
    </row>
    <row r="63" spans="1:11" x14ac:dyDescent="0.25">
      <c r="A63" s="21">
        <f t="shared" si="11"/>
        <v>56</v>
      </c>
      <c r="B63" s="22">
        <v>46052</v>
      </c>
      <c r="C63" s="23">
        <v>8610571</v>
      </c>
      <c r="D63" s="24">
        <v>57209926</v>
      </c>
      <c r="E63" s="25">
        <v>61.3</v>
      </c>
      <c r="F63" s="26">
        <v>495.79</v>
      </c>
      <c r="G63" s="27">
        <f t="shared" si="9"/>
        <v>30391.927</v>
      </c>
      <c r="H63" s="28">
        <v>43524.160000000003</v>
      </c>
      <c r="I63" s="29">
        <f t="shared" si="10"/>
        <v>2668031.0079999999</v>
      </c>
      <c r="J63" s="30" t="s">
        <v>13</v>
      </c>
      <c r="K63" s="31" t="s">
        <v>14</v>
      </c>
    </row>
    <row r="64" spans="1:11" ht="15.75" thickBot="1" x14ac:dyDescent="0.3">
      <c r="A64" s="80">
        <f t="shared" si="11"/>
        <v>57</v>
      </c>
      <c r="B64" s="71">
        <v>46052</v>
      </c>
      <c r="C64" s="72">
        <v>8610571</v>
      </c>
      <c r="D64" s="73">
        <v>73199069</v>
      </c>
      <c r="E64" s="74">
        <v>60.15</v>
      </c>
      <c r="F64" s="26">
        <v>495.79</v>
      </c>
      <c r="G64" s="75">
        <f t="shared" si="9"/>
        <v>29821.768500000002</v>
      </c>
      <c r="H64" s="76">
        <v>43524.160000000003</v>
      </c>
      <c r="I64" s="77">
        <f t="shared" si="10"/>
        <v>2617978.2239999999</v>
      </c>
      <c r="J64" s="30" t="s">
        <v>13</v>
      </c>
      <c r="K64" s="78" t="s">
        <v>14</v>
      </c>
    </row>
    <row r="65" spans="1:11" ht="15.75" thickBot="1" x14ac:dyDescent="0.3">
      <c r="A65" s="51"/>
      <c r="B65" s="52"/>
      <c r="C65" s="52"/>
      <c r="D65" s="52"/>
      <c r="E65" s="53"/>
      <c r="F65" s="52"/>
      <c r="G65" s="54"/>
      <c r="H65" s="55"/>
      <c r="I65" s="56"/>
      <c r="J65" s="52"/>
      <c r="K65" s="79"/>
    </row>
    <row r="66" spans="1:11" x14ac:dyDescent="0.25">
      <c r="A66" s="58">
        <v>58</v>
      </c>
      <c r="B66" s="59">
        <v>46052</v>
      </c>
      <c r="C66" s="60">
        <v>8610578</v>
      </c>
      <c r="D66" s="61">
        <v>50197813</v>
      </c>
      <c r="E66" s="62">
        <v>60.3</v>
      </c>
      <c r="F66" s="26">
        <v>495.79</v>
      </c>
      <c r="G66" s="64">
        <f t="shared" ref="G66:G97" si="12">E66*F66</f>
        <v>29896.136999999999</v>
      </c>
      <c r="H66" s="65">
        <v>43524.160000000003</v>
      </c>
      <c r="I66" s="66">
        <f t="shared" ref="I66:I97" si="13">E66*H66</f>
        <v>2624506.8480000002</v>
      </c>
      <c r="J66" s="67" t="s">
        <v>13</v>
      </c>
      <c r="K66" s="68" t="s">
        <v>14</v>
      </c>
    </row>
    <row r="67" spans="1:11" x14ac:dyDescent="0.25">
      <c r="A67" s="69">
        <f>A66+1</f>
        <v>59</v>
      </c>
      <c r="B67" s="22">
        <v>46052</v>
      </c>
      <c r="C67" s="23">
        <v>8610577</v>
      </c>
      <c r="D67" s="24">
        <v>50396498</v>
      </c>
      <c r="E67" s="25">
        <v>64</v>
      </c>
      <c r="F67" s="26">
        <v>495.79</v>
      </c>
      <c r="G67" s="27">
        <f t="shared" si="12"/>
        <v>31730.560000000001</v>
      </c>
      <c r="H67" s="28">
        <v>43524.160000000003</v>
      </c>
      <c r="I67" s="29">
        <f t="shared" si="13"/>
        <v>2785546.2400000002</v>
      </c>
      <c r="J67" s="30" t="s">
        <v>13</v>
      </c>
      <c r="K67" s="31" t="s">
        <v>14</v>
      </c>
    </row>
    <row r="68" spans="1:11" x14ac:dyDescent="0.25">
      <c r="A68" s="69">
        <f t="shared" ref="A68:A97" si="14">A67+1</f>
        <v>60</v>
      </c>
      <c r="B68" s="22">
        <v>46052</v>
      </c>
      <c r="C68" s="23">
        <v>8610578</v>
      </c>
      <c r="D68" s="24">
        <v>50400076</v>
      </c>
      <c r="E68" s="25">
        <v>61.55</v>
      </c>
      <c r="F68" s="26">
        <v>495.79</v>
      </c>
      <c r="G68" s="27">
        <f t="shared" si="12"/>
        <v>30515.874499999998</v>
      </c>
      <c r="H68" s="28">
        <v>43524.160000000003</v>
      </c>
      <c r="I68" s="29">
        <f t="shared" si="13"/>
        <v>2678912.048</v>
      </c>
      <c r="J68" s="30" t="s">
        <v>13</v>
      </c>
      <c r="K68" s="31" t="s">
        <v>14</v>
      </c>
    </row>
    <row r="69" spans="1:11" x14ac:dyDescent="0.25">
      <c r="A69" s="69">
        <f t="shared" si="14"/>
        <v>61</v>
      </c>
      <c r="B69" s="22">
        <v>46052</v>
      </c>
      <c r="C69" s="23">
        <v>8610578</v>
      </c>
      <c r="D69" s="24">
        <v>50409705</v>
      </c>
      <c r="E69" s="25">
        <v>61.2</v>
      </c>
      <c r="F69" s="26">
        <v>495.79</v>
      </c>
      <c r="G69" s="27">
        <f t="shared" si="12"/>
        <v>30342.348000000002</v>
      </c>
      <c r="H69" s="28">
        <v>43524.160000000003</v>
      </c>
      <c r="I69" s="29">
        <f t="shared" si="13"/>
        <v>2663678.5920000002</v>
      </c>
      <c r="J69" s="30" t="s">
        <v>13</v>
      </c>
      <c r="K69" s="31" t="s">
        <v>14</v>
      </c>
    </row>
    <row r="70" spans="1:11" x14ac:dyDescent="0.25">
      <c r="A70" s="69">
        <f t="shared" si="14"/>
        <v>62</v>
      </c>
      <c r="B70" s="22">
        <v>46052</v>
      </c>
      <c r="C70" s="23">
        <v>8610578</v>
      </c>
      <c r="D70" s="24">
        <v>50510395</v>
      </c>
      <c r="E70" s="25">
        <v>60.5</v>
      </c>
      <c r="F70" s="26">
        <v>495.79</v>
      </c>
      <c r="G70" s="27">
        <f t="shared" si="12"/>
        <v>29995.295000000002</v>
      </c>
      <c r="H70" s="28">
        <v>43524.160000000003</v>
      </c>
      <c r="I70" s="29">
        <f t="shared" si="13"/>
        <v>2633211.6800000002</v>
      </c>
      <c r="J70" s="30" t="s">
        <v>13</v>
      </c>
      <c r="K70" s="31" t="s">
        <v>14</v>
      </c>
    </row>
    <row r="71" spans="1:11" x14ac:dyDescent="0.25">
      <c r="A71" s="69">
        <f t="shared" si="14"/>
        <v>63</v>
      </c>
      <c r="B71" s="22">
        <v>46052</v>
      </c>
      <c r="C71" s="23">
        <v>8610577</v>
      </c>
      <c r="D71" s="24">
        <v>51391183</v>
      </c>
      <c r="E71" s="25">
        <v>57.55</v>
      </c>
      <c r="F71" s="26">
        <v>495.79</v>
      </c>
      <c r="G71" s="27">
        <f t="shared" si="12"/>
        <v>28532.714499999998</v>
      </c>
      <c r="H71" s="28">
        <v>43524.160000000003</v>
      </c>
      <c r="I71" s="29">
        <f t="shared" si="13"/>
        <v>2504815.4080000003</v>
      </c>
      <c r="J71" s="30" t="s">
        <v>13</v>
      </c>
      <c r="K71" s="31" t="s">
        <v>14</v>
      </c>
    </row>
    <row r="72" spans="1:11" x14ac:dyDescent="0.25">
      <c r="A72" s="69">
        <f t="shared" si="14"/>
        <v>64</v>
      </c>
      <c r="B72" s="22">
        <v>46052</v>
      </c>
      <c r="C72" s="23">
        <v>8610579</v>
      </c>
      <c r="D72" s="24">
        <v>51393700</v>
      </c>
      <c r="E72" s="25">
        <v>60.85</v>
      </c>
      <c r="F72" s="26">
        <v>495.79</v>
      </c>
      <c r="G72" s="27">
        <f t="shared" si="12"/>
        <v>30168.821500000002</v>
      </c>
      <c r="H72" s="28">
        <v>43524.160000000003</v>
      </c>
      <c r="I72" s="29">
        <f t="shared" si="13"/>
        <v>2648445.1360000004</v>
      </c>
      <c r="J72" s="30" t="s">
        <v>13</v>
      </c>
      <c r="K72" s="31" t="s">
        <v>14</v>
      </c>
    </row>
    <row r="73" spans="1:11" x14ac:dyDescent="0.25">
      <c r="A73" s="69">
        <f t="shared" si="14"/>
        <v>65</v>
      </c>
      <c r="B73" s="22">
        <v>46052</v>
      </c>
      <c r="C73" s="23">
        <v>8610578</v>
      </c>
      <c r="D73" s="24">
        <v>53914735</v>
      </c>
      <c r="E73" s="25">
        <v>57.2</v>
      </c>
      <c r="F73" s="26">
        <v>495.79</v>
      </c>
      <c r="G73" s="27">
        <f t="shared" si="12"/>
        <v>28359.188000000002</v>
      </c>
      <c r="H73" s="28">
        <v>43524.160000000003</v>
      </c>
      <c r="I73" s="29">
        <f t="shared" si="13"/>
        <v>2489581.9520000005</v>
      </c>
      <c r="J73" s="30" t="s">
        <v>13</v>
      </c>
      <c r="K73" s="31" t="s">
        <v>14</v>
      </c>
    </row>
    <row r="74" spans="1:11" x14ac:dyDescent="0.25">
      <c r="A74" s="69">
        <f t="shared" si="14"/>
        <v>66</v>
      </c>
      <c r="B74" s="22">
        <v>46052</v>
      </c>
      <c r="C74" s="23">
        <v>8610577</v>
      </c>
      <c r="D74" s="24">
        <v>53950267</v>
      </c>
      <c r="E74" s="25">
        <v>56.5</v>
      </c>
      <c r="F74" s="26">
        <v>495.79</v>
      </c>
      <c r="G74" s="27">
        <f t="shared" si="12"/>
        <v>28012.135000000002</v>
      </c>
      <c r="H74" s="28">
        <v>43524.160000000003</v>
      </c>
      <c r="I74" s="29">
        <f t="shared" si="13"/>
        <v>2459115.04</v>
      </c>
      <c r="J74" s="30" t="s">
        <v>13</v>
      </c>
      <c r="K74" s="31" t="s">
        <v>14</v>
      </c>
    </row>
    <row r="75" spans="1:11" x14ac:dyDescent="0.25">
      <c r="A75" s="69">
        <f t="shared" si="14"/>
        <v>67</v>
      </c>
      <c r="B75" s="22">
        <v>46052</v>
      </c>
      <c r="C75" s="23">
        <v>8610579</v>
      </c>
      <c r="D75" s="24">
        <v>54027081</v>
      </c>
      <c r="E75" s="25">
        <v>61.55</v>
      </c>
      <c r="F75" s="26">
        <v>495.79</v>
      </c>
      <c r="G75" s="27">
        <f t="shared" si="12"/>
        <v>30515.874499999998</v>
      </c>
      <c r="H75" s="28">
        <v>43524.160000000003</v>
      </c>
      <c r="I75" s="29">
        <f t="shared" si="13"/>
        <v>2678912.048</v>
      </c>
      <c r="J75" s="30" t="s">
        <v>13</v>
      </c>
      <c r="K75" s="31" t="s">
        <v>14</v>
      </c>
    </row>
    <row r="76" spans="1:11" x14ac:dyDescent="0.25">
      <c r="A76" s="69">
        <f t="shared" si="14"/>
        <v>68</v>
      </c>
      <c r="B76" s="22">
        <v>46052</v>
      </c>
      <c r="C76" s="23">
        <v>8610579</v>
      </c>
      <c r="D76" s="24">
        <v>54247283</v>
      </c>
      <c r="E76" s="25">
        <v>60.85</v>
      </c>
      <c r="F76" s="26">
        <v>495.79</v>
      </c>
      <c r="G76" s="27">
        <f t="shared" si="12"/>
        <v>30168.821500000002</v>
      </c>
      <c r="H76" s="28">
        <v>43524.160000000003</v>
      </c>
      <c r="I76" s="29">
        <f t="shared" si="13"/>
        <v>2648445.1360000004</v>
      </c>
      <c r="J76" s="30" t="s">
        <v>13</v>
      </c>
      <c r="K76" s="31" t="s">
        <v>14</v>
      </c>
    </row>
    <row r="77" spans="1:11" x14ac:dyDescent="0.25">
      <c r="A77" s="69">
        <f t="shared" si="14"/>
        <v>69</v>
      </c>
      <c r="B77" s="22">
        <v>46052</v>
      </c>
      <c r="C77" s="23">
        <v>8610577</v>
      </c>
      <c r="D77" s="24">
        <v>54596903</v>
      </c>
      <c r="E77" s="25">
        <v>61.25</v>
      </c>
      <c r="F77" s="26">
        <v>495.79</v>
      </c>
      <c r="G77" s="27">
        <f t="shared" si="12"/>
        <v>30367.137500000001</v>
      </c>
      <c r="H77" s="28">
        <v>43524.160000000003</v>
      </c>
      <c r="I77" s="29">
        <f t="shared" si="13"/>
        <v>2665854.8000000003</v>
      </c>
      <c r="J77" s="30" t="s">
        <v>13</v>
      </c>
      <c r="K77" s="31" t="s">
        <v>14</v>
      </c>
    </row>
    <row r="78" spans="1:11" x14ac:dyDescent="0.25">
      <c r="A78" s="69">
        <f t="shared" si="14"/>
        <v>70</v>
      </c>
      <c r="B78" s="22">
        <v>46052</v>
      </c>
      <c r="C78" s="23">
        <v>8610577</v>
      </c>
      <c r="D78" s="24">
        <v>54744867</v>
      </c>
      <c r="E78" s="25">
        <v>63.25</v>
      </c>
      <c r="F78" s="26">
        <v>495.79</v>
      </c>
      <c r="G78" s="27">
        <f t="shared" si="12"/>
        <v>31358.717500000002</v>
      </c>
      <c r="H78" s="28">
        <v>43524.160000000003</v>
      </c>
      <c r="I78" s="29">
        <f t="shared" si="13"/>
        <v>2752903.12</v>
      </c>
      <c r="J78" s="30" t="s">
        <v>13</v>
      </c>
      <c r="K78" s="31" t="s">
        <v>14</v>
      </c>
    </row>
    <row r="79" spans="1:11" x14ac:dyDescent="0.25">
      <c r="A79" s="69">
        <f t="shared" si="14"/>
        <v>71</v>
      </c>
      <c r="B79" s="22">
        <v>46052</v>
      </c>
      <c r="C79" s="23">
        <v>8610578</v>
      </c>
      <c r="D79" s="24">
        <v>57451411</v>
      </c>
      <c r="E79" s="25">
        <v>62.1</v>
      </c>
      <c r="F79" s="26">
        <v>495.79</v>
      </c>
      <c r="G79" s="27">
        <f t="shared" si="12"/>
        <v>30788.559000000001</v>
      </c>
      <c r="H79" s="28">
        <v>43524.160000000003</v>
      </c>
      <c r="I79" s="29">
        <f t="shared" si="13"/>
        <v>2702850.3360000001</v>
      </c>
      <c r="J79" s="30" t="s">
        <v>13</v>
      </c>
      <c r="K79" s="31" t="s">
        <v>14</v>
      </c>
    </row>
    <row r="80" spans="1:11" x14ac:dyDescent="0.25">
      <c r="A80" s="69">
        <f t="shared" si="14"/>
        <v>72</v>
      </c>
      <c r="B80" s="22">
        <v>46052</v>
      </c>
      <c r="C80" s="23">
        <v>8610579</v>
      </c>
      <c r="D80" s="24">
        <v>57462095</v>
      </c>
      <c r="E80" s="25">
        <v>61.45</v>
      </c>
      <c r="F80" s="26">
        <v>495.79</v>
      </c>
      <c r="G80" s="27">
        <f t="shared" si="12"/>
        <v>30466.295500000004</v>
      </c>
      <c r="H80" s="28">
        <v>43524.160000000003</v>
      </c>
      <c r="I80" s="29">
        <f t="shared" si="13"/>
        <v>2674559.6320000002</v>
      </c>
      <c r="J80" s="30" t="s">
        <v>13</v>
      </c>
      <c r="K80" s="31" t="s">
        <v>14</v>
      </c>
    </row>
    <row r="81" spans="1:11" x14ac:dyDescent="0.25">
      <c r="A81" s="69">
        <f t="shared" si="14"/>
        <v>73</v>
      </c>
      <c r="B81" s="22">
        <v>46052</v>
      </c>
      <c r="C81" s="23">
        <v>8610579</v>
      </c>
      <c r="D81" s="24">
        <v>57462491</v>
      </c>
      <c r="E81" s="25">
        <v>60.35</v>
      </c>
      <c r="F81" s="26">
        <v>495.79</v>
      </c>
      <c r="G81" s="27">
        <f t="shared" si="12"/>
        <v>29920.926500000001</v>
      </c>
      <c r="H81" s="28">
        <v>43524.160000000003</v>
      </c>
      <c r="I81" s="29">
        <f t="shared" si="13"/>
        <v>2626683.0560000003</v>
      </c>
      <c r="J81" s="30" t="s">
        <v>13</v>
      </c>
      <c r="K81" s="31" t="s">
        <v>14</v>
      </c>
    </row>
    <row r="82" spans="1:11" x14ac:dyDescent="0.25">
      <c r="A82" s="69">
        <f t="shared" si="14"/>
        <v>74</v>
      </c>
      <c r="B82" s="22">
        <v>46052</v>
      </c>
      <c r="C82" s="23">
        <v>8610579</v>
      </c>
      <c r="D82" s="24">
        <v>57645699</v>
      </c>
      <c r="E82" s="25">
        <v>62.15</v>
      </c>
      <c r="F82" s="26">
        <v>495.79</v>
      </c>
      <c r="G82" s="27">
        <f t="shared" si="12"/>
        <v>30813.3485</v>
      </c>
      <c r="H82" s="28">
        <v>43524.160000000003</v>
      </c>
      <c r="I82" s="29">
        <f t="shared" si="13"/>
        <v>2705026.5440000002</v>
      </c>
      <c r="J82" s="30" t="s">
        <v>13</v>
      </c>
      <c r="K82" s="31" t="s">
        <v>14</v>
      </c>
    </row>
    <row r="83" spans="1:11" x14ac:dyDescent="0.25">
      <c r="A83" s="69">
        <f t="shared" si="14"/>
        <v>75</v>
      </c>
      <c r="B83" s="22">
        <v>46052</v>
      </c>
      <c r="C83" s="23">
        <v>8610579</v>
      </c>
      <c r="D83" s="24">
        <v>57677817</v>
      </c>
      <c r="E83" s="25">
        <v>63.25</v>
      </c>
      <c r="F83" s="26">
        <v>495.79</v>
      </c>
      <c r="G83" s="27">
        <f t="shared" si="12"/>
        <v>31358.717500000002</v>
      </c>
      <c r="H83" s="28">
        <v>43524.160000000003</v>
      </c>
      <c r="I83" s="29">
        <f t="shared" si="13"/>
        <v>2752903.12</v>
      </c>
      <c r="J83" s="30" t="s">
        <v>13</v>
      </c>
      <c r="K83" s="31" t="s">
        <v>14</v>
      </c>
    </row>
    <row r="84" spans="1:11" x14ac:dyDescent="0.25">
      <c r="A84" s="69">
        <f t="shared" si="14"/>
        <v>76</v>
      </c>
      <c r="B84" s="22">
        <v>46052</v>
      </c>
      <c r="C84" s="23">
        <v>8610579</v>
      </c>
      <c r="D84" s="24">
        <v>57967382</v>
      </c>
      <c r="E84" s="25">
        <v>63.55</v>
      </c>
      <c r="F84" s="26">
        <v>495.79</v>
      </c>
      <c r="G84" s="27">
        <f t="shared" si="12"/>
        <v>31507.4545</v>
      </c>
      <c r="H84" s="28">
        <v>43524.160000000003</v>
      </c>
      <c r="I84" s="29">
        <f t="shared" si="13"/>
        <v>2765960.3680000002</v>
      </c>
      <c r="J84" s="30" t="s">
        <v>13</v>
      </c>
      <c r="K84" s="31" t="s">
        <v>14</v>
      </c>
    </row>
    <row r="85" spans="1:11" x14ac:dyDescent="0.25">
      <c r="A85" s="69">
        <f t="shared" si="14"/>
        <v>77</v>
      </c>
      <c r="B85" s="22">
        <v>46052</v>
      </c>
      <c r="C85" s="23">
        <v>8610579</v>
      </c>
      <c r="D85" s="24">
        <v>58638040</v>
      </c>
      <c r="E85" s="25">
        <v>61.7</v>
      </c>
      <c r="F85" s="26">
        <v>495.79</v>
      </c>
      <c r="G85" s="27">
        <f t="shared" si="12"/>
        <v>30590.243000000002</v>
      </c>
      <c r="H85" s="28">
        <v>43524.160000000003</v>
      </c>
      <c r="I85" s="29">
        <f t="shared" si="13"/>
        <v>2685440.6720000003</v>
      </c>
      <c r="J85" s="30" t="s">
        <v>13</v>
      </c>
      <c r="K85" s="31" t="s">
        <v>14</v>
      </c>
    </row>
    <row r="86" spans="1:11" x14ac:dyDescent="0.25">
      <c r="A86" s="69">
        <f t="shared" si="14"/>
        <v>78</v>
      </c>
      <c r="B86" s="22">
        <v>46052</v>
      </c>
      <c r="C86" s="23">
        <v>8610577</v>
      </c>
      <c r="D86" s="24">
        <v>73107260</v>
      </c>
      <c r="E86" s="25">
        <v>63.55</v>
      </c>
      <c r="F86" s="26">
        <v>495.79</v>
      </c>
      <c r="G86" s="27">
        <f t="shared" si="12"/>
        <v>31507.4545</v>
      </c>
      <c r="H86" s="28">
        <v>43524.160000000003</v>
      </c>
      <c r="I86" s="29">
        <f t="shared" si="13"/>
        <v>2765960.3680000002</v>
      </c>
      <c r="J86" s="30" t="s">
        <v>13</v>
      </c>
      <c r="K86" s="31" t="s">
        <v>14</v>
      </c>
    </row>
    <row r="87" spans="1:11" x14ac:dyDescent="0.25">
      <c r="A87" s="69">
        <f t="shared" si="14"/>
        <v>79</v>
      </c>
      <c r="B87" s="22">
        <v>46052</v>
      </c>
      <c r="C87" s="23">
        <v>8610578</v>
      </c>
      <c r="D87" s="24">
        <v>73110702</v>
      </c>
      <c r="E87" s="25">
        <v>60.85</v>
      </c>
      <c r="F87" s="26">
        <v>495.79</v>
      </c>
      <c r="G87" s="27">
        <f t="shared" si="12"/>
        <v>30168.821500000002</v>
      </c>
      <c r="H87" s="28">
        <v>43524.160000000003</v>
      </c>
      <c r="I87" s="29">
        <f t="shared" si="13"/>
        <v>2648445.1360000004</v>
      </c>
      <c r="J87" s="30" t="s">
        <v>13</v>
      </c>
      <c r="K87" s="31" t="s">
        <v>14</v>
      </c>
    </row>
    <row r="88" spans="1:11" x14ac:dyDescent="0.25">
      <c r="A88" s="69">
        <f t="shared" si="14"/>
        <v>80</v>
      </c>
      <c r="B88" s="22">
        <v>46052</v>
      </c>
      <c r="C88" s="23">
        <v>8610577</v>
      </c>
      <c r="D88" s="24">
        <v>73117749</v>
      </c>
      <c r="E88" s="25">
        <v>62.75</v>
      </c>
      <c r="F88" s="26">
        <v>495.79</v>
      </c>
      <c r="G88" s="27">
        <f t="shared" si="12"/>
        <v>31110.822500000002</v>
      </c>
      <c r="H88" s="28">
        <v>43524.160000000003</v>
      </c>
      <c r="I88" s="29">
        <f t="shared" si="13"/>
        <v>2731141.04</v>
      </c>
      <c r="J88" s="30" t="s">
        <v>13</v>
      </c>
      <c r="K88" s="31" t="s">
        <v>14</v>
      </c>
    </row>
    <row r="89" spans="1:11" x14ac:dyDescent="0.25">
      <c r="A89" s="69">
        <f t="shared" si="14"/>
        <v>81</v>
      </c>
      <c r="B89" s="22">
        <v>46052</v>
      </c>
      <c r="C89" s="23">
        <v>8610578</v>
      </c>
      <c r="D89" s="24">
        <v>73119604</v>
      </c>
      <c r="E89" s="25">
        <v>60.5</v>
      </c>
      <c r="F89" s="26">
        <v>495.79</v>
      </c>
      <c r="G89" s="27">
        <f t="shared" si="12"/>
        <v>29995.295000000002</v>
      </c>
      <c r="H89" s="28">
        <v>43524.160000000003</v>
      </c>
      <c r="I89" s="29">
        <f t="shared" si="13"/>
        <v>2633211.6800000002</v>
      </c>
      <c r="J89" s="30" t="s">
        <v>13</v>
      </c>
      <c r="K89" s="31" t="s">
        <v>14</v>
      </c>
    </row>
    <row r="90" spans="1:11" x14ac:dyDescent="0.25">
      <c r="A90" s="69">
        <f t="shared" si="14"/>
        <v>82</v>
      </c>
      <c r="B90" s="22">
        <v>46052</v>
      </c>
      <c r="C90" s="23">
        <v>8610577</v>
      </c>
      <c r="D90" s="24">
        <v>73121931</v>
      </c>
      <c r="E90" s="25">
        <v>60.25</v>
      </c>
      <c r="F90" s="26">
        <v>495.79</v>
      </c>
      <c r="G90" s="27">
        <f t="shared" si="12"/>
        <v>29871.3475</v>
      </c>
      <c r="H90" s="28">
        <v>43524.160000000003</v>
      </c>
      <c r="I90" s="29">
        <f t="shared" si="13"/>
        <v>2622330.64</v>
      </c>
      <c r="J90" s="30" t="s">
        <v>13</v>
      </c>
      <c r="K90" s="31" t="s">
        <v>14</v>
      </c>
    </row>
    <row r="91" spans="1:11" x14ac:dyDescent="0.25">
      <c r="A91" s="69">
        <f t="shared" si="14"/>
        <v>83</v>
      </c>
      <c r="B91" s="22">
        <v>46052</v>
      </c>
      <c r="C91" s="23">
        <v>8610577</v>
      </c>
      <c r="D91" s="24">
        <v>73127011</v>
      </c>
      <c r="E91" s="25">
        <v>63.15</v>
      </c>
      <c r="F91" s="26">
        <v>495.79</v>
      </c>
      <c r="G91" s="27">
        <f t="shared" si="12"/>
        <v>31309.138500000001</v>
      </c>
      <c r="H91" s="28">
        <v>43524.160000000003</v>
      </c>
      <c r="I91" s="29">
        <f t="shared" si="13"/>
        <v>2748550.7040000004</v>
      </c>
      <c r="J91" s="30" t="s">
        <v>13</v>
      </c>
      <c r="K91" s="31" t="s">
        <v>14</v>
      </c>
    </row>
    <row r="92" spans="1:11" x14ac:dyDescent="0.25">
      <c r="A92" s="69">
        <f t="shared" si="14"/>
        <v>84</v>
      </c>
      <c r="B92" s="22">
        <v>46052</v>
      </c>
      <c r="C92" s="23">
        <v>8610578</v>
      </c>
      <c r="D92" s="24">
        <v>73168726</v>
      </c>
      <c r="E92" s="25">
        <v>60.1</v>
      </c>
      <c r="F92" s="26">
        <v>495.79</v>
      </c>
      <c r="G92" s="27">
        <f t="shared" si="12"/>
        <v>29796.979000000003</v>
      </c>
      <c r="H92" s="28">
        <v>43524.160000000003</v>
      </c>
      <c r="I92" s="29">
        <f t="shared" si="13"/>
        <v>2615802.0160000003</v>
      </c>
      <c r="J92" s="30" t="s">
        <v>13</v>
      </c>
      <c r="K92" s="31" t="s">
        <v>14</v>
      </c>
    </row>
    <row r="93" spans="1:11" x14ac:dyDescent="0.25">
      <c r="A93" s="69">
        <f t="shared" si="14"/>
        <v>85</v>
      </c>
      <c r="B93" s="22">
        <v>46052</v>
      </c>
      <c r="C93" s="23">
        <v>8610577</v>
      </c>
      <c r="D93" s="24">
        <v>73229858</v>
      </c>
      <c r="E93" s="25">
        <v>63.05</v>
      </c>
      <c r="F93" s="26">
        <v>495.79</v>
      </c>
      <c r="G93" s="27">
        <f t="shared" si="12"/>
        <v>31259.559499999999</v>
      </c>
      <c r="H93" s="28">
        <v>43524.160000000003</v>
      </c>
      <c r="I93" s="29">
        <f t="shared" si="13"/>
        <v>2744198.2880000002</v>
      </c>
      <c r="J93" s="30" t="s">
        <v>13</v>
      </c>
      <c r="K93" s="31" t="s">
        <v>14</v>
      </c>
    </row>
    <row r="94" spans="1:11" x14ac:dyDescent="0.25">
      <c r="A94" s="69">
        <f t="shared" si="14"/>
        <v>86</v>
      </c>
      <c r="B94" s="22">
        <v>46052</v>
      </c>
      <c r="C94" s="23">
        <v>8610578</v>
      </c>
      <c r="D94" s="24">
        <v>75226803</v>
      </c>
      <c r="E94" s="25">
        <v>59.7</v>
      </c>
      <c r="F94" s="26">
        <v>495.79</v>
      </c>
      <c r="G94" s="27">
        <f t="shared" si="12"/>
        <v>29598.663000000004</v>
      </c>
      <c r="H94" s="28">
        <v>43524.160000000003</v>
      </c>
      <c r="I94" s="29">
        <f t="shared" si="13"/>
        <v>2598392.3520000004</v>
      </c>
      <c r="J94" s="30" t="s">
        <v>13</v>
      </c>
      <c r="K94" s="31" t="s">
        <v>14</v>
      </c>
    </row>
    <row r="95" spans="1:11" x14ac:dyDescent="0.25">
      <c r="A95" s="69">
        <f t="shared" si="14"/>
        <v>87</v>
      </c>
      <c r="B95" s="22">
        <v>46052</v>
      </c>
      <c r="C95" s="23">
        <v>8610578</v>
      </c>
      <c r="D95" s="24">
        <v>75261305</v>
      </c>
      <c r="E95" s="25">
        <v>60.9</v>
      </c>
      <c r="F95" s="26">
        <v>495.79</v>
      </c>
      <c r="G95" s="27">
        <f t="shared" si="12"/>
        <v>30193.611000000001</v>
      </c>
      <c r="H95" s="28">
        <v>43524.160000000003</v>
      </c>
      <c r="I95" s="29">
        <f t="shared" si="13"/>
        <v>2650621.344</v>
      </c>
      <c r="J95" s="30" t="s">
        <v>13</v>
      </c>
      <c r="K95" s="31" t="s">
        <v>14</v>
      </c>
    </row>
    <row r="96" spans="1:11" x14ac:dyDescent="0.25">
      <c r="A96" s="69">
        <f t="shared" si="14"/>
        <v>88</v>
      </c>
      <c r="B96" s="22">
        <v>46052</v>
      </c>
      <c r="C96" s="23">
        <v>8610577</v>
      </c>
      <c r="D96" s="24">
        <v>75266007</v>
      </c>
      <c r="E96" s="25">
        <v>63.1</v>
      </c>
      <c r="F96" s="26">
        <v>495.79</v>
      </c>
      <c r="G96" s="27">
        <f t="shared" si="12"/>
        <v>31284.349000000002</v>
      </c>
      <c r="H96" s="28">
        <v>43524.160000000003</v>
      </c>
      <c r="I96" s="29">
        <f t="shared" si="13"/>
        <v>2746374.4960000003</v>
      </c>
      <c r="J96" s="30" t="s">
        <v>13</v>
      </c>
      <c r="K96" s="31" t="s">
        <v>14</v>
      </c>
    </row>
    <row r="97" spans="1:11" ht="15.75" thickBot="1" x14ac:dyDescent="0.3">
      <c r="A97" s="70">
        <f t="shared" si="14"/>
        <v>89</v>
      </c>
      <c r="B97" s="71">
        <v>46052</v>
      </c>
      <c r="C97" s="72">
        <v>8610578</v>
      </c>
      <c r="D97" s="73">
        <v>75402495</v>
      </c>
      <c r="E97" s="74">
        <v>60.4</v>
      </c>
      <c r="F97" s="26">
        <v>495.79</v>
      </c>
      <c r="G97" s="75">
        <f t="shared" si="12"/>
        <v>29945.716</v>
      </c>
      <c r="H97" s="76">
        <v>43524.160000000003</v>
      </c>
      <c r="I97" s="77">
        <f t="shared" si="13"/>
        <v>2628859.264</v>
      </c>
      <c r="J97" s="30" t="s">
        <v>13</v>
      </c>
      <c r="K97" s="78" t="s">
        <v>14</v>
      </c>
    </row>
    <row r="98" spans="1:11" ht="15.75" thickBot="1" x14ac:dyDescent="0.3">
      <c r="A98" s="51"/>
      <c r="B98" s="52"/>
      <c r="C98" s="52"/>
      <c r="D98" s="52"/>
      <c r="E98" s="53"/>
      <c r="F98" s="52"/>
      <c r="G98" s="54"/>
      <c r="H98" s="55"/>
      <c r="I98" s="56"/>
      <c r="J98" s="52"/>
      <c r="K98" s="79"/>
    </row>
    <row r="99" spans="1:11" x14ac:dyDescent="0.25">
      <c r="A99" s="58">
        <v>90</v>
      </c>
      <c r="B99" s="59">
        <v>46053</v>
      </c>
      <c r="C99" s="23">
        <v>8610625</v>
      </c>
      <c r="D99" s="24">
        <v>50778521</v>
      </c>
      <c r="E99" s="25">
        <v>57.8</v>
      </c>
      <c r="F99" s="26">
        <v>495.79</v>
      </c>
      <c r="G99" s="27">
        <f t="shared" ref="G99:G110" si="15">E99*F99</f>
        <v>28656.662</v>
      </c>
      <c r="H99" s="28">
        <v>43524.160000000003</v>
      </c>
      <c r="I99" s="29">
        <f t="shared" ref="I99:I110" si="16">E99*H99</f>
        <v>2515696.4479999999</v>
      </c>
      <c r="J99" s="30" t="s">
        <v>13</v>
      </c>
      <c r="K99" s="31" t="s">
        <v>14</v>
      </c>
    </row>
    <row r="100" spans="1:11" x14ac:dyDescent="0.25">
      <c r="A100" s="69">
        <f>A99+1</f>
        <v>91</v>
      </c>
      <c r="B100" s="59">
        <v>46053</v>
      </c>
      <c r="C100" s="23">
        <v>8610624</v>
      </c>
      <c r="D100" s="24">
        <v>50914191</v>
      </c>
      <c r="E100" s="25">
        <v>62.9</v>
      </c>
      <c r="F100" s="26">
        <v>495.79</v>
      </c>
      <c r="G100" s="27">
        <f t="shared" si="15"/>
        <v>31185.190999999999</v>
      </c>
      <c r="H100" s="28">
        <v>43524.160000000003</v>
      </c>
      <c r="I100" s="29">
        <f t="shared" si="16"/>
        <v>2737669.6640000003</v>
      </c>
      <c r="J100" s="30" t="s">
        <v>13</v>
      </c>
      <c r="K100" s="31" t="s">
        <v>14</v>
      </c>
    </row>
    <row r="101" spans="1:11" x14ac:dyDescent="0.25">
      <c r="A101" s="69">
        <f t="shared" ref="A101:A110" si="17">A100+1</f>
        <v>92</v>
      </c>
      <c r="B101" s="59">
        <v>46053</v>
      </c>
      <c r="C101" s="23">
        <v>8610624</v>
      </c>
      <c r="D101" s="24">
        <v>51402246</v>
      </c>
      <c r="E101" s="25">
        <v>59.95</v>
      </c>
      <c r="F101" s="26">
        <v>495.79</v>
      </c>
      <c r="G101" s="27">
        <f t="shared" si="15"/>
        <v>29722.610500000003</v>
      </c>
      <c r="H101" s="28">
        <v>43524.160000000003</v>
      </c>
      <c r="I101" s="29">
        <f t="shared" si="16"/>
        <v>2609273.3920000005</v>
      </c>
      <c r="J101" s="30" t="s">
        <v>13</v>
      </c>
      <c r="K101" s="31" t="s">
        <v>14</v>
      </c>
    </row>
    <row r="102" spans="1:11" x14ac:dyDescent="0.25">
      <c r="A102" s="69">
        <f t="shared" si="17"/>
        <v>93</v>
      </c>
      <c r="B102" s="59">
        <v>46053</v>
      </c>
      <c r="C102" s="23">
        <v>8610626</v>
      </c>
      <c r="D102" s="24">
        <v>57380495</v>
      </c>
      <c r="E102" s="25">
        <v>57.45</v>
      </c>
      <c r="F102" s="26">
        <v>495.79</v>
      </c>
      <c r="G102" s="27">
        <f t="shared" si="15"/>
        <v>28483.135500000004</v>
      </c>
      <c r="H102" s="28">
        <v>43524.160000000003</v>
      </c>
      <c r="I102" s="29">
        <f t="shared" si="16"/>
        <v>2500462.9920000006</v>
      </c>
      <c r="J102" s="30" t="s">
        <v>13</v>
      </c>
      <c r="K102" s="31" t="s">
        <v>14</v>
      </c>
    </row>
    <row r="103" spans="1:11" x14ac:dyDescent="0.25">
      <c r="A103" s="69">
        <f t="shared" si="17"/>
        <v>94</v>
      </c>
      <c r="B103" s="59">
        <v>46053</v>
      </c>
      <c r="C103" s="23">
        <v>8610624</v>
      </c>
      <c r="D103" s="24">
        <v>57428559</v>
      </c>
      <c r="E103" s="25">
        <v>63.65</v>
      </c>
      <c r="F103" s="26">
        <v>495.79</v>
      </c>
      <c r="G103" s="27">
        <f t="shared" si="15"/>
        <v>31557.033500000001</v>
      </c>
      <c r="H103" s="28">
        <v>43524.160000000003</v>
      </c>
      <c r="I103" s="29">
        <f t="shared" si="16"/>
        <v>2770312.784</v>
      </c>
      <c r="J103" s="30" t="s">
        <v>13</v>
      </c>
      <c r="K103" s="31" t="s">
        <v>14</v>
      </c>
    </row>
    <row r="104" spans="1:11" x14ac:dyDescent="0.25">
      <c r="A104" s="69">
        <f t="shared" si="17"/>
        <v>95</v>
      </c>
      <c r="B104" s="59">
        <v>46053</v>
      </c>
      <c r="C104" s="23">
        <v>8610624</v>
      </c>
      <c r="D104" s="24">
        <v>73065153</v>
      </c>
      <c r="E104" s="25">
        <v>61.55</v>
      </c>
      <c r="F104" s="26">
        <v>495.79</v>
      </c>
      <c r="G104" s="27">
        <f t="shared" si="15"/>
        <v>30515.874499999998</v>
      </c>
      <c r="H104" s="28">
        <v>43524.160000000003</v>
      </c>
      <c r="I104" s="29">
        <f t="shared" si="16"/>
        <v>2678912.048</v>
      </c>
      <c r="J104" s="30" t="s">
        <v>13</v>
      </c>
      <c r="K104" s="31" t="s">
        <v>14</v>
      </c>
    </row>
    <row r="105" spans="1:11" x14ac:dyDescent="0.25">
      <c r="A105" s="69">
        <f t="shared" si="17"/>
        <v>96</v>
      </c>
      <c r="B105" s="59">
        <v>46053</v>
      </c>
      <c r="C105" s="23">
        <v>8610624</v>
      </c>
      <c r="D105" s="24">
        <v>73126559</v>
      </c>
      <c r="E105" s="25">
        <v>60.3</v>
      </c>
      <c r="F105" s="26">
        <v>495.79</v>
      </c>
      <c r="G105" s="27">
        <f t="shared" si="15"/>
        <v>29896.136999999999</v>
      </c>
      <c r="H105" s="28">
        <v>43524.160000000003</v>
      </c>
      <c r="I105" s="29">
        <f t="shared" si="16"/>
        <v>2624506.8480000002</v>
      </c>
      <c r="J105" s="30" t="s">
        <v>13</v>
      </c>
      <c r="K105" s="31" t="s">
        <v>14</v>
      </c>
    </row>
    <row r="106" spans="1:11" x14ac:dyDescent="0.25">
      <c r="A106" s="69">
        <f t="shared" si="17"/>
        <v>97</v>
      </c>
      <c r="B106" s="59">
        <v>46053</v>
      </c>
      <c r="C106" s="23">
        <v>8610624</v>
      </c>
      <c r="D106" s="24">
        <v>73179814</v>
      </c>
      <c r="E106" s="25">
        <v>62.05</v>
      </c>
      <c r="F106" s="26">
        <v>495.79</v>
      </c>
      <c r="G106" s="27">
        <f t="shared" si="15"/>
        <v>30763.769499999999</v>
      </c>
      <c r="H106" s="28">
        <v>43524.160000000003</v>
      </c>
      <c r="I106" s="29">
        <f t="shared" si="16"/>
        <v>2700674.128</v>
      </c>
      <c r="J106" s="30" t="s">
        <v>13</v>
      </c>
      <c r="K106" s="31" t="s">
        <v>14</v>
      </c>
    </row>
    <row r="107" spans="1:11" x14ac:dyDescent="0.25">
      <c r="A107" s="69">
        <f t="shared" si="17"/>
        <v>98</v>
      </c>
      <c r="B107" s="59">
        <v>46053</v>
      </c>
      <c r="C107" s="23">
        <v>8610624</v>
      </c>
      <c r="D107" s="24">
        <v>73222267</v>
      </c>
      <c r="E107" s="25">
        <v>62</v>
      </c>
      <c r="F107" s="26">
        <v>495.79</v>
      </c>
      <c r="G107" s="27">
        <f t="shared" si="15"/>
        <v>30738.98</v>
      </c>
      <c r="H107" s="28">
        <v>43524.160000000003</v>
      </c>
      <c r="I107" s="29">
        <f t="shared" si="16"/>
        <v>2698497.9200000004</v>
      </c>
      <c r="J107" s="30" t="s">
        <v>13</v>
      </c>
      <c r="K107" s="31" t="s">
        <v>14</v>
      </c>
    </row>
    <row r="108" spans="1:11" x14ac:dyDescent="0.25">
      <c r="A108" s="69">
        <f t="shared" si="17"/>
        <v>99</v>
      </c>
      <c r="B108" s="59">
        <v>46053</v>
      </c>
      <c r="C108" s="23">
        <v>8610624</v>
      </c>
      <c r="D108" s="24">
        <v>73225443</v>
      </c>
      <c r="E108" s="25">
        <v>61.6</v>
      </c>
      <c r="F108" s="26">
        <v>495.79</v>
      </c>
      <c r="G108" s="27">
        <f t="shared" si="15"/>
        <v>30540.664000000001</v>
      </c>
      <c r="H108" s="28">
        <v>43524.160000000003</v>
      </c>
      <c r="I108" s="29">
        <f t="shared" si="16"/>
        <v>2681088.2560000001</v>
      </c>
      <c r="J108" s="30" t="s">
        <v>13</v>
      </c>
      <c r="K108" s="31" t="s">
        <v>14</v>
      </c>
    </row>
    <row r="109" spans="1:11" x14ac:dyDescent="0.25">
      <c r="A109" s="69">
        <f t="shared" si="17"/>
        <v>100</v>
      </c>
      <c r="B109" s="59">
        <v>46053</v>
      </c>
      <c r="C109" s="23">
        <v>8610624</v>
      </c>
      <c r="D109" s="24">
        <v>75293506</v>
      </c>
      <c r="E109" s="25">
        <v>62.45</v>
      </c>
      <c r="F109" s="26">
        <v>495.79</v>
      </c>
      <c r="G109" s="27">
        <f t="shared" si="15"/>
        <v>30962.085500000001</v>
      </c>
      <c r="H109" s="28">
        <v>43524.160000000003</v>
      </c>
      <c r="I109" s="29">
        <f t="shared" si="16"/>
        <v>2718083.7920000004</v>
      </c>
      <c r="J109" s="30" t="s">
        <v>13</v>
      </c>
      <c r="K109" s="31" t="s">
        <v>14</v>
      </c>
    </row>
    <row r="110" spans="1:11" ht="15.75" thickBot="1" x14ac:dyDescent="0.3">
      <c r="A110" s="70">
        <f t="shared" si="17"/>
        <v>101</v>
      </c>
      <c r="B110" s="81">
        <v>46053</v>
      </c>
      <c r="C110" s="72">
        <v>8610624</v>
      </c>
      <c r="D110" s="73">
        <v>76606292</v>
      </c>
      <c r="E110" s="74">
        <v>62.25</v>
      </c>
      <c r="F110" s="26">
        <v>495.79</v>
      </c>
      <c r="G110" s="75">
        <f t="shared" si="15"/>
        <v>30862.927500000002</v>
      </c>
      <c r="H110" s="76">
        <v>43524.160000000003</v>
      </c>
      <c r="I110" s="77">
        <f t="shared" si="16"/>
        <v>2709378.9600000004</v>
      </c>
      <c r="J110" s="30" t="s">
        <v>13</v>
      </c>
      <c r="K110" s="78" t="s">
        <v>14</v>
      </c>
    </row>
    <row r="111" spans="1:11" ht="15.75" thickBot="1" x14ac:dyDescent="0.3">
      <c r="A111" s="42"/>
      <c r="B111" s="43"/>
      <c r="C111" s="43"/>
      <c r="D111" s="43"/>
      <c r="E111" s="44"/>
      <c r="F111" s="43"/>
      <c r="G111" s="45"/>
      <c r="H111" s="46"/>
      <c r="I111" s="47"/>
      <c r="J111" s="43"/>
      <c r="K111" s="48"/>
    </row>
    <row r="112" spans="1:11" ht="15.75" thickBot="1" x14ac:dyDescent="0.3">
      <c r="A112" s="151"/>
      <c r="B112" s="152"/>
      <c r="C112" s="152"/>
      <c r="D112" s="153"/>
      <c r="E112" s="82"/>
      <c r="F112" s="83"/>
      <c r="G112" s="84"/>
      <c r="H112" s="85"/>
      <c r="I112" s="86"/>
      <c r="J112" s="87"/>
      <c r="K112" s="88"/>
    </row>
    <row r="113" spans="1:11" x14ac:dyDescent="0.25">
      <c r="A113" s="10">
        <v>102</v>
      </c>
      <c r="B113" s="11">
        <v>46064</v>
      </c>
      <c r="C113" s="12">
        <v>8610916</v>
      </c>
      <c r="D113" s="13">
        <v>55946727</v>
      </c>
      <c r="E113" s="14">
        <v>59.4</v>
      </c>
      <c r="F113" s="49">
        <f>'[1]Platt''s 2026'!O31-138.57</f>
        <v>545.35500000000002</v>
      </c>
      <c r="G113" s="16">
        <f t="shared" ref="G113:G114" si="18">E113*F113</f>
        <v>32394.087</v>
      </c>
      <c r="H113" s="17">
        <v>43524.160000000003</v>
      </c>
      <c r="I113" s="18">
        <f t="shared" ref="I113:I114" si="19">E113*H113</f>
        <v>2585335.1040000003</v>
      </c>
      <c r="J113" s="19" t="s">
        <v>13</v>
      </c>
      <c r="K113" s="20" t="s">
        <v>14</v>
      </c>
    </row>
    <row r="114" spans="1:11" ht="15.75" thickBot="1" x14ac:dyDescent="0.3">
      <c r="A114" s="32">
        <v>103</v>
      </c>
      <c r="B114" s="33">
        <v>46064</v>
      </c>
      <c r="C114" s="34">
        <v>8610915</v>
      </c>
      <c r="D114" s="35">
        <v>71044929</v>
      </c>
      <c r="E114" s="36">
        <v>60.55</v>
      </c>
      <c r="F114" s="50">
        <v>545.36</v>
      </c>
      <c r="G114" s="37">
        <f t="shared" si="18"/>
        <v>33021.548000000003</v>
      </c>
      <c r="H114" s="38">
        <v>43524.160000000003</v>
      </c>
      <c r="I114" s="39">
        <f t="shared" si="19"/>
        <v>2635387.8880000003</v>
      </c>
      <c r="J114" s="40" t="s">
        <v>13</v>
      </c>
      <c r="K114" s="41" t="s">
        <v>14</v>
      </c>
    </row>
    <row r="115" spans="1:11" ht="15.75" thickBot="1" x14ac:dyDescent="0.3">
      <c r="A115" s="89"/>
      <c r="B115" s="90"/>
      <c r="C115" s="90"/>
      <c r="D115" s="90"/>
      <c r="E115" s="91"/>
      <c r="F115" s="90"/>
      <c r="G115" s="92"/>
      <c r="H115" s="93"/>
      <c r="I115" s="94"/>
      <c r="J115" s="90"/>
      <c r="K115" s="95"/>
    </row>
    <row r="116" spans="1:11" x14ac:dyDescent="0.25">
      <c r="A116" s="10">
        <v>104</v>
      </c>
      <c r="B116" s="11">
        <v>46067</v>
      </c>
      <c r="C116" s="96" t="s">
        <v>15</v>
      </c>
      <c r="D116" s="97">
        <v>51752368</v>
      </c>
      <c r="E116" s="98">
        <v>57.8</v>
      </c>
      <c r="F116" s="15">
        <v>545.36</v>
      </c>
      <c r="G116" s="99">
        <f t="shared" ref="G116:G128" si="20">E116*F116</f>
        <v>31521.808000000001</v>
      </c>
      <c r="H116" s="100">
        <v>43524.160000000003</v>
      </c>
      <c r="I116" s="101">
        <f t="shared" ref="I116:I129" si="21">E116*H116</f>
        <v>2515696.4479999999</v>
      </c>
      <c r="J116" s="19" t="s">
        <v>13</v>
      </c>
      <c r="K116" s="102" t="s">
        <v>14</v>
      </c>
    </row>
    <row r="117" spans="1:11" x14ac:dyDescent="0.25">
      <c r="A117" s="21">
        <f>A116+1</f>
        <v>105</v>
      </c>
      <c r="B117" s="22">
        <v>46067</v>
      </c>
      <c r="C117" s="103" t="s">
        <v>15</v>
      </c>
      <c r="D117" s="69">
        <v>54695895</v>
      </c>
      <c r="E117" s="104">
        <v>62.75</v>
      </c>
      <c r="F117" s="26">
        <v>545.36</v>
      </c>
      <c r="G117" s="27">
        <f t="shared" si="20"/>
        <v>34221.340000000004</v>
      </c>
      <c r="H117" s="28">
        <v>43524.160000000003</v>
      </c>
      <c r="I117" s="29">
        <f t="shared" si="21"/>
        <v>2731141.04</v>
      </c>
      <c r="J117" s="105" t="s">
        <v>13</v>
      </c>
      <c r="K117" s="106" t="s">
        <v>14</v>
      </c>
    </row>
    <row r="118" spans="1:11" x14ac:dyDescent="0.25">
      <c r="A118" s="21">
        <f t="shared" ref="A118:A129" si="22">A117+1</f>
        <v>106</v>
      </c>
      <c r="B118" s="22">
        <v>46067</v>
      </c>
      <c r="C118" s="103" t="s">
        <v>15</v>
      </c>
      <c r="D118" s="69">
        <v>57946998</v>
      </c>
      <c r="E118" s="104">
        <v>62.75</v>
      </c>
      <c r="F118" s="26">
        <v>545.36</v>
      </c>
      <c r="G118" s="27">
        <f t="shared" si="20"/>
        <v>34221.340000000004</v>
      </c>
      <c r="H118" s="28">
        <v>43524.160000000003</v>
      </c>
      <c r="I118" s="29">
        <f t="shared" si="21"/>
        <v>2731141.04</v>
      </c>
      <c r="J118" s="105" t="s">
        <v>13</v>
      </c>
      <c r="K118" s="106" t="s">
        <v>14</v>
      </c>
    </row>
    <row r="119" spans="1:11" x14ac:dyDescent="0.25">
      <c r="A119" s="21">
        <f t="shared" si="22"/>
        <v>107</v>
      </c>
      <c r="B119" s="22">
        <v>46067</v>
      </c>
      <c r="C119" s="103" t="s">
        <v>15</v>
      </c>
      <c r="D119" s="69">
        <v>73054538</v>
      </c>
      <c r="E119" s="104">
        <v>63.3</v>
      </c>
      <c r="F119" s="26">
        <v>545.36</v>
      </c>
      <c r="G119" s="27">
        <f t="shared" si="20"/>
        <v>34521.288</v>
      </c>
      <c r="H119" s="28">
        <v>43524.160000000003</v>
      </c>
      <c r="I119" s="29">
        <f t="shared" si="21"/>
        <v>2755079.3280000002</v>
      </c>
      <c r="J119" s="105" t="s">
        <v>13</v>
      </c>
      <c r="K119" s="106" t="s">
        <v>14</v>
      </c>
    </row>
    <row r="120" spans="1:11" x14ac:dyDescent="0.25">
      <c r="A120" s="21">
        <f t="shared" si="22"/>
        <v>108</v>
      </c>
      <c r="B120" s="22">
        <v>46067</v>
      </c>
      <c r="C120" s="103" t="s">
        <v>15</v>
      </c>
      <c r="D120" s="69">
        <v>73072613</v>
      </c>
      <c r="E120" s="104">
        <v>62.8</v>
      </c>
      <c r="F120" s="26">
        <v>545.36</v>
      </c>
      <c r="G120" s="27">
        <f t="shared" si="20"/>
        <v>34248.608</v>
      </c>
      <c r="H120" s="28">
        <v>43524.160000000003</v>
      </c>
      <c r="I120" s="29">
        <f t="shared" si="21"/>
        <v>2733317.2480000001</v>
      </c>
      <c r="J120" s="105" t="s">
        <v>13</v>
      </c>
      <c r="K120" s="106" t="s">
        <v>14</v>
      </c>
    </row>
    <row r="121" spans="1:11" x14ac:dyDescent="0.25">
      <c r="A121" s="21">
        <f t="shared" si="22"/>
        <v>109</v>
      </c>
      <c r="B121" s="22">
        <v>46067</v>
      </c>
      <c r="C121" s="103" t="s">
        <v>15</v>
      </c>
      <c r="D121" s="69">
        <v>73105306</v>
      </c>
      <c r="E121" s="107">
        <v>62.9</v>
      </c>
      <c r="F121" s="26">
        <v>545.36</v>
      </c>
      <c r="G121" s="27">
        <f t="shared" si="20"/>
        <v>34303.144</v>
      </c>
      <c r="H121" s="28">
        <v>43524.160000000003</v>
      </c>
      <c r="I121" s="29">
        <f t="shared" si="21"/>
        <v>2737669.6640000003</v>
      </c>
      <c r="J121" s="105" t="s">
        <v>13</v>
      </c>
      <c r="K121" s="106" t="s">
        <v>14</v>
      </c>
    </row>
    <row r="122" spans="1:11" x14ac:dyDescent="0.25">
      <c r="A122" s="21">
        <f t="shared" si="22"/>
        <v>110</v>
      </c>
      <c r="B122" s="22">
        <v>46067</v>
      </c>
      <c r="C122" s="103" t="s">
        <v>15</v>
      </c>
      <c r="D122" s="69">
        <v>73213803</v>
      </c>
      <c r="E122" s="104">
        <v>62.45</v>
      </c>
      <c r="F122" s="26">
        <v>545.36</v>
      </c>
      <c r="G122" s="27">
        <f t="shared" si="20"/>
        <v>34057.732000000004</v>
      </c>
      <c r="H122" s="28">
        <v>43524.160000000003</v>
      </c>
      <c r="I122" s="29">
        <f t="shared" si="21"/>
        <v>2718083.7920000004</v>
      </c>
      <c r="J122" s="105" t="s">
        <v>13</v>
      </c>
      <c r="K122" s="106" t="s">
        <v>14</v>
      </c>
    </row>
    <row r="123" spans="1:11" x14ac:dyDescent="0.25">
      <c r="A123" s="21">
        <f t="shared" si="22"/>
        <v>111</v>
      </c>
      <c r="B123" s="22">
        <v>46067</v>
      </c>
      <c r="C123" s="103" t="s">
        <v>15</v>
      </c>
      <c r="D123" s="69">
        <v>73274086</v>
      </c>
      <c r="E123" s="104">
        <v>62.65</v>
      </c>
      <c r="F123" s="26">
        <v>545.36</v>
      </c>
      <c r="G123" s="27">
        <f t="shared" si="20"/>
        <v>34166.803999999996</v>
      </c>
      <c r="H123" s="28">
        <v>43524.160000000003</v>
      </c>
      <c r="I123" s="29">
        <f t="shared" si="21"/>
        <v>2726788.6240000003</v>
      </c>
      <c r="J123" s="105" t="s">
        <v>13</v>
      </c>
      <c r="K123" s="106" t="s">
        <v>14</v>
      </c>
    </row>
    <row r="124" spans="1:11" x14ac:dyDescent="0.25">
      <c r="A124" s="21">
        <f t="shared" si="22"/>
        <v>112</v>
      </c>
      <c r="B124" s="22">
        <v>46067</v>
      </c>
      <c r="C124" s="103" t="s">
        <v>15</v>
      </c>
      <c r="D124" s="69">
        <v>73724080</v>
      </c>
      <c r="E124" s="104">
        <v>60.65</v>
      </c>
      <c r="F124" s="26">
        <v>545.36</v>
      </c>
      <c r="G124" s="27">
        <f t="shared" si="20"/>
        <v>33076.084000000003</v>
      </c>
      <c r="H124" s="28">
        <v>43524.160000000003</v>
      </c>
      <c r="I124" s="29">
        <f t="shared" si="21"/>
        <v>2639740.304</v>
      </c>
      <c r="J124" s="105" t="s">
        <v>13</v>
      </c>
      <c r="K124" s="106" t="s">
        <v>14</v>
      </c>
    </row>
    <row r="125" spans="1:11" x14ac:dyDescent="0.25">
      <c r="A125" s="21">
        <f t="shared" si="22"/>
        <v>113</v>
      </c>
      <c r="B125" s="22">
        <v>46067</v>
      </c>
      <c r="C125" s="103" t="s">
        <v>15</v>
      </c>
      <c r="D125" s="69">
        <v>74996380</v>
      </c>
      <c r="E125" s="104">
        <v>63.75</v>
      </c>
      <c r="F125" s="26">
        <v>545.36</v>
      </c>
      <c r="G125" s="27">
        <f t="shared" si="20"/>
        <v>34766.700000000004</v>
      </c>
      <c r="H125" s="28">
        <v>43524.160000000003</v>
      </c>
      <c r="I125" s="29">
        <f t="shared" si="21"/>
        <v>2774665.2</v>
      </c>
      <c r="J125" s="105" t="s">
        <v>13</v>
      </c>
      <c r="K125" s="106" t="s">
        <v>14</v>
      </c>
    </row>
    <row r="126" spans="1:11" x14ac:dyDescent="0.25">
      <c r="A126" s="21">
        <f t="shared" si="22"/>
        <v>114</v>
      </c>
      <c r="B126" s="22">
        <v>46067</v>
      </c>
      <c r="C126" s="103" t="s">
        <v>15</v>
      </c>
      <c r="D126" s="69">
        <v>75107631</v>
      </c>
      <c r="E126" s="104">
        <v>63.4</v>
      </c>
      <c r="F126" s="26">
        <v>545.36</v>
      </c>
      <c r="G126" s="27">
        <f t="shared" si="20"/>
        <v>34575.824000000001</v>
      </c>
      <c r="H126" s="28">
        <v>43524.160000000003</v>
      </c>
      <c r="I126" s="29">
        <f t="shared" si="21"/>
        <v>2759431.7439999999</v>
      </c>
      <c r="J126" s="105" t="s">
        <v>13</v>
      </c>
      <c r="K126" s="106" t="s">
        <v>14</v>
      </c>
    </row>
    <row r="127" spans="1:11" x14ac:dyDescent="0.25">
      <c r="A127" s="21">
        <f t="shared" si="22"/>
        <v>115</v>
      </c>
      <c r="B127" s="22">
        <v>46067</v>
      </c>
      <c r="C127" s="103" t="s">
        <v>15</v>
      </c>
      <c r="D127" s="69">
        <v>75218834</v>
      </c>
      <c r="E127" s="104">
        <v>63.15</v>
      </c>
      <c r="F127" s="26">
        <v>545.36</v>
      </c>
      <c r="G127" s="27">
        <f t="shared" si="20"/>
        <v>34439.483999999997</v>
      </c>
      <c r="H127" s="28">
        <v>43524.160000000003</v>
      </c>
      <c r="I127" s="29">
        <f t="shared" si="21"/>
        <v>2748550.7040000004</v>
      </c>
      <c r="J127" s="105" t="s">
        <v>13</v>
      </c>
      <c r="K127" s="106" t="s">
        <v>14</v>
      </c>
    </row>
    <row r="128" spans="1:11" x14ac:dyDescent="0.25">
      <c r="A128" s="21">
        <f t="shared" si="22"/>
        <v>116</v>
      </c>
      <c r="B128" s="22">
        <v>46067</v>
      </c>
      <c r="C128" s="103" t="s">
        <v>15</v>
      </c>
      <c r="D128" s="69">
        <v>75237453</v>
      </c>
      <c r="E128" s="104">
        <v>64</v>
      </c>
      <c r="F128" s="26">
        <v>545.36</v>
      </c>
      <c r="G128" s="27">
        <f t="shared" si="20"/>
        <v>34903.040000000001</v>
      </c>
      <c r="H128" s="28">
        <v>43524.160000000003</v>
      </c>
      <c r="I128" s="29">
        <f t="shared" si="21"/>
        <v>2785546.2400000002</v>
      </c>
      <c r="J128" s="105" t="s">
        <v>13</v>
      </c>
      <c r="K128" s="106" t="s">
        <v>14</v>
      </c>
    </row>
    <row r="129" spans="1:11" ht="15.75" thickBot="1" x14ac:dyDescent="0.3">
      <c r="A129" s="32">
        <f t="shared" si="22"/>
        <v>117</v>
      </c>
      <c r="B129" s="33">
        <v>46067</v>
      </c>
      <c r="C129" s="108" t="s">
        <v>15</v>
      </c>
      <c r="D129" s="109">
        <v>76224591</v>
      </c>
      <c r="E129" s="110">
        <v>63.4</v>
      </c>
      <c r="F129" s="111">
        <v>545.36</v>
      </c>
      <c r="G129" s="112">
        <f>E129*F129</f>
        <v>34575.824000000001</v>
      </c>
      <c r="H129" s="113">
        <v>43524.160000000003</v>
      </c>
      <c r="I129" s="114">
        <f t="shared" si="21"/>
        <v>2759431.7439999999</v>
      </c>
      <c r="J129" s="115" t="s">
        <v>13</v>
      </c>
      <c r="K129" s="116" t="s">
        <v>14</v>
      </c>
    </row>
    <row r="130" spans="1:11" ht="15.75" thickBot="1" x14ac:dyDescent="0.3">
      <c r="A130" s="89"/>
      <c r="B130" s="90"/>
      <c r="C130" s="90"/>
      <c r="D130" s="90"/>
      <c r="E130" s="91"/>
      <c r="F130" s="90"/>
      <c r="G130" s="92"/>
      <c r="H130" s="93"/>
      <c r="I130" s="94"/>
      <c r="J130" s="117"/>
      <c r="K130" s="118"/>
    </row>
    <row r="131" spans="1:11" x14ac:dyDescent="0.25">
      <c r="A131" s="10">
        <v>118</v>
      </c>
      <c r="B131" s="11">
        <v>46068</v>
      </c>
      <c r="C131" s="96" t="s">
        <v>16</v>
      </c>
      <c r="D131" s="97">
        <v>50163302</v>
      </c>
      <c r="E131" s="98">
        <v>62.05</v>
      </c>
      <c r="F131" s="49">
        <v>545.36</v>
      </c>
      <c r="G131" s="16">
        <f t="shared" ref="G131:G139" si="23">E131*F131</f>
        <v>33839.587999999996</v>
      </c>
      <c r="H131" s="17">
        <v>43524.160000000003</v>
      </c>
      <c r="I131" s="18">
        <f t="shared" ref="I131:I139" si="24">E131*H131</f>
        <v>2700674.128</v>
      </c>
      <c r="J131" s="119" t="s">
        <v>13</v>
      </c>
      <c r="K131" s="120" t="s">
        <v>14</v>
      </c>
    </row>
    <row r="132" spans="1:11" x14ac:dyDescent="0.25">
      <c r="A132" s="21">
        <f>A131+1</f>
        <v>119</v>
      </c>
      <c r="B132" s="22">
        <v>46068</v>
      </c>
      <c r="C132" s="103" t="s">
        <v>16</v>
      </c>
      <c r="D132" s="69">
        <v>54703004</v>
      </c>
      <c r="E132" s="104">
        <v>61.8</v>
      </c>
      <c r="F132" s="26">
        <v>545.36</v>
      </c>
      <c r="G132" s="27">
        <f t="shared" si="23"/>
        <v>33703.248</v>
      </c>
      <c r="H132" s="28">
        <v>43524.160000000003</v>
      </c>
      <c r="I132" s="29">
        <f t="shared" si="24"/>
        <v>2689793.088</v>
      </c>
      <c r="J132" s="105" t="s">
        <v>13</v>
      </c>
      <c r="K132" s="106" t="s">
        <v>14</v>
      </c>
    </row>
    <row r="133" spans="1:11" x14ac:dyDescent="0.25">
      <c r="A133" s="21">
        <f t="shared" ref="A133:A139" si="25">A132+1</f>
        <v>120</v>
      </c>
      <c r="B133" s="22">
        <v>46068</v>
      </c>
      <c r="C133" s="103" t="s">
        <v>16</v>
      </c>
      <c r="D133" s="69">
        <v>57028557</v>
      </c>
      <c r="E133" s="104">
        <v>61.05</v>
      </c>
      <c r="F133" s="26">
        <v>545.36</v>
      </c>
      <c r="G133" s="27">
        <f t="shared" si="23"/>
        <v>33294.228000000003</v>
      </c>
      <c r="H133" s="28">
        <v>43524.160000000003</v>
      </c>
      <c r="I133" s="29">
        <f t="shared" si="24"/>
        <v>2657149.9679999999</v>
      </c>
      <c r="J133" s="105" t="s">
        <v>13</v>
      </c>
      <c r="K133" s="106" t="s">
        <v>14</v>
      </c>
    </row>
    <row r="134" spans="1:11" x14ac:dyDescent="0.25">
      <c r="A134" s="21">
        <f t="shared" si="25"/>
        <v>121</v>
      </c>
      <c r="B134" s="22">
        <v>46068</v>
      </c>
      <c r="C134" s="103" t="s">
        <v>16</v>
      </c>
      <c r="D134" s="69">
        <v>57173221</v>
      </c>
      <c r="E134" s="104">
        <v>62.75</v>
      </c>
      <c r="F134" s="26">
        <v>545.36</v>
      </c>
      <c r="G134" s="27">
        <f t="shared" si="23"/>
        <v>34221.340000000004</v>
      </c>
      <c r="H134" s="28">
        <v>43524.160000000003</v>
      </c>
      <c r="I134" s="29">
        <f t="shared" si="24"/>
        <v>2731141.04</v>
      </c>
      <c r="J134" s="105" t="s">
        <v>13</v>
      </c>
      <c r="K134" s="106" t="s">
        <v>14</v>
      </c>
    </row>
    <row r="135" spans="1:11" x14ac:dyDescent="0.25">
      <c r="A135" s="21">
        <f t="shared" si="25"/>
        <v>122</v>
      </c>
      <c r="B135" s="22">
        <v>46068</v>
      </c>
      <c r="C135" s="103" t="s">
        <v>16</v>
      </c>
      <c r="D135" s="69">
        <v>57272742</v>
      </c>
      <c r="E135" s="104">
        <v>62.5</v>
      </c>
      <c r="F135" s="26">
        <v>545.36</v>
      </c>
      <c r="G135" s="27">
        <f t="shared" si="23"/>
        <v>34085</v>
      </c>
      <c r="H135" s="28">
        <v>43524.160000000003</v>
      </c>
      <c r="I135" s="29">
        <f t="shared" si="24"/>
        <v>2720260</v>
      </c>
      <c r="J135" s="105" t="s">
        <v>13</v>
      </c>
      <c r="K135" s="106" t="s">
        <v>14</v>
      </c>
    </row>
    <row r="136" spans="1:11" x14ac:dyDescent="0.25">
      <c r="A136" s="21">
        <f t="shared" si="25"/>
        <v>123</v>
      </c>
      <c r="B136" s="22">
        <v>46068</v>
      </c>
      <c r="C136" s="103" t="s">
        <v>16</v>
      </c>
      <c r="D136" s="69">
        <v>57333858</v>
      </c>
      <c r="E136" s="104">
        <v>62.35</v>
      </c>
      <c r="F136" s="26">
        <v>545.36</v>
      </c>
      <c r="G136" s="27">
        <f t="shared" si="23"/>
        <v>34003.196000000004</v>
      </c>
      <c r="H136" s="28">
        <v>43524.160000000003</v>
      </c>
      <c r="I136" s="29">
        <f t="shared" si="24"/>
        <v>2713731.3760000002</v>
      </c>
      <c r="J136" s="105" t="s">
        <v>13</v>
      </c>
      <c r="K136" s="106" t="s">
        <v>14</v>
      </c>
    </row>
    <row r="137" spans="1:11" x14ac:dyDescent="0.25">
      <c r="A137" s="21">
        <f t="shared" si="25"/>
        <v>124</v>
      </c>
      <c r="B137" s="22">
        <v>46068</v>
      </c>
      <c r="C137" s="103" t="s">
        <v>16</v>
      </c>
      <c r="D137" s="69">
        <v>73965311</v>
      </c>
      <c r="E137" s="104">
        <v>62.25</v>
      </c>
      <c r="F137" s="26">
        <v>545.36</v>
      </c>
      <c r="G137" s="27">
        <f t="shared" si="23"/>
        <v>33948.660000000003</v>
      </c>
      <c r="H137" s="28">
        <v>43524.160000000003</v>
      </c>
      <c r="I137" s="29">
        <f t="shared" si="24"/>
        <v>2709378.9600000004</v>
      </c>
      <c r="J137" s="105" t="s">
        <v>13</v>
      </c>
      <c r="K137" s="106" t="s">
        <v>14</v>
      </c>
    </row>
    <row r="138" spans="1:11" x14ac:dyDescent="0.25">
      <c r="A138" s="21">
        <f t="shared" si="25"/>
        <v>125</v>
      </c>
      <c r="B138" s="22">
        <v>46068</v>
      </c>
      <c r="C138" s="103" t="s">
        <v>16</v>
      </c>
      <c r="D138" s="69">
        <v>74038852</v>
      </c>
      <c r="E138" s="104">
        <v>62.6</v>
      </c>
      <c r="F138" s="26">
        <v>545.36</v>
      </c>
      <c r="G138" s="27">
        <f t="shared" si="23"/>
        <v>34139.536</v>
      </c>
      <c r="H138" s="28">
        <v>43524.160000000003</v>
      </c>
      <c r="I138" s="29">
        <f t="shared" si="24"/>
        <v>2724612.4160000002</v>
      </c>
      <c r="J138" s="105" t="s">
        <v>13</v>
      </c>
      <c r="K138" s="106" t="s">
        <v>14</v>
      </c>
    </row>
    <row r="139" spans="1:11" ht="15.75" thickBot="1" x14ac:dyDescent="0.3">
      <c r="A139" s="32">
        <f t="shared" si="25"/>
        <v>126</v>
      </c>
      <c r="B139" s="33">
        <v>46068</v>
      </c>
      <c r="C139" s="108" t="s">
        <v>16</v>
      </c>
      <c r="D139" s="109">
        <v>74952177</v>
      </c>
      <c r="E139" s="110">
        <v>60.15</v>
      </c>
      <c r="F139" s="50">
        <v>545.36</v>
      </c>
      <c r="G139" s="37">
        <f t="shared" si="23"/>
        <v>32803.404000000002</v>
      </c>
      <c r="H139" s="38">
        <v>43524.160000000003</v>
      </c>
      <c r="I139" s="39">
        <f t="shared" si="24"/>
        <v>2617978.2239999999</v>
      </c>
      <c r="J139" s="121" t="s">
        <v>13</v>
      </c>
      <c r="K139" s="122" t="s">
        <v>14</v>
      </c>
    </row>
    <row r="140" spans="1:11" ht="15.75" thickBot="1" x14ac:dyDescent="0.3">
      <c r="A140" s="89"/>
      <c r="B140" s="90"/>
      <c r="C140" s="90"/>
      <c r="D140" s="90"/>
      <c r="E140" s="91"/>
      <c r="F140" s="90"/>
      <c r="G140" s="92"/>
      <c r="H140" s="93"/>
      <c r="I140" s="94"/>
      <c r="J140" s="117"/>
      <c r="K140" s="118"/>
    </row>
    <row r="141" spans="1:11" x14ac:dyDescent="0.25">
      <c r="A141" s="10">
        <v>127</v>
      </c>
      <c r="B141" s="11">
        <v>46068</v>
      </c>
      <c r="C141" s="96" t="s">
        <v>17</v>
      </c>
      <c r="D141" s="97">
        <v>52099595</v>
      </c>
      <c r="E141" s="98">
        <v>62.6</v>
      </c>
      <c r="F141" s="49">
        <v>545.36</v>
      </c>
      <c r="G141" s="16">
        <f t="shared" ref="G141:G150" si="26">E141*F141</f>
        <v>34139.536</v>
      </c>
      <c r="H141" s="17">
        <v>43524.160000000003</v>
      </c>
      <c r="I141" s="18">
        <f t="shared" ref="I141:I150" si="27">E141*H141</f>
        <v>2724612.4160000002</v>
      </c>
      <c r="J141" s="119" t="s">
        <v>13</v>
      </c>
      <c r="K141" s="120" t="s">
        <v>14</v>
      </c>
    </row>
    <row r="142" spans="1:11" x14ac:dyDescent="0.25">
      <c r="A142" s="21">
        <f>A141+1</f>
        <v>128</v>
      </c>
      <c r="B142" s="22">
        <v>46068</v>
      </c>
      <c r="C142" s="103" t="s">
        <v>17</v>
      </c>
      <c r="D142" s="69">
        <v>57333684</v>
      </c>
      <c r="E142" s="104">
        <v>62.45</v>
      </c>
      <c r="F142" s="26">
        <v>545.36</v>
      </c>
      <c r="G142" s="27">
        <f t="shared" si="26"/>
        <v>34057.732000000004</v>
      </c>
      <c r="H142" s="28">
        <v>43524.160000000003</v>
      </c>
      <c r="I142" s="29">
        <f t="shared" si="27"/>
        <v>2718083.7920000004</v>
      </c>
      <c r="J142" s="105" t="s">
        <v>13</v>
      </c>
      <c r="K142" s="106" t="s">
        <v>14</v>
      </c>
    </row>
    <row r="143" spans="1:11" x14ac:dyDescent="0.25">
      <c r="A143" s="21">
        <f t="shared" ref="A143:A150" si="28">A142+1</f>
        <v>129</v>
      </c>
      <c r="B143" s="22">
        <v>46068</v>
      </c>
      <c r="C143" s="103" t="s">
        <v>17</v>
      </c>
      <c r="D143" s="69">
        <v>58641887</v>
      </c>
      <c r="E143" s="104">
        <v>62.15</v>
      </c>
      <c r="F143" s="26">
        <v>545.36</v>
      </c>
      <c r="G143" s="27">
        <f t="shared" si="26"/>
        <v>33894.124000000003</v>
      </c>
      <c r="H143" s="28">
        <v>43524.160000000003</v>
      </c>
      <c r="I143" s="29">
        <f t="shared" si="27"/>
        <v>2705026.5440000002</v>
      </c>
      <c r="J143" s="105" t="s">
        <v>13</v>
      </c>
      <c r="K143" s="106" t="s">
        <v>14</v>
      </c>
    </row>
    <row r="144" spans="1:11" x14ac:dyDescent="0.25">
      <c r="A144" s="21">
        <f t="shared" si="28"/>
        <v>130</v>
      </c>
      <c r="B144" s="22">
        <v>46068</v>
      </c>
      <c r="C144" s="103" t="s">
        <v>17</v>
      </c>
      <c r="D144" s="69">
        <v>71047153</v>
      </c>
      <c r="E144" s="104">
        <v>63.95</v>
      </c>
      <c r="F144" s="26">
        <v>545.36</v>
      </c>
      <c r="G144" s="27">
        <f t="shared" si="26"/>
        <v>34875.772000000004</v>
      </c>
      <c r="H144" s="28">
        <v>43524.160000000003</v>
      </c>
      <c r="I144" s="29">
        <f t="shared" si="27"/>
        <v>2783370.0320000001</v>
      </c>
      <c r="J144" s="105" t="s">
        <v>13</v>
      </c>
      <c r="K144" s="106" t="s">
        <v>14</v>
      </c>
    </row>
    <row r="145" spans="1:11" x14ac:dyDescent="0.25">
      <c r="A145" s="21">
        <f t="shared" si="28"/>
        <v>131</v>
      </c>
      <c r="B145" s="22">
        <v>46068</v>
      </c>
      <c r="C145" s="103" t="s">
        <v>17</v>
      </c>
      <c r="D145" s="69">
        <v>71047179</v>
      </c>
      <c r="E145" s="104">
        <v>63.55</v>
      </c>
      <c r="F145" s="26">
        <v>545.36</v>
      </c>
      <c r="G145" s="27">
        <f t="shared" si="26"/>
        <v>34657.627999999997</v>
      </c>
      <c r="H145" s="28">
        <v>43524.160000000003</v>
      </c>
      <c r="I145" s="29">
        <f t="shared" si="27"/>
        <v>2765960.3680000002</v>
      </c>
      <c r="J145" s="105" t="s">
        <v>13</v>
      </c>
      <c r="K145" s="106" t="s">
        <v>14</v>
      </c>
    </row>
    <row r="146" spans="1:11" x14ac:dyDescent="0.25">
      <c r="A146" s="21">
        <f t="shared" si="28"/>
        <v>132</v>
      </c>
      <c r="B146" s="22">
        <v>46068</v>
      </c>
      <c r="C146" s="103" t="s">
        <v>17</v>
      </c>
      <c r="D146" s="69">
        <v>71047252</v>
      </c>
      <c r="E146" s="104">
        <v>63.45</v>
      </c>
      <c r="F146" s="26">
        <v>545.36</v>
      </c>
      <c r="G146" s="27">
        <f t="shared" si="26"/>
        <v>34603.092000000004</v>
      </c>
      <c r="H146" s="28">
        <v>43524.160000000003</v>
      </c>
      <c r="I146" s="29">
        <f t="shared" si="27"/>
        <v>2761607.9520000005</v>
      </c>
      <c r="J146" s="105" t="s">
        <v>13</v>
      </c>
      <c r="K146" s="106" t="s">
        <v>14</v>
      </c>
    </row>
    <row r="147" spans="1:11" x14ac:dyDescent="0.25">
      <c r="A147" s="21">
        <f t="shared" si="28"/>
        <v>133</v>
      </c>
      <c r="B147" s="22">
        <v>46068</v>
      </c>
      <c r="C147" s="103" t="s">
        <v>17</v>
      </c>
      <c r="D147" s="69">
        <v>71047427</v>
      </c>
      <c r="E147" s="104">
        <v>62.9</v>
      </c>
      <c r="F147" s="26">
        <v>545.36</v>
      </c>
      <c r="G147" s="27">
        <f t="shared" si="26"/>
        <v>34303.144</v>
      </c>
      <c r="H147" s="28">
        <v>43524.160000000003</v>
      </c>
      <c r="I147" s="29">
        <f t="shared" si="27"/>
        <v>2737669.6640000003</v>
      </c>
      <c r="J147" s="105" t="s">
        <v>13</v>
      </c>
      <c r="K147" s="106" t="s">
        <v>14</v>
      </c>
    </row>
    <row r="148" spans="1:11" x14ac:dyDescent="0.25">
      <c r="A148" s="21">
        <f t="shared" si="28"/>
        <v>134</v>
      </c>
      <c r="B148" s="22">
        <v>46068</v>
      </c>
      <c r="C148" s="103" t="s">
        <v>17</v>
      </c>
      <c r="D148" s="69">
        <v>73337180</v>
      </c>
      <c r="E148" s="104">
        <v>61.15</v>
      </c>
      <c r="F148" s="26">
        <v>545.36</v>
      </c>
      <c r="G148" s="27">
        <f t="shared" si="26"/>
        <v>33348.764000000003</v>
      </c>
      <c r="H148" s="28">
        <v>43524.160000000003</v>
      </c>
      <c r="I148" s="29">
        <f t="shared" si="27"/>
        <v>2661502.3840000001</v>
      </c>
      <c r="J148" s="105" t="s">
        <v>13</v>
      </c>
      <c r="K148" s="106" t="s">
        <v>14</v>
      </c>
    </row>
    <row r="149" spans="1:11" x14ac:dyDescent="0.25">
      <c r="A149" s="21">
        <f t="shared" si="28"/>
        <v>135</v>
      </c>
      <c r="B149" s="22">
        <v>46068</v>
      </c>
      <c r="C149" s="103" t="s">
        <v>17</v>
      </c>
      <c r="D149" s="69">
        <v>74917659</v>
      </c>
      <c r="E149" s="104">
        <v>63</v>
      </c>
      <c r="F149" s="26">
        <v>545.36</v>
      </c>
      <c r="G149" s="27">
        <f t="shared" si="26"/>
        <v>34357.68</v>
      </c>
      <c r="H149" s="28">
        <v>43524.160000000003</v>
      </c>
      <c r="I149" s="29">
        <f t="shared" si="27"/>
        <v>2742022.08</v>
      </c>
      <c r="J149" s="105" t="s">
        <v>13</v>
      </c>
      <c r="K149" s="106" t="s">
        <v>14</v>
      </c>
    </row>
    <row r="150" spans="1:11" ht="15.75" thickBot="1" x14ac:dyDescent="0.3">
      <c r="A150" s="32">
        <f t="shared" si="28"/>
        <v>136</v>
      </c>
      <c r="B150" s="33">
        <v>46068</v>
      </c>
      <c r="C150" s="108" t="s">
        <v>17</v>
      </c>
      <c r="D150" s="109">
        <v>75058164</v>
      </c>
      <c r="E150" s="110">
        <v>62.35</v>
      </c>
      <c r="F150" s="50">
        <v>545.36</v>
      </c>
      <c r="G150" s="37">
        <f t="shared" si="26"/>
        <v>34003.196000000004</v>
      </c>
      <c r="H150" s="38">
        <v>43524.160000000003</v>
      </c>
      <c r="I150" s="39">
        <f t="shared" si="27"/>
        <v>2713731.3760000002</v>
      </c>
      <c r="J150" s="121" t="s">
        <v>13</v>
      </c>
      <c r="K150" s="122" t="s">
        <v>14</v>
      </c>
    </row>
    <row r="151" spans="1:11" ht="15.75" thickBot="1" x14ac:dyDescent="0.3">
      <c r="A151" s="89"/>
      <c r="B151" s="90"/>
      <c r="C151" s="90"/>
      <c r="D151" s="90"/>
      <c r="E151" s="91"/>
      <c r="F151" s="90"/>
      <c r="G151" s="92"/>
      <c r="H151" s="93"/>
      <c r="I151" s="94"/>
      <c r="J151" s="117"/>
      <c r="K151" s="118"/>
    </row>
    <row r="152" spans="1:11" x14ac:dyDescent="0.25">
      <c r="A152" s="10">
        <v>137</v>
      </c>
      <c r="B152" s="11">
        <v>46070</v>
      </c>
      <c r="C152" s="12">
        <v>8611077</v>
      </c>
      <c r="D152" s="13">
        <v>51151959</v>
      </c>
      <c r="E152" s="14">
        <v>56.5</v>
      </c>
      <c r="F152" s="49">
        <v>545.36</v>
      </c>
      <c r="G152" s="16">
        <f t="shared" ref="G152:G160" si="29">E152*F152</f>
        <v>30812.84</v>
      </c>
      <c r="H152" s="17">
        <v>43524.160000000003</v>
      </c>
      <c r="I152" s="18">
        <f t="shared" ref="I152:I160" si="30">E152*H152</f>
        <v>2459115.04</v>
      </c>
      <c r="J152" s="19" t="s">
        <v>13</v>
      </c>
      <c r="K152" s="20" t="s">
        <v>14</v>
      </c>
    </row>
    <row r="153" spans="1:11" x14ac:dyDescent="0.25">
      <c r="A153" s="21">
        <f>A152+1</f>
        <v>138</v>
      </c>
      <c r="B153" s="22">
        <v>46070</v>
      </c>
      <c r="C153" s="23">
        <v>8611077</v>
      </c>
      <c r="D153" s="24">
        <v>57057648</v>
      </c>
      <c r="E153" s="25">
        <v>61.85</v>
      </c>
      <c r="F153" s="123">
        <v>545.36</v>
      </c>
      <c r="G153" s="27">
        <f t="shared" si="29"/>
        <v>33730.516000000003</v>
      </c>
      <c r="H153" s="28">
        <v>43524.160000000003</v>
      </c>
      <c r="I153" s="29">
        <f t="shared" si="30"/>
        <v>2691969.2960000001</v>
      </c>
      <c r="J153" s="30" t="s">
        <v>13</v>
      </c>
      <c r="K153" s="31" t="s">
        <v>14</v>
      </c>
    </row>
    <row r="154" spans="1:11" x14ac:dyDescent="0.25">
      <c r="A154" s="21">
        <f t="shared" ref="A154:A160" si="31">A153+1</f>
        <v>139</v>
      </c>
      <c r="B154" s="22">
        <v>46070</v>
      </c>
      <c r="C154" s="23">
        <v>8611077</v>
      </c>
      <c r="D154" s="24">
        <v>71044879</v>
      </c>
      <c r="E154" s="25">
        <v>63.7</v>
      </c>
      <c r="F154" s="26">
        <v>545.36</v>
      </c>
      <c r="G154" s="27">
        <f t="shared" si="29"/>
        <v>34739.432000000001</v>
      </c>
      <c r="H154" s="28">
        <v>43524.160000000003</v>
      </c>
      <c r="I154" s="29">
        <f t="shared" si="30"/>
        <v>2772488.9920000006</v>
      </c>
      <c r="J154" s="30" t="s">
        <v>13</v>
      </c>
      <c r="K154" s="31" t="s">
        <v>14</v>
      </c>
    </row>
    <row r="155" spans="1:11" x14ac:dyDescent="0.25">
      <c r="A155" s="21">
        <f t="shared" si="31"/>
        <v>140</v>
      </c>
      <c r="B155" s="22">
        <v>46070</v>
      </c>
      <c r="C155" s="23">
        <v>8611077</v>
      </c>
      <c r="D155" s="24">
        <v>71045645</v>
      </c>
      <c r="E155" s="25">
        <v>62.95</v>
      </c>
      <c r="F155" s="26">
        <v>545.36</v>
      </c>
      <c r="G155" s="27">
        <f t="shared" si="29"/>
        <v>34330.412000000004</v>
      </c>
      <c r="H155" s="28">
        <v>43524.160000000003</v>
      </c>
      <c r="I155" s="29">
        <f t="shared" si="30"/>
        <v>2739845.8720000004</v>
      </c>
      <c r="J155" s="30" t="s">
        <v>13</v>
      </c>
      <c r="K155" s="31" t="s">
        <v>14</v>
      </c>
    </row>
    <row r="156" spans="1:11" x14ac:dyDescent="0.25">
      <c r="A156" s="21">
        <f t="shared" si="31"/>
        <v>141</v>
      </c>
      <c r="B156" s="22">
        <v>46070</v>
      </c>
      <c r="C156" s="23">
        <v>8611077</v>
      </c>
      <c r="D156" s="24">
        <v>71046106</v>
      </c>
      <c r="E156" s="25">
        <v>60.8</v>
      </c>
      <c r="F156" s="26">
        <v>545.36</v>
      </c>
      <c r="G156" s="27">
        <f t="shared" si="29"/>
        <v>33157.887999999999</v>
      </c>
      <c r="H156" s="28">
        <v>43524.160000000003</v>
      </c>
      <c r="I156" s="29">
        <f t="shared" si="30"/>
        <v>2646268.9280000003</v>
      </c>
      <c r="J156" s="30" t="s">
        <v>13</v>
      </c>
      <c r="K156" s="31" t="s">
        <v>14</v>
      </c>
    </row>
    <row r="157" spans="1:11" x14ac:dyDescent="0.25">
      <c r="A157" s="21">
        <f t="shared" si="31"/>
        <v>142</v>
      </c>
      <c r="B157" s="22">
        <v>46070</v>
      </c>
      <c r="C157" s="23">
        <v>8611077</v>
      </c>
      <c r="D157" s="24">
        <v>71047146</v>
      </c>
      <c r="E157" s="25">
        <v>65.2</v>
      </c>
      <c r="F157" s="26">
        <v>545.36</v>
      </c>
      <c r="G157" s="27">
        <f t="shared" si="29"/>
        <v>35557.472000000002</v>
      </c>
      <c r="H157" s="28">
        <v>43524.160000000003</v>
      </c>
      <c r="I157" s="29">
        <f t="shared" si="30"/>
        <v>2837775.2320000003</v>
      </c>
      <c r="J157" s="30" t="s">
        <v>13</v>
      </c>
      <c r="K157" s="31" t="s">
        <v>14</v>
      </c>
    </row>
    <row r="158" spans="1:11" x14ac:dyDescent="0.25">
      <c r="A158" s="21">
        <f t="shared" si="31"/>
        <v>143</v>
      </c>
      <c r="B158" s="22">
        <v>46070</v>
      </c>
      <c r="C158" s="23">
        <v>8611077</v>
      </c>
      <c r="D158" s="24">
        <v>71047377</v>
      </c>
      <c r="E158" s="25">
        <v>61.25</v>
      </c>
      <c r="F158" s="26">
        <v>545.36</v>
      </c>
      <c r="G158" s="27">
        <f t="shared" si="29"/>
        <v>33403.300000000003</v>
      </c>
      <c r="H158" s="28">
        <v>43524.160000000003</v>
      </c>
      <c r="I158" s="29">
        <f t="shared" si="30"/>
        <v>2665854.8000000003</v>
      </c>
      <c r="J158" s="30" t="s">
        <v>13</v>
      </c>
      <c r="K158" s="31" t="s">
        <v>14</v>
      </c>
    </row>
    <row r="159" spans="1:11" x14ac:dyDescent="0.25">
      <c r="A159" s="21">
        <f t="shared" si="31"/>
        <v>144</v>
      </c>
      <c r="B159" s="22">
        <v>46070</v>
      </c>
      <c r="C159" s="23">
        <v>8611077</v>
      </c>
      <c r="D159" s="24">
        <v>73981334</v>
      </c>
      <c r="E159" s="25">
        <v>58.6</v>
      </c>
      <c r="F159" s="26">
        <v>545.36</v>
      </c>
      <c r="G159" s="27">
        <f t="shared" si="29"/>
        <v>31958.096000000001</v>
      </c>
      <c r="H159" s="28">
        <v>43524.160000000003</v>
      </c>
      <c r="I159" s="29">
        <f t="shared" si="30"/>
        <v>2550515.7760000001</v>
      </c>
      <c r="J159" s="30" t="s">
        <v>13</v>
      </c>
      <c r="K159" s="31" t="s">
        <v>14</v>
      </c>
    </row>
    <row r="160" spans="1:11" ht="15.75" thickBot="1" x14ac:dyDescent="0.3">
      <c r="A160" s="80">
        <f t="shared" si="31"/>
        <v>145</v>
      </c>
      <c r="B160" s="71">
        <v>46070</v>
      </c>
      <c r="C160" s="72">
        <v>8611077</v>
      </c>
      <c r="D160" s="73">
        <v>75052407</v>
      </c>
      <c r="E160" s="74">
        <v>62.6</v>
      </c>
      <c r="F160" s="123">
        <v>545.36</v>
      </c>
      <c r="G160" s="75">
        <f t="shared" si="29"/>
        <v>34139.536</v>
      </c>
      <c r="H160" s="76">
        <v>43524.160000000003</v>
      </c>
      <c r="I160" s="77">
        <f t="shared" si="30"/>
        <v>2724612.4160000002</v>
      </c>
      <c r="J160" s="30" t="s">
        <v>13</v>
      </c>
      <c r="K160" s="78" t="s">
        <v>14</v>
      </c>
    </row>
    <row r="161" spans="1:11" ht="15.75" thickBot="1" x14ac:dyDescent="0.3">
      <c r="A161" s="42"/>
      <c r="B161" s="43"/>
      <c r="C161" s="43"/>
      <c r="D161" s="43"/>
      <c r="E161" s="44"/>
      <c r="F161" s="43"/>
      <c r="G161" s="45"/>
      <c r="H161" s="46"/>
      <c r="I161" s="47"/>
      <c r="J161" s="43"/>
      <c r="K161" s="48"/>
    </row>
    <row r="162" spans="1:11" x14ac:dyDescent="0.25">
      <c r="A162" s="10">
        <v>146</v>
      </c>
      <c r="B162" s="11">
        <v>46070</v>
      </c>
      <c r="C162" s="12">
        <v>8611078</v>
      </c>
      <c r="D162" s="13">
        <v>51847507</v>
      </c>
      <c r="E162" s="14">
        <v>62.95</v>
      </c>
      <c r="F162" s="26">
        <v>545.36</v>
      </c>
      <c r="G162" s="16">
        <f t="shared" ref="G162:G166" si="32">E162*F162</f>
        <v>34330.412000000004</v>
      </c>
      <c r="H162" s="17">
        <v>43524.160000000003</v>
      </c>
      <c r="I162" s="18">
        <f t="shared" ref="I162:I166" si="33">E162*H162</f>
        <v>2739845.8720000004</v>
      </c>
      <c r="J162" s="19" t="s">
        <v>13</v>
      </c>
      <c r="K162" s="20" t="s">
        <v>14</v>
      </c>
    </row>
    <row r="163" spans="1:11" x14ac:dyDescent="0.25">
      <c r="A163" s="21">
        <f>A162+1</f>
        <v>147</v>
      </c>
      <c r="B163" s="22">
        <v>46070</v>
      </c>
      <c r="C163" s="23">
        <v>8611078</v>
      </c>
      <c r="D163" s="24">
        <v>55950000</v>
      </c>
      <c r="E163" s="25">
        <v>63.1</v>
      </c>
      <c r="F163" s="26">
        <v>545.36</v>
      </c>
      <c r="G163" s="27">
        <f t="shared" si="32"/>
        <v>34412.216</v>
      </c>
      <c r="H163" s="28">
        <v>43524.160000000003</v>
      </c>
      <c r="I163" s="29">
        <f t="shared" si="33"/>
        <v>2746374.4960000003</v>
      </c>
      <c r="J163" s="30" t="s">
        <v>13</v>
      </c>
      <c r="K163" s="31" t="s">
        <v>14</v>
      </c>
    </row>
    <row r="164" spans="1:11" x14ac:dyDescent="0.25">
      <c r="A164" s="21">
        <f t="shared" ref="A164:A166" si="34">A163+1</f>
        <v>148</v>
      </c>
      <c r="B164" s="22">
        <v>46070</v>
      </c>
      <c r="C164" s="23">
        <v>8611078</v>
      </c>
      <c r="D164" s="24">
        <v>57206518</v>
      </c>
      <c r="E164" s="25">
        <v>62.25</v>
      </c>
      <c r="F164" s="26">
        <v>545.36</v>
      </c>
      <c r="G164" s="27">
        <f t="shared" si="32"/>
        <v>33948.660000000003</v>
      </c>
      <c r="H164" s="28">
        <v>43524.160000000003</v>
      </c>
      <c r="I164" s="29">
        <f t="shared" si="33"/>
        <v>2709378.9600000004</v>
      </c>
      <c r="J164" s="30" t="s">
        <v>13</v>
      </c>
      <c r="K164" s="31" t="s">
        <v>14</v>
      </c>
    </row>
    <row r="165" spans="1:11" x14ac:dyDescent="0.25">
      <c r="A165" s="21">
        <f t="shared" si="34"/>
        <v>149</v>
      </c>
      <c r="B165" s="22">
        <v>46070</v>
      </c>
      <c r="C165" s="23">
        <v>8611078</v>
      </c>
      <c r="D165" s="24">
        <v>73315582</v>
      </c>
      <c r="E165" s="25">
        <v>60.95</v>
      </c>
      <c r="F165" s="26">
        <v>545.36</v>
      </c>
      <c r="G165" s="27">
        <f t="shared" si="32"/>
        <v>33239.692000000003</v>
      </c>
      <c r="H165" s="28">
        <v>43524.160000000003</v>
      </c>
      <c r="I165" s="29">
        <f t="shared" si="33"/>
        <v>2652797.5520000001</v>
      </c>
      <c r="J165" s="30" t="s">
        <v>13</v>
      </c>
      <c r="K165" s="31" t="s">
        <v>14</v>
      </c>
    </row>
    <row r="166" spans="1:11" ht="15.75" thickBot="1" x14ac:dyDescent="0.3">
      <c r="A166" s="80">
        <f t="shared" si="34"/>
        <v>150</v>
      </c>
      <c r="B166" s="71">
        <v>46070</v>
      </c>
      <c r="C166" s="72">
        <v>8611078</v>
      </c>
      <c r="D166" s="73">
        <v>75050237</v>
      </c>
      <c r="E166" s="74">
        <v>62.5</v>
      </c>
      <c r="F166" s="26">
        <v>545.36</v>
      </c>
      <c r="G166" s="75">
        <f t="shared" si="32"/>
        <v>34085</v>
      </c>
      <c r="H166" s="76">
        <v>43524.160000000003</v>
      </c>
      <c r="I166" s="77">
        <f t="shared" si="33"/>
        <v>2720260</v>
      </c>
      <c r="J166" s="30" t="s">
        <v>13</v>
      </c>
      <c r="K166" s="78" t="s">
        <v>14</v>
      </c>
    </row>
    <row r="167" spans="1:11" ht="15.75" thickBot="1" x14ac:dyDescent="0.3">
      <c r="A167" s="51"/>
      <c r="B167" s="52"/>
      <c r="C167" s="52"/>
      <c r="D167" s="52"/>
      <c r="E167" s="53"/>
      <c r="F167" s="52"/>
      <c r="G167" s="54"/>
      <c r="H167" s="55"/>
      <c r="I167" s="56"/>
      <c r="J167" s="124"/>
      <c r="K167" s="57"/>
    </row>
    <row r="168" spans="1:11" x14ac:dyDescent="0.25">
      <c r="A168" s="125">
        <v>151</v>
      </c>
      <c r="B168" s="59">
        <v>46071</v>
      </c>
      <c r="C168" s="60">
        <v>8611095</v>
      </c>
      <c r="D168" s="61">
        <v>50988476</v>
      </c>
      <c r="E168" s="62">
        <v>61.7</v>
      </c>
      <c r="F168" s="26">
        <v>545.36</v>
      </c>
      <c r="G168" s="64">
        <f t="shared" ref="G168:G174" si="35">E168*F168</f>
        <v>33648.712</v>
      </c>
      <c r="H168" s="65">
        <v>43524.160000000003</v>
      </c>
      <c r="I168" s="66">
        <f t="shared" ref="I168:I174" si="36">E168*H168</f>
        <v>2685440.6720000003</v>
      </c>
      <c r="J168" s="67" t="s">
        <v>13</v>
      </c>
      <c r="K168" s="68" t="s">
        <v>14</v>
      </c>
    </row>
    <row r="169" spans="1:11" x14ac:dyDescent="0.25">
      <c r="A169" s="21">
        <f>A168+1</f>
        <v>152</v>
      </c>
      <c r="B169" s="22">
        <v>46071</v>
      </c>
      <c r="C169" s="23">
        <v>8611095</v>
      </c>
      <c r="D169" s="24">
        <v>51861102</v>
      </c>
      <c r="E169" s="25">
        <v>62.75</v>
      </c>
      <c r="F169" s="26">
        <v>545.36</v>
      </c>
      <c r="G169" s="27">
        <f t="shared" si="35"/>
        <v>34221.340000000004</v>
      </c>
      <c r="H169" s="28">
        <v>43524.160000000003</v>
      </c>
      <c r="I169" s="29">
        <f t="shared" si="36"/>
        <v>2731141.04</v>
      </c>
      <c r="J169" s="30" t="s">
        <v>13</v>
      </c>
      <c r="K169" s="31" t="s">
        <v>14</v>
      </c>
    </row>
    <row r="170" spans="1:11" x14ac:dyDescent="0.25">
      <c r="A170" s="21">
        <f t="shared" ref="A170:A174" si="37">A169+1</f>
        <v>153</v>
      </c>
      <c r="B170" s="22">
        <v>46071</v>
      </c>
      <c r="C170" s="23">
        <v>8611095</v>
      </c>
      <c r="D170" s="24">
        <v>55949226</v>
      </c>
      <c r="E170" s="25">
        <v>62.65</v>
      </c>
      <c r="F170" s="26">
        <v>545.36</v>
      </c>
      <c r="G170" s="27">
        <f t="shared" si="35"/>
        <v>34166.803999999996</v>
      </c>
      <c r="H170" s="28">
        <v>43524.160000000003</v>
      </c>
      <c r="I170" s="29">
        <f t="shared" si="36"/>
        <v>2726788.6240000003</v>
      </c>
      <c r="J170" s="30" t="s">
        <v>13</v>
      </c>
      <c r="K170" s="31" t="s">
        <v>14</v>
      </c>
    </row>
    <row r="171" spans="1:11" x14ac:dyDescent="0.25">
      <c r="A171" s="21">
        <f t="shared" si="37"/>
        <v>154</v>
      </c>
      <c r="B171" s="22">
        <v>46071</v>
      </c>
      <c r="C171" s="23">
        <v>8611095</v>
      </c>
      <c r="D171" s="24">
        <v>71049324</v>
      </c>
      <c r="E171" s="25">
        <v>64.099999999999994</v>
      </c>
      <c r="F171" s="26">
        <v>545.36</v>
      </c>
      <c r="G171" s="27">
        <f t="shared" si="35"/>
        <v>34957.576000000001</v>
      </c>
      <c r="H171" s="28">
        <v>43524.160000000003</v>
      </c>
      <c r="I171" s="29">
        <f t="shared" si="36"/>
        <v>2789898.656</v>
      </c>
      <c r="J171" s="30" t="s">
        <v>13</v>
      </c>
      <c r="K171" s="31" t="s">
        <v>14</v>
      </c>
    </row>
    <row r="172" spans="1:11" x14ac:dyDescent="0.25">
      <c r="A172" s="21">
        <f t="shared" si="37"/>
        <v>155</v>
      </c>
      <c r="B172" s="22">
        <v>46071</v>
      </c>
      <c r="C172" s="23">
        <v>8611095</v>
      </c>
      <c r="D172" s="24">
        <v>73657587</v>
      </c>
      <c r="E172" s="25">
        <v>62.9</v>
      </c>
      <c r="F172" s="26">
        <v>545.36</v>
      </c>
      <c r="G172" s="27">
        <f t="shared" si="35"/>
        <v>34303.144</v>
      </c>
      <c r="H172" s="28">
        <v>43524.160000000003</v>
      </c>
      <c r="I172" s="29">
        <f t="shared" si="36"/>
        <v>2737669.6640000003</v>
      </c>
      <c r="J172" s="30" t="s">
        <v>13</v>
      </c>
      <c r="K172" s="31" t="s">
        <v>14</v>
      </c>
    </row>
    <row r="173" spans="1:11" x14ac:dyDescent="0.25">
      <c r="A173" s="21">
        <f t="shared" si="37"/>
        <v>156</v>
      </c>
      <c r="B173" s="22">
        <v>46071</v>
      </c>
      <c r="C173" s="23">
        <v>8611095</v>
      </c>
      <c r="D173" s="24">
        <v>73979387</v>
      </c>
      <c r="E173" s="25">
        <v>65.650000000000006</v>
      </c>
      <c r="F173" s="26">
        <v>545.36</v>
      </c>
      <c r="G173" s="27">
        <f t="shared" si="35"/>
        <v>35802.884000000005</v>
      </c>
      <c r="H173" s="28">
        <v>43524.160000000003</v>
      </c>
      <c r="I173" s="29">
        <f t="shared" si="36"/>
        <v>2857361.1040000003</v>
      </c>
      <c r="J173" s="30" t="s">
        <v>13</v>
      </c>
      <c r="K173" s="31" t="s">
        <v>14</v>
      </c>
    </row>
    <row r="174" spans="1:11" ht="15.75" thickBot="1" x14ac:dyDescent="0.3">
      <c r="A174" s="80">
        <f t="shared" si="37"/>
        <v>157</v>
      </c>
      <c r="B174" s="71">
        <v>46071</v>
      </c>
      <c r="C174" s="72">
        <v>8611095</v>
      </c>
      <c r="D174" s="73">
        <v>75038505</v>
      </c>
      <c r="E174" s="74">
        <v>64.45</v>
      </c>
      <c r="F174" s="26">
        <v>545.36</v>
      </c>
      <c r="G174" s="75">
        <f t="shared" si="35"/>
        <v>35148.452000000005</v>
      </c>
      <c r="H174" s="76">
        <v>43524.160000000003</v>
      </c>
      <c r="I174" s="77">
        <f t="shared" si="36"/>
        <v>2805132.1120000002</v>
      </c>
      <c r="J174" s="30" t="s">
        <v>13</v>
      </c>
      <c r="K174" s="78" t="s">
        <v>14</v>
      </c>
    </row>
    <row r="175" spans="1:11" ht="15.75" thickBot="1" x14ac:dyDescent="0.3">
      <c r="A175" s="51"/>
      <c r="B175" s="52"/>
      <c r="C175" s="52"/>
      <c r="D175" s="52"/>
      <c r="E175" s="53"/>
      <c r="F175" s="52"/>
      <c r="G175" s="54"/>
      <c r="H175" s="55"/>
      <c r="I175" s="56"/>
      <c r="J175" s="52"/>
      <c r="K175" s="79"/>
    </row>
    <row r="176" spans="1:11" x14ac:dyDescent="0.25">
      <c r="A176" s="125">
        <v>158</v>
      </c>
      <c r="B176" s="59">
        <v>46072</v>
      </c>
      <c r="C176" s="60">
        <v>8611175</v>
      </c>
      <c r="D176" s="61">
        <v>50751775</v>
      </c>
      <c r="E176" s="62">
        <v>59.55</v>
      </c>
      <c r="F176" s="26">
        <v>545.36</v>
      </c>
      <c r="G176" s="64">
        <f t="shared" ref="G176:G199" si="38">E176*F176</f>
        <v>32476.187999999998</v>
      </c>
      <c r="H176" s="65">
        <v>43524.160000000003</v>
      </c>
      <c r="I176" s="66">
        <f t="shared" ref="I176:I199" si="39">E176*H176</f>
        <v>2591863.7280000001</v>
      </c>
      <c r="J176" s="67" t="s">
        <v>13</v>
      </c>
      <c r="K176" s="68" t="s">
        <v>14</v>
      </c>
    </row>
    <row r="177" spans="1:11" x14ac:dyDescent="0.25">
      <c r="A177" s="21">
        <f>A176+1</f>
        <v>159</v>
      </c>
      <c r="B177" s="22">
        <v>46072</v>
      </c>
      <c r="C177" s="23">
        <v>8611174</v>
      </c>
      <c r="D177" s="24">
        <v>51229359</v>
      </c>
      <c r="E177" s="25">
        <v>60.55</v>
      </c>
      <c r="F177" s="26">
        <v>545.36</v>
      </c>
      <c r="G177" s="27">
        <f t="shared" si="38"/>
        <v>33021.548000000003</v>
      </c>
      <c r="H177" s="28">
        <v>43524.160000000003</v>
      </c>
      <c r="I177" s="29">
        <f t="shared" si="39"/>
        <v>2635387.8880000003</v>
      </c>
      <c r="J177" s="30" t="s">
        <v>13</v>
      </c>
      <c r="K177" s="31" t="s">
        <v>14</v>
      </c>
    </row>
    <row r="178" spans="1:11" x14ac:dyDescent="0.25">
      <c r="A178" s="21">
        <f t="shared" ref="A178:A199" si="40">A177+1</f>
        <v>160</v>
      </c>
      <c r="B178" s="22">
        <v>46072</v>
      </c>
      <c r="C178" s="23">
        <v>8611175</v>
      </c>
      <c r="D178" s="24">
        <v>51886224</v>
      </c>
      <c r="E178" s="25">
        <v>62.05</v>
      </c>
      <c r="F178" s="26">
        <v>545.36</v>
      </c>
      <c r="G178" s="27">
        <f t="shared" si="38"/>
        <v>33839.587999999996</v>
      </c>
      <c r="H178" s="28">
        <v>43524.160000000003</v>
      </c>
      <c r="I178" s="29">
        <f t="shared" si="39"/>
        <v>2700674.128</v>
      </c>
      <c r="J178" s="30" t="s">
        <v>13</v>
      </c>
      <c r="K178" s="31" t="s">
        <v>14</v>
      </c>
    </row>
    <row r="179" spans="1:11" x14ac:dyDescent="0.25">
      <c r="A179" s="21">
        <f t="shared" si="40"/>
        <v>161</v>
      </c>
      <c r="B179" s="22">
        <v>46072</v>
      </c>
      <c r="C179" s="23">
        <v>8611174</v>
      </c>
      <c r="D179" s="24">
        <v>53924452</v>
      </c>
      <c r="E179" s="25">
        <v>61.55</v>
      </c>
      <c r="F179" s="26">
        <v>545.36</v>
      </c>
      <c r="G179" s="27">
        <f t="shared" si="38"/>
        <v>33566.907999999996</v>
      </c>
      <c r="H179" s="28">
        <v>43524.160000000003</v>
      </c>
      <c r="I179" s="29">
        <f t="shared" si="39"/>
        <v>2678912.048</v>
      </c>
      <c r="J179" s="30" t="s">
        <v>13</v>
      </c>
      <c r="K179" s="31" t="s">
        <v>14</v>
      </c>
    </row>
    <row r="180" spans="1:11" x14ac:dyDescent="0.25">
      <c r="A180" s="21">
        <f t="shared" si="40"/>
        <v>162</v>
      </c>
      <c r="B180" s="22">
        <v>46072</v>
      </c>
      <c r="C180" s="23">
        <v>8611174</v>
      </c>
      <c r="D180" s="24">
        <v>55949101</v>
      </c>
      <c r="E180" s="25">
        <v>62.3</v>
      </c>
      <c r="F180" s="26">
        <v>545.36</v>
      </c>
      <c r="G180" s="27">
        <f t="shared" si="38"/>
        <v>33975.928</v>
      </c>
      <c r="H180" s="28">
        <v>43524.160000000003</v>
      </c>
      <c r="I180" s="29">
        <f t="shared" si="39"/>
        <v>2711555.1680000001</v>
      </c>
      <c r="J180" s="30" t="s">
        <v>13</v>
      </c>
      <c r="K180" s="31" t="s">
        <v>14</v>
      </c>
    </row>
    <row r="181" spans="1:11" x14ac:dyDescent="0.25">
      <c r="A181" s="21">
        <f t="shared" si="40"/>
        <v>163</v>
      </c>
      <c r="B181" s="22">
        <v>46072</v>
      </c>
      <c r="C181" s="23">
        <v>8611175</v>
      </c>
      <c r="D181" s="24">
        <v>57209397</v>
      </c>
      <c r="E181" s="25">
        <v>61.75</v>
      </c>
      <c r="F181" s="26">
        <v>545.36</v>
      </c>
      <c r="G181" s="27">
        <f t="shared" si="38"/>
        <v>33675.980000000003</v>
      </c>
      <c r="H181" s="28">
        <v>43524.160000000003</v>
      </c>
      <c r="I181" s="29">
        <f t="shared" si="39"/>
        <v>2687616.8800000004</v>
      </c>
      <c r="J181" s="30" t="s">
        <v>13</v>
      </c>
      <c r="K181" s="31" t="s">
        <v>14</v>
      </c>
    </row>
    <row r="182" spans="1:11" x14ac:dyDescent="0.25">
      <c r="A182" s="21">
        <f t="shared" si="40"/>
        <v>164</v>
      </c>
      <c r="B182" s="22">
        <v>46072</v>
      </c>
      <c r="C182" s="23">
        <v>8611175</v>
      </c>
      <c r="D182" s="24">
        <v>57214140</v>
      </c>
      <c r="E182" s="25">
        <v>60.15</v>
      </c>
      <c r="F182" s="26">
        <v>545.36</v>
      </c>
      <c r="G182" s="27">
        <f t="shared" si="38"/>
        <v>32803.404000000002</v>
      </c>
      <c r="H182" s="28">
        <v>43524.160000000003</v>
      </c>
      <c r="I182" s="29">
        <f t="shared" si="39"/>
        <v>2617978.2239999999</v>
      </c>
      <c r="J182" s="30" t="s">
        <v>13</v>
      </c>
      <c r="K182" s="31" t="s">
        <v>14</v>
      </c>
    </row>
    <row r="183" spans="1:11" x14ac:dyDescent="0.25">
      <c r="A183" s="21">
        <f t="shared" si="40"/>
        <v>165</v>
      </c>
      <c r="B183" s="22">
        <v>46072</v>
      </c>
      <c r="C183" s="23">
        <v>8611175</v>
      </c>
      <c r="D183" s="24">
        <v>58649757</v>
      </c>
      <c r="E183" s="25">
        <v>60.8</v>
      </c>
      <c r="F183" s="26">
        <v>545.36</v>
      </c>
      <c r="G183" s="27">
        <f t="shared" si="38"/>
        <v>33157.887999999999</v>
      </c>
      <c r="H183" s="28">
        <v>43524.160000000003</v>
      </c>
      <c r="I183" s="29">
        <f t="shared" si="39"/>
        <v>2646268.9280000003</v>
      </c>
      <c r="J183" s="30" t="s">
        <v>13</v>
      </c>
      <c r="K183" s="31" t="s">
        <v>14</v>
      </c>
    </row>
    <row r="184" spans="1:11" x14ac:dyDescent="0.25">
      <c r="A184" s="21">
        <f t="shared" si="40"/>
        <v>166</v>
      </c>
      <c r="B184" s="22">
        <v>46072</v>
      </c>
      <c r="C184" s="23">
        <v>8611175</v>
      </c>
      <c r="D184" s="24">
        <v>71044812</v>
      </c>
      <c r="E184" s="25">
        <v>60.2</v>
      </c>
      <c r="F184" s="26">
        <v>545.36</v>
      </c>
      <c r="G184" s="27">
        <f t="shared" si="38"/>
        <v>32830.672000000006</v>
      </c>
      <c r="H184" s="28">
        <v>43524.160000000003</v>
      </c>
      <c r="I184" s="29">
        <f t="shared" si="39"/>
        <v>2620154.4320000005</v>
      </c>
      <c r="J184" s="30" t="s">
        <v>13</v>
      </c>
      <c r="K184" s="31" t="s">
        <v>14</v>
      </c>
    </row>
    <row r="185" spans="1:11" x14ac:dyDescent="0.25">
      <c r="A185" s="21">
        <f t="shared" si="40"/>
        <v>167</v>
      </c>
      <c r="B185" s="22">
        <v>46072</v>
      </c>
      <c r="C185" s="23">
        <v>8611175</v>
      </c>
      <c r="D185" s="24">
        <v>71046130</v>
      </c>
      <c r="E185" s="25">
        <v>61.25</v>
      </c>
      <c r="F185" s="26">
        <v>545.36</v>
      </c>
      <c r="G185" s="27">
        <f t="shared" si="38"/>
        <v>33403.300000000003</v>
      </c>
      <c r="H185" s="28">
        <v>43524.160000000003</v>
      </c>
      <c r="I185" s="29">
        <f t="shared" si="39"/>
        <v>2665854.8000000003</v>
      </c>
      <c r="J185" s="30" t="s">
        <v>13</v>
      </c>
      <c r="K185" s="31" t="s">
        <v>14</v>
      </c>
    </row>
    <row r="186" spans="1:11" x14ac:dyDescent="0.25">
      <c r="A186" s="21">
        <f t="shared" si="40"/>
        <v>168</v>
      </c>
      <c r="B186" s="22">
        <v>46072</v>
      </c>
      <c r="C186" s="23">
        <v>8611175</v>
      </c>
      <c r="D186" s="24">
        <v>71046759</v>
      </c>
      <c r="E186" s="25">
        <v>59.6</v>
      </c>
      <c r="F186" s="26">
        <v>545.36</v>
      </c>
      <c r="G186" s="27">
        <f t="shared" si="38"/>
        <v>32503.456000000002</v>
      </c>
      <c r="H186" s="28">
        <v>43524.160000000003</v>
      </c>
      <c r="I186" s="29">
        <f t="shared" si="39"/>
        <v>2594039.9360000002</v>
      </c>
      <c r="J186" s="30" t="s">
        <v>13</v>
      </c>
      <c r="K186" s="31" t="s">
        <v>14</v>
      </c>
    </row>
    <row r="187" spans="1:11" x14ac:dyDescent="0.25">
      <c r="A187" s="21">
        <f t="shared" si="40"/>
        <v>169</v>
      </c>
      <c r="B187" s="22">
        <v>46072</v>
      </c>
      <c r="C187" s="23">
        <v>8611175</v>
      </c>
      <c r="D187" s="24">
        <v>73007031</v>
      </c>
      <c r="E187" s="25">
        <v>60.85</v>
      </c>
      <c r="F187" s="26">
        <v>545.36</v>
      </c>
      <c r="G187" s="27">
        <f t="shared" si="38"/>
        <v>33185.156000000003</v>
      </c>
      <c r="H187" s="28">
        <v>43524.160000000003</v>
      </c>
      <c r="I187" s="29">
        <f t="shared" si="39"/>
        <v>2648445.1360000004</v>
      </c>
      <c r="J187" s="30" t="s">
        <v>13</v>
      </c>
      <c r="K187" s="31" t="s">
        <v>14</v>
      </c>
    </row>
    <row r="188" spans="1:11" x14ac:dyDescent="0.25">
      <c r="A188" s="21">
        <f t="shared" si="40"/>
        <v>170</v>
      </c>
      <c r="B188" s="22">
        <v>46072</v>
      </c>
      <c r="C188" s="23">
        <v>8611174</v>
      </c>
      <c r="D188" s="24">
        <v>73054801</v>
      </c>
      <c r="E188" s="25">
        <v>60.6</v>
      </c>
      <c r="F188" s="26">
        <v>545.36</v>
      </c>
      <c r="G188" s="27">
        <f t="shared" si="38"/>
        <v>33048.815999999999</v>
      </c>
      <c r="H188" s="28">
        <v>43524.160000000003</v>
      </c>
      <c r="I188" s="29">
        <f t="shared" si="39"/>
        <v>2637564.0960000004</v>
      </c>
      <c r="J188" s="30" t="s">
        <v>13</v>
      </c>
      <c r="K188" s="31" t="s">
        <v>14</v>
      </c>
    </row>
    <row r="189" spans="1:11" x14ac:dyDescent="0.25">
      <c r="A189" s="21">
        <f t="shared" si="40"/>
        <v>171</v>
      </c>
      <c r="B189" s="22">
        <v>46072</v>
      </c>
      <c r="C189" s="23">
        <v>8611174</v>
      </c>
      <c r="D189" s="24">
        <v>73065773</v>
      </c>
      <c r="E189" s="25">
        <v>60.55</v>
      </c>
      <c r="F189" s="26">
        <v>545.36</v>
      </c>
      <c r="G189" s="27">
        <f t="shared" si="38"/>
        <v>33021.548000000003</v>
      </c>
      <c r="H189" s="28">
        <v>43524.160000000003</v>
      </c>
      <c r="I189" s="29">
        <f t="shared" si="39"/>
        <v>2635387.8880000003</v>
      </c>
      <c r="J189" s="30" t="s">
        <v>13</v>
      </c>
      <c r="K189" s="31" t="s">
        <v>14</v>
      </c>
    </row>
    <row r="190" spans="1:11" x14ac:dyDescent="0.25">
      <c r="A190" s="21">
        <f t="shared" si="40"/>
        <v>172</v>
      </c>
      <c r="B190" s="22">
        <v>46072</v>
      </c>
      <c r="C190" s="23">
        <v>8611174</v>
      </c>
      <c r="D190" s="24">
        <v>73145658</v>
      </c>
      <c r="E190" s="25">
        <v>61.45</v>
      </c>
      <c r="F190" s="26">
        <v>545.36</v>
      </c>
      <c r="G190" s="27">
        <f t="shared" si="38"/>
        <v>33512.372000000003</v>
      </c>
      <c r="H190" s="28">
        <v>43524.160000000003</v>
      </c>
      <c r="I190" s="29">
        <f t="shared" si="39"/>
        <v>2674559.6320000002</v>
      </c>
      <c r="J190" s="30" t="s">
        <v>13</v>
      </c>
      <c r="K190" s="31" t="s">
        <v>14</v>
      </c>
    </row>
    <row r="191" spans="1:11" x14ac:dyDescent="0.25">
      <c r="A191" s="21">
        <f t="shared" si="40"/>
        <v>173</v>
      </c>
      <c r="B191" s="22">
        <v>46072</v>
      </c>
      <c r="C191" s="23">
        <v>8611174</v>
      </c>
      <c r="D191" s="24">
        <v>73203457</v>
      </c>
      <c r="E191" s="25">
        <v>59.3</v>
      </c>
      <c r="F191" s="26">
        <v>545.36</v>
      </c>
      <c r="G191" s="27">
        <f t="shared" si="38"/>
        <v>32339.847999999998</v>
      </c>
      <c r="H191" s="28">
        <v>43524.160000000003</v>
      </c>
      <c r="I191" s="29">
        <f t="shared" si="39"/>
        <v>2580982.6880000001</v>
      </c>
      <c r="J191" s="30" t="s">
        <v>13</v>
      </c>
      <c r="K191" s="31" t="s">
        <v>14</v>
      </c>
    </row>
    <row r="192" spans="1:11" x14ac:dyDescent="0.25">
      <c r="A192" s="21">
        <f t="shared" si="40"/>
        <v>174</v>
      </c>
      <c r="B192" s="22">
        <v>46072</v>
      </c>
      <c r="C192" s="23">
        <v>8611174</v>
      </c>
      <c r="D192" s="24">
        <v>73919045</v>
      </c>
      <c r="E192" s="25">
        <v>59.9</v>
      </c>
      <c r="F192" s="26">
        <v>545.36</v>
      </c>
      <c r="G192" s="27">
        <f t="shared" si="38"/>
        <v>32667.063999999998</v>
      </c>
      <c r="H192" s="28">
        <v>43524.160000000003</v>
      </c>
      <c r="I192" s="29">
        <f t="shared" si="39"/>
        <v>2607097.1840000004</v>
      </c>
      <c r="J192" s="30" t="s">
        <v>13</v>
      </c>
      <c r="K192" s="31" t="s">
        <v>14</v>
      </c>
    </row>
    <row r="193" spans="1:11" x14ac:dyDescent="0.25">
      <c r="A193" s="21">
        <f t="shared" si="40"/>
        <v>175</v>
      </c>
      <c r="B193" s="22">
        <v>46072</v>
      </c>
      <c r="C193" s="23">
        <v>8611174</v>
      </c>
      <c r="D193" s="24">
        <v>73953374</v>
      </c>
      <c r="E193" s="25">
        <v>62.05</v>
      </c>
      <c r="F193" s="26">
        <v>545.36</v>
      </c>
      <c r="G193" s="27">
        <f t="shared" si="38"/>
        <v>33839.587999999996</v>
      </c>
      <c r="H193" s="28">
        <v>43524.160000000003</v>
      </c>
      <c r="I193" s="29">
        <f t="shared" si="39"/>
        <v>2700674.128</v>
      </c>
      <c r="J193" s="30" t="s">
        <v>13</v>
      </c>
      <c r="K193" s="31" t="s">
        <v>14</v>
      </c>
    </row>
    <row r="194" spans="1:11" x14ac:dyDescent="0.25">
      <c r="A194" s="21">
        <f t="shared" si="40"/>
        <v>176</v>
      </c>
      <c r="B194" s="22">
        <v>46072</v>
      </c>
      <c r="C194" s="23">
        <v>8611175</v>
      </c>
      <c r="D194" s="24">
        <v>73967705</v>
      </c>
      <c r="E194" s="25">
        <v>60.95</v>
      </c>
      <c r="F194" s="26">
        <v>545.36</v>
      </c>
      <c r="G194" s="27">
        <f t="shared" si="38"/>
        <v>33239.692000000003</v>
      </c>
      <c r="H194" s="28">
        <v>43524.160000000003</v>
      </c>
      <c r="I194" s="29">
        <f t="shared" si="39"/>
        <v>2652797.5520000001</v>
      </c>
      <c r="J194" s="30" t="s">
        <v>13</v>
      </c>
      <c r="K194" s="31" t="s">
        <v>14</v>
      </c>
    </row>
    <row r="195" spans="1:11" x14ac:dyDescent="0.25">
      <c r="A195" s="21">
        <f t="shared" si="40"/>
        <v>177</v>
      </c>
      <c r="B195" s="22">
        <v>46072</v>
      </c>
      <c r="C195" s="23">
        <v>8611175</v>
      </c>
      <c r="D195" s="24">
        <v>75093302</v>
      </c>
      <c r="E195" s="25">
        <v>64.349999999999994</v>
      </c>
      <c r="F195" s="26">
        <v>545.36</v>
      </c>
      <c r="G195" s="27">
        <f t="shared" si="38"/>
        <v>35093.915999999997</v>
      </c>
      <c r="H195" s="28">
        <v>43524.160000000003</v>
      </c>
      <c r="I195" s="29">
        <f t="shared" si="39"/>
        <v>2800779.696</v>
      </c>
      <c r="J195" s="30" t="s">
        <v>13</v>
      </c>
      <c r="K195" s="31" t="s">
        <v>14</v>
      </c>
    </row>
    <row r="196" spans="1:11" x14ac:dyDescent="0.25">
      <c r="A196" s="21">
        <f t="shared" si="40"/>
        <v>178</v>
      </c>
      <c r="B196" s="22">
        <v>46072</v>
      </c>
      <c r="C196" s="23">
        <v>8611174</v>
      </c>
      <c r="D196" s="24">
        <v>75507194</v>
      </c>
      <c r="E196" s="25">
        <v>59.75</v>
      </c>
      <c r="F196" s="26">
        <v>545.36</v>
      </c>
      <c r="G196" s="27">
        <f t="shared" si="38"/>
        <v>32585.260000000002</v>
      </c>
      <c r="H196" s="28">
        <v>43524.160000000003</v>
      </c>
      <c r="I196" s="29">
        <f t="shared" si="39"/>
        <v>2600568.56</v>
      </c>
      <c r="J196" s="30" t="s">
        <v>13</v>
      </c>
      <c r="K196" s="31" t="s">
        <v>14</v>
      </c>
    </row>
    <row r="197" spans="1:11" x14ac:dyDescent="0.25">
      <c r="A197" s="21">
        <f t="shared" si="40"/>
        <v>179</v>
      </c>
      <c r="B197" s="22">
        <v>46072</v>
      </c>
      <c r="C197" s="23">
        <v>8611174</v>
      </c>
      <c r="D197" s="24">
        <v>75764092</v>
      </c>
      <c r="E197" s="25">
        <v>64.2</v>
      </c>
      <c r="F197" s="26">
        <v>545.36</v>
      </c>
      <c r="G197" s="27">
        <f t="shared" si="38"/>
        <v>35012.112000000001</v>
      </c>
      <c r="H197" s="28">
        <v>43524.160000000003</v>
      </c>
      <c r="I197" s="29">
        <f t="shared" si="39"/>
        <v>2794251.0720000002</v>
      </c>
      <c r="J197" s="30" t="s">
        <v>13</v>
      </c>
      <c r="K197" s="31" t="s">
        <v>14</v>
      </c>
    </row>
    <row r="198" spans="1:11" x14ac:dyDescent="0.25">
      <c r="A198" s="21">
        <f t="shared" si="40"/>
        <v>180</v>
      </c>
      <c r="B198" s="22">
        <v>46072</v>
      </c>
      <c r="C198" s="23">
        <v>8611174</v>
      </c>
      <c r="D198" s="24">
        <v>75765891</v>
      </c>
      <c r="E198" s="25">
        <v>63.05</v>
      </c>
      <c r="F198" s="26">
        <v>545.36</v>
      </c>
      <c r="G198" s="27">
        <f t="shared" si="38"/>
        <v>34384.947999999997</v>
      </c>
      <c r="H198" s="28">
        <v>43524.160000000003</v>
      </c>
      <c r="I198" s="29">
        <f t="shared" si="39"/>
        <v>2744198.2880000002</v>
      </c>
      <c r="J198" s="30" t="s">
        <v>13</v>
      </c>
      <c r="K198" s="31" t="s">
        <v>14</v>
      </c>
    </row>
    <row r="199" spans="1:11" ht="15.75" thickBot="1" x14ac:dyDescent="0.3">
      <c r="A199" s="80">
        <f t="shared" si="40"/>
        <v>181</v>
      </c>
      <c r="B199" s="71">
        <v>46072</v>
      </c>
      <c r="C199" s="72">
        <v>8611174</v>
      </c>
      <c r="D199" s="73">
        <v>76392497</v>
      </c>
      <c r="E199" s="74">
        <v>61.55</v>
      </c>
      <c r="F199" s="26">
        <v>545.36</v>
      </c>
      <c r="G199" s="75">
        <f t="shared" si="38"/>
        <v>33566.907999999996</v>
      </c>
      <c r="H199" s="76">
        <v>43524.160000000003</v>
      </c>
      <c r="I199" s="77">
        <f t="shared" si="39"/>
        <v>2678912.048</v>
      </c>
      <c r="J199" s="30" t="s">
        <v>13</v>
      </c>
      <c r="K199" s="78" t="s">
        <v>14</v>
      </c>
    </row>
    <row r="200" spans="1:11" ht="15.75" thickBot="1" x14ac:dyDescent="0.3">
      <c r="A200" s="51"/>
      <c r="B200" s="52"/>
      <c r="C200" s="52"/>
      <c r="D200" s="52"/>
      <c r="E200" s="53"/>
      <c r="F200" s="52"/>
      <c r="G200" s="54"/>
      <c r="H200" s="55"/>
      <c r="I200" s="56"/>
      <c r="J200" s="52"/>
      <c r="K200" s="79"/>
    </row>
    <row r="201" spans="1:11" ht="15.75" thickBot="1" x14ac:dyDescent="0.3">
      <c r="A201" s="151"/>
      <c r="B201" s="152"/>
      <c r="C201" s="152"/>
      <c r="D201" s="153"/>
      <c r="E201" s="126"/>
      <c r="F201" s="127"/>
      <c r="G201" s="128"/>
      <c r="H201" s="129"/>
      <c r="I201" s="130"/>
      <c r="J201" s="127"/>
      <c r="K201" s="131"/>
    </row>
    <row r="202" spans="1:11" ht="15.75" thickBot="1" x14ac:dyDescent="0.3">
      <c r="A202" s="132"/>
      <c r="B202" s="133"/>
      <c r="C202" s="133"/>
      <c r="D202" s="133"/>
      <c r="E202" s="134"/>
      <c r="F202" s="133"/>
      <c r="G202" s="135"/>
      <c r="H202" s="136"/>
      <c r="I202" s="137"/>
      <c r="J202" s="133"/>
      <c r="K202" s="138"/>
    </row>
    <row r="203" spans="1:1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25">
      <c r="A205" s="1"/>
      <c r="B205" s="154" t="s">
        <v>18</v>
      </c>
      <c r="C205" s="155"/>
      <c r="D205" s="139"/>
      <c r="E205" s="140">
        <v>15000</v>
      </c>
      <c r="F205" s="1"/>
      <c r="G205" s="1"/>
      <c r="H205" s="1"/>
      <c r="I205" s="1"/>
      <c r="J205" s="1"/>
      <c r="K205" s="1"/>
    </row>
    <row r="206" spans="1:11" x14ac:dyDescent="0.25">
      <c r="A206" s="1"/>
      <c r="B206" s="141" t="s">
        <v>19</v>
      </c>
      <c r="C206" s="142"/>
      <c r="D206" s="143"/>
      <c r="E206" s="144">
        <f>E202</f>
        <v>0</v>
      </c>
      <c r="F206" s="1"/>
      <c r="G206" s="1"/>
      <c r="H206" s="1"/>
      <c r="I206" s="1"/>
      <c r="J206" s="1"/>
      <c r="K206" s="1"/>
    </row>
    <row r="207" spans="1:11" ht="15.75" thickBot="1" x14ac:dyDescent="0.3">
      <c r="A207" s="1"/>
      <c r="B207" s="145" t="s">
        <v>20</v>
      </c>
      <c r="C207" s="146"/>
      <c r="D207" s="147"/>
      <c r="E207" s="148">
        <f>E205-E206</f>
        <v>15000</v>
      </c>
      <c r="F207" s="1"/>
      <c r="G207" s="1"/>
      <c r="H207" s="1"/>
      <c r="I207" s="1"/>
      <c r="J207" s="1"/>
      <c r="K207" s="1"/>
    </row>
    <row r="208" spans="1:1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</sheetData>
  <mergeCells count="5">
    <mergeCell ref="A1:K1"/>
    <mergeCell ref="A2:K2"/>
    <mergeCell ref="A112:D112"/>
    <mergeCell ref="A201:D201"/>
    <mergeCell ref="B205:C2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Seddiqi</dc:creator>
  <cp:lastModifiedBy>Sayed Neman Alemi</cp:lastModifiedBy>
  <dcterms:created xsi:type="dcterms:W3CDTF">2015-06-05T18:17:20Z</dcterms:created>
  <dcterms:modified xsi:type="dcterms:W3CDTF">2026-08-02T07:03:16Z</dcterms:modified>
</cp:coreProperties>
</file>