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hidePivotFieldList="1"/>
  <bookViews>
    <workbookView windowWidth="28800" windowHeight="11700" activeTab="5"/>
  </bookViews>
  <sheets>
    <sheet name="2025" sheetId="25" r:id="rId1"/>
    <sheet name="2026" sheetId="33" r:id="rId2"/>
    <sheet name="Transport" sheetId="39" r:id="rId3"/>
    <sheet name="EXCHANGE" sheetId="11" r:id="rId4"/>
    <sheet name="Sheet1" sheetId="37" r:id="rId5"/>
    <sheet name="January" sheetId="32" r:id="rId6"/>
    <sheet name="March" sheetId="36" r:id="rId7"/>
    <sheet name="April" sheetId="38" r:id="rId8"/>
  </sheets>
  <externalReferences>
    <externalReference r:id="rId9"/>
    <externalReference r:id="rId10"/>
    <externalReference r:id="rId11"/>
  </externalReferences>
  <definedNames>
    <definedName name="_xlnm.Print_Area" localSheetId="0">'2025'!$A$1:$M$49</definedName>
    <definedName name="_xlnm.Print_Titles" localSheetId="0">'2025'!$2:$2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<sst xmlns="http://schemas.openxmlformats.org/spreadsheetml/2006/main" count="1635" uniqueCount="348">
  <si>
    <t>BNK - SOLVEX</t>
  </si>
  <si>
    <t>No</t>
  </si>
  <si>
    <t>contract</t>
  </si>
  <si>
    <t>Date</t>
  </si>
  <si>
    <t>Details</t>
  </si>
  <si>
    <t>M-Tone</t>
  </si>
  <si>
    <t>Unit Price</t>
  </si>
  <si>
    <t>Credit</t>
  </si>
  <si>
    <t>Debit</t>
  </si>
  <si>
    <t>Balance</t>
  </si>
  <si>
    <t>Rate</t>
  </si>
  <si>
    <t>10'000 mt - cargo (1.93H DD 27.05.2025)</t>
  </si>
  <si>
    <t>Paid recipt no 530 - by Bigzad</t>
  </si>
  <si>
    <t>Paid recipt no 529 - by Bigzad</t>
  </si>
  <si>
    <t>ضمانت</t>
  </si>
  <si>
    <t>Paid recipt no 534 - by Bigzad</t>
  </si>
  <si>
    <t>TRANSFERRED TO ADDENDUM NO 2.93H</t>
  </si>
  <si>
    <t>TRANSFERRED TO ADDENDUM NO 3.93H</t>
  </si>
  <si>
    <t>TRANSFERRED TO ADDENDUM NO 4.93H</t>
  </si>
  <si>
    <t>Recived 172 wagons - June cargo</t>
  </si>
  <si>
    <t>10'000 mt - cargo (2.93H DD 19.06.2025)</t>
  </si>
  <si>
    <t>26/6/2025</t>
  </si>
  <si>
    <t>Paid by Noorzad Dubai - 250 M</t>
  </si>
  <si>
    <t>Paid by GT - 230 M</t>
  </si>
  <si>
    <t>18/7/2025</t>
  </si>
  <si>
    <t>Paid recipt no 700 by Noorzad Dubai - 96 M</t>
  </si>
  <si>
    <t>TRANSFERRED FROM ADDENDUM 1.93-H  (94'306'940 rubles), letter dd 16.07.2025</t>
  </si>
  <si>
    <t>TRANSFERRED TO ADDENDUM NO 4.93H (signed checking report 4.93 dd 04/09/2025)</t>
  </si>
  <si>
    <t>Recived 176 wagons - July cargo</t>
  </si>
  <si>
    <t xml:space="preserve">TRANSFERRED FROM ADDENDUM 4.93-H  </t>
  </si>
  <si>
    <t>10'000 mt - cargo (3.93H DD 21.07.2025)</t>
  </si>
  <si>
    <t>Paid recipt no 761 - by Noorzad Dubai</t>
  </si>
  <si>
    <t>Recived 175 wagons - AUGUST</t>
  </si>
  <si>
    <t>TRANSFERRED FROM ADDENDUM 1.93-H  (556'200 rubles), letter dd 11.07.2025</t>
  </si>
  <si>
    <t>Transferd to contract 5.93H</t>
  </si>
  <si>
    <t>TRANSFERRED to ADDENDUM 10.93-H  (1'000'000 rubles), letter dd 12.03.2026</t>
  </si>
  <si>
    <t>10'000 mt - cargo (4.93H DD 21.07.2025)</t>
  </si>
  <si>
    <t>Paid recipte no 879 By Noorzad Dubai</t>
  </si>
  <si>
    <t>Paid recipte no 883 By Noorzad Dubai</t>
  </si>
  <si>
    <t>Paid recipte no 312 By Noorzad Dubai</t>
  </si>
  <si>
    <t>Paid recipt no 62 By Ramoil</t>
  </si>
  <si>
    <t>TRANSFERRED FROM ADDENDUM 1.93-H  (11'711'970 rubles), letter # 165 dd 02.09.2025</t>
  </si>
  <si>
    <t>TRANSFERRED FROM ADDENDUM 2.93-H  (101'269'900 rubles)</t>
  </si>
  <si>
    <t>Recived 175 wagos - September</t>
  </si>
  <si>
    <t>TRANSFERRED TO ADDENDUM # 6.93H</t>
  </si>
  <si>
    <t>TRANSFERRED TO ADDENDUM # 10.93H</t>
  </si>
  <si>
    <t>10'000 mt - cargo (5.93-H DD 04.09.2025)</t>
  </si>
  <si>
    <t>Recived Recipt no 958 to BNK</t>
  </si>
  <si>
    <t>15/9/2025</t>
  </si>
  <si>
    <t>24/9/2025</t>
  </si>
  <si>
    <t>Paid recipt no 67 By Ramoil</t>
  </si>
  <si>
    <t>30/9/2025</t>
  </si>
  <si>
    <t>Paid recipt no 70 By Ramoil</t>
  </si>
  <si>
    <t>14/10/2025</t>
  </si>
  <si>
    <t>Paid recipt no 74 By Ramoil</t>
  </si>
  <si>
    <t>21/10/2025</t>
  </si>
  <si>
    <t>Paid recipt no recipt no 1208 by Noorzad Dubai</t>
  </si>
  <si>
    <t>24/10/2025</t>
  </si>
  <si>
    <t>Paid recipt no ? By Ramoil</t>
  </si>
  <si>
    <t>Transferd From contract 3.93H</t>
  </si>
  <si>
    <t>Recived ? Wagons - October</t>
  </si>
  <si>
    <t>TRANSFERRED TO 6.93H</t>
  </si>
  <si>
    <t>TRANSFERRED TO 10.93H</t>
  </si>
  <si>
    <t>9'000 mt - cargo (6.93-H DD 24.10.2025)</t>
  </si>
  <si>
    <t>Paid recipt no 513 By Noorzad Dubai</t>
  </si>
  <si>
    <t>Tranfsferred from addendum 4.93</t>
  </si>
  <si>
    <t>Transferred from addendum 5.93</t>
  </si>
  <si>
    <t>Transferred from addendum 4.93</t>
  </si>
  <si>
    <t>Recived to Nonember</t>
  </si>
  <si>
    <t>Transferred to addendum 7.93</t>
  </si>
  <si>
    <t>Transferred to addendum 8.93</t>
  </si>
  <si>
    <t>Transferred to addendum 10.93</t>
  </si>
  <si>
    <t>9'000 mt - cargo (7.93-H DD 24.10.2025)</t>
  </si>
  <si>
    <t>Transferred from Humor (Gasoline)</t>
  </si>
  <si>
    <t>Transferred from Humor (Disel)</t>
  </si>
  <si>
    <t>Transferred from addendum 6.93H</t>
  </si>
  <si>
    <t>15/12/2025</t>
  </si>
  <si>
    <t>Paid by Sarafi Noorzad</t>
  </si>
  <si>
    <t>23/12/2025</t>
  </si>
  <si>
    <t>Paid recipt no 667 - by Noorzad Duabi</t>
  </si>
  <si>
    <t>Paid BY Jalaledin</t>
  </si>
  <si>
    <t>Recived to December</t>
  </si>
  <si>
    <t>Transferred from addendum #10.93H</t>
  </si>
  <si>
    <t>Transferred from addendum #8.93H</t>
  </si>
  <si>
    <t>BNK - SOLVEX 2026</t>
  </si>
  <si>
    <t>contract 7.93</t>
  </si>
  <si>
    <t>10.93 H</t>
  </si>
  <si>
    <t>9'600 mt - January (8.93-H DD 19.12.2025)</t>
  </si>
  <si>
    <t>Recived recipt no 2 - Paid by Monib Omar 252500000</t>
  </si>
  <si>
    <t>Recived recipt no 3 - Paid by Monib Omar 197500000</t>
  </si>
  <si>
    <t>Transferred from addendum #7.93H</t>
  </si>
  <si>
    <t>Transferred to addendum 6.93</t>
  </si>
  <si>
    <t>Recived 163 wagons January</t>
  </si>
  <si>
    <t>Recived to 10.93 CONTRACT</t>
  </si>
  <si>
    <t>Recived to RW EXPENSES</t>
  </si>
  <si>
    <t>Transferred to addendum # 10.93H</t>
  </si>
  <si>
    <t>10'000 mt - March (10.93-М DD 20.02.2026)</t>
  </si>
  <si>
    <t>Transferred from Khumor</t>
  </si>
  <si>
    <t>Transferred from addendum # 3.93H</t>
  </si>
  <si>
    <t>Transferred from addendum # 4.93H</t>
  </si>
  <si>
    <t>Transferred from addendum # 5.93H</t>
  </si>
  <si>
    <t>Transferred ftom addendum # 6.93H</t>
  </si>
  <si>
    <t>Transferred from addendum # 7.93H</t>
  </si>
  <si>
    <t>Transferred ftom addendum # 8.93</t>
  </si>
  <si>
    <t>Transferred from addendum # 1 (deposite) Paid recipt no 529 - by Bigzad</t>
  </si>
  <si>
    <t>Recived 166 Wagons - March</t>
  </si>
  <si>
    <t>10'000 mt - April (11.93-М DD 20.03.2026)</t>
  </si>
  <si>
    <t>Paid recipt no 503 Paid by Sarafi Sadra</t>
  </si>
  <si>
    <t>Paid recipt no 472 by Sarafi Sadra</t>
  </si>
  <si>
    <t>14/4/2026</t>
  </si>
  <si>
    <t>Paid recipt no 506 BY Noorzad Dubai</t>
  </si>
  <si>
    <t>16/4/2026</t>
  </si>
  <si>
    <t>Paid recipt no 514 BY Noorzad Dubai</t>
  </si>
  <si>
    <t xml:space="preserve">Recived </t>
  </si>
  <si>
    <t>BNK - SOLVEX  # Transport #</t>
  </si>
  <si>
    <t>T-Credit</t>
  </si>
  <si>
    <t>T-Debit</t>
  </si>
  <si>
    <t>Paid recipt no 535 - by Bigzad</t>
  </si>
  <si>
    <t>Rent of 172 Wagons # June Cargo</t>
  </si>
  <si>
    <t>Paid by Noorzad Dubai - 255 M Ruble</t>
  </si>
  <si>
    <t>Paid by Noorzad Dubai - 230 M Ruble</t>
  </si>
  <si>
    <t>Paid by Noorzad Dubai - 96 M Ruble</t>
  </si>
  <si>
    <t>16/7/2025</t>
  </si>
  <si>
    <t>Paid by Noorzad Dubai - 94306940</t>
  </si>
  <si>
    <t>Rent of 176 Wagons # July cargo</t>
  </si>
  <si>
    <t>Recived 175 wagons # August cargo</t>
  </si>
  <si>
    <t>Recived recipt no 2 - 252500000</t>
  </si>
  <si>
    <t>Recived recipt no 3 - 197500000</t>
  </si>
  <si>
    <t>Paid contract 8.93</t>
  </si>
  <si>
    <r>
      <rPr>
        <b/>
        <sz val="20"/>
        <rFont val="Arial"/>
        <charset val="134"/>
      </rPr>
      <t xml:space="preserve">   </t>
    </r>
    <r>
      <rPr>
        <b/>
        <sz val="20"/>
        <color rgb="FFFF0000"/>
        <rFont val="Arial"/>
        <charset val="134"/>
      </rPr>
      <t>BNK</t>
    </r>
    <r>
      <rPr>
        <b/>
        <sz val="20"/>
        <rFont val="Arial"/>
        <charset val="134"/>
      </rPr>
      <t xml:space="preserve">  ( </t>
    </r>
    <r>
      <rPr>
        <b/>
        <sz val="20"/>
        <color rgb="FF7030A0"/>
        <rFont val="Arial"/>
        <charset val="134"/>
      </rPr>
      <t>Ruble difference</t>
    </r>
    <r>
      <rPr>
        <b/>
        <sz val="20"/>
        <rFont val="Arial"/>
        <charset val="134"/>
      </rPr>
      <t xml:space="preserve"> )</t>
    </r>
  </si>
  <si>
    <t>AED</t>
  </si>
  <si>
    <t>RUBLE</t>
  </si>
  <si>
    <t>Exchange Rate</t>
  </si>
  <si>
    <t>Payment</t>
  </si>
  <si>
    <t>Comission sarafi</t>
  </si>
  <si>
    <t>Our Payment</t>
  </si>
  <si>
    <t>Ruble &amp; Aed difference</t>
  </si>
  <si>
    <t>Recived recipt no 2 - Paid by Monib Omar</t>
  </si>
  <si>
    <t>Recived recipt no 3 - Paid by Monib Omar</t>
  </si>
  <si>
    <t xml:space="preserve"> Contract № 8-4-11/93  dd 26.05.2025, between "SOLVEX" FZE (UAE) and "BNK"</t>
  </si>
  <si>
    <t>ADDITIONAL AGREEMENT № 8.93-H dd 19.12.25 (FCA ST.NOVOPOLOTSK) 9'600 mt</t>
  </si>
  <si>
    <t>№</t>
  </si>
  <si>
    <t>RWB No</t>
  </si>
  <si>
    <t xml:space="preserve">Wagons No </t>
  </si>
  <si>
    <t>Loaded quantity (MT)</t>
  </si>
  <si>
    <t>Platt's (average value) in $  January</t>
  </si>
  <si>
    <t>Discount    -125,41</t>
  </si>
  <si>
    <t>Total $</t>
  </si>
  <si>
    <t xml:space="preserve"> price in rub </t>
  </si>
  <si>
    <t>Total Rub</t>
  </si>
  <si>
    <t>Consignee</t>
  </si>
  <si>
    <t>Destination</t>
  </si>
  <si>
    <t>Date of arrival of wagons</t>
  </si>
  <si>
    <t>Date of leak</t>
  </si>
  <si>
    <t>Quantity</t>
  </si>
  <si>
    <t>Difference</t>
  </si>
  <si>
    <t>Remarks</t>
  </si>
  <si>
    <t>Terminal Ilinka</t>
  </si>
  <si>
    <t>Novopolotsk</t>
  </si>
  <si>
    <t>09983299</t>
  </si>
  <si>
    <t>09983300</t>
  </si>
  <si>
    <t>FULL TONNAGE</t>
  </si>
  <si>
    <t>LOADED</t>
  </si>
  <si>
    <t>BALANCE</t>
  </si>
  <si>
    <t xml:space="preserve">       41 464,11 </t>
  </si>
  <si>
    <t>ADDITIONAL AGREEMENT № 10.93-М dd 20.02.26 (CPT TRUSOVO-EKSPERT) 10'000 mt</t>
  </si>
  <si>
    <t>Platt's (average value) in $   March</t>
  </si>
  <si>
    <t>Discount    -42</t>
  </si>
  <si>
    <t>07.03.2026</t>
  </si>
  <si>
    <t xml:space="preserve">8611769 </t>
  </si>
  <si>
    <t>70704143</t>
  </si>
  <si>
    <t>Trusovo</t>
  </si>
  <si>
    <t>73961062</t>
  </si>
  <si>
    <t>74743659</t>
  </si>
  <si>
    <t>74752205</t>
  </si>
  <si>
    <t>74752916</t>
  </si>
  <si>
    <t>74755455</t>
  </si>
  <si>
    <t>74812017</t>
  </si>
  <si>
    <t>74812348</t>
  </si>
  <si>
    <t>74813270</t>
  </si>
  <si>
    <t>74873456</t>
  </si>
  <si>
    <t>74891383</t>
  </si>
  <si>
    <t>74895756</t>
  </si>
  <si>
    <t>74907205</t>
  </si>
  <si>
    <t>74939554</t>
  </si>
  <si>
    <t>74940545</t>
  </si>
  <si>
    <t>74940628</t>
  </si>
  <si>
    <t>74970617</t>
  </si>
  <si>
    <t>74971367</t>
  </si>
  <si>
    <t>74974833</t>
  </si>
  <si>
    <t>74986654</t>
  </si>
  <si>
    <t xml:space="preserve">8611770 </t>
  </si>
  <si>
    <t>70703681</t>
  </si>
  <si>
    <t>73969412</t>
  </si>
  <si>
    <t>73995417</t>
  </si>
  <si>
    <t>74812132</t>
  </si>
  <si>
    <t>74891649</t>
  </si>
  <si>
    <t>74907288</t>
  </si>
  <si>
    <t>74943275</t>
  </si>
  <si>
    <t>74944786</t>
  </si>
  <si>
    <t>74945320</t>
  </si>
  <si>
    <t>74971003</t>
  </si>
  <si>
    <t>74975004</t>
  </si>
  <si>
    <t>74995549</t>
  </si>
  <si>
    <t>75019513</t>
  </si>
  <si>
    <t xml:space="preserve">8611891 </t>
  </si>
  <si>
    <t>54246996</t>
  </si>
  <si>
    <t>57380594</t>
  </si>
  <si>
    <t>73741985</t>
  </si>
  <si>
    <t>75004127</t>
  </si>
  <si>
    <t>76814748</t>
  </si>
  <si>
    <t xml:space="preserve">8611892 </t>
  </si>
  <si>
    <t>54087770</t>
  </si>
  <si>
    <t xml:space="preserve">8611894 </t>
  </si>
  <si>
    <t>50913656</t>
  </si>
  <si>
    <t>53918959</t>
  </si>
  <si>
    <t>54077649</t>
  </si>
  <si>
    <t>57439598</t>
  </si>
  <si>
    <t>58344284</t>
  </si>
  <si>
    <t>73030546</t>
  </si>
  <si>
    <t>73091142</t>
  </si>
  <si>
    <t>73117707</t>
  </si>
  <si>
    <t>73168619</t>
  </si>
  <si>
    <t>73168718</t>
  </si>
  <si>
    <t>73174666</t>
  </si>
  <si>
    <t>73227738</t>
  </si>
  <si>
    <t>73229726</t>
  </si>
  <si>
    <t>75221820</t>
  </si>
  <si>
    <t>75402099</t>
  </si>
  <si>
    <t xml:space="preserve">8611895 </t>
  </si>
  <si>
    <t>50754415</t>
  </si>
  <si>
    <t>50768209</t>
  </si>
  <si>
    <t>50769546</t>
  </si>
  <si>
    <t>51247849</t>
  </si>
  <si>
    <t>51262970</t>
  </si>
  <si>
    <t>53870119</t>
  </si>
  <si>
    <t>53870127</t>
  </si>
  <si>
    <t>57134827</t>
  </si>
  <si>
    <t>57661308</t>
  </si>
  <si>
    <t>57967523</t>
  </si>
  <si>
    <t>74939349</t>
  </si>
  <si>
    <t>75046607</t>
  </si>
  <si>
    <t xml:space="preserve">8611897 </t>
  </si>
  <si>
    <t>50413327</t>
  </si>
  <si>
    <t>51699957</t>
  </si>
  <si>
    <t>54256508</t>
  </si>
  <si>
    <t>73053175</t>
  </si>
  <si>
    <t>73081614</t>
  </si>
  <si>
    <t>73108029</t>
  </si>
  <si>
    <t>73169278</t>
  </si>
  <si>
    <t>73287682</t>
  </si>
  <si>
    <t>75229658</t>
  </si>
  <si>
    <t xml:space="preserve">8611898 </t>
  </si>
  <si>
    <t>57372492</t>
  </si>
  <si>
    <t xml:space="preserve">8611910 </t>
  </si>
  <si>
    <t>50485481</t>
  </si>
  <si>
    <t>50497346</t>
  </si>
  <si>
    <t>54088521</t>
  </si>
  <si>
    <t>54096029</t>
  </si>
  <si>
    <t>54255674</t>
  </si>
  <si>
    <t>54681325</t>
  </si>
  <si>
    <t>57425290</t>
  </si>
  <si>
    <t>57425399</t>
  </si>
  <si>
    <t>73060402</t>
  </si>
  <si>
    <t>73114878</t>
  </si>
  <si>
    <t>73171688</t>
  </si>
  <si>
    <t>73220527</t>
  </si>
  <si>
    <t>73221525</t>
  </si>
  <si>
    <t>73225526</t>
  </si>
  <si>
    <t>73241028</t>
  </si>
  <si>
    <t>76172295</t>
  </si>
  <si>
    <t>76568393</t>
  </si>
  <si>
    <t>05.04.2026</t>
  </si>
  <si>
    <t>ADDITIONAL AGREEMENT № 11.93-М dd 25.03.26 (CPT TRUSOVO-EKSPERT) 10'000 mt</t>
  </si>
  <si>
    <t>AMENDMENT No.1 to Additional agreement № 11.93-М dd 25.03.26 (CPT TRUSOVO-EKSPERT/CPT NOVOLESNAYA EKSPORT)</t>
  </si>
  <si>
    <t>Platt's (average value) in $   April</t>
  </si>
  <si>
    <t>Discount    -42$</t>
  </si>
  <si>
    <t xml:space="preserve">8612574 </t>
  </si>
  <si>
    <t>50409481</t>
  </si>
  <si>
    <t>50754043</t>
  </si>
  <si>
    <t>51528628</t>
  </si>
  <si>
    <t>53950861</t>
  </si>
  <si>
    <t>54071758</t>
  </si>
  <si>
    <t>73010258</t>
  </si>
  <si>
    <t>73012486</t>
  </si>
  <si>
    <t>73033045</t>
  </si>
  <si>
    <t>73112880</t>
  </si>
  <si>
    <t>73115974</t>
  </si>
  <si>
    <t>73215030</t>
  </si>
  <si>
    <t>73237000</t>
  </si>
  <si>
    <t>73239436</t>
  </si>
  <si>
    <t>74985219</t>
  </si>
  <si>
    <t>76605195</t>
  </si>
  <si>
    <t xml:space="preserve">8612575 </t>
  </si>
  <si>
    <t>50039619</t>
  </si>
  <si>
    <t>50133479</t>
  </si>
  <si>
    <t>50197136</t>
  </si>
  <si>
    <t>50734854</t>
  </si>
  <si>
    <t>50752583</t>
  </si>
  <si>
    <t>51812832</t>
  </si>
  <si>
    <t>54259049</t>
  </si>
  <si>
    <t>55306914</t>
  </si>
  <si>
    <t>74946138</t>
  </si>
  <si>
    <t>74997883</t>
  </si>
  <si>
    <t xml:space="preserve">8612576 </t>
  </si>
  <si>
    <t>54071626</t>
  </si>
  <si>
    <t>54680855</t>
  </si>
  <si>
    <t>73092280</t>
  </si>
  <si>
    <t>73134959</t>
  </si>
  <si>
    <t>73228678</t>
  </si>
  <si>
    <t>73239410</t>
  </si>
  <si>
    <t>75309856</t>
  </si>
  <si>
    <t xml:space="preserve">8612577 </t>
  </si>
  <si>
    <t>50013515</t>
  </si>
  <si>
    <t>50749134</t>
  </si>
  <si>
    <t>50774439</t>
  </si>
  <si>
    <t>51832129</t>
  </si>
  <si>
    <t>56905524</t>
  </si>
  <si>
    <t>57391732</t>
  </si>
  <si>
    <t>57660896</t>
  </si>
  <si>
    <t>58639261</t>
  </si>
  <si>
    <t>74243015</t>
  </si>
  <si>
    <t>76814854</t>
  </si>
  <si>
    <t xml:space="preserve">8612582 </t>
  </si>
  <si>
    <t>75309757</t>
  </si>
  <si>
    <t>75309864</t>
  </si>
  <si>
    <t>75310003</t>
  </si>
  <si>
    <t>75310169</t>
  </si>
  <si>
    <t>75310177</t>
  </si>
  <si>
    <t>75310557</t>
  </si>
  <si>
    <t>75310573</t>
  </si>
  <si>
    <t>75310581</t>
  </si>
  <si>
    <t xml:space="preserve">8612789 </t>
  </si>
  <si>
    <t>73176877</t>
  </si>
  <si>
    <t xml:space="preserve">8612791 </t>
  </si>
  <si>
    <t>50576891</t>
  </si>
  <si>
    <t>50771583</t>
  </si>
  <si>
    <t>51383081</t>
  </si>
  <si>
    <t>53870564</t>
  </si>
  <si>
    <t>53873618</t>
  </si>
  <si>
    <t>54046305</t>
  </si>
  <si>
    <t>54246921</t>
  </si>
  <si>
    <t>55307318</t>
  </si>
  <si>
    <t>57338949</t>
  </si>
  <si>
    <t>57660532</t>
  </si>
  <si>
    <t>73966277</t>
  </si>
  <si>
    <t>Terminal Narimanovo</t>
  </si>
  <si>
    <t>Novolesnaya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</si>
</sst>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3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.00\ [$₽-444]"/>
    <numFmt numFmtId="179" formatCode="#,##0.00\ &quot;₽&quot;"/>
    <numFmt numFmtId="180" formatCode="dd\.mm\.yy;@"/>
    <numFmt numFmtId="181" formatCode="[$$-C09]#,##0.00"/>
    <numFmt numFmtId="182" formatCode="#,##0.000"/>
    <numFmt numFmtId="183" formatCode="#,##0.000\ &quot;₽&quot;"/>
    <numFmt numFmtId="184" formatCode="0.000"/>
    <numFmt numFmtId="185" formatCode="00000000"/>
    <numFmt numFmtId="186" formatCode="#,##0.00;[Red]#,##0.00"/>
    <numFmt numFmtId="187" formatCode="#,##0.000;[Red]#,##0.000"/>
    <numFmt numFmtId="188" formatCode="&quot;$&quot;#,##0.00;\-&quot;$&quot;#,##0.00"/>
    <numFmt numFmtId="189" formatCode="&quot;$&quot;#,##0"/>
    <numFmt numFmtId="190" formatCode="_(&quot;$&quot;* #,##0_);_(&quot;$&quot;* \(#,##0\);_(&quot;$&quot;* &quot;-&quot;??_);_(@_)"/>
    <numFmt numFmtId="191" formatCode="_-* #,##0.000\ [$₽-419]_-;\-* #,##0.000\ [$₽-419]_-;_-* &quot;-&quot;??\ [$₽-419]_-;_-@_-"/>
    <numFmt numFmtId="192" formatCode="_-* #,##0\ [$₽-419]_-;\-* #,##0\ [$₽-419]_-;_-* &quot;-&quot;??\ [$₽-419]_-;_-@_-"/>
    <numFmt numFmtId="193" formatCode="0.0000"/>
    <numFmt numFmtId="194" formatCode="_-* #,##0.00\ [$₽-419]_-;\-* #,##0.00\ [$₽-419]_-;_-* &quot;-&quot;??\ [$₽-419]_-;_-@_-"/>
    <numFmt numFmtId="195" formatCode="_-* #,##0.0\ [$₽-419]_-;\-* #,##0.0\ [$₽-419]_-;_-* &quot;-&quot;??\ [$₽-419]_-;_-@_-"/>
    <numFmt numFmtId="196" formatCode="_-* #,##0.00000\ [$₽-419]_-;\-* #,##0.00000\ [$₽-419]_-;_-* &quot;-&quot;??\ [$₽-419]_-;_-@_-"/>
  </numFmts>
  <fonts count="64">
    <font>
      <sz val="11"/>
      <color theme="1"/>
      <name val="Calibri"/>
      <charset val="134"/>
      <scheme val="minor"/>
    </font>
    <font>
      <sz val="11"/>
      <name val="Times New Roman"/>
      <charset val="204"/>
    </font>
    <font>
      <b/>
      <sz val="11"/>
      <name val="Times New Roman"/>
      <charset val="204"/>
    </font>
    <font>
      <sz val="11"/>
      <color rgb="FF000000"/>
      <name val="Times New Roman"/>
      <charset val="204"/>
    </font>
    <font>
      <b/>
      <sz val="11"/>
      <color rgb="FF000000"/>
      <name val="Times New Roman"/>
      <charset val="204"/>
    </font>
    <font>
      <b/>
      <i/>
      <sz val="11"/>
      <name val="Times New Roman"/>
      <charset val="204"/>
    </font>
    <font>
      <b/>
      <i/>
      <sz val="11"/>
      <color rgb="FF2F75B5"/>
      <name val="Times New Roman"/>
      <charset val="204"/>
    </font>
    <font>
      <b/>
      <i/>
      <sz val="11"/>
      <color rgb="FF660066"/>
      <name val="Times New Roman"/>
      <charset val="204"/>
    </font>
    <font>
      <b/>
      <i/>
      <sz val="11"/>
      <color rgb="FF00B050"/>
      <name val="Times New Roman"/>
      <charset val="204"/>
    </font>
    <font>
      <b/>
      <i/>
      <sz val="11"/>
      <color rgb="FF000000"/>
      <name val="Times New Roman"/>
      <charset val="204"/>
    </font>
    <font>
      <i/>
      <sz val="11"/>
      <name val="Times New Roman"/>
      <charset val="204"/>
    </font>
    <font>
      <i/>
      <sz val="11"/>
      <color rgb="FF000000"/>
      <name val="Times New Roman"/>
      <charset val="204"/>
    </font>
    <font>
      <b/>
      <i/>
      <sz val="11"/>
      <color rgb="FF7030A0"/>
      <name val="Times New Roman"/>
      <charset val="204"/>
    </font>
    <font>
      <b/>
      <i/>
      <sz val="11"/>
      <color rgb="FFFF0000"/>
      <name val="Times New Roman"/>
      <charset val="204"/>
    </font>
    <font>
      <sz val="10"/>
      <name val="Arial"/>
      <charset val="134"/>
    </font>
    <font>
      <b/>
      <i/>
      <sz val="16"/>
      <name val="Arial"/>
      <charset val="134"/>
    </font>
    <font>
      <b/>
      <sz val="11"/>
      <name val="Arial"/>
      <charset val="134"/>
    </font>
    <font>
      <b/>
      <sz val="10"/>
      <name val="Arial"/>
      <charset val="134"/>
    </font>
    <font>
      <b/>
      <sz val="9"/>
      <name val="Arial"/>
      <charset val="134"/>
    </font>
    <font>
      <b/>
      <sz val="10"/>
      <color rgb="FFFF00FF"/>
      <name val="Arial"/>
      <charset val="134"/>
    </font>
    <font>
      <b/>
      <sz val="10"/>
      <color rgb="FF632523"/>
      <name val="Times New Roman"/>
      <charset val="204"/>
    </font>
    <font>
      <b/>
      <sz val="10"/>
      <color rgb="FF230AB6"/>
      <name val="Times New Roman"/>
      <charset val="204"/>
    </font>
    <font>
      <b/>
      <sz val="10"/>
      <color rgb="FFFF0000"/>
      <name val="Arial"/>
      <charset val="134"/>
    </font>
    <font>
      <b/>
      <sz val="10"/>
      <color rgb="FF7030A0"/>
      <name val="Times New Roman"/>
      <charset val="204"/>
    </font>
    <font>
      <b/>
      <sz val="10"/>
      <color rgb="FF7030A0"/>
      <name val="Arial"/>
      <charset val="134"/>
    </font>
    <font>
      <b/>
      <sz val="10"/>
      <color rgb="FF0000FF"/>
      <name val="Arial"/>
      <charset val="134"/>
    </font>
    <font>
      <b/>
      <sz val="10"/>
      <color rgb="FFFF0000"/>
      <name val="Times New Roman"/>
      <charset val="204"/>
    </font>
    <font>
      <b/>
      <sz val="20"/>
      <name val="Arial"/>
      <charset val="134"/>
    </font>
    <font>
      <b/>
      <sz val="8"/>
      <name val="Arial"/>
      <charset val="134"/>
    </font>
    <font>
      <b/>
      <sz val="8"/>
      <color rgb="FF963634"/>
      <name val="Arial"/>
      <charset val="134"/>
    </font>
    <font>
      <sz val="9"/>
      <color rgb="FF0000FF"/>
      <name val="Arial"/>
      <charset val="134"/>
    </font>
    <font>
      <sz val="9"/>
      <name val="Arial"/>
      <charset val="134"/>
    </font>
    <font>
      <b/>
      <sz val="8"/>
      <color rgb="FFFF0000"/>
      <name val="Arial"/>
      <charset val="134"/>
    </font>
    <font>
      <b/>
      <sz val="10"/>
      <color rgb="FF963634"/>
      <name val="Arial"/>
      <charset val="134"/>
    </font>
    <font>
      <b/>
      <i/>
      <sz val="16"/>
      <color rgb="FFFF0000"/>
      <name val="Arial"/>
      <charset val="134"/>
    </font>
    <font>
      <b/>
      <sz val="9"/>
      <color rgb="FFFF00FF"/>
      <name val="Arial"/>
      <charset val="134"/>
    </font>
    <font>
      <b/>
      <sz val="10"/>
      <name val="Times New Roman"/>
      <charset val="204"/>
    </font>
    <font>
      <b/>
      <sz val="9"/>
      <color rgb="FF230AB6"/>
      <name val="Times New Roman"/>
      <charset val="204"/>
    </font>
    <font>
      <b/>
      <sz val="9"/>
      <color rgb="FFFF0000"/>
      <name val="Times New Roman"/>
      <charset val="204"/>
    </font>
    <font>
      <b/>
      <sz val="11"/>
      <color rgb="FFFF0000"/>
      <name val="Times New Roman"/>
      <charset val="204"/>
    </font>
    <font>
      <b/>
      <sz val="11"/>
      <color rgb="FF230AB6"/>
      <name val="Times New Roman"/>
      <charset val="204"/>
    </font>
    <font>
      <b/>
      <sz val="11"/>
      <color rgb="FF632523"/>
      <name val="Times New Roman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20"/>
      <color rgb="FFFF0000"/>
      <name val="Arial"/>
      <charset val="134"/>
    </font>
    <font>
      <b/>
      <sz val="20"/>
      <color rgb="FF7030A0"/>
      <name val="Arial"/>
      <charset val="134"/>
    </font>
  </fonts>
  <fills count="51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2F75B5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9" tint="0.799981688894314"/>
        <bgColor rgb="FF000000"/>
      </patternFill>
    </fill>
    <fill>
      <patternFill patternType="solid">
        <fgColor theme="8" tint="0.799981688894314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8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auto="1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/>
      <bottom style="thin">
        <color rgb="FF000000"/>
      </bottom>
      <diagonal/>
    </border>
    <border>
      <left style="thin">
        <color rgb="FF000000"/>
      </left>
      <right style="medium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auto="1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2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>
      <alignment vertical="center"/>
    </xf>
    <xf numFmtId="42" fontId="42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2" fillId="20" borderId="79" applyNumberFormat="0" applyFon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80" applyNumberFormat="0" applyFill="0" applyAlignment="0" applyProtection="0">
      <alignment vertical="center"/>
    </xf>
    <xf numFmtId="0" fontId="49" fillId="0" borderId="80" applyNumberFormat="0" applyFill="0" applyAlignment="0" applyProtection="0">
      <alignment vertical="center"/>
    </xf>
    <xf numFmtId="0" fontId="50" fillId="0" borderId="81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1" borderId="82" applyNumberFormat="0" applyAlignment="0" applyProtection="0">
      <alignment vertical="center"/>
    </xf>
    <xf numFmtId="0" fontId="52" fillId="22" borderId="83" applyNumberFormat="0" applyAlignment="0" applyProtection="0">
      <alignment vertical="center"/>
    </xf>
    <xf numFmtId="0" fontId="53" fillId="22" borderId="82" applyNumberFormat="0" applyAlignment="0" applyProtection="0">
      <alignment vertical="center"/>
    </xf>
    <xf numFmtId="0" fontId="54" fillId="23" borderId="84" applyNumberFormat="0" applyAlignment="0" applyProtection="0">
      <alignment vertical="center"/>
    </xf>
    <xf numFmtId="0" fontId="55" fillId="0" borderId="85" applyNumberFormat="0" applyFill="0" applyAlignment="0" applyProtection="0">
      <alignment vertical="center"/>
    </xf>
    <xf numFmtId="0" fontId="56" fillId="0" borderId="86" applyNumberFormat="0" applyFill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0" fillId="30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9" borderId="0" applyNumberFormat="0" applyBorder="0" applyAlignment="0" applyProtection="0">
      <alignment vertical="center"/>
    </xf>
    <xf numFmtId="0" fontId="61" fillId="40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3" borderId="0" applyNumberFormat="0" applyBorder="0" applyAlignment="0" applyProtection="0">
      <alignment vertical="center"/>
    </xf>
    <xf numFmtId="0" fontId="61" fillId="44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</cellStyleXfs>
  <cellXfs count="9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79" fontId="1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180" fontId="5" fillId="0" borderId="7" xfId="0" applyNumberFormat="1" applyFont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2" fontId="5" fillId="0" borderId="7" xfId="0" applyNumberFormat="1" applyFont="1" applyBorder="1" applyAlignment="1">
      <alignment horizontal="center" vertical="center" wrapText="1"/>
    </xf>
    <xf numFmtId="2" fontId="6" fillId="0" borderId="8" xfId="0" applyNumberFormat="1" applyFont="1" applyBorder="1" applyAlignment="1">
      <alignment horizontal="center" vertical="center" wrapText="1"/>
    </xf>
    <xf numFmtId="181" fontId="7" fillId="0" borderId="8" xfId="0" applyNumberFormat="1" applyFont="1" applyBorder="1" applyAlignment="1">
      <alignment horizontal="center" vertical="center" wrapText="1"/>
    </xf>
    <xf numFmtId="180" fontId="7" fillId="0" borderId="8" xfId="0" applyNumberFormat="1" applyFont="1" applyBorder="1" applyAlignment="1">
      <alignment horizontal="center" vertical="center" wrapText="1"/>
    </xf>
    <xf numFmtId="178" fontId="8" fillId="0" borderId="8" xfId="0" applyNumberFormat="1" applyFont="1" applyBorder="1" applyAlignment="1">
      <alignment horizontal="center" vertical="center" wrapText="1"/>
    </xf>
    <xf numFmtId="179" fontId="8" fillId="0" borderId="8" xfId="0" applyNumberFormat="1" applyFont="1" applyBorder="1" applyAlignment="1">
      <alignment horizontal="center" vertical="center" wrapText="1"/>
    </xf>
    <xf numFmtId="180" fontId="5" fillId="0" borderId="9" xfId="0" applyNumberFormat="1" applyFont="1" applyBorder="1" applyAlignment="1">
      <alignment horizontal="center" vertical="center" wrapText="1"/>
    </xf>
    <xf numFmtId="180" fontId="5" fillId="0" borderId="10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58" fontId="1" fillId="0" borderId="3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82" fontId="1" fillId="0" borderId="13" xfId="0" applyNumberFormat="1" applyFont="1" applyBorder="1" applyAlignment="1">
      <alignment horizontal="center" vertical="center" wrapText="1"/>
    </xf>
    <xf numFmtId="181" fontId="1" fillId="0" borderId="13" xfId="0" applyNumberFormat="1" applyFont="1" applyBorder="1" applyAlignment="1">
      <alignment horizontal="center" vertical="center"/>
    </xf>
    <xf numFmtId="178" fontId="1" fillId="0" borderId="3" xfId="0" applyNumberFormat="1" applyFont="1" applyBorder="1" applyAlignment="1">
      <alignment horizontal="center" vertical="center"/>
    </xf>
    <xf numFmtId="183" fontId="1" fillId="0" borderId="13" xfId="0" applyNumberFormat="1" applyFont="1" applyBorder="1" applyAlignment="1">
      <alignment horizontal="center" vertical="center"/>
    </xf>
    <xf numFmtId="181" fontId="10" fillId="2" borderId="13" xfId="0" applyNumberFormat="1" applyFont="1" applyFill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/>
    </xf>
    <xf numFmtId="180" fontId="5" fillId="0" borderId="15" xfId="0" applyNumberFormat="1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58" fontId="1" fillId="0" borderId="17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82" fontId="1" fillId="0" borderId="17" xfId="0" applyNumberFormat="1" applyFont="1" applyBorder="1" applyAlignment="1">
      <alignment horizontal="center" vertical="center" wrapText="1"/>
    </xf>
    <xf numFmtId="181" fontId="1" fillId="0" borderId="17" xfId="0" applyNumberFormat="1" applyFont="1" applyBorder="1" applyAlignment="1">
      <alignment horizontal="center" vertical="center"/>
    </xf>
    <xf numFmtId="178" fontId="1" fillId="0" borderId="17" xfId="0" applyNumberFormat="1" applyFont="1" applyBorder="1" applyAlignment="1">
      <alignment horizontal="center" vertical="center"/>
    </xf>
    <xf numFmtId="183" fontId="1" fillId="0" borderId="17" xfId="0" applyNumberFormat="1" applyFont="1" applyBorder="1" applyAlignment="1">
      <alignment horizontal="center" vertical="center"/>
    </xf>
    <xf numFmtId="181" fontId="10" fillId="2" borderId="17" xfId="0" applyNumberFormat="1" applyFont="1" applyFill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/>
    </xf>
    <xf numFmtId="180" fontId="5" fillId="0" borderId="19" xfId="0" applyNumberFormat="1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181" fontId="1" fillId="0" borderId="20" xfId="0" applyNumberFormat="1" applyFont="1" applyBorder="1" applyAlignment="1">
      <alignment horizontal="center" vertical="center"/>
    </xf>
    <xf numFmtId="183" fontId="1" fillId="0" borderId="20" xfId="0" applyNumberFormat="1" applyFont="1" applyBorder="1" applyAlignment="1">
      <alignment horizontal="center" vertical="center"/>
    </xf>
    <xf numFmtId="181" fontId="10" fillId="2" borderId="20" xfId="0" applyNumberFormat="1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58" fontId="1" fillId="0" borderId="23" xfId="0" applyNumberFormat="1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182" fontId="1" fillId="0" borderId="23" xfId="0" applyNumberFormat="1" applyFont="1" applyBorder="1" applyAlignment="1">
      <alignment horizontal="center" vertical="center" wrapText="1"/>
    </xf>
    <xf numFmtId="181" fontId="1" fillId="0" borderId="23" xfId="0" applyNumberFormat="1" applyFont="1" applyBorder="1" applyAlignment="1">
      <alignment horizontal="center" vertical="center"/>
    </xf>
    <xf numFmtId="178" fontId="1" fillId="0" borderId="20" xfId="0" applyNumberFormat="1" applyFont="1" applyBorder="1" applyAlignment="1">
      <alignment horizontal="center" vertical="center"/>
    </xf>
    <xf numFmtId="183" fontId="1" fillId="0" borderId="23" xfId="0" applyNumberFormat="1" applyFont="1" applyBorder="1" applyAlignment="1">
      <alignment horizontal="center" vertical="center"/>
    </xf>
    <xf numFmtId="181" fontId="10" fillId="2" borderId="23" xfId="0" applyNumberFormat="1" applyFont="1" applyFill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/>
    </xf>
    <xf numFmtId="180" fontId="5" fillId="0" borderId="25" xfId="0" applyNumberFormat="1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180" fontId="5" fillId="3" borderId="7" xfId="0" applyNumberFormat="1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182" fontId="2" fillId="3" borderId="7" xfId="0" applyNumberFormat="1" applyFont="1" applyFill="1" applyBorder="1" applyAlignment="1">
      <alignment horizontal="center" vertical="center" wrapText="1"/>
    </xf>
    <xf numFmtId="2" fontId="6" fillId="3" borderId="7" xfId="0" applyNumberFormat="1" applyFont="1" applyFill="1" applyBorder="1" applyAlignment="1">
      <alignment horizontal="center" vertical="center" wrapText="1"/>
    </xf>
    <xf numFmtId="181" fontId="7" fillId="3" borderId="7" xfId="0" applyNumberFormat="1" applyFont="1" applyFill="1" applyBorder="1" applyAlignment="1">
      <alignment horizontal="center" vertical="center" wrapText="1"/>
    </xf>
    <xf numFmtId="4" fontId="7" fillId="3" borderId="7" xfId="0" applyNumberFormat="1" applyFont="1" applyFill="1" applyBorder="1" applyAlignment="1">
      <alignment horizontal="center" vertical="center" wrapText="1"/>
    </xf>
    <xf numFmtId="178" fontId="8" fillId="3" borderId="7" xfId="0" applyNumberFormat="1" applyFont="1" applyFill="1" applyBorder="1" applyAlignment="1">
      <alignment horizontal="center" vertical="center" wrapText="1"/>
    </xf>
    <xf numFmtId="179" fontId="8" fillId="3" borderId="7" xfId="0" applyNumberFormat="1" applyFont="1" applyFill="1" applyBorder="1" applyAlignment="1">
      <alignment horizontal="center" vertical="center" wrapText="1"/>
    </xf>
    <xf numFmtId="180" fontId="5" fillId="3" borderId="9" xfId="0" applyNumberFormat="1" applyFont="1" applyFill="1" applyBorder="1" applyAlignment="1">
      <alignment horizontal="center" vertical="center" wrapText="1"/>
    </xf>
    <xf numFmtId="180" fontId="5" fillId="3" borderId="10" xfId="0" applyNumberFormat="1" applyFont="1" applyFill="1" applyBorder="1" applyAlignment="1">
      <alignment horizontal="center" vertical="center" wrapText="1"/>
    </xf>
    <xf numFmtId="0" fontId="9" fillId="3" borderId="29" xfId="0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center" vertical="center" wrapText="1"/>
    </xf>
    <xf numFmtId="0" fontId="9" fillId="3" borderId="31" xfId="0" applyFont="1" applyFill="1" applyBorder="1" applyAlignment="1">
      <alignment horizontal="center" vertical="center" wrapText="1"/>
    </xf>
    <xf numFmtId="58" fontId="1" fillId="0" borderId="13" xfId="0" applyNumberFormat="1" applyFont="1" applyBorder="1" applyAlignment="1">
      <alignment horizontal="center" vertical="center"/>
    </xf>
    <xf numFmtId="184" fontId="1" fillId="0" borderId="13" xfId="0" applyNumberFormat="1" applyFont="1" applyBorder="1" applyAlignment="1">
      <alignment horizontal="center" vertical="center"/>
    </xf>
    <xf numFmtId="180" fontId="5" fillId="0" borderId="32" xfId="0" applyNumberFormat="1" applyFont="1" applyBorder="1" applyAlignment="1">
      <alignment horizontal="center" vertical="center" wrapText="1"/>
    </xf>
    <xf numFmtId="184" fontId="1" fillId="0" borderId="17" xfId="0" applyNumberFormat="1" applyFont="1" applyBorder="1" applyAlignment="1">
      <alignment horizontal="center" vertical="center"/>
    </xf>
    <xf numFmtId="181" fontId="1" fillId="0" borderId="33" xfId="0" applyNumberFormat="1" applyFont="1" applyBorder="1" applyAlignment="1">
      <alignment horizontal="center" vertical="center"/>
    </xf>
    <xf numFmtId="183" fontId="1" fillId="0" borderId="33" xfId="0" applyNumberFormat="1" applyFont="1" applyBorder="1" applyAlignment="1">
      <alignment horizontal="center" vertical="center"/>
    </xf>
    <xf numFmtId="181" fontId="10" fillId="2" borderId="33" xfId="0" applyNumberFormat="1" applyFont="1" applyFill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 wrapText="1"/>
    </xf>
    <xf numFmtId="58" fontId="1" fillId="0" borderId="2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184" fontId="1" fillId="0" borderId="27" xfId="0" applyNumberFormat="1" applyFont="1" applyBorder="1" applyAlignment="1">
      <alignment horizontal="center" vertical="center"/>
    </xf>
    <xf numFmtId="181" fontId="1" fillId="0" borderId="30" xfId="0" applyNumberFormat="1" applyFont="1" applyBorder="1" applyAlignment="1">
      <alignment horizontal="center" vertical="center"/>
    </xf>
    <xf numFmtId="183" fontId="1" fillId="0" borderId="30" xfId="0" applyNumberFormat="1" applyFont="1" applyBorder="1" applyAlignment="1">
      <alignment horizontal="center" vertical="center"/>
    </xf>
    <xf numFmtId="181" fontId="10" fillId="2" borderId="30" xfId="0" applyNumberFormat="1" applyFont="1" applyFill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/>
    </xf>
    <xf numFmtId="180" fontId="5" fillId="0" borderId="35" xfId="0" applyNumberFormat="1" applyFont="1" applyBorder="1" applyAlignment="1">
      <alignment horizontal="center" vertical="center" wrapText="1"/>
    </xf>
    <xf numFmtId="184" fontId="5" fillId="3" borderId="7" xfId="0" applyNumberFormat="1" applyFont="1" applyFill="1" applyBorder="1" applyAlignment="1">
      <alignment horizontal="center" vertical="center" wrapText="1"/>
    </xf>
    <xf numFmtId="180" fontId="5" fillId="3" borderId="8" xfId="0" applyNumberFormat="1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/>
    </xf>
    <xf numFmtId="180" fontId="5" fillId="0" borderId="37" xfId="0" applyNumberFormat="1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/>
    </xf>
    <xf numFmtId="180" fontId="5" fillId="0" borderId="40" xfId="0" applyNumberFormat="1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181" fontId="1" fillId="0" borderId="27" xfId="0" applyNumberFormat="1" applyFont="1" applyBorder="1" applyAlignment="1">
      <alignment horizontal="center" vertical="center"/>
    </xf>
    <xf numFmtId="183" fontId="1" fillId="0" borderId="27" xfId="0" applyNumberFormat="1" applyFont="1" applyBorder="1" applyAlignment="1">
      <alignment horizontal="center" vertical="center"/>
    </xf>
    <xf numFmtId="181" fontId="10" fillId="2" borderId="27" xfId="0" applyNumberFormat="1" applyFont="1" applyFill="1" applyBorder="1" applyAlignment="1">
      <alignment horizontal="center" vertical="center" wrapText="1"/>
    </xf>
    <xf numFmtId="0" fontId="11" fillId="0" borderId="42" xfId="0" applyFont="1" applyBorder="1" applyAlignment="1">
      <alignment horizontal="center" vertical="center"/>
    </xf>
    <xf numFmtId="180" fontId="5" fillId="0" borderId="43" xfId="0" applyNumberFormat="1" applyFont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 wrapText="1"/>
    </xf>
    <xf numFmtId="49" fontId="10" fillId="3" borderId="7" xfId="0" applyNumberFormat="1" applyFont="1" applyFill="1" applyBorder="1" applyAlignment="1">
      <alignment horizontal="center" vertical="center" wrapText="1"/>
    </xf>
    <xf numFmtId="2" fontId="5" fillId="3" borderId="7" xfId="0" applyNumberFormat="1" applyFont="1" applyFill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180" fontId="5" fillId="0" borderId="2" xfId="0" applyNumberFormat="1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58" fontId="3" fillId="0" borderId="46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84" fontId="3" fillId="0" borderId="3" xfId="0" applyNumberFormat="1" applyFont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 wrapText="1"/>
    </xf>
    <xf numFmtId="58" fontId="3" fillId="0" borderId="17" xfId="0" applyNumberFormat="1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184" fontId="3" fillId="0" borderId="17" xfId="0" applyNumberFormat="1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/>
    </xf>
    <xf numFmtId="180" fontId="5" fillId="0" borderId="5" xfId="0" applyNumberFormat="1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 wrapText="1"/>
    </xf>
    <xf numFmtId="58" fontId="3" fillId="0" borderId="29" xfId="0" applyNumberFormat="1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184" fontId="3" fillId="0" borderId="30" xfId="0" applyNumberFormat="1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184" fontId="5" fillId="3" borderId="49" xfId="0" applyNumberFormat="1" applyFont="1" applyFill="1" applyBorder="1" applyAlignment="1">
      <alignment horizontal="center" vertical="center" wrapText="1"/>
    </xf>
    <xf numFmtId="2" fontId="6" fillId="3" borderId="8" xfId="0" applyNumberFormat="1" applyFont="1" applyFill="1" applyBorder="1" applyAlignment="1">
      <alignment horizontal="center" vertical="center" wrapText="1"/>
    </xf>
    <xf numFmtId="181" fontId="7" fillId="3" borderId="8" xfId="0" applyNumberFormat="1" applyFont="1" applyFill="1" applyBorder="1" applyAlignment="1">
      <alignment horizontal="center" vertical="center" wrapText="1"/>
    </xf>
    <xf numFmtId="178" fontId="8" fillId="3" borderId="8" xfId="0" applyNumberFormat="1" applyFont="1" applyFill="1" applyBorder="1" applyAlignment="1">
      <alignment horizontal="center" vertical="center" wrapText="1"/>
    </xf>
    <xf numFmtId="179" fontId="8" fillId="3" borderId="8" xfId="0" applyNumberFormat="1" applyFont="1" applyFill="1" applyBorder="1" applyAlignment="1">
      <alignment horizontal="center" vertical="center" wrapText="1"/>
    </xf>
    <xf numFmtId="180" fontId="5" fillId="3" borderId="49" xfId="0" applyNumberFormat="1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/>
    </xf>
    <xf numFmtId="184" fontId="1" fillId="0" borderId="2" xfId="0" applyNumberFormat="1" applyFont="1" applyBorder="1" applyAlignment="1">
      <alignment horizontal="center" vertical="center"/>
    </xf>
    <xf numFmtId="181" fontId="1" fillId="0" borderId="3" xfId="0" applyNumberFormat="1" applyFont="1" applyBorder="1" applyAlignment="1">
      <alignment horizontal="center" vertical="center"/>
    </xf>
    <xf numFmtId="183" fontId="1" fillId="0" borderId="3" xfId="0" applyNumberFormat="1" applyFont="1" applyBorder="1" applyAlignment="1">
      <alignment horizontal="center" vertical="center"/>
    </xf>
    <xf numFmtId="181" fontId="10" fillId="2" borderId="3" xfId="0" applyNumberFormat="1" applyFont="1" applyFill="1" applyBorder="1" applyAlignment="1">
      <alignment horizontal="center" vertical="center" wrapText="1"/>
    </xf>
    <xf numFmtId="0" fontId="11" fillId="0" borderId="47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58" fontId="1" fillId="4" borderId="33" xfId="0" applyNumberFormat="1" applyFont="1" applyFill="1" applyBorder="1" applyAlignment="1">
      <alignment horizontal="center" vertical="center"/>
    </xf>
    <xf numFmtId="0" fontId="1" fillId="4" borderId="33" xfId="0" applyFont="1" applyFill="1" applyBorder="1" applyAlignment="1">
      <alignment horizontal="center" vertical="center"/>
    </xf>
    <xf numFmtId="184" fontId="1" fillId="4" borderId="33" xfId="0" applyNumberFormat="1" applyFont="1" applyFill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58" fontId="1" fillId="4" borderId="17" xfId="0" applyNumberFormat="1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184" fontId="1" fillId="4" borderId="17" xfId="0" applyNumberFormat="1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58" fontId="1" fillId="0" borderId="30" xfId="0" applyNumberFormat="1" applyFont="1" applyBorder="1" applyAlignment="1">
      <alignment horizontal="center" vertical="center"/>
    </xf>
    <xf numFmtId="184" fontId="1" fillId="0" borderId="5" xfId="0" applyNumberFormat="1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58" fontId="1" fillId="4" borderId="23" xfId="0" applyNumberFormat="1" applyFont="1" applyFill="1" applyBorder="1" applyAlignment="1">
      <alignment horizontal="center" vertical="center"/>
    </xf>
    <xf numFmtId="184" fontId="1" fillId="4" borderId="23" xfId="0" applyNumberFormat="1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184" fontId="5" fillId="3" borderId="7" xfId="0" applyNumberFormat="1" applyFont="1" applyFill="1" applyBorder="1" applyAlignment="1">
      <alignment horizontal="center" vertical="center"/>
    </xf>
    <xf numFmtId="181" fontId="12" fillId="3" borderId="7" xfId="0" applyNumberFormat="1" applyFont="1" applyFill="1" applyBorder="1" applyAlignment="1">
      <alignment horizontal="center" vertical="center"/>
    </xf>
    <xf numFmtId="178" fontId="2" fillId="3" borderId="7" xfId="0" applyNumberFormat="1" applyFont="1" applyFill="1" applyBorder="1" applyAlignment="1">
      <alignment horizontal="center" vertical="center"/>
    </xf>
    <xf numFmtId="183" fontId="8" fillId="3" borderId="7" xfId="0" applyNumberFormat="1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5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7" xfId="0" applyFont="1" applyFill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58" fontId="1" fillId="0" borderId="20" xfId="0" applyNumberFormat="1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184" fontId="1" fillId="0" borderId="20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84" fontId="1" fillId="0" borderId="23" xfId="0" applyNumberFormat="1" applyFont="1" applyBorder="1" applyAlignment="1">
      <alignment horizontal="center" vertical="center"/>
    </xf>
    <xf numFmtId="178" fontId="1" fillId="0" borderId="23" xfId="0" applyNumberFormat="1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50" xfId="0" applyFont="1" applyFill="1" applyBorder="1" applyAlignment="1">
      <alignment horizontal="center" vertical="center"/>
    </xf>
    <xf numFmtId="0" fontId="1" fillId="3" borderId="33" xfId="0" applyFont="1" applyFill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182" fontId="5" fillId="3" borderId="7" xfId="0" applyNumberFormat="1" applyFont="1" applyFill="1" applyBorder="1" applyAlignment="1">
      <alignment horizontal="center" vertical="center"/>
    </xf>
    <xf numFmtId="0" fontId="1" fillId="0" borderId="50" xfId="0" applyFont="1" applyBorder="1" applyAlignment="1">
      <alignment horizontal="center" vertical="center" wrapText="1"/>
    </xf>
    <xf numFmtId="58" fontId="1" fillId="0" borderId="33" xfId="0" applyNumberFormat="1" applyFont="1" applyBorder="1" applyAlignment="1">
      <alignment horizontal="center" vertical="center"/>
    </xf>
    <xf numFmtId="185" fontId="1" fillId="0" borderId="33" xfId="0" applyNumberFormat="1" applyFont="1" applyBorder="1" applyAlignment="1">
      <alignment horizontal="center"/>
    </xf>
    <xf numFmtId="1" fontId="1" fillId="0" borderId="33" xfId="0" applyNumberFormat="1" applyFont="1" applyBorder="1" applyAlignment="1">
      <alignment horizontal="center"/>
    </xf>
    <xf numFmtId="184" fontId="1" fillId="0" borderId="20" xfId="0" applyNumberFormat="1" applyFont="1" applyBorder="1" applyAlignment="1">
      <alignment horizontal="center" wrapText="1"/>
    </xf>
    <xf numFmtId="178" fontId="1" fillId="0" borderId="3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/>
    </xf>
    <xf numFmtId="185" fontId="1" fillId="0" borderId="17" xfId="0" applyNumberFormat="1" applyFont="1" applyBorder="1" applyAlignment="1">
      <alignment horizontal="center"/>
    </xf>
    <xf numFmtId="1" fontId="1" fillId="0" borderId="17" xfId="0" applyNumberFormat="1" applyFont="1" applyBorder="1" applyAlignment="1">
      <alignment horizontal="center"/>
    </xf>
    <xf numFmtId="184" fontId="1" fillId="0" borderId="17" xfId="0" applyNumberFormat="1" applyFont="1" applyBorder="1" applyAlignment="1">
      <alignment horizontal="center" wrapText="1"/>
    </xf>
    <xf numFmtId="0" fontId="1" fillId="0" borderId="19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185" fontId="1" fillId="0" borderId="23" xfId="0" applyNumberFormat="1" applyFont="1" applyBorder="1" applyAlignment="1">
      <alignment horizontal="center"/>
    </xf>
    <xf numFmtId="1" fontId="1" fillId="0" borderId="23" xfId="0" applyNumberFormat="1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182" fontId="5" fillId="3" borderId="7" xfId="0" applyNumberFormat="1" applyFont="1" applyFill="1" applyBorder="1" applyAlignment="1">
      <alignment horizontal="center"/>
    </xf>
    <xf numFmtId="181" fontId="12" fillId="3" borderId="7" xfId="0" applyNumberFormat="1" applyFont="1" applyFill="1" applyBorder="1" applyAlignment="1">
      <alignment horizontal="center"/>
    </xf>
    <xf numFmtId="178" fontId="2" fillId="3" borderId="7" xfId="0" applyNumberFormat="1" applyFont="1" applyFill="1" applyBorder="1" applyAlignment="1">
      <alignment horizontal="center"/>
    </xf>
    <xf numFmtId="183" fontId="8" fillId="3" borderId="7" xfId="0" applyNumberFormat="1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49" xfId="0" applyFont="1" applyFill="1" applyBorder="1" applyAlignment="1">
      <alignment horizontal="center"/>
    </xf>
    <xf numFmtId="0" fontId="1" fillId="0" borderId="20" xfId="0" applyFont="1" applyBorder="1" applyAlignment="1">
      <alignment horizontal="center"/>
    </xf>
    <xf numFmtId="58" fontId="1" fillId="0" borderId="20" xfId="0" applyNumberFormat="1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58" fontId="1" fillId="0" borderId="33" xfId="0" applyNumberFormat="1" applyFont="1" applyBorder="1" applyAlignment="1">
      <alignment horizontal="center"/>
    </xf>
    <xf numFmtId="184" fontId="1" fillId="0" borderId="23" xfId="0" applyNumberFormat="1" applyFont="1" applyBorder="1" applyAlignment="1">
      <alignment horizontal="center" wrapText="1"/>
    </xf>
    <xf numFmtId="0" fontId="1" fillId="0" borderId="52" xfId="0" applyFont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183" fontId="2" fillId="5" borderId="7" xfId="0" applyNumberFormat="1" applyFont="1" applyFill="1" applyBorder="1" applyAlignment="1">
      <alignment horizontal="center" vertical="center"/>
    </xf>
    <xf numFmtId="0" fontId="1" fillId="3" borderId="45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182" fontId="5" fillId="3" borderId="3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181" fontId="12" fillId="3" borderId="3" xfId="0" applyNumberFormat="1" applyFont="1" applyFill="1" applyBorder="1" applyAlignment="1">
      <alignment horizontal="center"/>
    </xf>
    <xf numFmtId="178" fontId="2" fillId="3" borderId="3" xfId="0" applyNumberFormat="1" applyFont="1" applyFill="1" applyBorder="1" applyAlignment="1">
      <alignment horizontal="center"/>
    </xf>
    <xf numFmtId="183" fontId="8" fillId="3" borderId="3" xfId="0" applyNumberFormat="1" applyFont="1" applyFill="1" applyBorder="1" applyAlignment="1">
      <alignment horizontal="center"/>
    </xf>
    <xf numFmtId="0" fontId="1" fillId="3" borderId="53" xfId="0" applyFont="1" applyFill="1" applyBorder="1" applyAlignment="1">
      <alignment horizontal="center"/>
    </xf>
    <xf numFmtId="0" fontId="1" fillId="3" borderId="54" xfId="0" applyFont="1" applyFill="1" applyBorder="1" applyAlignment="1">
      <alignment horizontal="center"/>
    </xf>
    <xf numFmtId="0" fontId="1" fillId="3" borderId="46" xfId="0" applyFont="1" applyFill="1" applyBorder="1" applyAlignment="1">
      <alignment horizontal="center"/>
    </xf>
    <xf numFmtId="0" fontId="1" fillId="3" borderId="47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182" fontId="2" fillId="5" borderId="7" xfId="0" applyNumberFormat="1" applyFont="1" applyFill="1" applyBorder="1" applyAlignment="1">
      <alignment horizontal="center" vertical="center"/>
    </xf>
    <xf numFmtId="181" fontId="2" fillId="5" borderId="7" xfId="0" applyNumberFormat="1" applyFont="1" applyFill="1" applyBorder="1" applyAlignment="1">
      <alignment horizontal="center" vertical="center"/>
    </xf>
    <xf numFmtId="178" fontId="2" fillId="5" borderId="7" xfId="0" applyNumberFormat="1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49" xfId="0" applyFont="1" applyFill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186" fontId="2" fillId="0" borderId="14" xfId="0" applyNumberFormat="1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187" fontId="2" fillId="0" borderId="18" xfId="0" applyNumberFormat="1" applyFont="1" applyBorder="1" applyAlignment="1">
      <alignment horizontal="center" vertical="center"/>
    </xf>
    <xf numFmtId="188" fontId="1" fillId="0" borderId="0" xfId="0" applyNumberFormat="1" applyFont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186" fontId="13" fillId="0" borderId="28" xfId="0" applyNumberFormat="1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2" fontId="1" fillId="0" borderId="0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2" fontId="3" fillId="0" borderId="0" xfId="0" applyNumberFormat="1" applyFont="1" applyFill="1" applyBorder="1" applyAlignment="1">
      <alignment horizontal="center"/>
    </xf>
    <xf numFmtId="179" fontId="3" fillId="0" borderId="0" xfId="0" applyNumberFormat="1" applyFont="1" applyFill="1" applyBorder="1" applyAlignment="1">
      <alignment horizontal="center"/>
    </xf>
    <xf numFmtId="0" fontId="5" fillId="0" borderId="45" xfId="0" applyFont="1" applyFill="1" applyBorder="1" applyAlignment="1">
      <alignment horizontal="center" vertical="center" wrapText="1"/>
    </xf>
    <xf numFmtId="180" fontId="5" fillId="0" borderId="3" xfId="0" applyNumberFormat="1" applyFont="1" applyFill="1" applyBorder="1" applyAlignment="1">
      <alignment horizontal="center" vertical="center" wrapText="1"/>
    </xf>
    <xf numFmtId="49" fontId="5" fillId="0" borderId="3" xfId="0" applyNumberFormat="1" applyFont="1" applyFill="1" applyBorder="1" applyAlignment="1">
      <alignment horizontal="center" vertical="center" wrapText="1"/>
    </xf>
    <xf numFmtId="2" fontId="5" fillId="0" borderId="3" xfId="0" applyNumberFormat="1" applyFont="1" applyFill="1" applyBorder="1" applyAlignment="1">
      <alignment horizontal="center" vertical="center" wrapText="1"/>
    </xf>
    <xf numFmtId="2" fontId="6" fillId="0" borderId="53" xfId="0" applyNumberFormat="1" applyFont="1" applyFill="1" applyBorder="1" applyAlignment="1">
      <alignment horizontal="center" vertical="center" wrapText="1"/>
    </xf>
    <xf numFmtId="181" fontId="7" fillId="0" borderId="53" xfId="0" applyNumberFormat="1" applyFont="1" applyFill="1" applyBorder="1" applyAlignment="1">
      <alignment horizontal="center" vertical="center" wrapText="1"/>
    </xf>
    <xf numFmtId="180" fontId="7" fillId="0" borderId="53" xfId="0" applyNumberFormat="1" applyFont="1" applyFill="1" applyBorder="1" applyAlignment="1">
      <alignment horizontal="center" vertical="center" wrapText="1"/>
    </xf>
    <xf numFmtId="180" fontId="8" fillId="0" borderId="53" xfId="0" applyNumberFormat="1" applyFont="1" applyFill="1" applyBorder="1" applyAlignment="1">
      <alignment horizontal="center" vertical="center" wrapText="1"/>
    </xf>
    <xf numFmtId="179" fontId="8" fillId="0" borderId="53" xfId="0" applyNumberFormat="1" applyFont="1" applyFill="1" applyBorder="1" applyAlignment="1">
      <alignment horizontal="center" vertical="center" wrapText="1"/>
    </xf>
    <xf numFmtId="180" fontId="5" fillId="0" borderId="47" xfId="0" applyNumberFormat="1" applyFont="1" applyFill="1" applyBorder="1" applyAlignment="1">
      <alignment horizontal="center" vertical="center" wrapText="1"/>
    </xf>
    <xf numFmtId="180" fontId="5" fillId="0" borderId="10" xfId="0" applyNumberFormat="1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 vertical="center"/>
    </xf>
    <xf numFmtId="184" fontId="1" fillId="0" borderId="13" xfId="0" applyNumberFormat="1" applyFont="1" applyFill="1" applyBorder="1" applyAlignment="1">
      <alignment horizontal="center"/>
    </xf>
    <xf numFmtId="181" fontId="1" fillId="0" borderId="13" xfId="0" applyNumberFormat="1" applyFont="1" applyFill="1" applyBorder="1" applyAlignment="1">
      <alignment horizontal="center"/>
    </xf>
    <xf numFmtId="181" fontId="1" fillId="0" borderId="13" xfId="0" applyNumberFormat="1" applyFont="1" applyFill="1" applyBorder="1" applyAlignment="1">
      <alignment horizontal="center" vertical="center"/>
    </xf>
    <xf numFmtId="179" fontId="1" fillId="0" borderId="3" xfId="0" applyNumberFormat="1" applyFont="1" applyFill="1" applyBorder="1" applyAlignment="1">
      <alignment horizontal="center"/>
    </xf>
    <xf numFmtId="183" fontId="1" fillId="0" borderId="13" xfId="0" applyNumberFormat="1" applyFont="1" applyFill="1" applyBorder="1" applyAlignment="1">
      <alignment horizontal="center" vertical="center"/>
    </xf>
    <xf numFmtId="0" fontId="11" fillId="0" borderId="14" xfId="0" applyFont="1" applyFill="1" applyBorder="1" applyAlignment="1">
      <alignment horizontal="center"/>
    </xf>
    <xf numFmtId="0" fontId="1" fillId="0" borderId="58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1" fillId="0" borderId="17" xfId="0" applyFont="1" applyFill="1" applyBorder="1" applyAlignment="1">
      <alignment horizontal="center" vertical="center"/>
    </xf>
    <xf numFmtId="184" fontId="1" fillId="0" borderId="17" xfId="0" applyNumberFormat="1" applyFont="1" applyFill="1" applyBorder="1" applyAlignment="1">
      <alignment horizontal="center"/>
    </xf>
    <xf numFmtId="181" fontId="1" fillId="0" borderId="17" xfId="0" applyNumberFormat="1" applyFont="1" applyFill="1" applyBorder="1" applyAlignment="1">
      <alignment horizontal="center"/>
    </xf>
    <xf numFmtId="181" fontId="1" fillId="0" borderId="20" xfId="0" applyNumberFormat="1" applyFont="1" applyFill="1" applyBorder="1" applyAlignment="1">
      <alignment horizontal="center" vertical="center"/>
    </xf>
    <xf numFmtId="181" fontId="1" fillId="0" borderId="20" xfId="0" applyNumberFormat="1" applyFont="1" applyFill="1" applyBorder="1" applyAlignment="1">
      <alignment horizontal="center"/>
    </xf>
    <xf numFmtId="179" fontId="1" fillId="0" borderId="17" xfId="0" applyNumberFormat="1" applyFont="1" applyFill="1" applyBorder="1" applyAlignment="1">
      <alignment horizontal="center"/>
    </xf>
    <xf numFmtId="183" fontId="1" fillId="0" borderId="17" xfId="0" applyNumberFormat="1" applyFont="1" applyFill="1" applyBorder="1" applyAlignment="1">
      <alignment horizontal="center" vertical="center"/>
    </xf>
    <xf numFmtId="0" fontId="11" fillId="0" borderId="18" xfId="0" applyFont="1" applyFill="1" applyBorder="1" applyAlignment="1">
      <alignment horizontal="center"/>
    </xf>
    <xf numFmtId="0" fontId="1" fillId="0" borderId="40" xfId="0" applyFont="1" applyFill="1" applyBorder="1" applyAlignment="1">
      <alignment horizontal="center"/>
    </xf>
    <xf numFmtId="0" fontId="1" fillId="0" borderId="17" xfId="0" applyFont="1" applyFill="1" applyBorder="1" applyAlignment="1">
      <alignment horizontal="center"/>
    </xf>
    <xf numFmtId="0" fontId="1" fillId="0" borderId="18" xfId="0" applyFont="1" applyFill="1" applyBorder="1" applyAlignment="1">
      <alignment horizontal="center"/>
    </xf>
    <xf numFmtId="0" fontId="1" fillId="0" borderId="22" xfId="0" applyFont="1" applyFill="1" applyBorder="1" applyAlignment="1">
      <alignment horizontal="center"/>
    </xf>
    <xf numFmtId="0" fontId="1" fillId="0" borderId="23" xfId="0" applyFont="1" applyFill="1" applyBorder="1" applyAlignment="1">
      <alignment horizontal="center" vertical="center"/>
    </xf>
    <xf numFmtId="184" fontId="1" fillId="0" borderId="0" xfId="0" applyNumberFormat="1" applyFont="1" applyFill="1" applyBorder="1" applyAlignment="1">
      <alignment horizontal="center"/>
    </xf>
    <xf numFmtId="181" fontId="1" fillId="0" borderId="33" xfId="0" applyNumberFormat="1" applyFont="1" applyFill="1" applyBorder="1" applyAlignment="1">
      <alignment horizontal="center" vertical="center"/>
    </xf>
    <xf numFmtId="181" fontId="1" fillId="0" borderId="33" xfId="0" applyNumberFormat="1" applyFont="1" applyFill="1" applyBorder="1" applyAlignment="1">
      <alignment horizontal="center"/>
    </xf>
    <xf numFmtId="179" fontId="1" fillId="0" borderId="20" xfId="0" applyNumberFormat="1" applyFont="1" applyFill="1" applyBorder="1" applyAlignment="1">
      <alignment horizontal="center"/>
    </xf>
    <xf numFmtId="183" fontId="1" fillId="0" borderId="23" xfId="0" applyNumberFormat="1" applyFont="1" applyFill="1" applyBorder="1" applyAlignment="1">
      <alignment horizontal="center" vertical="center"/>
    </xf>
    <xf numFmtId="0" fontId="11" fillId="0" borderId="24" xfId="0" applyFont="1" applyFill="1" applyBorder="1" applyAlignment="1">
      <alignment horizontal="center"/>
    </xf>
    <xf numFmtId="0" fontId="1" fillId="0" borderId="52" xfId="0" applyFont="1" applyFill="1" applyBorder="1" applyAlignment="1">
      <alignment horizontal="center"/>
    </xf>
    <xf numFmtId="0" fontId="1" fillId="0" borderId="26" xfId="0" applyFont="1" applyFill="1" applyBorder="1" applyAlignment="1">
      <alignment horizontal="center"/>
    </xf>
    <xf numFmtId="0" fontId="1" fillId="0" borderId="27" xfId="0" applyFont="1" applyFill="1" applyBorder="1" applyAlignment="1">
      <alignment horizontal="center"/>
    </xf>
    <xf numFmtId="0" fontId="1" fillId="0" borderId="28" xfId="0" applyFont="1" applyFill="1" applyBorder="1" applyAlignment="1">
      <alignment horizontal="center"/>
    </xf>
    <xf numFmtId="183" fontId="1" fillId="0" borderId="0" xfId="0" applyNumberFormat="1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4" fontId="2" fillId="6" borderId="7" xfId="0" applyNumberFormat="1" applyFont="1" applyFill="1" applyBorder="1" applyAlignment="1">
      <alignment horizontal="center"/>
    </xf>
    <xf numFmtId="181" fontId="2" fillId="6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183" fontId="2" fillId="6" borderId="7" xfId="0" applyNumberFormat="1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184" fontId="1" fillId="0" borderId="2" xfId="0" applyNumberFormat="1" applyFont="1" applyFill="1" applyBorder="1" applyAlignment="1">
      <alignment horizontal="center"/>
    </xf>
    <xf numFmtId="0" fontId="1" fillId="0" borderId="32" xfId="0" applyFont="1" applyFill="1" applyBorder="1" applyAlignment="1">
      <alignment horizontal="center"/>
    </xf>
    <xf numFmtId="0" fontId="1" fillId="0" borderId="39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/>
    </xf>
    <xf numFmtId="182" fontId="1" fillId="0" borderId="0" xfId="0" applyNumberFormat="1" applyFont="1" applyFill="1" applyBorder="1" applyAlignment="1">
      <alignment horizontal="center"/>
    </xf>
    <xf numFmtId="0" fontId="1" fillId="0" borderId="27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184" fontId="1" fillId="0" borderId="27" xfId="0" applyNumberFormat="1" applyFont="1" applyFill="1" applyBorder="1" applyAlignment="1">
      <alignment horizontal="center"/>
    </xf>
    <xf numFmtId="0" fontId="1" fillId="0" borderId="35" xfId="0" applyFont="1" applyFill="1" applyBorder="1" applyAlignment="1">
      <alignment horizontal="center"/>
    </xf>
    <xf numFmtId="0" fontId="1" fillId="6" borderId="45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184" fontId="2" fillId="6" borderId="3" xfId="0" applyNumberFormat="1" applyFont="1" applyFill="1" applyBorder="1" applyAlignment="1">
      <alignment horizontal="center"/>
    </xf>
    <xf numFmtId="181" fontId="2" fillId="6" borderId="3" xfId="0" applyNumberFormat="1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183" fontId="2" fillId="6" borderId="3" xfId="0" applyNumberFormat="1" applyFont="1" applyFill="1" applyBorder="1" applyAlignment="1">
      <alignment horizontal="center"/>
    </xf>
    <xf numFmtId="0" fontId="1" fillId="6" borderId="53" xfId="0" applyFont="1" applyFill="1" applyBorder="1" applyAlignment="1">
      <alignment horizontal="center"/>
    </xf>
    <xf numFmtId="0" fontId="1" fillId="6" borderId="54" xfId="0" applyFont="1" applyFill="1" applyBorder="1" applyAlignment="1">
      <alignment horizontal="center"/>
    </xf>
    <xf numFmtId="0" fontId="1" fillId="6" borderId="46" xfId="0" applyFont="1" applyFill="1" applyBorder="1" applyAlignment="1">
      <alignment horizontal="center"/>
    </xf>
    <xf numFmtId="0" fontId="1" fillId="6" borderId="47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/>
    </xf>
    <xf numFmtId="184" fontId="1" fillId="0" borderId="7" xfId="0" applyNumberFormat="1" applyFont="1" applyFill="1" applyBorder="1" applyAlignment="1">
      <alignment horizontal="center"/>
    </xf>
    <xf numFmtId="181" fontId="1" fillId="0" borderId="7" xfId="0" applyNumberFormat="1" applyFont="1" applyFill="1" applyBorder="1" applyAlignment="1">
      <alignment horizontal="center"/>
    </xf>
    <xf numFmtId="181" fontId="1" fillId="0" borderId="7" xfId="0" applyNumberFormat="1" applyFont="1" applyFill="1" applyBorder="1" applyAlignment="1">
      <alignment horizontal="center" vertical="center"/>
    </xf>
    <xf numFmtId="183" fontId="1" fillId="0" borderId="7" xfId="0" applyNumberFormat="1" applyFont="1" applyFill="1" applyBorder="1" applyAlignment="1">
      <alignment horizontal="center" vertical="center"/>
    </xf>
    <xf numFmtId="181" fontId="10" fillId="2" borderId="7" xfId="0" applyNumberFormat="1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1" fillId="6" borderId="49" xfId="0" applyFont="1" applyFill="1" applyBorder="1" applyAlignment="1">
      <alignment horizontal="center"/>
    </xf>
    <xf numFmtId="184" fontId="2" fillId="6" borderId="49" xfId="0" applyNumberFormat="1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0" borderId="51" xfId="0" applyFont="1" applyFill="1" applyBorder="1" applyAlignment="1">
      <alignment horizontal="center"/>
    </xf>
    <xf numFmtId="58" fontId="1" fillId="0" borderId="20" xfId="0" applyNumberFormat="1" applyFont="1" applyFill="1" applyBorder="1" applyAlignment="1">
      <alignment horizontal="center"/>
    </xf>
    <xf numFmtId="0" fontId="1" fillId="0" borderId="20" xfId="0" applyFont="1" applyFill="1" applyBorder="1" applyAlignment="1">
      <alignment horizontal="center" vertical="center"/>
    </xf>
    <xf numFmtId="183" fontId="1" fillId="0" borderId="20" xfId="0" applyNumberFormat="1" applyFont="1" applyFill="1" applyBorder="1" applyAlignment="1">
      <alignment horizontal="center" vertical="center"/>
    </xf>
    <xf numFmtId="0" fontId="11" fillId="0" borderId="21" xfId="0" applyFont="1" applyFill="1" applyBorder="1" applyAlignment="1">
      <alignment horizontal="center"/>
    </xf>
    <xf numFmtId="0" fontId="1" fillId="0" borderId="59" xfId="0" applyFont="1" applyFill="1" applyBorder="1" applyAlignment="1">
      <alignment horizontal="center"/>
    </xf>
    <xf numFmtId="58" fontId="1" fillId="3" borderId="20" xfId="0" applyNumberFormat="1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184" fontId="1" fillId="3" borderId="20" xfId="0" applyNumberFormat="1" applyFont="1" applyFill="1" applyBorder="1" applyAlignment="1">
      <alignment horizontal="center"/>
    </xf>
    <xf numFmtId="0" fontId="1" fillId="0" borderId="21" xfId="0" applyFont="1" applyFill="1" applyBorder="1" applyAlignment="1">
      <alignment horizontal="center"/>
    </xf>
    <xf numFmtId="58" fontId="1" fillId="0" borderId="17" xfId="0" applyNumberFormat="1" applyFont="1" applyFill="1" applyBorder="1" applyAlignment="1">
      <alignment horizontal="center"/>
    </xf>
    <xf numFmtId="0" fontId="1" fillId="0" borderId="39" xfId="0" applyFont="1" applyFill="1" applyBorder="1" applyAlignment="1">
      <alignment horizontal="center"/>
    </xf>
    <xf numFmtId="58" fontId="1" fillId="3" borderId="17" xfId="0" applyNumberFormat="1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184" fontId="1" fillId="3" borderId="17" xfId="0" applyNumberFormat="1" applyFont="1" applyFill="1" applyBorder="1" applyAlignment="1">
      <alignment horizontal="center"/>
    </xf>
    <xf numFmtId="58" fontId="1" fillId="7" borderId="17" xfId="0" applyNumberFormat="1" applyFont="1" applyFill="1" applyBorder="1" applyAlignment="1">
      <alignment horizontal="center"/>
    </xf>
    <xf numFmtId="0" fontId="1" fillId="7" borderId="17" xfId="0" applyFont="1" applyFill="1" applyBorder="1" applyAlignment="1">
      <alignment horizontal="center"/>
    </xf>
    <xf numFmtId="184" fontId="1" fillId="7" borderId="17" xfId="0" applyNumberFormat="1" applyFont="1" applyFill="1" applyBorder="1" applyAlignment="1">
      <alignment horizontal="center"/>
    </xf>
    <xf numFmtId="58" fontId="1" fillId="0" borderId="27" xfId="0" applyNumberFormat="1" applyFont="1" applyFill="1" applyBorder="1" applyAlignment="1">
      <alignment horizontal="center"/>
    </xf>
    <xf numFmtId="184" fontId="1" fillId="0" borderId="5" xfId="0" applyNumberFormat="1" applyFont="1" applyFill="1" applyBorder="1" applyAlignment="1">
      <alignment horizontal="center"/>
    </xf>
    <xf numFmtId="0" fontId="11" fillId="0" borderId="28" xfId="0" applyFont="1" applyFill="1" applyBorder="1" applyAlignment="1">
      <alignment horizontal="center"/>
    </xf>
    <xf numFmtId="0" fontId="1" fillId="0" borderId="42" xfId="0" applyFont="1" applyFill="1" applyBorder="1" applyAlignment="1">
      <alignment horizontal="center"/>
    </xf>
    <xf numFmtId="58" fontId="1" fillId="3" borderId="27" xfId="0" applyNumberFormat="1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184" fontId="1" fillId="3" borderId="27" xfId="0" applyNumberFormat="1" applyFont="1" applyFill="1" applyBorder="1" applyAlignment="1">
      <alignment horizontal="center"/>
    </xf>
    <xf numFmtId="184" fontId="2" fillId="6" borderId="7" xfId="0" applyNumberFormat="1" applyFont="1" applyFill="1" applyBorder="1" applyAlignment="1">
      <alignment horizontal="center"/>
    </xf>
    <xf numFmtId="0" fontId="1" fillId="0" borderId="33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 vertical="center"/>
    </xf>
    <xf numFmtId="184" fontId="1" fillId="0" borderId="0" xfId="0" applyNumberFormat="1" applyFont="1" applyFill="1" applyBorder="1" applyAlignment="1">
      <alignment horizontal="center" vertical="center"/>
    </xf>
    <xf numFmtId="0" fontId="1" fillId="0" borderId="60" xfId="0" applyFont="1" applyFill="1" applyBorder="1" applyAlignment="1">
      <alignment horizontal="center"/>
    </xf>
    <xf numFmtId="58" fontId="1" fillId="4" borderId="7" xfId="0" applyNumberFormat="1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184" fontId="1" fillId="4" borderId="7" xfId="0" applyNumberFormat="1" applyFont="1" applyFill="1" applyBorder="1" applyAlignment="1">
      <alignment horizontal="center"/>
    </xf>
    <xf numFmtId="0" fontId="1" fillId="0" borderId="20" xfId="0" applyFont="1" applyFill="1" applyBorder="1" applyAlignment="1">
      <alignment horizontal="center"/>
    </xf>
    <xf numFmtId="184" fontId="1" fillId="0" borderId="20" xfId="0" applyNumberFormat="1" applyFont="1" applyFill="1" applyBorder="1" applyAlignment="1">
      <alignment horizontal="center" vertical="center"/>
    </xf>
    <xf numFmtId="184" fontId="1" fillId="0" borderId="17" xfId="0" applyNumberFormat="1" applyFont="1" applyFill="1" applyBorder="1" applyAlignment="1">
      <alignment horizontal="center" vertical="center"/>
    </xf>
    <xf numFmtId="58" fontId="1" fillId="4" borderId="17" xfId="0" applyNumberFormat="1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184" fontId="1" fillId="4" borderId="17" xfId="0" applyNumberFormat="1" applyFont="1" applyFill="1" applyBorder="1" applyAlignment="1">
      <alignment horizontal="center"/>
    </xf>
    <xf numFmtId="0" fontId="1" fillId="0" borderId="23" xfId="0" applyFont="1" applyFill="1" applyBorder="1" applyAlignment="1">
      <alignment horizontal="center"/>
    </xf>
    <xf numFmtId="58" fontId="1" fillId="0" borderId="23" xfId="0" applyNumberFormat="1" applyFont="1" applyFill="1" applyBorder="1" applyAlignment="1">
      <alignment horizontal="center"/>
    </xf>
    <xf numFmtId="184" fontId="1" fillId="0" borderId="23" xfId="0" applyNumberFormat="1" applyFont="1" applyFill="1" applyBorder="1" applyAlignment="1">
      <alignment horizontal="center" vertical="center"/>
    </xf>
    <xf numFmtId="0" fontId="1" fillId="0" borderId="61" xfId="0" applyFont="1" applyFill="1" applyBorder="1" applyAlignment="1">
      <alignment horizontal="center"/>
    </xf>
    <xf numFmtId="58" fontId="1" fillId="4" borderId="27" xfId="0" applyNumberFormat="1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184" fontId="1" fillId="4" borderId="27" xfId="0" applyNumberFormat="1" applyFont="1" applyFill="1" applyBorder="1" applyAlignment="1">
      <alignment horizontal="center"/>
    </xf>
    <xf numFmtId="58" fontId="1" fillId="0" borderId="13" xfId="0" applyNumberFormat="1" applyFont="1" applyFill="1" applyBorder="1" applyAlignment="1">
      <alignment horizontal="center"/>
    </xf>
    <xf numFmtId="184" fontId="1" fillId="0" borderId="13" xfId="0" applyNumberFormat="1" applyFont="1" applyFill="1" applyBorder="1" applyAlignment="1">
      <alignment horizontal="center" vertical="center"/>
    </xf>
    <xf numFmtId="0" fontId="1" fillId="0" borderId="36" xfId="0" applyFont="1" applyFill="1" applyBorder="1" applyAlignment="1">
      <alignment horizontal="center"/>
    </xf>
    <xf numFmtId="0" fontId="1" fillId="6" borderId="62" xfId="0" applyFont="1" applyFill="1" applyBorder="1" applyAlignment="1">
      <alignment horizontal="center"/>
    </xf>
    <xf numFmtId="0" fontId="1" fillId="6" borderId="63" xfId="0" applyFont="1" applyFill="1" applyBorder="1" applyAlignment="1">
      <alignment horizontal="center"/>
    </xf>
    <xf numFmtId="0" fontId="1" fillId="6" borderId="33" xfId="0" applyFont="1" applyFill="1" applyBorder="1" applyAlignment="1">
      <alignment horizontal="center"/>
    </xf>
    <xf numFmtId="0" fontId="1" fillId="6" borderId="34" xfId="0" applyFont="1" applyFill="1" applyBorder="1" applyAlignment="1">
      <alignment horizontal="center"/>
    </xf>
    <xf numFmtId="184" fontId="1" fillId="0" borderId="20" xfId="0" applyNumberFormat="1" applyFont="1" applyFill="1" applyBorder="1" applyAlignment="1">
      <alignment horizontal="center"/>
    </xf>
    <xf numFmtId="181" fontId="1" fillId="0" borderId="30" xfId="0" applyNumberFormat="1" applyFont="1" applyFill="1" applyBorder="1" applyAlignment="1">
      <alignment horizontal="center"/>
    </xf>
    <xf numFmtId="183" fontId="1" fillId="0" borderId="27" xfId="0" applyNumberFormat="1" applyFont="1" applyFill="1" applyBorder="1" applyAlignment="1">
      <alignment horizontal="center" vertical="center"/>
    </xf>
    <xf numFmtId="0" fontId="1" fillId="6" borderId="64" xfId="0" applyFont="1" applyFill="1" applyBorder="1" applyAlignment="1">
      <alignment horizontal="center"/>
    </xf>
    <xf numFmtId="0" fontId="1" fillId="6" borderId="29" xfId="0" applyFont="1" applyFill="1" applyBorder="1" applyAlignment="1">
      <alignment horizontal="center"/>
    </xf>
    <xf numFmtId="0" fontId="1" fillId="6" borderId="30" xfId="0" applyFont="1" applyFill="1" applyBorder="1" applyAlignment="1">
      <alignment horizontal="center"/>
    </xf>
    <xf numFmtId="0" fontId="1" fillId="6" borderId="31" xfId="0" applyFont="1" applyFill="1" applyBorder="1" applyAlignment="1">
      <alignment horizontal="center"/>
    </xf>
    <xf numFmtId="0" fontId="1" fillId="0" borderId="50" xfId="0" applyFont="1" applyFill="1" applyBorder="1" applyAlignment="1">
      <alignment horizontal="center"/>
    </xf>
    <xf numFmtId="58" fontId="1" fillId="0" borderId="33" xfId="0" applyNumberFormat="1" applyFont="1" applyFill="1" applyBorder="1" applyAlignment="1">
      <alignment horizontal="center"/>
    </xf>
    <xf numFmtId="0" fontId="1" fillId="0" borderId="33" xfId="0" applyFont="1" applyFill="1" applyBorder="1" applyAlignment="1">
      <alignment horizontal="center" vertical="center"/>
    </xf>
    <xf numFmtId="184" fontId="1" fillId="0" borderId="33" xfId="0" applyNumberFormat="1" applyFont="1" applyFill="1" applyBorder="1" applyAlignment="1">
      <alignment horizontal="center" vertical="center"/>
    </xf>
    <xf numFmtId="183" fontId="1" fillId="0" borderId="33" xfId="0" applyNumberFormat="1" applyFont="1" applyFill="1" applyBorder="1" applyAlignment="1">
      <alignment horizontal="center" vertical="center"/>
    </xf>
    <xf numFmtId="0" fontId="11" fillId="0" borderId="34" xfId="0" applyFont="1" applyFill="1" applyBorder="1" applyAlignment="1">
      <alignment horizontal="center"/>
    </xf>
    <xf numFmtId="0" fontId="1" fillId="0" borderId="54" xfId="0" applyFont="1" applyFill="1" applyBorder="1" applyAlignment="1">
      <alignment horizontal="center"/>
    </xf>
    <xf numFmtId="0" fontId="1" fillId="0" borderId="46" xfId="0" applyFont="1" applyFill="1" applyBorder="1" applyAlignment="1">
      <alignment horizontal="center"/>
    </xf>
    <xf numFmtId="58" fontId="1" fillId="4" borderId="3" xfId="0" applyNumberFormat="1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184" fontId="1" fillId="4" borderId="3" xfId="0" applyNumberFormat="1" applyFont="1" applyFill="1" applyBorder="1" applyAlignment="1">
      <alignment horizontal="center"/>
    </xf>
    <xf numFmtId="0" fontId="1" fillId="0" borderId="47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 vertical="center"/>
    </xf>
    <xf numFmtId="58" fontId="1" fillId="3" borderId="13" xfId="0" applyNumberFormat="1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184" fontId="1" fillId="3" borderId="13" xfId="0" applyNumberFormat="1" applyFont="1" applyFill="1" applyBorder="1" applyAlignment="1">
      <alignment horizontal="center"/>
    </xf>
    <xf numFmtId="182" fontId="2" fillId="6" borderId="7" xfId="0" applyNumberFormat="1" applyFont="1" applyFill="1" applyBorder="1" applyAlignment="1">
      <alignment horizontal="center"/>
    </xf>
    <xf numFmtId="182" fontId="1" fillId="0" borderId="20" xfId="0" applyNumberFormat="1" applyFont="1" applyFill="1" applyBorder="1" applyAlignment="1">
      <alignment horizontal="center"/>
    </xf>
    <xf numFmtId="182" fontId="1" fillId="0" borderId="17" xfId="0" applyNumberFormat="1" applyFont="1" applyFill="1" applyBorder="1" applyAlignment="1">
      <alignment horizontal="center"/>
    </xf>
    <xf numFmtId="58" fontId="1" fillId="8" borderId="17" xfId="0" applyNumberFormat="1" applyFont="1" applyFill="1" applyBorder="1" applyAlignment="1">
      <alignment horizontal="center"/>
    </xf>
    <xf numFmtId="184" fontId="1" fillId="8" borderId="17" xfId="0" applyNumberFormat="1" applyFont="1" applyFill="1" applyBorder="1" applyAlignment="1">
      <alignment horizontal="center"/>
    </xf>
    <xf numFmtId="0" fontId="1" fillId="8" borderId="17" xfId="0" applyFont="1" applyFill="1" applyBorder="1" applyAlignment="1">
      <alignment horizontal="center"/>
    </xf>
    <xf numFmtId="182" fontId="1" fillId="8" borderId="17" xfId="0" applyNumberFormat="1" applyFont="1" applyFill="1" applyBorder="1" applyAlignment="1">
      <alignment horizontal="center"/>
    </xf>
    <xf numFmtId="182" fontId="1" fillId="0" borderId="27" xfId="0" applyNumberFormat="1" applyFont="1" applyFill="1" applyBorder="1" applyAlignment="1">
      <alignment horizontal="center"/>
    </xf>
    <xf numFmtId="0" fontId="1" fillId="6" borderId="65" xfId="0" applyFont="1" applyFill="1" applyBorder="1" applyAlignment="1">
      <alignment horizontal="center"/>
    </xf>
    <xf numFmtId="182" fontId="1" fillId="0" borderId="13" xfId="0" applyNumberFormat="1" applyFont="1" applyFill="1" applyBorder="1" applyAlignment="1">
      <alignment horizontal="center"/>
    </xf>
    <xf numFmtId="58" fontId="1" fillId="7" borderId="13" xfId="0" applyNumberFormat="1" applyFont="1" applyFill="1" applyBorder="1" applyAlignment="1">
      <alignment horizontal="center"/>
    </xf>
    <xf numFmtId="0" fontId="1" fillId="7" borderId="13" xfId="0" applyFont="1" applyFill="1" applyBorder="1" applyAlignment="1">
      <alignment horizontal="center"/>
    </xf>
    <xf numFmtId="182" fontId="1" fillId="7" borderId="13" xfId="0" applyNumberFormat="1" applyFont="1" applyFill="1" applyBorder="1" applyAlignment="1">
      <alignment horizontal="center"/>
    </xf>
    <xf numFmtId="182" fontId="1" fillId="7" borderId="17" xfId="0" applyNumberFormat="1" applyFont="1" applyFill="1" applyBorder="1" applyAlignment="1">
      <alignment horizontal="center"/>
    </xf>
    <xf numFmtId="58" fontId="1" fillId="7" borderId="27" xfId="0" applyNumberFormat="1" applyFont="1" applyFill="1" applyBorder="1" applyAlignment="1">
      <alignment horizontal="center"/>
    </xf>
    <xf numFmtId="0" fontId="1" fillId="7" borderId="27" xfId="0" applyFont="1" applyFill="1" applyBorder="1" applyAlignment="1">
      <alignment horizontal="center"/>
    </xf>
    <xf numFmtId="182" fontId="1" fillId="7" borderId="27" xfId="0" applyNumberFormat="1" applyFont="1" applyFill="1" applyBorder="1" applyAlignment="1">
      <alignment horizontal="center"/>
    </xf>
    <xf numFmtId="58" fontId="1" fillId="9" borderId="13" xfId="0" applyNumberFormat="1" applyFont="1" applyFill="1" applyBorder="1" applyAlignment="1">
      <alignment horizontal="center"/>
    </xf>
    <xf numFmtId="184" fontId="1" fillId="9" borderId="13" xfId="0" applyNumberFormat="1" applyFont="1" applyFill="1" applyBorder="1" applyAlignment="1">
      <alignment horizontal="center"/>
    </xf>
    <xf numFmtId="182" fontId="1" fillId="9" borderId="13" xfId="0" applyNumberFormat="1" applyFont="1" applyFill="1" applyBorder="1" applyAlignment="1">
      <alignment horizontal="center"/>
    </xf>
    <xf numFmtId="58" fontId="1" fillId="9" borderId="17" xfId="0" applyNumberFormat="1" applyFont="1" applyFill="1" applyBorder="1" applyAlignment="1">
      <alignment horizontal="center"/>
    </xf>
    <xf numFmtId="184" fontId="1" fillId="9" borderId="17" xfId="0" applyNumberFormat="1" applyFont="1" applyFill="1" applyBorder="1" applyAlignment="1">
      <alignment horizontal="center"/>
    </xf>
    <xf numFmtId="182" fontId="1" fillId="9" borderId="17" xfId="0" applyNumberFormat="1" applyFont="1" applyFill="1" applyBorder="1" applyAlignment="1">
      <alignment horizontal="center"/>
    </xf>
    <xf numFmtId="58" fontId="1" fillId="7" borderId="0" xfId="0" applyNumberFormat="1" applyFont="1" applyFill="1" applyBorder="1" applyAlignment="1">
      <alignment horizontal="center"/>
    </xf>
    <xf numFmtId="58" fontId="1" fillId="10" borderId="17" xfId="0" applyNumberFormat="1" applyFont="1" applyFill="1" applyBorder="1" applyAlignment="1">
      <alignment horizontal="center"/>
    </xf>
    <xf numFmtId="184" fontId="1" fillId="10" borderId="17" xfId="0" applyNumberFormat="1" applyFont="1" applyFill="1" applyBorder="1" applyAlignment="1">
      <alignment horizontal="center"/>
    </xf>
    <xf numFmtId="182" fontId="1" fillId="10" borderId="17" xfId="0" applyNumberFormat="1" applyFont="1" applyFill="1" applyBorder="1" applyAlignment="1">
      <alignment horizontal="center"/>
    </xf>
    <xf numFmtId="0" fontId="1" fillId="9" borderId="17" xfId="0" applyFont="1" applyFill="1" applyBorder="1" applyAlignment="1">
      <alignment horizontal="center"/>
    </xf>
    <xf numFmtId="182" fontId="1" fillId="0" borderId="23" xfId="0" applyNumberFormat="1" applyFont="1" applyFill="1" applyBorder="1" applyAlignment="1">
      <alignment horizontal="center"/>
    </xf>
    <xf numFmtId="58" fontId="1" fillId="8" borderId="27" xfId="0" applyNumberFormat="1" applyFont="1" applyFill="1" applyBorder="1" applyAlignment="1">
      <alignment horizontal="center"/>
    </xf>
    <xf numFmtId="184" fontId="1" fillId="8" borderId="27" xfId="0" applyNumberFormat="1" applyFont="1" applyFill="1" applyBorder="1" applyAlignment="1">
      <alignment horizontal="center"/>
    </xf>
    <xf numFmtId="0" fontId="1" fillId="9" borderId="13" xfId="0" applyFont="1" applyFill="1" applyBorder="1" applyAlignment="1">
      <alignment horizontal="center"/>
    </xf>
    <xf numFmtId="182" fontId="1" fillId="4" borderId="17" xfId="0" applyNumberFormat="1" applyFont="1" applyFill="1" applyBorder="1" applyAlignment="1">
      <alignment horizontal="center"/>
    </xf>
    <xf numFmtId="181" fontId="1" fillId="0" borderId="23" xfId="0" applyNumberFormat="1" applyFont="1" applyFill="1" applyBorder="1" applyAlignment="1">
      <alignment horizontal="center"/>
    </xf>
    <xf numFmtId="0" fontId="1" fillId="11" borderId="6" xfId="0" applyFont="1" applyFill="1" applyBorder="1" applyAlignment="1">
      <alignment horizontal="center"/>
    </xf>
    <xf numFmtId="0" fontId="1" fillId="11" borderId="7" xfId="0" applyFont="1" applyFill="1" applyBorder="1" applyAlignment="1">
      <alignment horizontal="center"/>
    </xf>
    <xf numFmtId="182" fontId="2" fillId="11" borderId="7" xfId="0" applyNumberFormat="1" applyFont="1" applyFill="1" applyBorder="1" applyAlignment="1">
      <alignment horizontal="center"/>
    </xf>
    <xf numFmtId="181" fontId="2" fillId="11" borderId="7" xfId="0" applyNumberFormat="1" applyFont="1" applyFill="1" applyBorder="1" applyAlignment="1">
      <alignment horizontal="center"/>
    </xf>
    <xf numFmtId="0" fontId="2" fillId="11" borderId="7" xfId="0" applyFont="1" applyFill="1" applyBorder="1" applyAlignment="1">
      <alignment horizontal="center"/>
    </xf>
    <xf numFmtId="183" fontId="2" fillId="11" borderId="7" xfId="0" applyNumberFormat="1" applyFont="1" applyFill="1" applyBorder="1" applyAlignment="1">
      <alignment horizontal="center"/>
    </xf>
    <xf numFmtId="0" fontId="1" fillId="11" borderId="8" xfId="0" applyFont="1" applyFill="1" applyBorder="1" applyAlignment="1">
      <alignment horizontal="center"/>
    </xf>
    <xf numFmtId="0" fontId="1" fillId="11" borderId="10" xfId="0" applyFont="1" applyFill="1" applyBorder="1" applyAlignment="1">
      <alignment horizontal="center"/>
    </xf>
    <xf numFmtId="0" fontId="1" fillId="11" borderId="11" xfId="0" applyFont="1" applyFill="1" applyBorder="1" applyAlignment="1">
      <alignment horizontal="center"/>
    </xf>
    <xf numFmtId="0" fontId="1" fillId="11" borderId="9" xfId="0" applyFont="1" applyFill="1" applyBorder="1" applyAlignment="1">
      <alignment horizontal="center"/>
    </xf>
    <xf numFmtId="0" fontId="2" fillId="0" borderId="55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38" xfId="0" applyFont="1" applyFill="1" applyBorder="1" applyAlignment="1">
      <alignment horizontal="center" vertical="center"/>
    </xf>
    <xf numFmtId="186" fontId="2" fillId="0" borderId="14" xfId="0" applyNumberFormat="1" applyFont="1" applyFill="1" applyBorder="1" applyAlignment="1">
      <alignment horizontal="center" vertical="center"/>
    </xf>
    <xf numFmtId="0" fontId="2" fillId="0" borderId="56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2" fillId="0" borderId="41" xfId="0" applyFont="1" applyFill="1" applyBorder="1" applyAlignment="1">
      <alignment horizontal="center" vertical="center"/>
    </xf>
    <xf numFmtId="187" fontId="2" fillId="0" borderId="18" xfId="0" applyNumberFormat="1" applyFont="1" applyFill="1" applyBorder="1" applyAlignment="1">
      <alignment horizontal="center" vertical="center"/>
    </xf>
    <xf numFmtId="0" fontId="2" fillId="0" borderId="57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" fillId="0" borderId="44" xfId="0" applyFont="1" applyFill="1" applyBorder="1" applyAlignment="1">
      <alignment horizontal="center" vertical="center"/>
    </xf>
    <xf numFmtId="186" fontId="13" fillId="0" borderId="28" xfId="0" applyNumberFormat="1" applyFont="1" applyFill="1" applyBorder="1" applyAlignment="1">
      <alignment horizontal="center" vertical="center"/>
    </xf>
    <xf numFmtId="4" fontId="3" fillId="0" borderId="0" xfId="0" applyNumberFormat="1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 vertical="center" wrapText="1"/>
    </xf>
    <xf numFmtId="180" fontId="5" fillId="0" borderId="7" xfId="0" applyNumberFormat="1" applyFont="1" applyFill="1" applyBorder="1" applyAlignment="1">
      <alignment horizontal="center" vertical="center" wrapText="1"/>
    </xf>
    <xf numFmtId="49" fontId="5" fillId="0" borderId="7" xfId="0" applyNumberFormat="1" applyFont="1" applyFill="1" applyBorder="1" applyAlignment="1">
      <alignment horizontal="center" vertical="center" wrapText="1"/>
    </xf>
    <xf numFmtId="2" fontId="6" fillId="0" borderId="8" xfId="0" applyNumberFormat="1" applyFont="1" applyFill="1" applyBorder="1" applyAlignment="1">
      <alignment horizontal="center" vertical="center" wrapText="1"/>
    </xf>
    <xf numFmtId="181" fontId="7" fillId="0" borderId="8" xfId="0" applyNumberFormat="1" applyFont="1" applyFill="1" applyBorder="1" applyAlignment="1">
      <alignment horizontal="center" vertical="center" wrapText="1"/>
    </xf>
    <xf numFmtId="180" fontId="7" fillId="0" borderId="8" xfId="0" applyNumberFormat="1" applyFont="1" applyFill="1" applyBorder="1" applyAlignment="1">
      <alignment horizontal="center" vertical="center" wrapText="1"/>
    </xf>
    <xf numFmtId="180" fontId="8" fillId="0" borderId="8" xfId="0" applyNumberFormat="1" applyFont="1" applyFill="1" applyBorder="1" applyAlignment="1">
      <alignment horizontal="center" vertical="center" wrapText="1"/>
    </xf>
    <xf numFmtId="179" fontId="8" fillId="0" borderId="8" xfId="0" applyNumberFormat="1" applyFont="1" applyFill="1" applyBorder="1" applyAlignment="1">
      <alignment horizontal="center" vertical="center" wrapText="1"/>
    </xf>
    <xf numFmtId="180" fontId="5" fillId="0" borderId="9" xfId="0" applyNumberFormat="1" applyFont="1" applyFill="1" applyBorder="1" applyAlignment="1">
      <alignment horizontal="center" vertical="center" wrapText="1"/>
    </xf>
    <xf numFmtId="185" fontId="1" fillId="0" borderId="66" xfId="0" applyNumberFormat="1" applyFont="1" applyFill="1" applyBorder="1" applyAlignment="1">
      <alignment horizontal="center"/>
    </xf>
    <xf numFmtId="1" fontId="1" fillId="0" borderId="66" xfId="0" applyNumberFormat="1" applyFont="1" applyFill="1" applyBorder="1" applyAlignment="1">
      <alignment horizontal="center"/>
    </xf>
    <xf numFmtId="184" fontId="1" fillId="0" borderId="66" xfId="0" applyNumberFormat="1" applyFont="1" applyFill="1" applyBorder="1" applyAlignment="1">
      <alignment horizontal="center" wrapText="1"/>
    </xf>
    <xf numFmtId="181" fontId="10" fillId="0" borderId="13" xfId="0" applyNumberFormat="1" applyFont="1" applyFill="1" applyBorder="1" applyAlignment="1">
      <alignment horizontal="center"/>
    </xf>
    <xf numFmtId="181" fontId="7" fillId="0" borderId="3" xfId="0" applyNumberFormat="1" applyFont="1" applyFill="1" applyBorder="1" applyAlignment="1">
      <alignment horizontal="center" vertical="center" wrapText="1"/>
    </xf>
    <xf numFmtId="179" fontId="8" fillId="0" borderId="3" xfId="0" applyNumberFormat="1" applyFont="1" applyFill="1" applyBorder="1" applyAlignment="1">
      <alignment horizontal="center" vertical="center" wrapText="1"/>
    </xf>
    <xf numFmtId="0" fontId="10" fillId="0" borderId="67" xfId="0" applyFont="1" applyFill="1" applyBorder="1" applyAlignment="1">
      <alignment horizontal="center" vertical="center" wrapText="1"/>
    </xf>
    <xf numFmtId="185" fontId="1" fillId="0" borderId="68" xfId="0" applyNumberFormat="1" applyFont="1" applyFill="1" applyBorder="1" applyAlignment="1">
      <alignment horizontal="center"/>
    </xf>
    <xf numFmtId="1" fontId="1" fillId="0" borderId="68" xfId="0" applyNumberFormat="1" applyFont="1" applyFill="1" applyBorder="1" applyAlignment="1">
      <alignment horizontal="center"/>
    </xf>
    <xf numFmtId="184" fontId="1" fillId="0" borderId="68" xfId="0" applyNumberFormat="1" applyFont="1" applyFill="1" applyBorder="1" applyAlignment="1">
      <alignment horizontal="center" wrapText="1"/>
    </xf>
    <xf numFmtId="181" fontId="10" fillId="0" borderId="17" xfId="0" applyNumberFormat="1" applyFont="1" applyFill="1" applyBorder="1" applyAlignment="1">
      <alignment horizontal="center"/>
    </xf>
    <xf numFmtId="181" fontId="7" fillId="0" borderId="17" xfId="0" applyNumberFormat="1" applyFont="1" applyFill="1" applyBorder="1" applyAlignment="1">
      <alignment horizontal="center" vertical="center" wrapText="1"/>
    </xf>
    <xf numFmtId="179" fontId="8" fillId="0" borderId="17" xfId="0" applyNumberFormat="1" applyFont="1" applyFill="1" applyBorder="1" applyAlignment="1">
      <alignment horizontal="center" vertical="center" wrapText="1"/>
    </xf>
    <xf numFmtId="185" fontId="1" fillId="0" borderId="69" xfId="0" applyNumberFormat="1" applyFont="1" applyFill="1" applyBorder="1" applyAlignment="1">
      <alignment horizontal="center"/>
    </xf>
    <xf numFmtId="1" fontId="1" fillId="0" borderId="69" xfId="0" applyNumberFormat="1" applyFont="1" applyFill="1" applyBorder="1" applyAlignment="1">
      <alignment horizontal="center"/>
    </xf>
    <xf numFmtId="184" fontId="1" fillId="0" borderId="69" xfId="0" applyNumberFormat="1" applyFont="1" applyFill="1" applyBorder="1" applyAlignment="1">
      <alignment horizontal="center" wrapText="1"/>
    </xf>
    <xf numFmtId="181" fontId="7" fillId="0" borderId="30" xfId="0" applyNumberFormat="1" applyFont="1" applyFill="1" applyBorder="1" applyAlignment="1">
      <alignment horizontal="center" vertical="center" wrapText="1"/>
    </xf>
    <xf numFmtId="179" fontId="8" fillId="0" borderId="30" xfId="0" applyNumberFormat="1" applyFont="1" applyFill="1" applyBorder="1" applyAlignment="1">
      <alignment horizontal="center" vertical="center" wrapText="1"/>
    </xf>
    <xf numFmtId="185" fontId="1" fillId="0" borderId="70" xfId="0" applyNumberFormat="1" applyFont="1" applyFill="1" applyBorder="1" applyAlignment="1">
      <alignment horizontal="center"/>
    </xf>
    <xf numFmtId="1" fontId="1" fillId="0" borderId="70" xfId="0" applyNumberFormat="1" applyFont="1" applyFill="1" applyBorder="1" applyAlignment="1">
      <alignment horizontal="center"/>
    </xf>
    <xf numFmtId="184" fontId="1" fillId="0" borderId="70" xfId="0" applyNumberFormat="1" applyFont="1" applyFill="1" applyBorder="1" applyAlignment="1">
      <alignment horizontal="center" wrapText="1"/>
    </xf>
    <xf numFmtId="181" fontId="7" fillId="0" borderId="13" xfId="0" applyNumberFormat="1" applyFont="1" applyFill="1" applyBorder="1" applyAlignment="1">
      <alignment horizontal="center" vertical="center" wrapText="1"/>
    </xf>
    <xf numFmtId="179" fontId="8" fillId="0" borderId="13" xfId="0" applyNumberFormat="1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/>
    </xf>
    <xf numFmtId="58" fontId="1" fillId="0" borderId="7" xfId="0" applyNumberFormat="1" applyFont="1" applyFill="1" applyBorder="1" applyAlignment="1">
      <alignment horizontal="center"/>
    </xf>
    <xf numFmtId="0" fontId="10" fillId="0" borderId="71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/>
    </xf>
    <xf numFmtId="0" fontId="10" fillId="0" borderId="72" xfId="0" applyFont="1" applyFill="1" applyBorder="1" applyAlignment="1">
      <alignment horizontal="center" vertical="center" wrapText="1"/>
    </xf>
    <xf numFmtId="181" fontId="7" fillId="0" borderId="23" xfId="0" applyNumberFormat="1" applyFont="1" applyFill="1" applyBorder="1" applyAlignment="1">
      <alignment horizontal="center" vertical="center" wrapText="1"/>
    </xf>
    <xf numFmtId="179" fontId="8" fillId="0" borderId="23" xfId="0" applyNumberFormat="1" applyFont="1" applyFill="1" applyBorder="1" applyAlignment="1">
      <alignment horizontal="center" vertical="center" wrapText="1"/>
    </xf>
    <xf numFmtId="0" fontId="10" fillId="0" borderId="73" xfId="0" applyFont="1" applyFill="1" applyBorder="1" applyAlignment="1">
      <alignment horizontal="center" vertical="center" wrapText="1"/>
    </xf>
    <xf numFmtId="0" fontId="1" fillId="0" borderId="25" xfId="0" applyFont="1" applyFill="1" applyBorder="1" applyAlignment="1">
      <alignment horizontal="center"/>
    </xf>
    <xf numFmtId="185" fontId="1" fillId="0" borderId="74" xfId="0" applyNumberFormat="1" applyFont="1" applyFill="1" applyBorder="1" applyAlignment="1">
      <alignment horizontal="center"/>
    </xf>
    <xf numFmtId="1" fontId="1" fillId="0" borderId="74" xfId="0" applyNumberFormat="1" applyFont="1" applyFill="1" applyBorder="1" applyAlignment="1">
      <alignment horizontal="center"/>
    </xf>
    <xf numFmtId="184" fontId="1" fillId="0" borderId="74" xfId="0" applyNumberFormat="1" applyFont="1" applyFill="1" applyBorder="1" applyAlignment="1">
      <alignment horizontal="center" wrapText="1"/>
    </xf>
    <xf numFmtId="181" fontId="7" fillId="0" borderId="20" xfId="0" applyNumberFormat="1" applyFont="1" applyFill="1" applyBorder="1" applyAlignment="1">
      <alignment horizontal="center" vertical="center" wrapText="1"/>
    </xf>
    <xf numFmtId="179" fontId="8" fillId="0" borderId="20" xfId="0" applyNumberFormat="1" applyFont="1" applyFill="1" applyBorder="1" applyAlignment="1">
      <alignment horizontal="center" vertical="center" wrapText="1"/>
    </xf>
    <xf numFmtId="181" fontId="7" fillId="0" borderId="27" xfId="0" applyNumberFormat="1" applyFont="1" applyFill="1" applyBorder="1" applyAlignment="1">
      <alignment horizontal="center" vertical="center" wrapText="1"/>
    </xf>
    <xf numFmtId="179" fontId="8" fillId="0" borderId="27" xfId="0" applyNumberFormat="1" applyFont="1" applyFill="1" applyBorder="1" applyAlignment="1">
      <alignment horizontal="center" vertical="center" wrapText="1"/>
    </xf>
    <xf numFmtId="0" fontId="10" fillId="0" borderId="75" xfId="0" applyFont="1" applyFill="1" applyBorder="1" applyAlignment="1">
      <alignment horizontal="center" vertical="center" wrapText="1"/>
    </xf>
    <xf numFmtId="185" fontId="1" fillId="0" borderId="76" xfId="0" applyNumberFormat="1" applyFont="1" applyFill="1" applyBorder="1" applyAlignment="1">
      <alignment horizontal="center"/>
    </xf>
    <xf numFmtId="185" fontId="1" fillId="0" borderId="20" xfId="0" applyNumberFormat="1" applyFont="1" applyFill="1" applyBorder="1" applyAlignment="1">
      <alignment horizontal="center"/>
    </xf>
    <xf numFmtId="1" fontId="1" fillId="0" borderId="20" xfId="0" applyNumberFormat="1" applyFont="1" applyFill="1" applyBorder="1" applyAlignment="1">
      <alignment horizontal="center"/>
    </xf>
    <xf numFmtId="184" fontId="1" fillId="0" borderId="20" xfId="0" applyNumberFormat="1" applyFont="1" applyFill="1" applyBorder="1" applyAlignment="1">
      <alignment horizontal="center" wrapText="1"/>
    </xf>
    <xf numFmtId="185" fontId="1" fillId="0" borderId="17" xfId="0" applyNumberFormat="1" applyFont="1" applyFill="1" applyBorder="1" applyAlignment="1">
      <alignment horizontal="center"/>
    </xf>
    <xf numFmtId="1" fontId="1" fillId="0" borderId="17" xfId="0" applyNumberFormat="1" applyFont="1" applyFill="1" applyBorder="1" applyAlignment="1">
      <alignment horizontal="center"/>
    </xf>
    <xf numFmtId="184" fontId="1" fillId="0" borderId="17" xfId="0" applyNumberFormat="1" applyFont="1" applyFill="1" applyBorder="1" applyAlignment="1">
      <alignment horizontal="center" wrapText="1"/>
    </xf>
    <xf numFmtId="185" fontId="1" fillId="0" borderId="27" xfId="0" applyNumberFormat="1" applyFont="1" applyFill="1" applyBorder="1" applyAlignment="1">
      <alignment horizontal="center"/>
    </xf>
    <xf numFmtId="1" fontId="1" fillId="0" borderId="27" xfId="0" applyNumberFormat="1" applyFont="1" applyFill="1" applyBorder="1" applyAlignment="1">
      <alignment horizontal="center"/>
    </xf>
    <xf numFmtId="184" fontId="1" fillId="0" borderId="27" xfId="0" applyNumberFormat="1" applyFont="1" applyFill="1" applyBorder="1" applyAlignment="1">
      <alignment horizontal="center" wrapText="1"/>
    </xf>
    <xf numFmtId="0" fontId="1" fillId="0" borderId="45" xfId="0" applyFont="1" applyFill="1" applyBorder="1" applyAlignment="1">
      <alignment horizontal="center"/>
    </xf>
    <xf numFmtId="58" fontId="1" fillId="0" borderId="3" xfId="0" applyNumberFormat="1" applyFont="1" applyFill="1" applyBorder="1" applyAlignment="1">
      <alignment horizontal="center"/>
    </xf>
    <xf numFmtId="185" fontId="1" fillId="0" borderId="3" xfId="0" applyNumberFormat="1" applyFont="1" applyFill="1" applyBorder="1" applyAlignment="1">
      <alignment horizontal="center"/>
    </xf>
    <xf numFmtId="1" fontId="1" fillId="0" borderId="3" xfId="0" applyNumberFormat="1" applyFont="1" applyFill="1" applyBorder="1" applyAlignment="1">
      <alignment horizontal="center"/>
    </xf>
    <xf numFmtId="182" fontId="1" fillId="0" borderId="3" xfId="0" applyNumberFormat="1" applyFont="1" applyFill="1" applyBorder="1" applyAlignment="1">
      <alignment horizontal="center"/>
    </xf>
    <xf numFmtId="0" fontId="10" fillId="0" borderId="77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/>
    </xf>
    <xf numFmtId="0" fontId="1" fillId="0" borderId="48" xfId="0" applyFont="1" applyFill="1" applyBorder="1" applyAlignment="1">
      <alignment horizontal="center"/>
    </xf>
    <xf numFmtId="58" fontId="1" fillId="0" borderId="30" xfId="0" applyNumberFormat="1" applyFont="1" applyFill="1" applyBorder="1" applyAlignment="1">
      <alignment horizontal="center"/>
    </xf>
    <xf numFmtId="185" fontId="1" fillId="0" borderId="30" xfId="0" applyNumberFormat="1" applyFont="1" applyFill="1" applyBorder="1" applyAlignment="1">
      <alignment horizontal="center"/>
    </xf>
    <xf numFmtId="1" fontId="1" fillId="0" borderId="30" xfId="0" applyNumberFormat="1" applyFont="1" applyFill="1" applyBorder="1" applyAlignment="1">
      <alignment horizontal="center"/>
    </xf>
    <xf numFmtId="184" fontId="1" fillId="0" borderId="30" xfId="0" applyNumberFormat="1" applyFont="1" applyFill="1" applyBorder="1" applyAlignment="1">
      <alignment horizontal="center" wrapText="1"/>
    </xf>
    <xf numFmtId="0" fontId="1" fillId="0" borderId="37" xfId="0" applyFont="1" applyFill="1" applyBorder="1" applyAlignment="1">
      <alignment horizontal="center"/>
    </xf>
    <xf numFmtId="0" fontId="1" fillId="0" borderId="43" xfId="0" applyFont="1" applyFill="1" applyBorder="1" applyAlignment="1">
      <alignment horizontal="center"/>
    </xf>
    <xf numFmtId="49" fontId="1" fillId="0" borderId="20" xfId="0" applyNumberFormat="1" applyFont="1" applyFill="1" applyBorder="1" applyAlignment="1">
      <alignment horizontal="center"/>
    </xf>
    <xf numFmtId="49" fontId="1" fillId="0" borderId="17" xfId="0" applyNumberFormat="1" applyFont="1" applyFill="1" applyBorder="1" applyAlignment="1">
      <alignment horizontal="center"/>
    </xf>
    <xf numFmtId="0" fontId="1" fillId="0" borderId="23" xfId="0" applyNumberFormat="1" applyFont="1" applyFill="1" applyBorder="1" applyAlignment="1">
      <alignment horizontal="center"/>
    </xf>
    <xf numFmtId="184" fontId="1" fillId="0" borderId="23" xfId="0" applyNumberFormat="1" applyFont="1" applyFill="1" applyBorder="1" applyAlignment="1">
      <alignment horizontal="center"/>
    </xf>
    <xf numFmtId="49" fontId="1" fillId="0" borderId="33" xfId="0" applyNumberFormat="1" applyFont="1" applyFill="1" applyBorder="1" applyAlignment="1">
      <alignment horizontal="center"/>
    </xf>
    <xf numFmtId="181" fontId="10" fillId="0" borderId="20" xfId="0" applyNumberFormat="1" applyFont="1" applyFill="1" applyBorder="1" applyAlignment="1">
      <alignment horizontal="center"/>
    </xf>
    <xf numFmtId="181" fontId="10" fillId="0" borderId="23" xfId="0" applyNumberFormat="1" applyFont="1" applyFill="1" applyBorder="1" applyAlignment="1">
      <alignment horizontal="center"/>
    </xf>
    <xf numFmtId="179" fontId="2" fillId="11" borderId="7" xfId="0" applyNumberFormat="1" applyFont="1" applyFill="1" applyBorder="1" applyAlignment="1">
      <alignment horizontal="center"/>
    </xf>
    <xf numFmtId="184" fontId="2" fillId="11" borderId="7" xfId="0" applyNumberFormat="1" applyFont="1" applyFill="1" applyBorder="1" applyAlignment="1">
      <alignment horizontal="center"/>
    </xf>
    <xf numFmtId="0" fontId="14" fillId="2" borderId="0" xfId="0" applyFont="1" applyFill="1" applyBorder="1"/>
    <xf numFmtId="0" fontId="14" fillId="2" borderId="0" xfId="0" applyFont="1" applyFill="1" applyBorder="1" applyAlignment="1">
      <alignment horizontal="left"/>
    </xf>
    <xf numFmtId="184" fontId="14" fillId="2" borderId="0" xfId="0" applyNumberFormat="1" applyFont="1" applyFill="1" applyBorder="1" applyAlignment="1">
      <alignment horizontal="center"/>
    </xf>
    <xf numFmtId="3" fontId="14" fillId="2" borderId="0" xfId="0" applyNumberFormat="1" applyFont="1" applyFill="1" applyBorder="1" applyAlignment="1">
      <alignment horizontal="center"/>
    </xf>
    <xf numFmtId="1" fontId="14" fillId="2" borderId="0" xfId="0" applyNumberFormat="1" applyFont="1" applyFill="1" applyBorder="1" applyAlignment="1">
      <alignment horizontal="center" vertical="top"/>
    </xf>
    <xf numFmtId="189" fontId="14" fillId="2" borderId="0" xfId="0" applyNumberFormat="1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center"/>
    </xf>
    <xf numFmtId="0" fontId="16" fillId="4" borderId="45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3" fontId="16" fillId="4" borderId="3" xfId="0" applyNumberFormat="1" applyFont="1" applyFill="1" applyBorder="1" applyAlignment="1">
      <alignment horizontal="center" vertical="center"/>
    </xf>
    <xf numFmtId="190" fontId="16" fillId="4" borderId="3" xfId="2" applyNumberFormat="1" applyFont="1" applyFill="1" applyBorder="1" applyAlignment="1">
      <alignment horizontal="center" vertical="center"/>
    </xf>
    <xf numFmtId="1" fontId="16" fillId="4" borderId="47" xfId="0" applyNumberFormat="1" applyFont="1" applyFill="1" applyBorder="1" applyAlignment="1">
      <alignment horizontal="center" vertical="center"/>
    </xf>
    <xf numFmtId="1" fontId="16" fillId="2" borderId="0" xfId="0" applyNumberFormat="1" applyFont="1" applyFill="1" applyBorder="1" applyAlignment="1">
      <alignment horizontal="center" vertical="center"/>
    </xf>
    <xf numFmtId="3" fontId="16" fillId="4" borderId="6" xfId="0" applyNumberFormat="1" applyFont="1" applyFill="1" applyBorder="1" applyAlignment="1">
      <alignment horizontal="center" vertical="center"/>
    </xf>
    <xf numFmtId="3" fontId="16" fillId="4" borderId="7" xfId="0" applyNumberFormat="1" applyFont="1" applyFill="1" applyBorder="1" applyAlignment="1">
      <alignment horizontal="center" vertical="center"/>
    </xf>
    <xf numFmtId="190" fontId="16" fillId="4" borderId="7" xfId="2" applyNumberFormat="1" applyFont="1" applyFill="1" applyBorder="1" applyAlignment="1">
      <alignment horizontal="center" vertical="center"/>
    </xf>
    <xf numFmtId="1" fontId="16" fillId="4" borderId="9" xfId="0" applyNumberFormat="1" applyFont="1" applyFill="1" applyBorder="1" applyAlignment="1">
      <alignment horizontal="center" vertical="center"/>
    </xf>
    <xf numFmtId="0" fontId="18" fillId="12" borderId="12" xfId="0" applyFont="1" applyFill="1" applyBorder="1" applyAlignment="1">
      <alignment horizontal="center" vertical="center"/>
    </xf>
    <xf numFmtId="58" fontId="18" fillId="2" borderId="13" xfId="0" applyNumberFormat="1" applyFont="1" applyFill="1" applyBorder="1" applyAlignment="1">
      <alignment horizontal="center" vertical="center"/>
    </xf>
    <xf numFmtId="0" fontId="18" fillId="2" borderId="13" xfId="0" applyFont="1" applyFill="1" applyBorder="1" applyAlignment="1">
      <alignment horizontal="left" vertical="center"/>
    </xf>
    <xf numFmtId="184" fontId="19" fillId="2" borderId="13" xfId="0" applyNumberFormat="1" applyFont="1" applyFill="1" applyBorder="1" applyAlignment="1">
      <alignment horizontal="center" vertical="center"/>
    </xf>
    <xf numFmtId="191" fontId="20" fillId="2" borderId="13" xfId="0" applyNumberFormat="1" applyFont="1" applyFill="1" applyBorder="1" applyAlignment="1">
      <alignment horizontal="left" vertical="center"/>
    </xf>
    <xf numFmtId="192" fontId="21" fillId="2" borderId="13" xfId="0" applyNumberFormat="1" applyFont="1" applyFill="1" applyBorder="1" applyAlignment="1">
      <alignment horizontal="left" vertical="center"/>
    </xf>
    <xf numFmtId="190" fontId="22" fillId="2" borderId="13" xfId="2" applyNumberFormat="1" applyFont="1" applyFill="1" applyBorder="1" applyAlignment="1">
      <alignment horizontal="center" vertical="center"/>
    </xf>
    <xf numFmtId="192" fontId="23" fillId="2" borderId="14" xfId="0" applyNumberFormat="1" applyFont="1" applyFill="1" applyBorder="1" applyAlignment="1">
      <alignment horizontal="left" vertical="center"/>
    </xf>
    <xf numFmtId="190" fontId="24" fillId="2" borderId="0" xfId="2" applyNumberFormat="1" applyFont="1" applyFill="1" applyBorder="1" applyAlignment="1">
      <alignment horizontal="center" vertical="center"/>
    </xf>
    <xf numFmtId="0" fontId="20" fillId="2" borderId="51" xfId="0" applyNumberFormat="1" applyFont="1" applyFill="1" applyBorder="1" applyAlignment="1">
      <alignment horizontal="center" vertical="center"/>
    </xf>
    <xf numFmtId="190" fontId="25" fillId="2" borderId="20" xfId="2" applyNumberFormat="1" applyFont="1" applyFill="1" applyBorder="1" applyAlignment="1">
      <alignment horizontal="center" vertical="center"/>
    </xf>
    <xf numFmtId="192" fontId="20" fillId="2" borderId="20" xfId="0" applyNumberFormat="1" applyFont="1" applyFill="1" applyBorder="1" applyAlignment="1">
      <alignment horizontal="left" vertical="center"/>
    </xf>
    <xf numFmtId="190" fontId="23" fillId="2" borderId="21" xfId="2" applyNumberFormat="1" applyFont="1" applyFill="1" applyBorder="1" applyAlignment="1">
      <alignment horizontal="left" vertical="center"/>
    </xf>
    <xf numFmtId="0" fontId="18" fillId="2" borderId="16" xfId="0" applyFont="1" applyFill="1" applyBorder="1" applyAlignment="1">
      <alignment horizontal="center" vertical="center"/>
    </xf>
    <xf numFmtId="58" fontId="18" fillId="2" borderId="17" xfId="0" applyNumberFormat="1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horizontal="left" vertical="center"/>
    </xf>
    <xf numFmtId="184" fontId="19" fillId="2" borderId="17" xfId="0" applyNumberFormat="1" applyFont="1" applyFill="1" applyBorder="1" applyAlignment="1">
      <alignment horizontal="center" vertical="center"/>
    </xf>
    <xf numFmtId="191" fontId="20" fillId="2" borderId="17" xfId="0" applyNumberFormat="1" applyFont="1" applyFill="1" applyBorder="1" applyAlignment="1">
      <alignment horizontal="left" vertical="center"/>
    </xf>
    <xf numFmtId="191" fontId="21" fillId="2" borderId="17" xfId="0" applyNumberFormat="1" applyFont="1" applyFill="1" applyBorder="1" applyAlignment="1">
      <alignment horizontal="left" vertical="center"/>
    </xf>
    <xf numFmtId="192" fontId="26" fillId="2" borderId="17" xfId="0" applyNumberFormat="1" applyFont="1" applyFill="1" applyBorder="1" applyAlignment="1">
      <alignment horizontal="left" vertical="center"/>
    </xf>
    <xf numFmtId="192" fontId="23" fillId="2" borderId="18" xfId="0" applyNumberFormat="1" applyFont="1" applyFill="1" applyBorder="1" applyAlignment="1">
      <alignment horizontal="left" vertical="center"/>
    </xf>
    <xf numFmtId="44" fontId="20" fillId="2" borderId="16" xfId="2" applyFont="1" applyFill="1" applyBorder="1" applyAlignment="1">
      <alignment horizontal="center" vertical="center"/>
    </xf>
    <xf numFmtId="190" fontId="25" fillId="2" borderId="17" xfId="2" applyNumberFormat="1" applyFont="1" applyFill="1" applyBorder="1" applyAlignment="1">
      <alignment horizontal="center" vertical="center"/>
    </xf>
    <xf numFmtId="190" fontId="22" fillId="2" borderId="20" xfId="2" applyNumberFormat="1" applyFont="1" applyFill="1" applyBorder="1" applyAlignment="1">
      <alignment horizontal="center" vertical="center"/>
    </xf>
    <xf numFmtId="190" fontId="23" fillId="2" borderId="18" xfId="2" applyNumberFormat="1" applyFont="1" applyFill="1" applyBorder="1" applyAlignment="1">
      <alignment horizontal="left" vertical="center"/>
    </xf>
    <xf numFmtId="0" fontId="20" fillId="2" borderId="16" xfId="0" applyNumberFormat="1" applyFont="1" applyFill="1" applyBorder="1" applyAlignment="1">
      <alignment horizontal="center" vertical="center"/>
    </xf>
    <xf numFmtId="0" fontId="18" fillId="12" borderId="16" xfId="0" applyFont="1" applyFill="1" applyBorder="1" applyAlignment="1">
      <alignment horizontal="center" vertical="center"/>
    </xf>
    <xf numFmtId="58" fontId="18" fillId="13" borderId="17" xfId="0" applyNumberFormat="1" applyFont="1" applyFill="1" applyBorder="1" applyAlignment="1">
      <alignment horizontal="center" vertical="center"/>
    </xf>
    <xf numFmtId="0" fontId="18" fillId="13" borderId="17" xfId="0" applyFont="1" applyFill="1" applyBorder="1" applyAlignment="1">
      <alignment horizontal="left" vertical="center"/>
    </xf>
    <xf numFmtId="184" fontId="19" fillId="13" borderId="17" xfId="0" applyNumberFormat="1" applyFont="1" applyFill="1" applyBorder="1" applyAlignment="1">
      <alignment horizontal="center" vertical="center"/>
    </xf>
    <xf numFmtId="191" fontId="20" fillId="13" borderId="17" xfId="0" applyNumberFormat="1" applyFont="1" applyFill="1" applyBorder="1" applyAlignment="1">
      <alignment horizontal="left" vertical="center"/>
    </xf>
    <xf numFmtId="192" fontId="21" fillId="13" borderId="17" xfId="0" applyNumberFormat="1" applyFont="1" applyFill="1" applyBorder="1" applyAlignment="1">
      <alignment horizontal="left" vertical="center"/>
    </xf>
    <xf numFmtId="192" fontId="26" fillId="13" borderId="17" xfId="0" applyNumberFormat="1" applyFont="1" applyFill="1" applyBorder="1" applyAlignment="1">
      <alignment horizontal="left" vertical="center"/>
    </xf>
    <xf numFmtId="0" fontId="20" fillId="13" borderId="16" xfId="0" applyNumberFormat="1" applyFont="1" applyFill="1" applyBorder="1" applyAlignment="1">
      <alignment horizontal="center" vertical="center"/>
    </xf>
    <xf numFmtId="190" fontId="25" fillId="13" borderId="17" xfId="2" applyNumberFormat="1" applyFont="1" applyFill="1" applyBorder="1" applyAlignment="1">
      <alignment horizontal="center" vertical="center"/>
    </xf>
    <xf numFmtId="190" fontId="22" fillId="13" borderId="20" xfId="2" applyNumberFormat="1" applyFont="1" applyFill="1" applyBorder="1" applyAlignment="1">
      <alignment horizontal="center" vertical="center"/>
    </xf>
    <xf numFmtId="184" fontId="14" fillId="13" borderId="17" xfId="0" applyNumberFormat="1" applyFont="1" applyFill="1" applyBorder="1" applyAlignment="1">
      <alignment horizontal="center"/>
    </xf>
    <xf numFmtId="0" fontId="18" fillId="14" borderId="17" xfId="0" applyFont="1" applyFill="1" applyBorder="1" applyAlignment="1">
      <alignment horizontal="left" vertical="center"/>
    </xf>
    <xf numFmtId="184" fontId="19" fillId="14" borderId="17" xfId="0" applyNumberFormat="1" applyFont="1" applyFill="1" applyBorder="1" applyAlignment="1">
      <alignment horizontal="center" vertical="center"/>
    </xf>
    <xf numFmtId="191" fontId="20" fillId="14" borderId="17" xfId="0" applyNumberFormat="1" applyFont="1" applyFill="1" applyBorder="1" applyAlignment="1">
      <alignment horizontal="left" vertical="center"/>
    </xf>
    <xf numFmtId="192" fontId="21" fillId="14" borderId="17" xfId="0" applyNumberFormat="1" applyFont="1" applyFill="1" applyBorder="1" applyAlignment="1">
      <alignment horizontal="left" vertical="center"/>
    </xf>
    <xf numFmtId="191" fontId="21" fillId="13" borderId="17" xfId="0" applyNumberFormat="1" applyFont="1" applyFill="1" applyBorder="1" applyAlignment="1">
      <alignment horizontal="left" vertical="center"/>
    </xf>
    <xf numFmtId="44" fontId="20" fillId="13" borderId="16" xfId="2" applyFont="1" applyFill="1" applyBorder="1" applyAlignment="1">
      <alignment horizontal="center" vertical="center"/>
    </xf>
    <xf numFmtId="0" fontId="14" fillId="2" borderId="16" xfId="0" applyNumberFormat="1" applyFont="1" applyFill="1" applyBorder="1" applyAlignment="1">
      <alignment horizontal="center"/>
    </xf>
    <xf numFmtId="192" fontId="21" fillId="2" borderId="17" xfId="0" applyNumberFormat="1" applyFont="1" applyFill="1" applyBorder="1" applyAlignment="1">
      <alignment horizontal="left" vertical="center"/>
    </xf>
    <xf numFmtId="190" fontId="14" fillId="2" borderId="0" xfId="0" applyNumberFormat="1" applyFont="1" applyFill="1" applyBorder="1"/>
    <xf numFmtId="0" fontId="18" fillId="2" borderId="22" xfId="0" applyFont="1" applyFill="1" applyBorder="1" applyAlignment="1">
      <alignment horizontal="center" vertical="center"/>
    </xf>
    <xf numFmtId="58" fontId="18" fillId="2" borderId="23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184" fontId="19" fillId="2" borderId="23" xfId="0" applyNumberFormat="1" applyFont="1" applyFill="1" applyBorder="1" applyAlignment="1">
      <alignment horizontal="center" vertical="center"/>
    </xf>
    <xf numFmtId="191" fontId="20" fillId="2" borderId="23" xfId="0" applyNumberFormat="1" applyFont="1" applyFill="1" applyBorder="1" applyAlignment="1">
      <alignment horizontal="left" vertical="center"/>
    </xf>
    <xf numFmtId="192" fontId="21" fillId="2" borderId="23" xfId="0" applyNumberFormat="1" applyFont="1" applyFill="1" applyBorder="1" applyAlignment="1">
      <alignment horizontal="left" vertical="center"/>
    </xf>
    <xf numFmtId="192" fontId="26" fillId="2" borderId="23" xfId="0" applyNumberFormat="1" applyFont="1" applyFill="1" applyBorder="1" applyAlignment="1">
      <alignment horizontal="left" vertical="center"/>
    </xf>
    <xf numFmtId="190" fontId="25" fillId="2" borderId="23" xfId="2" applyNumberFormat="1" applyFont="1" applyFill="1" applyBorder="1" applyAlignment="1">
      <alignment horizontal="center" vertical="center"/>
    </xf>
    <xf numFmtId="190" fontId="22" fillId="2" borderId="33" xfId="2" applyNumberFormat="1" applyFont="1" applyFill="1" applyBorder="1" applyAlignment="1">
      <alignment horizontal="center" vertical="center"/>
    </xf>
    <xf numFmtId="0" fontId="17" fillId="2" borderId="26" xfId="0" applyFont="1" applyFill="1" applyBorder="1" applyAlignment="1">
      <alignment horizontal="center" vertical="center"/>
    </xf>
    <xf numFmtId="0" fontId="17" fillId="2" borderId="27" xfId="0" applyFont="1" applyFill="1" applyBorder="1" applyAlignment="1">
      <alignment horizontal="center" vertical="center"/>
    </xf>
    <xf numFmtId="0" fontId="17" fillId="2" borderId="27" xfId="0" applyFont="1" applyFill="1" applyBorder="1" applyAlignment="1">
      <alignment horizontal="left" vertical="center"/>
    </xf>
    <xf numFmtId="184" fontId="19" fillId="2" borderId="27" xfId="0" applyNumberFormat="1" applyFont="1" applyFill="1" applyBorder="1" applyAlignment="1">
      <alignment horizontal="center" vertical="center"/>
    </xf>
    <xf numFmtId="190" fontId="17" fillId="2" borderId="27" xfId="2" applyNumberFormat="1" applyFont="1" applyFill="1" applyBorder="1" applyAlignment="1">
      <alignment horizontal="center" vertical="center"/>
    </xf>
    <xf numFmtId="190" fontId="25" fillId="2" borderId="27" xfId="2" applyNumberFormat="1" applyFont="1" applyFill="1" applyBorder="1" applyAlignment="1">
      <alignment horizontal="center" vertical="center"/>
    </xf>
    <xf numFmtId="190" fontId="22" fillId="2" borderId="27" xfId="2" applyNumberFormat="1" applyFont="1" applyFill="1" applyBorder="1" applyAlignment="1">
      <alignment horizontal="center" vertical="center"/>
    </xf>
    <xf numFmtId="189" fontId="17" fillId="2" borderId="28" xfId="0" applyNumberFormat="1" applyFont="1" applyFill="1" applyBorder="1" applyAlignment="1">
      <alignment horizontal="center" vertical="center"/>
    </xf>
    <xf numFmtId="189" fontId="17" fillId="2" borderId="0" xfId="0" applyNumberFormat="1" applyFont="1" applyFill="1" applyBorder="1" applyAlignment="1">
      <alignment horizontal="center" vertical="center"/>
    </xf>
    <xf numFmtId="0" fontId="14" fillId="2" borderId="26" xfId="0" applyFont="1" applyFill="1" applyBorder="1"/>
    <xf numFmtId="0" fontId="14" fillId="2" borderId="27" xfId="0" applyFont="1" applyFill="1" applyBorder="1"/>
    <xf numFmtId="0" fontId="14" fillId="2" borderId="28" xfId="0" applyFont="1" applyFill="1" applyBorder="1"/>
    <xf numFmtId="192" fontId="21" fillId="2" borderId="0" xfId="0" applyNumberFormat="1" applyFont="1" applyFill="1" applyBorder="1" applyAlignment="1">
      <alignment horizontal="left" vertical="center"/>
    </xf>
    <xf numFmtId="192" fontId="26" fillId="2" borderId="0" xfId="0" applyNumberFormat="1" applyFont="1" applyFill="1" applyBorder="1" applyAlignment="1">
      <alignment horizontal="left" vertical="center"/>
    </xf>
    <xf numFmtId="190" fontId="25" fillId="2" borderId="0" xfId="2" applyNumberFormat="1" applyFont="1" applyFill="1" applyBorder="1" applyAlignment="1">
      <alignment horizontal="center" vertical="center"/>
    </xf>
    <xf numFmtId="190" fontId="22" fillId="2" borderId="0" xfId="2" applyNumberFormat="1" applyFont="1" applyFill="1" applyBorder="1" applyAlignment="1">
      <alignment horizontal="center" vertical="center"/>
    </xf>
    <xf numFmtId="0" fontId="27" fillId="2" borderId="0" xfId="0" applyFont="1" applyFill="1" applyBorder="1" applyAlignment="1">
      <alignment horizontal="center" vertical="center"/>
    </xf>
    <xf numFmtId="0" fontId="27" fillId="2" borderId="5" xfId="0" applyFont="1" applyFill="1" applyBorder="1" applyAlignment="1">
      <alignment horizontal="center" vertical="center"/>
    </xf>
    <xf numFmtId="0" fontId="17" fillId="15" borderId="6" xfId="0" applyFont="1" applyFill="1" applyBorder="1" applyAlignment="1">
      <alignment horizontal="center" vertical="center"/>
    </xf>
    <xf numFmtId="0" fontId="17" fillId="15" borderId="7" xfId="0" applyFont="1" applyFill="1" applyBorder="1" applyAlignment="1">
      <alignment horizontal="center" vertical="center"/>
    </xf>
    <xf numFmtId="0" fontId="17" fillId="15" borderId="7" xfId="0" applyFont="1" applyFill="1" applyBorder="1" applyAlignment="1">
      <alignment horizontal="center" vertical="center" wrapText="1"/>
    </xf>
    <xf numFmtId="190" fontId="17" fillId="15" borderId="7" xfId="2" applyNumberFormat="1" applyFont="1" applyFill="1" applyBorder="1" applyAlignment="1">
      <alignment horizontal="center" vertical="center" wrapText="1"/>
    </xf>
    <xf numFmtId="3" fontId="17" fillId="15" borderId="7" xfId="0" applyNumberFormat="1" applyFont="1" applyFill="1" applyBorder="1" applyAlignment="1">
      <alignment horizontal="center" vertical="center" wrapText="1"/>
    </xf>
    <xf numFmtId="190" fontId="17" fillId="15" borderId="9" xfId="2" applyNumberFormat="1" applyFont="1" applyFill="1" applyBorder="1" applyAlignment="1">
      <alignment horizontal="center" vertical="center" wrapText="1"/>
    </xf>
    <xf numFmtId="0" fontId="18" fillId="2" borderId="20" xfId="0" applyFont="1" applyFill="1" applyBorder="1" applyAlignment="1">
      <alignment horizontal="center" vertical="center"/>
    </xf>
    <xf numFmtId="58" fontId="28" fillId="2" borderId="20" xfId="0" applyNumberFormat="1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184" fontId="29" fillId="2" borderId="20" xfId="2" applyNumberFormat="1" applyFont="1" applyFill="1" applyBorder="1" applyAlignment="1">
      <alignment horizontal="center" vertical="center"/>
    </xf>
    <xf numFmtId="190" fontId="29" fillId="2" borderId="20" xfId="2" applyNumberFormat="1" applyFont="1" applyFill="1" applyBorder="1" applyAlignment="1">
      <alignment horizontal="center" vertical="center"/>
    </xf>
    <xf numFmtId="184" fontId="29" fillId="16" borderId="20" xfId="2" applyNumberFormat="1" applyFont="1" applyFill="1" applyBorder="1" applyAlignment="1">
      <alignment horizontal="center" vertical="center"/>
    </xf>
    <xf numFmtId="190" fontId="30" fillId="2" borderId="20" xfId="2" applyNumberFormat="1" applyFont="1" applyFill="1" applyBorder="1" applyAlignment="1">
      <alignment horizontal="center" vertical="center"/>
    </xf>
    <xf numFmtId="193" fontId="29" fillId="2" borderId="20" xfId="2" applyNumberFormat="1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horizontal="center" vertical="center"/>
    </xf>
    <xf numFmtId="58" fontId="28" fillId="2" borderId="17" xfId="0" applyNumberFormat="1" applyFont="1" applyFill="1" applyBorder="1" applyAlignment="1">
      <alignment horizontal="center" vertical="center"/>
    </xf>
    <xf numFmtId="0" fontId="3" fillId="2" borderId="17" xfId="0" applyNumberFormat="1" applyFont="1" applyFill="1" applyBorder="1" applyAlignment="1">
      <alignment horizontal="center" vertical="center"/>
    </xf>
    <xf numFmtId="184" fontId="29" fillId="2" borderId="17" xfId="2" applyNumberFormat="1" applyFont="1" applyFill="1" applyBorder="1" applyAlignment="1">
      <alignment horizontal="center" vertical="center"/>
    </xf>
    <xf numFmtId="190" fontId="29" fillId="2" borderId="17" xfId="2" applyNumberFormat="1" applyFont="1" applyFill="1" applyBorder="1" applyAlignment="1">
      <alignment horizontal="center" vertical="center"/>
    </xf>
    <xf numFmtId="1" fontId="29" fillId="16" borderId="17" xfId="2" applyNumberFormat="1" applyFont="1" applyFill="1" applyBorder="1" applyAlignment="1">
      <alignment horizontal="center" vertical="center"/>
    </xf>
    <xf numFmtId="190" fontId="30" fillId="2" borderId="17" xfId="2" applyNumberFormat="1" applyFont="1" applyFill="1" applyBorder="1" applyAlignment="1">
      <alignment horizontal="center" vertical="center"/>
    </xf>
    <xf numFmtId="193" fontId="29" fillId="2" borderId="17" xfId="2" applyNumberFormat="1" applyFont="1" applyFill="1" applyBorder="1" applyAlignment="1">
      <alignment horizontal="center" vertical="center"/>
    </xf>
    <xf numFmtId="1" fontId="29" fillId="2" borderId="17" xfId="2" applyNumberFormat="1" applyFont="1" applyFill="1" applyBorder="1" applyAlignment="1">
      <alignment horizontal="center" vertical="center"/>
    </xf>
    <xf numFmtId="0" fontId="31" fillId="2" borderId="17" xfId="0" applyFont="1" applyFill="1" applyBorder="1" applyAlignment="1">
      <alignment horizontal="center" vertical="center"/>
    </xf>
    <xf numFmtId="192" fontId="3" fillId="2" borderId="17" xfId="0" applyNumberFormat="1" applyFont="1" applyFill="1" applyBorder="1" applyAlignment="1">
      <alignment horizontal="center" vertical="center"/>
    </xf>
    <xf numFmtId="0" fontId="14" fillId="2" borderId="17" xfId="0" applyFont="1" applyFill="1" applyBorder="1" applyAlignment="1">
      <alignment horizontal="left"/>
    </xf>
    <xf numFmtId="3" fontId="14" fillId="2" borderId="17" xfId="0" applyNumberFormat="1" applyFont="1" applyFill="1" applyBorder="1" applyAlignment="1">
      <alignment horizontal="center"/>
    </xf>
    <xf numFmtId="193" fontId="32" fillId="2" borderId="17" xfId="2" applyNumberFormat="1" applyFont="1" applyFill="1" applyBorder="1" applyAlignment="1">
      <alignment horizontal="center" vertical="center"/>
    </xf>
    <xf numFmtId="4" fontId="14" fillId="2" borderId="17" xfId="0" applyNumberFormat="1" applyFont="1" applyFill="1" applyBorder="1" applyAlignment="1">
      <alignment horizontal="center"/>
    </xf>
    <xf numFmtId="1" fontId="14" fillId="2" borderId="17" xfId="0" applyNumberFormat="1" applyFont="1" applyFill="1" applyBorder="1" applyAlignment="1">
      <alignment horizontal="center" vertical="top"/>
    </xf>
    <xf numFmtId="189" fontId="14" fillId="2" borderId="17" xfId="0" applyNumberFormat="1" applyFont="1" applyFill="1" applyBorder="1" applyAlignment="1">
      <alignment horizontal="center" vertical="center"/>
    </xf>
    <xf numFmtId="58" fontId="18" fillId="2" borderId="27" xfId="0" applyNumberFormat="1" applyFont="1" applyFill="1" applyBorder="1" applyAlignment="1">
      <alignment horizontal="center" vertical="center"/>
    </xf>
    <xf numFmtId="0" fontId="18" fillId="2" borderId="27" xfId="0" applyFont="1" applyFill="1" applyBorder="1" applyAlignment="1">
      <alignment horizontal="left" vertical="center"/>
    </xf>
    <xf numFmtId="0" fontId="14" fillId="2" borderId="27" xfId="0" applyFont="1" applyFill="1" applyBorder="1" applyAlignment="1">
      <alignment horizontal="left"/>
    </xf>
    <xf numFmtId="3" fontId="14" fillId="2" borderId="27" xfId="0" applyNumberFormat="1" applyFont="1" applyFill="1" applyBorder="1" applyAlignment="1">
      <alignment horizontal="center"/>
    </xf>
    <xf numFmtId="1" fontId="14" fillId="2" borderId="27" xfId="0" applyNumberFormat="1" applyFont="1" applyFill="1" applyBorder="1" applyAlignment="1">
      <alignment horizontal="center" vertical="top"/>
    </xf>
    <xf numFmtId="189" fontId="14" fillId="2" borderId="27" xfId="0" applyNumberFormat="1" applyFont="1" applyFill="1" applyBorder="1" applyAlignment="1">
      <alignment horizontal="center" vertical="center"/>
    </xf>
    <xf numFmtId="190" fontId="33" fillId="2" borderId="0" xfId="2" applyNumberFormat="1" applyFont="1" applyFill="1" applyBorder="1" applyAlignment="1">
      <alignment horizontal="center" vertical="center"/>
    </xf>
    <xf numFmtId="58" fontId="18" fillId="17" borderId="17" xfId="0" applyNumberFormat="1" applyFont="1" applyFill="1" applyBorder="1" applyAlignment="1">
      <alignment horizontal="center" vertical="center"/>
    </xf>
    <xf numFmtId="0" fontId="18" fillId="17" borderId="17" xfId="0" applyFont="1" applyFill="1" applyBorder="1" applyAlignment="1">
      <alignment horizontal="left" vertical="center"/>
    </xf>
    <xf numFmtId="184" fontId="19" fillId="17" borderId="17" xfId="0" applyNumberFormat="1" applyFont="1" applyFill="1" applyBorder="1" applyAlignment="1">
      <alignment horizontal="center" vertical="center"/>
    </xf>
    <xf numFmtId="191" fontId="20" fillId="17" borderId="17" xfId="0" applyNumberFormat="1" applyFont="1" applyFill="1" applyBorder="1" applyAlignment="1">
      <alignment horizontal="left" vertical="center"/>
    </xf>
    <xf numFmtId="192" fontId="21" fillId="17" borderId="17" xfId="0" applyNumberFormat="1" applyFont="1" applyFill="1" applyBorder="1" applyAlignment="1">
      <alignment horizontal="left" vertical="center"/>
    </xf>
    <xf numFmtId="192" fontId="26" fillId="17" borderId="17" xfId="0" applyNumberFormat="1" applyFont="1" applyFill="1" applyBorder="1" applyAlignment="1">
      <alignment horizontal="left" vertical="center"/>
    </xf>
    <xf numFmtId="184" fontId="14" fillId="17" borderId="17" xfId="0" applyNumberFormat="1" applyFont="1" applyFill="1" applyBorder="1" applyAlignment="1">
      <alignment horizontal="center"/>
    </xf>
    <xf numFmtId="192" fontId="21" fillId="18" borderId="17" xfId="0" applyNumberFormat="1" applyFont="1" applyFill="1" applyBorder="1" applyAlignment="1">
      <alignment horizontal="left" vertical="center"/>
    </xf>
    <xf numFmtId="191" fontId="21" fillId="17" borderId="17" xfId="0" applyNumberFormat="1" applyFont="1" applyFill="1" applyBorder="1" applyAlignment="1">
      <alignment horizontal="left" vertical="center"/>
    </xf>
    <xf numFmtId="190" fontId="22" fillId="2" borderId="17" xfId="2" applyNumberFormat="1" applyFont="1" applyFill="1" applyBorder="1" applyAlignment="1">
      <alignment horizontal="center" vertical="center"/>
    </xf>
    <xf numFmtId="190" fontId="25" fillId="2" borderId="33" xfId="2" applyNumberFormat="1" applyFont="1" applyFill="1" applyBorder="1" applyAlignment="1">
      <alignment horizontal="center" vertical="center"/>
    </xf>
    <xf numFmtId="0" fontId="14" fillId="16" borderId="0" xfId="0" applyFont="1" applyFill="1" applyBorder="1"/>
    <xf numFmtId="0" fontId="34" fillId="2" borderId="0" xfId="0" applyFont="1" applyFill="1" applyBorder="1" applyAlignment="1">
      <alignment horizontal="center" vertical="center"/>
    </xf>
    <xf numFmtId="0" fontId="16" fillId="4" borderId="6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17" fillId="4" borderId="7" xfId="0" applyFont="1" applyFill="1" applyBorder="1" applyAlignment="1">
      <alignment horizontal="center" vertical="center"/>
    </xf>
    <xf numFmtId="1" fontId="16" fillId="2" borderId="49" xfId="0" applyNumberFormat="1" applyFont="1" applyFill="1" applyBorder="1" applyAlignment="1">
      <alignment horizontal="center" vertical="center"/>
    </xf>
    <xf numFmtId="0" fontId="16" fillId="16" borderId="0" xfId="0" applyFont="1" applyFill="1" applyBorder="1" applyAlignment="1">
      <alignment horizontal="center" vertical="center"/>
    </xf>
    <xf numFmtId="0" fontId="17" fillId="16" borderId="0" xfId="0" applyFont="1" applyFill="1" applyBorder="1" applyAlignment="1">
      <alignment horizontal="center" vertical="center"/>
    </xf>
    <xf numFmtId="3" fontId="16" fillId="16" borderId="0" xfId="0" applyNumberFormat="1" applyFont="1" applyFill="1" applyBorder="1" applyAlignment="1">
      <alignment horizontal="center" vertical="center"/>
    </xf>
    <xf numFmtId="190" fontId="16" fillId="16" borderId="0" xfId="2" applyNumberFormat="1" applyFont="1" applyFill="1" applyBorder="1" applyAlignment="1">
      <alignment horizontal="center" vertical="center"/>
    </xf>
    <xf numFmtId="1" fontId="16" fillId="16" borderId="0" xfId="0" applyNumberFormat="1" applyFont="1" applyFill="1" applyBorder="1" applyAlignment="1">
      <alignment horizontal="center" vertical="center"/>
    </xf>
    <xf numFmtId="0" fontId="18" fillId="17" borderId="17" xfId="0" applyFont="1" applyFill="1" applyBorder="1" applyAlignment="1">
      <alignment horizontal="center" vertical="center" wrapText="1"/>
    </xf>
    <xf numFmtId="58" fontId="18" fillId="18" borderId="17" xfId="0" applyNumberFormat="1" applyFont="1" applyFill="1" applyBorder="1" applyAlignment="1">
      <alignment horizontal="center" vertical="center"/>
    </xf>
    <xf numFmtId="0" fontId="18" fillId="18" borderId="17" xfId="0" applyFont="1" applyFill="1" applyBorder="1" applyAlignment="1">
      <alignment horizontal="left" vertical="center"/>
    </xf>
    <xf numFmtId="184" fontId="19" fillId="18" borderId="17" xfId="0" applyNumberFormat="1" applyFont="1" applyFill="1" applyBorder="1" applyAlignment="1">
      <alignment horizontal="center" vertical="center"/>
    </xf>
    <xf numFmtId="0" fontId="20" fillId="18" borderId="17" xfId="0" applyNumberFormat="1" applyFont="1" applyFill="1" applyBorder="1" applyAlignment="1">
      <alignment horizontal="left" vertical="center"/>
    </xf>
    <xf numFmtId="194" fontId="26" fillId="18" borderId="17" xfId="0" applyNumberFormat="1" applyFont="1" applyFill="1" applyBorder="1" applyAlignment="1">
      <alignment horizontal="left" vertical="center"/>
    </xf>
    <xf numFmtId="190" fontId="24" fillId="18" borderId="17" xfId="2" applyNumberFormat="1" applyFont="1" applyFill="1" applyBorder="1" applyAlignment="1">
      <alignment horizontal="center" vertical="center"/>
    </xf>
    <xf numFmtId="193" fontId="20" fillId="18" borderId="17" xfId="0" applyNumberFormat="1" applyFont="1" applyFill="1" applyBorder="1" applyAlignment="1">
      <alignment horizontal="center" vertical="center"/>
    </xf>
    <xf numFmtId="190" fontId="25" fillId="18" borderId="17" xfId="2" applyNumberFormat="1" applyFont="1" applyFill="1" applyBorder="1" applyAlignment="1">
      <alignment horizontal="center" vertical="center"/>
    </xf>
    <xf numFmtId="190" fontId="22" fillId="16" borderId="17" xfId="2" applyNumberFormat="1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center" vertical="center"/>
    </xf>
    <xf numFmtId="58" fontId="18" fillId="16" borderId="17" xfId="0" applyNumberFormat="1" applyFont="1" applyFill="1" applyBorder="1" applyAlignment="1">
      <alignment horizontal="center" vertical="center"/>
    </xf>
    <xf numFmtId="0" fontId="18" fillId="16" borderId="17" xfId="0" applyFont="1" applyFill="1" applyBorder="1" applyAlignment="1">
      <alignment horizontal="left" vertical="center"/>
    </xf>
    <xf numFmtId="184" fontId="35" fillId="16" borderId="17" xfId="0" applyNumberFormat="1" applyFont="1" applyFill="1" applyBorder="1" applyAlignment="1">
      <alignment horizontal="center" vertical="center"/>
    </xf>
    <xf numFmtId="191" fontId="20" fillId="16" borderId="17" xfId="0" applyNumberFormat="1" applyFont="1" applyFill="1" applyBorder="1" applyAlignment="1">
      <alignment horizontal="left" vertical="center"/>
    </xf>
    <xf numFmtId="192" fontId="21" fillId="16" borderId="17" xfId="0" applyNumberFormat="1" applyFont="1" applyFill="1" applyBorder="1" applyAlignment="1">
      <alignment horizontal="left" vertical="center"/>
    </xf>
    <xf numFmtId="191" fontId="26" fillId="16" borderId="17" xfId="0" applyNumberFormat="1" applyFont="1" applyFill="1" applyBorder="1" applyAlignment="1">
      <alignment horizontal="left" vertical="center"/>
    </xf>
    <xf numFmtId="190" fontId="24" fillId="16" borderId="17" xfId="2" applyNumberFormat="1" applyFont="1" applyFill="1" applyBorder="1" applyAlignment="1">
      <alignment horizontal="center" vertical="center"/>
    </xf>
    <xf numFmtId="193" fontId="20" fillId="16" borderId="17" xfId="0" applyNumberFormat="1" applyFont="1" applyFill="1" applyBorder="1" applyAlignment="1">
      <alignment horizontal="center" vertical="center"/>
    </xf>
    <xf numFmtId="190" fontId="25" fillId="16" borderId="17" xfId="2" applyNumberFormat="1" applyFont="1" applyFill="1" applyBorder="1" applyAlignment="1">
      <alignment horizontal="center" vertical="center"/>
    </xf>
    <xf numFmtId="184" fontId="31" fillId="2" borderId="17" xfId="0" applyNumberFormat="1" applyFont="1" applyFill="1" applyBorder="1" applyAlignment="1">
      <alignment horizontal="center"/>
    </xf>
    <xf numFmtId="190" fontId="24" fillId="2" borderId="17" xfId="2" applyNumberFormat="1" applyFont="1" applyFill="1" applyBorder="1" applyAlignment="1">
      <alignment horizontal="center" vertical="center"/>
    </xf>
    <xf numFmtId="0" fontId="20" fillId="2" borderId="17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 wrapText="1"/>
    </xf>
    <xf numFmtId="184" fontId="35" fillId="2" borderId="17" xfId="0" applyNumberFormat="1" applyFont="1" applyFill="1" applyBorder="1" applyAlignment="1">
      <alignment horizontal="center" vertical="center"/>
    </xf>
    <xf numFmtId="0" fontId="18" fillId="2" borderId="17" xfId="0" applyNumberFormat="1" applyFont="1" applyFill="1" applyBorder="1" applyAlignment="1">
      <alignment horizontal="center" vertical="center"/>
    </xf>
    <xf numFmtId="193" fontId="20" fillId="17" borderId="17" xfId="0" applyNumberFormat="1" applyFont="1" applyFill="1" applyBorder="1" applyAlignment="1">
      <alignment horizontal="center" vertical="center"/>
    </xf>
    <xf numFmtId="194" fontId="14" fillId="2" borderId="0" xfId="0" applyNumberFormat="1" applyFont="1" applyFill="1" applyBorder="1" applyAlignment="1">
      <alignment horizontal="center" vertical="center"/>
    </xf>
    <xf numFmtId="0" fontId="18" fillId="2" borderId="33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left" vertical="center" wrapText="1"/>
    </xf>
    <xf numFmtId="194" fontId="20" fillId="17" borderId="17" xfId="0" applyNumberFormat="1" applyFont="1" applyFill="1" applyBorder="1" applyAlignment="1">
      <alignment horizontal="left" vertical="center"/>
    </xf>
    <xf numFmtId="44" fontId="20" fillId="17" borderId="17" xfId="2" applyFont="1" applyFill="1" applyBorder="1" applyAlignment="1">
      <alignment horizontal="center" vertical="center"/>
    </xf>
    <xf numFmtId="192" fontId="26" fillId="18" borderId="17" xfId="0" applyNumberFormat="1" applyFont="1" applyFill="1" applyBorder="1" applyAlignment="1">
      <alignment horizontal="left" vertical="center"/>
    </xf>
    <xf numFmtId="0" fontId="18" fillId="2" borderId="20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 wrapText="1"/>
    </xf>
    <xf numFmtId="192" fontId="36" fillId="19" borderId="17" xfId="0" applyNumberFormat="1" applyFont="1" applyFill="1" applyBorder="1" applyAlignment="1">
      <alignment horizontal="left" vertical="center"/>
    </xf>
    <xf numFmtId="0" fontId="18" fillId="16" borderId="23" xfId="0" applyFont="1" applyFill="1" applyBorder="1" applyAlignment="1">
      <alignment horizontal="center" vertical="center" wrapText="1"/>
    </xf>
    <xf numFmtId="184" fontId="35" fillId="17" borderId="17" xfId="0" applyNumberFormat="1" applyFont="1" applyFill="1" applyBorder="1" applyAlignment="1">
      <alignment horizontal="center" vertical="center"/>
    </xf>
    <xf numFmtId="190" fontId="24" fillId="17" borderId="17" xfId="2" applyNumberFormat="1" applyFont="1" applyFill="1" applyBorder="1" applyAlignment="1">
      <alignment horizontal="center" vertical="center"/>
    </xf>
    <xf numFmtId="0" fontId="20" fillId="17" borderId="17" xfId="0" applyNumberFormat="1" applyFont="1" applyFill="1" applyBorder="1" applyAlignment="1">
      <alignment horizontal="center" vertical="center"/>
    </xf>
    <xf numFmtId="190" fontId="25" fillId="17" borderId="17" xfId="2" applyNumberFormat="1" applyFont="1" applyFill="1" applyBorder="1" applyAlignment="1">
      <alignment horizontal="center" vertical="center"/>
    </xf>
    <xf numFmtId="190" fontId="22" fillId="17" borderId="17" xfId="2" applyNumberFormat="1" applyFont="1" applyFill="1" applyBorder="1" applyAlignment="1">
      <alignment horizontal="center" vertical="center"/>
    </xf>
    <xf numFmtId="0" fontId="18" fillId="16" borderId="33" xfId="0" applyFont="1" applyFill="1" applyBorder="1" applyAlignment="1">
      <alignment horizontal="center" vertical="center" wrapText="1"/>
    </xf>
    <xf numFmtId="1" fontId="20" fillId="17" borderId="17" xfId="0" applyNumberFormat="1" applyFont="1" applyFill="1" applyBorder="1" applyAlignment="1">
      <alignment horizontal="center" vertical="center"/>
    </xf>
    <xf numFmtId="0" fontId="18" fillId="16" borderId="20" xfId="0" applyFont="1" applyFill="1" applyBorder="1" applyAlignment="1">
      <alignment horizontal="center" vertical="center" wrapText="1"/>
    </xf>
    <xf numFmtId="192" fontId="21" fillId="19" borderId="17" xfId="0" applyNumberFormat="1" applyFont="1" applyFill="1" applyBorder="1" applyAlignment="1">
      <alignment horizontal="left" vertical="center"/>
    </xf>
    <xf numFmtId="192" fontId="26" fillId="16" borderId="17" xfId="0" applyNumberFormat="1" applyFont="1" applyFill="1" applyBorder="1" applyAlignment="1">
      <alignment horizontal="left" vertical="center"/>
    </xf>
    <xf numFmtId="0" fontId="20" fillId="16" borderId="17" xfId="0" applyNumberFormat="1" applyFont="1" applyFill="1" applyBorder="1" applyAlignment="1">
      <alignment horizontal="center" vertical="center"/>
    </xf>
    <xf numFmtId="0" fontId="14" fillId="2" borderId="17" xfId="0" applyFont="1" applyFill="1" applyBorder="1"/>
    <xf numFmtId="194" fontId="20" fillId="2" borderId="17" xfId="0" applyNumberFormat="1" applyFont="1" applyFill="1" applyBorder="1" applyAlignment="1">
      <alignment horizontal="left" vertical="center"/>
    </xf>
    <xf numFmtId="194" fontId="14" fillId="2" borderId="0" xfId="0" applyNumberFormat="1" applyFont="1" applyFill="1" applyBorder="1" applyAlignment="1">
      <alignment horizontal="center"/>
    </xf>
    <xf numFmtId="2" fontId="20" fillId="2" borderId="17" xfId="0" applyNumberFormat="1" applyFont="1" applyFill="1" applyBorder="1" applyAlignment="1">
      <alignment horizontal="center" vertical="center"/>
    </xf>
    <xf numFmtId="193" fontId="20" fillId="2" borderId="17" xfId="0" applyNumberFormat="1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center"/>
    </xf>
    <xf numFmtId="195" fontId="26" fillId="2" borderId="17" xfId="0" applyNumberFormat="1" applyFont="1" applyFill="1" applyBorder="1" applyAlignment="1">
      <alignment horizontal="left" vertical="center"/>
    </xf>
    <xf numFmtId="194" fontId="14" fillId="2" borderId="17" xfId="0" applyNumberFormat="1" applyFont="1" applyFill="1" applyBorder="1"/>
    <xf numFmtId="0" fontId="26" fillId="2" borderId="17" xfId="2" applyNumberFormat="1" applyFont="1" applyFill="1" applyBorder="1" applyAlignment="1">
      <alignment horizontal="center" vertical="center"/>
    </xf>
    <xf numFmtId="1" fontId="26" fillId="2" borderId="17" xfId="0" applyNumberFormat="1" applyFont="1" applyFill="1" applyBorder="1" applyAlignment="1">
      <alignment horizontal="center" vertical="center"/>
    </xf>
    <xf numFmtId="44" fontId="26" fillId="2" borderId="17" xfId="2" applyNumberFormat="1" applyFont="1" applyFill="1" applyBorder="1" applyAlignment="1">
      <alignment horizontal="center" vertical="center"/>
    </xf>
    <xf numFmtId="2" fontId="26" fillId="2" borderId="17" xfId="2" applyNumberFormat="1" applyFont="1" applyFill="1" applyBorder="1" applyAlignment="1">
      <alignment horizontal="center" vertical="center"/>
    </xf>
    <xf numFmtId="196" fontId="21" fillId="2" borderId="17" xfId="0" applyNumberFormat="1" applyFont="1" applyFill="1" applyBorder="1" applyAlignment="1">
      <alignment horizontal="left" vertical="center"/>
    </xf>
    <xf numFmtId="184" fontId="14" fillId="2" borderId="17" xfId="0" applyNumberFormat="1" applyFont="1" applyFill="1" applyBorder="1" applyAlignment="1">
      <alignment horizontal="center"/>
    </xf>
    <xf numFmtId="189" fontId="17" fillId="2" borderId="27" xfId="0" applyNumberFormat="1" applyFont="1" applyFill="1" applyBorder="1" applyAlignment="1">
      <alignment horizontal="center" vertical="center"/>
    </xf>
    <xf numFmtId="190" fontId="23" fillId="2" borderId="28" xfId="2" applyNumberFormat="1" applyFont="1" applyFill="1" applyBorder="1" applyAlignment="1">
      <alignment horizontal="left" vertical="center"/>
    </xf>
    <xf numFmtId="192" fontId="37" fillId="2" borderId="0" xfId="0" applyNumberFormat="1" applyFont="1" applyFill="1" applyBorder="1" applyAlignment="1">
      <alignment horizontal="left" vertical="center"/>
    </xf>
    <xf numFmtId="192" fontId="38" fillId="2" borderId="0" xfId="0" applyNumberFormat="1" applyFont="1" applyFill="1" applyBorder="1" applyAlignment="1">
      <alignment horizontal="left" vertical="center"/>
    </xf>
    <xf numFmtId="195" fontId="39" fillId="2" borderId="0" xfId="0" applyNumberFormat="1" applyFont="1" applyFill="1" applyBorder="1" applyAlignment="1">
      <alignment horizontal="left" vertical="center"/>
    </xf>
    <xf numFmtId="192" fontId="39" fillId="2" borderId="0" xfId="0" applyNumberFormat="1" applyFont="1" applyFill="1" applyBorder="1" applyAlignment="1">
      <alignment horizontal="left" vertical="center"/>
    </xf>
    <xf numFmtId="191" fontId="40" fillId="2" borderId="0" xfId="0" applyNumberFormat="1" applyFont="1" applyFill="1" applyBorder="1" applyAlignment="1">
      <alignment horizontal="left" vertical="center"/>
    </xf>
    <xf numFmtId="0" fontId="16" fillId="4" borderId="46" xfId="0" applyFont="1" applyFill="1" applyBorder="1" applyAlignment="1">
      <alignment horizontal="center" vertical="center"/>
    </xf>
    <xf numFmtId="3" fontId="16" fillId="4" borderId="45" xfId="0" applyNumberFormat="1" applyFont="1" applyFill="1" applyBorder="1" applyAlignment="1">
      <alignment horizontal="center" vertical="center"/>
    </xf>
    <xf numFmtId="0" fontId="18" fillId="2" borderId="12" xfId="0" applyFont="1" applyFill="1" applyBorder="1" applyAlignment="1">
      <alignment horizontal="center" vertical="center"/>
    </xf>
    <xf numFmtId="0" fontId="18" fillId="13" borderId="3" xfId="0" applyFont="1" applyFill="1" applyBorder="1" applyAlignment="1">
      <alignment horizontal="center" vertical="center" wrapText="1"/>
    </xf>
    <xf numFmtId="58" fontId="18" fillId="13" borderId="13" xfId="0" applyNumberFormat="1" applyFont="1" applyFill="1" applyBorder="1" applyAlignment="1">
      <alignment horizontal="center" vertical="center"/>
    </xf>
    <xf numFmtId="0" fontId="18" fillId="13" borderId="13" xfId="0" applyFont="1" applyFill="1" applyBorder="1" applyAlignment="1">
      <alignment horizontal="left" vertical="center"/>
    </xf>
    <xf numFmtId="184" fontId="19" fillId="13" borderId="13" xfId="0" applyNumberFormat="1" applyFont="1" applyFill="1" applyBorder="1" applyAlignment="1">
      <alignment horizontal="center" vertical="center"/>
    </xf>
    <xf numFmtId="191" fontId="41" fillId="13" borderId="13" xfId="0" applyNumberFormat="1" applyFont="1" applyFill="1" applyBorder="1" applyAlignment="1">
      <alignment horizontal="left" vertical="center"/>
    </xf>
    <xf numFmtId="192" fontId="21" fillId="13" borderId="13" xfId="0" applyNumberFormat="1" applyFont="1" applyFill="1" applyBorder="1" applyAlignment="1">
      <alignment horizontal="left" vertical="center"/>
    </xf>
    <xf numFmtId="190" fontId="22" fillId="13" borderId="13" xfId="2" applyNumberFormat="1" applyFont="1" applyFill="1" applyBorder="1" applyAlignment="1">
      <alignment horizontal="center" vertical="center"/>
    </xf>
    <xf numFmtId="192" fontId="21" fillId="13" borderId="14" xfId="0" applyNumberFormat="1" applyFont="1" applyFill="1" applyBorder="1" applyAlignment="1">
      <alignment horizontal="left" vertical="center"/>
    </xf>
    <xf numFmtId="190" fontId="24" fillId="13" borderId="0" xfId="2" applyNumberFormat="1" applyFont="1" applyFill="1" applyBorder="1" applyAlignment="1">
      <alignment horizontal="center" vertical="center"/>
    </xf>
    <xf numFmtId="193" fontId="20" fillId="13" borderId="12" xfId="0" applyNumberFormat="1" applyFont="1" applyFill="1" applyBorder="1" applyAlignment="1">
      <alignment horizontal="center" vertical="center"/>
    </xf>
    <xf numFmtId="190" fontId="25" fillId="13" borderId="13" xfId="2" applyNumberFormat="1" applyFont="1" applyFill="1" applyBorder="1" applyAlignment="1">
      <alignment horizontal="center" vertical="center"/>
    </xf>
    <xf numFmtId="192" fontId="20" fillId="13" borderId="13" xfId="0" applyNumberFormat="1" applyFont="1" applyFill="1" applyBorder="1" applyAlignment="1">
      <alignment horizontal="left" vertical="center"/>
    </xf>
    <xf numFmtId="190" fontId="23" fillId="2" borderId="14" xfId="2" applyNumberFormat="1" applyFont="1" applyFill="1" applyBorder="1" applyAlignment="1">
      <alignment horizontal="left" vertical="center"/>
    </xf>
    <xf numFmtId="0" fontId="18" fillId="13" borderId="33" xfId="0" applyFont="1" applyFill="1" applyBorder="1" applyAlignment="1">
      <alignment horizontal="center" vertical="center" wrapText="1"/>
    </xf>
    <xf numFmtId="0" fontId="18" fillId="4" borderId="17" xfId="0" applyFont="1" applyFill="1" applyBorder="1" applyAlignment="1">
      <alignment horizontal="left" vertical="center"/>
    </xf>
    <xf numFmtId="0" fontId="20" fillId="13" borderId="17" xfId="0" applyNumberFormat="1" applyFont="1" applyFill="1" applyBorder="1" applyAlignment="1">
      <alignment horizontal="left" vertical="center"/>
    </xf>
    <xf numFmtId="194" fontId="26" fillId="13" borderId="17" xfId="0" applyNumberFormat="1" applyFont="1" applyFill="1" applyBorder="1" applyAlignment="1">
      <alignment horizontal="left" vertical="center"/>
    </xf>
    <xf numFmtId="192" fontId="21" fillId="13" borderId="18" xfId="0" applyNumberFormat="1" applyFont="1" applyFill="1" applyBorder="1" applyAlignment="1">
      <alignment horizontal="left" vertical="center"/>
    </xf>
    <xf numFmtId="193" fontId="20" fillId="13" borderId="16" xfId="0" applyNumberFormat="1" applyFont="1" applyFill="1" applyBorder="1" applyAlignment="1">
      <alignment horizontal="center" vertical="center"/>
    </xf>
    <xf numFmtId="190" fontId="22" fillId="13" borderId="17" xfId="2" applyNumberFormat="1" applyFont="1" applyFill="1" applyBorder="1" applyAlignment="1">
      <alignment horizontal="center" vertical="center"/>
    </xf>
    <xf numFmtId="184" fontId="35" fillId="13" borderId="17" xfId="0" applyNumberFormat="1" applyFont="1" applyFill="1" applyBorder="1" applyAlignment="1">
      <alignment horizontal="center" vertical="center"/>
    </xf>
    <xf numFmtId="191" fontId="26" fillId="13" borderId="17" xfId="0" applyNumberFormat="1" applyFont="1" applyFill="1" applyBorder="1" applyAlignment="1">
      <alignment horizontal="left" vertical="center"/>
    </xf>
    <xf numFmtId="0" fontId="18" fillId="13" borderId="20" xfId="0" applyFont="1" applyFill="1" applyBorder="1" applyAlignment="1">
      <alignment horizontal="center" vertical="center" wrapText="1"/>
    </xf>
    <xf numFmtId="194" fontId="20" fillId="13" borderId="17" xfId="0" applyNumberFormat="1" applyFont="1" applyFill="1" applyBorder="1" applyAlignment="1">
      <alignment horizontal="left" vertical="center"/>
    </xf>
    <xf numFmtId="0" fontId="18" fillId="2" borderId="41" xfId="0" applyFont="1" applyFill="1" applyBorder="1" applyAlignment="1">
      <alignment horizontal="center" vertical="center"/>
    </xf>
    <xf numFmtId="192" fontId="21" fillId="2" borderId="18" xfId="0" applyNumberFormat="1" applyFont="1" applyFill="1" applyBorder="1" applyAlignment="1">
      <alignment horizontal="left" vertical="center"/>
    </xf>
    <xf numFmtId="0" fontId="18" fillId="13" borderId="23" xfId="0" applyFont="1" applyFill="1" applyBorder="1" applyAlignment="1">
      <alignment horizontal="center" vertical="center" wrapText="1"/>
    </xf>
    <xf numFmtId="194" fontId="14" fillId="2" borderId="4" xfId="0" applyNumberFormat="1" applyFont="1" applyFill="1" applyBorder="1" applyAlignment="1">
      <alignment horizontal="center" vertical="center"/>
    </xf>
    <xf numFmtId="0" fontId="18" fillId="17" borderId="23" xfId="0" applyFont="1" applyFill="1" applyBorder="1" applyAlignment="1">
      <alignment horizontal="center" vertical="center" wrapText="1"/>
    </xf>
    <xf numFmtId="192" fontId="21" fillId="17" borderId="18" xfId="0" applyNumberFormat="1" applyFont="1" applyFill="1" applyBorder="1" applyAlignment="1">
      <alignment horizontal="left" vertical="center"/>
    </xf>
    <xf numFmtId="190" fontId="24" fillId="17" borderId="0" xfId="2" applyNumberFormat="1" applyFont="1" applyFill="1" applyBorder="1" applyAlignment="1">
      <alignment horizontal="center" vertical="center"/>
    </xf>
    <xf numFmtId="193" fontId="20" fillId="17" borderId="16" xfId="0" applyNumberFormat="1" applyFont="1" applyFill="1" applyBorder="1" applyAlignment="1">
      <alignment horizontal="center" vertical="center"/>
    </xf>
    <xf numFmtId="192" fontId="14" fillId="2" borderId="4" xfId="0" applyNumberFormat="1" applyFont="1" applyFill="1" applyBorder="1" applyAlignment="1">
      <alignment horizontal="center" vertical="center"/>
    </xf>
    <xf numFmtId="0" fontId="18" fillId="17" borderId="33" xfId="0" applyFont="1" applyFill="1" applyBorder="1" applyAlignment="1">
      <alignment horizontal="center" vertical="center" wrapText="1"/>
    </xf>
    <xf numFmtId="44" fontId="20" fillId="17" borderId="16" xfId="2" applyFont="1" applyFill="1" applyBorder="1" applyAlignment="1">
      <alignment horizontal="center" vertical="center"/>
    </xf>
    <xf numFmtId="0" fontId="18" fillId="17" borderId="17" xfId="0" applyFont="1" applyFill="1" applyBorder="1" applyAlignment="1">
      <alignment horizontal="left" vertical="center" wrapText="1"/>
    </xf>
    <xf numFmtId="58" fontId="18" fillId="17" borderId="23" xfId="0" applyNumberFormat="1" applyFont="1" applyFill="1" applyBorder="1" applyAlignment="1">
      <alignment horizontal="center" vertical="center"/>
    </xf>
    <xf numFmtId="0" fontId="18" fillId="17" borderId="23" xfId="0" applyFont="1" applyFill="1" applyBorder="1" applyAlignment="1">
      <alignment horizontal="left" vertical="center"/>
    </xf>
    <xf numFmtId="184" fontId="35" fillId="17" borderId="23" xfId="0" applyNumberFormat="1" applyFont="1" applyFill="1" applyBorder="1" applyAlignment="1">
      <alignment horizontal="center" vertical="center"/>
    </xf>
    <xf numFmtId="194" fontId="20" fillId="17" borderId="23" xfId="0" applyNumberFormat="1" applyFont="1" applyFill="1" applyBorder="1" applyAlignment="1">
      <alignment horizontal="left" vertical="center"/>
    </xf>
    <xf numFmtId="192" fontId="21" fillId="17" borderId="23" xfId="0" applyNumberFormat="1" applyFont="1" applyFill="1" applyBorder="1" applyAlignment="1">
      <alignment horizontal="left" vertical="center"/>
    </xf>
    <xf numFmtId="192" fontId="26" fillId="18" borderId="23" xfId="0" applyNumberFormat="1" applyFont="1" applyFill="1" applyBorder="1" applyAlignment="1">
      <alignment horizontal="left" vertical="center"/>
    </xf>
    <xf numFmtId="192" fontId="21" fillId="17" borderId="24" xfId="0" applyNumberFormat="1" applyFont="1" applyFill="1" applyBorder="1" applyAlignment="1">
      <alignment horizontal="left" vertical="center"/>
    </xf>
    <xf numFmtId="190" fontId="25" fillId="17" borderId="23" xfId="2" applyNumberFormat="1" applyFont="1" applyFill="1" applyBorder="1" applyAlignment="1">
      <alignment horizontal="center" vertical="center"/>
    </xf>
    <xf numFmtId="190" fontId="22" fillId="17" borderId="23" xfId="2" applyNumberFormat="1" applyFont="1" applyFill="1" applyBorder="1" applyAlignment="1">
      <alignment horizontal="center" vertical="center"/>
    </xf>
    <xf numFmtId="195" fontId="26" fillId="17" borderId="17" xfId="0" applyNumberFormat="1" applyFont="1" applyFill="1" applyBorder="1" applyAlignment="1">
      <alignment horizontal="left" vertical="center"/>
    </xf>
    <xf numFmtId="0" fontId="14" fillId="2" borderId="4" xfId="0" applyFont="1" applyFill="1" applyBorder="1" applyAlignment="1">
      <alignment horizontal="center" vertical="center"/>
    </xf>
    <xf numFmtId="58" fontId="18" fillId="17" borderId="33" xfId="0" applyNumberFormat="1" applyFont="1" applyFill="1" applyBorder="1" applyAlignment="1">
      <alignment horizontal="center" vertical="center"/>
    </xf>
    <xf numFmtId="0" fontId="18" fillId="17" borderId="33" xfId="0" applyFont="1" applyFill="1" applyBorder="1" applyAlignment="1">
      <alignment horizontal="left" vertical="center"/>
    </xf>
    <xf numFmtId="184" fontId="19" fillId="17" borderId="33" xfId="0" applyNumberFormat="1" applyFont="1" applyFill="1" applyBorder="1" applyAlignment="1">
      <alignment horizontal="center" vertical="center"/>
    </xf>
    <xf numFmtId="194" fontId="20" fillId="17" borderId="33" xfId="0" applyNumberFormat="1" applyFont="1" applyFill="1" applyBorder="1" applyAlignment="1">
      <alignment horizontal="left" vertical="center"/>
    </xf>
    <xf numFmtId="192" fontId="21" fillId="17" borderId="33" xfId="0" applyNumberFormat="1" applyFont="1" applyFill="1" applyBorder="1" applyAlignment="1">
      <alignment horizontal="left" vertical="center"/>
    </xf>
    <xf numFmtId="195" fontId="26" fillId="17" borderId="33" xfId="0" applyNumberFormat="1" applyFont="1" applyFill="1" applyBorder="1" applyAlignment="1">
      <alignment horizontal="left" vertical="center"/>
    </xf>
    <xf numFmtId="192" fontId="21" fillId="17" borderId="21" xfId="0" applyNumberFormat="1" applyFont="1" applyFill="1" applyBorder="1" applyAlignment="1">
      <alignment horizontal="left" vertical="center"/>
    </xf>
    <xf numFmtId="190" fontId="25" fillId="17" borderId="20" xfId="2" applyNumberFormat="1" applyFont="1" applyFill="1" applyBorder="1" applyAlignment="1">
      <alignment horizontal="center" vertical="center"/>
    </xf>
    <xf numFmtId="190" fontId="22" fillId="17" borderId="33" xfId="2" applyNumberFormat="1" applyFont="1" applyFill="1" applyBorder="1" applyAlignment="1">
      <alignment horizontal="center" vertical="center"/>
    </xf>
    <xf numFmtId="0" fontId="18" fillId="17" borderId="23" xfId="0" applyFont="1" applyFill="1" applyBorder="1" applyAlignment="1">
      <alignment horizontal="left" vertical="center" wrapText="1"/>
    </xf>
    <xf numFmtId="184" fontId="19" fillId="17" borderId="23" xfId="0" applyNumberFormat="1" applyFont="1" applyFill="1" applyBorder="1" applyAlignment="1">
      <alignment horizontal="center" vertical="center"/>
    </xf>
    <xf numFmtId="0" fontId="20" fillId="17" borderId="23" xfId="0" applyNumberFormat="1" applyFont="1" applyFill="1" applyBorder="1" applyAlignment="1">
      <alignment horizontal="center" vertical="center"/>
    </xf>
    <xf numFmtId="192" fontId="21" fillId="18" borderId="23" xfId="0" applyNumberFormat="1" applyFont="1" applyFill="1" applyBorder="1" applyAlignment="1">
      <alignment horizontal="left" vertical="center"/>
    </xf>
    <xf numFmtId="195" fontId="26" fillId="17" borderId="23" xfId="0" applyNumberFormat="1" applyFont="1" applyFill="1" applyBorder="1" applyAlignment="1">
      <alignment horizontal="left" vertical="center"/>
    </xf>
    <xf numFmtId="192" fontId="26" fillId="17" borderId="23" xfId="0" applyNumberFormat="1" applyFont="1" applyFill="1" applyBorder="1" applyAlignment="1">
      <alignment horizontal="left" vertical="center"/>
    </xf>
    <xf numFmtId="192" fontId="21" fillId="17" borderId="34" xfId="0" applyNumberFormat="1" applyFont="1" applyFill="1" applyBorder="1" applyAlignment="1">
      <alignment horizontal="left" vertical="center"/>
    </xf>
    <xf numFmtId="0" fontId="14" fillId="17" borderId="17" xfId="0" applyFont="1" applyFill="1" applyBorder="1"/>
    <xf numFmtId="0" fontId="18" fillId="17" borderId="20" xfId="0" applyFont="1" applyFill="1" applyBorder="1" applyAlignment="1">
      <alignment horizontal="center" vertical="center" wrapText="1"/>
    </xf>
    <xf numFmtId="0" fontId="18" fillId="2" borderId="78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 wrapText="1"/>
    </xf>
    <xf numFmtId="192" fontId="26" fillId="17" borderId="33" xfId="0" applyNumberFormat="1" applyFont="1" applyFill="1" applyBorder="1" applyAlignment="1">
      <alignment horizontal="left" vertical="center"/>
    </xf>
    <xf numFmtId="190" fontId="25" fillId="17" borderId="33" xfId="2" applyNumberFormat="1" applyFont="1" applyFill="1" applyBorder="1" applyAlignment="1">
      <alignment horizontal="center" vertical="center"/>
    </xf>
    <xf numFmtId="0" fontId="18" fillId="17" borderId="78" xfId="0" applyFont="1" applyFill="1" applyBorder="1" applyAlignment="1">
      <alignment horizontal="center" vertical="center"/>
    </xf>
    <xf numFmtId="194" fontId="20" fillId="2" borderId="23" xfId="0" applyNumberFormat="1" applyFont="1" applyFill="1" applyBorder="1" applyAlignment="1">
      <alignment horizontal="left" vertical="center"/>
    </xf>
    <xf numFmtId="0" fontId="26" fillId="2" borderId="22" xfId="2" applyNumberFormat="1" applyFont="1" applyFill="1" applyBorder="1" applyAlignment="1">
      <alignment horizontal="center" vertical="center"/>
    </xf>
    <xf numFmtId="190" fontId="22" fillId="2" borderId="23" xfId="2" applyNumberFormat="1" applyFont="1" applyFill="1" applyBorder="1" applyAlignment="1">
      <alignment horizontal="center" vertical="center"/>
    </xf>
    <xf numFmtId="0" fontId="26" fillId="17" borderId="22" xfId="2" applyNumberFormat="1" applyFont="1" applyFill="1" applyBorder="1" applyAlignment="1">
      <alignment horizontal="center" vertical="center"/>
    </xf>
    <xf numFmtId="1" fontId="26" fillId="17" borderId="23" xfId="0" applyNumberFormat="1" applyFont="1" applyFill="1" applyBorder="1" applyAlignment="1">
      <alignment horizontal="center" vertical="center"/>
    </xf>
    <xf numFmtId="44" fontId="26" fillId="17" borderId="22" xfId="2" applyNumberFormat="1" applyFont="1" applyFill="1" applyBorder="1" applyAlignment="1">
      <alignment horizontal="center" vertical="center"/>
    </xf>
    <xf numFmtId="1" fontId="26" fillId="18" borderId="23" xfId="0" applyNumberFormat="1" applyFont="1" applyFill="1" applyBorder="1" applyAlignment="1">
      <alignment horizontal="center" vertical="center"/>
    </xf>
    <xf numFmtId="0" fontId="18" fillId="19" borderId="16" xfId="0" applyFont="1" applyFill="1" applyBorder="1" applyAlignment="1">
      <alignment horizontal="center" vertical="center"/>
    </xf>
    <xf numFmtId="0" fontId="18" fillId="2" borderId="63" xfId="0" applyFont="1" applyFill="1" applyBorder="1" applyAlignment="1">
      <alignment horizontal="center" vertical="center" wrapText="1"/>
    </xf>
    <xf numFmtId="1" fontId="26" fillId="2" borderId="23" xfId="0" applyNumberFormat="1" applyFont="1" applyFill="1" applyBorder="1" applyAlignment="1">
      <alignment horizontal="center" vertical="center"/>
    </xf>
    <xf numFmtId="2" fontId="26" fillId="17" borderId="22" xfId="2" applyNumberFormat="1" applyFont="1" applyFill="1" applyBorder="1" applyAlignment="1">
      <alignment horizontal="center" vertical="center"/>
    </xf>
    <xf numFmtId="196" fontId="21" fillId="17" borderId="23" xfId="0" applyNumberFormat="1" applyFont="1" applyFill="1" applyBorder="1" applyAlignment="1">
      <alignment horizontal="left" vertical="center"/>
    </xf>
    <xf numFmtId="1" fontId="26" fillId="17" borderId="17" xfId="0" applyNumberFormat="1" applyFont="1" applyFill="1" applyBorder="1" applyAlignment="1">
      <alignment horizontal="center" vertical="center"/>
    </xf>
    <xf numFmtId="0" fontId="17" fillId="2" borderId="48" xfId="0" applyFont="1" applyFill="1" applyBorder="1" applyAlignment="1">
      <alignment horizontal="center" vertical="center"/>
    </xf>
    <xf numFmtId="0" fontId="17" fillId="2" borderId="29" xfId="0" applyFont="1" applyFill="1" applyBorder="1" applyAlignment="1">
      <alignment horizontal="center" vertical="center"/>
    </xf>
    <xf numFmtId="0" fontId="17" fillId="2" borderId="30" xfId="0" applyFont="1" applyFill="1" applyBorder="1" applyAlignment="1">
      <alignment horizontal="center" vertical="center"/>
    </xf>
    <xf numFmtId="0" fontId="17" fillId="2" borderId="30" xfId="0" applyFont="1" applyFill="1" applyBorder="1" applyAlignment="1">
      <alignment horizontal="left" vertical="center"/>
    </xf>
    <xf numFmtId="184" fontId="19" fillId="2" borderId="30" xfId="0" applyNumberFormat="1" applyFont="1" applyFill="1" applyBorder="1" applyAlignment="1">
      <alignment horizontal="center" vertical="center"/>
    </xf>
    <xf numFmtId="190" fontId="17" fillId="2" borderId="30" xfId="2" applyNumberFormat="1" applyFont="1" applyFill="1" applyBorder="1" applyAlignment="1">
      <alignment horizontal="center" vertical="center"/>
    </xf>
    <xf numFmtId="190" fontId="25" fillId="2" borderId="30" xfId="2" applyNumberFormat="1" applyFont="1" applyFill="1" applyBorder="1" applyAlignment="1">
      <alignment horizontal="center" vertical="center"/>
    </xf>
    <xf numFmtId="190" fontId="22" fillId="2" borderId="30" xfId="2" applyNumberFormat="1" applyFont="1" applyFill="1" applyBorder="1" applyAlignment="1">
      <alignment horizontal="center" vertical="center"/>
    </xf>
    <xf numFmtId="189" fontId="17" fillId="2" borderId="31" xfId="0" applyNumberFormat="1" applyFont="1" applyFill="1" applyBorder="1" applyAlignment="1">
      <alignment horizontal="center" vertical="center"/>
    </xf>
    <xf numFmtId="0" fontId="14" fillId="2" borderId="48" xfId="0" applyFont="1" applyFill="1" applyBorder="1"/>
    <xf numFmtId="0" fontId="14" fillId="2" borderId="30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mruColors>
      <color rgb="00230AB6"/>
      <color rgb="00A960FA"/>
      <color rgb="00C796FC"/>
      <color rgb="0040048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3.xml"/><Relationship Id="rId10" Type="http://schemas.openxmlformats.org/officeDocument/2006/relationships/externalLink" Target="externalLinks/externalLink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F:\Users\fawad S G C\Downloads\ACCOUNT-LOADING SOLVEX-BNK- new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F:\Users\fawad S G C\Downloads\ACCOUNT-LOADING SOLVEX-BNK 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F:\Users\Ali Ahmad\Downloads\ACCOUNT-LOADING SOLVEX-BNK (3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I-92-K5-EURO"/>
      <sheetName val="AI-92-K5-EURO №2 "/>
      <sheetName val="AI-92-K5-EURO №3"/>
      <sheetName val="AI-92-K5-EURO №4.93-Н"/>
      <sheetName val="AI-92-K5-EURO №5.93-Н"/>
      <sheetName val="AI-92-K5-EURO №6.93-H"/>
      <sheetName val="AI-92-K5-EURO №7.93-Н"/>
      <sheetName val="AI-92-K5-EURO №8.93-H"/>
      <sheetName val="AI-92-K5 №10.93-М"/>
      <sheetName val="RATE"/>
      <sheetName val="Platts "/>
      <sheetName val="Account for cargo"/>
      <sheetName val="Account for transport"/>
      <sheetName val="VESSELS"/>
      <sheetName val="AI-92-K5 №11.9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2">
          <cell r="AO32">
            <v>686.525</v>
          </cell>
        </row>
        <row r="35">
          <cell r="AK35">
            <v>642.72619047619</v>
          </cell>
        </row>
      </sheetData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I-92-K5-EURO"/>
      <sheetName val="AI-92-K5-EURO №2 "/>
      <sheetName val="AI-92-K5-EURO №3"/>
      <sheetName val="AI-92-K5-EURO №4.93-Н"/>
      <sheetName val="AI-92-K5-EURO №5.93-Н"/>
      <sheetName val="AI-92-K5-EURO №6.93-H"/>
      <sheetName val="AI-92-K5-EURO №7.93-Н"/>
      <sheetName val="AI-92-K5-EURO №8.93-H"/>
      <sheetName val="AI-92-K5 №10.93-М"/>
      <sheetName val="AI-92-K5 №11.93"/>
      <sheetName val="RATE"/>
      <sheetName val="Platts "/>
      <sheetName val="Account for cargo"/>
      <sheetName val="Account for transport"/>
      <sheetName val="VESSE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5">
          <cell r="AS35">
            <v>973.386363636364</v>
          </cell>
        </row>
      </sheetData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I-92-K5-EURO"/>
      <sheetName val="AI-92-K5-EURO №2 "/>
      <sheetName val="AI-92-K5-EURO №3"/>
      <sheetName val="AI-92-K5-EURO №4.93-Н"/>
      <sheetName val="AI-92-K5-EURO №5.93-Н"/>
      <sheetName val="AI-92-K5-EURO №6.93-H"/>
      <sheetName val="AI-92-K5-EURO №7.93-Н"/>
      <sheetName val="AI-92-K5-EURO №8.93-H"/>
      <sheetName val="AI-92-K5 №10.93-М"/>
      <sheetName val="AI-92-K5 №11.93"/>
      <sheetName val="RATE"/>
      <sheetName val="Platts "/>
      <sheetName val="Account for cargo"/>
      <sheetName val="Account for transport"/>
      <sheetName val="VESSE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4">
          <cell r="AW34">
            <v>1060.0125</v>
          </cell>
        </row>
      </sheetData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0"/>
  <sheetViews>
    <sheetView topLeftCell="A46" workbookViewId="0">
      <selection activeCell="H31" sqref="H30:H31"/>
    </sheetView>
  </sheetViews>
  <sheetFormatPr defaultColWidth="9" defaultRowHeight="12.75"/>
  <cols>
    <col min="1" max="1" width="5.55238095238095" style="593" customWidth="1"/>
    <col min="2" max="2" width="17.7809523809524" style="593" customWidth="1"/>
    <col min="3" max="3" width="9.78095238095238" style="593" customWidth="1"/>
    <col min="4" max="4" width="31.552380952381" style="594" customWidth="1"/>
    <col min="5" max="5" width="9.43809523809524" style="595" customWidth="1"/>
    <col min="6" max="6" width="12.3333333333333" style="595" customWidth="1"/>
    <col min="7" max="7" width="19.3333333333333" style="596" customWidth="1"/>
    <col min="8" max="8" width="13.7809523809524" style="597" customWidth="1"/>
    <col min="9" max="9" width="15.2190476190476" style="598" customWidth="1"/>
    <col min="10" max="10" width="0.438095238095238" style="598" customWidth="1"/>
    <col min="11" max="11" width="12.4380952380952" style="593" customWidth="1"/>
    <col min="12" max="12" width="13.3333333333333" style="593" customWidth="1"/>
    <col min="13" max="13" width="12.8857142857143" style="593" customWidth="1"/>
    <col min="14" max="14" width="13.7809523809524" style="593" customWidth="1"/>
    <col min="15" max="15" width="16.6666666666667" style="593" customWidth="1"/>
    <col min="16" max="250" width="8.88571428571429" style="593"/>
    <col min="251" max="251" width="5.55238095238095" style="593" customWidth="1"/>
    <col min="252" max="252" width="9.33333333333333" style="593" customWidth="1"/>
    <col min="253" max="253" width="24.6666666666667" style="593" customWidth="1"/>
    <col min="254" max="254" width="11" style="593" customWidth="1"/>
    <col min="255" max="255" width="7.55238095238095" style="593" customWidth="1"/>
    <col min="256" max="256" width="13.552380952381" style="593" customWidth="1"/>
    <col min="257" max="257" width="5.43809523809524" style="593" customWidth="1"/>
    <col min="258" max="258" width="11.3333333333333" style="593" customWidth="1"/>
    <col min="259" max="259" width="5.66666666666667" style="593" customWidth="1"/>
    <col min="260" max="260" width="12" style="593" customWidth="1"/>
    <col min="261" max="261" width="15.4380952380952" style="593" customWidth="1"/>
    <col min="262" max="263" width="15.1047619047619" style="593" customWidth="1"/>
    <col min="264" max="264" width="14.3333333333333" style="593" customWidth="1"/>
    <col min="265" max="265" width="3.1047619047619" style="593" customWidth="1"/>
    <col min="266" max="266" width="6.43809523809524" style="593" customWidth="1"/>
    <col min="267" max="506" width="8.88571428571429" style="593"/>
    <col min="507" max="507" width="5.55238095238095" style="593" customWidth="1"/>
    <col min="508" max="508" width="9.33333333333333" style="593" customWidth="1"/>
    <col min="509" max="509" width="24.6666666666667" style="593" customWidth="1"/>
    <col min="510" max="510" width="11" style="593" customWidth="1"/>
    <col min="511" max="511" width="7.55238095238095" style="593" customWidth="1"/>
    <col min="512" max="512" width="13.552380952381" style="593" customWidth="1"/>
    <col min="513" max="513" width="5.43809523809524" style="593" customWidth="1"/>
    <col min="514" max="514" width="11.3333333333333" style="593" customWidth="1"/>
    <col min="515" max="515" width="5.66666666666667" style="593" customWidth="1"/>
    <col min="516" max="516" width="12" style="593" customWidth="1"/>
    <col min="517" max="517" width="15.4380952380952" style="593" customWidth="1"/>
    <col min="518" max="519" width="15.1047619047619" style="593" customWidth="1"/>
    <col min="520" max="520" width="14.3333333333333" style="593" customWidth="1"/>
    <col min="521" max="521" width="3.1047619047619" style="593" customWidth="1"/>
    <col min="522" max="522" width="6.43809523809524" style="593" customWidth="1"/>
    <col min="523" max="762" width="8.88571428571429" style="593"/>
    <col min="763" max="763" width="5.55238095238095" style="593" customWidth="1"/>
    <col min="764" max="764" width="9.33333333333333" style="593" customWidth="1"/>
    <col min="765" max="765" width="24.6666666666667" style="593" customWidth="1"/>
    <col min="766" max="766" width="11" style="593" customWidth="1"/>
    <col min="767" max="767" width="7.55238095238095" style="593" customWidth="1"/>
    <col min="768" max="768" width="13.552380952381" style="593" customWidth="1"/>
    <col min="769" max="769" width="5.43809523809524" style="593" customWidth="1"/>
    <col min="770" max="770" width="11.3333333333333" style="593" customWidth="1"/>
    <col min="771" max="771" width="5.66666666666667" style="593" customWidth="1"/>
    <col min="772" max="772" width="12" style="593" customWidth="1"/>
    <col min="773" max="773" width="15.4380952380952" style="593" customWidth="1"/>
    <col min="774" max="775" width="15.1047619047619" style="593" customWidth="1"/>
    <col min="776" max="776" width="14.3333333333333" style="593" customWidth="1"/>
    <col min="777" max="777" width="3.1047619047619" style="593" customWidth="1"/>
    <col min="778" max="778" width="6.43809523809524" style="593" customWidth="1"/>
    <col min="779" max="1018" width="8.88571428571429" style="593"/>
    <col min="1019" max="1019" width="5.55238095238095" style="593" customWidth="1"/>
    <col min="1020" max="1020" width="9.33333333333333" style="593" customWidth="1"/>
    <col min="1021" max="1021" width="24.6666666666667" style="593" customWidth="1"/>
    <col min="1022" max="1022" width="11" style="593" customWidth="1"/>
    <col min="1023" max="1023" width="7.55238095238095" style="593" customWidth="1"/>
    <col min="1024" max="1024" width="13.552380952381" style="593" customWidth="1"/>
    <col min="1025" max="1025" width="5.43809523809524" style="593" customWidth="1"/>
    <col min="1026" max="1026" width="11.3333333333333" style="593" customWidth="1"/>
    <col min="1027" max="1027" width="5.66666666666667" style="593" customWidth="1"/>
    <col min="1028" max="1028" width="12" style="593" customWidth="1"/>
    <col min="1029" max="1029" width="15.4380952380952" style="593" customWidth="1"/>
    <col min="1030" max="1031" width="15.1047619047619" style="593" customWidth="1"/>
    <col min="1032" max="1032" width="14.3333333333333" style="593" customWidth="1"/>
    <col min="1033" max="1033" width="3.1047619047619" style="593" customWidth="1"/>
    <col min="1034" max="1034" width="6.43809523809524" style="593" customWidth="1"/>
    <col min="1035" max="1274" width="8.88571428571429" style="593"/>
    <col min="1275" max="1275" width="5.55238095238095" style="593" customWidth="1"/>
    <col min="1276" max="1276" width="9.33333333333333" style="593" customWidth="1"/>
    <col min="1277" max="1277" width="24.6666666666667" style="593" customWidth="1"/>
    <col min="1278" max="1278" width="11" style="593" customWidth="1"/>
    <col min="1279" max="1279" width="7.55238095238095" style="593" customWidth="1"/>
    <col min="1280" max="1280" width="13.552380952381" style="593" customWidth="1"/>
    <col min="1281" max="1281" width="5.43809523809524" style="593" customWidth="1"/>
    <col min="1282" max="1282" width="11.3333333333333" style="593" customWidth="1"/>
    <col min="1283" max="1283" width="5.66666666666667" style="593" customWidth="1"/>
    <col min="1284" max="1284" width="12" style="593" customWidth="1"/>
    <col min="1285" max="1285" width="15.4380952380952" style="593" customWidth="1"/>
    <col min="1286" max="1287" width="15.1047619047619" style="593" customWidth="1"/>
    <col min="1288" max="1288" width="14.3333333333333" style="593" customWidth="1"/>
    <col min="1289" max="1289" width="3.1047619047619" style="593" customWidth="1"/>
    <col min="1290" max="1290" width="6.43809523809524" style="593" customWidth="1"/>
    <col min="1291" max="1530" width="8.88571428571429" style="593"/>
    <col min="1531" max="1531" width="5.55238095238095" style="593" customWidth="1"/>
    <col min="1532" max="1532" width="9.33333333333333" style="593" customWidth="1"/>
    <col min="1533" max="1533" width="24.6666666666667" style="593" customWidth="1"/>
    <col min="1534" max="1534" width="11" style="593" customWidth="1"/>
    <col min="1535" max="1535" width="7.55238095238095" style="593" customWidth="1"/>
    <col min="1536" max="1536" width="13.552380952381" style="593" customWidth="1"/>
    <col min="1537" max="1537" width="5.43809523809524" style="593" customWidth="1"/>
    <col min="1538" max="1538" width="11.3333333333333" style="593" customWidth="1"/>
    <col min="1539" max="1539" width="5.66666666666667" style="593" customWidth="1"/>
    <col min="1540" max="1540" width="12" style="593" customWidth="1"/>
    <col min="1541" max="1541" width="15.4380952380952" style="593" customWidth="1"/>
    <col min="1542" max="1543" width="15.1047619047619" style="593" customWidth="1"/>
    <col min="1544" max="1544" width="14.3333333333333" style="593" customWidth="1"/>
    <col min="1545" max="1545" width="3.1047619047619" style="593" customWidth="1"/>
    <col min="1546" max="1546" width="6.43809523809524" style="593" customWidth="1"/>
    <col min="1547" max="1786" width="8.88571428571429" style="593"/>
    <col min="1787" max="1787" width="5.55238095238095" style="593" customWidth="1"/>
    <col min="1788" max="1788" width="9.33333333333333" style="593" customWidth="1"/>
    <col min="1789" max="1789" width="24.6666666666667" style="593" customWidth="1"/>
    <col min="1790" max="1790" width="11" style="593" customWidth="1"/>
    <col min="1791" max="1791" width="7.55238095238095" style="593" customWidth="1"/>
    <col min="1792" max="1792" width="13.552380952381" style="593" customWidth="1"/>
    <col min="1793" max="1793" width="5.43809523809524" style="593" customWidth="1"/>
    <col min="1794" max="1794" width="11.3333333333333" style="593" customWidth="1"/>
    <col min="1795" max="1795" width="5.66666666666667" style="593" customWidth="1"/>
    <col min="1796" max="1796" width="12" style="593" customWidth="1"/>
    <col min="1797" max="1797" width="15.4380952380952" style="593" customWidth="1"/>
    <col min="1798" max="1799" width="15.1047619047619" style="593" customWidth="1"/>
    <col min="1800" max="1800" width="14.3333333333333" style="593" customWidth="1"/>
    <col min="1801" max="1801" width="3.1047619047619" style="593" customWidth="1"/>
    <col min="1802" max="1802" width="6.43809523809524" style="593" customWidth="1"/>
    <col min="1803" max="2042" width="8.88571428571429" style="593"/>
    <col min="2043" max="2043" width="5.55238095238095" style="593" customWidth="1"/>
    <col min="2044" max="2044" width="9.33333333333333" style="593" customWidth="1"/>
    <col min="2045" max="2045" width="24.6666666666667" style="593" customWidth="1"/>
    <col min="2046" max="2046" width="11" style="593" customWidth="1"/>
    <col min="2047" max="2047" width="7.55238095238095" style="593" customWidth="1"/>
    <col min="2048" max="2048" width="13.552380952381" style="593" customWidth="1"/>
    <col min="2049" max="2049" width="5.43809523809524" style="593" customWidth="1"/>
    <col min="2050" max="2050" width="11.3333333333333" style="593" customWidth="1"/>
    <col min="2051" max="2051" width="5.66666666666667" style="593" customWidth="1"/>
    <col min="2052" max="2052" width="12" style="593" customWidth="1"/>
    <col min="2053" max="2053" width="15.4380952380952" style="593" customWidth="1"/>
    <col min="2054" max="2055" width="15.1047619047619" style="593" customWidth="1"/>
    <col min="2056" max="2056" width="14.3333333333333" style="593" customWidth="1"/>
    <col min="2057" max="2057" width="3.1047619047619" style="593" customWidth="1"/>
    <col min="2058" max="2058" width="6.43809523809524" style="593" customWidth="1"/>
    <col min="2059" max="2298" width="8.88571428571429" style="593"/>
    <col min="2299" max="2299" width="5.55238095238095" style="593" customWidth="1"/>
    <col min="2300" max="2300" width="9.33333333333333" style="593" customWidth="1"/>
    <col min="2301" max="2301" width="24.6666666666667" style="593" customWidth="1"/>
    <col min="2302" max="2302" width="11" style="593" customWidth="1"/>
    <col min="2303" max="2303" width="7.55238095238095" style="593" customWidth="1"/>
    <col min="2304" max="2304" width="13.552380952381" style="593" customWidth="1"/>
    <col min="2305" max="2305" width="5.43809523809524" style="593" customWidth="1"/>
    <col min="2306" max="2306" width="11.3333333333333" style="593" customWidth="1"/>
    <col min="2307" max="2307" width="5.66666666666667" style="593" customWidth="1"/>
    <col min="2308" max="2308" width="12" style="593" customWidth="1"/>
    <col min="2309" max="2309" width="15.4380952380952" style="593" customWidth="1"/>
    <col min="2310" max="2311" width="15.1047619047619" style="593" customWidth="1"/>
    <col min="2312" max="2312" width="14.3333333333333" style="593" customWidth="1"/>
    <col min="2313" max="2313" width="3.1047619047619" style="593" customWidth="1"/>
    <col min="2314" max="2314" width="6.43809523809524" style="593" customWidth="1"/>
    <col min="2315" max="2554" width="8.88571428571429" style="593"/>
    <col min="2555" max="2555" width="5.55238095238095" style="593" customWidth="1"/>
    <col min="2556" max="2556" width="9.33333333333333" style="593" customWidth="1"/>
    <col min="2557" max="2557" width="24.6666666666667" style="593" customWidth="1"/>
    <col min="2558" max="2558" width="11" style="593" customWidth="1"/>
    <col min="2559" max="2559" width="7.55238095238095" style="593" customWidth="1"/>
    <col min="2560" max="2560" width="13.552380952381" style="593" customWidth="1"/>
    <col min="2561" max="2561" width="5.43809523809524" style="593" customWidth="1"/>
    <col min="2562" max="2562" width="11.3333333333333" style="593" customWidth="1"/>
    <col min="2563" max="2563" width="5.66666666666667" style="593" customWidth="1"/>
    <col min="2564" max="2564" width="12" style="593" customWidth="1"/>
    <col min="2565" max="2565" width="15.4380952380952" style="593" customWidth="1"/>
    <col min="2566" max="2567" width="15.1047619047619" style="593" customWidth="1"/>
    <col min="2568" max="2568" width="14.3333333333333" style="593" customWidth="1"/>
    <col min="2569" max="2569" width="3.1047619047619" style="593" customWidth="1"/>
    <col min="2570" max="2570" width="6.43809523809524" style="593" customWidth="1"/>
    <col min="2571" max="2810" width="8.88571428571429" style="593"/>
    <col min="2811" max="2811" width="5.55238095238095" style="593" customWidth="1"/>
    <col min="2812" max="2812" width="9.33333333333333" style="593" customWidth="1"/>
    <col min="2813" max="2813" width="24.6666666666667" style="593" customWidth="1"/>
    <col min="2814" max="2814" width="11" style="593" customWidth="1"/>
    <col min="2815" max="2815" width="7.55238095238095" style="593" customWidth="1"/>
    <col min="2816" max="2816" width="13.552380952381" style="593" customWidth="1"/>
    <col min="2817" max="2817" width="5.43809523809524" style="593" customWidth="1"/>
    <col min="2818" max="2818" width="11.3333333333333" style="593" customWidth="1"/>
    <col min="2819" max="2819" width="5.66666666666667" style="593" customWidth="1"/>
    <col min="2820" max="2820" width="12" style="593" customWidth="1"/>
    <col min="2821" max="2821" width="15.4380952380952" style="593" customWidth="1"/>
    <col min="2822" max="2823" width="15.1047619047619" style="593" customWidth="1"/>
    <col min="2824" max="2824" width="14.3333333333333" style="593" customWidth="1"/>
    <col min="2825" max="2825" width="3.1047619047619" style="593" customWidth="1"/>
    <col min="2826" max="2826" width="6.43809523809524" style="593" customWidth="1"/>
    <col min="2827" max="3066" width="8.88571428571429" style="593"/>
    <col min="3067" max="3067" width="5.55238095238095" style="593" customWidth="1"/>
    <col min="3068" max="3068" width="9.33333333333333" style="593" customWidth="1"/>
    <col min="3069" max="3069" width="24.6666666666667" style="593" customWidth="1"/>
    <col min="3070" max="3070" width="11" style="593" customWidth="1"/>
    <col min="3071" max="3071" width="7.55238095238095" style="593" customWidth="1"/>
    <col min="3072" max="3072" width="13.552380952381" style="593" customWidth="1"/>
    <col min="3073" max="3073" width="5.43809523809524" style="593" customWidth="1"/>
    <col min="3074" max="3074" width="11.3333333333333" style="593" customWidth="1"/>
    <col min="3075" max="3075" width="5.66666666666667" style="593" customWidth="1"/>
    <col min="3076" max="3076" width="12" style="593" customWidth="1"/>
    <col min="3077" max="3077" width="15.4380952380952" style="593" customWidth="1"/>
    <col min="3078" max="3079" width="15.1047619047619" style="593" customWidth="1"/>
    <col min="3080" max="3080" width="14.3333333333333" style="593" customWidth="1"/>
    <col min="3081" max="3081" width="3.1047619047619" style="593" customWidth="1"/>
    <col min="3082" max="3082" width="6.43809523809524" style="593" customWidth="1"/>
    <col min="3083" max="3322" width="8.88571428571429" style="593"/>
    <col min="3323" max="3323" width="5.55238095238095" style="593" customWidth="1"/>
    <col min="3324" max="3324" width="9.33333333333333" style="593" customWidth="1"/>
    <col min="3325" max="3325" width="24.6666666666667" style="593" customWidth="1"/>
    <col min="3326" max="3326" width="11" style="593" customWidth="1"/>
    <col min="3327" max="3327" width="7.55238095238095" style="593" customWidth="1"/>
    <col min="3328" max="3328" width="13.552380952381" style="593" customWidth="1"/>
    <col min="3329" max="3329" width="5.43809523809524" style="593" customWidth="1"/>
    <col min="3330" max="3330" width="11.3333333333333" style="593" customWidth="1"/>
    <col min="3331" max="3331" width="5.66666666666667" style="593" customWidth="1"/>
    <col min="3332" max="3332" width="12" style="593" customWidth="1"/>
    <col min="3333" max="3333" width="15.4380952380952" style="593" customWidth="1"/>
    <col min="3334" max="3335" width="15.1047619047619" style="593" customWidth="1"/>
    <col min="3336" max="3336" width="14.3333333333333" style="593" customWidth="1"/>
    <col min="3337" max="3337" width="3.1047619047619" style="593" customWidth="1"/>
    <col min="3338" max="3338" width="6.43809523809524" style="593" customWidth="1"/>
    <col min="3339" max="3578" width="8.88571428571429" style="593"/>
    <col min="3579" max="3579" width="5.55238095238095" style="593" customWidth="1"/>
    <col min="3580" max="3580" width="9.33333333333333" style="593" customWidth="1"/>
    <col min="3581" max="3581" width="24.6666666666667" style="593" customWidth="1"/>
    <col min="3582" max="3582" width="11" style="593" customWidth="1"/>
    <col min="3583" max="3583" width="7.55238095238095" style="593" customWidth="1"/>
    <col min="3584" max="3584" width="13.552380952381" style="593" customWidth="1"/>
    <col min="3585" max="3585" width="5.43809523809524" style="593" customWidth="1"/>
    <col min="3586" max="3586" width="11.3333333333333" style="593" customWidth="1"/>
    <col min="3587" max="3587" width="5.66666666666667" style="593" customWidth="1"/>
    <col min="3588" max="3588" width="12" style="593" customWidth="1"/>
    <col min="3589" max="3589" width="15.4380952380952" style="593" customWidth="1"/>
    <col min="3590" max="3591" width="15.1047619047619" style="593" customWidth="1"/>
    <col min="3592" max="3592" width="14.3333333333333" style="593" customWidth="1"/>
    <col min="3593" max="3593" width="3.1047619047619" style="593" customWidth="1"/>
    <col min="3594" max="3594" width="6.43809523809524" style="593" customWidth="1"/>
    <col min="3595" max="3834" width="8.88571428571429" style="593"/>
    <col min="3835" max="3835" width="5.55238095238095" style="593" customWidth="1"/>
    <col min="3836" max="3836" width="9.33333333333333" style="593" customWidth="1"/>
    <col min="3837" max="3837" width="24.6666666666667" style="593" customWidth="1"/>
    <col min="3838" max="3838" width="11" style="593" customWidth="1"/>
    <col min="3839" max="3839" width="7.55238095238095" style="593" customWidth="1"/>
    <col min="3840" max="3840" width="13.552380952381" style="593" customWidth="1"/>
    <col min="3841" max="3841" width="5.43809523809524" style="593" customWidth="1"/>
    <col min="3842" max="3842" width="11.3333333333333" style="593" customWidth="1"/>
    <col min="3843" max="3843" width="5.66666666666667" style="593" customWidth="1"/>
    <col min="3844" max="3844" width="12" style="593" customWidth="1"/>
    <col min="3845" max="3845" width="15.4380952380952" style="593" customWidth="1"/>
    <col min="3846" max="3847" width="15.1047619047619" style="593" customWidth="1"/>
    <col min="3848" max="3848" width="14.3333333333333" style="593" customWidth="1"/>
    <col min="3849" max="3849" width="3.1047619047619" style="593" customWidth="1"/>
    <col min="3850" max="3850" width="6.43809523809524" style="593" customWidth="1"/>
    <col min="3851" max="4090" width="8.88571428571429" style="593"/>
    <col min="4091" max="4091" width="5.55238095238095" style="593" customWidth="1"/>
    <col min="4092" max="4092" width="9.33333333333333" style="593" customWidth="1"/>
    <col min="4093" max="4093" width="24.6666666666667" style="593" customWidth="1"/>
    <col min="4094" max="4094" width="11" style="593" customWidth="1"/>
    <col min="4095" max="4095" width="7.55238095238095" style="593" customWidth="1"/>
    <col min="4096" max="4096" width="13.552380952381" style="593" customWidth="1"/>
    <col min="4097" max="4097" width="5.43809523809524" style="593" customWidth="1"/>
    <col min="4098" max="4098" width="11.3333333333333" style="593" customWidth="1"/>
    <col min="4099" max="4099" width="5.66666666666667" style="593" customWidth="1"/>
    <col min="4100" max="4100" width="12" style="593" customWidth="1"/>
    <col min="4101" max="4101" width="15.4380952380952" style="593" customWidth="1"/>
    <col min="4102" max="4103" width="15.1047619047619" style="593" customWidth="1"/>
    <col min="4104" max="4104" width="14.3333333333333" style="593" customWidth="1"/>
    <col min="4105" max="4105" width="3.1047619047619" style="593" customWidth="1"/>
    <col min="4106" max="4106" width="6.43809523809524" style="593" customWidth="1"/>
    <col min="4107" max="4346" width="8.88571428571429" style="593"/>
    <col min="4347" max="4347" width="5.55238095238095" style="593" customWidth="1"/>
    <col min="4348" max="4348" width="9.33333333333333" style="593" customWidth="1"/>
    <col min="4349" max="4349" width="24.6666666666667" style="593" customWidth="1"/>
    <col min="4350" max="4350" width="11" style="593" customWidth="1"/>
    <col min="4351" max="4351" width="7.55238095238095" style="593" customWidth="1"/>
    <col min="4352" max="4352" width="13.552380952381" style="593" customWidth="1"/>
    <col min="4353" max="4353" width="5.43809523809524" style="593" customWidth="1"/>
    <col min="4354" max="4354" width="11.3333333333333" style="593" customWidth="1"/>
    <col min="4355" max="4355" width="5.66666666666667" style="593" customWidth="1"/>
    <col min="4356" max="4356" width="12" style="593" customWidth="1"/>
    <col min="4357" max="4357" width="15.4380952380952" style="593" customWidth="1"/>
    <col min="4358" max="4359" width="15.1047619047619" style="593" customWidth="1"/>
    <col min="4360" max="4360" width="14.3333333333333" style="593" customWidth="1"/>
    <col min="4361" max="4361" width="3.1047619047619" style="593" customWidth="1"/>
    <col min="4362" max="4362" width="6.43809523809524" style="593" customWidth="1"/>
    <col min="4363" max="4602" width="8.88571428571429" style="593"/>
    <col min="4603" max="4603" width="5.55238095238095" style="593" customWidth="1"/>
    <col min="4604" max="4604" width="9.33333333333333" style="593" customWidth="1"/>
    <col min="4605" max="4605" width="24.6666666666667" style="593" customWidth="1"/>
    <col min="4606" max="4606" width="11" style="593" customWidth="1"/>
    <col min="4607" max="4607" width="7.55238095238095" style="593" customWidth="1"/>
    <col min="4608" max="4608" width="13.552380952381" style="593" customWidth="1"/>
    <col min="4609" max="4609" width="5.43809523809524" style="593" customWidth="1"/>
    <col min="4610" max="4610" width="11.3333333333333" style="593" customWidth="1"/>
    <col min="4611" max="4611" width="5.66666666666667" style="593" customWidth="1"/>
    <col min="4612" max="4612" width="12" style="593" customWidth="1"/>
    <col min="4613" max="4613" width="15.4380952380952" style="593" customWidth="1"/>
    <col min="4614" max="4615" width="15.1047619047619" style="593" customWidth="1"/>
    <col min="4616" max="4616" width="14.3333333333333" style="593" customWidth="1"/>
    <col min="4617" max="4617" width="3.1047619047619" style="593" customWidth="1"/>
    <col min="4618" max="4618" width="6.43809523809524" style="593" customWidth="1"/>
    <col min="4619" max="4858" width="8.88571428571429" style="593"/>
    <col min="4859" max="4859" width="5.55238095238095" style="593" customWidth="1"/>
    <col min="4860" max="4860" width="9.33333333333333" style="593" customWidth="1"/>
    <col min="4861" max="4861" width="24.6666666666667" style="593" customWidth="1"/>
    <col min="4862" max="4862" width="11" style="593" customWidth="1"/>
    <col min="4863" max="4863" width="7.55238095238095" style="593" customWidth="1"/>
    <col min="4864" max="4864" width="13.552380952381" style="593" customWidth="1"/>
    <col min="4865" max="4865" width="5.43809523809524" style="593" customWidth="1"/>
    <col min="4866" max="4866" width="11.3333333333333" style="593" customWidth="1"/>
    <col min="4867" max="4867" width="5.66666666666667" style="593" customWidth="1"/>
    <col min="4868" max="4868" width="12" style="593" customWidth="1"/>
    <col min="4869" max="4869" width="15.4380952380952" style="593" customWidth="1"/>
    <col min="4870" max="4871" width="15.1047619047619" style="593" customWidth="1"/>
    <col min="4872" max="4872" width="14.3333333333333" style="593" customWidth="1"/>
    <col min="4873" max="4873" width="3.1047619047619" style="593" customWidth="1"/>
    <col min="4874" max="4874" width="6.43809523809524" style="593" customWidth="1"/>
    <col min="4875" max="5114" width="8.88571428571429" style="593"/>
    <col min="5115" max="5115" width="5.55238095238095" style="593" customWidth="1"/>
    <col min="5116" max="5116" width="9.33333333333333" style="593" customWidth="1"/>
    <col min="5117" max="5117" width="24.6666666666667" style="593" customWidth="1"/>
    <col min="5118" max="5118" width="11" style="593" customWidth="1"/>
    <col min="5119" max="5119" width="7.55238095238095" style="593" customWidth="1"/>
    <col min="5120" max="5120" width="13.552380952381" style="593" customWidth="1"/>
    <col min="5121" max="5121" width="5.43809523809524" style="593" customWidth="1"/>
    <col min="5122" max="5122" width="11.3333333333333" style="593" customWidth="1"/>
    <col min="5123" max="5123" width="5.66666666666667" style="593" customWidth="1"/>
    <col min="5124" max="5124" width="12" style="593" customWidth="1"/>
    <col min="5125" max="5125" width="15.4380952380952" style="593" customWidth="1"/>
    <col min="5126" max="5127" width="15.1047619047619" style="593" customWidth="1"/>
    <col min="5128" max="5128" width="14.3333333333333" style="593" customWidth="1"/>
    <col min="5129" max="5129" width="3.1047619047619" style="593" customWidth="1"/>
    <col min="5130" max="5130" width="6.43809523809524" style="593" customWidth="1"/>
    <col min="5131" max="5370" width="8.88571428571429" style="593"/>
    <col min="5371" max="5371" width="5.55238095238095" style="593" customWidth="1"/>
    <col min="5372" max="5372" width="9.33333333333333" style="593" customWidth="1"/>
    <col min="5373" max="5373" width="24.6666666666667" style="593" customWidth="1"/>
    <col min="5374" max="5374" width="11" style="593" customWidth="1"/>
    <col min="5375" max="5375" width="7.55238095238095" style="593" customWidth="1"/>
    <col min="5376" max="5376" width="13.552380952381" style="593" customWidth="1"/>
    <col min="5377" max="5377" width="5.43809523809524" style="593" customWidth="1"/>
    <col min="5378" max="5378" width="11.3333333333333" style="593" customWidth="1"/>
    <col min="5379" max="5379" width="5.66666666666667" style="593" customWidth="1"/>
    <col min="5380" max="5380" width="12" style="593" customWidth="1"/>
    <col min="5381" max="5381" width="15.4380952380952" style="593" customWidth="1"/>
    <col min="5382" max="5383" width="15.1047619047619" style="593" customWidth="1"/>
    <col min="5384" max="5384" width="14.3333333333333" style="593" customWidth="1"/>
    <col min="5385" max="5385" width="3.1047619047619" style="593" customWidth="1"/>
    <col min="5386" max="5386" width="6.43809523809524" style="593" customWidth="1"/>
    <col min="5387" max="5626" width="8.88571428571429" style="593"/>
    <col min="5627" max="5627" width="5.55238095238095" style="593" customWidth="1"/>
    <col min="5628" max="5628" width="9.33333333333333" style="593" customWidth="1"/>
    <col min="5629" max="5629" width="24.6666666666667" style="593" customWidth="1"/>
    <col min="5630" max="5630" width="11" style="593" customWidth="1"/>
    <col min="5631" max="5631" width="7.55238095238095" style="593" customWidth="1"/>
    <col min="5632" max="5632" width="13.552380952381" style="593" customWidth="1"/>
    <col min="5633" max="5633" width="5.43809523809524" style="593" customWidth="1"/>
    <col min="5634" max="5634" width="11.3333333333333" style="593" customWidth="1"/>
    <col min="5635" max="5635" width="5.66666666666667" style="593" customWidth="1"/>
    <col min="5636" max="5636" width="12" style="593" customWidth="1"/>
    <col min="5637" max="5637" width="15.4380952380952" style="593" customWidth="1"/>
    <col min="5638" max="5639" width="15.1047619047619" style="593" customWidth="1"/>
    <col min="5640" max="5640" width="14.3333333333333" style="593" customWidth="1"/>
    <col min="5641" max="5641" width="3.1047619047619" style="593" customWidth="1"/>
    <col min="5642" max="5642" width="6.43809523809524" style="593" customWidth="1"/>
    <col min="5643" max="5882" width="8.88571428571429" style="593"/>
    <col min="5883" max="5883" width="5.55238095238095" style="593" customWidth="1"/>
    <col min="5884" max="5884" width="9.33333333333333" style="593" customWidth="1"/>
    <col min="5885" max="5885" width="24.6666666666667" style="593" customWidth="1"/>
    <col min="5886" max="5886" width="11" style="593" customWidth="1"/>
    <col min="5887" max="5887" width="7.55238095238095" style="593" customWidth="1"/>
    <col min="5888" max="5888" width="13.552380952381" style="593" customWidth="1"/>
    <col min="5889" max="5889" width="5.43809523809524" style="593" customWidth="1"/>
    <col min="5890" max="5890" width="11.3333333333333" style="593" customWidth="1"/>
    <col min="5891" max="5891" width="5.66666666666667" style="593" customWidth="1"/>
    <col min="5892" max="5892" width="12" style="593" customWidth="1"/>
    <col min="5893" max="5893" width="15.4380952380952" style="593" customWidth="1"/>
    <col min="5894" max="5895" width="15.1047619047619" style="593" customWidth="1"/>
    <col min="5896" max="5896" width="14.3333333333333" style="593" customWidth="1"/>
    <col min="5897" max="5897" width="3.1047619047619" style="593" customWidth="1"/>
    <col min="5898" max="5898" width="6.43809523809524" style="593" customWidth="1"/>
    <col min="5899" max="6138" width="8.88571428571429" style="593"/>
    <col min="6139" max="6139" width="5.55238095238095" style="593" customWidth="1"/>
    <col min="6140" max="6140" width="9.33333333333333" style="593" customWidth="1"/>
    <col min="6141" max="6141" width="24.6666666666667" style="593" customWidth="1"/>
    <col min="6142" max="6142" width="11" style="593" customWidth="1"/>
    <col min="6143" max="6143" width="7.55238095238095" style="593" customWidth="1"/>
    <col min="6144" max="6144" width="13.552380952381" style="593" customWidth="1"/>
    <col min="6145" max="6145" width="5.43809523809524" style="593" customWidth="1"/>
    <col min="6146" max="6146" width="11.3333333333333" style="593" customWidth="1"/>
    <col min="6147" max="6147" width="5.66666666666667" style="593" customWidth="1"/>
    <col min="6148" max="6148" width="12" style="593" customWidth="1"/>
    <col min="6149" max="6149" width="15.4380952380952" style="593" customWidth="1"/>
    <col min="6150" max="6151" width="15.1047619047619" style="593" customWidth="1"/>
    <col min="6152" max="6152" width="14.3333333333333" style="593" customWidth="1"/>
    <col min="6153" max="6153" width="3.1047619047619" style="593" customWidth="1"/>
    <col min="6154" max="6154" width="6.43809523809524" style="593" customWidth="1"/>
    <col min="6155" max="6394" width="8.88571428571429" style="593"/>
    <col min="6395" max="6395" width="5.55238095238095" style="593" customWidth="1"/>
    <col min="6396" max="6396" width="9.33333333333333" style="593" customWidth="1"/>
    <col min="6397" max="6397" width="24.6666666666667" style="593" customWidth="1"/>
    <col min="6398" max="6398" width="11" style="593" customWidth="1"/>
    <col min="6399" max="6399" width="7.55238095238095" style="593" customWidth="1"/>
    <col min="6400" max="6400" width="13.552380952381" style="593" customWidth="1"/>
    <col min="6401" max="6401" width="5.43809523809524" style="593" customWidth="1"/>
    <col min="6402" max="6402" width="11.3333333333333" style="593" customWidth="1"/>
    <col min="6403" max="6403" width="5.66666666666667" style="593" customWidth="1"/>
    <col min="6404" max="6404" width="12" style="593" customWidth="1"/>
    <col min="6405" max="6405" width="15.4380952380952" style="593" customWidth="1"/>
    <col min="6406" max="6407" width="15.1047619047619" style="593" customWidth="1"/>
    <col min="6408" max="6408" width="14.3333333333333" style="593" customWidth="1"/>
    <col min="6409" max="6409" width="3.1047619047619" style="593" customWidth="1"/>
    <col min="6410" max="6410" width="6.43809523809524" style="593" customWidth="1"/>
    <col min="6411" max="6650" width="8.88571428571429" style="593"/>
    <col min="6651" max="6651" width="5.55238095238095" style="593" customWidth="1"/>
    <col min="6652" max="6652" width="9.33333333333333" style="593" customWidth="1"/>
    <col min="6653" max="6653" width="24.6666666666667" style="593" customWidth="1"/>
    <col min="6654" max="6654" width="11" style="593" customWidth="1"/>
    <col min="6655" max="6655" width="7.55238095238095" style="593" customWidth="1"/>
    <col min="6656" max="6656" width="13.552380952381" style="593" customWidth="1"/>
    <col min="6657" max="6657" width="5.43809523809524" style="593" customWidth="1"/>
    <col min="6658" max="6658" width="11.3333333333333" style="593" customWidth="1"/>
    <col min="6659" max="6659" width="5.66666666666667" style="593" customWidth="1"/>
    <col min="6660" max="6660" width="12" style="593" customWidth="1"/>
    <col min="6661" max="6661" width="15.4380952380952" style="593" customWidth="1"/>
    <col min="6662" max="6663" width="15.1047619047619" style="593" customWidth="1"/>
    <col min="6664" max="6664" width="14.3333333333333" style="593" customWidth="1"/>
    <col min="6665" max="6665" width="3.1047619047619" style="593" customWidth="1"/>
    <col min="6666" max="6666" width="6.43809523809524" style="593" customWidth="1"/>
    <col min="6667" max="6906" width="8.88571428571429" style="593"/>
    <col min="6907" max="6907" width="5.55238095238095" style="593" customWidth="1"/>
    <col min="6908" max="6908" width="9.33333333333333" style="593" customWidth="1"/>
    <col min="6909" max="6909" width="24.6666666666667" style="593" customWidth="1"/>
    <col min="6910" max="6910" width="11" style="593" customWidth="1"/>
    <col min="6911" max="6911" width="7.55238095238095" style="593" customWidth="1"/>
    <col min="6912" max="6912" width="13.552380952381" style="593" customWidth="1"/>
    <col min="6913" max="6913" width="5.43809523809524" style="593" customWidth="1"/>
    <col min="6914" max="6914" width="11.3333333333333" style="593" customWidth="1"/>
    <col min="6915" max="6915" width="5.66666666666667" style="593" customWidth="1"/>
    <col min="6916" max="6916" width="12" style="593" customWidth="1"/>
    <col min="6917" max="6917" width="15.4380952380952" style="593" customWidth="1"/>
    <col min="6918" max="6919" width="15.1047619047619" style="593" customWidth="1"/>
    <col min="6920" max="6920" width="14.3333333333333" style="593" customWidth="1"/>
    <col min="6921" max="6921" width="3.1047619047619" style="593" customWidth="1"/>
    <col min="6922" max="6922" width="6.43809523809524" style="593" customWidth="1"/>
    <col min="6923" max="7162" width="8.88571428571429" style="593"/>
    <col min="7163" max="7163" width="5.55238095238095" style="593" customWidth="1"/>
    <col min="7164" max="7164" width="9.33333333333333" style="593" customWidth="1"/>
    <col min="7165" max="7165" width="24.6666666666667" style="593" customWidth="1"/>
    <col min="7166" max="7166" width="11" style="593" customWidth="1"/>
    <col min="7167" max="7167" width="7.55238095238095" style="593" customWidth="1"/>
    <col min="7168" max="7168" width="13.552380952381" style="593" customWidth="1"/>
    <col min="7169" max="7169" width="5.43809523809524" style="593" customWidth="1"/>
    <col min="7170" max="7170" width="11.3333333333333" style="593" customWidth="1"/>
    <col min="7171" max="7171" width="5.66666666666667" style="593" customWidth="1"/>
    <col min="7172" max="7172" width="12" style="593" customWidth="1"/>
    <col min="7173" max="7173" width="15.4380952380952" style="593" customWidth="1"/>
    <col min="7174" max="7175" width="15.1047619047619" style="593" customWidth="1"/>
    <col min="7176" max="7176" width="14.3333333333333" style="593" customWidth="1"/>
    <col min="7177" max="7177" width="3.1047619047619" style="593" customWidth="1"/>
    <col min="7178" max="7178" width="6.43809523809524" style="593" customWidth="1"/>
    <col min="7179" max="7418" width="8.88571428571429" style="593"/>
    <col min="7419" max="7419" width="5.55238095238095" style="593" customWidth="1"/>
    <col min="7420" max="7420" width="9.33333333333333" style="593" customWidth="1"/>
    <col min="7421" max="7421" width="24.6666666666667" style="593" customWidth="1"/>
    <col min="7422" max="7422" width="11" style="593" customWidth="1"/>
    <col min="7423" max="7423" width="7.55238095238095" style="593" customWidth="1"/>
    <col min="7424" max="7424" width="13.552380952381" style="593" customWidth="1"/>
    <col min="7425" max="7425" width="5.43809523809524" style="593" customWidth="1"/>
    <col min="7426" max="7426" width="11.3333333333333" style="593" customWidth="1"/>
    <col min="7427" max="7427" width="5.66666666666667" style="593" customWidth="1"/>
    <col min="7428" max="7428" width="12" style="593" customWidth="1"/>
    <col min="7429" max="7429" width="15.4380952380952" style="593" customWidth="1"/>
    <col min="7430" max="7431" width="15.1047619047619" style="593" customWidth="1"/>
    <col min="7432" max="7432" width="14.3333333333333" style="593" customWidth="1"/>
    <col min="7433" max="7433" width="3.1047619047619" style="593" customWidth="1"/>
    <col min="7434" max="7434" width="6.43809523809524" style="593" customWidth="1"/>
    <col min="7435" max="7674" width="8.88571428571429" style="593"/>
    <col min="7675" max="7675" width="5.55238095238095" style="593" customWidth="1"/>
    <col min="7676" max="7676" width="9.33333333333333" style="593" customWidth="1"/>
    <col min="7677" max="7677" width="24.6666666666667" style="593" customWidth="1"/>
    <col min="7678" max="7678" width="11" style="593" customWidth="1"/>
    <col min="7679" max="7679" width="7.55238095238095" style="593" customWidth="1"/>
    <col min="7680" max="7680" width="13.552380952381" style="593" customWidth="1"/>
    <col min="7681" max="7681" width="5.43809523809524" style="593" customWidth="1"/>
    <col min="7682" max="7682" width="11.3333333333333" style="593" customWidth="1"/>
    <col min="7683" max="7683" width="5.66666666666667" style="593" customWidth="1"/>
    <col min="7684" max="7684" width="12" style="593" customWidth="1"/>
    <col min="7685" max="7685" width="15.4380952380952" style="593" customWidth="1"/>
    <col min="7686" max="7687" width="15.1047619047619" style="593" customWidth="1"/>
    <col min="7688" max="7688" width="14.3333333333333" style="593" customWidth="1"/>
    <col min="7689" max="7689" width="3.1047619047619" style="593" customWidth="1"/>
    <col min="7690" max="7690" width="6.43809523809524" style="593" customWidth="1"/>
    <col min="7691" max="7930" width="8.88571428571429" style="593"/>
    <col min="7931" max="7931" width="5.55238095238095" style="593" customWidth="1"/>
    <col min="7932" max="7932" width="9.33333333333333" style="593" customWidth="1"/>
    <col min="7933" max="7933" width="24.6666666666667" style="593" customWidth="1"/>
    <col min="7934" max="7934" width="11" style="593" customWidth="1"/>
    <col min="7935" max="7935" width="7.55238095238095" style="593" customWidth="1"/>
    <col min="7936" max="7936" width="13.552380952381" style="593" customWidth="1"/>
    <col min="7937" max="7937" width="5.43809523809524" style="593" customWidth="1"/>
    <col min="7938" max="7938" width="11.3333333333333" style="593" customWidth="1"/>
    <col min="7939" max="7939" width="5.66666666666667" style="593" customWidth="1"/>
    <col min="7940" max="7940" width="12" style="593" customWidth="1"/>
    <col min="7941" max="7941" width="15.4380952380952" style="593" customWidth="1"/>
    <col min="7942" max="7943" width="15.1047619047619" style="593" customWidth="1"/>
    <col min="7944" max="7944" width="14.3333333333333" style="593" customWidth="1"/>
    <col min="7945" max="7945" width="3.1047619047619" style="593" customWidth="1"/>
    <col min="7946" max="7946" width="6.43809523809524" style="593" customWidth="1"/>
    <col min="7947" max="8186" width="8.88571428571429" style="593"/>
    <col min="8187" max="8187" width="5.55238095238095" style="593" customWidth="1"/>
    <col min="8188" max="8188" width="9.33333333333333" style="593" customWidth="1"/>
    <col min="8189" max="8189" width="24.6666666666667" style="593" customWidth="1"/>
    <col min="8190" max="8190" width="11" style="593" customWidth="1"/>
    <col min="8191" max="8191" width="7.55238095238095" style="593" customWidth="1"/>
    <col min="8192" max="8192" width="13.552380952381" style="593" customWidth="1"/>
    <col min="8193" max="8193" width="5.43809523809524" style="593" customWidth="1"/>
    <col min="8194" max="8194" width="11.3333333333333" style="593" customWidth="1"/>
    <col min="8195" max="8195" width="5.66666666666667" style="593" customWidth="1"/>
    <col min="8196" max="8196" width="12" style="593" customWidth="1"/>
    <col min="8197" max="8197" width="15.4380952380952" style="593" customWidth="1"/>
    <col min="8198" max="8199" width="15.1047619047619" style="593" customWidth="1"/>
    <col min="8200" max="8200" width="14.3333333333333" style="593" customWidth="1"/>
    <col min="8201" max="8201" width="3.1047619047619" style="593" customWidth="1"/>
    <col min="8202" max="8202" width="6.43809523809524" style="593" customWidth="1"/>
    <col min="8203" max="8442" width="8.88571428571429" style="593"/>
    <col min="8443" max="8443" width="5.55238095238095" style="593" customWidth="1"/>
    <col min="8444" max="8444" width="9.33333333333333" style="593" customWidth="1"/>
    <col min="8445" max="8445" width="24.6666666666667" style="593" customWidth="1"/>
    <col min="8446" max="8446" width="11" style="593" customWidth="1"/>
    <col min="8447" max="8447" width="7.55238095238095" style="593" customWidth="1"/>
    <col min="8448" max="8448" width="13.552380952381" style="593" customWidth="1"/>
    <col min="8449" max="8449" width="5.43809523809524" style="593" customWidth="1"/>
    <col min="8450" max="8450" width="11.3333333333333" style="593" customWidth="1"/>
    <col min="8451" max="8451" width="5.66666666666667" style="593" customWidth="1"/>
    <col min="8452" max="8452" width="12" style="593" customWidth="1"/>
    <col min="8453" max="8453" width="15.4380952380952" style="593" customWidth="1"/>
    <col min="8454" max="8455" width="15.1047619047619" style="593" customWidth="1"/>
    <col min="8456" max="8456" width="14.3333333333333" style="593" customWidth="1"/>
    <col min="8457" max="8457" width="3.1047619047619" style="593" customWidth="1"/>
    <col min="8458" max="8458" width="6.43809523809524" style="593" customWidth="1"/>
    <col min="8459" max="8698" width="8.88571428571429" style="593"/>
    <col min="8699" max="8699" width="5.55238095238095" style="593" customWidth="1"/>
    <col min="8700" max="8700" width="9.33333333333333" style="593" customWidth="1"/>
    <col min="8701" max="8701" width="24.6666666666667" style="593" customWidth="1"/>
    <col min="8702" max="8702" width="11" style="593" customWidth="1"/>
    <col min="8703" max="8703" width="7.55238095238095" style="593" customWidth="1"/>
    <col min="8704" max="8704" width="13.552380952381" style="593" customWidth="1"/>
    <col min="8705" max="8705" width="5.43809523809524" style="593" customWidth="1"/>
    <col min="8706" max="8706" width="11.3333333333333" style="593" customWidth="1"/>
    <col min="8707" max="8707" width="5.66666666666667" style="593" customWidth="1"/>
    <col min="8708" max="8708" width="12" style="593" customWidth="1"/>
    <col min="8709" max="8709" width="15.4380952380952" style="593" customWidth="1"/>
    <col min="8710" max="8711" width="15.1047619047619" style="593" customWidth="1"/>
    <col min="8712" max="8712" width="14.3333333333333" style="593" customWidth="1"/>
    <col min="8713" max="8713" width="3.1047619047619" style="593" customWidth="1"/>
    <col min="8714" max="8714" width="6.43809523809524" style="593" customWidth="1"/>
    <col min="8715" max="8954" width="8.88571428571429" style="593"/>
    <col min="8955" max="8955" width="5.55238095238095" style="593" customWidth="1"/>
    <col min="8956" max="8956" width="9.33333333333333" style="593" customWidth="1"/>
    <col min="8957" max="8957" width="24.6666666666667" style="593" customWidth="1"/>
    <col min="8958" max="8958" width="11" style="593" customWidth="1"/>
    <col min="8959" max="8959" width="7.55238095238095" style="593" customWidth="1"/>
    <col min="8960" max="8960" width="13.552380952381" style="593" customWidth="1"/>
    <col min="8961" max="8961" width="5.43809523809524" style="593" customWidth="1"/>
    <col min="8962" max="8962" width="11.3333333333333" style="593" customWidth="1"/>
    <col min="8963" max="8963" width="5.66666666666667" style="593" customWidth="1"/>
    <col min="8964" max="8964" width="12" style="593" customWidth="1"/>
    <col min="8965" max="8965" width="15.4380952380952" style="593" customWidth="1"/>
    <col min="8966" max="8967" width="15.1047619047619" style="593" customWidth="1"/>
    <col min="8968" max="8968" width="14.3333333333333" style="593" customWidth="1"/>
    <col min="8969" max="8969" width="3.1047619047619" style="593" customWidth="1"/>
    <col min="8970" max="8970" width="6.43809523809524" style="593" customWidth="1"/>
    <col min="8971" max="9210" width="8.88571428571429" style="593"/>
    <col min="9211" max="9211" width="5.55238095238095" style="593" customWidth="1"/>
    <col min="9212" max="9212" width="9.33333333333333" style="593" customWidth="1"/>
    <col min="9213" max="9213" width="24.6666666666667" style="593" customWidth="1"/>
    <col min="9214" max="9214" width="11" style="593" customWidth="1"/>
    <col min="9215" max="9215" width="7.55238095238095" style="593" customWidth="1"/>
    <col min="9216" max="9216" width="13.552380952381" style="593" customWidth="1"/>
    <col min="9217" max="9217" width="5.43809523809524" style="593" customWidth="1"/>
    <col min="9218" max="9218" width="11.3333333333333" style="593" customWidth="1"/>
    <col min="9219" max="9219" width="5.66666666666667" style="593" customWidth="1"/>
    <col min="9220" max="9220" width="12" style="593" customWidth="1"/>
    <col min="9221" max="9221" width="15.4380952380952" style="593" customWidth="1"/>
    <col min="9222" max="9223" width="15.1047619047619" style="593" customWidth="1"/>
    <col min="9224" max="9224" width="14.3333333333333" style="593" customWidth="1"/>
    <col min="9225" max="9225" width="3.1047619047619" style="593" customWidth="1"/>
    <col min="9226" max="9226" width="6.43809523809524" style="593" customWidth="1"/>
    <col min="9227" max="9466" width="8.88571428571429" style="593"/>
    <col min="9467" max="9467" width="5.55238095238095" style="593" customWidth="1"/>
    <col min="9468" max="9468" width="9.33333333333333" style="593" customWidth="1"/>
    <col min="9469" max="9469" width="24.6666666666667" style="593" customWidth="1"/>
    <col min="9470" max="9470" width="11" style="593" customWidth="1"/>
    <col min="9471" max="9471" width="7.55238095238095" style="593" customWidth="1"/>
    <col min="9472" max="9472" width="13.552380952381" style="593" customWidth="1"/>
    <col min="9473" max="9473" width="5.43809523809524" style="593" customWidth="1"/>
    <col min="9474" max="9474" width="11.3333333333333" style="593" customWidth="1"/>
    <col min="9475" max="9475" width="5.66666666666667" style="593" customWidth="1"/>
    <col min="9476" max="9476" width="12" style="593" customWidth="1"/>
    <col min="9477" max="9477" width="15.4380952380952" style="593" customWidth="1"/>
    <col min="9478" max="9479" width="15.1047619047619" style="593" customWidth="1"/>
    <col min="9480" max="9480" width="14.3333333333333" style="593" customWidth="1"/>
    <col min="9481" max="9481" width="3.1047619047619" style="593" customWidth="1"/>
    <col min="9482" max="9482" width="6.43809523809524" style="593" customWidth="1"/>
    <col min="9483" max="9722" width="8.88571428571429" style="593"/>
    <col min="9723" max="9723" width="5.55238095238095" style="593" customWidth="1"/>
    <col min="9724" max="9724" width="9.33333333333333" style="593" customWidth="1"/>
    <col min="9725" max="9725" width="24.6666666666667" style="593" customWidth="1"/>
    <col min="9726" max="9726" width="11" style="593" customWidth="1"/>
    <col min="9727" max="9727" width="7.55238095238095" style="593" customWidth="1"/>
    <col min="9728" max="9728" width="13.552380952381" style="593" customWidth="1"/>
    <col min="9729" max="9729" width="5.43809523809524" style="593" customWidth="1"/>
    <col min="9730" max="9730" width="11.3333333333333" style="593" customWidth="1"/>
    <col min="9731" max="9731" width="5.66666666666667" style="593" customWidth="1"/>
    <col min="9732" max="9732" width="12" style="593" customWidth="1"/>
    <col min="9733" max="9733" width="15.4380952380952" style="593" customWidth="1"/>
    <col min="9734" max="9735" width="15.1047619047619" style="593" customWidth="1"/>
    <col min="9736" max="9736" width="14.3333333333333" style="593" customWidth="1"/>
    <col min="9737" max="9737" width="3.1047619047619" style="593" customWidth="1"/>
    <col min="9738" max="9738" width="6.43809523809524" style="593" customWidth="1"/>
    <col min="9739" max="9978" width="8.88571428571429" style="593"/>
    <col min="9979" max="9979" width="5.55238095238095" style="593" customWidth="1"/>
    <col min="9980" max="9980" width="9.33333333333333" style="593" customWidth="1"/>
    <col min="9981" max="9981" width="24.6666666666667" style="593" customWidth="1"/>
    <col min="9982" max="9982" width="11" style="593" customWidth="1"/>
    <col min="9983" max="9983" width="7.55238095238095" style="593" customWidth="1"/>
    <col min="9984" max="9984" width="13.552380952381" style="593" customWidth="1"/>
    <col min="9985" max="9985" width="5.43809523809524" style="593" customWidth="1"/>
    <col min="9986" max="9986" width="11.3333333333333" style="593" customWidth="1"/>
    <col min="9987" max="9987" width="5.66666666666667" style="593" customWidth="1"/>
    <col min="9988" max="9988" width="12" style="593" customWidth="1"/>
    <col min="9989" max="9989" width="15.4380952380952" style="593" customWidth="1"/>
    <col min="9990" max="9991" width="15.1047619047619" style="593" customWidth="1"/>
    <col min="9992" max="9992" width="14.3333333333333" style="593" customWidth="1"/>
    <col min="9993" max="9993" width="3.1047619047619" style="593" customWidth="1"/>
    <col min="9994" max="9994" width="6.43809523809524" style="593" customWidth="1"/>
    <col min="9995" max="10234" width="8.88571428571429" style="593"/>
    <col min="10235" max="10235" width="5.55238095238095" style="593" customWidth="1"/>
    <col min="10236" max="10236" width="9.33333333333333" style="593" customWidth="1"/>
    <col min="10237" max="10237" width="24.6666666666667" style="593" customWidth="1"/>
    <col min="10238" max="10238" width="11" style="593" customWidth="1"/>
    <col min="10239" max="10239" width="7.55238095238095" style="593" customWidth="1"/>
    <col min="10240" max="10240" width="13.552380952381" style="593" customWidth="1"/>
    <col min="10241" max="10241" width="5.43809523809524" style="593" customWidth="1"/>
    <col min="10242" max="10242" width="11.3333333333333" style="593" customWidth="1"/>
    <col min="10243" max="10243" width="5.66666666666667" style="593" customWidth="1"/>
    <col min="10244" max="10244" width="12" style="593" customWidth="1"/>
    <col min="10245" max="10245" width="15.4380952380952" style="593" customWidth="1"/>
    <col min="10246" max="10247" width="15.1047619047619" style="593" customWidth="1"/>
    <col min="10248" max="10248" width="14.3333333333333" style="593" customWidth="1"/>
    <col min="10249" max="10249" width="3.1047619047619" style="593" customWidth="1"/>
    <col min="10250" max="10250" width="6.43809523809524" style="593" customWidth="1"/>
    <col min="10251" max="10490" width="8.88571428571429" style="593"/>
    <col min="10491" max="10491" width="5.55238095238095" style="593" customWidth="1"/>
    <col min="10492" max="10492" width="9.33333333333333" style="593" customWidth="1"/>
    <col min="10493" max="10493" width="24.6666666666667" style="593" customWidth="1"/>
    <col min="10494" max="10494" width="11" style="593" customWidth="1"/>
    <col min="10495" max="10495" width="7.55238095238095" style="593" customWidth="1"/>
    <col min="10496" max="10496" width="13.552380952381" style="593" customWidth="1"/>
    <col min="10497" max="10497" width="5.43809523809524" style="593" customWidth="1"/>
    <col min="10498" max="10498" width="11.3333333333333" style="593" customWidth="1"/>
    <col min="10499" max="10499" width="5.66666666666667" style="593" customWidth="1"/>
    <col min="10500" max="10500" width="12" style="593" customWidth="1"/>
    <col min="10501" max="10501" width="15.4380952380952" style="593" customWidth="1"/>
    <col min="10502" max="10503" width="15.1047619047619" style="593" customWidth="1"/>
    <col min="10504" max="10504" width="14.3333333333333" style="593" customWidth="1"/>
    <col min="10505" max="10505" width="3.1047619047619" style="593" customWidth="1"/>
    <col min="10506" max="10506" width="6.43809523809524" style="593" customWidth="1"/>
    <col min="10507" max="10746" width="8.88571428571429" style="593"/>
    <col min="10747" max="10747" width="5.55238095238095" style="593" customWidth="1"/>
    <col min="10748" max="10748" width="9.33333333333333" style="593" customWidth="1"/>
    <col min="10749" max="10749" width="24.6666666666667" style="593" customWidth="1"/>
    <col min="10750" max="10750" width="11" style="593" customWidth="1"/>
    <col min="10751" max="10751" width="7.55238095238095" style="593" customWidth="1"/>
    <col min="10752" max="10752" width="13.552380952381" style="593" customWidth="1"/>
    <col min="10753" max="10753" width="5.43809523809524" style="593" customWidth="1"/>
    <col min="10754" max="10754" width="11.3333333333333" style="593" customWidth="1"/>
    <col min="10755" max="10755" width="5.66666666666667" style="593" customWidth="1"/>
    <col min="10756" max="10756" width="12" style="593" customWidth="1"/>
    <col min="10757" max="10757" width="15.4380952380952" style="593" customWidth="1"/>
    <col min="10758" max="10759" width="15.1047619047619" style="593" customWidth="1"/>
    <col min="10760" max="10760" width="14.3333333333333" style="593" customWidth="1"/>
    <col min="10761" max="10761" width="3.1047619047619" style="593" customWidth="1"/>
    <col min="10762" max="10762" width="6.43809523809524" style="593" customWidth="1"/>
    <col min="10763" max="11002" width="8.88571428571429" style="593"/>
    <col min="11003" max="11003" width="5.55238095238095" style="593" customWidth="1"/>
    <col min="11004" max="11004" width="9.33333333333333" style="593" customWidth="1"/>
    <col min="11005" max="11005" width="24.6666666666667" style="593" customWidth="1"/>
    <col min="11006" max="11006" width="11" style="593" customWidth="1"/>
    <col min="11007" max="11007" width="7.55238095238095" style="593" customWidth="1"/>
    <col min="11008" max="11008" width="13.552380952381" style="593" customWidth="1"/>
    <col min="11009" max="11009" width="5.43809523809524" style="593" customWidth="1"/>
    <col min="11010" max="11010" width="11.3333333333333" style="593" customWidth="1"/>
    <col min="11011" max="11011" width="5.66666666666667" style="593" customWidth="1"/>
    <col min="11012" max="11012" width="12" style="593" customWidth="1"/>
    <col min="11013" max="11013" width="15.4380952380952" style="593" customWidth="1"/>
    <col min="11014" max="11015" width="15.1047619047619" style="593" customWidth="1"/>
    <col min="11016" max="11016" width="14.3333333333333" style="593" customWidth="1"/>
    <col min="11017" max="11017" width="3.1047619047619" style="593" customWidth="1"/>
    <col min="11018" max="11018" width="6.43809523809524" style="593" customWidth="1"/>
    <col min="11019" max="11258" width="8.88571428571429" style="593"/>
    <col min="11259" max="11259" width="5.55238095238095" style="593" customWidth="1"/>
    <col min="11260" max="11260" width="9.33333333333333" style="593" customWidth="1"/>
    <col min="11261" max="11261" width="24.6666666666667" style="593" customWidth="1"/>
    <col min="11262" max="11262" width="11" style="593" customWidth="1"/>
    <col min="11263" max="11263" width="7.55238095238095" style="593" customWidth="1"/>
    <col min="11264" max="11264" width="13.552380952381" style="593" customWidth="1"/>
    <col min="11265" max="11265" width="5.43809523809524" style="593" customWidth="1"/>
    <col min="11266" max="11266" width="11.3333333333333" style="593" customWidth="1"/>
    <col min="11267" max="11267" width="5.66666666666667" style="593" customWidth="1"/>
    <col min="11268" max="11268" width="12" style="593" customWidth="1"/>
    <col min="11269" max="11269" width="15.4380952380952" style="593" customWidth="1"/>
    <col min="11270" max="11271" width="15.1047619047619" style="593" customWidth="1"/>
    <col min="11272" max="11272" width="14.3333333333333" style="593" customWidth="1"/>
    <col min="11273" max="11273" width="3.1047619047619" style="593" customWidth="1"/>
    <col min="11274" max="11274" width="6.43809523809524" style="593" customWidth="1"/>
    <col min="11275" max="11514" width="8.88571428571429" style="593"/>
    <col min="11515" max="11515" width="5.55238095238095" style="593" customWidth="1"/>
    <col min="11516" max="11516" width="9.33333333333333" style="593" customWidth="1"/>
    <col min="11517" max="11517" width="24.6666666666667" style="593" customWidth="1"/>
    <col min="11518" max="11518" width="11" style="593" customWidth="1"/>
    <col min="11519" max="11519" width="7.55238095238095" style="593" customWidth="1"/>
    <col min="11520" max="11520" width="13.552380952381" style="593" customWidth="1"/>
    <col min="11521" max="11521" width="5.43809523809524" style="593" customWidth="1"/>
    <col min="11522" max="11522" width="11.3333333333333" style="593" customWidth="1"/>
    <col min="11523" max="11523" width="5.66666666666667" style="593" customWidth="1"/>
    <col min="11524" max="11524" width="12" style="593" customWidth="1"/>
    <col min="11525" max="11525" width="15.4380952380952" style="593" customWidth="1"/>
    <col min="11526" max="11527" width="15.1047619047619" style="593" customWidth="1"/>
    <col min="11528" max="11528" width="14.3333333333333" style="593" customWidth="1"/>
    <col min="11529" max="11529" width="3.1047619047619" style="593" customWidth="1"/>
    <col min="11530" max="11530" width="6.43809523809524" style="593" customWidth="1"/>
    <col min="11531" max="11770" width="8.88571428571429" style="593"/>
    <col min="11771" max="11771" width="5.55238095238095" style="593" customWidth="1"/>
    <col min="11772" max="11772" width="9.33333333333333" style="593" customWidth="1"/>
    <col min="11773" max="11773" width="24.6666666666667" style="593" customWidth="1"/>
    <col min="11774" max="11774" width="11" style="593" customWidth="1"/>
    <col min="11775" max="11775" width="7.55238095238095" style="593" customWidth="1"/>
    <col min="11776" max="11776" width="13.552380952381" style="593" customWidth="1"/>
    <col min="11777" max="11777" width="5.43809523809524" style="593" customWidth="1"/>
    <col min="11778" max="11778" width="11.3333333333333" style="593" customWidth="1"/>
    <col min="11779" max="11779" width="5.66666666666667" style="593" customWidth="1"/>
    <col min="11780" max="11780" width="12" style="593" customWidth="1"/>
    <col min="11781" max="11781" width="15.4380952380952" style="593" customWidth="1"/>
    <col min="11782" max="11783" width="15.1047619047619" style="593" customWidth="1"/>
    <col min="11784" max="11784" width="14.3333333333333" style="593" customWidth="1"/>
    <col min="11785" max="11785" width="3.1047619047619" style="593" customWidth="1"/>
    <col min="11786" max="11786" width="6.43809523809524" style="593" customWidth="1"/>
    <col min="11787" max="12026" width="8.88571428571429" style="593"/>
    <col min="12027" max="12027" width="5.55238095238095" style="593" customWidth="1"/>
    <col min="12028" max="12028" width="9.33333333333333" style="593" customWidth="1"/>
    <col min="12029" max="12029" width="24.6666666666667" style="593" customWidth="1"/>
    <col min="12030" max="12030" width="11" style="593" customWidth="1"/>
    <col min="12031" max="12031" width="7.55238095238095" style="593" customWidth="1"/>
    <col min="12032" max="12032" width="13.552380952381" style="593" customWidth="1"/>
    <col min="12033" max="12033" width="5.43809523809524" style="593" customWidth="1"/>
    <col min="12034" max="12034" width="11.3333333333333" style="593" customWidth="1"/>
    <col min="12035" max="12035" width="5.66666666666667" style="593" customWidth="1"/>
    <col min="12036" max="12036" width="12" style="593" customWidth="1"/>
    <col min="12037" max="12037" width="15.4380952380952" style="593" customWidth="1"/>
    <col min="12038" max="12039" width="15.1047619047619" style="593" customWidth="1"/>
    <col min="12040" max="12040" width="14.3333333333333" style="593" customWidth="1"/>
    <col min="12041" max="12041" width="3.1047619047619" style="593" customWidth="1"/>
    <col min="12042" max="12042" width="6.43809523809524" style="593" customWidth="1"/>
    <col min="12043" max="12282" width="8.88571428571429" style="593"/>
    <col min="12283" max="12283" width="5.55238095238095" style="593" customWidth="1"/>
    <col min="12284" max="12284" width="9.33333333333333" style="593" customWidth="1"/>
    <col min="12285" max="12285" width="24.6666666666667" style="593" customWidth="1"/>
    <col min="12286" max="12286" width="11" style="593" customWidth="1"/>
    <col min="12287" max="12287" width="7.55238095238095" style="593" customWidth="1"/>
    <col min="12288" max="12288" width="13.552380952381" style="593" customWidth="1"/>
    <col min="12289" max="12289" width="5.43809523809524" style="593" customWidth="1"/>
    <col min="12290" max="12290" width="11.3333333333333" style="593" customWidth="1"/>
    <col min="12291" max="12291" width="5.66666666666667" style="593" customWidth="1"/>
    <col min="12292" max="12292" width="12" style="593" customWidth="1"/>
    <col min="12293" max="12293" width="15.4380952380952" style="593" customWidth="1"/>
    <col min="12294" max="12295" width="15.1047619047619" style="593" customWidth="1"/>
    <col min="12296" max="12296" width="14.3333333333333" style="593" customWidth="1"/>
    <col min="12297" max="12297" width="3.1047619047619" style="593" customWidth="1"/>
    <col min="12298" max="12298" width="6.43809523809524" style="593" customWidth="1"/>
    <col min="12299" max="12538" width="8.88571428571429" style="593"/>
    <col min="12539" max="12539" width="5.55238095238095" style="593" customWidth="1"/>
    <col min="12540" max="12540" width="9.33333333333333" style="593" customWidth="1"/>
    <col min="12541" max="12541" width="24.6666666666667" style="593" customWidth="1"/>
    <col min="12542" max="12542" width="11" style="593" customWidth="1"/>
    <col min="12543" max="12543" width="7.55238095238095" style="593" customWidth="1"/>
    <col min="12544" max="12544" width="13.552380952381" style="593" customWidth="1"/>
    <col min="12545" max="12545" width="5.43809523809524" style="593" customWidth="1"/>
    <col min="12546" max="12546" width="11.3333333333333" style="593" customWidth="1"/>
    <col min="12547" max="12547" width="5.66666666666667" style="593" customWidth="1"/>
    <col min="12548" max="12548" width="12" style="593" customWidth="1"/>
    <col min="12549" max="12549" width="15.4380952380952" style="593" customWidth="1"/>
    <col min="12550" max="12551" width="15.1047619047619" style="593" customWidth="1"/>
    <col min="12552" max="12552" width="14.3333333333333" style="593" customWidth="1"/>
    <col min="12553" max="12553" width="3.1047619047619" style="593" customWidth="1"/>
    <col min="12554" max="12554" width="6.43809523809524" style="593" customWidth="1"/>
    <col min="12555" max="12794" width="8.88571428571429" style="593"/>
    <col min="12795" max="12795" width="5.55238095238095" style="593" customWidth="1"/>
    <col min="12796" max="12796" width="9.33333333333333" style="593" customWidth="1"/>
    <col min="12797" max="12797" width="24.6666666666667" style="593" customWidth="1"/>
    <col min="12798" max="12798" width="11" style="593" customWidth="1"/>
    <col min="12799" max="12799" width="7.55238095238095" style="593" customWidth="1"/>
    <col min="12800" max="12800" width="13.552380952381" style="593" customWidth="1"/>
    <col min="12801" max="12801" width="5.43809523809524" style="593" customWidth="1"/>
    <col min="12802" max="12802" width="11.3333333333333" style="593" customWidth="1"/>
    <col min="12803" max="12803" width="5.66666666666667" style="593" customWidth="1"/>
    <col min="12804" max="12804" width="12" style="593" customWidth="1"/>
    <col min="12805" max="12805" width="15.4380952380952" style="593" customWidth="1"/>
    <col min="12806" max="12807" width="15.1047619047619" style="593" customWidth="1"/>
    <col min="12808" max="12808" width="14.3333333333333" style="593" customWidth="1"/>
    <col min="12809" max="12809" width="3.1047619047619" style="593" customWidth="1"/>
    <col min="12810" max="12810" width="6.43809523809524" style="593" customWidth="1"/>
    <col min="12811" max="13050" width="8.88571428571429" style="593"/>
    <col min="13051" max="13051" width="5.55238095238095" style="593" customWidth="1"/>
    <col min="13052" max="13052" width="9.33333333333333" style="593" customWidth="1"/>
    <col min="13053" max="13053" width="24.6666666666667" style="593" customWidth="1"/>
    <col min="13054" max="13054" width="11" style="593" customWidth="1"/>
    <col min="13055" max="13055" width="7.55238095238095" style="593" customWidth="1"/>
    <col min="13056" max="13056" width="13.552380952381" style="593" customWidth="1"/>
    <col min="13057" max="13057" width="5.43809523809524" style="593" customWidth="1"/>
    <col min="13058" max="13058" width="11.3333333333333" style="593" customWidth="1"/>
    <col min="13059" max="13059" width="5.66666666666667" style="593" customWidth="1"/>
    <col min="13060" max="13060" width="12" style="593" customWidth="1"/>
    <col min="13061" max="13061" width="15.4380952380952" style="593" customWidth="1"/>
    <col min="13062" max="13063" width="15.1047619047619" style="593" customWidth="1"/>
    <col min="13064" max="13064" width="14.3333333333333" style="593" customWidth="1"/>
    <col min="13065" max="13065" width="3.1047619047619" style="593" customWidth="1"/>
    <col min="13066" max="13066" width="6.43809523809524" style="593" customWidth="1"/>
    <col min="13067" max="13306" width="8.88571428571429" style="593"/>
    <col min="13307" max="13307" width="5.55238095238095" style="593" customWidth="1"/>
    <col min="13308" max="13308" width="9.33333333333333" style="593" customWidth="1"/>
    <col min="13309" max="13309" width="24.6666666666667" style="593" customWidth="1"/>
    <col min="13310" max="13310" width="11" style="593" customWidth="1"/>
    <col min="13311" max="13311" width="7.55238095238095" style="593" customWidth="1"/>
    <col min="13312" max="13312" width="13.552380952381" style="593" customWidth="1"/>
    <col min="13313" max="13313" width="5.43809523809524" style="593" customWidth="1"/>
    <col min="13314" max="13314" width="11.3333333333333" style="593" customWidth="1"/>
    <col min="13315" max="13315" width="5.66666666666667" style="593" customWidth="1"/>
    <col min="13316" max="13316" width="12" style="593" customWidth="1"/>
    <col min="13317" max="13317" width="15.4380952380952" style="593" customWidth="1"/>
    <col min="13318" max="13319" width="15.1047619047619" style="593" customWidth="1"/>
    <col min="13320" max="13320" width="14.3333333333333" style="593" customWidth="1"/>
    <col min="13321" max="13321" width="3.1047619047619" style="593" customWidth="1"/>
    <col min="13322" max="13322" width="6.43809523809524" style="593" customWidth="1"/>
    <col min="13323" max="13562" width="8.88571428571429" style="593"/>
    <col min="13563" max="13563" width="5.55238095238095" style="593" customWidth="1"/>
    <col min="13564" max="13564" width="9.33333333333333" style="593" customWidth="1"/>
    <col min="13565" max="13565" width="24.6666666666667" style="593" customWidth="1"/>
    <col min="13566" max="13566" width="11" style="593" customWidth="1"/>
    <col min="13567" max="13567" width="7.55238095238095" style="593" customWidth="1"/>
    <col min="13568" max="13568" width="13.552380952381" style="593" customWidth="1"/>
    <col min="13569" max="13569" width="5.43809523809524" style="593" customWidth="1"/>
    <col min="13570" max="13570" width="11.3333333333333" style="593" customWidth="1"/>
    <col min="13571" max="13571" width="5.66666666666667" style="593" customWidth="1"/>
    <col min="13572" max="13572" width="12" style="593" customWidth="1"/>
    <col min="13573" max="13573" width="15.4380952380952" style="593" customWidth="1"/>
    <col min="13574" max="13575" width="15.1047619047619" style="593" customWidth="1"/>
    <col min="13576" max="13576" width="14.3333333333333" style="593" customWidth="1"/>
    <col min="13577" max="13577" width="3.1047619047619" style="593" customWidth="1"/>
    <col min="13578" max="13578" width="6.43809523809524" style="593" customWidth="1"/>
    <col min="13579" max="13818" width="8.88571428571429" style="593"/>
    <col min="13819" max="13819" width="5.55238095238095" style="593" customWidth="1"/>
    <col min="13820" max="13820" width="9.33333333333333" style="593" customWidth="1"/>
    <col min="13821" max="13821" width="24.6666666666667" style="593" customWidth="1"/>
    <col min="13822" max="13822" width="11" style="593" customWidth="1"/>
    <col min="13823" max="13823" width="7.55238095238095" style="593" customWidth="1"/>
    <col min="13824" max="13824" width="13.552380952381" style="593" customWidth="1"/>
    <col min="13825" max="13825" width="5.43809523809524" style="593" customWidth="1"/>
    <col min="13826" max="13826" width="11.3333333333333" style="593" customWidth="1"/>
    <col min="13827" max="13827" width="5.66666666666667" style="593" customWidth="1"/>
    <col min="13828" max="13828" width="12" style="593" customWidth="1"/>
    <col min="13829" max="13829" width="15.4380952380952" style="593" customWidth="1"/>
    <col min="13830" max="13831" width="15.1047619047619" style="593" customWidth="1"/>
    <col min="13832" max="13832" width="14.3333333333333" style="593" customWidth="1"/>
    <col min="13833" max="13833" width="3.1047619047619" style="593" customWidth="1"/>
    <col min="13834" max="13834" width="6.43809523809524" style="593" customWidth="1"/>
    <col min="13835" max="14074" width="8.88571428571429" style="593"/>
    <col min="14075" max="14075" width="5.55238095238095" style="593" customWidth="1"/>
    <col min="14076" max="14076" width="9.33333333333333" style="593" customWidth="1"/>
    <col min="14077" max="14077" width="24.6666666666667" style="593" customWidth="1"/>
    <col min="14078" max="14078" width="11" style="593" customWidth="1"/>
    <col min="14079" max="14079" width="7.55238095238095" style="593" customWidth="1"/>
    <col min="14080" max="14080" width="13.552380952381" style="593" customWidth="1"/>
    <col min="14081" max="14081" width="5.43809523809524" style="593" customWidth="1"/>
    <col min="14082" max="14082" width="11.3333333333333" style="593" customWidth="1"/>
    <col min="14083" max="14083" width="5.66666666666667" style="593" customWidth="1"/>
    <col min="14084" max="14084" width="12" style="593" customWidth="1"/>
    <col min="14085" max="14085" width="15.4380952380952" style="593" customWidth="1"/>
    <col min="14086" max="14087" width="15.1047619047619" style="593" customWidth="1"/>
    <col min="14088" max="14088" width="14.3333333333333" style="593" customWidth="1"/>
    <col min="14089" max="14089" width="3.1047619047619" style="593" customWidth="1"/>
    <col min="14090" max="14090" width="6.43809523809524" style="593" customWidth="1"/>
    <col min="14091" max="14330" width="8.88571428571429" style="593"/>
    <col min="14331" max="14331" width="5.55238095238095" style="593" customWidth="1"/>
    <col min="14332" max="14332" width="9.33333333333333" style="593" customWidth="1"/>
    <col min="14333" max="14333" width="24.6666666666667" style="593" customWidth="1"/>
    <col min="14334" max="14334" width="11" style="593" customWidth="1"/>
    <col min="14335" max="14335" width="7.55238095238095" style="593" customWidth="1"/>
    <col min="14336" max="14336" width="13.552380952381" style="593" customWidth="1"/>
    <col min="14337" max="14337" width="5.43809523809524" style="593" customWidth="1"/>
    <col min="14338" max="14338" width="11.3333333333333" style="593" customWidth="1"/>
    <col min="14339" max="14339" width="5.66666666666667" style="593" customWidth="1"/>
    <col min="14340" max="14340" width="12" style="593" customWidth="1"/>
    <col min="14341" max="14341" width="15.4380952380952" style="593" customWidth="1"/>
    <col min="14342" max="14343" width="15.1047619047619" style="593" customWidth="1"/>
    <col min="14344" max="14344" width="14.3333333333333" style="593" customWidth="1"/>
    <col min="14345" max="14345" width="3.1047619047619" style="593" customWidth="1"/>
    <col min="14346" max="14346" width="6.43809523809524" style="593" customWidth="1"/>
    <col min="14347" max="14586" width="8.88571428571429" style="593"/>
    <col min="14587" max="14587" width="5.55238095238095" style="593" customWidth="1"/>
    <col min="14588" max="14588" width="9.33333333333333" style="593" customWidth="1"/>
    <col min="14589" max="14589" width="24.6666666666667" style="593" customWidth="1"/>
    <col min="14590" max="14590" width="11" style="593" customWidth="1"/>
    <col min="14591" max="14591" width="7.55238095238095" style="593" customWidth="1"/>
    <col min="14592" max="14592" width="13.552380952381" style="593" customWidth="1"/>
    <col min="14593" max="14593" width="5.43809523809524" style="593" customWidth="1"/>
    <col min="14594" max="14594" width="11.3333333333333" style="593" customWidth="1"/>
    <col min="14595" max="14595" width="5.66666666666667" style="593" customWidth="1"/>
    <col min="14596" max="14596" width="12" style="593" customWidth="1"/>
    <col min="14597" max="14597" width="15.4380952380952" style="593" customWidth="1"/>
    <col min="14598" max="14599" width="15.1047619047619" style="593" customWidth="1"/>
    <col min="14600" max="14600" width="14.3333333333333" style="593" customWidth="1"/>
    <col min="14601" max="14601" width="3.1047619047619" style="593" customWidth="1"/>
    <col min="14602" max="14602" width="6.43809523809524" style="593" customWidth="1"/>
    <col min="14603" max="14842" width="8.88571428571429" style="593"/>
    <col min="14843" max="14843" width="5.55238095238095" style="593" customWidth="1"/>
    <col min="14844" max="14844" width="9.33333333333333" style="593" customWidth="1"/>
    <col min="14845" max="14845" width="24.6666666666667" style="593" customWidth="1"/>
    <col min="14846" max="14846" width="11" style="593" customWidth="1"/>
    <col min="14847" max="14847" width="7.55238095238095" style="593" customWidth="1"/>
    <col min="14848" max="14848" width="13.552380952381" style="593" customWidth="1"/>
    <col min="14849" max="14849" width="5.43809523809524" style="593" customWidth="1"/>
    <col min="14850" max="14850" width="11.3333333333333" style="593" customWidth="1"/>
    <col min="14851" max="14851" width="5.66666666666667" style="593" customWidth="1"/>
    <col min="14852" max="14852" width="12" style="593" customWidth="1"/>
    <col min="14853" max="14853" width="15.4380952380952" style="593" customWidth="1"/>
    <col min="14854" max="14855" width="15.1047619047619" style="593" customWidth="1"/>
    <col min="14856" max="14856" width="14.3333333333333" style="593" customWidth="1"/>
    <col min="14857" max="14857" width="3.1047619047619" style="593" customWidth="1"/>
    <col min="14858" max="14858" width="6.43809523809524" style="593" customWidth="1"/>
    <col min="14859" max="15098" width="8.88571428571429" style="593"/>
    <col min="15099" max="15099" width="5.55238095238095" style="593" customWidth="1"/>
    <col min="15100" max="15100" width="9.33333333333333" style="593" customWidth="1"/>
    <col min="15101" max="15101" width="24.6666666666667" style="593" customWidth="1"/>
    <col min="15102" max="15102" width="11" style="593" customWidth="1"/>
    <col min="15103" max="15103" width="7.55238095238095" style="593" customWidth="1"/>
    <col min="15104" max="15104" width="13.552380952381" style="593" customWidth="1"/>
    <col min="15105" max="15105" width="5.43809523809524" style="593" customWidth="1"/>
    <col min="15106" max="15106" width="11.3333333333333" style="593" customWidth="1"/>
    <col min="15107" max="15107" width="5.66666666666667" style="593" customWidth="1"/>
    <col min="15108" max="15108" width="12" style="593" customWidth="1"/>
    <col min="15109" max="15109" width="15.4380952380952" style="593" customWidth="1"/>
    <col min="15110" max="15111" width="15.1047619047619" style="593" customWidth="1"/>
    <col min="15112" max="15112" width="14.3333333333333" style="593" customWidth="1"/>
    <col min="15113" max="15113" width="3.1047619047619" style="593" customWidth="1"/>
    <col min="15114" max="15114" width="6.43809523809524" style="593" customWidth="1"/>
    <col min="15115" max="15354" width="8.88571428571429" style="593"/>
    <col min="15355" max="15355" width="5.55238095238095" style="593" customWidth="1"/>
    <col min="15356" max="15356" width="9.33333333333333" style="593" customWidth="1"/>
    <col min="15357" max="15357" width="24.6666666666667" style="593" customWidth="1"/>
    <col min="15358" max="15358" width="11" style="593" customWidth="1"/>
    <col min="15359" max="15359" width="7.55238095238095" style="593" customWidth="1"/>
    <col min="15360" max="15360" width="13.552380952381" style="593" customWidth="1"/>
    <col min="15361" max="15361" width="5.43809523809524" style="593" customWidth="1"/>
    <col min="15362" max="15362" width="11.3333333333333" style="593" customWidth="1"/>
    <col min="15363" max="15363" width="5.66666666666667" style="593" customWidth="1"/>
    <col min="15364" max="15364" width="12" style="593" customWidth="1"/>
    <col min="15365" max="15365" width="15.4380952380952" style="593" customWidth="1"/>
    <col min="15366" max="15367" width="15.1047619047619" style="593" customWidth="1"/>
    <col min="15368" max="15368" width="14.3333333333333" style="593" customWidth="1"/>
    <col min="15369" max="15369" width="3.1047619047619" style="593" customWidth="1"/>
    <col min="15370" max="15370" width="6.43809523809524" style="593" customWidth="1"/>
    <col min="15371" max="15610" width="8.88571428571429" style="593"/>
    <col min="15611" max="15611" width="5.55238095238095" style="593" customWidth="1"/>
    <col min="15612" max="15612" width="9.33333333333333" style="593" customWidth="1"/>
    <col min="15613" max="15613" width="24.6666666666667" style="593" customWidth="1"/>
    <col min="15614" max="15614" width="11" style="593" customWidth="1"/>
    <col min="15615" max="15615" width="7.55238095238095" style="593" customWidth="1"/>
    <col min="15616" max="15616" width="13.552380952381" style="593" customWidth="1"/>
    <col min="15617" max="15617" width="5.43809523809524" style="593" customWidth="1"/>
    <col min="15618" max="15618" width="11.3333333333333" style="593" customWidth="1"/>
    <col min="15619" max="15619" width="5.66666666666667" style="593" customWidth="1"/>
    <col min="15620" max="15620" width="12" style="593" customWidth="1"/>
    <col min="15621" max="15621" width="15.4380952380952" style="593" customWidth="1"/>
    <col min="15622" max="15623" width="15.1047619047619" style="593" customWidth="1"/>
    <col min="15624" max="15624" width="14.3333333333333" style="593" customWidth="1"/>
    <col min="15625" max="15625" width="3.1047619047619" style="593" customWidth="1"/>
    <col min="15626" max="15626" width="6.43809523809524" style="593" customWidth="1"/>
    <col min="15627" max="15866" width="8.88571428571429" style="593"/>
    <col min="15867" max="15867" width="5.55238095238095" style="593" customWidth="1"/>
    <col min="15868" max="15868" width="9.33333333333333" style="593" customWidth="1"/>
    <col min="15869" max="15869" width="24.6666666666667" style="593" customWidth="1"/>
    <col min="15870" max="15870" width="11" style="593" customWidth="1"/>
    <col min="15871" max="15871" width="7.55238095238095" style="593" customWidth="1"/>
    <col min="15872" max="15872" width="13.552380952381" style="593" customWidth="1"/>
    <col min="15873" max="15873" width="5.43809523809524" style="593" customWidth="1"/>
    <col min="15874" max="15874" width="11.3333333333333" style="593" customWidth="1"/>
    <col min="15875" max="15875" width="5.66666666666667" style="593" customWidth="1"/>
    <col min="15876" max="15876" width="12" style="593" customWidth="1"/>
    <col min="15877" max="15877" width="15.4380952380952" style="593" customWidth="1"/>
    <col min="15878" max="15879" width="15.1047619047619" style="593" customWidth="1"/>
    <col min="15880" max="15880" width="14.3333333333333" style="593" customWidth="1"/>
    <col min="15881" max="15881" width="3.1047619047619" style="593" customWidth="1"/>
    <col min="15882" max="15882" width="6.43809523809524" style="593" customWidth="1"/>
    <col min="15883" max="16122" width="8.88571428571429" style="593"/>
    <col min="16123" max="16123" width="5.55238095238095" style="593" customWidth="1"/>
    <col min="16124" max="16124" width="9.33333333333333" style="593" customWidth="1"/>
    <col min="16125" max="16125" width="24.6666666666667" style="593" customWidth="1"/>
    <col min="16126" max="16126" width="11" style="593" customWidth="1"/>
    <col min="16127" max="16127" width="7.55238095238095" style="593" customWidth="1"/>
    <col min="16128" max="16128" width="13.552380952381" style="593" customWidth="1"/>
    <col min="16129" max="16129" width="5.43809523809524" style="593" customWidth="1"/>
    <col min="16130" max="16130" width="11.3333333333333" style="593" customWidth="1"/>
    <col min="16131" max="16131" width="5.66666666666667" style="593" customWidth="1"/>
    <col min="16132" max="16132" width="12" style="593" customWidth="1"/>
    <col min="16133" max="16133" width="15.4380952380952" style="593" customWidth="1"/>
    <col min="16134" max="16135" width="15.1047619047619" style="593" customWidth="1"/>
    <col min="16136" max="16136" width="14.3333333333333" style="593" customWidth="1"/>
    <col min="16137" max="16137" width="3.1047619047619" style="593" customWidth="1"/>
    <col min="16138" max="16138" width="6.43809523809524" style="593" customWidth="1"/>
    <col min="16139" max="16384" width="8.88571428571429" style="593"/>
  </cols>
  <sheetData>
    <row r="1" ht="42" customHeight="1" spans="1:15">
      <c r="A1" s="599" t="s">
        <v>0</v>
      </c>
      <c r="B1" s="599"/>
      <c r="C1" s="599"/>
      <c r="D1" s="599"/>
      <c r="E1" s="599"/>
      <c r="F1" s="599"/>
      <c r="G1" s="599"/>
      <c r="H1" s="599"/>
      <c r="I1" s="599"/>
      <c r="J1" s="599"/>
      <c r="K1" s="599"/>
      <c r="L1" s="599"/>
      <c r="M1" s="599"/>
      <c r="N1" s="599"/>
    </row>
    <row r="2" ht="38.4" customHeight="1" spans="1:15">
      <c r="A2" s="600" t="s">
        <v>1</v>
      </c>
      <c r="B2" s="814" t="s">
        <v>2</v>
      </c>
      <c r="C2" s="601" t="s">
        <v>3</v>
      </c>
      <c r="D2" s="601" t="s">
        <v>4</v>
      </c>
      <c r="E2" s="602" t="s">
        <v>5</v>
      </c>
      <c r="F2" s="602" t="s">
        <v>6</v>
      </c>
      <c r="G2" s="603" t="s">
        <v>7</v>
      </c>
      <c r="H2" s="604" t="s">
        <v>8</v>
      </c>
      <c r="I2" s="605" t="s">
        <v>9</v>
      </c>
      <c r="J2" s="606"/>
      <c r="K2" s="815" t="s">
        <v>10</v>
      </c>
      <c r="L2" s="603" t="s">
        <v>7</v>
      </c>
      <c r="M2" s="604" t="s">
        <v>8</v>
      </c>
      <c r="N2" s="605" t="s">
        <v>9</v>
      </c>
    </row>
    <row r="3" ht="34.95" customHeight="1" spans="1:15">
      <c r="A3" s="816">
        <v>1</v>
      </c>
      <c r="B3" s="817" t="s">
        <v>11</v>
      </c>
      <c r="C3" s="818">
        <v>45753</v>
      </c>
      <c r="D3" s="819" t="s">
        <v>12</v>
      </c>
      <c r="E3" s="820"/>
      <c r="F3" s="821"/>
      <c r="G3" s="822">
        <v>471534700</v>
      </c>
      <c r="H3" s="823"/>
      <c r="I3" s="824">
        <f>G3-H3</f>
        <v>471534700</v>
      </c>
      <c r="J3" s="825"/>
      <c r="K3" s="826">
        <v>78.6679</v>
      </c>
      <c r="L3" s="827">
        <f>G3/K3</f>
        <v>5993991.19590074</v>
      </c>
      <c r="M3" s="828"/>
      <c r="N3" s="829">
        <f>L3-M3</f>
        <v>5993991.19590074</v>
      </c>
      <c r="O3" s="772">
        <f>G3+G5-H6-H7-H8-H9</f>
        <v>0.0125000476837158</v>
      </c>
    </row>
    <row r="4" ht="34.95" customHeight="1" spans="1:15">
      <c r="A4" s="624">
        <v>2</v>
      </c>
      <c r="B4" s="830"/>
      <c r="C4" s="638">
        <v>45753</v>
      </c>
      <c r="D4" s="831" t="s">
        <v>13</v>
      </c>
      <c r="E4" s="640" t="s">
        <v>14</v>
      </c>
      <c r="F4" s="832">
        <v>47153470</v>
      </c>
      <c r="G4" s="642"/>
      <c r="H4" s="833"/>
      <c r="I4" s="834">
        <f>G4-H4+I3</f>
        <v>471534700</v>
      </c>
      <c r="J4" s="825"/>
      <c r="K4" s="835">
        <v>78.6679</v>
      </c>
      <c r="L4" s="645">
        <f>G4/K4</f>
        <v>0</v>
      </c>
      <c r="M4" s="836"/>
      <c r="N4" s="635">
        <f>L4-M4+N3</f>
        <v>5993991.19590074</v>
      </c>
      <c r="O4" s="755"/>
    </row>
    <row r="5" ht="34.95" customHeight="1" spans="1:15">
      <c r="A5" s="624">
        <v>3</v>
      </c>
      <c r="B5" s="830"/>
      <c r="C5" s="638">
        <v>45753</v>
      </c>
      <c r="D5" s="639" t="s">
        <v>15</v>
      </c>
      <c r="E5" s="837"/>
      <c r="F5" s="641"/>
      <c r="G5" s="642">
        <v>94306940</v>
      </c>
      <c r="H5" s="838"/>
      <c r="I5" s="834">
        <f>G5-H5+I4</f>
        <v>565841640</v>
      </c>
      <c r="J5" s="825"/>
      <c r="K5" s="835">
        <v>78.6679</v>
      </c>
      <c r="L5" s="645">
        <f>G5/K5</f>
        <v>1198798.23918015</v>
      </c>
      <c r="M5" s="836"/>
      <c r="N5" s="635">
        <f>L5-M5+N4</f>
        <v>7192789.43508089</v>
      </c>
      <c r="O5" s="755"/>
    </row>
    <row r="6" ht="34.95" customHeight="1" spans="1:15">
      <c r="A6" s="624">
        <v>4</v>
      </c>
      <c r="B6" s="830"/>
      <c r="C6" s="638"/>
      <c r="D6" s="639" t="s">
        <v>16</v>
      </c>
      <c r="E6" s="837"/>
      <c r="F6" s="641"/>
      <c r="G6" s="642"/>
      <c r="H6" s="777">
        <v>94306940</v>
      </c>
      <c r="I6" s="834">
        <f>G6-H6+I5</f>
        <v>471534700</v>
      </c>
      <c r="J6" s="825"/>
      <c r="K6" s="835">
        <v>78.6679</v>
      </c>
      <c r="L6" s="645"/>
      <c r="M6" s="836">
        <f>H6/K6</f>
        <v>1198798.23918015</v>
      </c>
      <c r="N6" s="635">
        <f>L6-M6+N5</f>
        <v>5993991.19590074</v>
      </c>
      <c r="O6" s="755"/>
    </row>
    <row r="7" ht="34.95" customHeight="1" spans="1:15">
      <c r="A7" s="624">
        <v>5</v>
      </c>
      <c r="B7" s="830"/>
      <c r="C7" s="638"/>
      <c r="D7" s="639" t="s">
        <v>17</v>
      </c>
      <c r="E7" s="837"/>
      <c r="F7" s="641"/>
      <c r="G7" s="642"/>
      <c r="H7" s="777">
        <v>556200</v>
      </c>
      <c r="I7" s="834">
        <f>G7-H7+I6</f>
        <v>470978500</v>
      </c>
      <c r="J7" s="825"/>
      <c r="K7" s="835">
        <v>78.6679</v>
      </c>
      <c r="L7" s="645"/>
      <c r="M7" s="836">
        <f>H7/K7</f>
        <v>7070.2281362538</v>
      </c>
      <c r="N7" s="635">
        <f>L7-M7+N6</f>
        <v>5986920.96776449</v>
      </c>
      <c r="O7" s="755"/>
    </row>
    <row r="8" ht="34.95" customHeight="1" spans="1:15">
      <c r="A8" s="624">
        <v>6</v>
      </c>
      <c r="B8" s="830"/>
      <c r="C8" s="638"/>
      <c r="D8" s="639" t="s">
        <v>18</v>
      </c>
      <c r="E8" s="837"/>
      <c r="F8" s="641"/>
      <c r="G8" s="642"/>
      <c r="H8" s="777">
        <v>11711970.71</v>
      </c>
      <c r="I8" s="834">
        <f>G8-H8+I7</f>
        <v>459266529.29</v>
      </c>
      <c r="J8" s="825"/>
      <c r="K8" s="835">
        <v>78.6679</v>
      </c>
      <c r="L8" s="645"/>
      <c r="M8" s="836">
        <f>H8/K8</f>
        <v>148878.649487275</v>
      </c>
      <c r="N8" s="635">
        <f>L8-M8+N7</f>
        <v>5838042.31827721</v>
      </c>
      <c r="O8" s="755"/>
    </row>
    <row r="9" ht="34.95" customHeight="1" spans="1:15">
      <c r="A9" s="624">
        <v>7</v>
      </c>
      <c r="B9" s="839"/>
      <c r="C9" s="638"/>
      <c r="D9" s="639" t="s">
        <v>19</v>
      </c>
      <c r="E9" s="837">
        <v>9934.05</v>
      </c>
      <c r="F9" s="840">
        <v>46231.55</v>
      </c>
      <c r="G9" s="642"/>
      <c r="H9" s="643">
        <f>E9*F9</f>
        <v>459266529.2775</v>
      </c>
      <c r="I9" s="834">
        <f>G9-H9+I8</f>
        <v>0.0125000476837158</v>
      </c>
      <c r="J9" s="825"/>
      <c r="K9" s="653">
        <v>587.68</v>
      </c>
      <c r="L9" s="645"/>
      <c r="M9" s="836">
        <f>E9*K9</f>
        <v>5838042.504</v>
      </c>
      <c r="N9" s="635">
        <f>L9-M9+N8</f>
        <v>-0.185722786933184</v>
      </c>
      <c r="O9" s="755"/>
    </row>
    <row r="10" ht="34.95" customHeight="1" spans="1:15">
      <c r="A10" s="624">
        <v>8</v>
      </c>
      <c r="B10" s="841"/>
      <c r="C10" s="625"/>
      <c r="D10" s="626"/>
      <c r="E10" s="765"/>
      <c r="F10" s="628"/>
      <c r="G10" s="655"/>
      <c r="H10" s="630"/>
      <c r="I10" s="842">
        <f>G10-H10+I9</f>
        <v>0.0125000476837158</v>
      </c>
      <c r="J10" s="619"/>
      <c r="K10" s="636"/>
      <c r="L10" s="633"/>
      <c r="M10" s="731"/>
      <c r="N10" s="635">
        <f>L10-M10+N9</f>
        <v>-0.185722786933184</v>
      </c>
    </row>
    <row r="11" ht="34.95" customHeight="1" spans="1:15">
      <c r="A11" s="624">
        <v>9</v>
      </c>
      <c r="B11" s="843" t="s">
        <v>20</v>
      </c>
      <c r="C11" s="638" t="s">
        <v>21</v>
      </c>
      <c r="D11" s="639" t="s">
        <v>22</v>
      </c>
      <c r="E11" s="837"/>
      <c r="F11" s="641"/>
      <c r="G11" s="642">
        <v>230608992</v>
      </c>
      <c r="H11" s="643"/>
      <c r="I11" s="834">
        <f>G11-H11+I10</f>
        <v>230608992.0125</v>
      </c>
      <c r="J11" s="825"/>
      <c r="K11" s="835">
        <v>78.7724</v>
      </c>
      <c r="L11" s="645">
        <f>G11/K11</f>
        <v>2927535.43119164</v>
      </c>
      <c r="M11" s="836"/>
      <c r="N11" s="635">
        <f>L11-M11+N10</f>
        <v>2927535.24546885</v>
      </c>
      <c r="O11" s="844">
        <f>G11+G12+G13+G14+G15-H16-H17</f>
        <v>-0.392660081386566</v>
      </c>
    </row>
    <row r="12" ht="34.95" customHeight="1" spans="1:15">
      <c r="A12" s="624">
        <v>10</v>
      </c>
      <c r="B12" s="830"/>
      <c r="C12" s="638">
        <v>45876</v>
      </c>
      <c r="D12" s="639" t="s">
        <v>23</v>
      </c>
      <c r="E12" s="837"/>
      <c r="F12" s="641"/>
      <c r="G12" s="642">
        <v>206015509</v>
      </c>
      <c r="H12" s="643"/>
      <c r="I12" s="834">
        <f>G12-H12+I11</f>
        <v>436624501.0125</v>
      </c>
      <c r="J12" s="825"/>
      <c r="K12" s="835">
        <v>78.7724</v>
      </c>
      <c r="L12" s="645">
        <f>G12/K12</f>
        <v>2615326.0405929</v>
      </c>
      <c r="M12" s="836"/>
      <c r="N12" s="635">
        <f>L12-M12+N11</f>
        <v>5542861.28606175</v>
      </c>
      <c r="O12" s="844"/>
    </row>
    <row r="13" ht="34.95" customHeight="1" spans="1:15">
      <c r="A13" s="624">
        <v>11</v>
      </c>
      <c r="B13" s="830"/>
      <c r="C13" s="638" t="s">
        <v>24</v>
      </c>
      <c r="D13" s="639" t="s">
        <v>25</v>
      </c>
      <c r="E13" s="837"/>
      <c r="F13" s="641"/>
      <c r="G13" s="642">
        <v>86243597</v>
      </c>
      <c r="H13" s="643"/>
      <c r="I13" s="834">
        <f>G13-H13+I12</f>
        <v>522868098.0125</v>
      </c>
      <c r="J13" s="825"/>
      <c r="K13" s="835">
        <v>78.7724</v>
      </c>
      <c r="L13" s="645">
        <f>G13/K13</f>
        <v>1094845.3646201</v>
      </c>
      <c r="M13" s="836"/>
      <c r="N13" s="635">
        <f>L13-M13+N12</f>
        <v>6637706.65068184</v>
      </c>
      <c r="O13" s="844"/>
    </row>
    <row r="14" ht="34.95" customHeight="1" spans="1:15">
      <c r="A14" s="624">
        <v>12</v>
      </c>
      <c r="B14" s="830"/>
      <c r="C14" s="638"/>
      <c r="D14" s="639" t="s">
        <v>26</v>
      </c>
      <c r="E14" s="837"/>
      <c r="F14" s="641"/>
      <c r="G14" s="729">
        <v>71902449</v>
      </c>
      <c r="H14" s="643"/>
      <c r="I14" s="834">
        <f>G14-H14+I13</f>
        <v>594770547.0125</v>
      </c>
      <c r="J14" s="825"/>
      <c r="K14" s="644">
        <v>78.7724</v>
      </c>
      <c r="L14" s="645">
        <f>G14/K14</f>
        <v>912787.334142415</v>
      </c>
      <c r="M14" s="836"/>
      <c r="N14" s="635">
        <f>L14-M14+N13</f>
        <v>7550493.98482426</v>
      </c>
      <c r="O14" s="844"/>
    </row>
    <row r="15" ht="34.95" customHeight="1" spans="1:15">
      <c r="A15" s="624">
        <v>13</v>
      </c>
      <c r="B15" s="830"/>
      <c r="C15" s="638"/>
      <c r="D15" s="639" t="s">
        <v>27</v>
      </c>
      <c r="E15" s="837"/>
      <c r="F15" s="641"/>
      <c r="G15" s="642">
        <v>12783593.4</v>
      </c>
      <c r="H15" s="643"/>
      <c r="I15" s="834">
        <f>G15-H15+I14</f>
        <v>607554140.4125</v>
      </c>
      <c r="J15" s="825"/>
      <c r="K15" s="644">
        <v>78.7724</v>
      </c>
      <c r="L15" s="645">
        <f>G15/K15</f>
        <v>162285.183643002</v>
      </c>
      <c r="M15" s="836"/>
      <c r="N15" s="635">
        <f>L15-M15+N14</f>
        <v>7712779.16846726</v>
      </c>
      <c r="O15" s="844"/>
    </row>
    <row r="16" ht="34.95" customHeight="1" spans="1:15">
      <c r="A16" s="624">
        <v>14</v>
      </c>
      <c r="B16" s="830"/>
      <c r="C16" s="638"/>
      <c r="D16" s="639" t="s">
        <v>28</v>
      </c>
      <c r="E16" s="837">
        <v>9983.75</v>
      </c>
      <c r="F16" s="840">
        <v>45653.332144</v>
      </c>
      <c r="G16" s="652"/>
      <c r="H16" s="643">
        <f>E16*F16</f>
        <v>455791454.79266</v>
      </c>
      <c r="I16" s="834">
        <f>G16-H16+I15</f>
        <v>151762685.61984</v>
      </c>
      <c r="J16" s="825"/>
      <c r="K16" s="653">
        <v>579.56</v>
      </c>
      <c r="L16" s="645"/>
      <c r="M16" s="836">
        <f>E16*K16</f>
        <v>5786182.15</v>
      </c>
      <c r="N16" s="635">
        <f>L16-M16+N15</f>
        <v>1926597.01846726</v>
      </c>
      <c r="O16" s="844"/>
    </row>
    <row r="17" ht="34.95" customHeight="1" spans="1:15">
      <c r="A17" s="624">
        <v>15</v>
      </c>
      <c r="B17" s="839"/>
      <c r="C17" s="638"/>
      <c r="D17" s="639" t="s">
        <v>29</v>
      </c>
      <c r="E17" s="837"/>
      <c r="F17" s="641"/>
      <c r="G17" s="642"/>
      <c r="H17" s="777">
        <v>151762686</v>
      </c>
      <c r="I17" s="834">
        <f>G17-H17+I16</f>
        <v>-0.38016003370285</v>
      </c>
      <c r="J17" s="825"/>
      <c r="K17" s="644">
        <v>78.7724</v>
      </c>
      <c r="L17" s="645"/>
      <c r="M17" s="836">
        <f>H17/K17</f>
        <v>1926597.20917479</v>
      </c>
      <c r="N17" s="635">
        <f>L17-M17+N16</f>
        <v>-0.190707528265193</v>
      </c>
      <c r="O17" s="844"/>
    </row>
    <row r="18" ht="34.95" customHeight="1" spans="1:15">
      <c r="A18" s="624">
        <v>16</v>
      </c>
      <c r="B18" s="841"/>
      <c r="C18" s="625"/>
      <c r="D18" s="793"/>
      <c r="E18" s="769"/>
      <c r="F18" s="628"/>
      <c r="G18" s="655"/>
      <c r="H18" s="630"/>
      <c r="I18" s="842">
        <f>G18-H18+I17</f>
        <v>-0.38016003370285</v>
      </c>
      <c r="J18" s="619"/>
      <c r="K18" s="636"/>
      <c r="L18" s="633"/>
      <c r="M18" s="731"/>
      <c r="N18" s="635">
        <f>L18-M18+N17</f>
        <v>-0.190707528265193</v>
      </c>
    </row>
    <row r="19" ht="34.95" customHeight="1" spans="1:15">
      <c r="A19" s="624">
        <v>17</v>
      </c>
      <c r="B19" s="841"/>
      <c r="C19" s="625"/>
      <c r="D19" s="793"/>
      <c r="E19" s="769"/>
      <c r="F19" s="628"/>
      <c r="G19" s="655"/>
      <c r="H19" s="630"/>
      <c r="I19" s="842">
        <f>G19-H19+I18</f>
        <v>-0.38016003370285</v>
      </c>
      <c r="J19" s="619"/>
      <c r="K19" s="636"/>
      <c r="L19" s="633"/>
      <c r="M19" s="731"/>
      <c r="N19" s="635">
        <f>L19-M19+N18</f>
        <v>-0.190707528265193</v>
      </c>
    </row>
    <row r="20" ht="34.95" customHeight="1" spans="1:15">
      <c r="A20" s="624">
        <v>18</v>
      </c>
      <c r="B20" s="845" t="s">
        <v>30</v>
      </c>
      <c r="C20" s="722">
        <v>45665</v>
      </c>
      <c r="D20" s="723" t="s">
        <v>31</v>
      </c>
      <c r="E20" s="782"/>
      <c r="F20" s="725"/>
      <c r="G20" s="726">
        <v>600306600</v>
      </c>
      <c r="H20" s="727"/>
      <c r="I20" s="846">
        <f>G20-H20+I19</f>
        <v>600306599.61984</v>
      </c>
      <c r="J20" s="847"/>
      <c r="K20" s="848">
        <v>80.1278</v>
      </c>
      <c r="L20" s="785">
        <f>G20/K20</f>
        <v>7491864.24686563</v>
      </c>
      <c r="M20" s="786"/>
      <c r="N20" s="635">
        <f>L20-M20+N19</f>
        <v>7491864.0561581</v>
      </c>
      <c r="O20" s="849">
        <f>G20+G22-H21-H23</f>
        <v>1000000.28511733</v>
      </c>
    </row>
    <row r="21" ht="34.95" customHeight="1" spans="1:15">
      <c r="A21" s="624">
        <v>19</v>
      </c>
      <c r="B21" s="850"/>
      <c r="C21" s="722"/>
      <c r="D21" s="723" t="s">
        <v>32</v>
      </c>
      <c r="E21" s="782">
        <v>9939.55</v>
      </c>
      <c r="F21" s="775">
        <v>46091.914394</v>
      </c>
      <c r="G21" s="726"/>
      <c r="H21" s="727">
        <f>E21*F21</f>
        <v>458132887.714883</v>
      </c>
      <c r="I21" s="846">
        <f>G21-H21+I20</f>
        <v>142173711.904957</v>
      </c>
      <c r="J21" s="847"/>
      <c r="K21" s="851">
        <v>575.23</v>
      </c>
      <c r="L21" s="785"/>
      <c r="M21" s="786">
        <f>E21*K21</f>
        <v>5717527.3465</v>
      </c>
      <c r="N21" s="635">
        <f>L21-M21+N20</f>
        <v>1774336.7096581</v>
      </c>
      <c r="O21" s="849"/>
    </row>
    <row r="22" ht="34.95" customHeight="1" spans="1:15">
      <c r="A22" s="624">
        <v>20</v>
      </c>
      <c r="B22" s="850"/>
      <c r="C22" s="722"/>
      <c r="D22" s="852" t="s">
        <v>33</v>
      </c>
      <c r="E22" s="782"/>
      <c r="F22" s="725"/>
      <c r="G22" s="729">
        <v>556200</v>
      </c>
      <c r="H22" s="727"/>
      <c r="I22" s="846">
        <f>G22-H22+I21</f>
        <v>142729911.904957</v>
      </c>
      <c r="J22" s="847"/>
      <c r="K22" s="848">
        <v>80.1278</v>
      </c>
      <c r="L22" s="785">
        <f>G22/K22</f>
        <v>6941.4110957745</v>
      </c>
      <c r="M22" s="786"/>
      <c r="N22" s="635">
        <f>L22-M22+N21</f>
        <v>1781278.12075388</v>
      </c>
      <c r="O22" s="849"/>
    </row>
    <row r="23" ht="34.95" customHeight="1" spans="1:15">
      <c r="A23" s="624">
        <v>21</v>
      </c>
      <c r="B23" s="850"/>
      <c r="C23" s="722"/>
      <c r="D23" s="723" t="s">
        <v>34</v>
      </c>
      <c r="E23" s="782"/>
      <c r="F23" s="725"/>
      <c r="G23" s="726"/>
      <c r="H23" s="777">
        <v>141729912</v>
      </c>
      <c r="I23" s="846">
        <f>G23-H23+I22</f>
        <v>999999.904957235</v>
      </c>
      <c r="J23" s="847"/>
      <c r="K23" s="848">
        <v>80.1278</v>
      </c>
      <c r="L23" s="785"/>
      <c r="M23" s="786">
        <f>H23/K23</f>
        <v>1768798.24480393</v>
      </c>
      <c r="N23" s="635">
        <f>L23-M23+N22</f>
        <v>12479.8759499534</v>
      </c>
      <c r="O23" s="849"/>
    </row>
    <row r="24" ht="34.95" customHeight="1" spans="1:15">
      <c r="A24" s="624">
        <v>22</v>
      </c>
      <c r="B24" s="850"/>
      <c r="C24" s="853"/>
      <c r="D24" s="854" t="s">
        <v>35</v>
      </c>
      <c r="E24" s="855"/>
      <c r="F24" s="856"/>
      <c r="G24" s="857"/>
      <c r="H24" s="858">
        <v>1000000</v>
      </c>
      <c r="I24" s="859">
        <f>G24-H24+I23</f>
        <v>-0.0950427651405334</v>
      </c>
      <c r="J24" s="847"/>
      <c r="K24" s="848">
        <v>80.1278</v>
      </c>
      <c r="L24" s="860"/>
      <c r="M24" s="861">
        <f>H24/K24</f>
        <v>12480.063099199</v>
      </c>
      <c r="N24" s="635">
        <f>L24-M24+N23</f>
        <v>-0.187149245581168</v>
      </c>
      <c r="O24" s="849"/>
    </row>
    <row r="25" ht="34.95" customHeight="1" spans="1:15">
      <c r="A25" s="624">
        <v>23</v>
      </c>
      <c r="B25" s="698"/>
      <c r="C25" s="625"/>
      <c r="D25" s="793"/>
      <c r="E25" s="793"/>
      <c r="F25" s="793"/>
      <c r="G25" s="793"/>
      <c r="H25" s="793"/>
      <c r="I25" s="655">
        <f>G25-H25+I24</f>
        <v>-0.0950427651405334</v>
      </c>
      <c r="J25" s="766"/>
      <c r="K25" s="793"/>
      <c r="L25" s="793"/>
      <c r="M25" s="793"/>
      <c r="N25" s="635">
        <f>L25-M25+N24</f>
        <v>-0.187149245581168</v>
      </c>
      <c r="O25" s="798"/>
    </row>
    <row r="26" ht="34.95" customHeight="1" spans="1:15">
      <c r="A26" s="624">
        <v>24</v>
      </c>
      <c r="B26" s="698"/>
      <c r="C26" s="625"/>
      <c r="D26" s="626"/>
      <c r="E26" s="627"/>
      <c r="F26" s="794"/>
      <c r="G26" s="655"/>
      <c r="H26" s="799"/>
      <c r="I26" s="655">
        <f>G26-H26+I25</f>
        <v>-0.0950427651405334</v>
      </c>
      <c r="J26" s="766"/>
      <c r="K26" s="796"/>
      <c r="L26" s="633"/>
      <c r="M26" s="731"/>
      <c r="N26" s="635">
        <f>L26-M26+N25</f>
        <v>-0.187149245581168</v>
      </c>
      <c r="O26" s="798"/>
    </row>
    <row r="27" ht="34.95" customHeight="1" spans="1:15">
      <c r="A27" s="624">
        <v>25</v>
      </c>
      <c r="B27" s="845" t="s">
        <v>36</v>
      </c>
      <c r="C27" s="722">
        <v>45896</v>
      </c>
      <c r="D27" s="723" t="s">
        <v>37</v>
      </c>
      <c r="E27" s="724"/>
      <c r="F27" s="775"/>
      <c r="G27" s="726">
        <v>150000000</v>
      </c>
      <c r="H27" s="862"/>
      <c r="I27" s="726">
        <f>G27-H27+I26</f>
        <v>149999999.904957</v>
      </c>
      <c r="J27" s="783"/>
      <c r="K27" s="771">
        <v>82.9708</v>
      </c>
      <c r="L27" s="785">
        <f>G27/K27</f>
        <v>1807864.9356159</v>
      </c>
      <c r="M27" s="786"/>
      <c r="N27" s="635">
        <f>L27-M27+N26</f>
        <v>1807864.74846666</v>
      </c>
      <c r="O27" s="849">
        <f>G27+G28+G29+G30+G31+G32+G34-H33-H35-H36</f>
        <v>3000000.008261</v>
      </c>
    </row>
    <row r="28" ht="34.95" customHeight="1" spans="1:15">
      <c r="A28" s="624">
        <v>26</v>
      </c>
      <c r="B28" s="850"/>
      <c r="C28" s="722">
        <v>45897</v>
      </c>
      <c r="D28" s="723" t="s">
        <v>38</v>
      </c>
      <c r="E28" s="724"/>
      <c r="F28" s="775"/>
      <c r="G28" s="726">
        <v>100000000</v>
      </c>
      <c r="H28" s="862"/>
      <c r="I28" s="726">
        <f>G28-H28+I27</f>
        <v>249999999.904957</v>
      </c>
      <c r="J28" s="783"/>
      <c r="K28" s="771">
        <v>82.9708</v>
      </c>
      <c r="L28" s="785">
        <f>G28/K28</f>
        <v>1205243.2904106</v>
      </c>
      <c r="M28" s="786"/>
      <c r="N28" s="635">
        <f>L28-M28+N27</f>
        <v>3013108.03887726</v>
      </c>
      <c r="O28" s="863"/>
    </row>
    <row r="29" ht="34.95" customHeight="1" spans="1:15">
      <c r="A29" s="624">
        <v>27</v>
      </c>
      <c r="B29" s="850"/>
      <c r="C29" s="722">
        <v>45898</v>
      </c>
      <c r="D29" s="723" t="s">
        <v>39</v>
      </c>
      <c r="E29" s="724"/>
      <c r="F29" s="775"/>
      <c r="G29" s="726">
        <v>264800000</v>
      </c>
      <c r="H29" s="862"/>
      <c r="I29" s="726">
        <f>G29-H29+I28</f>
        <v>514799999.904957</v>
      </c>
      <c r="J29" s="783"/>
      <c r="K29" s="771">
        <v>82.9708</v>
      </c>
      <c r="L29" s="785">
        <f>G29/K29</f>
        <v>3191484.23300728</v>
      </c>
      <c r="M29" s="786"/>
      <c r="N29" s="635">
        <f>L29-M29+N28</f>
        <v>6204592.27188453</v>
      </c>
      <c r="O29" s="863"/>
    </row>
    <row r="30" ht="34.95" customHeight="1" spans="1:15">
      <c r="A30" s="624">
        <v>28</v>
      </c>
      <c r="B30" s="850"/>
      <c r="C30" s="864">
        <v>45915</v>
      </c>
      <c r="D30" s="865" t="s">
        <v>40</v>
      </c>
      <c r="E30" s="866"/>
      <c r="F30" s="867"/>
      <c r="G30" s="868">
        <v>5944682.68</v>
      </c>
      <c r="H30" s="869"/>
      <c r="I30" s="870">
        <f>G30-H30+I29</f>
        <v>520744682.584957</v>
      </c>
      <c r="J30" s="847"/>
      <c r="K30" s="771">
        <v>82.9708</v>
      </c>
      <c r="L30" s="871">
        <f>G30/K30</f>
        <v>71647.8891369012</v>
      </c>
      <c r="M30" s="872"/>
      <c r="N30" s="635">
        <f>L30-M30+N29</f>
        <v>6276240.16102144</v>
      </c>
      <c r="O30" s="863"/>
    </row>
    <row r="31" ht="34.95" customHeight="1" spans="1:15">
      <c r="A31" s="624">
        <v>29</v>
      </c>
      <c r="B31" s="850"/>
      <c r="C31" s="853"/>
      <c r="D31" s="873" t="s">
        <v>41</v>
      </c>
      <c r="E31" s="874"/>
      <c r="F31" s="875"/>
      <c r="G31" s="876">
        <v>11711970.71</v>
      </c>
      <c r="H31" s="877"/>
      <c r="I31" s="870">
        <f>G31-H31+I30</f>
        <v>532456653.294957</v>
      </c>
      <c r="J31" s="847"/>
      <c r="K31" s="771">
        <v>82.9708</v>
      </c>
      <c r="L31" s="871">
        <f>G31/K31</f>
        <v>141157.74115713</v>
      </c>
      <c r="M31" s="861"/>
      <c r="N31" s="635">
        <f>L31-M31+N30</f>
        <v>6417397.90217857</v>
      </c>
      <c r="O31" s="863"/>
    </row>
    <row r="32" ht="34.95" customHeight="1" spans="1:15">
      <c r="A32" s="624">
        <v>30</v>
      </c>
      <c r="B32" s="850"/>
      <c r="C32" s="853"/>
      <c r="D32" s="873" t="s">
        <v>42</v>
      </c>
      <c r="E32" s="874"/>
      <c r="F32" s="875"/>
      <c r="G32" s="876">
        <v>151762706.61</v>
      </c>
      <c r="H32" s="877"/>
      <c r="I32" s="870">
        <f>G32-H32+I31</f>
        <v>684219359.904957</v>
      </c>
      <c r="J32" s="847"/>
      <c r="K32" s="771">
        <v>82.9708</v>
      </c>
      <c r="L32" s="871">
        <f>G32/K32</f>
        <v>1829109.83876255</v>
      </c>
      <c r="M32" s="861"/>
      <c r="N32" s="635">
        <f>L32-M32+N31</f>
        <v>8246507.74094112</v>
      </c>
      <c r="O32" s="863"/>
    </row>
    <row r="33" ht="34.95" customHeight="1" spans="1:15">
      <c r="A33" s="624">
        <v>31</v>
      </c>
      <c r="B33" s="850"/>
      <c r="C33" s="853"/>
      <c r="D33" s="854" t="s">
        <v>43</v>
      </c>
      <c r="E33" s="874">
        <v>9928.334</v>
      </c>
      <c r="F33" s="856">
        <v>56971.3770671755</v>
      </c>
      <c r="G33" s="857"/>
      <c r="H33" s="878">
        <f>565630660.962859+199-2850</f>
        <v>565628009.962859</v>
      </c>
      <c r="I33" s="870">
        <f>G33-H33+I32</f>
        <v>118591349.942098</v>
      </c>
      <c r="J33" s="847"/>
      <c r="K33" s="771">
        <f>M33/E33</f>
        <v>686.643457981974</v>
      </c>
      <c r="L33" s="860"/>
      <c r="M33" s="861">
        <v>6817225.58976</v>
      </c>
      <c r="N33" s="635">
        <f>L33-M33+N32</f>
        <v>1429282.15118112</v>
      </c>
      <c r="O33" s="863"/>
    </row>
    <row r="34" ht="34.95" customHeight="1" spans="1:15">
      <c r="A34" s="624">
        <v>32</v>
      </c>
      <c r="B34" s="850"/>
      <c r="C34" s="853"/>
      <c r="D34" s="854"/>
      <c r="E34" s="874">
        <v>685.067</v>
      </c>
      <c r="F34" s="856">
        <v>56971.36</v>
      </c>
      <c r="G34" s="857">
        <f>E34*F34</f>
        <v>39029198.68112</v>
      </c>
      <c r="H34" s="878"/>
      <c r="I34" s="879">
        <f>G34-H34+I33</f>
        <v>157620548.623218</v>
      </c>
      <c r="J34" s="847"/>
      <c r="K34" s="771">
        <v>686.643457981974</v>
      </c>
      <c r="L34" s="860">
        <f>E34*K34</f>
        <v>470396.773829337</v>
      </c>
      <c r="M34" s="861"/>
      <c r="N34" s="635">
        <f>L34-M34+N33</f>
        <v>1899678.92501046</v>
      </c>
      <c r="O34" s="863"/>
    </row>
    <row r="35" ht="34.95" customHeight="1" spans="1:15">
      <c r="A35" s="624">
        <v>33</v>
      </c>
      <c r="B35" s="850"/>
      <c r="C35" s="722"/>
      <c r="D35" s="873" t="s">
        <v>44</v>
      </c>
      <c r="E35" s="724"/>
      <c r="F35" s="775"/>
      <c r="G35" s="726"/>
      <c r="H35" s="858">
        <v>89802484.71</v>
      </c>
      <c r="I35" s="726">
        <f>G35-H35+I34</f>
        <v>67818063.9132183</v>
      </c>
      <c r="J35" s="783"/>
      <c r="K35" s="771">
        <v>82.9708</v>
      </c>
      <c r="L35" s="785"/>
      <c r="M35" s="786">
        <f>H35/K35</f>
        <v>1082338.42158928</v>
      </c>
      <c r="N35" s="635">
        <f>L35-M35+N34</f>
        <v>817340.503421173</v>
      </c>
      <c r="O35" s="863"/>
    </row>
    <row r="36" ht="34.95" customHeight="1" spans="1:15">
      <c r="A36" s="624">
        <v>34</v>
      </c>
      <c r="B36" s="850"/>
      <c r="C36" s="722"/>
      <c r="D36" s="873" t="s">
        <v>44</v>
      </c>
      <c r="E36" s="880"/>
      <c r="F36" s="880"/>
      <c r="G36" s="880"/>
      <c r="H36" s="858">
        <v>64818064</v>
      </c>
      <c r="I36" s="726">
        <f>G36-H36+I35</f>
        <v>2999999.91321826</v>
      </c>
      <c r="J36" s="880"/>
      <c r="K36" s="771">
        <v>82.9708</v>
      </c>
      <c r="L36" s="880"/>
      <c r="M36" s="786">
        <f>H36/K36</f>
        <v>781215.36733405</v>
      </c>
      <c r="N36" s="635">
        <f>L36-M36+N35</f>
        <v>36125.1360871231</v>
      </c>
      <c r="O36" s="863"/>
    </row>
    <row r="37" ht="34.95" customHeight="1" spans="1:15">
      <c r="A37" s="624">
        <v>35</v>
      </c>
      <c r="B37" s="881"/>
      <c r="C37" s="722"/>
      <c r="D37" s="873" t="s">
        <v>45</v>
      </c>
      <c r="E37" s="880"/>
      <c r="F37" s="880"/>
      <c r="G37" s="880"/>
      <c r="H37" s="858">
        <v>3000000</v>
      </c>
      <c r="I37" s="726">
        <f>G37-H37+I36</f>
        <v>-0.0867817401885986</v>
      </c>
      <c r="J37" s="880"/>
      <c r="K37" s="771">
        <v>82.9708</v>
      </c>
      <c r="L37" s="880"/>
      <c r="M37" s="786">
        <v>36125</v>
      </c>
      <c r="N37" s="635">
        <f>L37-M37+N36</f>
        <v>0.136087123071775</v>
      </c>
      <c r="O37" s="863"/>
    </row>
    <row r="38" ht="34.95" customHeight="1" spans="1:15">
      <c r="A38" s="624">
        <v>36</v>
      </c>
      <c r="B38" s="882"/>
      <c r="C38" s="625"/>
      <c r="D38" s="883"/>
      <c r="E38" s="793"/>
      <c r="F38" s="793"/>
      <c r="G38" s="793"/>
      <c r="H38" s="793"/>
      <c r="I38" s="655">
        <f>G38-H38+I37</f>
        <v>-0.0867817401885986</v>
      </c>
      <c r="J38" s="793"/>
      <c r="K38" s="797"/>
      <c r="L38" s="793"/>
      <c r="M38" s="793"/>
      <c r="N38" s="635"/>
      <c r="O38" s="798"/>
    </row>
    <row r="39" ht="34.95" customHeight="1" spans="1:15">
      <c r="A39" s="624">
        <v>37</v>
      </c>
      <c r="B39" s="882"/>
      <c r="C39" s="625"/>
      <c r="D39" s="883"/>
      <c r="E39" s="793"/>
      <c r="F39" s="793"/>
      <c r="G39" s="793"/>
      <c r="H39" s="793"/>
      <c r="I39" s="655">
        <f>G39-H39+I38</f>
        <v>-0.0867817401885986</v>
      </c>
      <c r="J39" s="793"/>
      <c r="K39" s="797"/>
      <c r="L39" s="793"/>
      <c r="M39" s="793"/>
      <c r="N39" s="635"/>
      <c r="O39" s="798"/>
    </row>
    <row r="40" ht="34.95" customHeight="1" spans="1:15">
      <c r="A40" s="624">
        <v>38</v>
      </c>
      <c r="B40" s="845" t="s">
        <v>46</v>
      </c>
      <c r="C40" s="722">
        <v>45909</v>
      </c>
      <c r="D40" s="723" t="s">
        <v>47</v>
      </c>
      <c r="E40" s="724"/>
      <c r="F40" s="775"/>
      <c r="G40" s="726">
        <v>200000000</v>
      </c>
      <c r="H40" s="727"/>
      <c r="I40" s="726">
        <f>G40-H40+I39</f>
        <v>199999999.913218</v>
      </c>
      <c r="J40" s="783"/>
      <c r="K40" s="771">
        <v>80.9214</v>
      </c>
      <c r="L40" s="785">
        <f>G40/K40</f>
        <v>2471534.10593489</v>
      </c>
      <c r="M40" s="786"/>
      <c r="N40" s="635">
        <f>L40-M40</f>
        <v>2471534.10593489</v>
      </c>
      <c r="O40" s="849">
        <f>G40+G41+G42+G43+G44+G45+G46+G47-H48-H49</f>
        <v>3000022.08816996</v>
      </c>
    </row>
    <row r="41" ht="34.95" customHeight="1" spans="1:15">
      <c r="A41" s="624">
        <v>39</v>
      </c>
      <c r="B41" s="850"/>
      <c r="C41" s="864" t="s">
        <v>48</v>
      </c>
      <c r="D41" s="865" t="s">
        <v>40</v>
      </c>
      <c r="E41" s="866"/>
      <c r="F41" s="867"/>
      <c r="G41" s="868">
        <f>50000000-G30</f>
        <v>44055317.32</v>
      </c>
      <c r="H41" s="884"/>
      <c r="I41" s="726">
        <f>G41-H41+I40</f>
        <v>244055317.233218</v>
      </c>
      <c r="J41" s="847"/>
      <c r="K41" s="771">
        <v>80.9214</v>
      </c>
      <c r="L41" s="885">
        <f>G41/K41</f>
        <v>544421.096520821</v>
      </c>
      <c r="M41" s="872"/>
      <c r="N41" s="635">
        <f>L41-M41+N40</f>
        <v>3015955.20245572</v>
      </c>
      <c r="O41" s="863"/>
    </row>
    <row r="42" ht="34.95" customHeight="1" spans="1:15">
      <c r="A42" s="624">
        <v>40</v>
      </c>
      <c r="B42" s="850"/>
      <c r="C42" s="853" t="s">
        <v>49</v>
      </c>
      <c r="D42" s="854" t="s">
        <v>50</v>
      </c>
      <c r="E42" s="874"/>
      <c r="F42" s="856"/>
      <c r="G42" s="857">
        <v>70000000</v>
      </c>
      <c r="H42" s="878"/>
      <c r="I42" s="726">
        <f>G42-H42+I41</f>
        <v>314055317.233218</v>
      </c>
      <c r="J42" s="847"/>
      <c r="K42" s="771">
        <v>80.9214</v>
      </c>
      <c r="L42" s="860">
        <f>G42/K42</f>
        <v>865036.937077213</v>
      </c>
      <c r="M42" s="861"/>
      <c r="N42" s="635">
        <f>L42-M42+N41</f>
        <v>3880992.13953293</v>
      </c>
      <c r="O42" s="863"/>
    </row>
    <row r="43" ht="34.95" customHeight="1" spans="1:15">
      <c r="A43" s="624">
        <v>41</v>
      </c>
      <c r="B43" s="850"/>
      <c r="C43" s="853" t="s">
        <v>51</v>
      </c>
      <c r="D43" s="854" t="s">
        <v>52</v>
      </c>
      <c r="E43" s="874"/>
      <c r="F43" s="856"/>
      <c r="G43" s="857">
        <v>70000000</v>
      </c>
      <c r="H43" s="878"/>
      <c r="I43" s="726">
        <f>G43-H43+I42</f>
        <v>384055317.233218</v>
      </c>
      <c r="J43" s="847"/>
      <c r="K43" s="771">
        <v>80.9214</v>
      </c>
      <c r="L43" s="860">
        <f>G43/K43</f>
        <v>865036.937077213</v>
      </c>
      <c r="M43" s="861"/>
      <c r="N43" s="635">
        <f>L43-M43+N42</f>
        <v>4746029.07661014</v>
      </c>
      <c r="O43" s="863"/>
    </row>
    <row r="44" ht="34.95" customHeight="1" spans="1:15">
      <c r="A44" s="624">
        <v>42</v>
      </c>
      <c r="B44" s="850"/>
      <c r="C44" s="853" t="s">
        <v>53</v>
      </c>
      <c r="D44" s="854" t="s">
        <v>54</v>
      </c>
      <c r="E44" s="874"/>
      <c r="F44" s="856"/>
      <c r="G44" s="857">
        <v>40000000</v>
      </c>
      <c r="H44" s="878"/>
      <c r="I44" s="726">
        <f>G44-H44+I43</f>
        <v>424055317.233218</v>
      </c>
      <c r="J44" s="847"/>
      <c r="K44" s="771">
        <v>80.9214</v>
      </c>
      <c r="L44" s="860">
        <f>G44/K44</f>
        <v>494306.821186979</v>
      </c>
      <c r="M44" s="861"/>
      <c r="N44" s="635">
        <f>L44-M44+N43</f>
        <v>5240335.89779712</v>
      </c>
      <c r="O44" s="863"/>
    </row>
    <row r="45" ht="34.95" customHeight="1" spans="1:15">
      <c r="A45" s="624">
        <v>43</v>
      </c>
      <c r="B45" s="850"/>
      <c r="C45" s="853" t="s">
        <v>55</v>
      </c>
      <c r="D45" s="854" t="s">
        <v>56</v>
      </c>
      <c r="E45" s="874"/>
      <c r="F45" s="856"/>
      <c r="G45" s="857">
        <v>100000000</v>
      </c>
      <c r="H45" s="878"/>
      <c r="I45" s="726">
        <f>G45-H45+I44</f>
        <v>524055317.233218</v>
      </c>
      <c r="J45" s="847"/>
      <c r="K45" s="771">
        <v>80.9214</v>
      </c>
      <c r="L45" s="860">
        <f>G45/K45</f>
        <v>1235767.05296745</v>
      </c>
      <c r="M45" s="861"/>
      <c r="N45" s="635">
        <f>L45-M45+N44</f>
        <v>6476102.95076457</v>
      </c>
      <c r="O45" s="863"/>
    </row>
    <row r="46" ht="34.95" customHeight="1" spans="1:15">
      <c r="A46" s="624">
        <v>44</v>
      </c>
      <c r="B46" s="850"/>
      <c r="C46" s="853" t="s">
        <v>57</v>
      </c>
      <c r="D46" s="854" t="s">
        <v>58</v>
      </c>
      <c r="E46" s="874"/>
      <c r="F46" s="856"/>
      <c r="G46" s="857">
        <v>34000000</v>
      </c>
      <c r="H46" s="878"/>
      <c r="I46" s="726">
        <f>G46-H46+I45</f>
        <v>558055317.233218</v>
      </c>
      <c r="J46" s="847"/>
      <c r="K46" s="771">
        <v>80.9214</v>
      </c>
      <c r="L46" s="860">
        <f>G46/K46</f>
        <v>420160.798008932</v>
      </c>
      <c r="M46" s="861"/>
      <c r="N46" s="635">
        <f>L46-M46+N45</f>
        <v>6896263.7487735</v>
      </c>
      <c r="O46" s="863"/>
    </row>
    <row r="47" ht="34.95" customHeight="1" spans="1:15">
      <c r="A47" s="624">
        <v>45</v>
      </c>
      <c r="B47" s="850"/>
      <c r="C47" s="853"/>
      <c r="D47" s="854" t="s">
        <v>59</v>
      </c>
      <c r="E47" s="874"/>
      <c r="F47" s="856"/>
      <c r="G47" s="876">
        <v>141729912</v>
      </c>
      <c r="H47" s="878"/>
      <c r="I47" s="726">
        <f>G47-H47+I46</f>
        <v>699785229.233218</v>
      </c>
      <c r="J47" s="847"/>
      <c r="K47" s="771">
        <v>80.9214</v>
      </c>
      <c r="L47" s="860">
        <f>G47/K47</f>
        <v>1751451.55669576</v>
      </c>
      <c r="M47" s="861"/>
      <c r="N47" s="635">
        <f>L47-M47+N46</f>
        <v>8647715.30546926</v>
      </c>
      <c r="O47" s="863"/>
    </row>
    <row r="48" ht="34.95" customHeight="1" spans="1:15">
      <c r="A48" s="624">
        <v>46</v>
      </c>
      <c r="B48" s="850"/>
      <c r="C48" s="853"/>
      <c r="D48" s="854" t="s">
        <v>60</v>
      </c>
      <c r="E48" s="874">
        <v>8995.179</v>
      </c>
      <c r="F48" s="856">
        <v>51216.77</v>
      </c>
      <c r="G48" s="857"/>
      <c r="H48" s="878">
        <f>E48*F48</f>
        <v>460704013.95183</v>
      </c>
      <c r="I48" s="726">
        <f>G48-H48+I47</f>
        <v>239081215.281388</v>
      </c>
      <c r="J48" s="847"/>
      <c r="K48" s="771">
        <f>674.92-42</f>
        <v>632.92</v>
      </c>
      <c r="L48" s="860"/>
      <c r="M48" s="861">
        <f>E48*K48</f>
        <v>5693228.69268</v>
      </c>
      <c r="N48" s="635">
        <f>L48-M48+N47</f>
        <v>2954486.61278926</v>
      </c>
      <c r="O48" s="863"/>
    </row>
    <row r="49" ht="34.95" customHeight="1" spans="1:15">
      <c r="A49" s="624">
        <v>47</v>
      </c>
      <c r="B49" s="881"/>
      <c r="C49" s="853"/>
      <c r="D49" s="854" t="s">
        <v>61</v>
      </c>
      <c r="E49" s="874"/>
      <c r="F49" s="856"/>
      <c r="G49" s="857"/>
      <c r="H49" s="858">
        <v>236081193.28</v>
      </c>
      <c r="I49" s="726">
        <f>G49-H49+I48</f>
        <v>3000022.00138822</v>
      </c>
      <c r="J49" s="847"/>
      <c r="K49" s="771">
        <v>80.9214</v>
      </c>
      <c r="L49" s="860"/>
      <c r="M49" s="861">
        <f>H49/K49</f>
        <v>2917413.60480664</v>
      </c>
      <c r="N49" s="635">
        <f>L49-M49+N48</f>
        <v>37073.0079826172</v>
      </c>
      <c r="O49" s="863"/>
    </row>
    <row r="50" ht="34.95" customHeight="1" spans="1:15">
      <c r="A50" s="624">
        <v>48</v>
      </c>
      <c r="B50" s="886"/>
      <c r="C50" s="853"/>
      <c r="D50" s="854" t="s">
        <v>62</v>
      </c>
      <c r="E50" s="874"/>
      <c r="F50" s="856"/>
      <c r="G50" s="857"/>
      <c r="H50" s="858">
        <f>I49</f>
        <v>3000022.00138822</v>
      </c>
      <c r="I50" s="726">
        <f>G50-H50+I49</f>
        <v>0</v>
      </c>
      <c r="J50" s="847"/>
      <c r="K50" s="771">
        <v>80.9214</v>
      </c>
      <c r="L50" s="860"/>
      <c r="M50" s="861">
        <f>H50/K50</f>
        <v>37073.2834749303</v>
      </c>
      <c r="N50" s="635">
        <f>L50-M50+N49</f>
        <v>-0.27549231301964</v>
      </c>
      <c r="O50" s="798"/>
    </row>
    <row r="51" ht="34.95" customHeight="1" spans="1:15">
      <c r="A51" s="624">
        <v>49</v>
      </c>
      <c r="B51" s="882"/>
      <c r="C51" s="658"/>
      <c r="D51" s="659"/>
      <c r="E51" s="660"/>
      <c r="F51" s="887"/>
      <c r="G51" s="662"/>
      <c r="H51" s="663"/>
      <c r="I51" s="655">
        <f>G51-H51+I50</f>
        <v>0</v>
      </c>
      <c r="J51" s="619"/>
      <c r="K51" s="888"/>
      <c r="L51" s="664"/>
      <c r="M51" s="889"/>
      <c r="N51" s="635">
        <f>L51-M51+N50</f>
        <v>-0.27549231301964</v>
      </c>
      <c r="O51" s="798"/>
    </row>
    <row r="52" ht="34.95" customHeight="1" spans="1:15">
      <c r="A52" s="624">
        <v>50</v>
      </c>
      <c r="B52" s="845" t="s">
        <v>63</v>
      </c>
      <c r="C52" s="853">
        <v>45972</v>
      </c>
      <c r="D52" s="854" t="s">
        <v>64</v>
      </c>
      <c r="E52" s="874"/>
      <c r="F52" s="856"/>
      <c r="G52" s="857">
        <v>200000000</v>
      </c>
      <c r="H52" s="878"/>
      <c r="I52" s="726">
        <f>G52-H52+I51</f>
        <v>200000000</v>
      </c>
      <c r="J52" s="847"/>
      <c r="K52" s="890">
        <v>80.3438</v>
      </c>
      <c r="L52" s="860">
        <f>G52/K52</f>
        <v>2489302.22369368</v>
      </c>
      <c r="M52" s="861"/>
      <c r="N52" s="635">
        <f>L52-M52+N51</f>
        <v>2489301.94820136</v>
      </c>
      <c r="O52" s="849">
        <f>G52+G53+G54+G55-H56-H57</f>
        <v>27249272.88639</v>
      </c>
    </row>
    <row r="53" ht="34.95" customHeight="1" spans="1:15">
      <c r="A53" s="624">
        <v>51</v>
      </c>
      <c r="B53" s="850"/>
      <c r="C53" s="853"/>
      <c r="D53" s="854" t="s">
        <v>65</v>
      </c>
      <c r="E53" s="874"/>
      <c r="F53" s="856"/>
      <c r="G53" s="876">
        <v>89802484.71</v>
      </c>
      <c r="H53" s="877"/>
      <c r="I53" s="726">
        <f>G53-H53+I52</f>
        <v>289802484.71</v>
      </c>
      <c r="J53" s="847"/>
      <c r="K53" s="890">
        <v>80.3438</v>
      </c>
      <c r="L53" s="860">
        <f>G53/K53</f>
        <v>1117727.6244091</v>
      </c>
      <c r="M53" s="861"/>
      <c r="N53" s="635">
        <f>L53-M53+N52</f>
        <v>3607029.57261047</v>
      </c>
      <c r="O53" s="863"/>
    </row>
    <row r="54" ht="34.95" customHeight="1" spans="1:15">
      <c r="A54" s="624">
        <v>52</v>
      </c>
      <c r="B54" s="850"/>
      <c r="C54" s="853"/>
      <c r="D54" s="854" t="s">
        <v>66</v>
      </c>
      <c r="E54" s="874"/>
      <c r="F54" s="856"/>
      <c r="G54" s="876">
        <v>236081193.28</v>
      </c>
      <c r="H54" s="877"/>
      <c r="I54" s="726">
        <f>G54-H54+I53</f>
        <v>525883677.99</v>
      </c>
      <c r="J54" s="847"/>
      <c r="K54" s="890">
        <v>80.3438</v>
      </c>
      <c r="L54" s="860">
        <f>G54/K54</f>
        <v>2938387.1970208</v>
      </c>
      <c r="M54" s="861"/>
      <c r="N54" s="635">
        <f>L54-M54+N53</f>
        <v>6545416.76963127</v>
      </c>
      <c r="O54" s="863"/>
    </row>
    <row r="55" ht="34.95" customHeight="1" spans="1:15">
      <c r="A55" s="624">
        <v>53</v>
      </c>
      <c r="B55" s="850"/>
      <c r="C55" s="853"/>
      <c r="D55" s="854" t="s">
        <v>67</v>
      </c>
      <c r="E55" s="874"/>
      <c r="F55" s="856"/>
      <c r="G55" s="876">
        <v>64818064</v>
      </c>
      <c r="H55" s="877"/>
      <c r="I55" s="726">
        <f>G55-H55+I54</f>
        <v>590701741.99</v>
      </c>
      <c r="J55" s="847"/>
      <c r="K55" s="890">
        <v>80.3438</v>
      </c>
      <c r="L55" s="860">
        <f>G55/K55</f>
        <v>806758.754253595</v>
      </c>
      <c r="M55" s="861"/>
      <c r="N55" s="635">
        <f>L55-M55+N54</f>
        <v>7352175.52388486</v>
      </c>
      <c r="O55" s="863"/>
    </row>
    <row r="56" ht="34.95" customHeight="1" spans="1:15">
      <c r="A56" s="624">
        <v>54</v>
      </c>
      <c r="B56" s="850"/>
      <c r="C56" s="853"/>
      <c r="D56" s="854" t="s">
        <v>68</v>
      </c>
      <c r="E56" s="874">
        <v>8911.875</v>
      </c>
      <c r="F56" s="856">
        <v>53611.810864</v>
      </c>
      <c r="G56" s="857"/>
      <c r="H56" s="891">
        <f>E56*F56</f>
        <v>477781756.94361</v>
      </c>
      <c r="I56" s="726">
        <f>G56-H56+I55</f>
        <v>112919985.04639</v>
      </c>
      <c r="J56" s="847"/>
      <c r="K56" s="892">
        <f>M56/E56</f>
        <v>667.28</v>
      </c>
      <c r="L56" s="860"/>
      <c r="M56" s="861">
        <v>5946715.95</v>
      </c>
      <c r="N56" s="635">
        <f>L56-M56+N55</f>
        <v>1405459.57388486</v>
      </c>
      <c r="O56" s="863"/>
    </row>
    <row r="57" ht="34.95" customHeight="1" spans="1:15">
      <c r="A57" s="624">
        <v>55</v>
      </c>
      <c r="B57" s="850"/>
      <c r="C57" s="853"/>
      <c r="D57" s="854" t="s">
        <v>69</v>
      </c>
      <c r="E57" s="874"/>
      <c r="F57" s="856"/>
      <c r="G57" s="857"/>
      <c r="H57" s="893">
        <v>85670712.16</v>
      </c>
      <c r="I57" s="726">
        <f>G57-H57+I56</f>
        <v>27249272.88639</v>
      </c>
      <c r="J57" s="847"/>
      <c r="K57" s="890">
        <v>80.3438</v>
      </c>
      <c r="L57" s="860"/>
      <c r="M57" s="861">
        <f>H57/K57</f>
        <v>1066301.47142654</v>
      </c>
      <c r="N57" s="635">
        <f>L57-M57+N56</f>
        <v>339158.102458319</v>
      </c>
      <c r="O57" s="863"/>
    </row>
    <row r="58" ht="34.95" customHeight="1" spans="1:15">
      <c r="A58" s="894">
        <v>56</v>
      </c>
      <c r="B58" s="850"/>
      <c r="C58" s="853"/>
      <c r="D58" s="854" t="s">
        <v>70</v>
      </c>
      <c r="E58" s="874"/>
      <c r="F58" s="856"/>
      <c r="G58" s="857"/>
      <c r="H58" s="893">
        <v>24399714.49</v>
      </c>
      <c r="I58" s="726">
        <f>G58-H58+I57</f>
        <v>2849558.39639</v>
      </c>
      <c r="J58" s="847"/>
      <c r="K58" s="890">
        <v>80.3438</v>
      </c>
      <c r="L58" s="860"/>
      <c r="M58" s="861">
        <f>H58/K58</f>
        <v>303691.317687239</v>
      </c>
      <c r="N58" s="635">
        <f>L58-M58+N57</f>
        <v>35466.7847710801</v>
      </c>
      <c r="O58" s="863"/>
    </row>
    <row r="59" ht="34.95" customHeight="1" spans="1:15">
      <c r="A59" s="894">
        <v>57</v>
      </c>
      <c r="B59" s="881"/>
      <c r="C59" s="853"/>
      <c r="D59" s="854" t="s">
        <v>71</v>
      </c>
      <c r="E59" s="874"/>
      <c r="F59" s="856"/>
      <c r="G59" s="857"/>
      <c r="H59" s="893">
        <v>2849558.4</v>
      </c>
      <c r="I59" s="726">
        <f>G59-H59+I58</f>
        <v>-0.00360999768599868</v>
      </c>
      <c r="J59" s="847"/>
      <c r="K59" s="890">
        <v>80.3438</v>
      </c>
      <c r="L59" s="860"/>
      <c r="M59" s="861">
        <f>H59/K59</f>
        <v>35467.060308325</v>
      </c>
      <c r="N59" s="635">
        <f>L59-M59+N58</f>
        <v>-0.275537244902807</v>
      </c>
      <c r="O59" s="798"/>
    </row>
    <row r="60" ht="34.95" customHeight="1" spans="1:15">
      <c r="A60" s="624">
        <v>58</v>
      </c>
      <c r="B60" s="895"/>
      <c r="C60" s="658"/>
      <c r="D60" s="659"/>
      <c r="E60" s="660"/>
      <c r="F60" s="887"/>
      <c r="G60" s="662"/>
      <c r="H60" s="896"/>
      <c r="I60" s="655">
        <f>G60-H60+I59</f>
        <v>-0.00360999768599868</v>
      </c>
      <c r="J60" s="619"/>
      <c r="K60" s="888"/>
      <c r="L60" s="664"/>
      <c r="M60" s="889"/>
      <c r="N60" s="635">
        <f>L60-M60+N59</f>
        <v>-0.275537244902807</v>
      </c>
      <c r="O60" s="798"/>
    </row>
    <row r="61" ht="34.95" customHeight="1" spans="1:15">
      <c r="A61" s="624">
        <v>59</v>
      </c>
      <c r="B61" s="845" t="s">
        <v>72</v>
      </c>
      <c r="C61" s="722">
        <v>45881</v>
      </c>
      <c r="D61" s="723" t="s">
        <v>73</v>
      </c>
      <c r="E61" s="724"/>
      <c r="F61" s="856"/>
      <c r="G61" s="857">
        <v>79288897.89</v>
      </c>
      <c r="H61" s="891"/>
      <c r="I61" s="726">
        <f>G61-H61+I60</f>
        <v>79288897.88639</v>
      </c>
      <c r="J61" s="847"/>
      <c r="K61" s="890">
        <v>78.4016</v>
      </c>
      <c r="L61" s="860">
        <f>G61/K61</f>
        <v>1011317.34416134</v>
      </c>
      <c r="M61" s="861"/>
      <c r="N61" s="635">
        <f>L61-M61+N60</f>
        <v>1011317.0686241</v>
      </c>
      <c r="O61" s="849">
        <f>G61+G62+G63+G64+G65+G66-H67-H68-H69</f>
        <v>137397517.72906</v>
      </c>
    </row>
    <row r="62" ht="34.95" customHeight="1" spans="1:15">
      <c r="A62" s="624">
        <v>60</v>
      </c>
      <c r="B62" s="850"/>
      <c r="C62" s="722">
        <v>45912</v>
      </c>
      <c r="D62" s="723" t="s">
        <v>74</v>
      </c>
      <c r="E62" s="724"/>
      <c r="F62" s="856"/>
      <c r="G62" s="857">
        <v>228449336.71</v>
      </c>
      <c r="H62" s="891"/>
      <c r="I62" s="726">
        <f>G62-H62+I61</f>
        <v>307738234.59639</v>
      </c>
      <c r="J62" s="847"/>
      <c r="K62" s="890">
        <v>78.4016</v>
      </c>
      <c r="L62" s="860">
        <f>G62/K62</f>
        <v>2913835.1348697</v>
      </c>
      <c r="M62" s="861"/>
      <c r="N62" s="635">
        <f>L62-M62+N61</f>
        <v>3925152.2034938</v>
      </c>
      <c r="O62" s="863"/>
    </row>
    <row r="63" ht="34.95" customHeight="1" spans="1:15">
      <c r="A63" s="624">
        <v>61</v>
      </c>
      <c r="B63" s="850"/>
      <c r="C63" s="722"/>
      <c r="D63" s="723" t="s">
        <v>75</v>
      </c>
      <c r="E63" s="724"/>
      <c r="F63" s="856"/>
      <c r="G63" s="876">
        <v>85670712.16</v>
      </c>
      <c r="H63" s="891"/>
      <c r="I63" s="726">
        <f>G63-H63+I62</f>
        <v>393408946.75639</v>
      </c>
      <c r="J63" s="847"/>
      <c r="K63" s="890">
        <v>78.4016</v>
      </c>
      <c r="L63" s="860">
        <f>G63/K63</f>
        <v>1092716.37517602</v>
      </c>
      <c r="M63" s="861"/>
      <c r="N63" s="635">
        <f>L63-M63+N62</f>
        <v>5017868.57866981</v>
      </c>
      <c r="O63" s="863"/>
    </row>
    <row r="64" ht="34.95" customHeight="1" spans="1:15">
      <c r="A64" s="624">
        <v>62</v>
      </c>
      <c r="B64" s="850"/>
      <c r="C64" s="722" t="s">
        <v>76</v>
      </c>
      <c r="D64" s="723" t="s">
        <v>77</v>
      </c>
      <c r="E64" s="724"/>
      <c r="F64" s="856"/>
      <c r="G64" s="857">
        <v>200000000</v>
      </c>
      <c r="H64" s="891"/>
      <c r="I64" s="726">
        <f>G64-H64+I63</f>
        <v>593408946.75639</v>
      </c>
      <c r="J64" s="847"/>
      <c r="K64" s="890">
        <v>78.4016</v>
      </c>
      <c r="L64" s="860">
        <f>G64/K64</f>
        <v>2550968.34758474</v>
      </c>
      <c r="M64" s="861"/>
      <c r="N64" s="635">
        <f>L64-M64+N63</f>
        <v>7568836.92625456</v>
      </c>
      <c r="O64" s="863"/>
    </row>
    <row r="65" ht="34.95" customHeight="1" spans="1:15">
      <c r="A65" s="624">
        <v>63</v>
      </c>
      <c r="B65" s="850"/>
      <c r="C65" s="722" t="s">
        <v>78</v>
      </c>
      <c r="D65" s="723" t="s">
        <v>79</v>
      </c>
      <c r="E65" s="724"/>
      <c r="F65" s="856"/>
      <c r="G65" s="857">
        <v>80000000</v>
      </c>
      <c r="H65" s="891"/>
      <c r="I65" s="726">
        <f>G65-H65+I64</f>
        <v>673408946.75639</v>
      </c>
      <c r="J65" s="847"/>
      <c r="K65" s="890">
        <v>78.4016</v>
      </c>
      <c r="L65" s="860">
        <f>G65/K65</f>
        <v>1020387.3390339</v>
      </c>
      <c r="M65" s="861"/>
      <c r="N65" s="635">
        <f>L65-M65+N64</f>
        <v>8589224.26528845</v>
      </c>
      <c r="O65" s="863"/>
    </row>
    <row r="66" ht="34.95" customHeight="1" spans="1:15">
      <c r="A66" s="624">
        <v>64</v>
      </c>
      <c r="B66" s="850"/>
      <c r="C66" s="722">
        <v>45973</v>
      </c>
      <c r="D66" s="723" t="s">
        <v>80</v>
      </c>
      <c r="E66" s="724"/>
      <c r="F66" s="775"/>
      <c r="G66" s="726">
        <v>30492934</v>
      </c>
      <c r="H66" s="891"/>
      <c r="I66" s="726">
        <f>G66-H66+I65</f>
        <v>703901880.75639</v>
      </c>
      <c r="J66" s="847"/>
      <c r="K66" s="890">
        <v>78.4016</v>
      </c>
      <c r="L66" s="860">
        <f>G66/K66</f>
        <v>388932.547294953</v>
      </c>
      <c r="M66" s="861"/>
      <c r="N66" s="635">
        <f>L66-M66+N65</f>
        <v>8978156.81258341</v>
      </c>
      <c r="O66" s="863"/>
    </row>
    <row r="67" ht="34.95" customHeight="1" spans="1:15">
      <c r="A67" s="624">
        <v>65</v>
      </c>
      <c r="B67" s="850"/>
      <c r="C67" s="722"/>
      <c r="D67" s="723" t="s">
        <v>81</v>
      </c>
      <c r="E67" s="724">
        <v>9864.478</v>
      </c>
      <c r="F67" s="856">
        <f>H67/E67</f>
        <v>47814.783792</v>
      </c>
      <c r="G67" s="857"/>
      <c r="H67" s="891">
        <v>471667882.79094</v>
      </c>
      <c r="I67" s="726">
        <f>G67-H67+I66</f>
        <v>232233997.96545</v>
      </c>
      <c r="J67" s="847"/>
      <c r="K67" s="897">
        <f>651.880952380952-42</f>
        <v>609.880952380952</v>
      </c>
      <c r="L67" s="860"/>
      <c r="M67" s="861">
        <f>E67*K67</f>
        <v>6016157.23738095</v>
      </c>
      <c r="N67" s="635">
        <f>L67-M67+N66</f>
        <v>2961999.57520246</v>
      </c>
      <c r="O67" s="863"/>
    </row>
    <row r="68" ht="34.95" customHeight="1" spans="1:15">
      <c r="A68" s="624">
        <v>66</v>
      </c>
      <c r="B68" s="850"/>
      <c r="C68" s="853"/>
      <c r="D68" s="854" t="s">
        <v>82</v>
      </c>
      <c r="E68" s="874"/>
      <c r="F68" s="856"/>
      <c r="G68" s="857"/>
      <c r="H68" s="893">
        <v>78346407.44</v>
      </c>
      <c r="I68" s="726">
        <f>G68-H68+I67</f>
        <v>153887590.52545</v>
      </c>
      <c r="J68" s="847"/>
      <c r="K68" s="890">
        <v>78.4016</v>
      </c>
      <c r="L68" s="860"/>
      <c r="M68" s="861">
        <f>H68/K68</f>
        <v>999296.027632089</v>
      </c>
      <c r="N68" s="635">
        <f>L68-M68+N67</f>
        <v>1962703.54757037</v>
      </c>
      <c r="O68" s="863"/>
    </row>
    <row r="69" ht="34.95" customHeight="1" spans="1:15">
      <c r="A69" s="624">
        <v>67</v>
      </c>
      <c r="B69" s="850"/>
      <c r="C69" s="853"/>
      <c r="D69" s="854" t="s">
        <v>83</v>
      </c>
      <c r="E69" s="874"/>
      <c r="F69" s="856"/>
      <c r="G69" s="857"/>
      <c r="H69" s="893">
        <v>16490072.8</v>
      </c>
      <c r="I69" s="726">
        <f>G69-H69+I68</f>
        <v>137397517.72545</v>
      </c>
      <c r="J69" s="847"/>
      <c r="K69" s="890">
        <v>78.4016</v>
      </c>
      <c r="L69" s="860"/>
      <c r="M69" s="861">
        <f>H69/K69</f>
        <v>210328.268810841</v>
      </c>
      <c r="N69" s="635">
        <f>L69-M69+N68</f>
        <v>1752375.27875953</v>
      </c>
      <c r="O69" s="863"/>
    </row>
    <row r="70" ht="34.95" customHeight="1" spans="1:15">
      <c r="A70" s="624">
        <v>68</v>
      </c>
      <c r="B70" s="850"/>
      <c r="C70" s="853"/>
      <c r="D70" s="854" t="s">
        <v>83</v>
      </c>
      <c r="E70" s="874"/>
      <c r="F70" s="856"/>
      <c r="G70" s="898"/>
      <c r="H70" s="893">
        <v>102369240</v>
      </c>
      <c r="I70" s="726">
        <f>G70-H70+I69</f>
        <v>35028277.7254495</v>
      </c>
      <c r="J70" s="847"/>
      <c r="K70" s="890">
        <v>78.4016</v>
      </c>
      <c r="L70" s="860"/>
      <c r="M70" s="861">
        <f>H70/K70</f>
        <v>1305703.45503153</v>
      </c>
      <c r="N70" s="635">
        <f>L70-M70+N69</f>
        <v>446671.823728001</v>
      </c>
      <c r="O70" s="863"/>
    </row>
    <row r="71" ht="34.95" customHeight="1" spans="1:15">
      <c r="A71" s="624">
        <v>69</v>
      </c>
      <c r="B71" s="881"/>
      <c r="C71" s="722"/>
      <c r="D71" s="723"/>
      <c r="E71" s="724"/>
      <c r="F71" s="775"/>
      <c r="G71" s="726"/>
      <c r="H71" s="899">
        <v>35028278</v>
      </c>
      <c r="I71" s="726">
        <f>G71-H71+I70</f>
        <v>-0.274550497531891</v>
      </c>
      <c r="J71" s="783"/>
      <c r="K71" s="890">
        <v>78.4016</v>
      </c>
      <c r="L71" s="785"/>
      <c r="M71" s="861">
        <f>H71/K71</f>
        <v>446780.142241995</v>
      </c>
      <c r="N71" s="635">
        <f>L71-M71+N70</f>
        <v>-108.31851399428</v>
      </c>
      <c r="O71" s="798"/>
    </row>
    <row r="72" ht="34.95" customHeight="1" spans="1:15">
      <c r="A72" s="624">
        <v>70</v>
      </c>
      <c r="B72" s="698"/>
      <c r="C72" s="793"/>
      <c r="D72" s="793"/>
      <c r="E72" s="793"/>
      <c r="F72" s="793"/>
      <c r="G72" s="793"/>
      <c r="H72" s="799"/>
      <c r="I72" s="655">
        <f>G72-H72+I71</f>
        <v>-0.274550497531891</v>
      </c>
      <c r="J72" s="766"/>
      <c r="K72" s="797"/>
      <c r="L72" s="633"/>
      <c r="M72" s="731"/>
      <c r="N72" s="635">
        <f>L72-M72+N71</f>
        <v>-108.31851399428</v>
      </c>
      <c r="O72" s="798"/>
    </row>
    <row r="73" ht="34.95" customHeight="1" spans="1:15">
      <c r="A73" s="624">
        <v>71</v>
      </c>
      <c r="B73" s="698"/>
      <c r="C73" s="625"/>
      <c r="D73" s="626"/>
      <c r="E73" s="806"/>
      <c r="F73" s="794"/>
      <c r="G73" s="655"/>
      <c r="H73" s="799"/>
      <c r="I73" s="655">
        <f>G73-H73+I72</f>
        <v>-0.274550497531891</v>
      </c>
      <c r="J73" s="766"/>
      <c r="K73" s="797"/>
      <c r="L73" s="633"/>
      <c r="M73" s="731"/>
      <c r="N73" s="635">
        <f>L73-M73+N72</f>
        <v>-108.31851399428</v>
      </c>
      <c r="O73" s="798"/>
    </row>
    <row r="74" ht="34.95" customHeight="1" spans="1:15">
      <c r="A74" s="624">
        <v>72</v>
      </c>
      <c r="B74" s="698"/>
      <c r="C74" s="793"/>
      <c r="D74" s="709"/>
      <c r="E74" s="806"/>
      <c r="F74" s="806"/>
      <c r="G74" s="710"/>
      <c r="H74" s="799"/>
      <c r="I74" s="655">
        <f>G74-H74+I73</f>
        <v>-0.274550497531891</v>
      </c>
      <c r="J74" s="766"/>
      <c r="K74" s="797"/>
      <c r="L74" s="633"/>
      <c r="M74" s="731"/>
      <c r="N74" s="635">
        <f>L74-M74+N73</f>
        <v>-108.31851399428</v>
      </c>
      <c r="O74" s="798"/>
    </row>
    <row r="75" ht="34.95" customHeight="1" spans="1:15">
      <c r="A75" s="624">
        <v>73</v>
      </c>
      <c r="B75" s="698"/>
      <c r="C75" s="625"/>
      <c r="D75" s="626"/>
      <c r="E75" s="627"/>
      <c r="F75" s="794"/>
      <c r="G75" s="655"/>
      <c r="H75" s="799"/>
      <c r="I75" s="655">
        <f>G75-H75+I74</f>
        <v>-0.274550497531891</v>
      </c>
      <c r="J75" s="766"/>
      <c r="K75" s="797"/>
      <c r="L75" s="633"/>
      <c r="M75" s="731"/>
      <c r="N75" s="635">
        <f>L75-M75+N74</f>
        <v>-108.31851399428</v>
      </c>
      <c r="O75" s="798"/>
    </row>
    <row r="76" ht="34.95" customHeight="1" spans="1:15">
      <c r="A76" s="900"/>
      <c r="B76" s="901"/>
      <c r="C76" s="902"/>
      <c r="D76" s="903"/>
      <c r="E76" s="904"/>
      <c r="F76" s="905"/>
      <c r="G76" s="906"/>
      <c r="H76" s="907"/>
      <c r="I76" s="908"/>
      <c r="J76" s="674"/>
      <c r="K76" s="909"/>
      <c r="L76" s="910"/>
      <c r="M76" s="910"/>
      <c r="N76" s="623"/>
    </row>
    <row r="78" ht="14.25" spans="1:15">
      <c r="G78" s="809">
        <f>SUM(G3:G77)</f>
        <v>4491895991.15112</v>
      </c>
      <c r="H78" s="810">
        <f>SUM(H3:H77)</f>
        <v>4491895991.42567</v>
      </c>
      <c r="I78" s="811"/>
      <c r="J78" s="811"/>
      <c r="K78" s="811"/>
      <c r="L78" s="680">
        <f>SUM(L3:L77)</f>
        <v>56099327.3421191</v>
      </c>
      <c r="M78" s="812">
        <f>SUM(M3:M77)</f>
        <v>56099435.524546</v>
      </c>
    </row>
    <row r="79" spans="1:15">
      <c r="H79" s="596"/>
    </row>
    <row r="80" ht="14.25" spans="1:15">
      <c r="G80" s="813"/>
    </row>
  </sheetData>
  <mergeCells count="15">
    <mergeCell ref="A1:N1"/>
    <mergeCell ref="B3:B9"/>
    <mergeCell ref="B11:B17"/>
    <mergeCell ref="B20:B24"/>
    <mergeCell ref="B27:B37"/>
    <mergeCell ref="B40:B49"/>
    <mergeCell ref="B52:B59"/>
    <mergeCell ref="B61:B71"/>
    <mergeCell ref="O3:O9"/>
    <mergeCell ref="O11:O17"/>
    <mergeCell ref="O20:O24"/>
    <mergeCell ref="O27:O37"/>
    <mergeCell ref="O40:O49"/>
    <mergeCell ref="O52:O58"/>
    <mergeCell ref="O61:O70"/>
  </mergeCells>
  <pageMargins left="0" right="0.7" top="0" bottom="0" header="0.3" footer="0"/>
  <pageSetup paperSize="1" scale="80" orientation="landscape" horizontalDpi="360" verticalDpi="36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1"/>
  <sheetViews>
    <sheetView workbookViewId="0">
      <selection activeCell="H36" sqref="H36"/>
    </sheetView>
  </sheetViews>
  <sheetFormatPr defaultColWidth="9" defaultRowHeight="12.75"/>
  <cols>
    <col min="1" max="1" width="5.55238095238095" style="593" customWidth="1"/>
    <col min="2" max="2" width="17.7809523809524" style="593" customWidth="1"/>
    <col min="3" max="3" width="15.3333333333333" style="593" customWidth="1"/>
    <col min="4" max="4" width="31.552380952381" style="594" customWidth="1"/>
    <col min="5" max="5" width="9.43809523809524" style="595" customWidth="1"/>
    <col min="6" max="6" width="12.3333333333333" style="595" customWidth="1"/>
    <col min="7" max="7" width="15.3333333333333" style="596" customWidth="1"/>
    <col min="8" max="8" width="13.7809523809524" style="597" customWidth="1"/>
    <col min="9" max="9" width="15.2190476190476" style="598" customWidth="1"/>
    <col min="10" max="10" width="0.438095238095238" style="598" customWidth="1"/>
    <col min="11" max="11" width="11.4380952380952" style="593" customWidth="1"/>
    <col min="12" max="12" width="12.7809523809524" style="593" customWidth="1"/>
    <col min="13" max="13" width="12.8857142857143" style="593" customWidth="1"/>
    <col min="14" max="14" width="13.7809523809524" style="593" customWidth="1"/>
    <col min="15" max="15" width="16.6666666666667" style="593" customWidth="1"/>
    <col min="16" max="250" width="8.88571428571429" style="593"/>
    <col min="251" max="251" width="5.55238095238095" style="593" customWidth="1"/>
    <col min="252" max="252" width="9.33333333333333" style="593" customWidth="1"/>
    <col min="253" max="253" width="24.6666666666667" style="593" customWidth="1"/>
    <col min="254" max="254" width="11" style="593" customWidth="1"/>
    <col min="255" max="255" width="7.55238095238095" style="593" customWidth="1"/>
    <col min="256" max="256" width="13.552380952381" style="593" customWidth="1"/>
    <col min="257" max="257" width="5.43809523809524" style="593" customWidth="1"/>
    <col min="258" max="258" width="11.3333333333333" style="593" customWidth="1"/>
    <col min="259" max="259" width="5.66666666666667" style="593" customWidth="1"/>
    <col min="260" max="260" width="12" style="593" customWidth="1"/>
    <col min="261" max="261" width="15.4380952380952" style="593" customWidth="1"/>
    <col min="262" max="263" width="15.1047619047619" style="593" customWidth="1"/>
    <col min="264" max="264" width="14.3333333333333" style="593" customWidth="1"/>
    <col min="265" max="265" width="3.1047619047619" style="593" customWidth="1"/>
    <col min="266" max="266" width="6.43809523809524" style="593" customWidth="1"/>
    <col min="267" max="506" width="8.88571428571429" style="593"/>
    <col min="507" max="507" width="5.55238095238095" style="593" customWidth="1"/>
    <col min="508" max="508" width="9.33333333333333" style="593" customWidth="1"/>
    <col min="509" max="509" width="24.6666666666667" style="593" customWidth="1"/>
    <col min="510" max="510" width="11" style="593" customWidth="1"/>
    <col min="511" max="511" width="7.55238095238095" style="593" customWidth="1"/>
    <col min="512" max="512" width="13.552380952381" style="593" customWidth="1"/>
    <col min="513" max="513" width="5.43809523809524" style="593" customWidth="1"/>
    <col min="514" max="514" width="11.3333333333333" style="593" customWidth="1"/>
    <col min="515" max="515" width="5.66666666666667" style="593" customWidth="1"/>
    <col min="516" max="516" width="12" style="593" customWidth="1"/>
    <col min="517" max="517" width="15.4380952380952" style="593" customWidth="1"/>
    <col min="518" max="519" width="15.1047619047619" style="593" customWidth="1"/>
    <col min="520" max="520" width="14.3333333333333" style="593" customWidth="1"/>
    <col min="521" max="521" width="3.1047619047619" style="593" customWidth="1"/>
    <col min="522" max="522" width="6.43809523809524" style="593" customWidth="1"/>
    <col min="523" max="762" width="8.88571428571429" style="593"/>
    <col min="763" max="763" width="5.55238095238095" style="593" customWidth="1"/>
    <col min="764" max="764" width="9.33333333333333" style="593" customWidth="1"/>
    <col min="765" max="765" width="24.6666666666667" style="593" customWidth="1"/>
    <col min="766" max="766" width="11" style="593" customWidth="1"/>
    <col min="767" max="767" width="7.55238095238095" style="593" customWidth="1"/>
    <col min="768" max="768" width="13.552380952381" style="593" customWidth="1"/>
    <col min="769" max="769" width="5.43809523809524" style="593" customWidth="1"/>
    <col min="770" max="770" width="11.3333333333333" style="593" customWidth="1"/>
    <col min="771" max="771" width="5.66666666666667" style="593" customWidth="1"/>
    <col min="772" max="772" width="12" style="593" customWidth="1"/>
    <col min="773" max="773" width="15.4380952380952" style="593" customWidth="1"/>
    <col min="774" max="775" width="15.1047619047619" style="593" customWidth="1"/>
    <col min="776" max="776" width="14.3333333333333" style="593" customWidth="1"/>
    <col min="777" max="777" width="3.1047619047619" style="593" customWidth="1"/>
    <col min="778" max="778" width="6.43809523809524" style="593" customWidth="1"/>
    <col min="779" max="1018" width="8.88571428571429" style="593"/>
    <col min="1019" max="1019" width="5.55238095238095" style="593" customWidth="1"/>
    <col min="1020" max="1020" width="9.33333333333333" style="593" customWidth="1"/>
    <col min="1021" max="1021" width="24.6666666666667" style="593" customWidth="1"/>
    <col min="1022" max="1022" width="11" style="593" customWidth="1"/>
    <col min="1023" max="1023" width="7.55238095238095" style="593" customWidth="1"/>
    <col min="1024" max="1024" width="13.552380952381" style="593" customWidth="1"/>
    <col min="1025" max="1025" width="5.43809523809524" style="593" customWidth="1"/>
    <col min="1026" max="1026" width="11.3333333333333" style="593" customWidth="1"/>
    <col min="1027" max="1027" width="5.66666666666667" style="593" customWidth="1"/>
    <col min="1028" max="1028" width="12" style="593" customWidth="1"/>
    <col min="1029" max="1029" width="15.4380952380952" style="593" customWidth="1"/>
    <col min="1030" max="1031" width="15.1047619047619" style="593" customWidth="1"/>
    <col min="1032" max="1032" width="14.3333333333333" style="593" customWidth="1"/>
    <col min="1033" max="1033" width="3.1047619047619" style="593" customWidth="1"/>
    <col min="1034" max="1034" width="6.43809523809524" style="593" customWidth="1"/>
    <col min="1035" max="1274" width="8.88571428571429" style="593"/>
    <col min="1275" max="1275" width="5.55238095238095" style="593" customWidth="1"/>
    <col min="1276" max="1276" width="9.33333333333333" style="593" customWidth="1"/>
    <col min="1277" max="1277" width="24.6666666666667" style="593" customWidth="1"/>
    <col min="1278" max="1278" width="11" style="593" customWidth="1"/>
    <col min="1279" max="1279" width="7.55238095238095" style="593" customWidth="1"/>
    <col min="1280" max="1280" width="13.552380952381" style="593" customWidth="1"/>
    <col min="1281" max="1281" width="5.43809523809524" style="593" customWidth="1"/>
    <col min="1282" max="1282" width="11.3333333333333" style="593" customWidth="1"/>
    <col min="1283" max="1283" width="5.66666666666667" style="593" customWidth="1"/>
    <col min="1284" max="1284" width="12" style="593" customWidth="1"/>
    <col min="1285" max="1285" width="15.4380952380952" style="593" customWidth="1"/>
    <col min="1286" max="1287" width="15.1047619047619" style="593" customWidth="1"/>
    <col min="1288" max="1288" width="14.3333333333333" style="593" customWidth="1"/>
    <col min="1289" max="1289" width="3.1047619047619" style="593" customWidth="1"/>
    <col min="1290" max="1290" width="6.43809523809524" style="593" customWidth="1"/>
    <col min="1291" max="1530" width="8.88571428571429" style="593"/>
    <col min="1531" max="1531" width="5.55238095238095" style="593" customWidth="1"/>
    <col min="1532" max="1532" width="9.33333333333333" style="593" customWidth="1"/>
    <col min="1533" max="1533" width="24.6666666666667" style="593" customWidth="1"/>
    <col min="1534" max="1534" width="11" style="593" customWidth="1"/>
    <col min="1535" max="1535" width="7.55238095238095" style="593" customWidth="1"/>
    <col min="1536" max="1536" width="13.552380952381" style="593" customWidth="1"/>
    <col min="1537" max="1537" width="5.43809523809524" style="593" customWidth="1"/>
    <col min="1538" max="1538" width="11.3333333333333" style="593" customWidth="1"/>
    <col min="1539" max="1539" width="5.66666666666667" style="593" customWidth="1"/>
    <col min="1540" max="1540" width="12" style="593" customWidth="1"/>
    <col min="1541" max="1541" width="15.4380952380952" style="593" customWidth="1"/>
    <col min="1542" max="1543" width="15.1047619047619" style="593" customWidth="1"/>
    <col min="1544" max="1544" width="14.3333333333333" style="593" customWidth="1"/>
    <col min="1545" max="1545" width="3.1047619047619" style="593" customWidth="1"/>
    <col min="1546" max="1546" width="6.43809523809524" style="593" customWidth="1"/>
    <col min="1547" max="1786" width="8.88571428571429" style="593"/>
    <col min="1787" max="1787" width="5.55238095238095" style="593" customWidth="1"/>
    <col min="1788" max="1788" width="9.33333333333333" style="593" customWidth="1"/>
    <col min="1789" max="1789" width="24.6666666666667" style="593" customWidth="1"/>
    <col min="1790" max="1790" width="11" style="593" customWidth="1"/>
    <col min="1791" max="1791" width="7.55238095238095" style="593" customWidth="1"/>
    <col min="1792" max="1792" width="13.552380952381" style="593" customWidth="1"/>
    <col min="1793" max="1793" width="5.43809523809524" style="593" customWidth="1"/>
    <col min="1794" max="1794" width="11.3333333333333" style="593" customWidth="1"/>
    <col min="1795" max="1795" width="5.66666666666667" style="593" customWidth="1"/>
    <col min="1796" max="1796" width="12" style="593" customWidth="1"/>
    <col min="1797" max="1797" width="15.4380952380952" style="593" customWidth="1"/>
    <col min="1798" max="1799" width="15.1047619047619" style="593" customWidth="1"/>
    <col min="1800" max="1800" width="14.3333333333333" style="593" customWidth="1"/>
    <col min="1801" max="1801" width="3.1047619047619" style="593" customWidth="1"/>
    <col min="1802" max="1802" width="6.43809523809524" style="593" customWidth="1"/>
    <col min="1803" max="2042" width="8.88571428571429" style="593"/>
    <col min="2043" max="2043" width="5.55238095238095" style="593" customWidth="1"/>
    <col min="2044" max="2044" width="9.33333333333333" style="593" customWidth="1"/>
    <col min="2045" max="2045" width="24.6666666666667" style="593" customWidth="1"/>
    <col min="2046" max="2046" width="11" style="593" customWidth="1"/>
    <col min="2047" max="2047" width="7.55238095238095" style="593" customWidth="1"/>
    <col min="2048" max="2048" width="13.552380952381" style="593" customWidth="1"/>
    <col min="2049" max="2049" width="5.43809523809524" style="593" customWidth="1"/>
    <col min="2050" max="2050" width="11.3333333333333" style="593" customWidth="1"/>
    <col min="2051" max="2051" width="5.66666666666667" style="593" customWidth="1"/>
    <col min="2052" max="2052" width="12" style="593" customWidth="1"/>
    <col min="2053" max="2053" width="15.4380952380952" style="593" customWidth="1"/>
    <col min="2054" max="2055" width="15.1047619047619" style="593" customWidth="1"/>
    <col min="2056" max="2056" width="14.3333333333333" style="593" customWidth="1"/>
    <col min="2057" max="2057" width="3.1047619047619" style="593" customWidth="1"/>
    <col min="2058" max="2058" width="6.43809523809524" style="593" customWidth="1"/>
    <col min="2059" max="2298" width="8.88571428571429" style="593"/>
    <col min="2299" max="2299" width="5.55238095238095" style="593" customWidth="1"/>
    <col min="2300" max="2300" width="9.33333333333333" style="593" customWidth="1"/>
    <col min="2301" max="2301" width="24.6666666666667" style="593" customWidth="1"/>
    <col min="2302" max="2302" width="11" style="593" customWidth="1"/>
    <col min="2303" max="2303" width="7.55238095238095" style="593" customWidth="1"/>
    <col min="2304" max="2304" width="13.552380952381" style="593" customWidth="1"/>
    <col min="2305" max="2305" width="5.43809523809524" style="593" customWidth="1"/>
    <col min="2306" max="2306" width="11.3333333333333" style="593" customWidth="1"/>
    <col min="2307" max="2307" width="5.66666666666667" style="593" customWidth="1"/>
    <col min="2308" max="2308" width="12" style="593" customWidth="1"/>
    <col min="2309" max="2309" width="15.4380952380952" style="593" customWidth="1"/>
    <col min="2310" max="2311" width="15.1047619047619" style="593" customWidth="1"/>
    <col min="2312" max="2312" width="14.3333333333333" style="593" customWidth="1"/>
    <col min="2313" max="2313" width="3.1047619047619" style="593" customWidth="1"/>
    <col min="2314" max="2314" width="6.43809523809524" style="593" customWidth="1"/>
    <col min="2315" max="2554" width="8.88571428571429" style="593"/>
    <col min="2555" max="2555" width="5.55238095238095" style="593" customWidth="1"/>
    <col min="2556" max="2556" width="9.33333333333333" style="593" customWidth="1"/>
    <col min="2557" max="2557" width="24.6666666666667" style="593" customWidth="1"/>
    <col min="2558" max="2558" width="11" style="593" customWidth="1"/>
    <col min="2559" max="2559" width="7.55238095238095" style="593" customWidth="1"/>
    <col min="2560" max="2560" width="13.552380952381" style="593" customWidth="1"/>
    <col min="2561" max="2561" width="5.43809523809524" style="593" customWidth="1"/>
    <col min="2562" max="2562" width="11.3333333333333" style="593" customWidth="1"/>
    <col min="2563" max="2563" width="5.66666666666667" style="593" customWidth="1"/>
    <col min="2564" max="2564" width="12" style="593" customWidth="1"/>
    <col min="2565" max="2565" width="15.4380952380952" style="593" customWidth="1"/>
    <col min="2566" max="2567" width="15.1047619047619" style="593" customWidth="1"/>
    <col min="2568" max="2568" width="14.3333333333333" style="593" customWidth="1"/>
    <col min="2569" max="2569" width="3.1047619047619" style="593" customWidth="1"/>
    <col min="2570" max="2570" width="6.43809523809524" style="593" customWidth="1"/>
    <col min="2571" max="2810" width="8.88571428571429" style="593"/>
    <col min="2811" max="2811" width="5.55238095238095" style="593" customWidth="1"/>
    <col min="2812" max="2812" width="9.33333333333333" style="593" customWidth="1"/>
    <col min="2813" max="2813" width="24.6666666666667" style="593" customWidth="1"/>
    <col min="2814" max="2814" width="11" style="593" customWidth="1"/>
    <col min="2815" max="2815" width="7.55238095238095" style="593" customWidth="1"/>
    <col min="2816" max="2816" width="13.552380952381" style="593" customWidth="1"/>
    <col min="2817" max="2817" width="5.43809523809524" style="593" customWidth="1"/>
    <col min="2818" max="2818" width="11.3333333333333" style="593" customWidth="1"/>
    <col min="2819" max="2819" width="5.66666666666667" style="593" customWidth="1"/>
    <col min="2820" max="2820" width="12" style="593" customWidth="1"/>
    <col min="2821" max="2821" width="15.4380952380952" style="593" customWidth="1"/>
    <col min="2822" max="2823" width="15.1047619047619" style="593" customWidth="1"/>
    <col min="2824" max="2824" width="14.3333333333333" style="593" customWidth="1"/>
    <col min="2825" max="2825" width="3.1047619047619" style="593" customWidth="1"/>
    <col min="2826" max="2826" width="6.43809523809524" style="593" customWidth="1"/>
    <col min="2827" max="3066" width="8.88571428571429" style="593"/>
    <col min="3067" max="3067" width="5.55238095238095" style="593" customWidth="1"/>
    <col min="3068" max="3068" width="9.33333333333333" style="593" customWidth="1"/>
    <col min="3069" max="3069" width="24.6666666666667" style="593" customWidth="1"/>
    <col min="3070" max="3070" width="11" style="593" customWidth="1"/>
    <col min="3071" max="3071" width="7.55238095238095" style="593" customWidth="1"/>
    <col min="3072" max="3072" width="13.552380952381" style="593" customWidth="1"/>
    <col min="3073" max="3073" width="5.43809523809524" style="593" customWidth="1"/>
    <col min="3074" max="3074" width="11.3333333333333" style="593" customWidth="1"/>
    <col min="3075" max="3075" width="5.66666666666667" style="593" customWidth="1"/>
    <col min="3076" max="3076" width="12" style="593" customWidth="1"/>
    <col min="3077" max="3077" width="15.4380952380952" style="593" customWidth="1"/>
    <col min="3078" max="3079" width="15.1047619047619" style="593" customWidth="1"/>
    <col min="3080" max="3080" width="14.3333333333333" style="593" customWidth="1"/>
    <col min="3081" max="3081" width="3.1047619047619" style="593" customWidth="1"/>
    <col min="3082" max="3082" width="6.43809523809524" style="593" customWidth="1"/>
    <col min="3083" max="3322" width="8.88571428571429" style="593"/>
    <col min="3323" max="3323" width="5.55238095238095" style="593" customWidth="1"/>
    <col min="3324" max="3324" width="9.33333333333333" style="593" customWidth="1"/>
    <col min="3325" max="3325" width="24.6666666666667" style="593" customWidth="1"/>
    <col min="3326" max="3326" width="11" style="593" customWidth="1"/>
    <col min="3327" max="3327" width="7.55238095238095" style="593" customWidth="1"/>
    <col min="3328" max="3328" width="13.552380952381" style="593" customWidth="1"/>
    <col min="3329" max="3329" width="5.43809523809524" style="593" customWidth="1"/>
    <col min="3330" max="3330" width="11.3333333333333" style="593" customWidth="1"/>
    <col min="3331" max="3331" width="5.66666666666667" style="593" customWidth="1"/>
    <col min="3332" max="3332" width="12" style="593" customWidth="1"/>
    <col min="3333" max="3333" width="15.4380952380952" style="593" customWidth="1"/>
    <col min="3334" max="3335" width="15.1047619047619" style="593" customWidth="1"/>
    <col min="3336" max="3336" width="14.3333333333333" style="593" customWidth="1"/>
    <col min="3337" max="3337" width="3.1047619047619" style="593" customWidth="1"/>
    <col min="3338" max="3338" width="6.43809523809524" style="593" customWidth="1"/>
    <col min="3339" max="3578" width="8.88571428571429" style="593"/>
    <col min="3579" max="3579" width="5.55238095238095" style="593" customWidth="1"/>
    <col min="3580" max="3580" width="9.33333333333333" style="593" customWidth="1"/>
    <col min="3581" max="3581" width="24.6666666666667" style="593" customWidth="1"/>
    <col min="3582" max="3582" width="11" style="593" customWidth="1"/>
    <col min="3583" max="3583" width="7.55238095238095" style="593" customWidth="1"/>
    <col min="3584" max="3584" width="13.552380952381" style="593" customWidth="1"/>
    <col min="3585" max="3585" width="5.43809523809524" style="593" customWidth="1"/>
    <col min="3586" max="3586" width="11.3333333333333" style="593" customWidth="1"/>
    <col min="3587" max="3587" width="5.66666666666667" style="593" customWidth="1"/>
    <col min="3588" max="3588" width="12" style="593" customWidth="1"/>
    <col min="3589" max="3589" width="15.4380952380952" style="593" customWidth="1"/>
    <col min="3590" max="3591" width="15.1047619047619" style="593" customWidth="1"/>
    <col min="3592" max="3592" width="14.3333333333333" style="593" customWidth="1"/>
    <col min="3593" max="3593" width="3.1047619047619" style="593" customWidth="1"/>
    <col min="3594" max="3594" width="6.43809523809524" style="593" customWidth="1"/>
    <col min="3595" max="3834" width="8.88571428571429" style="593"/>
    <col min="3835" max="3835" width="5.55238095238095" style="593" customWidth="1"/>
    <col min="3836" max="3836" width="9.33333333333333" style="593" customWidth="1"/>
    <col min="3837" max="3837" width="24.6666666666667" style="593" customWidth="1"/>
    <col min="3838" max="3838" width="11" style="593" customWidth="1"/>
    <col min="3839" max="3839" width="7.55238095238095" style="593" customWidth="1"/>
    <col min="3840" max="3840" width="13.552380952381" style="593" customWidth="1"/>
    <col min="3841" max="3841" width="5.43809523809524" style="593" customWidth="1"/>
    <col min="3842" max="3842" width="11.3333333333333" style="593" customWidth="1"/>
    <col min="3843" max="3843" width="5.66666666666667" style="593" customWidth="1"/>
    <col min="3844" max="3844" width="12" style="593" customWidth="1"/>
    <col min="3845" max="3845" width="15.4380952380952" style="593" customWidth="1"/>
    <col min="3846" max="3847" width="15.1047619047619" style="593" customWidth="1"/>
    <col min="3848" max="3848" width="14.3333333333333" style="593" customWidth="1"/>
    <col min="3849" max="3849" width="3.1047619047619" style="593" customWidth="1"/>
    <col min="3850" max="3850" width="6.43809523809524" style="593" customWidth="1"/>
    <col min="3851" max="4090" width="8.88571428571429" style="593"/>
    <col min="4091" max="4091" width="5.55238095238095" style="593" customWidth="1"/>
    <col min="4092" max="4092" width="9.33333333333333" style="593" customWidth="1"/>
    <col min="4093" max="4093" width="24.6666666666667" style="593" customWidth="1"/>
    <col min="4094" max="4094" width="11" style="593" customWidth="1"/>
    <col min="4095" max="4095" width="7.55238095238095" style="593" customWidth="1"/>
    <col min="4096" max="4096" width="13.552380952381" style="593" customWidth="1"/>
    <col min="4097" max="4097" width="5.43809523809524" style="593" customWidth="1"/>
    <col min="4098" max="4098" width="11.3333333333333" style="593" customWidth="1"/>
    <col min="4099" max="4099" width="5.66666666666667" style="593" customWidth="1"/>
    <col min="4100" max="4100" width="12" style="593" customWidth="1"/>
    <col min="4101" max="4101" width="15.4380952380952" style="593" customWidth="1"/>
    <col min="4102" max="4103" width="15.1047619047619" style="593" customWidth="1"/>
    <col min="4104" max="4104" width="14.3333333333333" style="593" customWidth="1"/>
    <col min="4105" max="4105" width="3.1047619047619" style="593" customWidth="1"/>
    <col min="4106" max="4106" width="6.43809523809524" style="593" customWidth="1"/>
    <col min="4107" max="4346" width="8.88571428571429" style="593"/>
    <col min="4347" max="4347" width="5.55238095238095" style="593" customWidth="1"/>
    <col min="4348" max="4348" width="9.33333333333333" style="593" customWidth="1"/>
    <col min="4349" max="4349" width="24.6666666666667" style="593" customWidth="1"/>
    <col min="4350" max="4350" width="11" style="593" customWidth="1"/>
    <col min="4351" max="4351" width="7.55238095238095" style="593" customWidth="1"/>
    <col min="4352" max="4352" width="13.552380952381" style="593" customWidth="1"/>
    <col min="4353" max="4353" width="5.43809523809524" style="593" customWidth="1"/>
    <col min="4354" max="4354" width="11.3333333333333" style="593" customWidth="1"/>
    <col min="4355" max="4355" width="5.66666666666667" style="593" customWidth="1"/>
    <col min="4356" max="4356" width="12" style="593" customWidth="1"/>
    <col min="4357" max="4357" width="15.4380952380952" style="593" customWidth="1"/>
    <col min="4358" max="4359" width="15.1047619047619" style="593" customWidth="1"/>
    <col min="4360" max="4360" width="14.3333333333333" style="593" customWidth="1"/>
    <col min="4361" max="4361" width="3.1047619047619" style="593" customWidth="1"/>
    <col min="4362" max="4362" width="6.43809523809524" style="593" customWidth="1"/>
    <col min="4363" max="4602" width="8.88571428571429" style="593"/>
    <col min="4603" max="4603" width="5.55238095238095" style="593" customWidth="1"/>
    <col min="4604" max="4604" width="9.33333333333333" style="593" customWidth="1"/>
    <col min="4605" max="4605" width="24.6666666666667" style="593" customWidth="1"/>
    <col min="4606" max="4606" width="11" style="593" customWidth="1"/>
    <col min="4607" max="4607" width="7.55238095238095" style="593" customWidth="1"/>
    <col min="4608" max="4608" width="13.552380952381" style="593" customWidth="1"/>
    <col min="4609" max="4609" width="5.43809523809524" style="593" customWidth="1"/>
    <col min="4610" max="4610" width="11.3333333333333" style="593" customWidth="1"/>
    <col min="4611" max="4611" width="5.66666666666667" style="593" customWidth="1"/>
    <col min="4612" max="4612" width="12" style="593" customWidth="1"/>
    <col min="4613" max="4613" width="15.4380952380952" style="593" customWidth="1"/>
    <col min="4614" max="4615" width="15.1047619047619" style="593" customWidth="1"/>
    <col min="4616" max="4616" width="14.3333333333333" style="593" customWidth="1"/>
    <col min="4617" max="4617" width="3.1047619047619" style="593" customWidth="1"/>
    <col min="4618" max="4618" width="6.43809523809524" style="593" customWidth="1"/>
    <col min="4619" max="4858" width="8.88571428571429" style="593"/>
    <col min="4859" max="4859" width="5.55238095238095" style="593" customWidth="1"/>
    <col min="4860" max="4860" width="9.33333333333333" style="593" customWidth="1"/>
    <col min="4861" max="4861" width="24.6666666666667" style="593" customWidth="1"/>
    <col min="4862" max="4862" width="11" style="593" customWidth="1"/>
    <col min="4863" max="4863" width="7.55238095238095" style="593" customWidth="1"/>
    <col min="4864" max="4864" width="13.552380952381" style="593" customWidth="1"/>
    <col min="4865" max="4865" width="5.43809523809524" style="593" customWidth="1"/>
    <col min="4866" max="4866" width="11.3333333333333" style="593" customWidth="1"/>
    <col min="4867" max="4867" width="5.66666666666667" style="593" customWidth="1"/>
    <col min="4868" max="4868" width="12" style="593" customWidth="1"/>
    <col min="4869" max="4869" width="15.4380952380952" style="593" customWidth="1"/>
    <col min="4870" max="4871" width="15.1047619047619" style="593" customWidth="1"/>
    <col min="4872" max="4872" width="14.3333333333333" style="593" customWidth="1"/>
    <col min="4873" max="4873" width="3.1047619047619" style="593" customWidth="1"/>
    <col min="4874" max="4874" width="6.43809523809524" style="593" customWidth="1"/>
    <col min="4875" max="5114" width="8.88571428571429" style="593"/>
    <col min="5115" max="5115" width="5.55238095238095" style="593" customWidth="1"/>
    <col min="5116" max="5116" width="9.33333333333333" style="593" customWidth="1"/>
    <col min="5117" max="5117" width="24.6666666666667" style="593" customWidth="1"/>
    <col min="5118" max="5118" width="11" style="593" customWidth="1"/>
    <col min="5119" max="5119" width="7.55238095238095" style="593" customWidth="1"/>
    <col min="5120" max="5120" width="13.552380952381" style="593" customWidth="1"/>
    <col min="5121" max="5121" width="5.43809523809524" style="593" customWidth="1"/>
    <col min="5122" max="5122" width="11.3333333333333" style="593" customWidth="1"/>
    <col min="5123" max="5123" width="5.66666666666667" style="593" customWidth="1"/>
    <col min="5124" max="5124" width="12" style="593" customWidth="1"/>
    <col min="5125" max="5125" width="15.4380952380952" style="593" customWidth="1"/>
    <col min="5126" max="5127" width="15.1047619047619" style="593" customWidth="1"/>
    <col min="5128" max="5128" width="14.3333333333333" style="593" customWidth="1"/>
    <col min="5129" max="5129" width="3.1047619047619" style="593" customWidth="1"/>
    <col min="5130" max="5130" width="6.43809523809524" style="593" customWidth="1"/>
    <col min="5131" max="5370" width="8.88571428571429" style="593"/>
    <col min="5371" max="5371" width="5.55238095238095" style="593" customWidth="1"/>
    <col min="5372" max="5372" width="9.33333333333333" style="593" customWidth="1"/>
    <col min="5373" max="5373" width="24.6666666666667" style="593" customWidth="1"/>
    <col min="5374" max="5374" width="11" style="593" customWidth="1"/>
    <col min="5375" max="5375" width="7.55238095238095" style="593" customWidth="1"/>
    <col min="5376" max="5376" width="13.552380952381" style="593" customWidth="1"/>
    <col min="5377" max="5377" width="5.43809523809524" style="593" customWidth="1"/>
    <col min="5378" max="5378" width="11.3333333333333" style="593" customWidth="1"/>
    <col min="5379" max="5379" width="5.66666666666667" style="593" customWidth="1"/>
    <col min="5380" max="5380" width="12" style="593" customWidth="1"/>
    <col min="5381" max="5381" width="15.4380952380952" style="593" customWidth="1"/>
    <col min="5382" max="5383" width="15.1047619047619" style="593" customWidth="1"/>
    <col min="5384" max="5384" width="14.3333333333333" style="593" customWidth="1"/>
    <col min="5385" max="5385" width="3.1047619047619" style="593" customWidth="1"/>
    <col min="5386" max="5386" width="6.43809523809524" style="593" customWidth="1"/>
    <col min="5387" max="5626" width="8.88571428571429" style="593"/>
    <col min="5627" max="5627" width="5.55238095238095" style="593" customWidth="1"/>
    <col min="5628" max="5628" width="9.33333333333333" style="593" customWidth="1"/>
    <col min="5629" max="5629" width="24.6666666666667" style="593" customWidth="1"/>
    <col min="5630" max="5630" width="11" style="593" customWidth="1"/>
    <col min="5631" max="5631" width="7.55238095238095" style="593" customWidth="1"/>
    <col min="5632" max="5632" width="13.552380952381" style="593" customWidth="1"/>
    <col min="5633" max="5633" width="5.43809523809524" style="593" customWidth="1"/>
    <col min="5634" max="5634" width="11.3333333333333" style="593" customWidth="1"/>
    <col min="5635" max="5635" width="5.66666666666667" style="593" customWidth="1"/>
    <col min="5636" max="5636" width="12" style="593" customWidth="1"/>
    <col min="5637" max="5637" width="15.4380952380952" style="593" customWidth="1"/>
    <col min="5638" max="5639" width="15.1047619047619" style="593" customWidth="1"/>
    <col min="5640" max="5640" width="14.3333333333333" style="593" customWidth="1"/>
    <col min="5641" max="5641" width="3.1047619047619" style="593" customWidth="1"/>
    <col min="5642" max="5642" width="6.43809523809524" style="593" customWidth="1"/>
    <col min="5643" max="5882" width="8.88571428571429" style="593"/>
    <col min="5883" max="5883" width="5.55238095238095" style="593" customWidth="1"/>
    <col min="5884" max="5884" width="9.33333333333333" style="593" customWidth="1"/>
    <col min="5885" max="5885" width="24.6666666666667" style="593" customWidth="1"/>
    <col min="5886" max="5886" width="11" style="593" customWidth="1"/>
    <col min="5887" max="5887" width="7.55238095238095" style="593" customWidth="1"/>
    <col min="5888" max="5888" width="13.552380952381" style="593" customWidth="1"/>
    <col min="5889" max="5889" width="5.43809523809524" style="593" customWidth="1"/>
    <col min="5890" max="5890" width="11.3333333333333" style="593" customWidth="1"/>
    <col min="5891" max="5891" width="5.66666666666667" style="593" customWidth="1"/>
    <col min="5892" max="5892" width="12" style="593" customWidth="1"/>
    <col min="5893" max="5893" width="15.4380952380952" style="593" customWidth="1"/>
    <col min="5894" max="5895" width="15.1047619047619" style="593" customWidth="1"/>
    <col min="5896" max="5896" width="14.3333333333333" style="593" customWidth="1"/>
    <col min="5897" max="5897" width="3.1047619047619" style="593" customWidth="1"/>
    <col min="5898" max="5898" width="6.43809523809524" style="593" customWidth="1"/>
    <col min="5899" max="6138" width="8.88571428571429" style="593"/>
    <col min="6139" max="6139" width="5.55238095238095" style="593" customWidth="1"/>
    <col min="6140" max="6140" width="9.33333333333333" style="593" customWidth="1"/>
    <col min="6141" max="6141" width="24.6666666666667" style="593" customWidth="1"/>
    <col min="6142" max="6142" width="11" style="593" customWidth="1"/>
    <col min="6143" max="6143" width="7.55238095238095" style="593" customWidth="1"/>
    <col min="6144" max="6144" width="13.552380952381" style="593" customWidth="1"/>
    <col min="6145" max="6145" width="5.43809523809524" style="593" customWidth="1"/>
    <col min="6146" max="6146" width="11.3333333333333" style="593" customWidth="1"/>
    <col min="6147" max="6147" width="5.66666666666667" style="593" customWidth="1"/>
    <col min="6148" max="6148" width="12" style="593" customWidth="1"/>
    <col min="6149" max="6149" width="15.4380952380952" style="593" customWidth="1"/>
    <col min="6150" max="6151" width="15.1047619047619" style="593" customWidth="1"/>
    <col min="6152" max="6152" width="14.3333333333333" style="593" customWidth="1"/>
    <col min="6153" max="6153" width="3.1047619047619" style="593" customWidth="1"/>
    <col min="6154" max="6154" width="6.43809523809524" style="593" customWidth="1"/>
    <col min="6155" max="6394" width="8.88571428571429" style="593"/>
    <col min="6395" max="6395" width="5.55238095238095" style="593" customWidth="1"/>
    <col min="6396" max="6396" width="9.33333333333333" style="593" customWidth="1"/>
    <col min="6397" max="6397" width="24.6666666666667" style="593" customWidth="1"/>
    <col min="6398" max="6398" width="11" style="593" customWidth="1"/>
    <col min="6399" max="6399" width="7.55238095238095" style="593" customWidth="1"/>
    <col min="6400" max="6400" width="13.552380952381" style="593" customWidth="1"/>
    <col min="6401" max="6401" width="5.43809523809524" style="593" customWidth="1"/>
    <col min="6402" max="6402" width="11.3333333333333" style="593" customWidth="1"/>
    <col min="6403" max="6403" width="5.66666666666667" style="593" customWidth="1"/>
    <col min="6404" max="6404" width="12" style="593" customWidth="1"/>
    <col min="6405" max="6405" width="15.4380952380952" style="593" customWidth="1"/>
    <col min="6406" max="6407" width="15.1047619047619" style="593" customWidth="1"/>
    <col min="6408" max="6408" width="14.3333333333333" style="593" customWidth="1"/>
    <col min="6409" max="6409" width="3.1047619047619" style="593" customWidth="1"/>
    <col min="6410" max="6410" width="6.43809523809524" style="593" customWidth="1"/>
    <col min="6411" max="6650" width="8.88571428571429" style="593"/>
    <col min="6651" max="6651" width="5.55238095238095" style="593" customWidth="1"/>
    <col min="6652" max="6652" width="9.33333333333333" style="593" customWidth="1"/>
    <col min="6653" max="6653" width="24.6666666666667" style="593" customWidth="1"/>
    <col min="6654" max="6654" width="11" style="593" customWidth="1"/>
    <col min="6655" max="6655" width="7.55238095238095" style="593" customWidth="1"/>
    <col min="6656" max="6656" width="13.552380952381" style="593" customWidth="1"/>
    <col min="6657" max="6657" width="5.43809523809524" style="593" customWidth="1"/>
    <col min="6658" max="6658" width="11.3333333333333" style="593" customWidth="1"/>
    <col min="6659" max="6659" width="5.66666666666667" style="593" customWidth="1"/>
    <col min="6660" max="6660" width="12" style="593" customWidth="1"/>
    <col min="6661" max="6661" width="15.4380952380952" style="593" customWidth="1"/>
    <col min="6662" max="6663" width="15.1047619047619" style="593" customWidth="1"/>
    <col min="6664" max="6664" width="14.3333333333333" style="593" customWidth="1"/>
    <col min="6665" max="6665" width="3.1047619047619" style="593" customWidth="1"/>
    <col min="6666" max="6666" width="6.43809523809524" style="593" customWidth="1"/>
    <col min="6667" max="6906" width="8.88571428571429" style="593"/>
    <col min="6907" max="6907" width="5.55238095238095" style="593" customWidth="1"/>
    <col min="6908" max="6908" width="9.33333333333333" style="593" customWidth="1"/>
    <col min="6909" max="6909" width="24.6666666666667" style="593" customWidth="1"/>
    <col min="6910" max="6910" width="11" style="593" customWidth="1"/>
    <col min="6911" max="6911" width="7.55238095238095" style="593" customWidth="1"/>
    <col min="6912" max="6912" width="13.552380952381" style="593" customWidth="1"/>
    <col min="6913" max="6913" width="5.43809523809524" style="593" customWidth="1"/>
    <col min="6914" max="6914" width="11.3333333333333" style="593" customWidth="1"/>
    <col min="6915" max="6915" width="5.66666666666667" style="593" customWidth="1"/>
    <col min="6916" max="6916" width="12" style="593" customWidth="1"/>
    <col min="6917" max="6917" width="15.4380952380952" style="593" customWidth="1"/>
    <col min="6918" max="6919" width="15.1047619047619" style="593" customWidth="1"/>
    <col min="6920" max="6920" width="14.3333333333333" style="593" customWidth="1"/>
    <col min="6921" max="6921" width="3.1047619047619" style="593" customWidth="1"/>
    <col min="6922" max="6922" width="6.43809523809524" style="593" customWidth="1"/>
    <col min="6923" max="7162" width="8.88571428571429" style="593"/>
    <col min="7163" max="7163" width="5.55238095238095" style="593" customWidth="1"/>
    <col min="7164" max="7164" width="9.33333333333333" style="593" customWidth="1"/>
    <col min="7165" max="7165" width="24.6666666666667" style="593" customWidth="1"/>
    <col min="7166" max="7166" width="11" style="593" customWidth="1"/>
    <col min="7167" max="7167" width="7.55238095238095" style="593" customWidth="1"/>
    <col min="7168" max="7168" width="13.552380952381" style="593" customWidth="1"/>
    <col min="7169" max="7169" width="5.43809523809524" style="593" customWidth="1"/>
    <col min="7170" max="7170" width="11.3333333333333" style="593" customWidth="1"/>
    <col min="7171" max="7171" width="5.66666666666667" style="593" customWidth="1"/>
    <col min="7172" max="7172" width="12" style="593" customWidth="1"/>
    <col min="7173" max="7173" width="15.4380952380952" style="593" customWidth="1"/>
    <col min="7174" max="7175" width="15.1047619047619" style="593" customWidth="1"/>
    <col min="7176" max="7176" width="14.3333333333333" style="593" customWidth="1"/>
    <col min="7177" max="7177" width="3.1047619047619" style="593" customWidth="1"/>
    <col min="7178" max="7178" width="6.43809523809524" style="593" customWidth="1"/>
    <col min="7179" max="7418" width="8.88571428571429" style="593"/>
    <col min="7419" max="7419" width="5.55238095238095" style="593" customWidth="1"/>
    <col min="7420" max="7420" width="9.33333333333333" style="593" customWidth="1"/>
    <col min="7421" max="7421" width="24.6666666666667" style="593" customWidth="1"/>
    <col min="7422" max="7422" width="11" style="593" customWidth="1"/>
    <col min="7423" max="7423" width="7.55238095238095" style="593" customWidth="1"/>
    <col min="7424" max="7424" width="13.552380952381" style="593" customWidth="1"/>
    <col min="7425" max="7425" width="5.43809523809524" style="593" customWidth="1"/>
    <col min="7426" max="7426" width="11.3333333333333" style="593" customWidth="1"/>
    <col min="7427" max="7427" width="5.66666666666667" style="593" customWidth="1"/>
    <col min="7428" max="7428" width="12" style="593" customWidth="1"/>
    <col min="7429" max="7429" width="15.4380952380952" style="593" customWidth="1"/>
    <col min="7430" max="7431" width="15.1047619047619" style="593" customWidth="1"/>
    <col min="7432" max="7432" width="14.3333333333333" style="593" customWidth="1"/>
    <col min="7433" max="7433" width="3.1047619047619" style="593" customWidth="1"/>
    <col min="7434" max="7434" width="6.43809523809524" style="593" customWidth="1"/>
    <col min="7435" max="7674" width="8.88571428571429" style="593"/>
    <col min="7675" max="7675" width="5.55238095238095" style="593" customWidth="1"/>
    <col min="7676" max="7676" width="9.33333333333333" style="593" customWidth="1"/>
    <col min="7677" max="7677" width="24.6666666666667" style="593" customWidth="1"/>
    <col min="7678" max="7678" width="11" style="593" customWidth="1"/>
    <col min="7679" max="7679" width="7.55238095238095" style="593" customWidth="1"/>
    <col min="7680" max="7680" width="13.552380952381" style="593" customWidth="1"/>
    <col min="7681" max="7681" width="5.43809523809524" style="593" customWidth="1"/>
    <col min="7682" max="7682" width="11.3333333333333" style="593" customWidth="1"/>
    <col min="7683" max="7683" width="5.66666666666667" style="593" customWidth="1"/>
    <col min="7684" max="7684" width="12" style="593" customWidth="1"/>
    <col min="7685" max="7685" width="15.4380952380952" style="593" customWidth="1"/>
    <col min="7686" max="7687" width="15.1047619047619" style="593" customWidth="1"/>
    <col min="7688" max="7688" width="14.3333333333333" style="593" customWidth="1"/>
    <col min="7689" max="7689" width="3.1047619047619" style="593" customWidth="1"/>
    <col min="7690" max="7690" width="6.43809523809524" style="593" customWidth="1"/>
    <col min="7691" max="7930" width="8.88571428571429" style="593"/>
    <col min="7931" max="7931" width="5.55238095238095" style="593" customWidth="1"/>
    <col min="7932" max="7932" width="9.33333333333333" style="593" customWidth="1"/>
    <col min="7933" max="7933" width="24.6666666666667" style="593" customWidth="1"/>
    <col min="7934" max="7934" width="11" style="593" customWidth="1"/>
    <col min="7935" max="7935" width="7.55238095238095" style="593" customWidth="1"/>
    <col min="7936" max="7936" width="13.552380952381" style="593" customWidth="1"/>
    <col min="7937" max="7937" width="5.43809523809524" style="593" customWidth="1"/>
    <col min="7938" max="7938" width="11.3333333333333" style="593" customWidth="1"/>
    <col min="7939" max="7939" width="5.66666666666667" style="593" customWidth="1"/>
    <col min="7940" max="7940" width="12" style="593" customWidth="1"/>
    <col min="7941" max="7941" width="15.4380952380952" style="593" customWidth="1"/>
    <col min="7942" max="7943" width="15.1047619047619" style="593" customWidth="1"/>
    <col min="7944" max="7944" width="14.3333333333333" style="593" customWidth="1"/>
    <col min="7945" max="7945" width="3.1047619047619" style="593" customWidth="1"/>
    <col min="7946" max="7946" width="6.43809523809524" style="593" customWidth="1"/>
    <col min="7947" max="8186" width="8.88571428571429" style="593"/>
    <col min="8187" max="8187" width="5.55238095238095" style="593" customWidth="1"/>
    <col min="8188" max="8188" width="9.33333333333333" style="593" customWidth="1"/>
    <col min="8189" max="8189" width="24.6666666666667" style="593" customWidth="1"/>
    <col min="8190" max="8190" width="11" style="593" customWidth="1"/>
    <col min="8191" max="8191" width="7.55238095238095" style="593" customWidth="1"/>
    <col min="8192" max="8192" width="13.552380952381" style="593" customWidth="1"/>
    <col min="8193" max="8193" width="5.43809523809524" style="593" customWidth="1"/>
    <col min="8194" max="8194" width="11.3333333333333" style="593" customWidth="1"/>
    <col min="8195" max="8195" width="5.66666666666667" style="593" customWidth="1"/>
    <col min="8196" max="8196" width="12" style="593" customWidth="1"/>
    <col min="8197" max="8197" width="15.4380952380952" style="593" customWidth="1"/>
    <col min="8198" max="8199" width="15.1047619047619" style="593" customWidth="1"/>
    <col min="8200" max="8200" width="14.3333333333333" style="593" customWidth="1"/>
    <col min="8201" max="8201" width="3.1047619047619" style="593" customWidth="1"/>
    <col min="8202" max="8202" width="6.43809523809524" style="593" customWidth="1"/>
    <col min="8203" max="8442" width="8.88571428571429" style="593"/>
    <col min="8443" max="8443" width="5.55238095238095" style="593" customWidth="1"/>
    <col min="8444" max="8444" width="9.33333333333333" style="593" customWidth="1"/>
    <col min="8445" max="8445" width="24.6666666666667" style="593" customWidth="1"/>
    <col min="8446" max="8446" width="11" style="593" customWidth="1"/>
    <col min="8447" max="8447" width="7.55238095238095" style="593" customWidth="1"/>
    <col min="8448" max="8448" width="13.552380952381" style="593" customWidth="1"/>
    <col min="8449" max="8449" width="5.43809523809524" style="593" customWidth="1"/>
    <col min="8450" max="8450" width="11.3333333333333" style="593" customWidth="1"/>
    <col min="8451" max="8451" width="5.66666666666667" style="593" customWidth="1"/>
    <col min="8452" max="8452" width="12" style="593" customWidth="1"/>
    <col min="8453" max="8453" width="15.4380952380952" style="593" customWidth="1"/>
    <col min="8454" max="8455" width="15.1047619047619" style="593" customWidth="1"/>
    <col min="8456" max="8456" width="14.3333333333333" style="593" customWidth="1"/>
    <col min="8457" max="8457" width="3.1047619047619" style="593" customWidth="1"/>
    <col min="8458" max="8458" width="6.43809523809524" style="593" customWidth="1"/>
    <col min="8459" max="8698" width="8.88571428571429" style="593"/>
    <col min="8699" max="8699" width="5.55238095238095" style="593" customWidth="1"/>
    <col min="8700" max="8700" width="9.33333333333333" style="593" customWidth="1"/>
    <col min="8701" max="8701" width="24.6666666666667" style="593" customWidth="1"/>
    <col min="8702" max="8702" width="11" style="593" customWidth="1"/>
    <col min="8703" max="8703" width="7.55238095238095" style="593" customWidth="1"/>
    <col min="8704" max="8704" width="13.552380952381" style="593" customWidth="1"/>
    <col min="8705" max="8705" width="5.43809523809524" style="593" customWidth="1"/>
    <col min="8706" max="8706" width="11.3333333333333" style="593" customWidth="1"/>
    <col min="8707" max="8707" width="5.66666666666667" style="593" customWidth="1"/>
    <col min="8708" max="8708" width="12" style="593" customWidth="1"/>
    <col min="8709" max="8709" width="15.4380952380952" style="593" customWidth="1"/>
    <col min="8710" max="8711" width="15.1047619047619" style="593" customWidth="1"/>
    <col min="8712" max="8712" width="14.3333333333333" style="593" customWidth="1"/>
    <col min="8713" max="8713" width="3.1047619047619" style="593" customWidth="1"/>
    <col min="8714" max="8714" width="6.43809523809524" style="593" customWidth="1"/>
    <col min="8715" max="8954" width="8.88571428571429" style="593"/>
    <col min="8955" max="8955" width="5.55238095238095" style="593" customWidth="1"/>
    <col min="8956" max="8956" width="9.33333333333333" style="593" customWidth="1"/>
    <col min="8957" max="8957" width="24.6666666666667" style="593" customWidth="1"/>
    <col min="8958" max="8958" width="11" style="593" customWidth="1"/>
    <col min="8959" max="8959" width="7.55238095238095" style="593" customWidth="1"/>
    <col min="8960" max="8960" width="13.552380952381" style="593" customWidth="1"/>
    <col min="8961" max="8961" width="5.43809523809524" style="593" customWidth="1"/>
    <col min="8962" max="8962" width="11.3333333333333" style="593" customWidth="1"/>
    <col min="8963" max="8963" width="5.66666666666667" style="593" customWidth="1"/>
    <col min="8964" max="8964" width="12" style="593" customWidth="1"/>
    <col min="8965" max="8965" width="15.4380952380952" style="593" customWidth="1"/>
    <col min="8966" max="8967" width="15.1047619047619" style="593" customWidth="1"/>
    <col min="8968" max="8968" width="14.3333333333333" style="593" customWidth="1"/>
    <col min="8969" max="8969" width="3.1047619047619" style="593" customWidth="1"/>
    <col min="8970" max="8970" width="6.43809523809524" style="593" customWidth="1"/>
    <col min="8971" max="9210" width="8.88571428571429" style="593"/>
    <col min="9211" max="9211" width="5.55238095238095" style="593" customWidth="1"/>
    <col min="9212" max="9212" width="9.33333333333333" style="593" customWidth="1"/>
    <col min="9213" max="9213" width="24.6666666666667" style="593" customWidth="1"/>
    <col min="9214" max="9214" width="11" style="593" customWidth="1"/>
    <col min="9215" max="9215" width="7.55238095238095" style="593" customWidth="1"/>
    <col min="9216" max="9216" width="13.552380952381" style="593" customWidth="1"/>
    <col min="9217" max="9217" width="5.43809523809524" style="593" customWidth="1"/>
    <col min="9218" max="9218" width="11.3333333333333" style="593" customWidth="1"/>
    <col min="9219" max="9219" width="5.66666666666667" style="593" customWidth="1"/>
    <col min="9220" max="9220" width="12" style="593" customWidth="1"/>
    <col min="9221" max="9221" width="15.4380952380952" style="593" customWidth="1"/>
    <col min="9222" max="9223" width="15.1047619047619" style="593" customWidth="1"/>
    <col min="9224" max="9224" width="14.3333333333333" style="593" customWidth="1"/>
    <col min="9225" max="9225" width="3.1047619047619" style="593" customWidth="1"/>
    <col min="9226" max="9226" width="6.43809523809524" style="593" customWidth="1"/>
    <col min="9227" max="9466" width="8.88571428571429" style="593"/>
    <col min="9467" max="9467" width="5.55238095238095" style="593" customWidth="1"/>
    <col min="9468" max="9468" width="9.33333333333333" style="593" customWidth="1"/>
    <col min="9469" max="9469" width="24.6666666666667" style="593" customWidth="1"/>
    <col min="9470" max="9470" width="11" style="593" customWidth="1"/>
    <col min="9471" max="9471" width="7.55238095238095" style="593" customWidth="1"/>
    <col min="9472" max="9472" width="13.552380952381" style="593" customWidth="1"/>
    <col min="9473" max="9473" width="5.43809523809524" style="593" customWidth="1"/>
    <col min="9474" max="9474" width="11.3333333333333" style="593" customWidth="1"/>
    <col min="9475" max="9475" width="5.66666666666667" style="593" customWidth="1"/>
    <col min="9476" max="9476" width="12" style="593" customWidth="1"/>
    <col min="9477" max="9477" width="15.4380952380952" style="593" customWidth="1"/>
    <col min="9478" max="9479" width="15.1047619047619" style="593" customWidth="1"/>
    <col min="9480" max="9480" width="14.3333333333333" style="593" customWidth="1"/>
    <col min="9481" max="9481" width="3.1047619047619" style="593" customWidth="1"/>
    <col min="9482" max="9482" width="6.43809523809524" style="593" customWidth="1"/>
    <col min="9483" max="9722" width="8.88571428571429" style="593"/>
    <col min="9723" max="9723" width="5.55238095238095" style="593" customWidth="1"/>
    <col min="9724" max="9724" width="9.33333333333333" style="593" customWidth="1"/>
    <col min="9725" max="9725" width="24.6666666666667" style="593" customWidth="1"/>
    <col min="9726" max="9726" width="11" style="593" customWidth="1"/>
    <col min="9727" max="9727" width="7.55238095238095" style="593" customWidth="1"/>
    <col min="9728" max="9728" width="13.552380952381" style="593" customWidth="1"/>
    <col min="9729" max="9729" width="5.43809523809524" style="593" customWidth="1"/>
    <col min="9730" max="9730" width="11.3333333333333" style="593" customWidth="1"/>
    <col min="9731" max="9731" width="5.66666666666667" style="593" customWidth="1"/>
    <col min="9732" max="9732" width="12" style="593" customWidth="1"/>
    <col min="9733" max="9733" width="15.4380952380952" style="593" customWidth="1"/>
    <col min="9734" max="9735" width="15.1047619047619" style="593" customWidth="1"/>
    <col min="9736" max="9736" width="14.3333333333333" style="593" customWidth="1"/>
    <col min="9737" max="9737" width="3.1047619047619" style="593" customWidth="1"/>
    <col min="9738" max="9738" width="6.43809523809524" style="593" customWidth="1"/>
    <col min="9739" max="9978" width="8.88571428571429" style="593"/>
    <col min="9979" max="9979" width="5.55238095238095" style="593" customWidth="1"/>
    <col min="9980" max="9980" width="9.33333333333333" style="593" customWidth="1"/>
    <col min="9981" max="9981" width="24.6666666666667" style="593" customWidth="1"/>
    <col min="9982" max="9982" width="11" style="593" customWidth="1"/>
    <col min="9983" max="9983" width="7.55238095238095" style="593" customWidth="1"/>
    <col min="9984" max="9984" width="13.552380952381" style="593" customWidth="1"/>
    <col min="9985" max="9985" width="5.43809523809524" style="593" customWidth="1"/>
    <col min="9986" max="9986" width="11.3333333333333" style="593" customWidth="1"/>
    <col min="9987" max="9987" width="5.66666666666667" style="593" customWidth="1"/>
    <col min="9988" max="9988" width="12" style="593" customWidth="1"/>
    <col min="9989" max="9989" width="15.4380952380952" style="593" customWidth="1"/>
    <col min="9990" max="9991" width="15.1047619047619" style="593" customWidth="1"/>
    <col min="9992" max="9992" width="14.3333333333333" style="593" customWidth="1"/>
    <col min="9993" max="9993" width="3.1047619047619" style="593" customWidth="1"/>
    <col min="9994" max="9994" width="6.43809523809524" style="593" customWidth="1"/>
    <col min="9995" max="10234" width="8.88571428571429" style="593"/>
    <col min="10235" max="10235" width="5.55238095238095" style="593" customWidth="1"/>
    <col min="10236" max="10236" width="9.33333333333333" style="593" customWidth="1"/>
    <col min="10237" max="10237" width="24.6666666666667" style="593" customWidth="1"/>
    <col min="10238" max="10238" width="11" style="593" customWidth="1"/>
    <col min="10239" max="10239" width="7.55238095238095" style="593" customWidth="1"/>
    <col min="10240" max="10240" width="13.552380952381" style="593" customWidth="1"/>
    <col min="10241" max="10241" width="5.43809523809524" style="593" customWidth="1"/>
    <col min="10242" max="10242" width="11.3333333333333" style="593" customWidth="1"/>
    <col min="10243" max="10243" width="5.66666666666667" style="593" customWidth="1"/>
    <col min="10244" max="10244" width="12" style="593" customWidth="1"/>
    <col min="10245" max="10245" width="15.4380952380952" style="593" customWidth="1"/>
    <col min="10246" max="10247" width="15.1047619047619" style="593" customWidth="1"/>
    <col min="10248" max="10248" width="14.3333333333333" style="593" customWidth="1"/>
    <col min="10249" max="10249" width="3.1047619047619" style="593" customWidth="1"/>
    <col min="10250" max="10250" width="6.43809523809524" style="593" customWidth="1"/>
    <col min="10251" max="10490" width="8.88571428571429" style="593"/>
    <col min="10491" max="10491" width="5.55238095238095" style="593" customWidth="1"/>
    <col min="10492" max="10492" width="9.33333333333333" style="593" customWidth="1"/>
    <col min="10493" max="10493" width="24.6666666666667" style="593" customWidth="1"/>
    <col min="10494" max="10494" width="11" style="593" customWidth="1"/>
    <col min="10495" max="10495" width="7.55238095238095" style="593" customWidth="1"/>
    <col min="10496" max="10496" width="13.552380952381" style="593" customWidth="1"/>
    <col min="10497" max="10497" width="5.43809523809524" style="593" customWidth="1"/>
    <col min="10498" max="10498" width="11.3333333333333" style="593" customWidth="1"/>
    <col min="10499" max="10499" width="5.66666666666667" style="593" customWidth="1"/>
    <col min="10500" max="10500" width="12" style="593" customWidth="1"/>
    <col min="10501" max="10501" width="15.4380952380952" style="593" customWidth="1"/>
    <col min="10502" max="10503" width="15.1047619047619" style="593" customWidth="1"/>
    <col min="10504" max="10504" width="14.3333333333333" style="593" customWidth="1"/>
    <col min="10505" max="10505" width="3.1047619047619" style="593" customWidth="1"/>
    <col min="10506" max="10506" width="6.43809523809524" style="593" customWidth="1"/>
    <col min="10507" max="10746" width="8.88571428571429" style="593"/>
    <col min="10747" max="10747" width="5.55238095238095" style="593" customWidth="1"/>
    <col min="10748" max="10748" width="9.33333333333333" style="593" customWidth="1"/>
    <col min="10749" max="10749" width="24.6666666666667" style="593" customWidth="1"/>
    <col min="10750" max="10750" width="11" style="593" customWidth="1"/>
    <col min="10751" max="10751" width="7.55238095238095" style="593" customWidth="1"/>
    <col min="10752" max="10752" width="13.552380952381" style="593" customWidth="1"/>
    <col min="10753" max="10753" width="5.43809523809524" style="593" customWidth="1"/>
    <col min="10754" max="10754" width="11.3333333333333" style="593" customWidth="1"/>
    <col min="10755" max="10755" width="5.66666666666667" style="593" customWidth="1"/>
    <col min="10756" max="10756" width="12" style="593" customWidth="1"/>
    <col min="10757" max="10757" width="15.4380952380952" style="593" customWidth="1"/>
    <col min="10758" max="10759" width="15.1047619047619" style="593" customWidth="1"/>
    <col min="10760" max="10760" width="14.3333333333333" style="593" customWidth="1"/>
    <col min="10761" max="10761" width="3.1047619047619" style="593" customWidth="1"/>
    <col min="10762" max="10762" width="6.43809523809524" style="593" customWidth="1"/>
    <col min="10763" max="11002" width="8.88571428571429" style="593"/>
    <col min="11003" max="11003" width="5.55238095238095" style="593" customWidth="1"/>
    <col min="11004" max="11004" width="9.33333333333333" style="593" customWidth="1"/>
    <col min="11005" max="11005" width="24.6666666666667" style="593" customWidth="1"/>
    <col min="11006" max="11006" width="11" style="593" customWidth="1"/>
    <col min="11007" max="11007" width="7.55238095238095" style="593" customWidth="1"/>
    <col min="11008" max="11008" width="13.552380952381" style="593" customWidth="1"/>
    <col min="11009" max="11009" width="5.43809523809524" style="593" customWidth="1"/>
    <col min="11010" max="11010" width="11.3333333333333" style="593" customWidth="1"/>
    <col min="11011" max="11011" width="5.66666666666667" style="593" customWidth="1"/>
    <col min="11012" max="11012" width="12" style="593" customWidth="1"/>
    <col min="11013" max="11013" width="15.4380952380952" style="593" customWidth="1"/>
    <col min="11014" max="11015" width="15.1047619047619" style="593" customWidth="1"/>
    <col min="11016" max="11016" width="14.3333333333333" style="593" customWidth="1"/>
    <col min="11017" max="11017" width="3.1047619047619" style="593" customWidth="1"/>
    <col min="11018" max="11018" width="6.43809523809524" style="593" customWidth="1"/>
    <col min="11019" max="11258" width="8.88571428571429" style="593"/>
    <col min="11259" max="11259" width="5.55238095238095" style="593" customWidth="1"/>
    <col min="11260" max="11260" width="9.33333333333333" style="593" customWidth="1"/>
    <col min="11261" max="11261" width="24.6666666666667" style="593" customWidth="1"/>
    <col min="11262" max="11262" width="11" style="593" customWidth="1"/>
    <col min="11263" max="11263" width="7.55238095238095" style="593" customWidth="1"/>
    <col min="11264" max="11264" width="13.552380952381" style="593" customWidth="1"/>
    <col min="11265" max="11265" width="5.43809523809524" style="593" customWidth="1"/>
    <col min="11266" max="11266" width="11.3333333333333" style="593" customWidth="1"/>
    <col min="11267" max="11267" width="5.66666666666667" style="593" customWidth="1"/>
    <col min="11268" max="11268" width="12" style="593" customWidth="1"/>
    <col min="11269" max="11269" width="15.4380952380952" style="593" customWidth="1"/>
    <col min="11270" max="11271" width="15.1047619047619" style="593" customWidth="1"/>
    <col min="11272" max="11272" width="14.3333333333333" style="593" customWidth="1"/>
    <col min="11273" max="11273" width="3.1047619047619" style="593" customWidth="1"/>
    <col min="11274" max="11274" width="6.43809523809524" style="593" customWidth="1"/>
    <col min="11275" max="11514" width="8.88571428571429" style="593"/>
    <col min="11515" max="11515" width="5.55238095238095" style="593" customWidth="1"/>
    <col min="11516" max="11516" width="9.33333333333333" style="593" customWidth="1"/>
    <col min="11517" max="11517" width="24.6666666666667" style="593" customWidth="1"/>
    <col min="11518" max="11518" width="11" style="593" customWidth="1"/>
    <col min="11519" max="11519" width="7.55238095238095" style="593" customWidth="1"/>
    <col min="11520" max="11520" width="13.552380952381" style="593" customWidth="1"/>
    <col min="11521" max="11521" width="5.43809523809524" style="593" customWidth="1"/>
    <col min="11522" max="11522" width="11.3333333333333" style="593" customWidth="1"/>
    <col min="11523" max="11523" width="5.66666666666667" style="593" customWidth="1"/>
    <col min="11524" max="11524" width="12" style="593" customWidth="1"/>
    <col min="11525" max="11525" width="15.4380952380952" style="593" customWidth="1"/>
    <col min="11526" max="11527" width="15.1047619047619" style="593" customWidth="1"/>
    <col min="11528" max="11528" width="14.3333333333333" style="593" customWidth="1"/>
    <col min="11529" max="11529" width="3.1047619047619" style="593" customWidth="1"/>
    <col min="11530" max="11530" width="6.43809523809524" style="593" customWidth="1"/>
    <col min="11531" max="11770" width="8.88571428571429" style="593"/>
    <col min="11771" max="11771" width="5.55238095238095" style="593" customWidth="1"/>
    <col min="11772" max="11772" width="9.33333333333333" style="593" customWidth="1"/>
    <col min="11773" max="11773" width="24.6666666666667" style="593" customWidth="1"/>
    <col min="11774" max="11774" width="11" style="593" customWidth="1"/>
    <col min="11775" max="11775" width="7.55238095238095" style="593" customWidth="1"/>
    <col min="11776" max="11776" width="13.552380952381" style="593" customWidth="1"/>
    <col min="11777" max="11777" width="5.43809523809524" style="593" customWidth="1"/>
    <col min="11778" max="11778" width="11.3333333333333" style="593" customWidth="1"/>
    <col min="11779" max="11779" width="5.66666666666667" style="593" customWidth="1"/>
    <col min="11780" max="11780" width="12" style="593" customWidth="1"/>
    <col min="11781" max="11781" width="15.4380952380952" style="593" customWidth="1"/>
    <col min="11782" max="11783" width="15.1047619047619" style="593" customWidth="1"/>
    <col min="11784" max="11784" width="14.3333333333333" style="593" customWidth="1"/>
    <col min="11785" max="11785" width="3.1047619047619" style="593" customWidth="1"/>
    <col min="11786" max="11786" width="6.43809523809524" style="593" customWidth="1"/>
    <col min="11787" max="12026" width="8.88571428571429" style="593"/>
    <col min="12027" max="12027" width="5.55238095238095" style="593" customWidth="1"/>
    <col min="12028" max="12028" width="9.33333333333333" style="593" customWidth="1"/>
    <col min="12029" max="12029" width="24.6666666666667" style="593" customWidth="1"/>
    <col min="12030" max="12030" width="11" style="593" customWidth="1"/>
    <col min="12031" max="12031" width="7.55238095238095" style="593" customWidth="1"/>
    <col min="12032" max="12032" width="13.552380952381" style="593" customWidth="1"/>
    <col min="12033" max="12033" width="5.43809523809524" style="593" customWidth="1"/>
    <col min="12034" max="12034" width="11.3333333333333" style="593" customWidth="1"/>
    <col min="12035" max="12035" width="5.66666666666667" style="593" customWidth="1"/>
    <col min="12036" max="12036" width="12" style="593" customWidth="1"/>
    <col min="12037" max="12037" width="15.4380952380952" style="593" customWidth="1"/>
    <col min="12038" max="12039" width="15.1047619047619" style="593" customWidth="1"/>
    <col min="12040" max="12040" width="14.3333333333333" style="593" customWidth="1"/>
    <col min="12041" max="12041" width="3.1047619047619" style="593" customWidth="1"/>
    <col min="12042" max="12042" width="6.43809523809524" style="593" customWidth="1"/>
    <col min="12043" max="12282" width="8.88571428571429" style="593"/>
    <col min="12283" max="12283" width="5.55238095238095" style="593" customWidth="1"/>
    <col min="12284" max="12284" width="9.33333333333333" style="593" customWidth="1"/>
    <col min="12285" max="12285" width="24.6666666666667" style="593" customWidth="1"/>
    <col min="12286" max="12286" width="11" style="593" customWidth="1"/>
    <col min="12287" max="12287" width="7.55238095238095" style="593" customWidth="1"/>
    <col min="12288" max="12288" width="13.552380952381" style="593" customWidth="1"/>
    <col min="12289" max="12289" width="5.43809523809524" style="593" customWidth="1"/>
    <col min="12290" max="12290" width="11.3333333333333" style="593" customWidth="1"/>
    <col min="12291" max="12291" width="5.66666666666667" style="593" customWidth="1"/>
    <col min="12292" max="12292" width="12" style="593" customWidth="1"/>
    <col min="12293" max="12293" width="15.4380952380952" style="593" customWidth="1"/>
    <col min="12294" max="12295" width="15.1047619047619" style="593" customWidth="1"/>
    <col min="12296" max="12296" width="14.3333333333333" style="593" customWidth="1"/>
    <col min="12297" max="12297" width="3.1047619047619" style="593" customWidth="1"/>
    <col min="12298" max="12298" width="6.43809523809524" style="593" customWidth="1"/>
    <col min="12299" max="12538" width="8.88571428571429" style="593"/>
    <col min="12539" max="12539" width="5.55238095238095" style="593" customWidth="1"/>
    <col min="12540" max="12540" width="9.33333333333333" style="593" customWidth="1"/>
    <col min="12541" max="12541" width="24.6666666666667" style="593" customWidth="1"/>
    <col min="12542" max="12542" width="11" style="593" customWidth="1"/>
    <col min="12543" max="12543" width="7.55238095238095" style="593" customWidth="1"/>
    <col min="12544" max="12544" width="13.552380952381" style="593" customWidth="1"/>
    <col min="12545" max="12545" width="5.43809523809524" style="593" customWidth="1"/>
    <col min="12546" max="12546" width="11.3333333333333" style="593" customWidth="1"/>
    <col min="12547" max="12547" width="5.66666666666667" style="593" customWidth="1"/>
    <col min="12548" max="12548" width="12" style="593" customWidth="1"/>
    <col min="12549" max="12549" width="15.4380952380952" style="593" customWidth="1"/>
    <col min="12550" max="12551" width="15.1047619047619" style="593" customWidth="1"/>
    <col min="12552" max="12552" width="14.3333333333333" style="593" customWidth="1"/>
    <col min="12553" max="12553" width="3.1047619047619" style="593" customWidth="1"/>
    <col min="12554" max="12554" width="6.43809523809524" style="593" customWidth="1"/>
    <col min="12555" max="12794" width="8.88571428571429" style="593"/>
    <col min="12795" max="12795" width="5.55238095238095" style="593" customWidth="1"/>
    <col min="12796" max="12796" width="9.33333333333333" style="593" customWidth="1"/>
    <col min="12797" max="12797" width="24.6666666666667" style="593" customWidth="1"/>
    <col min="12798" max="12798" width="11" style="593" customWidth="1"/>
    <col min="12799" max="12799" width="7.55238095238095" style="593" customWidth="1"/>
    <col min="12800" max="12800" width="13.552380952381" style="593" customWidth="1"/>
    <col min="12801" max="12801" width="5.43809523809524" style="593" customWidth="1"/>
    <col min="12802" max="12802" width="11.3333333333333" style="593" customWidth="1"/>
    <col min="12803" max="12803" width="5.66666666666667" style="593" customWidth="1"/>
    <col min="12804" max="12804" width="12" style="593" customWidth="1"/>
    <col min="12805" max="12805" width="15.4380952380952" style="593" customWidth="1"/>
    <col min="12806" max="12807" width="15.1047619047619" style="593" customWidth="1"/>
    <col min="12808" max="12808" width="14.3333333333333" style="593" customWidth="1"/>
    <col min="12809" max="12809" width="3.1047619047619" style="593" customWidth="1"/>
    <col min="12810" max="12810" width="6.43809523809524" style="593" customWidth="1"/>
    <col min="12811" max="13050" width="8.88571428571429" style="593"/>
    <col min="13051" max="13051" width="5.55238095238095" style="593" customWidth="1"/>
    <col min="13052" max="13052" width="9.33333333333333" style="593" customWidth="1"/>
    <col min="13053" max="13053" width="24.6666666666667" style="593" customWidth="1"/>
    <col min="13054" max="13054" width="11" style="593" customWidth="1"/>
    <col min="13055" max="13055" width="7.55238095238095" style="593" customWidth="1"/>
    <col min="13056" max="13056" width="13.552380952381" style="593" customWidth="1"/>
    <col min="13057" max="13057" width="5.43809523809524" style="593" customWidth="1"/>
    <col min="13058" max="13058" width="11.3333333333333" style="593" customWidth="1"/>
    <col min="13059" max="13059" width="5.66666666666667" style="593" customWidth="1"/>
    <col min="13060" max="13060" width="12" style="593" customWidth="1"/>
    <col min="13061" max="13061" width="15.4380952380952" style="593" customWidth="1"/>
    <col min="13062" max="13063" width="15.1047619047619" style="593" customWidth="1"/>
    <col min="13064" max="13064" width="14.3333333333333" style="593" customWidth="1"/>
    <col min="13065" max="13065" width="3.1047619047619" style="593" customWidth="1"/>
    <col min="13066" max="13066" width="6.43809523809524" style="593" customWidth="1"/>
    <col min="13067" max="13306" width="8.88571428571429" style="593"/>
    <col min="13307" max="13307" width="5.55238095238095" style="593" customWidth="1"/>
    <col min="13308" max="13308" width="9.33333333333333" style="593" customWidth="1"/>
    <col min="13309" max="13309" width="24.6666666666667" style="593" customWidth="1"/>
    <col min="13310" max="13310" width="11" style="593" customWidth="1"/>
    <col min="13311" max="13311" width="7.55238095238095" style="593" customWidth="1"/>
    <col min="13312" max="13312" width="13.552380952381" style="593" customWidth="1"/>
    <col min="13313" max="13313" width="5.43809523809524" style="593" customWidth="1"/>
    <col min="13314" max="13314" width="11.3333333333333" style="593" customWidth="1"/>
    <col min="13315" max="13315" width="5.66666666666667" style="593" customWidth="1"/>
    <col min="13316" max="13316" width="12" style="593" customWidth="1"/>
    <col min="13317" max="13317" width="15.4380952380952" style="593" customWidth="1"/>
    <col min="13318" max="13319" width="15.1047619047619" style="593" customWidth="1"/>
    <col min="13320" max="13320" width="14.3333333333333" style="593" customWidth="1"/>
    <col min="13321" max="13321" width="3.1047619047619" style="593" customWidth="1"/>
    <col min="13322" max="13322" width="6.43809523809524" style="593" customWidth="1"/>
    <col min="13323" max="13562" width="8.88571428571429" style="593"/>
    <col min="13563" max="13563" width="5.55238095238095" style="593" customWidth="1"/>
    <col min="13564" max="13564" width="9.33333333333333" style="593" customWidth="1"/>
    <col min="13565" max="13565" width="24.6666666666667" style="593" customWidth="1"/>
    <col min="13566" max="13566" width="11" style="593" customWidth="1"/>
    <col min="13567" max="13567" width="7.55238095238095" style="593" customWidth="1"/>
    <col min="13568" max="13568" width="13.552380952381" style="593" customWidth="1"/>
    <col min="13569" max="13569" width="5.43809523809524" style="593" customWidth="1"/>
    <col min="13570" max="13570" width="11.3333333333333" style="593" customWidth="1"/>
    <col min="13571" max="13571" width="5.66666666666667" style="593" customWidth="1"/>
    <col min="13572" max="13572" width="12" style="593" customWidth="1"/>
    <col min="13573" max="13573" width="15.4380952380952" style="593" customWidth="1"/>
    <col min="13574" max="13575" width="15.1047619047619" style="593" customWidth="1"/>
    <col min="13576" max="13576" width="14.3333333333333" style="593" customWidth="1"/>
    <col min="13577" max="13577" width="3.1047619047619" style="593" customWidth="1"/>
    <col min="13578" max="13578" width="6.43809523809524" style="593" customWidth="1"/>
    <col min="13579" max="13818" width="8.88571428571429" style="593"/>
    <col min="13819" max="13819" width="5.55238095238095" style="593" customWidth="1"/>
    <col min="13820" max="13820" width="9.33333333333333" style="593" customWidth="1"/>
    <col min="13821" max="13821" width="24.6666666666667" style="593" customWidth="1"/>
    <col min="13822" max="13822" width="11" style="593" customWidth="1"/>
    <col min="13823" max="13823" width="7.55238095238095" style="593" customWidth="1"/>
    <col min="13824" max="13824" width="13.552380952381" style="593" customWidth="1"/>
    <col min="13825" max="13825" width="5.43809523809524" style="593" customWidth="1"/>
    <col min="13826" max="13826" width="11.3333333333333" style="593" customWidth="1"/>
    <col min="13827" max="13827" width="5.66666666666667" style="593" customWidth="1"/>
    <col min="13828" max="13828" width="12" style="593" customWidth="1"/>
    <col min="13829" max="13829" width="15.4380952380952" style="593" customWidth="1"/>
    <col min="13830" max="13831" width="15.1047619047619" style="593" customWidth="1"/>
    <col min="13832" max="13832" width="14.3333333333333" style="593" customWidth="1"/>
    <col min="13833" max="13833" width="3.1047619047619" style="593" customWidth="1"/>
    <col min="13834" max="13834" width="6.43809523809524" style="593" customWidth="1"/>
    <col min="13835" max="14074" width="8.88571428571429" style="593"/>
    <col min="14075" max="14075" width="5.55238095238095" style="593" customWidth="1"/>
    <col min="14076" max="14076" width="9.33333333333333" style="593" customWidth="1"/>
    <col min="14077" max="14077" width="24.6666666666667" style="593" customWidth="1"/>
    <col min="14078" max="14078" width="11" style="593" customWidth="1"/>
    <col min="14079" max="14079" width="7.55238095238095" style="593" customWidth="1"/>
    <col min="14080" max="14080" width="13.552380952381" style="593" customWidth="1"/>
    <col min="14081" max="14081" width="5.43809523809524" style="593" customWidth="1"/>
    <col min="14082" max="14082" width="11.3333333333333" style="593" customWidth="1"/>
    <col min="14083" max="14083" width="5.66666666666667" style="593" customWidth="1"/>
    <col min="14084" max="14084" width="12" style="593" customWidth="1"/>
    <col min="14085" max="14085" width="15.4380952380952" style="593" customWidth="1"/>
    <col min="14086" max="14087" width="15.1047619047619" style="593" customWidth="1"/>
    <col min="14088" max="14088" width="14.3333333333333" style="593" customWidth="1"/>
    <col min="14089" max="14089" width="3.1047619047619" style="593" customWidth="1"/>
    <col min="14090" max="14090" width="6.43809523809524" style="593" customWidth="1"/>
    <col min="14091" max="14330" width="8.88571428571429" style="593"/>
    <col min="14331" max="14331" width="5.55238095238095" style="593" customWidth="1"/>
    <col min="14332" max="14332" width="9.33333333333333" style="593" customWidth="1"/>
    <col min="14333" max="14333" width="24.6666666666667" style="593" customWidth="1"/>
    <col min="14334" max="14334" width="11" style="593" customWidth="1"/>
    <col min="14335" max="14335" width="7.55238095238095" style="593" customWidth="1"/>
    <col min="14336" max="14336" width="13.552380952381" style="593" customWidth="1"/>
    <col min="14337" max="14337" width="5.43809523809524" style="593" customWidth="1"/>
    <col min="14338" max="14338" width="11.3333333333333" style="593" customWidth="1"/>
    <col min="14339" max="14339" width="5.66666666666667" style="593" customWidth="1"/>
    <col min="14340" max="14340" width="12" style="593" customWidth="1"/>
    <col min="14341" max="14341" width="15.4380952380952" style="593" customWidth="1"/>
    <col min="14342" max="14343" width="15.1047619047619" style="593" customWidth="1"/>
    <col min="14344" max="14344" width="14.3333333333333" style="593" customWidth="1"/>
    <col min="14345" max="14345" width="3.1047619047619" style="593" customWidth="1"/>
    <col min="14346" max="14346" width="6.43809523809524" style="593" customWidth="1"/>
    <col min="14347" max="14586" width="8.88571428571429" style="593"/>
    <col min="14587" max="14587" width="5.55238095238095" style="593" customWidth="1"/>
    <col min="14588" max="14588" width="9.33333333333333" style="593" customWidth="1"/>
    <col min="14589" max="14589" width="24.6666666666667" style="593" customWidth="1"/>
    <col min="14590" max="14590" width="11" style="593" customWidth="1"/>
    <col min="14591" max="14591" width="7.55238095238095" style="593" customWidth="1"/>
    <col min="14592" max="14592" width="13.552380952381" style="593" customWidth="1"/>
    <col min="14593" max="14593" width="5.43809523809524" style="593" customWidth="1"/>
    <col min="14594" max="14594" width="11.3333333333333" style="593" customWidth="1"/>
    <col min="14595" max="14595" width="5.66666666666667" style="593" customWidth="1"/>
    <col min="14596" max="14596" width="12" style="593" customWidth="1"/>
    <col min="14597" max="14597" width="15.4380952380952" style="593" customWidth="1"/>
    <col min="14598" max="14599" width="15.1047619047619" style="593" customWidth="1"/>
    <col min="14600" max="14600" width="14.3333333333333" style="593" customWidth="1"/>
    <col min="14601" max="14601" width="3.1047619047619" style="593" customWidth="1"/>
    <col min="14602" max="14602" width="6.43809523809524" style="593" customWidth="1"/>
    <col min="14603" max="14842" width="8.88571428571429" style="593"/>
    <col min="14843" max="14843" width="5.55238095238095" style="593" customWidth="1"/>
    <col min="14844" max="14844" width="9.33333333333333" style="593" customWidth="1"/>
    <col min="14845" max="14845" width="24.6666666666667" style="593" customWidth="1"/>
    <col min="14846" max="14846" width="11" style="593" customWidth="1"/>
    <col min="14847" max="14847" width="7.55238095238095" style="593" customWidth="1"/>
    <col min="14848" max="14848" width="13.552380952381" style="593" customWidth="1"/>
    <col min="14849" max="14849" width="5.43809523809524" style="593" customWidth="1"/>
    <col min="14850" max="14850" width="11.3333333333333" style="593" customWidth="1"/>
    <col min="14851" max="14851" width="5.66666666666667" style="593" customWidth="1"/>
    <col min="14852" max="14852" width="12" style="593" customWidth="1"/>
    <col min="14853" max="14853" width="15.4380952380952" style="593" customWidth="1"/>
    <col min="14854" max="14855" width="15.1047619047619" style="593" customWidth="1"/>
    <col min="14856" max="14856" width="14.3333333333333" style="593" customWidth="1"/>
    <col min="14857" max="14857" width="3.1047619047619" style="593" customWidth="1"/>
    <col min="14858" max="14858" width="6.43809523809524" style="593" customWidth="1"/>
    <col min="14859" max="15098" width="8.88571428571429" style="593"/>
    <col min="15099" max="15099" width="5.55238095238095" style="593" customWidth="1"/>
    <col min="15100" max="15100" width="9.33333333333333" style="593" customWidth="1"/>
    <col min="15101" max="15101" width="24.6666666666667" style="593" customWidth="1"/>
    <col min="15102" max="15102" width="11" style="593" customWidth="1"/>
    <col min="15103" max="15103" width="7.55238095238095" style="593" customWidth="1"/>
    <col min="15104" max="15104" width="13.552380952381" style="593" customWidth="1"/>
    <col min="15105" max="15105" width="5.43809523809524" style="593" customWidth="1"/>
    <col min="15106" max="15106" width="11.3333333333333" style="593" customWidth="1"/>
    <col min="15107" max="15107" width="5.66666666666667" style="593" customWidth="1"/>
    <col min="15108" max="15108" width="12" style="593" customWidth="1"/>
    <col min="15109" max="15109" width="15.4380952380952" style="593" customWidth="1"/>
    <col min="15110" max="15111" width="15.1047619047619" style="593" customWidth="1"/>
    <col min="15112" max="15112" width="14.3333333333333" style="593" customWidth="1"/>
    <col min="15113" max="15113" width="3.1047619047619" style="593" customWidth="1"/>
    <col min="15114" max="15114" width="6.43809523809524" style="593" customWidth="1"/>
    <col min="15115" max="15354" width="8.88571428571429" style="593"/>
    <col min="15355" max="15355" width="5.55238095238095" style="593" customWidth="1"/>
    <col min="15356" max="15356" width="9.33333333333333" style="593" customWidth="1"/>
    <col min="15357" max="15357" width="24.6666666666667" style="593" customWidth="1"/>
    <col min="15358" max="15358" width="11" style="593" customWidth="1"/>
    <col min="15359" max="15359" width="7.55238095238095" style="593" customWidth="1"/>
    <col min="15360" max="15360" width="13.552380952381" style="593" customWidth="1"/>
    <col min="15361" max="15361" width="5.43809523809524" style="593" customWidth="1"/>
    <col min="15362" max="15362" width="11.3333333333333" style="593" customWidth="1"/>
    <col min="15363" max="15363" width="5.66666666666667" style="593" customWidth="1"/>
    <col min="15364" max="15364" width="12" style="593" customWidth="1"/>
    <col min="15365" max="15365" width="15.4380952380952" style="593" customWidth="1"/>
    <col min="15366" max="15367" width="15.1047619047619" style="593" customWidth="1"/>
    <col min="15368" max="15368" width="14.3333333333333" style="593" customWidth="1"/>
    <col min="15369" max="15369" width="3.1047619047619" style="593" customWidth="1"/>
    <col min="15370" max="15370" width="6.43809523809524" style="593" customWidth="1"/>
    <col min="15371" max="15610" width="8.88571428571429" style="593"/>
    <col min="15611" max="15611" width="5.55238095238095" style="593" customWidth="1"/>
    <col min="15612" max="15612" width="9.33333333333333" style="593" customWidth="1"/>
    <col min="15613" max="15613" width="24.6666666666667" style="593" customWidth="1"/>
    <col min="15614" max="15614" width="11" style="593" customWidth="1"/>
    <col min="15615" max="15615" width="7.55238095238095" style="593" customWidth="1"/>
    <col min="15616" max="15616" width="13.552380952381" style="593" customWidth="1"/>
    <col min="15617" max="15617" width="5.43809523809524" style="593" customWidth="1"/>
    <col min="15618" max="15618" width="11.3333333333333" style="593" customWidth="1"/>
    <col min="15619" max="15619" width="5.66666666666667" style="593" customWidth="1"/>
    <col min="15620" max="15620" width="12" style="593" customWidth="1"/>
    <col min="15621" max="15621" width="15.4380952380952" style="593" customWidth="1"/>
    <col min="15622" max="15623" width="15.1047619047619" style="593" customWidth="1"/>
    <col min="15624" max="15624" width="14.3333333333333" style="593" customWidth="1"/>
    <col min="15625" max="15625" width="3.1047619047619" style="593" customWidth="1"/>
    <col min="15626" max="15626" width="6.43809523809524" style="593" customWidth="1"/>
    <col min="15627" max="15866" width="8.88571428571429" style="593"/>
    <col min="15867" max="15867" width="5.55238095238095" style="593" customWidth="1"/>
    <col min="15868" max="15868" width="9.33333333333333" style="593" customWidth="1"/>
    <col min="15869" max="15869" width="24.6666666666667" style="593" customWidth="1"/>
    <col min="15870" max="15870" width="11" style="593" customWidth="1"/>
    <col min="15871" max="15871" width="7.55238095238095" style="593" customWidth="1"/>
    <col min="15872" max="15872" width="13.552380952381" style="593" customWidth="1"/>
    <col min="15873" max="15873" width="5.43809523809524" style="593" customWidth="1"/>
    <col min="15874" max="15874" width="11.3333333333333" style="593" customWidth="1"/>
    <col min="15875" max="15875" width="5.66666666666667" style="593" customWidth="1"/>
    <col min="15876" max="15876" width="12" style="593" customWidth="1"/>
    <col min="15877" max="15877" width="15.4380952380952" style="593" customWidth="1"/>
    <col min="15878" max="15879" width="15.1047619047619" style="593" customWidth="1"/>
    <col min="15880" max="15880" width="14.3333333333333" style="593" customWidth="1"/>
    <col min="15881" max="15881" width="3.1047619047619" style="593" customWidth="1"/>
    <col min="15882" max="15882" width="6.43809523809524" style="593" customWidth="1"/>
    <col min="15883" max="16122" width="8.88571428571429" style="593"/>
    <col min="16123" max="16123" width="5.55238095238095" style="593" customWidth="1"/>
    <col min="16124" max="16124" width="9.33333333333333" style="593" customWidth="1"/>
    <col min="16125" max="16125" width="24.6666666666667" style="593" customWidth="1"/>
    <col min="16126" max="16126" width="11" style="593" customWidth="1"/>
    <col min="16127" max="16127" width="7.55238095238095" style="593" customWidth="1"/>
    <col min="16128" max="16128" width="13.552380952381" style="593" customWidth="1"/>
    <col min="16129" max="16129" width="5.43809523809524" style="593" customWidth="1"/>
    <col min="16130" max="16130" width="11.3333333333333" style="593" customWidth="1"/>
    <col min="16131" max="16131" width="5.66666666666667" style="593" customWidth="1"/>
    <col min="16132" max="16132" width="12" style="593" customWidth="1"/>
    <col min="16133" max="16133" width="15.4380952380952" style="593" customWidth="1"/>
    <col min="16134" max="16135" width="15.1047619047619" style="593" customWidth="1"/>
    <col min="16136" max="16136" width="14.3333333333333" style="593" customWidth="1"/>
    <col min="16137" max="16137" width="3.1047619047619" style="593" customWidth="1"/>
    <col min="16138" max="16138" width="6.43809523809524" style="593" customWidth="1"/>
    <col min="16139" max="16384" width="8.88571428571429" style="593"/>
  </cols>
  <sheetData>
    <row r="1" ht="52.8" customHeight="1" spans="1:15">
      <c r="A1" s="734" t="s">
        <v>84</v>
      </c>
      <c r="B1" s="734"/>
      <c r="C1" s="734"/>
      <c r="D1" s="734"/>
      <c r="E1" s="734"/>
      <c r="F1" s="734"/>
      <c r="G1" s="734"/>
      <c r="H1" s="734"/>
      <c r="I1" s="734"/>
      <c r="J1" s="734"/>
      <c r="K1" s="734"/>
      <c r="L1" s="734"/>
      <c r="M1" s="734"/>
      <c r="N1" s="734"/>
    </row>
    <row r="2" ht="27.6" customHeight="1" spans="1:15">
      <c r="A2" s="735" t="s">
        <v>1</v>
      </c>
      <c r="B2" s="736" t="s">
        <v>2</v>
      </c>
      <c r="C2" s="737" t="s">
        <v>3</v>
      </c>
      <c r="D2" s="737" t="s">
        <v>4</v>
      </c>
      <c r="E2" s="738" t="s">
        <v>5</v>
      </c>
      <c r="F2" s="738" t="s">
        <v>6</v>
      </c>
      <c r="G2" s="608" t="s">
        <v>7</v>
      </c>
      <c r="H2" s="609" t="s">
        <v>8</v>
      </c>
      <c r="I2" s="610" t="s">
        <v>9</v>
      </c>
      <c r="J2" s="739"/>
      <c r="K2" s="607" t="s">
        <v>10</v>
      </c>
      <c r="L2" s="608" t="s">
        <v>7</v>
      </c>
      <c r="M2" s="609" t="s">
        <v>8</v>
      </c>
      <c r="N2" s="610" t="s">
        <v>9</v>
      </c>
    </row>
    <row r="3" s="733" customFormat="1" ht="5.4" customHeight="1" spans="1:15">
      <c r="A3" s="740"/>
      <c r="B3" s="740"/>
      <c r="C3" s="740"/>
      <c r="D3" s="740"/>
      <c r="E3" s="741"/>
      <c r="F3" s="741"/>
      <c r="G3" s="742"/>
      <c r="H3" s="743"/>
      <c r="I3" s="744"/>
      <c r="J3" s="744"/>
      <c r="K3" s="742"/>
      <c r="L3" s="742"/>
      <c r="M3" s="743"/>
      <c r="N3" s="744"/>
    </row>
    <row r="4" ht="34.95" customHeight="1" spans="1:15">
      <c r="A4" s="624">
        <v>2</v>
      </c>
      <c r="B4" s="745"/>
      <c r="C4" s="746"/>
      <c r="D4" s="747" t="s">
        <v>85</v>
      </c>
      <c r="E4" s="748"/>
      <c r="F4" s="749"/>
      <c r="G4" s="729">
        <v>35028278</v>
      </c>
      <c r="H4" s="750"/>
      <c r="I4" s="729"/>
      <c r="J4" s="751"/>
      <c r="K4" s="752">
        <f>G4/L4</f>
        <v>78.4016</v>
      </c>
      <c r="L4" s="753">
        <v>446780.142241995</v>
      </c>
      <c r="M4" s="754"/>
      <c r="N4" s="635">
        <f>L4</f>
        <v>446780.142241995</v>
      </c>
      <c r="O4" s="755" t="s">
        <v>86</v>
      </c>
    </row>
    <row r="5" ht="34.95" customHeight="1" spans="1:15">
      <c r="A5" s="624">
        <v>3</v>
      </c>
      <c r="B5" s="745"/>
      <c r="C5" s="756"/>
      <c r="D5" s="757"/>
      <c r="E5" s="758"/>
      <c r="F5" s="759"/>
      <c r="G5" s="760"/>
      <c r="H5" s="761"/>
      <c r="I5" s="760"/>
      <c r="J5" s="762"/>
      <c r="K5" s="763"/>
      <c r="L5" s="764"/>
      <c r="M5" s="754"/>
      <c r="N5" s="635"/>
      <c r="O5" s="755" t="s">
        <v>86</v>
      </c>
    </row>
    <row r="6" ht="34.95" customHeight="1" spans="1:15">
      <c r="A6" s="624">
        <v>8</v>
      </c>
      <c r="B6" s="698"/>
      <c r="C6" s="625"/>
      <c r="D6" s="626"/>
      <c r="E6" s="765"/>
      <c r="F6" s="628"/>
      <c r="G6" s="655"/>
      <c r="H6" s="630"/>
      <c r="I6" s="655"/>
      <c r="J6" s="766"/>
      <c r="K6" s="767"/>
      <c r="L6" s="633"/>
      <c r="M6" s="731"/>
      <c r="N6" s="635"/>
    </row>
    <row r="7" ht="34.95" customHeight="1" spans="1:15">
      <c r="A7" s="624">
        <v>9</v>
      </c>
      <c r="B7" s="768" t="s">
        <v>87</v>
      </c>
      <c r="C7" s="625">
        <v>46357</v>
      </c>
      <c r="D7" s="626" t="s">
        <v>88</v>
      </c>
      <c r="E7" s="769"/>
      <c r="F7" s="770"/>
      <c r="G7" s="655">
        <v>226257555.2</v>
      </c>
      <c r="H7" s="630"/>
      <c r="I7" s="655">
        <f>G7-H7+I6</f>
        <v>226257555.2</v>
      </c>
      <c r="J7" s="766"/>
      <c r="K7" s="771">
        <v>77.215</v>
      </c>
      <c r="L7" s="633">
        <f>G7/K7</f>
        <v>2930228.00233115</v>
      </c>
      <c r="M7" s="731"/>
      <c r="N7" s="635">
        <f>L7-M7+N6</f>
        <v>2930228.00233115</v>
      </c>
      <c r="O7" s="772">
        <f>SUM(G7:G9)-H12</f>
        <v>123473416.344664</v>
      </c>
    </row>
    <row r="8" ht="34.95" customHeight="1" spans="1:15">
      <c r="A8" s="624">
        <v>10</v>
      </c>
      <c r="B8" s="773"/>
      <c r="C8" s="625">
        <v>46357</v>
      </c>
      <c r="D8" s="626" t="s">
        <v>89</v>
      </c>
      <c r="E8" s="769"/>
      <c r="F8" s="770"/>
      <c r="G8" s="655">
        <v>176890403.2</v>
      </c>
      <c r="H8" s="630"/>
      <c r="I8" s="655">
        <f>G8-H8+I7</f>
        <v>403147958.4</v>
      </c>
      <c r="J8" s="766"/>
      <c r="K8" s="771">
        <v>77.215</v>
      </c>
      <c r="L8" s="633">
        <f>G8/K8</f>
        <v>2290881.34688856</v>
      </c>
      <c r="M8" s="731"/>
      <c r="N8" s="635">
        <f>L8-M8+N7</f>
        <v>5221109.34921971</v>
      </c>
      <c r="O8" s="755"/>
    </row>
    <row r="9" ht="34.95" customHeight="1" spans="1:15">
      <c r="A9" s="624">
        <v>11</v>
      </c>
      <c r="B9" s="773"/>
      <c r="C9" s="625"/>
      <c r="D9" s="626" t="s">
        <v>90</v>
      </c>
      <c r="E9" s="769"/>
      <c r="F9" s="770"/>
      <c r="G9" s="729">
        <v>102369240</v>
      </c>
      <c r="H9" s="630"/>
      <c r="I9" s="655">
        <f>G9-H9+I8</f>
        <v>505517198.4</v>
      </c>
      <c r="J9" s="766"/>
      <c r="K9" s="771">
        <v>77.215</v>
      </c>
      <c r="L9" s="633">
        <f>G9/K9</f>
        <v>1325768.82730039</v>
      </c>
      <c r="M9" s="731"/>
      <c r="N9" s="635">
        <f>L9-M9+N8</f>
        <v>6546878.17652011</v>
      </c>
      <c r="O9" s="755"/>
    </row>
    <row r="10" ht="34.95" customHeight="1" spans="1:15">
      <c r="A10" s="624">
        <v>12</v>
      </c>
      <c r="B10" s="773"/>
      <c r="C10" s="625"/>
      <c r="D10" s="774" t="s">
        <v>91</v>
      </c>
      <c r="F10" s="770"/>
      <c r="G10" s="729">
        <f>24399714.49-540</f>
        <v>24399174.49</v>
      </c>
      <c r="H10" s="630"/>
      <c r="I10" s="655">
        <f>G10-H10+I9</f>
        <v>529916372.89</v>
      </c>
      <c r="J10" s="766"/>
      <c r="K10" s="771">
        <v>77.215</v>
      </c>
      <c r="L10" s="633">
        <f>G10/K10</f>
        <v>315990.085993654</v>
      </c>
      <c r="M10" s="731"/>
      <c r="N10" s="635">
        <f>L10-M10+N9</f>
        <v>6862868.26251376</v>
      </c>
      <c r="O10" s="755"/>
    </row>
    <row r="11" ht="34.95" customHeight="1" spans="1:15">
      <c r="A11" s="624">
        <v>13</v>
      </c>
      <c r="B11" s="773"/>
      <c r="C11" s="770">
        <v>24399174.14</v>
      </c>
      <c r="D11" s="774" t="s">
        <v>90</v>
      </c>
      <c r="E11" s="769"/>
      <c r="F11" s="770"/>
      <c r="G11" s="729">
        <v>16490072.8</v>
      </c>
      <c r="H11" s="630"/>
      <c r="I11" s="655">
        <f>G11-H11+I10</f>
        <v>546406445.69</v>
      </c>
      <c r="J11" s="766"/>
      <c r="K11" s="771">
        <v>77.215</v>
      </c>
      <c r="L11" s="633">
        <f>G11/K11</f>
        <v>213560.484361847</v>
      </c>
      <c r="M11" s="731"/>
      <c r="N11" s="635">
        <f>L11-M11+N10</f>
        <v>7076428.74687561</v>
      </c>
      <c r="O11" s="755"/>
    </row>
    <row r="12" ht="34.95" customHeight="1" spans="1:15">
      <c r="A12" s="624">
        <v>14</v>
      </c>
      <c r="B12" s="773"/>
      <c r="C12" s="625"/>
      <c r="D12" s="626" t="s">
        <v>92</v>
      </c>
      <c r="E12" s="769">
        <v>9564.278</v>
      </c>
      <c r="F12" s="775">
        <f>H12/E12</f>
        <v>39944.8638</v>
      </c>
      <c r="G12" s="629"/>
      <c r="H12" s="630">
        <v>382043782.055336</v>
      </c>
      <c r="I12" s="655">
        <f>G12-H12+I11</f>
        <v>164362663.634663</v>
      </c>
      <c r="J12" s="766"/>
      <c r="K12" s="776">
        <v>517.32</v>
      </c>
      <c r="L12" s="633"/>
      <c r="M12" s="731">
        <f>E12*K12</f>
        <v>4947792.29496</v>
      </c>
      <c r="N12" s="635">
        <f>L12-M12+N11</f>
        <v>2128636.45191561</v>
      </c>
      <c r="O12" s="755"/>
    </row>
    <row r="13" ht="34.95" customHeight="1" spans="1:15">
      <c r="A13" s="624">
        <v>15</v>
      </c>
      <c r="B13" s="773"/>
      <c r="C13" s="625"/>
      <c r="D13" s="774" t="s">
        <v>93</v>
      </c>
      <c r="E13" s="769"/>
      <c r="F13" s="628"/>
      <c r="G13" s="655"/>
      <c r="H13" s="777">
        <v>103196398.8</v>
      </c>
      <c r="I13" s="655">
        <f>G13-H13+I12</f>
        <v>61166264.8346635</v>
      </c>
      <c r="J13" s="766"/>
      <c r="K13" s="771">
        <v>77.215</v>
      </c>
      <c r="L13" s="633"/>
      <c r="M13" s="731">
        <f>H13/K13</f>
        <v>1336481.23810141</v>
      </c>
      <c r="N13" s="635">
        <f>L13-M13+N12</f>
        <v>792155.213814201</v>
      </c>
      <c r="O13" s="755"/>
    </row>
    <row r="14" ht="34.95" customHeight="1" spans="1:15">
      <c r="A14" s="624">
        <v>16</v>
      </c>
      <c r="B14" s="773"/>
      <c r="C14" s="625"/>
      <c r="D14" s="747" t="s">
        <v>94</v>
      </c>
      <c r="E14" s="769"/>
      <c r="F14" s="628"/>
      <c r="G14" s="655"/>
      <c r="H14" s="630">
        <v>15557600.67</v>
      </c>
      <c r="I14" s="655">
        <f>G14-H14+I13</f>
        <v>45608664.1646635</v>
      </c>
      <c r="J14" s="766"/>
      <c r="K14" s="771">
        <v>77.215</v>
      </c>
      <c r="L14" s="633"/>
      <c r="M14" s="731">
        <f>H14/K14</f>
        <v>201484.176261089</v>
      </c>
      <c r="N14" s="635">
        <f>L14-M14+N13</f>
        <v>590671.037553112</v>
      </c>
      <c r="O14" s="593">
        <v>85.57</v>
      </c>
    </row>
    <row r="15" ht="34.95" customHeight="1" spans="1:15">
      <c r="A15" s="624">
        <v>17</v>
      </c>
      <c r="B15" s="778"/>
      <c r="D15" s="626" t="s">
        <v>95</v>
      </c>
      <c r="E15" s="769"/>
      <c r="F15" s="628"/>
      <c r="G15" s="655"/>
      <c r="H15" s="630">
        <v>42600000</v>
      </c>
      <c r="I15" s="655">
        <f>G15-H15+I14</f>
        <v>3008664.16466346</v>
      </c>
      <c r="J15" s="766"/>
      <c r="K15" s="771">
        <v>77.215</v>
      </c>
      <c r="L15" s="633"/>
      <c r="M15" s="731">
        <f>H15/K15</f>
        <v>551706.274687561</v>
      </c>
      <c r="N15" s="635">
        <f>L15-M15+N14</f>
        <v>38964.7628655509</v>
      </c>
    </row>
    <row r="16" ht="34.95" customHeight="1" spans="1:15">
      <c r="A16" s="624">
        <v>18</v>
      </c>
      <c r="B16" s="779"/>
      <c r="C16" s="625"/>
      <c r="D16" s="626"/>
      <c r="E16" s="769"/>
      <c r="F16" s="628"/>
      <c r="G16" s="655"/>
      <c r="H16" s="780">
        <v>3008663.81466353</v>
      </c>
      <c r="I16" s="655">
        <f>G16-H16+I15</f>
        <v>0.349999934434891</v>
      </c>
      <c r="J16" s="766"/>
      <c r="K16" s="771">
        <v>77.215</v>
      </c>
      <c r="L16" s="633"/>
      <c r="M16" s="731">
        <f>H16/K16</f>
        <v>38964.7583327531</v>
      </c>
      <c r="N16" s="635">
        <f>L16-M16+N15</f>
        <v>0.00453279785142513</v>
      </c>
    </row>
    <row r="17" ht="34.95" customHeight="1" spans="1:15">
      <c r="A17" s="624">
        <v>19</v>
      </c>
      <c r="B17" s="779"/>
      <c r="C17" s="625"/>
      <c r="D17" s="626"/>
      <c r="E17" s="769"/>
      <c r="F17" s="628"/>
      <c r="G17" s="655"/>
      <c r="H17" s="630"/>
      <c r="I17" s="655">
        <f>G17-H17+I16</f>
        <v>0.349999934434891</v>
      </c>
      <c r="J17" s="766"/>
      <c r="K17" s="767"/>
      <c r="L17" s="633"/>
      <c r="M17" s="731"/>
      <c r="N17" s="635">
        <f>L17-M17+N16</f>
        <v>0.00453279785142513</v>
      </c>
    </row>
    <row r="18" ht="34.95" customHeight="1" spans="1:15">
      <c r="A18" s="624">
        <v>20</v>
      </c>
      <c r="B18" s="781" t="s">
        <v>96</v>
      </c>
      <c r="C18" s="722">
        <v>46176</v>
      </c>
      <c r="D18" s="723"/>
      <c r="E18" s="782"/>
      <c r="F18" s="725"/>
      <c r="G18" s="726">
        <v>224500000</v>
      </c>
      <c r="H18" s="727">
        <f>O18-G18</f>
        <v>0</v>
      </c>
      <c r="I18" s="726">
        <f>G18-H18+I17</f>
        <v>224500000.35</v>
      </c>
      <c r="J18" s="783"/>
      <c r="K18" s="784">
        <v>80.5037</v>
      </c>
      <c r="L18" s="785">
        <f>G18/K18</f>
        <v>2788691.6998846</v>
      </c>
      <c r="M18" s="786"/>
      <c r="N18" s="635">
        <f>L18-M18+N17</f>
        <v>2788691.7044174</v>
      </c>
      <c r="O18" s="593">
        <v>224500000</v>
      </c>
    </row>
    <row r="19" ht="34.95" customHeight="1" spans="1:15">
      <c r="A19" s="624">
        <v>21</v>
      </c>
      <c r="B19" s="787"/>
      <c r="C19" s="722">
        <v>46176</v>
      </c>
      <c r="D19" s="723"/>
      <c r="E19" s="782"/>
      <c r="F19" s="725"/>
      <c r="G19" s="726">
        <v>75500000</v>
      </c>
      <c r="H19" s="727">
        <f>O19-G19</f>
        <v>0</v>
      </c>
      <c r="I19" s="726">
        <f>G19-H19+I18</f>
        <v>300000000.35</v>
      </c>
      <c r="J19" s="783"/>
      <c r="K19" s="784">
        <v>80.5037</v>
      </c>
      <c r="L19" s="785">
        <f>G19/K19</f>
        <v>937845.092834242</v>
      </c>
      <c r="M19" s="786"/>
      <c r="N19" s="635">
        <f>L19-M19+N18</f>
        <v>3726536.79725164</v>
      </c>
      <c r="O19" s="593">
        <v>75500000</v>
      </c>
    </row>
    <row r="20" ht="34.95" customHeight="1" spans="1:15">
      <c r="A20" s="624">
        <v>22</v>
      </c>
      <c r="B20" s="787"/>
      <c r="C20" s="722">
        <v>46176</v>
      </c>
      <c r="D20" s="723" t="s">
        <v>97</v>
      </c>
      <c r="E20" s="782"/>
      <c r="F20" s="725"/>
      <c r="G20" s="726">
        <v>127684999.84</v>
      </c>
      <c r="H20" s="727">
        <f>O20-G20</f>
        <v>0</v>
      </c>
      <c r="I20" s="726">
        <f>G20-H20+I19</f>
        <v>427685000.19</v>
      </c>
      <c r="J20" s="783"/>
      <c r="K20" s="784">
        <v>80.5037</v>
      </c>
      <c r="L20" s="785">
        <f>G20/K20</f>
        <v>1586076.1659402</v>
      </c>
      <c r="M20" s="786"/>
      <c r="N20" s="635">
        <f>L20-M20+N19</f>
        <v>5312612.96319184</v>
      </c>
      <c r="O20" s="593">
        <v>127684999.84</v>
      </c>
    </row>
    <row r="21" ht="34.95" customHeight="1" spans="1:15">
      <c r="A21" s="624">
        <v>23</v>
      </c>
      <c r="B21" s="787"/>
      <c r="C21" s="722">
        <v>46359</v>
      </c>
      <c r="D21" s="723" t="s">
        <v>98</v>
      </c>
      <c r="E21" s="782"/>
      <c r="F21" s="725"/>
      <c r="G21" s="726">
        <v>1000000</v>
      </c>
      <c r="H21" s="727">
        <f>O21-G21</f>
        <v>0</v>
      </c>
      <c r="I21" s="726">
        <f>G21-H21+I20</f>
        <v>428685000.19</v>
      </c>
      <c r="J21" s="783"/>
      <c r="K21" s="784">
        <v>80.5037</v>
      </c>
      <c r="L21" s="785">
        <f>G21/K21</f>
        <v>12421.7893090628</v>
      </c>
      <c r="M21" s="786"/>
      <c r="N21" s="635">
        <f>L21-M21+N20</f>
        <v>5325034.7525009</v>
      </c>
      <c r="O21" s="593">
        <v>1000000</v>
      </c>
    </row>
    <row r="22" ht="34.95" customHeight="1" spans="1:15">
      <c r="A22" s="624">
        <v>24</v>
      </c>
      <c r="B22" s="787"/>
      <c r="C22" s="722">
        <v>46359</v>
      </c>
      <c r="D22" s="723" t="s">
        <v>99</v>
      </c>
      <c r="E22" s="782"/>
      <c r="F22" s="725"/>
      <c r="G22" s="726">
        <v>3000000</v>
      </c>
      <c r="H22" s="727">
        <f>O22-G22</f>
        <v>0</v>
      </c>
      <c r="I22" s="726">
        <f>G22-H22+I21</f>
        <v>431685000.19</v>
      </c>
      <c r="J22" s="783"/>
      <c r="K22" s="784">
        <v>80.5037</v>
      </c>
      <c r="L22" s="785">
        <f>G22/K22</f>
        <v>37265.3679271884</v>
      </c>
      <c r="M22" s="786"/>
      <c r="N22" s="635">
        <f>L22-M22+N21</f>
        <v>5362300.12042809</v>
      </c>
      <c r="O22" s="593">
        <v>3000000</v>
      </c>
    </row>
    <row r="23" ht="34.95" customHeight="1" spans="1:15">
      <c r="A23" s="624">
        <v>25</v>
      </c>
      <c r="B23" s="787"/>
      <c r="C23" s="722">
        <v>46359</v>
      </c>
      <c r="D23" s="723" t="s">
        <v>100</v>
      </c>
      <c r="E23" s="782"/>
      <c r="F23" s="725"/>
      <c r="G23" s="726">
        <v>3000000</v>
      </c>
      <c r="H23" s="727">
        <f>O23-G23</f>
        <v>0</v>
      </c>
      <c r="I23" s="726">
        <f>G23-H23+I22</f>
        <v>434685000.19</v>
      </c>
      <c r="J23" s="783"/>
      <c r="K23" s="784">
        <v>80.5037</v>
      </c>
      <c r="L23" s="785">
        <f>G23/K23</f>
        <v>37265.3679271884</v>
      </c>
      <c r="M23" s="786"/>
      <c r="N23" s="635">
        <f>L23-M23+N22</f>
        <v>5399565.48835528</v>
      </c>
      <c r="O23" s="593">
        <v>3000000</v>
      </c>
    </row>
    <row r="24" ht="34.95" customHeight="1" spans="1:15">
      <c r="A24" s="624">
        <v>26</v>
      </c>
      <c r="B24" s="787"/>
      <c r="C24" s="722">
        <v>46359</v>
      </c>
      <c r="D24" s="723" t="s">
        <v>101</v>
      </c>
      <c r="E24" s="782"/>
      <c r="F24" s="726"/>
      <c r="G24" s="726">
        <v>2849558.4</v>
      </c>
      <c r="H24" s="727">
        <f>O24-G24</f>
        <v>0</v>
      </c>
      <c r="I24" s="726">
        <f>G24-H24+I23</f>
        <v>437534558.59</v>
      </c>
      <c r="J24" s="783"/>
      <c r="K24" s="784">
        <v>80.5037</v>
      </c>
      <c r="L24" s="785">
        <f>G24/K24</f>
        <v>35396.6140686701</v>
      </c>
      <c r="M24" s="786"/>
      <c r="N24" s="635">
        <f>L24-M24+N23</f>
        <v>5434962.10242395</v>
      </c>
      <c r="O24" s="593">
        <v>2849558.4</v>
      </c>
    </row>
    <row r="25" ht="34.95" customHeight="1" spans="1:15">
      <c r="A25" s="624">
        <v>27</v>
      </c>
      <c r="B25" s="787"/>
      <c r="C25" s="722">
        <v>46359</v>
      </c>
      <c r="D25" s="723" t="s">
        <v>102</v>
      </c>
      <c r="E25" s="782"/>
      <c r="F25" s="725"/>
      <c r="G25" s="726">
        <v>78346407.44</v>
      </c>
      <c r="H25" s="727">
        <f>O25-G25</f>
        <v>0</v>
      </c>
      <c r="I25" s="726">
        <f>G25-H25+I24</f>
        <v>515880966.03</v>
      </c>
      <c r="J25" s="783"/>
      <c r="K25" s="784">
        <v>80.5037</v>
      </c>
      <c r="L25" s="785">
        <f>G25/K25</f>
        <v>973202.566341671</v>
      </c>
      <c r="M25" s="786"/>
      <c r="N25" s="635">
        <f>L25-M25+N24</f>
        <v>6408164.66876562</v>
      </c>
      <c r="O25" s="593">
        <v>78346407.44</v>
      </c>
    </row>
    <row r="26" ht="34.95" customHeight="1" spans="1:15">
      <c r="A26" s="624">
        <v>28</v>
      </c>
      <c r="B26" s="787"/>
      <c r="C26" s="722">
        <v>46359</v>
      </c>
      <c r="D26" s="723" t="s">
        <v>103</v>
      </c>
      <c r="E26" s="782"/>
      <c r="F26" s="725"/>
      <c r="G26" s="726">
        <v>103196398.8</v>
      </c>
      <c r="H26" s="727">
        <f>O26-G26</f>
        <v>0</v>
      </c>
      <c r="I26" s="726">
        <f>G26-H26+I25</f>
        <v>619077364.83</v>
      </c>
      <c r="J26" s="783"/>
      <c r="K26" s="784">
        <v>80.5037</v>
      </c>
      <c r="L26" s="785">
        <f>G26/K26</f>
        <v>1281883.92334762</v>
      </c>
      <c r="M26" s="786"/>
      <c r="N26" s="635">
        <f>L26-M26+N25</f>
        <v>7690048.59211325</v>
      </c>
      <c r="O26" s="593">
        <v>103196398.8</v>
      </c>
    </row>
    <row r="27" ht="34.95" customHeight="1" spans="1:15">
      <c r="A27" s="624"/>
      <c r="B27" s="787"/>
      <c r="C27" s="722"/>
      <c r="D27" s="723" t="s">
        <v>104</v>
      </c>
      <c r="E27" s="782"/>
      <c r="F27" s="725"/>
      <c r="G27" s="726">
        <v>47153470</v>
      </c>
      <c r="H27" s="727"/>
      <c r="I27" s="726">
        <f>G27-H27+I26</f>
        <v>666230834.83</v>
      </c>
      <c r="J27" s="783"/>
      <c r="K27" s="784">
        <v>80.5037</v>
      </c>
      <c r="L27" s="785">
        <f>G27/K27</f>
        <v>585730.469531214</v>
      </c>
      <c r="M27" s="786"/>
      <c r="N27" s="635">
        <f>L27-M27+N26</f>
        <v>8275779.06164446</v>
      </c>
    </row>
    <row r="28" ht="34.95" customHeight="1" spans="1:15">
      <c r="A28" s="624"/>
      <c r="B28" s="787"/>
      <c r="C28" s="722"/>
      <c r="D28" s="723" t="s">
        <v>103</v>
      </c>
      <c r="E28" s="782"/>
      <c r="F28" s="725"/>
      <c r="G28" s="726">
        <v>42600000</v>
      </c>
      <c r="H28" s="727"/>
      <c r="I28" s="726">
        <f>G28-H28+I27</f>
        <v>708830834.83</v>
      </c>
      <c r="J28" s="783"/>
      <c r="K28" s="784">
        <v>80.5037</v>
      </c>
      <c r="L28" s="785">
        <f>G28/K28</f>
        <v>529168.224566076</v>
      </c>
      <c r="M28" s="786"/>
      <c r="N28" s="635">
        <f>L28-M28+N27</f>
        <v>8804947.28621054</v>
      </c>
    </row>
    <row r="29" ht="34.95" customHeight="1" spans="1:15">
      <c r="A29" s="624">
        <v>29</v>
      </c>
      <c r="B29" s="787"/>
      <c r="C29" s="722"/>
      <c r="D29" s="723" t="s">
        <v>105</v>
      </c>
      <c r="E29" s="782">
        <v>9842.6</v>
      </c>
      <c r="F29" s="788">
        <f>K29*K26</f>
        <v>74980.341143</v>
      </c>
      <c r="G29" s="726"/>
      <c r="H29" s="727">
        <f>E29*F29</f>
        <v>738001505.734092</v>
      </c>
      <c r="I29" s="726">
        <f>G29-H29+I28</f>
        <v>-29170670.9040918</v>
      </c>
      <c r="J29" s="783"/>
      <c r="K29" s="784">
        <v>931.39</v>
      </c>
      <c r="L29" s="785"/>
      <c r="M29" s="786">
        <f>E29*K29</f>
        <v>9167299.214</v>
      </c>
      <c r="N29" s="635">
        <f>L29-M29+N28</f>
        <v>-362351.927789465</v>
      </c>
      <c r="O29" s="593">
        <v>47153470</v>
      </c>
    </row>
    <row r="30" ht="34.95" customHeight="1" spans="1:15">
      <c r="A30" s="624">
        <v>30</v>
      </c>
      <c r="B30" s="789"/>
      <c r="C30" s="756"/>
      <c r="D30" s="757"/>
      <c r="E30" s="758"/>
      <c r="F30" s="759"/>
      <c r="G30" s="790">
        <v>29170671</v>
      </c>
      <c r="H30" s="791"/>
      <c r="I30" s="760">
        <f>G30-H30+I29</f>
        <v>0.0959081649780273</v>
      </c>
      <c r="J30" s="762"/>
      <c r="K30" s="792">
        <v>80.5037</v>
      </c>
      <c r="L30" s="764">
        <f>G30/K30</f>
        <v>362351.929165989</v>
      </c>
      <c r="M30" s="754"/>
      <c r="N30" s="635">
        <f>L30-M30+N29</f>
        <v>0.00137652410194278</v>
      </c>
      <c r="O30" s="593">
        <v>42600000</v>
      </c>
    </row>
    <row r="31" ht="34.95" customHeight="1" spans="1:15">
      <c r="A31" s="624">
        <v>34</v>
      </c>
      <c r="B31" s="779"/>
      <c r="C31" s="625"/>
      <c r="D31" s="626"/>
      <c r="E31" s="769"/>
      <c r="F31" s="628"/>
      <c r="G31" s="655"/>
      <c r="H31" s="630"/>
      <c r="I31" s="760">
        <f>G31-H31+I30</f>
        <v>0.0959081649780273</v>
      </c>
      <c r="J31" s="766"/>
      <c r="K31" s="767"/>
      <c r="L31" s="633"/>
      <c r="M31" s="731"/>
      <c r="N31" s="635">
        <f>L31-M31+N30</f>
        <v>0.00137652410194278</v>
      </c>
    </row>
    <row r="32" ht="34.95" customHeight="1" spans="1:15">
      <c r="A32" s="624">
        <v>35</v>
      </c>
      <c r="B32" s="768" t="s">
        <v>106</v>
      </c>
      <c r="C32" s="625">
        <v>46026</v>
      </c>
      <c r="D32" s="626" t="s">
        <v>107</v>
      </c>
      <c r="E32" s="769"/>
      <c r="F32" s="793"/>
      <c r="G32" s="655">
        <v>100000000</v>
      </c>
      <c r="H32" s="630"/>
      <c r="I32" s="760">
        <f>G32-H32+I31</f>
        <v>100000000.095908</v>
      </c>
      <c r="J32" s="766"/>
      <c r="K32" s="767">
        <v>76.8898</v>
      </c>
      <c r="L32" s="633">
        <f>G32/K32</f>
        <v>1300562.62339088</v>
      </c>
      <c r="M32" s="731"/>
      <c r="N32" s="635">
        <f>L32-M32+N31</f>
        <v>1300562.6247674</v>
      </c>
      <c r="O32" s="593">
        <f>125.41-42</f>
        <v>83.41</v>
      </c>
    </row>
    <row r="33" ht="34.95" customHeight="1" spans="1:15">
      <c r="A33" s="624">
        <v>36</v>
      </c>
      <c r="B33" s="773"/>
      <c r="C33" s="625">
        <v>46057</v>
      </c>
      <c r="D33" s="626" t="s">
        <v>108</v>
      </c>
      <c r="E33" s="769"/>
      <c r="F33" s="793"/>
      <c r="G33" s="655">
        <v>400000000</v>
      </c>
      <c r="H33" s="630"/>
      <c r="I33" s="760">
        <f>G33-H33+I32</f>
        <v>500000000.095908</v>
      </c>
      <c r="J33" s="766"/>
      <c r="K33" s="767">
        <v>76.8898</v>
      </c>
      <c r="L33" s="633">
        <f>G33/K33</f>
        <v>5202250.49356352</v>
      </c>
      <c r="M33" s="731"/>
      <c r="N33" s="635">
        <f>L33-M33+N32</f>
        <v>6502813.11833092</v>
      </c>
    </row>
    <row r="34" ht="34.95" customHeight="1" spans="1:15">
      <c r="A34" s="624">
        <v>38</v>
      </c>
      <c r="B34" s="698"/>
      <c r="C34" s="625" t="s">
        <v>109</v>
      </c>
      <c r="D34" s="626" t="s">
        <v>110</v>
      </c>
      <c r="E34" s="769"/>
      <c r="F34" s="794"/>
      <c r="G34" s="655">
        <v>100000000</v>
      </c>
      <c r="H34" s="630"/>
      <c r="I34" s="760">
        <f>G34-H34+I33</f>
        <v>600000000.095908</v>
      </c>
      <c r="J34" s="766"/>
      <c r="K34" s="767">
        <v>76.8898</v>
      </c>
      <c r="L34" s="633">
        <f>G34/K34</f>
        <v>1300562.62339088</v>
      </c>
      <c r="M34" s="731"/>
      <c r="N34" s="635">
        <f>L34-M34+N33</f>
        <v>7803375.7417218</v>
      </c>
      <c r="O34" s="795"/>
    </row>
    <row r="35" ht="34.95" customHeight="1" spans="1:15">
      <c r="A35" s="624">
        <v>39</v>
      </c>
      <c r="B35" s="698"/>
      <c r="C35" s="625" t="s">
        <v>111</v>
      </c>
      <c r="D35" s="626" t="s">
        <v>112</v>
      </c>
      <c r="E35" s="769"/>
      <c r="F35" s="628"/>
      <c r="G35" s="655">
        <v>165000000</v>
      </c>
      <c r="H35" s="630"/>
      <c r="I35" s="760">
        <f>G35-H35+I34</f>
        <v>765000000.095908</v>
      </c>
      <c r="J35" s="766"/>
      <c r="K35" s="767">
        <v>76.8898</v>
      </c>
      <c r="L35" s="633">
        <f>G35/K35</f>
        <v>2145928.32859495</v>
      </c>
      <c r="M35" s="731"/>
      <c r="N35" s="635">
        <f>L35-M35+N34</f>
        <v>9949304.07031675</v>
      </c>
      <c r="O35" s="795"/>
    </row>
    <row r="36" ht="34.95" customHeight="1" spans="1:15">
      <c r="A36" s="624">
        <v>40</v>
      </c>
      <c r="B36" s="698"/>
      <c r="C36" s="625"/>
      <c r="D36" s="626" t="s">
        <v>113</v>
      </c>
      <c r="E36" s="769">
        <v>9593.1</v>
      </c>
      <c r="F36" s="794">
        <v>78281.50538</v>
      </c>
      <c r="G36" s="655"/>
      <c r="H36" s="630">
        <f>E36*F36</f>
        <v>750962309.260878</v>
      </c>
      <c r="I36" s="760">
        <f>G36-H36+I35</f>
        <v>14037690.8350302</v>
      </c>
      <c r="J36" s="766"/>
      <c r="K36" s="796">
        <f>1060.0125-42</f>
        <v>1018.0125</v>
      </c>
      <c r="L36" s="633"/>
      <c r="M36" s="731">
        <f>E36*K36</f>
        <v>9765895.71375</v>
      </c>
      <c r="N36" s="635">
        <f>L36-M36+N35</f>
        <v>183408.35656675</v>
      </c>
      <c r="O36" s="795"/>
    </row>
    <row r="37" ht="34.95" customHeight="1" spans="1:15">
      <c r="A37" s="624">
        <v>41</v>
      </c>
      <c r="B37" s="698"/>
      <c r="C37" s="625"/>
      <c r="D37" s="626"/>
      <c r="E37" s="769"/>
      <c r="F37" s="794"/>
      <c r="G37" s="655"/>
      <c r="H37" s="630"/>
      <c r="I37" s="760">
        <f>G37-H37+I36</f>
        <v>14037690.8350302</v>
      </c>
      <c r="J37" s="766"/>
      <c r="K37" s="797"/>
      <c r="L37" s="633"/>
      <c r="M37" s="731"/>
      <c r="N37" s="635">
        <f>L37-M37+N36</f>
        <v>183408.35656675</v>
      </c>
      <c r="O37" s="798"/>
    </row>
    <row r="38" ht="34.95" customHeight="1" spans="1:15">
      <c r="A38" s="624">
        <v>42</v>
      </c>
      <c r="B38" s="698"/>
      <c r="C38" s="625"/>
      <c r="D38" s="626"/>
      <c r="F38" s="793"/>
      <c r="G38" s="655"/>
      <c r="H38" s="793"/>
      <c r="I38" s="760">
        <f>G38-H38+I37</f>
        <v>14037690.8350302</v>
      </c>
      <c r="J38" s="766"/>
      <c r="K38" s="793"/>
      <c r="L38" s="793"/>
      <c r="M38" s="793"/>
      <c r="N38" s="635">
        <f>L38-M38+N37</f>
        <v>183408.35656675</v>
      </c>
      <c r="O38" s="798"/>
    </row>
    <row r="39" ht="34.95" customHeight="1" spans="1:15">
      <c r="A39" s="624">
        <v>43</v>
      </c>
      <c r="B39" s="698"/>
      <c r="C39" s="625"/>
      <c r="D39" s="626"/>
      <c r="E39" s="627"/>
      <c r="F39" s="794"/>
      <c r="G39" s="655"/>
      <c r="H39" s="799"/>
      <c r="I39" s="760">
        <f>G39-H39+I38</f>
        <v>14037690.8350302</v>
      </c>
      <c r="J39" s="766"/>
      <c r="K39" s="796"/>
      <c r="L39" s="633"/>
      <c r="M39" s="731"/>
      <c r="N39" s="635">
        <f>L39-M39+N38</f>
        <v>183408.35656675</v>
      </c>
      <c r="O39" s="798"/>
    </row>
    <row r="40" ht="34.95" customHeight="1" spans="1:15">
      <c r="A40" s="624">
        <v>44</v>
      </c>
      <c r="B40" s="779"/>
      <c r="C40" s="625"/>
      <c r="D40" s="626"/>
      <c r="E40" s="627"/>
      <c r="F40" s="794"/>
      <c r="G40" s="655"/>
      <c r="H40" s="799"/>
      <c r="I40" s="760">
        <f>G40-H40+I39</f>
        <v>14037690.8350302</v>
      </c>
      <c r="J40" s="766"/>
      <c r="K40" s="797"/>
      <c r="L40" s="633"/>
      <c r="M40" s="731"/>
      <c r="N40" s="635">
        <f>L40-M40+N39</f>
        <v>183408.35656675</v>
      </c>
      <c r="O40" s="798"/>
    </row>
    <row r="41" ht="34.95" customHeight="1" spans="1:15">
      <c r="A41" s="624">
        <v>45</v>
      </c>
      <c r="B41" s="779"/>
      <c r="C41" s="625"/>
      <c r="D41" s="626"/>
      <c r="E41" s="627"/>
      <c r="F41" s="794"/>
      <c r="G41" s="655"/>
      <c r="H41" s="799"/>
      <c r="I41" s="655">
        <f>G41-H41+I40</f>
        <v>14037690.8350302</v>
      </c>
      <c r="J41" s="766"/>
      <c r="K41" s="797"/>
      <c r="L41" s="633"/>
      <c r="M41" s="731"/>
      <c r="N41" s="635">
        <f>L41-M41+N40</f>
        <v>183408.35656675</v>
      </c>
      <c r="O41" s="798"/>
    </row>
    <row r="42" ht="34.95" customHeight="1" spans="1:15">
      <c r="A42" s="624">
        <v>46</v>
      </c>
      <c r="B42" s="779"/>
      <c r="C42" s="625"/>
      <c r="D42" s="626"/>
      <c r="E42" s="627"/>
      <c r="F42" s="794"/>
      <c r="G42" s="655"/>
      <c r="H42" s="799"/>
      <c r="I42" s="655">
        <f>G42-H42+I41</f>
        <v>14037690.8350302</v>
      </c>
      <c r="J42" s="766"/>
      <c r="K42" s="797"/>
      <c r="L42" s="633"/>
      <c r="M42" s="731"/>
      <c r="N42" s="635">
        <f>L42-M42+N41</f>
        <v>183408.35656675</v>
      </c>
      <c r="O42" s="798"/>
    </row>
    <row r="43" ht="34.95" customHeight="1" spans="1:15">
      <c r="A43" s="624">
        <v>47</v>
      </c>
      <c r="B43" s="779"/>
      <c r="C43" s="625"/>
      <c r="D43" s="626"/>
      <c r="E43" s="627"/>
      <c r="F43" s="794"/>
      <c r="G43" s="655"/>
      <c r="H43" s="799"/>
      <c r="I43" s="655">
        <f>G43-H43+I42</f>
        <v>14037690.8350302</v>
      </c>
      <c r="J43" s="766"/>
      <c r="K43" s="797"/>
      <c r="L43" s="633"/>
      <c r="M43" s="731"/>
      <c r="N43" s="635">
        <f>L43-M43+N42</f>
        <v>183408.35656675</v>
      </c>
      <c r="O43" s="798"/>
    </row>
    <row r="44" ht="34.95" customHeight="1" spans="1:15">
      <c r="A44" s="624">
        <v>48</v>
      </c>
      <c r="B44" s="779"/>
      <c r="C44" s="625"/>
      <c r="D44" s="774"/>
      <c r="E44" s="627"/>
      <c r="F44" s="767"/>
      <c r="G44" s="655"/>
      <c r="H44" s="799"/>
      <c r="I44" s="655">
        <f>G44-H44+I43</f>
        <v>14037690.8350302</v>
      </c>
      <c r="J44" s="766"/>
      <c r="K44" s="797"/>
      <c r="L44" s="633"/>
      <c r="M44" s="731"/>
      <c r="N44" s="635">
        <f>L44-M44+N43</f>
        <v>183408.35656675</v>
      </c>
      <c r="O44" s="798"/>
    </row>
    <row r="45" ht="34.95" customHeight="1" spans="1:15">
      <c r="A45" s="624">
        <v>49</v>
      </c>
      <c r="B45" s="779"/>
      <c r="C45" s="625"/>
      <c r="D45" s="774"/>
      <c r="E45" s="627"/>
      <c r="F45" s="767"/>
      <c r="G45" s="655"/>
      <c r="H45" s="799"/>
      <c r="I45" s="655">
        <f>G45-H45+I44</f>
        <v>14037690.8350302</v>
      </c>
      <c r="J45" s="766"/>
      <c r="K45" s="797"/>
      <c r="L45" s="633"/>
      <c r="M45" s="731"/>
      <c r="N45" s="635">
        <f>L45-M45+N44</f>
        <v>183408.35656675</v>
      </c>
      <c r="O45" s="798"/>
    </row>
    <row r="46" ht="34.95" customHeight="1" spans="1:15">
      <c r="A46" s="624">
        <v>50</v>
      </c>
      <c r="B46" s="779"/>
      <c r="C46" s="625"/>
      <c r="D46" s="626"/>
      <c r="E46" s="627"/>
      <c r="F46" s="794"/>
      <c r="G46" s="655"/>
      <c r="H46" s="630"/>
      <c r="I46" s="655">
        <f>G46-H46+I45</f>
        <v>14037690.8350302</v>
      </c>
      <c r="J46" s="766"/>
      <c r="K46" s="797"/>
      <c r="L46" s="633"/>
      <c r="M46" s="731"/>
      <c r="N46" s="635">
        <f>L46-M46+N45</f>
        <v>183408.35656675</v>
      </c>
      <c r="O46" s="798"/>
    </row>
    <row r="47" ht="34.95" customHeight="1" spans="1:15">
      <c r="A47" s="624">
        <v>51</v>
      </c>
      <c r="B47" s="779"/>
      <c r="C47" s="625"/>
      <c r="D47" s="626"/>
      <c r="E47" s="627"/>
      <c r="F47" s="794"/>
      <c r="G47" s="655"/>
      <c r="H47" s="630"/>
      <c r="I47" s="655">
        <f>G47-H47+I46</f>
        <v>14037690.8350302</v>
      </c>
      <c r="J47" s="766"/>
      <c r="K47" s="797"/>
      <c r="L47" s="633"/>
      <c r="M47" s="731"/>
      <c r="N47" s="635">
        <f>L47-M47+N46</f>
        <v>183408.35656675</v>
      </c>
      <c r="O47" s="798"/>
    </row>
    <row r="48" ht="34.95" customHeight="1" spans="1:15">
      <c r="A48" s="624">
        <v>52</v>
      </c>
      <c r="B48" s="779"/>
      <c r="C48" s="625"/>
      <c r="D48" s="774"/>
      <c r="E48" s="627"/>
      <c r="F48" s="794"/>
      <c r="G48" s="655"/>
      <c r="H48" s="630"/>
      <c r="I48" s="655">
        <f>G48-H48+I47</f>
        <v>14037690.8350302</v>
      </c>
      <c r="J48" s="766"/>
      <c r="K48" s="797"/>
      <c r="L48" s="633"/>
      <c r="M48" s="731"/>
      <c r="N48" s="635">
        <f>L48-M48+N47</f>
        <v>183408.35656675</v>
      </c>
      <c r="O48" s="798"/>
    </row>
    <row r="49" ht="34.95" customHeight="1" spans="1:15">
      <c r="A49" s="624">
        <v>53</v>
      </c>
      <c r="B49" s="779"/>
      <c r="C49" s="625"/>
      <c r="D49" s="774"/>
      <c r="E49" s="793"/>
      <c r="F49" s="793"/>
      <c r="G49" s="793"/>
      <c r="H49" s="630"/>
      <c r="I49" s="655">
        <f>G49-H49+I48</f>
        <v>14037690.8350302</v>
      </c>
      <c r="J49" s="793"/>
      <c r="K49" s="797"/>
      <c r="L49" s="793"/>
      <c r="M49" s="731"/>
      <c r="N49" s="635">
        <f>L49-M49+N48</f>
        <v>183408.35656675</v>
      </c>
      <c r="O49" s="798"/>
    </row>
    <row r="50" ht="34.95" customHeight="1" spans="1:15">
      <c r="A50" s="624">
        <v>54</v>
      </c>
      <c r="B50" s="779"/>
      <c r="C50" s="625"/>
      <c r="D50" s="774"/>
      <c r="E50" s="793"/>
      <c r="F50" s="793"/>
      <c r="G50" s="793"/>
      <c r="H50" s="630"/>
      <c r="I50" s="655">
        <f>G50-H50+I49</f>
        <v>14037690.8350302</v>
      </c>
      <c r="J50" s="793"/>
      <c r="K50" s="797"/>
      <c r="L50" s="793"/>
      <c r="M50" s="800"/>
      <c r="N50" s="635">
        <f>L50-M50+N49</f>
        <v>183408.35656675</v>
      </c>
      <c r="O50" s="798"/>
    </row>
    <row r="51" ht="34.95" customHeight="1" spans="1:15">
      <c r="A51" s="624">
        <v>55</v>
      </c>
      <c r="B51" s="698"/>
      <c r="C51" s="625"/>
      <c r="D51" s="774"/>
      <c r="E51" s="793"/>
      <c r="F51" s="793"/>
      <c r="G51" s="793"/>
      <c r="H51" s="793"/>
      <c r="I51" s="655">
        <f>G51-H51+I50</f>
        <v>14037690.8350302</v>
      </c>
      <c r="J51" s="793"/>
      <c r="K51" s="797"/>
      <c r="L51" s="793"/>
      <c r="M51" s="793"/>
      <c r="N51" s="635">
        <f>L51-M51+N50</f>
        <v>183408.35656675</v>
      </c>
      <c r="O51" s="798"/>
    </row>
    <row r="52" ht="34.95" customHeight="1" spans="1:15">
      <c r="A52" s="624">
        <v>56</v>
      </c>
      <c r="B52" s="698"/>
      <c r="C52" s="625"/>
      <c r="D52" s="774"/>
      <c r="E52" s="793"/>
      <c r="F52" s="793"/>
      <c r="G52" s="793"/>
      <c r="H52" s="793"/>
      <c r="I52" s="655">
        <f>G52-H52+I51</f>
        <v>14037690.8350302</v>
      </c>
      <c r="J52" s="793"/>
      <c r="K52" s="797"/>
      <c r="L52" s="793"/>
      <c r="M52" s="793"/>
      <c r="N52" s="635">
        <f>L52-M52+N51</f>
        <v>183408.35656675</v>
      </c>
      <c r="O52" s="798"/>
    </row>
    <row r="53" ht="34.95" customHeight="1" spans="1:15">
      <c r="A53" s="624">
        <v>57</v>
      </c>
      <c r="B53" s="698"/>
      <c r="C53" s="625"/>
      <c r="D53" s="774"/>
      <c r="E53" s="793"/>
      <c r="F53" s="793"/>
      <c r="G53" s="793"/>
      <c r="H53" s="793"/>
      <c r="I53" s="655">
        <f>G53-H53+I52</f>
        <v>14037690.8350302</v>
      </c>
      <c r="J53" s="793"/>
      <c r="K53" s="797"/>
      <c r="L53" s="793"/>
      <c r="M53" s="793"/>
      <c r="N53" s="635">
        <f>L53-M53+N52</f>
        <v>183408.35656675</v>
      </c>
      <c r="O53" s="798"/>
    </row>
    <row r="54" ht="34.95" customHeight="1" spans="1:15">
      <c r="A54" s="624">
        <v>58</v>
      </c>
      <c r="B54" s="779"/>
      <c r="C54" s="625"/>
      <c r="D54" s="626"/>
      <c r="E54" s="627"/>
      <c r="F54" s="794"/>
      <c r="G54" s="655"/>
      <c r="H54" s="630"/>
      <c r="I54" s="655">
        <f>G54-H54+I53</f>
        <v>14037690.8350302</v>
      </c>
      <c r="J54" s="766"/>
      <c r="K54" s="797"/>
      <c r="L54" s="633"/>
      <c r="M54" s="731"/>
      <c r="N54" s="635">
        <f>L54-M54+N53</f>
        <v>183408.35656675</v>
      </c>
      <c r="O54" s="798"/>
    </row>
    <row r="55" ht="34.95" customHeight="1" spans="1:15">
      <c r="A55" s="624">
        <v>59</v>
      </c>
      <c r="B55" s="779"/>
      <c r="C55" s="625"/>
      <c r="D55" s="626"/>
      <c r="E55" s="627"/>
      <c r="F55" s="794"/>
      <c r="G55" s="655"/>
      <c r="H55" s="630"/>
      <c r="I55" s="655">
        <f>G55-H55+I54</f>
        <v>14037690.8350302</v>
      </c>
      <c r="J55" s="766"/>
      <c r="K55" s="797"/>
      <c r="L55" s="633"/>
      <c r="M55" s="731"/>
      <c r="N55" s="635">
        <f>L55-M55+N54</f>
        <v>183408.35656675</v>
      </c>
      <c r="O55" s="798"/>
    </row>
    <row r="56" ht="34.95" customHeight="1" spans="1:15">
      <c r="A56" s="624">
        <v>60</v>
      </c>
      <c r="B56" s="779"/>
      <c r="C56" s="625"/>
      <c r="D56" s="626"/>
      <c r="E56" s="627"/>
      <c r="F56" s="794"/>
      <c r="G56" s="655"/>
      <c r="H56" s="630"/>
      <c r="I56" s="655">
        <f>G56-H56+I55</f>
        <v>14037690.8350302</v>
      </c>
      <c r="J56" s="766"/>
      <c r="K56" s="797"/>
      <c r="L56" s="633"/>
      <c r="M56" s="731"/>
      <c r="N56" s="635">
        <f>L56-M56+N55</f>
        <v>183408.35656675</v>
      </c>
      <c r="O56" s="798"/>
    </row>
    <row r="57" ht="34.95" customHeight="1" spans="1:15">
      <c r="A57" s="624">
        <v>61</v>
      </c>
      <c r="B57" s="779"/>
      <c r="C57" s="625"/>
      <c r="D57" s="626"/>
      <c r="E57" s="627"/>
      <c r="F57" s="794"/>
      <c r="G57" s="655"/>
      <c r="H57" s="630"/>
      <c r="I57" s="655">
        <f>G57-H57+I56</f>
        <v>14037690.8350302</v>
      </c>
      <c r="J57" s="766"/>
      <c r="K57" s="797"/>
      <c r="L57" s="633"/>
      <c r="M57" s="731"/>
      <c r="N57" s="635">
        <f>L57-M57+N56</f>
        <v>183408.35656675</v>
      </c>
      <c r="O57" s="798"/>
    </row>
    <row r="58" ht="34.95" customHeight="1" spans="1:15">
      <c r="A58" s="624">
        <v>62</v>
      </c>
      <c r="B58" s="779"/>
      <c r="C58" s="625"/>
      <c r="D58" s="626"/>
      <c r="E58" s="627"/>
      <c r="F58" s="794"/>
      <c r="G58" s="655"/>
      <c r="H58" s="630"/>
      <c r="I58" s="655">
        <f>G58-H58+I57</f>
        <v>14037690.8350302</v>
      </c>
      <c r="J58" s="766"/>
      <c r="K58" s="797"/>
      <c r="L58" s="633"/>
      <c r="M58" s="731"/>
      <c r="N58" s="635">
        <f>L58-M58+N57</f>
        <v>183408.35656675</v>
      </c>
      <c r="O58" s="798"/>
    </row>
    <row r="59" ht="34.95" customHeight="1" spans="1:15">
      <c r="A59" s="624">
        <v>63</v>
      </c>
      <c r="B59" s="779"/>
      <c r="C59" s="625"/>
      <c r="D59" s="626"/>
      <c r="E59" s="627"/>
      <c r="F59" s="794"/>
      <c r="G59" s="655"/>
      <c r="H59" s="630"/>
      <c r="I59" s="655">
        <f>G59-H59+I58</f>
        <v>14037690.8350302</v>
      </c>
      <c r="J59" s="766"/>
      <c r="K59" s="797"/>
      <c r="L59" s="633"/>
      <c r="M59" s="731"/>
      <c r="N59" s="635">
        <f>L59-M59+N58</f>
        <v>183408.35656675</v>
      </c>
      <c r="O59" s="798"/>
    </row>
    <row r="60" ht="34.95" customHeight="1" spans="1:15">
      <c r="A60" s="624">
        <v>64</v>
      </c>
      <c r="B60" s="779"/>
      <c r="C60" s="625"/>
      <c r="D60" s="626"/>
      <c r="E60" s="627"/>
      <c r="F60" s="794"/>
      <c r="G60" s="655"/>
      <c r="H60" s="630"/>
      <c r="I60" s="655">
        <f>G60-H60+I59</f>
        <v>14037690.8350302</v>
      </c>
      <c r="J60" s="766"/>
      <c r="K60" s="797"/>
      <c r="L60" s="633"/>
      <c r="M60" s="731"/>
      <c r="N60" s="635">
        <f>L60-M60+N59</f>
        <v>183408.35656675</v>
      </c>
      <c r="O60" s="798"/>
    </row>
    <row r="61" ht="34.95" customHeight="1" spans="1:15">
      <c r="A61" s="624">
        <v>65</v>
      </c>
      <c r="B61" s="779"/>
      <c r="C61" s="625"/>
      <c r="D61" s="626"/>
      <c r="E61" s="627"/>
      <c r="F61" s="794"/>
      <c r="G61" s="655"/>
      <c r="H61" s="630"/>
      <c r="I61" s="655">
        <f>G61-H61+I60</f>
        <v>14037690.8350302</v>
      </c>
      <c r="J61" s="766"/>
      <c r="K61" s="797"/>
      <c r="L61" s="633"/>
      <c r="M61" s="731"/>
      <c r="N61" s="635">
        <f>L61-M61+N60</f>
        <v>183408.35656675</v>
      </c>
      <c r="O61" s="798"/>
    </row>
    <row r="62" ht="34.95" customHeight="1" spans="1:15">
      <c r="A62" s="624">
        <v>66</v>
      </c>
      <c r="B62" s="779"/>
      <c r="C62" s="625"/>
      <c r="D62" s="626"/>
      <c r="E62" s="627"/>
      <c r="F62" s="794"/>
      <c r="G62" s="655"/>
      <c r="H62" s="630"/>
      <c r="I62" s="655">
        <f>G62-H62+I61</f>
        <v>14037690.8350302</v>
      </c>
      <c r="J62" s="766"/>
      <c r="K62" s="797"/>
      <c r="L62" s="633"/>
      <c r="M62" s="731"/>
      <c r="N62" s="635">
        <f>L62-M62+N61</f>
        <v>183408.35656675</v>
      </c>
      <c r="O62" s="798"/>
    </row>
    <row r="63" ht="34.95" customHeight="1" spans="1:15">
      <c r="A63" s="624">
        <v>67</v>
      </c>
      <c r="B63" s="779"/>
      <c r="C63" s="625"/>
      <c r="D63" s="626"/>
      <c r="E63" s="627"/>
      <c r="F63" s="794"/>
      <c r="G63" s="655"/>
      <c r="H63" s="630"/>
      <c r="I63" s="655">
        <f>G63-H63+I62</f>
        <v>14037690.8350302</v>
      </c>
      <c r="J63" s="766"/>
      <c r="K63" s="797"/>
      <c r="L63" s="633"/>
      <c r="M63" s="731"/>
      <c r="N63" s="635">
        <f>L63-M63+N62</f>
        <v>183408.35656675</v>
      </c>
      <c r="O63" s="798"/>
    </row>
    <row r="64" ht="34.95" customHeight="1" spans="1:15">
      <c r="A64" s="624">
        <v>68</v>
      </c>
      <c r="B64" s="698"/>
      <c r="C64" s="625"/>
      <c r="D64" s="626"/>
      <c r="E64" s="627"/>
      <c r="F64" s="794"/>
      <c r="G64" s="655"/>
      <c r="H64" s="630"/>
      <c r="I64" s="655">
        <f>G64-H64+I63</f>
        <v>14037690.8350302</v>
      </c>
      <c r="J64" s="766"/>
      <c r="K64" s="801"/>
      <c r="L64" s="633"/>
      <c r="M64" s="731"/>
      <c r="N64" s="635">
        <f>L64-M64+N63</f>
        <v>183408.35656675</v>
      </c>
      <c r="O64" s="798"/>
    </row>
    <row r="65" ht="34.95" customHeight="1" spans="1:15">
      <c r="A65" s="624">
        <v>69</v>
      </c>
      <c r="B65" s="698"/>
      <c r="C65" s="625"/>
      <c r="D65" s="626"/>
      <c r="E65" s="627"/>
      <c r="F65" s="794"/>
      <c r="G65" s="655"/>
      <c r="H65" s="630"/>
      <c r="I65" s="655">
        <f>G65-H65+I64</f>
        <v>14037690.8350302</v>
      </c>
      <c r="J65" s="766"/>
      <c r="K65" s="801"/>
      <c r="L65" s="633"/>
      <c r="M65" s="731"/>
      <c r="N65" s="635">
        <f>L65-M65+N64</f>
        <v>183408.35656675</v>
      </c>
      <c r="O65" s="798"/>
    </row>
    <row r="66" ht="34.95" customHeight="1" spans="1:15">
      <c r="A66" s="624">
        <v>70</v>
      </c>
      <c r="B66" s="779"/>
      <c r="C66" s="625"/>
      <c r="D66" s="626"/>
      <c r="E66" s="627"/>
      <c r="F66" s="794"/>
      <c r="G66" s="655"/>
      <c r="H66" s="630"/>
      <c r="I66" s="655">
        <f>G66-H66+I65</f>
        <v>14037690.8350302</v>
      </c>
      <c r="J66" s="766"/>
      <c r="K66" s="801"/>
      <c r="L66" s="633"/>
      <c r="M66" s="731"/>
      <c r="N66" s="635">
        <f>L66-M66+N65</f>
        <v>183408.35656675</v>
      </c>
      <c r="O66" s="798"/>
    </row>
    <row r="67" ht="34.95" customHeight="1" spans="1:15">
      <c r="A67" s="624">
        <v>71</v>
      </c>
      <c r="B67" s="779"/>
      <c r="C67" s="625"/>
      <c r="D67" s="626"/>
      <c r="E67" s="627"/>
      <c r="F67" s="794"/>
      <c r="G67" s="655"/>
      <c r="H67" s="799"/>
      <c r="I67" s="655">
        <f>G67-H67+I66</f>
        <v>14037690.8350302</v>
      </c>
      <c r="J67" s="766"/>
      <c r="K67" s="801"/>
      <c r="L67" s="633"/>
      <c r="M67" s="731"/>
      <c r="N67" s="635">
        <f>L67-M67+N66</f>
        <v>183408.35656675</v>
      </c>
      <c r="O67" s="798"/>
    </row>
    <row r="68" ht="34.95" customHeight="1" spans="1:15">
      <c r="A68" s="624">
        <v>72</v>
      </c>
      <c r="B68" s="779"/>
      <c r="C68" s="625"/>
      <c r="D68" s="626"/>
      <c r="E68" s="627"/>
      <c r="F68" s="794"/>
      <c r="G68" s="655"/>
      <c r="H68" s="799"/>
      <c r="I68" s="655">
        <f>G68-H68+I67</f>
        <v>14037690.8350302</v>
      </c>
      <c r="J68" s="766"/>
      <c r="K68" s="801"/>
      <c r="L68" s="633"/>
      <c r="M68" s="731"/>
      <c r="N68" s="635">
        <f>L68-M68+N67</f>
        <v>183408.35656675</v>
      </c>
      <c r="O68" s="798"/>
    </row>
    <row r="69" ht="34.95" customHeight="1" spans="1:15">
      <c r="A69" s="624">
        <v>73</v>
      </c>
      <c r="B69" s="779"/>
      <c r="C69" s="625"/>
      <c r="D69" s="626"/>
      <c r="E69" s="627"/>
      <c r="F69" s="794"/>
      <c r="G69" s="655"/>
      <c r="H69" s="799"/>
      <c r="I69" s="655">
        <f>G69-H69+I68</f>
        <v>14037690.8350302</v>
      </c>
      <c r="J69" s="766"/>
      <c r="K69" s="801"/>
      <c r="L69" s="633"/>
      <c r="M69" s="731"/>
      <c r="N69" s="635">
        <f>L69-M69+N68</f>
        <v>183408.35656675</v>
      </c>
      <c r="O69" s="798"/>
    </row>
    <row r="70" ht="34.95" customHeight="1" spans="1:15">
      <c r="A70" s="624">
        <v>74</v>
      </c>
      <c r="B70" s="779"/>
      <c r="C70" s="625"/>
      <c r="D70" s="626"/>
      <c r="E70" s="627"/>
      <c r="F70" s="794"/>
      <c r="G70" s="655"/>
      <c r="H70" s="802"/>
      <c r="I70" s="655">
        <f>G70-H70+I69</f>
        <v>14037690.8350302</v>
      </c>
      <c r="J70" s="766"/>
      <c r="K70" s="803"/>
      <c r="L70" s="633"/>
      <c r="M70" s="731"/>
      <c r="N70" s="635">
        <f>L70-M70+N69</f>
        <v>183408.35656675</v>
      </c>
      <c r="O70" s="798"/>
    </row>
    <row r="71" ht="34.95" customHeight="1" spans="1:15">
      <c r="A71" s="624">
        <v>75</v>
      </c>
      <c r="B71" s="779"/>
      <c r="C71" s="625"/>
      <c r="D71" s="626"/>
      <c r="E71" s="627"/>
      <c r="F71" s="794"/>
      <c r="G71" s="655"/>
      <c r="H71" s="802"/>
      <c r="I71" s="655">
        <f>G71-H71+I70</f>
        <v>14037690.8350302</v>
      </c>
      <c r="J71" s="766"/>
      <c r="K71" s="801"/>
      <c r="L71" s="633"/>
      <c r="M71" s="731"/>
      <c r="N71" s="635">
        <f>L71-M71+N70</f>
        <v>183408.35656675</v>
      </c>
      <c r="O71" s="798"/>
    </row>
    <row r="72" ht="34.95" customHeight="1" spans="1:15">
      <c r="A72" s="624">
        <v>76</v>
      </c>
      <c r="B72" s="779"/>
      <c r="C72" s="625"/>
      <c r="D72" s="626"/>
      <c r="E72" s="627"/>
      <c r="F72" s="794"/>
      <c r="G72" s="655"/>
      <c r="H72" s="802"/>
      <c r="I72" s="655">
        <f>G72-H72+I71</f>
        <v>14037690.8350302</v>
      </c>
      <c r="J72" s="766"/>
      <c r="K72" s="801"/>
      <c r="L72" s="633"/>
      <c r="M72" s="731"/>
      <c r="N72" s="635">
        <f>L72-M72+N71</f>
        <v>183408.35656675</v>
      </c>
      <c r="O72" s="798"/>
    </row>
    <row r="73" ht="34.95" customHeight="1" spans="1:15">
      <c r="A73" s="624">
        <v>77</v>
      </c>
      <c r="B73" s="779"/>
      <c r="C73" s="625"/>
      <c r="D73" s="626"/>
      <c r="E73" s="627"/>
      <c r="F73" s="794"/>
      <c r="G73" s="655"/>
      <c r="H73" s="802"/>
      <c r="I73" s="655">
        <f>G73-H73+I72</f>
        <v>14037690.8350302</v>
      </c>
      <c r="J73" s="766"/>
      <c r="K73" s="801"/>
      <c r="L73" s="633"/>
      <c r="M73" s="731"/>
      <c r="N73" s="635">
        <f>L73-M73+N72</f>
        <v>183408.35656675</v>
      </c>
      <c r="O73" s="798"/>
    </row>
    <row r="74" ht="34.95" customHeight="1" spans="1:15">
      <c r="A74" s="624">
        <v>78</v>
      </c>
      <c r="B74" s="779"/>
      <c r="C74" s="625"/>
      <c r="D74" s="626"/>
      <c r="E74" s="627"/>
      <c r="F74" s="794"/>
      <c r="G74" s="655"/>
      <c r="H74" s="802"/>
      <c r="I74" s="655">
        <f>G74-H74+I73</f>
        <v>14037690.8350302</v>
      </c>
      <c r="J74" s="766"/>
      <c r="K74" s="801"/>
      <c r="L74" s="633"/>
      <c r="M74" s="731"/>
      <c r="N74" s="635">
        <f>L74-M74+N73</f>
        <v>183408.35656675</v>
      </c>
      <c r="O74" s="798"/>
    </row>
    <row r="75" ht="34.95" customHeight="1" spans="1:15">
      <c r="A75" s="624">
        <v>79</v>
      </c>
      <c r="B75" s="779"/>
      <c r="C75" s="625"/>
      <c r="D75" s="626"/>
      <c r="E75" s="627"/>
      <c r="F75" s="794"/>
      <c r="G75" s="655"/>
      <c r="H75" s="802"/>
      <c r="I75" s="655">
        <f>G75-H75+I74</f>
        <v>14037690.8350302</v>
      </c>
      <c r="J75" s="766"/>
      <c r="K75" s="801"/>
      <c r="L75" s="633"/>
      <c r="M75" s="731"/>
      <c r="N75" s="635">
        <f>L75-M75+N74</f>
        <v>183408.35656675</v>
      </c>
      <c r="O75" s="798"/>
    </row>
    <row r="76" ht="34.95" customHeight="1" spans="1:15">
      <c r="A76" s="624">
        <v>80</v>
      </c>
      <c r="B76" s="779"/>
      <c r="C76" s="625"/>
      <c r="D76" s="626"/>
      <c r="E76" s="627"/>
      <c r="F76" s="794"/>
      <c r="G76" s="655"/>
      <c r="H76" s="802"/>
      <c r="I76" s="655">
        <f>G76-H76+I75</f>
        <v>14037690.8350302</v>
      </c>
      <c r="J76" s="766"/>
      <c r="K76" s="801"/>
      <c r="L76" s="633"/>
      <c r="M76" s="731"/>
      <c r="N76" s="635">
        <f>L76-M76+N75</f>
        <v>183408.35656675</v>
      </c>
      <c r="O76" s="798"/>
    </row>
    <row r="77" ht="34.95" customHeight="1" spans="1:15">
      <c r="A77" s="624">
        <v>81</v>
      </c>
      <c r="B77" s="779"/>
      <c r="C77" s="625"/>
      <c r="D77" s="626"/>
      <c r="E77" s="627"/>
      <c r="F77" s="794"/>
      <c r="G77" s="655"/>
      <c r="H77" s="802"/>
      <c r="I77" s="655">
        <f>G77-H77+I76</f>
        <v>14037690.8350302</v>
      </c>
      <c r="J77" s="766"/>
      <c r="K77" s="801"/>
      <c r="L77" s="633"/>
      <c r="M77" s="731"/>
      <c r="N77" s="635">
        <f>L77-M77+N76</f>
        <v>183408.35656675</v>
      </c>
      <c r="O77" s="798"/>
    </row>
    <row r="78" ht="34.95" customHeight="1" spans="1:15">
      <c r="A78" s="624">
        <v>82</v>
      </c>
      <c r="B78" s="779"/>
      <c r="C78" s="625"/>
      <c r="D78" s="626"/>
      <c r="E78" s="627"/>
      <c r="F78" s="794"/>
      <c r="G78" s="655"/>
      <c r="H78" s="802"/>
      <c r="I78" s="655">
        <f>G78-H78+I77</f>
        <v>14037690.8350302</v>
      </c>
      <c r="J78" s="766"/>
      <c r="K78" s="801"/>
      <c r="L78" s="633"/>
      <c r="M78" s="731"/>
      <c r="N78" s="635">
        <f>L78-M78+N77</f>
        <v>183408.35656675</v>
      </c>
      <c r="O78" s="798"/>
    </row>
    <row r="79" ht="34.95" customHeight="1" spans="1:15">
      <c r="A79" s="624">
        <v>83</v>
      </c>
      <c r="B79" s="779"/>
      <c r="C79" s="625"/>
      <c r="D79" s="626"/>
      <c r="E79" s="627"/>
      <c r="F79" s="794"/>
      <c r="G79" s="655"/>
      <c r="H79" s="802"/>
      <c r="I79" s="655">
        <f>G79-H79+I78</f>
        <v>14037690.8350302</v>
      </c>
      <c r="J79" s="766"/>
      <c r="K79" s="801"/>
      <c r="L79" s="633"/>
      <c r="M79" s="731"/>
      <c r="N79" s="635">
        <f>L79-M79+N78</f>
        <v>183408.35656675</v>
      </c>
      <c r="O79" s="798"/>
    </row>
    <row r="80" ht="34.95" customHeight="1" spans="1:15">
      <c r="A80" s="624">
        <v>84</v>
      </c>
      <c r="B80" s="779"/>
      <c r="C80" s="625"/>
      <c r="D80" s="626"/>
      <c r="E80" s="627"/>
      <c r="F80" s="794"/>
      <c r="G80" s="655"/>
      <c r="H80" s="802"/>
      <c r="I80" s="655">
        <f>G80-H80+I79</f>
        <v>14037690.8350302</v>
      </c>
      <c r="J80" s="766"/>
      <c r="K80" s="804"/>
      <c r="L80" s="633"/>
      <c r="M80" s="731"/>
      <c r="N80" s="635">
        <f>L80-M80+N79</f>
        <v>183408.35656675</v>
      </c>
      <c r="O80" s="798"/>
    </row>
    <row r="81" ht="34.95" customHeight="1" spans="1:15">
      <c r="A81" s="624">
        <v>85</v>
      </c>
      <c r="B81" s="779"/>
      <c r="C81" s="625"/>
      <c r="D81" s="626"/>
      <c r="E81" s="627"/>
      <c r="F81" s="794"/>
      <c r="G81" s="805"/>
      <c r="H81" s="802"/>
      <c r="I81" s="655">
        <f>G81-H81+I80</f>
        <v>14037690.8350302</v>
      </c>
      <c r="J81" s="766"/>
      <c r="K81" s="801"/>
      <c r="L81" s="633"/>
      <c r="M81" s="731"/>
      <c r="N81" s="635">
        <f>L81-M81+N80</f>
        <v>183408.35656675</v>
      </c>
      <c r="O81" s="798"/>
    </row>
    <row r="82" ht="34.95" customHeight="1" spans="1:15">
      <c r="A82" s="624">
        <v>86</v>
      </c>
      <c r="B82" s="779"/>
      <c r="C82" s="625"/>
      <c r="D82" s="626"/>
      <c r="E82" s="627"/>
      <c r="F82" s="794"/>
      <c r="G82" s="655"/>
      <c r="H82" s="802"/>
      <c r="I82" s="655">
        <f>G82-H82+I81</f>
        <v>14037690.8350302</v>
      </c>
      <c r="J82" s="766"/>
      <c r="K82" s="801"/>
      <c r="L82" s="633"/>
      <c r="M82" s="731"/>
      <c r="N82" s="635">
        <f>L82-M82+N81</f>
        <v>183408.35656675</v>
      </c>
      <c r="O82" s="798"/>
    </row>
    <row r="83" ht="34.95" customHeight="1" spans="1:15">
      <c r="A83" s="624">
        <v>87</v>
      </c>
      <c r="B83" s="698"/>
      <c r="C83" s="793"/>
      <c r="D83" s="793"/>
      <c r="E83" s="793"/>
      <c r="F83" s="793"/>
      <c r="G83" s="793"/>
      <c r="H83" s="799"/>
      <c r="I83" s="655">
        <f>G83-H83+I82</f>
        <v>14037690.8350302</v>
      </c>
      <c r="J83" s="766"/>
      <c r="K83" s="797"/>
      <c r="L83" s="633"/>
      <c r="M83" s="731"/>
      <c r="N83" s="635">
        <f>L83-M83+N82</f>
        <v>183408.35656675</v>
      </c>
      <c r="O83" s="798"/>
    </row>
    <row r="84" ht="34.95" customHeight="1" spans="1:15">
      <c r="A84" s="624">
        <v>88</v>
      </c>
      <c r="B84" s="698"/>
      <c r="C84" s="625"/>
      <c r="D84" s="626"/>
      <c r="E84" s="806"/>
      <c r="F84" s="794"/>
      <c r="G84" s="655"/>
      <c r="H84" s="799"/>
      <c r="I84" s="655">
        <f>G84-H84+I83</f>
        <v>14037690.8350302</v>
      </c>
      <c r="J84" s="766"/>
      <c r="K84" s="797"/>
      <c r="L84" s="633"/>
      <c r="M84" s="731"/>
      <c r="N84" s="635">
        <f>L84-M84+N83</f>
        <v>183408.35656675</v>
      </c>
      <c r="O84" s="798"/>
    </row>
    <row r="85" ht="34.95" customHeight="1" spans="1:15">
      <c r="A85" s="624">
        <v>89</v>
      </c>
      <c r="B85" s="698"/>
      <c r="C85" s="793"/>
      <c r="D85" s="709"/>
      <c r="E85" s="806"/>
      <c r="F85" s="806"/>
      <c r="G85" s="710"/>
      <c r="H85" s="799"/>
      <c r="I85" s="655">
        <f>G85-H85+I84</f>
        <v>14037690.8350302</v>
      </c>
      <c r="J85" s="766"/>
      <c r="K85" s="797"/>
      <c r="L85" s="633"/>
      <c r="M85" s="731"/>
      <c r="N85" s="635">
        <f>L85-M85+N84</f>
        <v>183408.35656675</v>
      </c>
      <c r="O85" s="798"/>
    </row>
    <row r="86" ht="34.95" customHeight="1" spans="1:15">
      <c r="A86" s="624">
        <v>90</v>
      </c>
      <c r="B86" s="698"/>
      <c r="C86" s="625"/>
      <c r="D86" s="626"/>
      <c r="E86" s="627"/>
      <c r="F86" s="794"/>
      <c r="G86" s="655"/>
      <c r="H86" s="799"/>
      <c r="I86" s="655">
        <f>G86-H86+I85</f>
        <v>14037690.8350302</v>
      </c>
      <c r="J86" s="766"/>
      <c r="K86" s="797"/>
      <c r="L86" s="633"/>
      <c r="M86" s="731"/>
      <c r="N86" s="635">
        <f>L86-M86+N85</f>
        <v>183408.35656675</v>
      </c>
      <c r="O86" s="798"/>
    </row>
    <row r="87" ht="34.95" customHeight="1" spans="1:15">
      <c r="A87" s="666"/>
      <c r="B87" s="667"/>
      <c r="C87" s="667"/>
      <c r="D87" s="668"/>
      <c r="E87" s="669"/>
      <c r="F87" s="670"/>
      <c r="G87" s="671"/>
      <c r="H87" s="672"/>
      <c r="I87" s="807"/>
      <c r="J87" s="807"/>
      <c r="K87" s="676"/>
      <c r="L87" s="676"/>
      <c r="M87" s="676"/>
      <c r="N87" s="808"/>
    </row>
    <row r="89" ht="14.25" spans="1:15">
      <c r="G89" s="809">
        <f>SUM(G4:G88)</f>
        <v>2084436229.17</v>
      </c>
      <c r="H89" s="810">
        <f>SUM(H4:H88)</f>
        <v>2035370260.33497</v>
      </c>
      <c r="I89" s="811"/>
      <c r="J89" s="811"/>
      <c r="K89" s="811"/>
      <c r="L89" s="680">
        <f>SUM(L4:L88)</f>
        <v>26639812.1689015</v>
      </c>
      <c r="M89" s="812">
        <f>SUM(M4:M88)</f>
        <v>26009623.6700928</v>
      </c>
    </row>
    <row r="90" spans="1:15">
      <c r="H90" s="596"/>
    </row>
    <row r="91" ht="14.25" spans="1:15">
      <c r="G91" s="813"/>
    </row>
  </sheetData>
  <mergeCells count="6">
    <mergeCell ref="A1:N1"/>
    <mergeCell ref="B4:B5"/>
    <mergeCell ref="B7:B15"/>
    <mergeCell ref="B18:B29"/>
    <mergeCell ref="B32:B33"/>
    <mergeCell ref="O7:O13"/>
  </mergeCells>
  <pageMargins left="0.7" right="0.7" top="0.75" bottom="0.75" header="0.3" footer="0.3"/>
  <pageSetup paperSize="1" orientation="portrait" horizontalDpi="360" verticalDpi="36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"/>
  <sheetViews>
    <sheetView workbookViewId="0">
      <selection activeCell="A14" sqref="A14:A23"/>
    </sheetView>
  </sheetViews>
  <sheetFormatPr defaultColWidth="9" defaultRowHeight="12.75"/>
  <cols>
    <col min="1" max="1" width="5.55238095238095" style="593" customWidth="1"/>
    <col min="2" max="2" width="8.88571428571429" style="593" customWidth="1"/>
    <col min="3" max="3" width="30.552380952381" style="594" customWidth="1"/>
    <col min="4" max="4" width="9.78095238095238" style="595" customWidth="1"/>
    <col min="5" max="5" width="11.8857142857143" style="595" customWidth="1"/>
    <col min="6" max="6" width="13.8857142857143" style="596" customWidth="1"/>
    <col min="7" max="7" width="13.4380952380952" style="597" customWidth="1"/>
    <col min="8" max="8" width="15.3333333333333" style="598" customWidth="1"/>
    <col min="9" max="9" width="0.780952380952381" style="598" customWidth="1"/>
    <col min="10" max="10" width="14.6666666666667" style="593" customWidth="1"/>
    <col min="11" max="11" width="13.7809523809524" style="593" customWidth="1"/>
    <col min="12" max="12" width="13.3333333333333" style="593" customWidth="1"/>
    <col min="13" max="13" width="13.1047619047619" style="593" customWidth="1"/>
    <col min="14" max="14" width="8.88571428571429" style="593"/>
    <col min="15" max="15" width="9.88571428571429" style="593" customWidth="1"/>
    <col min="16" max="249" width="8.88571428571429" style="593"/>
    <col min="250" max="250" width="5.55238095238095" style="593" customWidth="1"/>
    <col min="251" max="251" width="9.33333333333333" style="593" customWidth="1"/>
    <col min="252" max="252" width="24.6666666666667" style="593" customWidth="1"/>
    <col min="253" max="253" width="11" style="593" customWidth="1"/>
    <col min="254" max="254" width="7.55238095238095" style="593" customWidth="1"/>
    <col min="255" max="255" width="13.552380952381" style="593" customWidth="1"/>
    <col min="256" max="256" width="5.43809523809524" style="593" customWidth="1"/>
    <col min="257" max="257" width="11.3333333333333" style="593" customWidth="1"/>
    <col min="258" max="258" width="5.66666666666667" style="593" customWidth="1"/>
    <col min="259" max="259" width="12" style="593" customWidth="1"/>
    <col min="260" max="260" width="15.4380952380952" style="593" customWidth="1"/>
    <col min="261" max="262" width="15.1047619047619" style="593" customWidth="1"/>
    <col min="263" max="263" width="14.3333333333333" style="593" customWidth="1"/>
    <col min="264" max="264" width="3.1047619047619" style="593" customWidth="1"/>
    <col min="265" max="265" width="6.43809523809524" style="593" customWidth="1"/>
    <col min="266" max="505" width="8.88571428571429" style="593"/>
    <col min="506" max="506" width="5.55238095238095" style="593" customWidth="1"/>
    <col min="507" max="507" width="9.33333333333333" style="593" customWidth="1"/>
    <col min="508" max="508" width="24.6666666666667" style="593" customWidth="1"/>
    <col min="509" max="509" width="11" style="593" customWidth="1"/>
    <col min="510" max="510" width="7.55238095238095" style="593" customWidth="1"/>
    <col min="511" max="511" width="13.552380952381" style="593" customWidth="1"/>
    <col min="512" max="512" width="5.43809523809524" style="593" customWidth="1"/>
    <col min="513" max="513" width="11.3333333333333" style="593" customWidth="1"/>
    <col min="514" max="514" width="5.66666666666667" style="593" customWidth="1"/>
    <col min="515" max="515" width="12" style="593" customWidth="1"/>
    <col min="516" max="516" width="15.4380952380952" style="593" customWidth="1"/>
    <col min="517" max="518" width="15.1047619047619" style="593" customWidth="1"/>
    <col min="519" max="519" width="14.3333333333333" style="593" customWidth="1"/>
    <col min="520" max="520" width="3.1047619047619" style="593" customWidth="1"/>
    <col min="521" max="521" width="6.43809523809524" style="593" customWidth="1"/>
    <col min="522" max="761" width="8.88571428571429" style="593"/>
    <col min="762" max="762" width="5.55238095238095" style="593" customWidth="1"/>
    <col min="763" max="763" width="9.33333333333333" style="593" customWidth="1"/>
    <col min="764" max="764" width="24.6666666666667" style="593" customWidth="1"/>
    <col min="765" max="765" width="11" style="593" customWidth="1"/>
    <col min="766" max="766" width="7.55238095238095" style="593" customWidth="1"/>
    <col min="767" max="767" width="13.552380952381" style="593" customWidth="1"/>
    <col min="768" max="768" width="5.43809523809524" style="593" customWidth="1"/>
    <col min="769" max="769" width="11.3333333333333" style="593" customWidth="1"/>
    <col min="770" max="770" width="5.66666666666667" style="593" customWidth="1"/>
    <col min="771" max="771" width="12" style="593" customWidth="1"/>
    <col min="772" max="772" width="15.4380952380952" style="593" customWidth="1"/>
    <col min="773" max="774" width="15.1047619047619" style="593" customWidth="1"/>
    <col min="775" max="775" width="14.3333333333333" style="593" customWidth="1"/>
    <col min="776" max="776" width="3.1047619047619" style="593" customWidth="1"/>
    <col min="777" max="777" width="6.43809523809524" style="593" customWidth="1"/>
    <col min="778" max="1017" width="8.88571428571429" style="593"/>
    <col min="1018" max="1018" width="5.55238095238095" style="593" customWidth="1"/>
    <col min="1019" max="1019" width="9.33333333333333" style="593" customWidth="1"/>
    <col min="1020" max="1020" width="24.6666666666667" style="593" customWidth="1"/>
    <col min="1021" max="1021" width="11" style="593" customWidth="1"/>
    <col min="1022" max="1022" width="7.55238095238095" style="593" customWidth="1"/>
    <col min="1023" max="1023" width="13.552380952381" style="593" customWidth="1"/>
    <col min="1024" max="1024" width="5.43809523809524" style="593" customWidth="1"/>
    <col min="1025" max="1025" width="11.3333333333333" style="593" customWidth="1"/>
    <col min="1026" max="1026" width="5.66666666666667" style="593" customWidth="1"/>
    <col min="1027" max="1027" width="12" style="593" customWidth="1"/>
    <col min="1028" max="1028" width="15.4380952380952" style="593" customWidth="1"/>
    <col min="1029" max="1030" width="15.1047619047619" style="593" customWidth="1"/>
    <col min="1031" max="1031" width="14.3333333333333" style="593" customWidth="1"/>
    <col min="1032" max="1032" width="3.1047619047619" style="593" customWidth="1"/>
    <col min="1033" max="1033" width="6.43809523809524" style="593" customWidth="1"/>
    <col min="1034" max="1273" width="8.88571428571429" style="593"/>
    <col min="1274" max="1274" width="5.55238095238095" style="593" customWidth="1"/>
    <col min="1275" max="1275" width="9.33333333333333" style="593" customWidth="1"/>
    <col min="1276" max="1276" width="24.6666666666667" style="593" customWidth="1"/>
    <col min="1277" max="1277" width="11" style="593" customWidth="1"/>
    <col min="1278" max="1278" width="7.55238095238095" style="593" customWidth="1"/>
    <col min="1279" max="1279" width="13.552380952381" style="593" customWidth="1"/>
    <col min="1280" max="1280" width="5.43809523809524" style="593" customWidth="1"/>
    <col min="1281" max="1281" width="11.3333333333333" style="593" customWidth="1"/>
    <col min="1282" max="1282" width="5.66666666666667" style="593" customWidth="1"/>
    <col min="1283" max="1283" width="12" style="593" customWidth="1"/>
    <col min="1284" max="1284" width="15.4380952380952" style="593" customWidth="1"/>
    <col min="1285" max="1286" width="15.1047619047619" style="593" customWidth="1"/>
    <col min="1287" max="1287" width="14.3333333333333" style="593" customWidth="1"/>
    <col min="1288" max="1288" width="3.1047619047619" style="593" customWidth="1"/>
    <col min="1289" max="1289" width="6.43809523809524" style="593" customWidth="1"/>
    <col min="1290" max="1529" width="8.88571428571429" style="593"/>
    <col min="1530" max="1530" width="5.55238095238095" style="593" customWidth="1"/>
    <col min="1531" max="1531" width="9.33333333333333" style="593" customWidth="1"/>
    <col min="1532" max="1532" width="24.6666666666667" style="593" customWidth="1"/>
    <col min="1533" max="1533" width="11" style="593" customWidth="1"/>
    <col min="1534" max="1534" width="7.55238095238095" style="593" customWidth="1"/>
    <col min="1535" max="1535" width="13.552380952381" style="593" customWidth="1"/>
    <col min="1536" max="1536" width="5.43809523809524" style="593" customWidth="1"/>
    <col min="1537" max="1537" width="11.3333333333333" style="593" customWidth="1"/>
    <col min="1538" max="1538" width="5.66666666666667" style="593" customWidth="1"/>
    <col min="1539" max="1539" width="12" style="593" customWidth="1"/>
    <col min="1540" max="1540" width="15.4380952380952" style="593" customWidth="1"/>
    <col min="1541" max="1542" width="15.1047619047619" style="593" customWidth="1"/>
    <col min="1543" max="1543" width="14.3333333333333" style="593" customWidth="1"/>
    <col min="1544" max="1544" width="3.1047619047619" style="593" customWidth="1"/>
    <col min="1545" max="1545" width="6.43809523809524" style="593" customWidth="1"/>
    <col min="1546" max="1785" width="8.88571428571429" style="593"/>
    <col min="1786" max="1786" width="5.55238095238095" style="593" customWidth="1"/>
    <col min="1787" max="1787" width="9.33333333333333" style="593" customWidth="1"/>
    <col min="1788" max="1788" width="24.6666666666667" style="593" customWidth="1"/>
    <col min="1789" max="1789" width="11" style="593" customWidth="1"/>
    <col min="1790" max="1790" width="7.55238095238095" style="593" customWidth="1"/>
    <col min="1791" max="1791" width="13.552380952381" style="593" customWidth="1"/>
    <col min="1792" max="1792" width="5.43809523809524" style="593" customWidth="1"/>
    <col min="1793" max="1793" width="11.3333333333333" style="593" customWidth="1"/>
    <col min="1794" max="1794" width="5.66666666666667" style="593" customWidth="1"/>
    <col min="1795" max="1795" width="12" style="593" customWidth="1"/>
    <col min="1796" max="1796" width="15.4380952380952" style="593" customWidth="1"/>
    <col min="1797" max="1798" width="15.1047619047619" style="593" customWidth="1"/>
    <col min="1799" max="1799" width="14.3333333333333" style="593" customWidth="1"/>
    <col min="1800" max="1800" width="3.1047619047619" style="593" customWidth="1"/>
    <col min="1801" max="1801" width="6.43809523809524" style="593" customWidth="1"/>
    <col min="1802" max="2041" width="8.88571428571429" style="593"/>
    <col min="2042" max="2042" width="5.55238095238095" style="593" customWidth="1"/>
    <col min="2043" max="2043" width="9.33333333333333" style="593" customWidth="1"/>
    <col min="2044" max="2044" width="24.6666666666667" style="593" customWidth="1"/>
    <col min="2045" max="2045" width="11" style="593" customWidth="1"/>
    <col min="2046" max="2046" width="7.55238095238095" style="593" customWidth="1"/>
    <col min="2047" max="2047" width="13.552380952381" style="593" customWidth="1"/>
    <col min="2048" max="2048" width="5.43809523809524" style="593" customWidth="1"/>
    <col min="2049" max="2049" width="11.3333333333333" style="593" customWidth="1"/>
    <col min="2050" max="2050" width="5.66666666666667" style="593" customWidth="1"/>
    <col min="2051" max="2051" width="12" style="593" customWidth="1"/>
    <col min="2052" max="2052" width="15.4380952380952" style="593" customWidth="1"/>
    <col min="2053" max="2054" width="15.1047619047619" style="593" customWidth="1"/>
    <col min="2055" max="2055" width="14.3333333333333" style="593" customWidth="1"/>
    <col min="2056" max="2056" width="3.1047619047619" style="593" customWidth="1"/>
    <col min="2057" max="2057" width="6.43809523809524" style="593" customWidth="1"/>
    <col min="2058" max="2297" width="8.88571428571429" style="593"/>
    <col min="2298" max="2298" width="5.55238095238095" style="593" customWidth="1"/>
    <col min="2299" max="2299" width="9.33333333333333" style="593" customWidth="1"/>
    <col min="2300" max="2300" width="24.6666666666667" style="593" customWidth="1"/>
    <col min="2301" max="2301" width="11" style="593" customWidth="1"/>
    <col min="2302" max="2302" width="7.55238095238095" style="593" customWidth="1"/>
    <col min="2303" max="2303" width="13.552380952381" style="593" customWidth="1"/>
    <col min="2304" max="2304" width="5.43809523809524" style="593" customWidth="1"/>
    <col min="2305" max="2305" width="11.3333333333333" style="593" customWidth="1"/>
    <col min="2306" max="2306" width="5.66666666666667" style="593" customWidth="1"/>
    <col min="2307" max="2307" width="12" style="593" customWidth="1"/>
    <col min="2308" max="2308" width="15.4380952380952" style="593" customWidth="1"/>
    <col min="2309" max="2310" width="15.1047619047619" style="593" customWidth="1"/>
    <col min="2311" max="2311" width="14.3333333333333" style="593" customWidth="1"/>
    <col min="2312" max="2312" width="3.1047619047619" style="593" customWidth="1"/>
    <col min="2313" max="2313" width="6.43809523809524" style="593" customWidth="1"/>
    <col min="2314" max="2553" width="8.88571428571429" style="593"/>
    <col min="2554" max="2554" width="5.55238095238095" style="593" customWidth="1"/>
    <col min="2555" max="2555" width="9.33333333333333" style="593" customWidth="1"/>
    <col min="2556" max="2556" width="24.6666666666667" style="593" customWidth="1"/>
    <col min="2557" max="2557" width="11" style="593" customWidth="1"/>
    <col min="2558" max="2558" width="7.55238095238095" style="593" customWidth="1"/>
    <col min="2559" max="2559" width="13.552380952381" style="593" customWidth="1"/>
    <col min="2560" max="2560" width="5.43809523809524" style="593" customWidth="1"/>
    <col min="2561" max="2561" width="11.3333333333333" style="593" customWidth="1"/>
    <col min="2562" max="2562" width="5.66666666666667" style="593" customWidth="1"/>
    <col min="2563" max="2563" width="12" style="593" customWidth="1"/>
    <col min="2564" max="2564" width="15.4380952380952" style="593" customWidth="1"/>
    <col min="2565" max="2566" width="15.1047619047619" style="593" customWidth="1"/>
    <col min="2567" max="2567" width="14.3333333333333" style="593" customWidth="1"/>
    <col min="2568" max="2568" width="3.1047619047619" style="593" customWidth="1"/>
    <col min="2569" max="2569" width="6.43809523809524" style="593" customWidth="1"/>
    <col min="2570" max="2809" width="8.88571428571429" style="593"/>
    <col min="2810" max="2810" width="5.55238095238095" style="593" customWidth="1"/>
    <col min="2811" max="2811" width="9.33333333333333" style="593" customWidth="1"/>
    <col min="2812" max="2812" width="24.6666666666667" style="593" customWidth="1"/>
    <col min="2813" max="2813" width="11" style="593" customWidth="1"/>
    <col min="2814" max="2814" width="7.55238095238095" style="593" customWidth="1"/>
    <col min="2815" max="2815" width="13.552380952381" style="593" customWidth="1"/>
    <col min="2816" max="2816" width="5.43809523809524" style="593" customWidth="1"/>
    <col min="2817" max="2817" width="11.3333333333333" style="593" customWidth="1"/>
    <col min="2818" max="2818" width="5.66666666666667" style="593" customWidth="1"/>
    <col min="2819" max="2819" width="12" style="593" customWidth="1"/>
    <col min="2820" max="2820" width="15.4380952380952" style="593" customWidth="1"/>
    <col min="2821" max="2822" width="15.1047619047619" style="593" customWidth="1"/>
    <col min="2823" max="2823" width="14.3333333333333" style="593" customWidth="1"/>
    <col min="2824" max="2824" width="3.1047619047619" style="593" customWidth="1"/>
    <col min="2825" max="2825" width="6.43809523809524" style="593" customWidth="1"/>
    <col min="2826" max="3065" width="8.88571428571429" style="593"/>
    <col min="3066" max="3066" width="5.55238095238095" style="593" customWidth="1"/>
    <col min="3067" max="3067" width="9.33333333333333" style="593" customWidth="1"/>
    <col min="3068" max="3068" width="24.6666666666667" style="593" customWidth="1"/>
    <col min="3069" max="3069" width="11" style="593" customWidth="1"/>
    <col min="3070" max="3070" width="7.55238095238095" style="593" customWidth="1"/>
    <col min="3071" max="3071" width="13.552380952381" style="593" customWidth="1"/>
    <col min="3072" max="3072" width="5.43809523809524" style="593" customWidth="1"/>
    <col min="3073" max="3073" width="11.3333333333333" style="593" customWidth="1"/>
    <col min="3074" max="3074" width="5.66666666666667" style="593" customWidth="1"/>
    <col min="3075" max="3075" width="12" style="593" customWidth="1"/>
    <col min="3076" max="3076" width="15.4380952380952" style="593" customWidth="1"/>
    <col min="3077" max="3078" width="15.1047619047619" style="593" customWidth="1"/>
    <col min="3079" max="3079" width="14.3333333333333" style="593" customWidth="1"/>
    <col min="3080" max="3080" width="3.1047619047619" style="593" customWidth="1"/>
    <col min="3081" max="3081" width="6.43809523809524" style="593" customWidth="1"/>
    <col min="3082" max="3321" width="8.88571428571429" style="593"/>
    <col min="3322" max="3322" width="5.55238095238095" style="593" customWidth="1"/>
    <col min="3323" max="3323" width="9.33333333333333" style="593" customWidth="1"/>
    <col min="3324" max="3324" width="24.6666666666667" style="593" customWidth="1"/>
    <col min="3325" max="3325" width="11" style="593" customWidth="1"/>
    <col min="3326" max="3326" width="7.55238095238095" style="593" customWidth="1"/>
    <col min="3327" max="3327" width="13.552380952381" style="593" customWidth="1"/>
    <col min="3328" max="3328" width="5.43809523809524" style="593" customWidth="1"/>
    <col min="3329" max="3329" width="11.3333333333333" style="593" customWidth="1"/>
    <col min="3330" max="3330" width="5.66666666666667" style="593" customWidth="1"/>
    <col min="3331" max="3331" width="12" style="593" customWidth="1"/>
    <col min="3332" max="3332" width="15.4380952380952" style="593" customWidth="1"/>
    <col min="3333" max="3334" width="15.1047619047619" style="593" customWidth="1"/>
    <col min="3335" max="3335" width="14.3333333333333" style="593" customWidth="1"/>
    <col min="3336" max="3336" width="3.1047619047619" style="593" customWidth="1"/>
    <col min="3337" max="3337" width="6.43809523809524" style="593" customWidth="1"/>
    <col min="3338" max="3577" width="8.88571428571429" style="593"/>
    <col min="3578" max="3578" width="5.55238095238095" style="593" customWidth="1"/>
    <col min="3579" max="3579" width="9.33333333333333" style="593" customWidth="1"/>
    <col min="3580" max="3580" width="24.6666666666667" style="593" customWidth="1"/>
    <col min="3581" max="3581" width="11" style="593" customWidth="1"/>
    <col min="3582" max="3582" width="7.55238095238095" style="593" customWidth="1"/>
    <col min="3583" max="3583" width="13.552380952381" style="593" customWidth="1"/>
    <col min="3584" max="3584" width="5.43809523809524" style="593" customWidth="1"/>
    <col min="3585" max="3585" width="11.3333333333333" style="593" customWidth="1"/>
    <col min="3586" max="3586" width="5.66666666666667" style="593" customWidth="1"/>
    <col min="3587" max="3587" width="12" style="593" customWidth="1"/>
    <col min="3588" max="3588" width="15.4380952380952" style="593" customWidth="1"/>
    <col min="3589" max="3590" width="15.1047619047619" style="593" customWidth="1"/>
    <col min="3591" max="3591" width="14.3333333333333" style="593" customWidth="1"/>
    <col min="3592" max="3592" width="3.1047619047619" style="593" customWidth="1"/>
    <col min="3593" max="3593" width="6.43809523809524" style="593" customWidth="1"/>
    <col min="3594" max="3833" width="8.88571428571429" style="593"/>
    <col min="3834" max="3834" width="5.55238095238095" style="593" customWidth="1"/>
    <col min="3835" max="3835" width="9.33333333333333" style="593" customWidth="1"/>
    <col min="3836" max="3836" width="24.6666666666667" style="593" customWidth="1"/>
    <col min="3837" max="3837" width="11" style="593" customWidth="1"/>
    <col min="3838" max="3838" width="7.55238095238095" style="593" customWidth="1"/>
    <col min="3839" max="3839" width="13.552380952381" style="593" customWidth="1"/>
    <col min="3840" max="3840" width="5.43809523809524" style="593" customWidth="1"/>
    <col min="3841" max="3841" width="11.3333333333333" style="593" customWidth="1"/>
    <col min="3842" max="3842" width="5.66666666666667" style="593" customWidth="1"/>
    <col min="3843" max="3843" width="12" style="593" customWidth="1"/>
    <col min="3844" max="3844" width="15.4380952380952" style="593" customWidth="1"/>
    <col min="3845" max="3846" width="15.1047619047619" style="593" customWidth="1"/>
    <col min="3847" max="3847" width="14.3333333333333" style="593" customWidth="1"/>
    <col min="3848" max="3848" width="3.1047619047619" style="593" customWidth="1"/>
    <col min="3849" max="3849" width="6.43809523809524" style="593" customWidth="1"/>
    <col min="3850" max="4089" width="8.88571428571429" style="593"/>
    <col min="4090" max="4090" width="5.55238095238095" style="593" customWidth="1"/>
    <col min="4091" max="4091" width="9.33333333333333" style="593" customWidth="1"/>
    <col min="4092" max="4092" width="24.6666666666667" style="593" customWidth="1"/>
    <col min="4093" max="4093" width="11" style="593" customWidth="1"/>
    <col min="4094" max="4094" width="7.55238095238095" style="593" customWidth="1"/>
    <col min="4095" max="4095" width="13.552380952381" style="593" customWidth="1"/>
    <col min="4096" max="4096" width="5.43809523809524" style="593" customWidth="1"/>
    <col min="4097" max="4097" width="11.3333333333333" style="593" customWidth="1"/>
    <col min="4098" max="4098" width="5.66666666666667" style="593" customWidth="1"/>
    <col min="4099" max="4099" width="12" style="593" customWidth="1"/>
    <col min="4100" max="4100" width="15.4380952380952" style="593" customWidth="1"/>
    <col min="4101" max="4102" width="15.1047619047619" style="593" customWidth="1"/>
    <col min="4103" max="4103" width="14.3333333333333" style="593" customWidth="1"/>
    <col min="4104" max="4104" width="3.1047619047619" style="593" customWidth="1"/>
    <col min="4105" max="4105" width="6.43809523809524" style="593" customWidth="1"/>
    <col min="4106" max="4345" width="8.88571428571429" style="593"/>
    <col min="4346" max="4346" width="5.55238095238095" style="593" customWidth="1"/>
    <col min="4347" max="4347" width="9.33333333333333" style="593" customWidth="1"/>
    <col min="4348" max="4348" width="24.6666666666667" style="593" customWidth="1"/>
    <col min="4349" max="4349" width="11" style="593" customWidth="1"/>
    <col min="4350" max="4350" width="7.55238095238095" style="593" customWidth="1"/>
    <col min="4351" max="4351" width="13.552380952381" style="593" customWidth="1"/>
    <col min="4352" max="4352" width="5.43809523809524" style="593" customWidth="1"/>
    <col min="4353" max="4353" width="11.3333333333333" style="593" customWidth="1"/>
    <col min="4354" max="4354" width="5.66666666666667" style="593" customWidth="1"/>
    <col min="4355" max="4355" width="12" style="593" customWidth="1"/>
    <col min="4356" max="4356" width="15.4380952380952" style="593" customWidth="1"/>
    <col min="4357" max="4358" width="15.1047619047619" style="593" customWidth="1"/>
    <col min="4359" max="4359" width="14.3333333333333" style="593" customWidth="1"/>
    <col min="4360" max="4360" width="3.1047619047619" style="593" customWidth="1"/>
    <col min="4361" max="4361" width="6.43809523809524" style="593" customWidth="1"/>
    <col min="4362" max="4601" width="8.88571428571429" style="593"/>
    <col min="4602" max="4602" width="5.55238095238095" style="593" customWidth="1"/>
    <col min="4603" max="4603" width="9.33333333333333" style="593" customWidth="1"/>
    <col min="4604" max="4604" width="24.6666666666667" style="593" customWidth="1"/>
    <col min="4605" max="4605" width="11" style="593" customWidth="1"/>
    <col min="4606" max="4606" width="7.55238095238095" style="593" customWidth="1"/>
    <col min="4607" max="4607" width="13.552380952381" style="593" customWidth="1"/>
    <col min="4608" max="4608" width="5.43809523809524" style="593" customWidth="1"/>
    <col min="4609" max="4609" width="11.3333333333333" style="593" customWidth="1"/>
    <col min="4610" max="4610" width="5.66666666666667" style="593" customWidth="1"/>
    <col min="4611" max="4611" width="12" style="593" customWidth="1"/>
    <col min="4612" max="4612" width="15.4380952380952" style="593" customWidth="1"/>
    <col min="4613" max="4614" width="15.1047619047619" style="593" customWidth="1"/>
    <col min="4615" max="4615" width="14.3333333333333" style="593" customWidth="1"/>
    <col min="4616" max="4616" width="3.1047619047619" style="593" customWidth="1"/>
    <col min="4617" max="4617" width="6.43809523809524" style="593" customWidth="1"/>
    <col min="4618" max="4857" width="8.88571428571429" style="593"/>
    <col min="4858" max="4858" width="5.55238095238095" style="593" customWidth="1"/>
    <col min="4859" max="4859" width="9.33333333333333" style="593" customWidth="1"/>
    <col min="4860" max="4860" width="24.6666666666667" style="593" customWidth="1"/>
    <col min="4861" max="4861" width="11" style="593" customWidth="1"/>
    <col min="4862" max="4862" width="7.55238095238095" style="593" customWidth="1"/>
    <col min="4863" max="4863" width="13.552380952381" style="593" customWidth="1"/>
    <col min="4864" max="4864" width="5.43809523809524" style="593" customWidth="1"/>
    <col min="4865" max="4865" width="11.3333333333333" style="593" customWidth="1"/>
    <col min="4866" max="4866" width="5.66666666666667" style="593" customWidth="1"/>
    <col min="4867" max="4867" width="12" style="593" customWidth="1"/>
    <col min="4868" max="4868" width="15.4380952380952" style="593" customWidth="1"/>
    <col min="4869" max="4870" width="15.1047619047619" style="593" customWidth="1"/>
    <col min="4871" max="4871" width="14.3333333333333" style="593" customWidth="1"/>
    <col min="4872" max="4872" width="3.1047619047619" style="593" customWidth="1"/>
    <col min="4873" max="4873" width="6.43809523809524" style="593" customWidth="1"/>
    <col min="4874" max="5113" width="8.88571428571429" style="593"/>
    <col min="5114" max="5114" width="5.55238095238095" style="593" customWidth="1"/>
    <col min="5115" max="5115" width="9.33333333333333" style="593" customWidth="1"/>
    <col min="5116" max="5116" width="24.6666666666667" style="593" customWidth="1"/>
    <col min="5117" max="5117" width="11" style="593" customWidth="1"/>
    <col min="5118" max="5118" width="7.55238095238095" style="593" customWidth="1"/>
    <col min="5119" max="5119" width="13.552380952381" style="593" customWidth="1"/>
    <col min="5120" max="5120" width="5.43809523809524" style="593" customWidth="1"/>
    <col min="5121" max="5121" width="11.3333333333333" style="593" customWidth="1"/>
    <col min="5122" max="5122" width="5.66666666666667" style="593" customWidth="1"/>
    <col min="5123" max="5123" width="12" style="593" customWidth="1"/>
    <col min="5124" max="5124" width="15.4380952380952" style="593" customWidth="1"/>
    <col min="5125" max="5126" width="15.1047619047619" style="593" customWidth="1"/>
    <col min="5127" max="5127" width="14.3333333333333" style="593" customWidth="1"/>
    <col min="5128" max="5128" width="3.1047619047619" style="593" customWidth="1"/>
    <col min="5129" max="5129" width="6.43809523809524" style="593" customWidth="1"/>
    <col min="5130" max="5369" width="8.88571428571429" style="593"/>
    <col min="5370" max="5370" width="5.55238095238095" style="593" customWidth="1"/>
    <col min="5371" max="5371" width="9.33333333333333" style="593" customWidth="1"/>
    <col min="5372" max="5372" width="24.6666666666667" style="593" customWidth="1"/>
    <col min="5373" max="5373" width="11" style="593" customWidth="1"/>
    <col min="5374" max="5374" width="7.55238095238095" style="593" customWidth="1"/>
    <col min="5375" max="5375" width="13.552380952381" style="593" customWidth="1"/>
    <col min="5376" max="5376" width="5.43809523809524" style="593" customWidth="1"/>
    <col min="5377" max="5377" width="11.3333333333333" style="593" customWidth="1"/>
    <col min="5378" max="5378" width="5.66666666666667" style="593" customWidth="1"/>
    <col min="5379" max="5379" width="12" style="593" customWidth="1"/>
    <col min="5380" max="5380" width="15.4380952380952" style="593" customWidth="1"/>
    <col min="5381" max="5382" width="15.1047619047619" style="593" customWidth="1"/>
    <col min="5383" max="5383" width="14.3333333333333" style="593" customWidth="1"/>
    <col min="5384" max="5384" width="3.1047619047619" style="593" customWidth="1"/>
    <col min="5385" max="5385" width="6.43809523809524" style="593" customWidth="1"/>
    <col min="5386" max="5625" width="8.88571428571429" style="593"/>
    <col min="5626" max="5626" width="5.55238095238095" style="593" customWidth="1"/>
    <col min="5627" max="5627" width="9.33333333333333" style="593" customWidth="1"/>
    <col min="5628" max="5628" width="24.6666666666667" style="593" customWidth="1"/>
    <col min="5629" max="5629" width="11" style="593" customWidth="1"/>
    <col min="5630" max="5630" width="7.55238095238095" style="593" customWidth="1"/>
    <col min="5631" max="5631" width="13.552380952381" style="593" customWidth="1"/>
    <col min="5632" max="5632" width="5.43809523809524" style="593" customWidth="1"/>
    <col min="5633" max="5633" width="11.3333333333333" style="593" customWidth="1"/>
    <col min="5634" max="5634" width="5.66666666666667" style="593" customWidth="1"/>
    <col min="5635" max="5635" width="12" style="593" customWidth="1"/>
    <col min="5636" max="5636" width="15.4380952380952" style="593" customWidth="1"/>
    <col min="5637" max="5638" width="15.1047619047619" style="593" customWidth="1"/>
    <col min="5639" max="5639" width="14.3333333333333" style="593" customWidth="1"/>
    <col min="5640" max="5640" width="3.1047619047619" style="593" customWidth="1"/>
    <col min="5641" max="5641" width="6.43809523809524" style="593" customWidth="1"/>
    <col min="5642" max="5881" width="8.88571428571429" style="593"/>
    <col min="5882" max="5882" width="5.55238095238095" style="593" customWidth="1"/>
    <col min="5883" max="5883" width="9.33333333333333" style="593" customWidth="1"/>
    <col min="5884" max="5884" width="24.6666666666667" style="593" customWidth="1"/>
    <col min="5885" max="5885" width="11" style="593" customWidth="1"/>
    <col min="5886" max="5886" width="7.55238095238095" style="593" customWidth="1"/>
    <col min="5887" max="5887" width="13.552380952381" style="593" customWidth="1"/>
    <col min="5888" max="5888" width="5.43809523809524" style="593" customWidth="1"/>
    <col min="5889" max="5889" width="11.3333333333333" style="593" customWidth="1"/>
    <col min="5890" max="5890" width="5.66666666666667" style="593" customWidth="1"/>
    <col min="5891" max="5891" width="12" style="593" customWidth="1"/>
    <col min="5892" max="5892" width="15.4380952380952" style="593" customWidth="1"/>
    <col min="5893" max="5894" width="15.1047619047619" style="593" customWidth="1"/>
    <col min="5895" max="5895" width="14.3333333333333" style="593" customWidth="1"/>
    <col min="5896" max="5896" width="3.1047619047619" style="593" customWidth="1"/>
    <col min="5897" max="5897" width="6.43809523809524" style="593" customWidth="1"/>
    <col min="5898" max="6137" width="8.88571428571429" style="593"/>
    <col min="6138" max="6138" width="5.55238095238095" style="593" customWidth="1"/>
    <col min="6139" max="6139" width="9.33333333333333" style="593" customWidth="1"/>
    <col min="6140" max="6140" width="24.6666666666667" style="593" customWidth="1"/>
    <col min="6141" max="6141" width="11" style="593" customWidth="1"/>
    <col min="6142" max="6142" width="7.55238095238095" style="593" customWidth="1"/>
    <col min="6143" max="6143" width="13.552380952381" style="593" customWidth="1"/>
    <col min="6144" max="6144" width="5.43809523809524" style="593" customWidth="1"/>
    <col min="6145" max="6145" width="11.3333333333333" style="593" customWidth="1"/>
    <col min="6146" max="6146" width="5.66666666666667" style="593" customWidth="1"/>
    <col min="6147" max="6147" width="12" style="593" customWidth="1"/>
    <col min="6148" max="6148" width="15.4380952380952" style="593" customWidth="1"/>
    <col min="6149" max="6150" width="15.1047619047619" style="593" customWidth="1"/>
    <col min="6151" max="6151" width="14.3333333333333" style="593" customWidth="1"/>
    <col min="6152" max="6152" width="3.1047619047619" style="593" customWidth="1"/>
    <col min="6153" max="6153" width="6.43809523809524" style="593" customWidth="1"/>
    <col min="6154" max="6393" width="8.88571428571429" style="593"/>
    <col min="6394" max="6394" width="5.55238095238095" style="593" customWidth="1"/>
    <col min="6395" max="6395" width="9.33333333333333" style="593" customWidth="1"/>
    <col min="6396" max="6396" width="24.6666666666667" style="593" customWidth="1"/>
    <col min="6397" max="6397" width="11" style="593" customWidth="1"/>
    <col min="6398" max="6398" width="7.55238095238095" style="593" customWidth="1"/>
    <col min="6399" max="6399" width="13.552380952381" style="593" customWidth="1"/>
    <col min="6400" max="6400" width="5.43809523809524" style="593" customWidth="1"/>
    <col min="6401" max="6401" width="11.3333333333333" style="593" customWidth="1"/>
    <col min="6402" max="6402" width="5.66666666666667" style="593" customWidth="1"/>
    <col min="6403" max="6403" width="12" style="593" customWidth="1"/>
    <col min="6404" max="6404" width="15.4380952380952" style="593" customWidth="1"/>
    <col min="6405" max="6406" width="15.1047619047619" style="593" customWidth="1"/>
    <col min="6407" max="6407" width="14.3333333333333" style="593" customWidth="1"/>
    <col min="6408" max="6408" width="3.1047619047619" style="593" customWidth="1"/>
    <col min="6409" max="6409" width="6.43809523809524" style="593" customWidth="1"/>
    <col min="6410" max="6649" width="8.88571428571429" style="593"/>
    <col min="6650" max="6650" width="5.55238095238095" style="593" customWidth="1"/>
    <col min="6651" max="6651" width="9.33333333333333" style="593" customWidth="1"/>
    <col min="6652" max="6652" width="24.6666666666667" style="593" customWidth="1"/>
    <col min="6653" max="6653" width="11" style="593" customWidth="1"/>
    <col min="6654" max="6654" width="7.55238095238095" style="593" customWidth="1"/>
    <col min="6655" max="6655" width="13.552380952381" style="593" customWidth="1"/>
    <col min="6656" max="6656" width="5.43809523809524" style="593" customWidth="1"/>
    <col min="6657" max="6657" width="11.3333333333333" style="593" customWidth="1"/>
    <col min="6658" max="6658" width="5.66666666666667" style="593" customWidth="1"/>
    <col min="6659" max="6659" width="12" style="593" customWidth="1"/>
    <col min="6660" max="6660" width="15.4380952380952" style="593" customWidth="1"/>
    <col min="6661" max="6662" width="15.1047619047619" style="593" customWidth="1"/>
    <col min="6663" max="6663" width="14.3333333333333" style="593" customWidth="1"/>
    <col min="6664" max="6664" width="3.1047619047619" style="593" customWidth="1"/>
    <col min="6665" max="6665" width="6.43809523809524" style="593" customWidth="1"/>
    <col min="6666" max="6905" width="8.88571428571429" style="593"/>
    <col min="6906" max="6906" width="5.55238095238095" style="593" customWidth="1"/>
    <col min="6907" max="6907" width="9.33333333333333" style="593" customWidth="1"/>
    <col min="6908" max="6908" width="24.6666666666667" style="593" customWidth="1"/>
    <col min="6909" max="6909" width="11" style="593" customWidth="1"/>
    <col min="6910" max="6910" width="7.55238095238095" style="593" customWidth="1"/>
    <col min="6911" max="6911" width="13.552380952381" style="593" customWidth="1"/>
    <col min="6912" max="6912" width="5.43809523809524" style="593" customWidth="1"/>
    <col min="6913" max="6913" width="11.3333333333333" style="593" customWidth="1"/>
    <col min="6914" max="6914" width="5.66666666666667" style="593" customWidth="1"/>
    <col min="6915" max="6915" width="12" style="593" customWidth="1"/>
    <col min="6916" max="6916" width="15.4380952380952" style="593" customWidth="1"/>
    <col min="6917" max="6918" width="15.1047619047619" style="593" customWidth="1"/>
    <col min="6919" max="6919" width="14.3333333333333" style="593" customWidth="1"/>
    <col min="6920" max="6920" width="3.1047619047619" style="593" customWidth="1"/>
    <col min="6921" max="6921" width="6.43809523809524" style="593" customWidth="1"/>
    <col min="6922" max="7161" width="8.88571428571429" style="593"/>
    <col min="7162" max="7162" width="5.55238095238095" style="593" customWidth="1"/>
    <col min="7163" max="7163" width="9.33333333333333" style="593" customWidth="1"/>
    <col min="7164" max="7164" width="24.6666666666667" style="593" customWidth="1"/>
    <col min="7165" max="7165" width="11" style="593" customWidth="1"/>
    <col min="7166" max="7166" width="7.55238095238095" style="593" customWidth="1"/>
    <col min="7167" max="7167" width="13.552380952381" style="593" customWidth="1"/>
    <col min="7168" max="7168" width="5.43809523809524" style="593" customWidth="1"/>
    <col min="7169" max="7169" width="11.3333333333333" style="593" customWidth="1"/>
    <col min="7170" max="7170" width="5.66666666666667" style="593" customWidth="1"/>
    <col min="7171" max="7171" width="12" style="593" customWidth="1"/>
    <col min="7172" max="7172" width="15.4380952380952" style="593" customWidth="1"/>
    <col min="7173" max="7174" width="15.1047619047619" style="593" customWidth="1"/>
    <col min="7175" max="7175" width="14.3333333333333" style="593" customWidth="1"/>
    <col min="7176" max="7176" width="3.1047619047619" style="593" customWidth="1"/>
    <col min="7177" max="7177" width="6.43809523809524" style="593" customWidth="1"/>
    <col min="7178" max="7417" width="8.88571428571429" style="593"/>
    <col min="7418" max="7418" width="5.55238095238095" style="593" customWidth="1"/>
    <col min="7419" max="7419" width="9.33333333333333" style="593" customWidth="1"/>
    <col min="7420" max="7420" width="24.6666666666667" style="593" customWidth="1"/>
    <col min="7421" max="7421" width="11" style="593" customWidth="1"/>
    <col min="7422" max="7422" width="7.55238095238095" style="593" customWidth="1"/>
    <col min="7423" max="7423" width="13.552380952381" style="593" customWidth="1"/>
    <col min="7424" max="7424" width="5.43809523809524" style="593" customWidth="1"/>
    <col min="7425" max="7425" width="11.3333333333333" style="593" customWidth="1"/>
    <col min="7426" max="7426" width="5.66666666666667" style="593" customWidth="1"/>
    <col min="7427" max="7427" width="12" style="593" customWidth="1"/>
    <col min="7428" max="7428" width="15.4380952380952" style="593" customWidth="1"/>
    <col min="7429" max="7430" width="15.1047619047619" style="593" customWidth="1"/>
    <col min="7431" max="7431" width="14.3333333333333" style="593" customWidth="1"/>
    <col min="7432" max="7432" width="3.1047619047619" style="593" customWidth="1"/>
    <col min="7433" max="7433" width="6.43809523809524" style="593" customWidth="1"/>
    <col min="7434" max="7673" width="8.88571428571429" style="593"/>
    <col min="7674" max="7674" width="5.55238095238095" style="593" customWidth="1"/>
    <col min="7675" max="7675" width="9.33333333333333" style="593" customWidth="1"/>
    <col min="7676" max="7676" width="24.6666666666667" style="593" customWidth="1"/>
    <col min="7677" max="7677" width="11" style="593" customWidth="1"/>
    <col min="7678" max="7678" width="7.55238095238095" style="593" customWidth="1"/>
    <col min="7679" max="7679" width="13.552380952381" style="593" customWidth="1"/>
    <col min="7680" max="7680" width="5.43809523809524" style="593" customWidth="1"/>
    <col min="7681" max="7681" width="11.3333333333333" style="593" customWidth="1"/>
    <col min="7682" max="7682" width="5.66666666666667" style="593" customWidth="1"/>
    <col min="7683" max="7683" width="12" style="593" customWidth="1"/>
    <col min="7684" max="7684" width="15.4380952380952" style="593" customWidth="1"/>
    <col min="7685" max="7686" width="15.1047619047619" style="593" customWidth="1"/>
    <col min="7687" max="7687" width="14.3333333333333" style="593" customWidth="1"/>
    <col min="7688" max="7688" width="3.1047619047619" style="593" customWidth="1"/>
    <col min="7689" max="7689" width="6.43809523809524" style="593" customWidth="1"/>
    <col min="7690" max="7929" width="8.88571428571429" style="593"/>
    <col min="7930" max="7930" width="5.55238095238095" style="593" customWidth="1"/>
    <col min="7931" max="7931" width="9.33333333333333" style="593" customWidth="1"/>
    <col min="7932" max="7932" width="24.6666666666667" style="593" customWidth="1"/>
    <col min="7933" max="7933" width="11" style="593" customWidth="1"/>
    <col min="7934" max="7934" width="7.55238095238095" style="593" customWidth="1"/>
    <col min="7935" max="7935" width="13.552380952381" style="593" customWidth="1"/>
    <col min="7936" max="7936" width="5.43809523809524" style="593" customWidth="1"/>
    <col min="7937" max="7937" width="11.3333333333333" style="593" customWidth="1"/>
    <col min="7938" max="7938" width="5.66666666666667" style="593" customWidth="1"/>
    <col min="7939" max="7939" width="12" style="593" customWidth="1"/>
    <col min="7940" max="7940" width="15.4380952380952" style="593" customWidth="1"/>
    <col min="7941" max="7942" width="15.1047619047619" style="593" customWidth="1"/>
    <col min="7943" max="7943" width="14.3333333333333" style="593" customWidth="1"/>
    <col min="7944" max="7944" width="3.1047619047619" style="593" customWidth="1"/>
    <col min="7945" max="7945" width="6.43809523809524" style="593" customWidth="1"/>
    <col min="7946" max="8185" width="8.88571428571429" style="593"/>
    <col min="8186" max="8186" width="5.55238095238095" style="593" customWidth="1"/>
    <col min="8187" max="8187" width="9.33333333333333" style="593" customWidth="1"/>
    <col min="8188" max="8188" width="24.6666666666667" style="593" customWidth="1"/>
    <col min="8189" max="8189" width="11" style="593" customWidth="1"/>
    <col min="8190" max="8190" width="7.55238095238095" style="593" customWidth="1"/>
    <col min="8191" max="8191" width="13.552380952381" style="593" customWidth="1"/>
    <col min="8192" max="8192" width="5.43809523809524" style="593" customWidth="1"/>
    <col min="8193" max="8193" width="11.3333333333333" style="593" customWidth="1"/>
    <col min="8194" max="8194" width="5.66666666666667" style="593" customWidth="1"/>
    <col min="8195" max="8195" width="12" style="593" customWidth="1"/>
    <col min="8196" max="8196" width="15.4380952380952" style="593" customWidth="1"/>
    <col min="8197" max="8198" width="15.1047619047619" style="593" customWidth="1"/>
    <col min="8199" max="8199" width="14.3333333333333" style="593" customWidth="1"/>
    <col min="8200" max="8200" width="3.1047619047619" style="593" customWidth="1"/>
    <col min="8201" max="8201" width="6.43809523809524" style="593" customWidth="1"/>
    <col min="8202" max="8441" width="8.88571428571429" style="593"/>
    <col min="8442" max="8442" width="5.55238095238095" style="593" customWidth="1"/>
    <col min="8443" max="8443" width="9.33333333333333" style="593" customWidth="1"/>
    <col min="8444" max="8444" width="24.6666666666667" style="593" customWidth="1"/>
    <col min="8445" max="8445" width="11" style="593" customWidth="1"/>
    <col min="8446" max="8446" width="7.55238095238095" style="593" customWidth="1"/>
    <col min="8447" max="8447" width="13.552380952381" style="593" customWidth="1"/>
    <col min="8448" max="8448" width="5.43809523809524" style="593" customWidth="1"/>
    <col min="8449" max="8449" width="11.3333333333333" style="593" customWidth="1"/>
    <col min="8450" max="8450" width="5.66666666666667" style="593" customWidth="1"/>
    <col min="8451" max="8451" width="12" style="593" customWidth="1"/>
    <col min="8452" max="8452" width="15.4380952380952" style="593" customWidth="1"/>
    <col min="8453" max="8454" width="15.1047619047619" style="593" customWidth="1"/>
    <col min="8455" max="8455" width="14.3333333333333" style="593" customWidth="1"/>
    <col min="8456" max="8456" width="3.1047619047619" style="593" customWidth="1"/>
    <col min="8457" max="8457" width="6.43809523809524" style="593" customWidth="1"/>
    <col min="8458" max="8697" width="8.88571428571429" style="593"/>
    <col min="8698" max="8698" width="5.55238095238095" style="593" customWidth="1"/>
    <col min="8699" max="8699" width="9.33333333333333" style="593" customWidth="1"/>
    <col min="8700" max="8700" width="24.6666666666667" style="593" customWidth="1"/>
    <col min="8701" max="8701" width="11" style="593" customWidth="1"/>
    <col min="8702" max="8702" width="7.55238095238095" style="593" customWidth="1"/>
    <col min="8703" max="8703" width="13.552380952381" style="593" customWidth="1"/>
    <col min="8704" max="8704" width="5.43809523809524" style="593" customWidth="1"/>
    <col min="8705" max="8705" width="11.3333333333333" style="593" customWidth="1"/>
    <col min="8706" max="8706" width="5.66666666666667" style="593" customWidth="1"/>
    <col min="8707" max="8707" width="12" style="593" customWidth="1"/>
    <col min="8708" max="8708" width="15.4380952380952" style="593" customWidth="1"/>
    <col min="8709" max="8710" width="15.1047619047619" style="593" customWidth="1"/>
    <col min="8711" max="8711" width="14.3333333333333" style="593" customWidth="1"/>
    <col min="8712" max="8712" width="3.1047619047619" style="593" customWidth="1"/>
    <col min="8713" max="8713" width="6.43809523809524" style="593" customWidth="1"/>
    <col min="8714" max="8953" width="8.88571428571429" style="593"/>
    <col min="8954" max="8954" width="5.55238095238095" style="593" customWidth="1"/>
    <col min="8955" max="8955" width="9.33333333333333" style="593" customWidth="1"/>
    <col min="8956" max="8956" width="24.6666666666667" style="593" customWidth="1"/>
    <col min="8957" max="8957" width="11" style="593" customWidth="1"/>
    <col min="8958" max="8958" width="7.55238095238095" style="593" customWidth="1"/>
    <col min="8959" max="8959" width="13.552380952381" style="593" customWidth="1"/>
    <col min="8960" max="8960" width="5.43809523809524" style="593" customWidth="1"/>
    <col min="8961" max="8961" width="11.3333333333333" style="593" customWidth="1"/>
    <col min="8962" max="8962" width="5.66666666666667" style="593" customWidth="1"/>
    <col min="8963" max="8963" width="12" style="593" customWidth="1"/>
    <col min="8964" max="8964" width="15.4380952380952" style="593" customWidth="1"/>
    <col min="8965" max="8966" width="15.1047619047619" style="593" customWidth="1"/>
    <col min="8967" max="8967" width="14.3333333333333" style="593" customWidth="1"/>
    <col min="8968" max="8968" width="3.1047619047619" style="593" customWidth="1"/>
    <col min="8969" max="8969" width="6.43809523809524" style="593" customWidth="1"/>
    <col min="8970" max="9209" width="8.88571428571429" style="593"/>
    <col min="9210" max="9210" width="5.55238095238095" style="593" customWidth="1"/>
    <col min="9211" max="9211" width="9.33333333333333" style="593" customWidth="1"/>
    <col min="9212" max="9212" width="24.6666666666667" style="593" customWidth="1"/>
    <col min="9213" max="9213" width="11" style="593" customWidth="1"/>
    <col min="9214" max="9214" width="7.55238095238095" style="593" customWidth="1"/>
    <col min="9215" max="9215" width="13.552380952381" style="593" customWidth="1"/>
    <col min="9216" max="9216" width="5.43809523809524" style="593" customWidth="1"/>
    <col min="9217" max="9217" width="11.3333333333333" style="593" customWidth="1"/>
    <col min="9218" max="9218" width="5.66666666666667" style="593" customWidth="1"/>
    <col min="9219" max="9219" width="12" style="593" customWidth="1"/>
    <col min="9220" max="9220" width="15.4380952380952" style="593" customWidth="1"/>
    <col min="9221" max="9222" width="15.1047619047619" style="593" customWidth="1"/>
    <col min="9223" max="9223" width="14.3333333333333" style="593" customWidth="1"/>
    <col min="9224" max="9224" width="3.1047619047619" style="593" customWidth="1"/>
    <col min="9225" max="9225" width="6.43809523809524" style="593" customWidth="1"/>
    <col min="9226" max="9465" width="8.88571428571429" style="593"/>
    <col min="9466" max="9466" width="5.55238095238095" style="593" customWidth="1"/>
    <col min="9467" max="9467" width="9.33333333333333" style="593" customWidth="1"/>
    <col min="9468" max="9468" width="24.6666666666667" style="593" customWidth="1"/>
    <col min="9469" max="9469" width="11" style="593" customWidth="1"/>
    <col min="9470" max="9470" width="7.55238095238095" style="593" customWidth="1"/>
    <col min="9471" max="9471" width="13.552380952381" style="593" customWidth="1"/>
    <col min="9472" max="9472" width="5.43809523809524" style="593" customWidth="1"/>
    <col min="9473" max="9473" width="11.3333333333333" style="593" customWidth="1"/>
    <col min="9474" max="9474" width="5.66666666666667" style="593" customWidth="1"/>
    <col min="9475" max="9475" width="12" style="593" customWidth="1"/>
    <col min="9476" max="9476" width="15.4380952380952" style="593" customWidth="1"/>
    <col min="9477" max="9478" width="15.1047619047619" style="593" customWidth="1"/>
    <col min="9479" max="9479" width="14.3333333333333" style="593" customWidth="1"/>
    <col min="9480" max="9480" width="3.1047619047619" style="593" customWidth="1"/>
    <col min="9481" max="9481" width="6.43809523809524" style="593" customWidth="1"/>
    <col min="9482" max="9721" width="8.88571428571429" style="593"/>
    <col min="9722" max="9722" width="5.55238095238095" style="593" customWidth="1"/>
    <col min="9723" max="9723" width="9.33333333333333" style="593" customWidth="1"/>
    <col min="9724" max="9724" width="24.6666666666667" style="593" customWidth="1"/>
    <col min="9725" max="9725" width="11" style="593" customWidth="1"/>
    <col min="9726" max="9726" width="7.55238095238095" style="593" customWidth="1"/>
    <col min="9727" max="9727" width="13.552380952381" style="593" customWidth="1"/>
    <col min="9728" max="9728" width="5.43809523809524" style="593" customWidth="1"/>
    <col min="9729" max="9729" width="11.3333333333333" style="593" customWidth="1"/>
    <col min="9730" max="9730" width="5.66666666666667" style="593" customWidth="1"/>
    <col min="9731" max="9731" width="12" style="593" customWidth="1"/>
    <col min="9732" max="9732" width="15.4380952380952" style="593" customWidth="1"/>
    <col min="9733" max="9734" width="15.1047619047619" style="593" customWidth="1"/>
    <col min="9735" max="9735" width="14.3333333333333" style="593" customWidth="1"/>
    <col min="9736" max="9736" width="3.1047619047619" style="593" customWidth="1"/>
    <col min="9737" max="9737" width="6.43809523809524" style="593" customWidth="1"/>
    <col min="9738" max="9977" width="8.88571428571429" style="593"/>
    <col min="9978" max="9978" width="5.55238095238095" style="593" customWidth="1"/>
    <col min="9979" max="9979" width="9.33333333333333" style="593" customWidth="1"/>
    <col min="9980" max="9980" width="24.6666666666667" style="593" customWidth="1"/>
    <col min="9981" max="9981" width="11" style="593" customWidth="1"/>
    <col min="9982" max="9982" width="7.55238095238095" style="593" customWidth="1"/>
    <col min="9983" max="9983" width="13.552380952381" style="593" customWidth="1"/>
    <col min="9984" max="9984" width="5.43809523809524" style="593" customWidth="1"/>
    <col min="9985" max="9985" width="11.3333333333333" style="593" customWidth="1"/>
    <col min="9986" max="9986" width="5.66666666666667" style="593" customWidth="1"/>
    <col min="9987" max="9987" width="12" style="593" customWidth="1"/>
    <col min="9988" max="9988" width="15.4380952380952" style="593" customWidth="1"/>
    <col min="9989" max="9990" width="15.1047619047619" style="593" customWidth="1"/>
    <col min="9991" max="9991" width="14.3333333333333" style="593" customWidth="1"/>
    <col min="9992" max="9992" width="3.1047619047619" style="593" customWidth="1"/>
    <col min="9993" max="9993" width="6.43809523809524" style="593" customWidth="1"/>
    <col min="9994" max="10233" width="8.88571428571429" style="593"/>
    <col min="10234" max="10234" width="5.55238095238095" style="593" customWidth="1"/>
    <col min="10235" max="10235" width="9.33333333333333" style="593" customWidth="1"/>
    <col min="10236" max="10236" width="24.6666666666667" style="593" customWidth="1"/>
    <col min="10237" max="10237" width="11" style="593" customWidth="1"/>
    <col min="10238" max="10238" width="7.55238095238095" style="593" customWidth="1"/>
    <col min="10239" max="10239" width="13.552380952381" style="593" customWidth="1"/>
    <col min="10240" max="10240" width="5.43809523809524" style="593" customWidth="1"/>
    <col min="10241" max="10241" width="11.3333333333333" style="593" customWidth="1"/>
    <col min="10242" max="10242" width="5.66666666666667" style="593" customWidth="1"/>
    <col min="10243" max="10243" width="12" style="593" customWidth="1"/>
    <col min="10244" max="10244" width="15.4380952380952" style="593" customWidth="1"/>
    <col min="10245" max="10246" width="15.1047619047619" style="593" customWidth="1"/>
    <col min="10247" max="10247" width="14.3333333333333" style="593" customWidth="1"/>
    <col min="10248" max="10248" width="3.1047619047619" style="593" customWidth="1"/>
    <col min="10249" max="10249" width="6.43809523809524" style="593" customWidth="1"/>
    <col min="10250" max="10489" width="8.88571428571429" style="593"/>
    <col min="10490" max="10490" width="5.55238095238095" style="593" customWidth="1"/>
    <col min="10491" max="10491" width="9.33333333333333" style="593" customWidth="1"/>
    <col min="10492" max="10492" width="24.6666666666667" style="593" customWidth="1"/>
    <col min="10493" max="10493" width="11" style="593" customWidth="1"/>
    <col min="10494" max="10494" width="7.55238095238095" style="593" customWidth="1"/>
    <col min="10495" max="10495" width="13.552380952381" style="593" customWidth="1"/>
    <col min="10496" max="10496" width="5.43809523809524" style="593" customWidth="1"/>
    <col min="10497" max="10497" width="11.3333333333333" style="593" customWidth="1"/>
    <col min="10498" max="10498" width="5.66666666666667" style="593" customWidth="1"/>
    <col min="10499" max="10499" width="12" style="593" customWidth="1"/>
    <col min="10500" max="10500" width="15.4380952380952" style="593" customWidth="1"/>
    <col min="10501" max="10502" width="15.1047619047619" style="593" customWidth="1"/>
    <col min="10503" max="10503" width="14.3333333333333" style="593" customWidth="1"/>
    <col min="10504" max="10504" width="3.1047619047619" style="593" customWidth="1"/>
    <col min="10505" max="10505" width="6.43809523809524" style="593" customWidth="1"/>
    <col min="10506" max="10745" width="8.88571428571429" style="593"/>
    <col min="10746" max="10746" width="5.55238095238095" style="593" customWidth="1"/>
    <col min="10747" max="10747" width="9.33333333333333" style="593" customWidth="1"/>
    <col min="10748" max="10748" width="24.6666666666667" style="593" customWidth="1"/>
    <col min="10749" max="10749" width="11" style="593" customWidth="1"/>
    <col min="10750" max="10750" width="7.55238095238095" style="593" customWidth="1"/>
    <col min="10751" max="10751" width="13.552380952381" style="593" customWidth="1"/>
    <col min="10752" max="10752" width="5.43809523809524" style="593" customWidth="1"/>
    <col min="10753" max="10753" width="11.3333333333333" style="593" customWidth="1"/>
    <col min="10754" max="10754" width="5.66666666666667" style="593" customWidth="1"/>
    <col min="10755" max="10755" width="12" style="593" customWidth="1"/>
    <col min="10756" max="10756" width="15.4380952380952" style="593" customWidth="1"/>
    <col min="10757" max="10758" width="15.1047619047619" style="593" customWidth="1"/>
    <col min="10759" max="10759" width="14.3333333333333" style="593" customWidth="1"/>
    <col min="10760" max="10760" width="3.1047619047619" style="593" customWidth="1"/>
    <col min="10761" max="10761" width="6.43809523809524" style="593" customWidth="1"/>
    <col min="10762" max="11001" width="8.88571428571429" style="593"/>
    <col min="11002" max="11002" width="5.55238095238095" style="593" customWidth="1"/>
    <col min="11003" max="11003" width="9.33333333333333" style="593" customWidth="1"/>
    <col min="11004" max="11004" width="24.6666666666667" style="593" customWidth="1"/>
    <col min="11005" max="11005" width="11" style="593" customWidth="1"/>
    <col min="11006" max="11006" width="7.55238095238095" style="593" customWidth="1"/>
    <col min="11007" max="11007" width="13.552380952381" style="593" customWidth="1"/>
    <col min="11008" max="11008" width="5.43809523809524" style="593" customWidth="1"/>
    <col min="11009" max="11009" width="11.3333333333333" style="593" customWidth="1"/>
    <col min="11010" max="11010" width="5.66666666666667" style="593" customWidth="1"/>
    <col min="11011" max="11011" width="12" style="593" customWidth="1"/>
    <col min="11012" max="11012" width="15.4380952380952" style="593" customWidth="1"/>
    <col min="11013" max="11014" width="15.1047619047619" style="593" customWidth="1"/>
    <col min="11015" max="11015" width="14.3333333333333" style="593" customWidth="1"/>
    <col min="11016" max="11016" width="3.1047619047619" style="593" customWidth="1"/>
    <col min="11017" max="11017" width="6.43809523809524" style="593" customWidth="1"/>
    <col min="11018" max="11257" width="8.88571428571429" style="593"/>
    <col min="11258" max="11258" width="5.55238095238095" style="593" customWidth="1"/>
    <col min="11259" max="11259" width="9.33333333333333" style="593" customWidth="1"/>
    <col min="11260" max="11260" width="24.6666666666667" style="593" customWidth="1"/>
    <col min="11261" max="11261" width="11" style="593" customWidth="1"/>
    <col min="11262" max="11262" width="7.55238095238095" style="593" customWidth="1"/>
    <col min="11263" max="11263" width="13.552380952381" style="593" customWidth="1"/>
    <col min="11264" max="11264" width="5.43809523809524" style="593" customWidth="1"/>
    <col min="11265" max="11265" width="11.3333333333333" style="593" customWidth="1"/>
    <col min="11266" max="11266" width="5.66666666666667" style="593" customWidth="1"/>
    <col min="11267" max="11267" width="12" style="593" customWidth="1"/>
    <col min="11268" max="11268" width="15.4380952380952" style="593" customWidth="1"/>
    <col min="11269" max="11270" width="15.1047619047619" style="593" customWidth="1"/>
    <col min="11271" max="11271" width="14.3333333333333" style="593" customWidth="1"/>
    <col min="11272" max="11272" width="3.1047619047619" style="593" customWidth="1"/>
    <col min="11273" max="11273" width="6.43809523809524" style="593" customWidth="1"/>
    <col min="11274" max="11513" width="8.88571428571429" style="593"/>
    <col min="11514" max="11514" width="5.55238095238095" style="593" customWidth="1"/>
    <col min="11515" max="11515" width="9.33333333333333" style="593" customWidth="1"/>
    <col min="11516" max="11516" width="24.6666666666667" style="593" customWidth="1"/>
    <col min="11517" max="11517" width="11" style="593" customWidth="1"/>
    <col min="11518" max="11518" width="7.55238095238095" style="593" customWidth="1"/>
    <col min="11519" max="11519" width="13.552380952381" style="593" customWidth="1"/>
    <col min="11520" max="11520" width="5.43809523809524" style="593" customWidth="1"/>
    <col min="11521" max="11521" width="11.3333333333333" style="593" customWidth="1"/>
    <col min="11522" max="11522" width="5.66666666666667" style="593" customWidth="1"/>
    <col min="11523" max="11523" width="12" style="593" customWidth="1"/>
    <col min="11524" max="11524" width="15.4380952380952" style="593" customWidth="1"/>
    <col min="11525" max="11526" width="15.1047619047619" style="593" customWidth="1"/>
    <col min="11527" max="11527" width="14.3333333333333" style="593" customWidth="1"/>
    <col min="11528" max="11528" width="3.1047619047619" style="593" customWidth="1"/>
    <col min="11529" max="11529" width="6.43809523809524" style="593" customWidth="1"/>
    <col min="11530" max="11769" width="8.88571428571429" style="593"/>
    <col min="11770" max="11770" width="5.55238095238095" style="593" customWidth="1"/>
    <col min="11771" max="11771" width="9.33333333333333" style="593" customWidth="1"/>
    <col min="11772" max="11772" width="24.6666666666667" style="593" customWidth="1"/>
    <col min="11773" max="11773" width="11" style="593" customWidth="1"/>
    <col min="11774" max="11774" width="7.55238095238095" style="593" customWidth="1"/>
    <col min="11775" max="11775" width="13.552380952381" style="593" customWidth="1"/>
    <col min="11776" max="11776" width="5.43809523809524" style="593" customWidth="1"/>
    <col min="11777" max="11777" width="11.3333333333333" style="593" customWidth="1"/>
    <col min="11778" max="11778" width="5.66666666666667" style="593" customWidth="1"/>
    <col min="11779" max="11779" width="12" style="593" customWidth="1"/>
    <col min="11780" max="11780" width="15.4380952380952" style="593" customWidth="1"/>
    <col min="11781" max="11782" width="15.1047619047619" style="593" customWidth="1"/>
    <col min="11783" max="11783" width="14.3333333333333" style="593" customWidth="1"/>
    <col min="11784" max="11784" width="3.1047619047619" style="593" customWidth="1"/>
    <col min="11785" max="11785" width="6.43809523809524" style="593" customWidth="1"/>
    <col min="11786" max="12025" width="8.88571428571429" style="593"/>
    <col min="12026" max="12026" width="5.55238095238095" style="593" customWidth="1"/>
    <col min="12027" max="12027" width="9.33333333333333" style="593" customWidth="1"/>
    <col min="12028" max="12028" width="24.6666666666667" style="593" customWidth="1"/>
    <col min="12029" max="12029" width="11" style="593" customWidth="1"/>
    <col min="12030" max="12030" width="7.55238095238095" style="593" customWidth="1"/>
    <col min="12031" max="12031" width="13.552380952381" style="593" customWidth="1"/>
    <col min="12032" max="12032" width="5.43809523809524" style="593" customWidth="1"/>
    <col min="12033" max="12033" width="11.3333333333333" style="593" customWidth="1"/>
    <col min="12034" max="12034" width="5.66666666666667" style="593" customWidth="1"/>
    <col min="12035" max="12035" width="12" style="593" customWidth="1"/>
    <col min="12036" max="12036" width="15.4380952380952" style="593" customWidth="1"/>
    <col min="12037" max="12038" width="15.1047619047619" style="593" customWidth="1"/>
    <col min="12039" max="12039" width="14.3333333333333" style="593" customWidth="1"/>
    <col min="12040" max="12040" width="3.1047619047619" style="593" customWidth="1"/>
    <col min="12041" max="12041" width="6.43809523809524" style="593" customWidth="1"/>
    <col min="12042" max="12281" width="8.88571428571429" style="593"/>
    <col min="12282" max="12282" width="5.55238095238095" style="593" customWidth="1"/>
    <col min="12283" max="12283" width="9.33333333333333" style="593" customWidth="1"/>
    <col min="12284" max="12284" width="24.6666666666667" style="593" customWidth="1"/>
    <col min="12285" max="12285" width="11" style="593" customWidth="1"/>
    <col min="12286" max="12286" width="7.55238095238095" style="593" customWidth="1"/>
    <col min="12287" max="12287" width="13.552380952381" style="593" customWidth="1"/>
    <col min="12288" max="12288" width="5.43809523809524" style="593" customWidth="1"/>
    <col min="12289" max="12289" width="11.3333333333333" style="593" customWidth="1"/>
    <col min="12290" max="12290" width="5.66666666666667" style="593" customWidth="1"/>
    <col min="12291" max="12291" width="12" style="593" customWidth="1"/>
    <col min="12292" max="12292" width="15.4380952380952" style="593" customWidth="1"/>
    <col min="12293" max="12294" width="15.1047619047619" style="593" customWidth="1"/>
    <col min="12295" max="12295" width="14.3333333333333" style="593" customWidth="1"/>
    <col min="12296" max="12296" width="3.1047619047619" style="593" customWidth="1"/>
    <col min="12297" max="12297" width="6.43809523809524" style="593" customWidth="1"/>
    <col min="12298" max="12537" width="8.88571428571429" style="593"/>
    <col min="12538" max="12538" width="5.55238095238095" style="593" customWidth="1"/>
    <col min="12539" max="12539" width="9.33333333333333" style="593" customWidth="1"/>
    <col min="12540" max="12540" width="24.6666666666667" style="593" customWidth="1"/>
    <col min="12541" max="12541" width="11" style="593" customWidth="1"/>
    <col min="12542" max="12542" width="7.55238095238095" style="593" customWidth="1"/>
    <col min="12543" max="12543" width="13.552380952381" style="593" customWidth="1"/>
    <col min="12544" max="12544" width="5.43809523809524" style="593" customWidth="1"/>
    <col min="12545" max="12545" width="11.3333333333333" style="593" customWidth="1"/>
    <col min="12546" max="12546" width="5.66666666666667" style="593" customWidth="1"/>
    <col min="12547" max="12547" width="12" style="593" customWidth="1"/>
    <col min="12548" max="12548" width="15.4380952380952" style="593" customWidth="1"/>
    <col min="12549" max="12550" width="15.1047619047619" style="593" customWidth="1"/>
    <col min="12551" max="12551" width="14.3333333333333" style="593" customWidth="1"/>
    <col min="12552" max="12552" width="3.1047619047619" style="593" customWidth="1"/>
    <col min="12553" max="12553" width="6.43809523809524" style="593" customWidth="1"/>
    <col min="12554" max="12793" width="8.88571428571429" style="593"/>
    <col min="12794" max="12794" width="5.55238095238095" style="593" customWidth="1"/>
    <col min="12795" max="12795" width="9.33333333333333" style="593" customWidth="1"/>
    <col min="12796" max="12796" width="24.6666666666667" style="593" customWidth="1"/>
    <col min="12797" max="12797" width="11" style="593" customWidth="1"/>
    <col min="12798" max="12798" width="7.55238095238095" style="593" customWidth="1"/>
    <col min="12799" max="12799" width="13.552380952381" style="593" customWidth="1"/>
    <col min="12800" max="12800" width="5.43809523809524" style="593" customWidth="1"/>
    <col min="12801" max="12801" width="11.3333333333333" style="593" customWidth="1"/>
    <col min="12802" max="12802" width="5.66666666666667" style="593" customWidth="1"/>
    <col min="12803" max="12803" width="12" style="593" customWidth="1"/>
    <col min="12804" max="12804" width="15.4380952380952" style="593" customWidth="1"/>
    <col min="12805" max="12806" width="15.1047619047619" style="593" customWidth="1"/>
    <col min="12807" max="12807" width="14.3333333333333" style="593" customWidth="1"/>
    <col min="12808" max="12808" width="3.1047619047619" style="593" customWidth="1"/>
    <col min="12809" max="12809" width="6.43809523809524" style="593" customWidth="1"/>
    <col min="12810" max="13049" width="8.88571428571429" style="593"/>
    <col min="13050" max="13050" width="5.55238095238095" style="593" customWidth="1"/>
    <col min="13051" max="13051" width="9.33333333333333" style="593" customWidth="1"/>
    <col min="13052" max="13052" width="24.6666666666667" style="593" customWidth="1"/>
    <col min="13053" max="13053" width="11" style="593" customWidth="1"/>
    <col min="13054" max="13054" width="7.55238095238095" style="593" customWidth="1"/>
    <col min="13055" max="13055" width="13.552380952381" style="593" customWidth="1"/>
    <col min="13056" max="13056" width="5.43809523809524" style="593" customWidth="1"/>
    <col min="13057" max="13057" width="11.3333333333333" style="593" customWidth="1"/>
    <col min="13058" max="13058" width="5.66666666666667" style="593" customWidth="1"/>
    <col min="13059" max="13059" width="12" style="593" customWidth="1"/>
    <col min="13060" max="13060" width="15.4380952380952" style="593" customWidth="1"/>
    <col min="13061" max="13062" width="15.1047619047619" style="593" customWidth="1"/>
    <col min="13063" max="13063" width="14.3333333333333" style="593" customWidth="1"/>
    <col min="13064" max="13064" width="3.1047619047619" style="593" customWidth="1"/>
    <col min="13065" max="13065" width="6.43809523809524" style="593" customWidth="1"/>
    <col min="13066" max="13305" width="8.88571428571429" style="593"/>
    <col min="13306" max="13306" width="5.55238095238095" style="593" customWidth="1"/>
    <col min="13307" max="13307" width="9.33333333333333" style="593" customWidth="1"/>
    <col min="13308" max="13308" width="24.6666666666667" style="593" customWidth="1"/>
    <col min="13309" max="13309" width="11" style="593" customWidth="1"/>
    <col min="13310" max="13310" width="7.55238095238095" style="593" customWidth="1"/>
    <col min="13311" max="13311" width="13.552380952381" style="593" customWidth="1"/>
    <col min="13312" max="13312" width="5.43809523809524" style="593" customWidth="1"/>
    <col min="13313" max="13313" width="11.3333333333333" style="593" customWidth="1"/>
    <col min="13314" max="13314" width="5.66666666666667" style="593" customWidth="1"/>
    <col min="13315" max="13315" width="12" style="593" customWidth="1"/>
    <col min="13316" max="13316" width="15.4380952380952" style="593" customWidth="1"/>
    <col min="13317" max="13318" width="15.1047619047619" style="593" customWidth="1"/>
    <col min="13319" max="13319" width="14.3333333333333" style="593" customWidth="1"/>
    <col min="13320" max="13320" width="3.1047619047619" style="593" customWidth="1"/>
    <col min="13321" max="13321" width="6.43809523809524" style="593" customWidth="1"/>
    <col min="13322" max="13561" width="8.88571428571429" style="593"/>
    <col min="13562" max="13562" width="5.55238095238095" style="593" customWidth="1"/>
    <col min="13563" max="13563" width="9.33333333333333" style="593" customWidth="1"/>
    <col min="13564" max="13564" width="24.6666666666667" style="593" customWidth="1"/>
    <col min="13565" max="13565" width="11" style="593" customWidth="1"/>
    <col min="13566" max="13566" width="7.55238095238095" style="593" customWidth="1"/>
    <col min="13567" max="13567" width="13.552380952381" style="593" customWidth="1"/>
    <col min="13568" max="13568" width="5.43809523809524" style="593" customWidth="1"/>
    <col min="13569" max="13569" width="11.3333333333333" style="593" customWidth="1"/>
    <col min="13570" max="13570" width="5.66666666666667" style="593" customWidth="1"/>
    <col min="13571" max="13571" width="12" style="593" customWidth="1"/>
    <col min="13572" max="13572" width="15.4380952380952" style="593" customWidth="1"/>
    <col min="13573" max="13574" width="15.1047619047619" style="593" customWidth="1"/>
    <col min="13575" max="13575" width="14.3333333333333" style="593" customWidth="1"/>
    <col min="13576" max="13576" width="3.1047619047619" style="593" customWidth="1"/>
    <col min="13577" max="13577" width="6.43809523809524" style="593" customWidth="1"/>
    <col min="13578" max="13817" width="8.88571428571429" style="593"/>
    <col min="13818" max="13818" width="5.55238095238095" style="593" customWidth="1"/>
    <col min="13819" max="13819" width="9.33333333333333" style="593" customWidth="1"/>
    <col min="13820" max="13820" width="24.6666666666667" style="593" customWidth="1"/>
    <col min="13821" max="13821" width="11" style="593" customWidth="1"/>
    <col min="13822" max="13822" width="7.55238095238095" style="593" customWidth="1"/>
    <col min="13823" max="13823" width="13.552380952381" style="593" customWidth="1"/>
    <col min="13824" max="13824" width="5.43809523809524" style="593" customWidth="1"/>
    <col min="13825" max="13825" width="11.3333333333333" style="593" customWidth="1"/>
    <col min="13826" max="13826" width="5.66666666666667" style="593" customWidth="1"/>
    <col min="13827" max="13827" width="12" style="593" customWidth="1"/>
    <col min="13828" max="13828" width="15.4380952380952" style="593" customWidth="1"/>
    <col min="13829" max="13830" width="15.1047619047619" style="593" customWidth="1"/>
    <col min="13831" max="13831" width="14.3333333333333" style="593" customWidth="1"/>
    <col min="13832" max="13832" width="3.1047619047619" style="593" customWidth="1"/>
    <col min="13833" max="13833" width="6.43809523809524" style="593" customWidth="1"/>
    <col min="13834" max="14073" width="8.88571428571429" style="593"/>
    <col min="14074" max="14074" width="5.55238095238095" style="593" customWidth="1"/>
    <col min="14075" max="14075" width="9.33333333333333" style="593" customWidth="1"/>
    <col min="14076" max="14076" width="24.6666666666667" style="593" customWidth="1"/>
    <col min="14077" max="14077" width="11" style="593" customWidth="1"/>
    <col min="14078" max="14078" width="7.55238095238095" style="593" customWidth="1"/>
    <col min="14079" max="14079" width="13.552380952381" style="593" customWidth="1"/>
    <col min="14080" max="14080" width="5.43809523809524" style="593" customWidth="1"/>
    <col min="14081" max="14081" width="11.3333333333333" style="593" customWidth="1"/>
    <col min="14082" max="14082" width="5.66666666666667" style="593" customWidth="1"/>
    <col min="14083" max="14083" width="12" style="593" customWidth="1"/>
    <col min="14084" max="14084" width="15.4380952380952" style="593" customWidth="1"/>
    <col min="14085" max="14086" width="15.1047619047619" style="593" customWidth="1"/>
    <col min="14087" max="14087" width="14.3333333333333" style="593" customWidth="1"/>
    <col min="14088" max="14088" width="3.1047619047619" style="593" customWidth="1"/>
    <col min="14089" max="14089" width="6.43809523809524" style="593" customWidth="1"/>
    <col min="14090" max="14329" width="8.88571428571429" style="593"/>
    <col min="14330" max="14330" width="5.55238095238095" style="593" customWidth="1"/>
    <col min="14331" max="14331" width="9.33333333333333" style="593" customWidth="1"/>
    <col min="14332" max="14332" width="24.6666666666667" style="593" customWidth="1"/>
    <col min="14333" max="14333" width="11" style="593" customWidth="1"/>
    <col min="14334" max="14334" width="7.55238095238095" style="593" customWidth="1"/>
    <col min="14335" max="14335" width="13.552380952381" style="593" customWidth="1"/>
    <col min="14336" max="14336" width="5.43809523809524" style="593" customWidth="1"/>
    <col min="14337" max="14337" width="11.3333333333333" style="593" customWidth="1"/>
    <col min="14338" max="14338" width="5.66666666666667" style="593" customWidth="1"/>
    <col min="14339" max="14339" width="12" style="593" customWidth="1"/>
    <col min="14340" max="14340" width="15.4380952380952" style="593" customWidth="1"/>
    <col min="14341" max="14342" width="15.1047619047619" style="593" customWidth="1"/>
    <col min="14343" max="14343" width="14.3333333333333" style="593" customWidth="1"/>
    <col min="14344" max="14344" width="3.1047619047619" style="593" customWidth="1"/>
    <col min="14345" max="14345" width="6.43809523809524" style="593" customWidth="1"/>
    <col min="14346" max="14585" width="8.88571428571429" style="593"/>
    <col min="14586" max="14586" width="5.55238095238095" style="593" customWidth="1"/>
    <col min="14587" max="14587" width="9.33333333333333" style="593" customWidth="1"/>
    <col min="14588" max="14588" width="24.6666666666667" style="593" customWidth="1"/>
    <col min="14589" max="14589" width="11" style="593" customWidth="1"/>
    <col min="14590" max="14590" width="7.55238095238095" style="593" customWidth="1"/>
    <col min="14591" max="14591" width="13.552380952381" style="593" customWidth="1"/>
    <col min="14592" max="14592" width="5.43809523809524" style="593" customWidth="1"/>
    <col min="14593" max="14593" width="11.3333333333333" style="593" customWidth="1"/>
    <col min="14594" max="14594" width="5.66666666666667" style="593" customWidth="1"/>
    <col min="14595" max="14595" width="12" style="593" customWidth="1"/>
    <col min="14596" max="14596" width="15.4380952380952" style="593" customWidth="1"/>
    <col min="14597" max="14598" width="15.1047619047619" style="593" customWidth="1"/>
    <col min="14599" max="14599" width="14.3333333333333" style="593" customWidth="1"/>
    <col min="14600" max="14600" width="3.1047619047619" style="593" customWidth="1"/>
    <col min="14601" max="14601" width="6.43809523809524" style="593" customWidth="1"/>
    <col min="14602" max="14841" width="8.88571428571429" style="593"/>
    <col min="14842" max="14842" width="5.55238095238095" style="593" customWidth="1"/>
    <col min="14843" max="14843" width="9.33333333333333" style="593" customWidth="1"/>
    <col min="14844" max="14844" width="24.6666666666667" style="593" customWidth="1"/>
    <col min="14845" max="14845" width="11" style="593" customWidth="1"/>
    <col min="14846" max="14846" width="7.55238095238095" style="593" customWidth="1"/>
    <col min="14847" max="14847" width="13.552380952381" style="593" customWidth="1"/>
    <col min="14848" max="14848" width="5.43809523809524" style="593" customWidth="1"/>
    <col min="14849" max="14849" width="11.3333333333333" style="593" customWidth="1"/>
    <col min="14850" max="14850" width="5.66666666666667" style="593" customWidth="1"/>
    <col min="14851" max="14851" width="12" style="593" customWidth="1"/>
    <col min="14852" max="14852" width="15.4380952380952" style="593" customWidth="1"/>
    <col min="14853" max="14854" width="15.1047619047619" style="593" customWidth="1"/>
    <col min="14855" max="14855" width="14.3333333333333" style="593" customWidth="1"/>
    <col min="14856" max="14856" width="3.1047619047619" style="593" customWidth="1"/>
    <col min="14857" max="14857" width="6.43809523809524" style="593" customWidth="1"/>
    <col min="14858" max="15097" width="8.88571428571429" style="593"/>
    <col min="15098" max="15098" width="5.55238095238095" style="593" customWidth="1"/>
    <col min="15099" max="15099" width="9.33333333333333" style="593" customWidth="1"/>
    <col min="15100" max="15100" width="24.6666666666667" style="593" customWidth="1"/>
    <col min="15101" max="15101" width="11" style="593" customWidth="1"/>
    <col min="15102" max="15102" width="7.55238095238095" style="593" customWidth="1"/>
    <col min="15103" max="15103" width="13.552380952381" style="593" customWidth="1"/>
    <col min="15104" max="15104" width="5.43809523809524" style="593" customWidth="1"/>
    <col min="15105" max="15105" width="11.3333333333333" style="593" customWidth="1"/>
    <col min="15106" max="15106" width="5.66666666666667" style="593" customWidth="1"/>
    <col min="15107" max="15107" width="12" style="593" customWidth="1"/>
    <col min="15108" max="15108" width="15.4380952380952" style="593" customWidth="1"/>
    <col min="15109" max="15110" width="15.1047619047619" style="593" customWidth="1"/>
    <col min="15111" max="15111" width="14.3333333333333" style="593" customWidth="1"/>
    <col min="15112" max="15112" width="3.1047619047619" style="593" customWidth="1"/>
    <col min="15113" max="15113" width="6.43809523809524" style="593" customWidth="1"/>
    <col min="15114" max="15353" width="8.88571428571429" style="593"/>
    <col min="15354" max="15354" width="5.55238095238095" style="593" customWidth="1"/>
    <col min="15355" max="15355" width="9.33333333333333" style="593" customWidth="1"/>
    <col min="15356" max="15356" width="24.6666666666667" style="593" customWidth="1"/>
    <col min="15357" max="15357" width="11" style="593" customWidth="1"/>
    <col min="15358" max="15358" width="7.55238095238095" style="593" customWidth="1"/>
    <col min="15359" max="15359" width="13.552380952381" style="593" customWidth="1"/>
    <col min="15360" max="15360" width="5.43809523809524" style="593" customWidth="1"/>
    <col min="15361" max="15361" width="11.3333333333333" style="593" customWidth="1"/>
    <col min="15362" max="15362" width="5.66666666666667" style="593" customWidth="1"/>
    <col min="15363" max="15363" width="12" style="593" customWidth="1"/>
    <col min="15364" max="15364" width="15.4380952380952" style="593" customWidth="1"/>
    <col min="15365" max="15366" width="15.1047619047619" style="593" customWidth="1"/>
    <col min="15367" max="15367" width="14.3333333333333" style="593" customWidth="1"/>
    <col min="15368" max="15368" width="3.1047619047619" style="593" customWidth="1"/>
    <col min="15369" max="15369" width="6.43809523809524" style="593" customWidth="1"/>
    <col min="15370" max="15609" width="8.88571428571429" style="593"/>
    <col min="15610" max="15610" width="5.55238095238095" style="593" customWidth="1"/>
    <col min="15611" max="15611" width="9.33333333333333" style="593" customWidth="1"/>
    <col min="15612" max="15612" width="24.6666666666667" style="593" customWidth="1"/>
    <col min="15613" max="15613" width="11" style="593" customWidth="1"/>
    <col min="15614" max="15614" width="7.55238095238095" style="593" customWidth="1"/>
    <col min="15615" max="15615" width="13.552380952381" style="593" customWidth="1"/>
    <col min="15616" max="15616" width="5.43809523809524" style="593" customWidth="1"/>
    <col min="15617" max="15617" width="11.3333333333333" style="593" customWidth="1"/>
    <col min="15618" max="15618" width="5.66666666666667" style="593" customWidth="1"/>
    <col min="15619" max="15619" width="12" style="593" customWidth="1"/>
    <col min="15620" max="15620" width="15.4380952380952" style="593" customWidth="1"/>
    <col min="15621" max="15622" width="15.1047619047619" style="593" customWidth="1"/>
    <col min="15623" max="15623" width="14.3333333333333" style="593" customWidth="1"/>
    <col min="15624" max="15624" width="3.1047619047619" style="593" customWidth="1"/>
    <col min="15625" max="15625" width="6.43809523809524" style="593" customWidth="1"/>
    <col min="15626" max="15865" width="8.88571428571429" style="593"/>
    <col min="15866" max="15866" width="5.55238095238095" style="593" customWidth="1"/>
    <col min="15867" max="15867" width="9.33333333333333" style="593" customWidth="1"/>
    <col min="15868" max="15868" width="24.6666666666667" style="593" customWidth="1"/>
    <col min="15869" max="15869" width="11" style="593" customWidth="1"/>
    <col min="15870" max="15870" width="7.55238095238095" style="593" customWidth="1"/>
    <col min="15871" max="15871" width="13.552380952381" style="593" customWidth="1"/>
    <col min="15872" max="15872" width="5.43809523809524" style="593" customWidth="1"/>
    <col min="15873" max="15873" width="11.3333333333333" style="593" customWidth="1"/>
    <col min="15874" max="15874" width="5.66666666666667" style="593" customWidth="1"/>
    <col min="15875" max="15875" width="12" style="593" customWidth="1"/>
    <col min="15876" max="15876" width="15.4380952380952" style="593" customWidth="1"/>
    <col min="15877" max="15878" width="15.1047619047619" style="593" customWidth="1"/>
    <col min="15879" max="15879" width="14.3333333333333" style="593" customWidth="1"/>
    <col min="15880" max="15880" width="3.1047619047619" style="593" customWidth="1"/>
    <col min="15881" max="15881" width="6.43809523809524" style="593" customWidth="1"/>
    <col min="15882" max="16121" width="8.88571428571429" style="593"/>
    <col min="16122" max="16122" width="5.55238095238095" style="593" customWidth="1"/>
    <col min="16123" max="16123" width="9.33333333333333" style="593" customWidth="1"/>
    <col min="16124" max="16124" width="24.6666666666667" style="593" customWidth="1"/>
    <col min="16125" max="16125" width="11" style="593" customWidth="1"/>
    <col min="16126" max="16126" width="7.55238095238095" style="593" customWidth="1"/>
    <col min="16127" max="16127" width="13.552380952381" style="593" customWidth="1"/>
    <col min="16128" max="16128" width="5.43809523809524" style="593" customWidth="1"/>
    <col min="16129" max="16129" width="11.3333333333333" style="593" customWidth="1"/>
    <col min="16130" max="16130" width="5.66666666666667" style="593" customWidth="1"/>
    <col min="16131" max="16131" width="12" style="593" customWidth="1"/>
    <col min="16132" max="16132" width="15.4380952380952" style="593" customWidth="1"/>
    <col min="16133" max="16134" width="15.1047619047619" style="593" customWidth="1"/>
    <col min="16135" max="16135" width="14.3333333333333" style="593" customWidth="1"/>
    <col min="16136" max="16136" width="3.1047619047619" style="593" customWidth="1"/>
    <col min="16137" max="16137" width="6.43809523809524" style="593" customWidth="1"/>
    <col min="16138" max="16384" width="8.88571428571429" style="593"/>
  </cols>
  <sheetData>
    <row r="1" ht="31.2" customHeight="1" spans="1:15">
      <c r="A1" s="599" t="s">
        <v>114</v>
      </c>
      <c r="B1" s="599"/>
      <c r="C1" s="599"/>
      <c r="D1" s="599"/>
      <c r="E1" s="599"/>
      <c r="F1" s="599"/>
      <c r="G1" s="599"/>
      <c r="H1" s="599"/>
      <c r="I1" s="599"/>
      <c r="J1" s="599"/>
      <c r="K1" s="599"/>
      <c r="L1" s="599"/>
      <c r="M1" s="599"/>
    </row>
    <row r="2" ht="30" customHeight="1" spans="1:15">
      <c r="A2" s="600" t="s">
        <v>1</v>
      </c>
      <c r="B2" s="601" t="s">
        <v>3</v>
      </c>
      <c r="C2" s="601" t="s">
        <v>4</v>
      </c>
      <c r="D2" s="602" t="s">
        <v>5</v>
      </c>
      <c r="E2" s="602" t="s">
        <v>6</v>
      </c>
      <c r="F2" s="603" t="s">
        <v>115</v>
      </c>
      <c r="G2" s="604" t="s">
        <v>116</v>
      </c>
      <c r="H2" s="605" t="s">
        <v>9</v>
      </c>
      <c r="I2" s="606"/>
      <c r="J2" s="607" t="s">
        <v>10</v>
      </c>
      <c r="K2" s="608" t="s">
        <v>115</v>
      </c>
      <c r="L2" s="609" t="s">
        <v>116</v>
      </c>
      <c r="M2" s="610" t="s">
        <v>9</v>
      </c>
    </row>
    <row r="3" ht="30" customHeight="1" spans="1:15">
      <c r="A3" s="611">
        <v>1</v>
      </c>
      <c r="B3" s="612">
        <v>45753</v>
      </c>
      <c r="C3" s="613" t="s">
        <v>117</v>
      </c>
      <c r="D3" s="614"/>
      <c r="E3" s="615"/>
      <c r="F3" s="616">
        <v>69510300</v>
      </c>
      <c r="G3" s="617"/>
      <c r="H3" s="618">
        <f>F3-G3</f>
        <v>69510300</v>
      </c>
      <c r="I3" s="619"/>
      <c r="J3" s="620">
        <v>78.8549</v>
      </c>
      <c r="K3" s="621">
        <f>F3/J3</f>
        <v>881496.267194556</v>
      </c>
      <c r="L3" s="622"/>
      <c r="M3" s="623">
        <f>K3-L3</f>
        <v>881496.267194556</v>
      </c>
    </row>
    <row r="4" ht="30" customHeight="1" spans="1:15">
      <c r="A4" s="624">
        <v>2</v>
      </c>
      <c r="B4" s="625"/>
      <c r="C4" s="626" t="s">
        <v>118</v>
      </c>
      <c r="D4" s="627">
        <v>9934.05</v>
      </c>
      <c r="E4" s="628">
        <v>6951.03</v>
      </c>
      <c r="F4" s="629"/>
      <c r="G4" s="630">
        <f>D4*E4</f>
        <v>69051879.5715</v>
      </c>
      <c r="H4" s="631">
        <f>F4-G4+H3</f>
        <v>458420.428500012</v>
      </c>
      <c r="I4" s="619"/>
      <c r="J4" s="632">
        <v>88.1496267194556</v>
      </c>
      <c r="K4" s="633"/>
      <c r="L4" s="634">
        <f>D4*J4</f>
        <v>875682.799312408</v>
      </c>
      <c r="M4" s="635">
        <f>K4-L4+M3</f>
        <v>5813.46788214822</v>
      </c>
    </row>
    <row r="5" ht="30" customHeight="1" spans="1:15">
      <c r="A5" s="624">
        <v>3</v>
      </c>
      <c r="B5" s="625"/>
      <c r="C5" s="626"/>
      <c r="D5" s="627"/>
      <c r="E5" s="628"/>
      <c r="F5" s="629"/>
      <c r="G5" s="630"/>
      <c r="H5" s="631">
        <f>F5-G5+H4</f>
        <v>458420.428500012</v>
      </c>
      <c r="I5" s="619"/>
      <c r="J5" s="636"/>
      <c r="K5" s="633"/>
      <c r="L5" s="634"/>
      <c r="M5" s="635">
        <f>K5-L5+M4</f>
        <v>5813.46788214822</v>
      </c>
    </row>
    <row r="6" ht="30" customHeight="1" spans="1:15">
      <c r="A6" s="637">
        <v>4</v>
      </c>
      <c r="B6" s="722" t="s">
        <v>21</v>
      </c>
      <c r="C6" s="723" t="s">
        <v>119</v>
      </c>
      <c r="D6" s="724"/>
      <c r="E6" s="725"/>
      <c r="F6" s="726">
        <v>24391008</v>
      </c>
      <c r="G6" s="727"/>
      <c r="H6" s="631">
        <f>F6-G6+H5</f>
        <v>24849428.4285</v>
      </c>
      <c r="I6" s="619"/>
      <c r="J6" s="644">
        <v>78.4685</v>
      </c>
      <c r="K6" s="645">
        <f>F6/J6</f>
        <v>310838.208962832</v>
      </c>
      <c r="L6" s="646"/>
      <c r="M6" s="635">
        <f>K6-L6+M5</f>
        <v>316651.67684498</v>
      </c>
    </row>
    <row r="7" ht="30" customHeight="1" spans="1:15">
      <c r="A7" s="637">
        <v>5</v>
      </c>
      <c r="B7" s="722">
        <v>45876</v>
      </c>
      <c r="C7" s="723" t="s">
        <v>120</v>
      </c>
      <c r="D7" s="728"/>
      <c r="E7" s="725"/>
      <c r="F7" s="726">
        <v>23984491.2</v>
      </c>
      <c r="G7" s="727"/>
      <c r="H7" s="631">
        <f>F7-G7+H6</f>
        <v>48833919.6285</v>
      </c>
      <c r="I7" s="619"/>
      <c r="J7" s="644">
        <v>78.7185</v>
      </c>
      <c r="K7" s="645">
        <f>F7/J7</f>
        <v>304686.84235599</v>
      </c>
      <c r="L7" s="646"/>
      <c r="M7" s="635">
        <f>K7-L7+M6</f>
        <v>621338.51920097</v>
      </c>
    </row>
    <row r="8" ht="30" customHeight="1" spans="1:15">
      <c r="A8" s="637">
        <v>6</v>
      </c>
      <c r="B8" s="722" t="s">
        <v>24</v>
      </c>
      <c r="C8" s="723" t="s">
        <v>121</v>
      </c>
      <c r="D8" s="724"/>
      <c r="E8" s="725"/>
      <c r="F8" s="726">
        <v>9756403.2</v>
      </c>
      <c r="G8" s="727"/>
      <c r="H8" s="631">
        <f>F8-G8+H7</f>
        <v>58590322.8285</v>
      </c>
      <c r="I8" s="619"/>
      <c r="J8" s="644">
        <v>78.1856</v>
      </c>
      <c r="K8" s="645">
        <f>F8/J8</f>
        <v>124785.167601195</v>
      </c>
      <c r="L8" s="646"/>
      <c r="M8" s="635">
        <f>K8-L8+M7</f>
        <v>746123.686802166</v>
      </c>
    </row>
    <row r="9" ht="30" customHeight="1" spans="1:15">
      <c r="A9" s="624">
        <v>7</v>
      </c>
      <c r="B9" s="722" t="s">
        <v>122</v>
      </c>
      <c r="C9" s="723" t="s">
        <v>123</v>
      </c>
      <c r="D9" s="724"/>
      <c r="E9" s="725"/>
      <c r="F9" s="729">
        <v>9620897.6</v>
      </c>
      <c r="G9" s="727"/>
      <c r="H9" s="631">
        <f>F9-G9+H8</f>
        <v>68211220.4285</v>
      </c>
      <c r="I9" s="619"/>
      <c r="J9" s="644">
        <v>77.9584</v>
      </c>
      <c r="K9" s="645">
        <f>F9/J9</f>
        <v>123410.660044331</v>
      </c>
      <c r="L9" s="646"/>
      <c r="M9" s="635">
        <f>K9-L9+M8</f>
        <v>869534.346846497</v>
      </c>
    </row>
    <row r="10" ht="30" customHeight="1" spans="1:15">
      <c r="A10" s="624">
        <v>8</v>
      </c>
      <c r="B10" s="722"/>
      <c r="C10" s="723" t="s">
        <v>124</v>
      </c>
      <c r="D10" s="724">
        <v>9983.75</v>
      </c>
      <c r="E10" s="725">
        <v>6775.28</v>
      </c>
      <c r="F10" s="730"/>
      <c r="G10" s="727">
        <f>D10*E10</f>
        <v>67642701.7</v>
      </c>
      <c r="H10" s="631">
        <f>F10-G10+H9</f>
        <v>568518.728500009</v>
      </c>
      <c r="I10" s="619"/>
      <c r="J10" s="653">
        <f>L10/D10</f>
        <v>86.9099286340303</v>
      </c>
      <c r="K10" s="645"/>
      <c r="L10" s="646">
        <v>867687</v>
      </c>
      <c r="M10" s="635">
        <f>K10-L10+M9</f>
        <v>1847.34684649692</v>
      </c>
    </row>
    <row r="11" ht="30" customHeight="1" spans="1:15">
      <c r="A11" s="624">
        <v>9</v>
      </c>
      <c r="B11" s="625"/>
      <c r="C11" s="626"/>
      <c r="D11" s="627"/>
      <c r="E11" s="628"/>
      <c r="F11" s="629"/>
      <c r="G11" s="630"/>
      <c r="H11" s="631">
        <f>F11-G11+H10</f>
        <v>568518.728500009</v>
      </c>
      <c r="I11" s="619"/>
      <c r="J11" s="654"/>
      <c r="K11" s="633"/>
      <c r="L11" s="634"/>
      <c r="M11" s="635">
        <f>K11-L11+M10</f>
        <v>1847.34684649692</v>
      </c>
    </row>
    <row r="12" ht="30" customHeight="1" spans="1:15">
      <c r="A12" s="637">
        <v>11</v>
      </c>
      <c r="B12" s="625">
        <v>45665</v>
      </c>
      <c r="C12" s="626" t="s">
        <v>31</v>
      </c>
      <c r="D12" s="627"/>
      <c r="E12" s="628"/>
      <c r="F12" s="655">
        <v>66693400</v>
      </c>
      <c r="G12" s="630"/>
      <c r="H12" s="631">
        <f>F12-G12+H11</f>
        <v>67261918.7285</v>
      </c>
      <c r="I12" s="619"/>
      <c r="J12" s="636">
        <v>80.3163</v>
      </c>
      <c r="K12" s="633">
        <f>F12/J12</f>
        <v>830384.367805788</v>
      </c>
      <c r="L12" s="634"/>
      <c r="M12" s="635">
        <f>K12-L12+M11</f>
        <v>832231.714652285</v>
      </c>
    </row>
    <row r="13" ht="30" customHeight="1" spans="1:15">
      <c r="A13" s="624">
        <v>12</v>
      </c>
      <c r="B13" s="625"/>
      <c r="C13" s="626" t="s">
        <v>125</v>
      </c>
      <c r="D13" s="627">
        <v>9939.55</v>
      </c>
      <c r="E13" s="628">
        <v>6669.34</v>
      </c>
      <c r="F13" s="655"/>
      <c r="G13" s="630">
        <f>D13*E13</f>
        <v>66290238.397</v>
      </c>
      <c r="H13" s="631">
        <f>F13-G13+H12</f>
        <v>971680.331500009</v>
      </c>
      <c r="I13" s="619"/>
      <c r="J13" s="636">
        <v>85.57</v>
      </c>
      <c r="K13" s="633"/>
      <c r="L13" s="634">
        <f>D13*J13</f>
        <v>850527.2935</v>
      </c>
      <c r="M13" s="635">
        <f>K13-L13+M12</f>
        <v>-18295.5788477152</v>
      </c>
      <c r="O13" s="656"/>
    </row>
    <row r="14" ht="30" customHeight="1" spans="1:15">
      <c r="A14" s="657">
        <v>13</v>
      </c>
      <c r="B14" s="658"/>
      <c r="C14" s="659"/>
      <c r="D14" s="660"/>
      <c r="E14" s="661"/>
      <c r="F14" s="662"/>
      <c r="G14" s="663"/>
      <c r="H14" s="631">
        <f>F14-G14+H13</f>
        <v>971680.331500009</v>
      </c>
      <c r="I14" s="619"/>
      <c r="J14" s="636"/>
      <c r="K14" s="633"/>
      <c r="L14" s="731"/>
      <c r="M14" s="635">
        <f>K14-L14+M13</f>
        <v>-18295.5788477152</v>
      </c>
      <c r="O14" s="656"/>
    </row>
    <row r="15" ht="30" customHeight="1" spans="1:15">
      <c r="A15" s="657">
        <v>14</v>
      </c>
      <c r="B15" s="658">
        <v>46357</v>
      </c>
      <c r="C15" s="659" t="s">
        <v>126</v>
      </c>
      <c r="D15" s="660"/>
      <c r="E15" s="661"/>
      <c r="F15" s="662">
        <v>26242444.8</v>
      </c>
      <c r="G15" s="663"/>
      <c r="H15" s="631">
        <f>F15-G15+H14</f>
        <v>27214125.1315</v>
      </c>
      <c r="I15" s="619"/>
      <c r="J15" s="636"/>
      <c r="K15" s="633"/>
      <c r="L15" s="731"/>
      <c r="M15" s="635">
        <f>K15-L15+M14</f>
        <v>-18295.5788477152</v>
      </c>
      <c r="O15" s="656"/>
    </row>
    <row r="16" ht="30" customHeight="1" spans="1:15">
      <c r="A16" s="657">
        <v>15</v>
      </c>
      <c r="B16" s="658">
        <v>46357</v>
      </c>
      <c r="C16" s="659" t="s">
        <v>127</v>
      </c>
      <c r="D16" s="660"/>
      <c r="E16" s="661"/>
      <c r="F16" s="662">
        <v>20609596.8</v>
      </c>
      <c r="G16" s="663"/>
      <c r="H16" s="631">
        <f>F16-G16+H15</f>
        <v>47823721.9315</v>
      </c>
      <c r="I16" s="619"/>
      <c r="J16" s="636"/>
      <c r="K16" s="633"/>
      <c r="L16" s="731"/>
      <c r="M16" s="635">
        <f>K16-L16+M15</f>
        <v>-18295.5788477152</v>
      </c>
      <c r="O16" s="656"/>
    </row>
    <row r="17" ht="30" customHeight="1" spans="1:15">
      <c r="A17" s="657">
        <v>16</v>
      </c>
      <c r="B17" s="658"/>
      <c r="C17" s="659"/>
      <c r="D17" s="660">
        <v>9564.28</v>
      </c>
      <c r="E17" s="661">
        <v>6626.88</v>
      </c>
      <c r="F17" s="662"/>
      <c r="G17" s="663">
        <f>D17*E17</f>
        <v>63381335.8464</v>
      </c>
      <c r="H17" s="631">
        <f>F17-G17+H16</f>
        <v>-15557613.9149</v>
      </c>
      <c r="I17" s="619"/>
      <c r="J17" s="636">
        <v>82.5097769693076</v>
      </c>
      <c r="K17" s="633"/>
      <c r="L17" s="731">
        <f>D17*J17</f>
        <v>789146.609672009</v>
      </c>
      <c r="M17" s="635">
        <f>K17-L17+M16</f>
        <v>-807442.188519725</v>
      </c>
      <c r="O17" s="656"/>
    </row>
    <row r="18" ht="30" customHeight="1" spans="1:15">
      <c r="A18" s="657">
        <v>17</v>
      </c>
      <c r="B18" s="658"/>
      <c r="C18" s="659" t="s">
        <v>128</v>
      </c>
      <c r="D18" s="660"/>
      <c r="E18" s="661"/>
      <c r="F18" s="662">
        <v>15557600.67</v>
      </c>
      <c r="G18" s="663"/>
      <c r="H18" s="631">
        <f>F18-G18+H17</f>
        <v>-13.2448999974877</v>
      </c>
      <c r="I18" s="619"/>
      <c r="J18" s="636"/>
      <c r="K18" s="633"/>
      <c r="L18" s="731"/>
      <c r="M18" s="635">
        <f>K18-L18+M17</f>
        <v>-807442.188519725</v>
      </c>
      <c r="O18" s="656"/>
    </row>
    <row r="19" ht="30" customHeight="1" spans="1:15">
      <c r="A19" s="657">
        <v>18</v>
      </c>
      <c r="B19" s="658"/>
      <c r="C19" s="659"/>
      <c r="D19" s="660"/>
      <c r="E19" s="661"/>
      <c r="F19" s="662"/>
      <c r="G19" s="663"/>
      <c r="H19" s="631">
        <f>F19-G19+H18</f>
        <v>-13.2448999974877</v>
      </c>
      <c r="I19" s="619"/>
      <c r="J19" s="636"/>
      <c r="K19" s="633"/>
      <c r="L19" s="731"/>
      <c r="M19" s="635">
        <f>K19-L19+M18</f>
        <v>-807442.188519725</v>
      </c>
      <c r="O19" s="656"/>
    </row>
    <row r="20" ht="30" customHeight="1" spans="1:15">
      <c r="A20" s="657">
        <v>19</v>
      </c>
      <c r="B20" s="658"/>
      <c r="C20" s="659"/>
      <c r="D20" s="660"/>
      <c r="E20" s="661"/>
      <c r="F20" s="662"/>
      <c r="G20" s="663"/>
      <c r="H20" s="631">
        <f>F20-G20+H19</f>
        <v>-13.2448999974877</v>
      </c>
      <c r="I20" s="619"/>
      <c r="J20" s="636"/>
      <c r="K20" s="633"/>
      <c r="L20" s="731"/>
      <c r="M20" s="635">
        <f>K20-L20+M19</f>
        <v>-807442.188519725</v>
      </c>
      <c r="O20" s="656"/>
    </row>
    <row r="21" ht="30" customHeight="1" spans="1:15">
      <c r="A21" s="657">
        <v>20</v>
      </c>
      <c r="B21" s="658"/>
      <c r="C21" s="659"/>
      <c r="D21" s="660"/>
      <c r="E21" s="661"/>
      <c r="F21" s="662"/>
      <c r="G21" s="663"/>
      <c r="H21" s="631">
        <f>F21-G21+H20</f>
        <v>-13.2448999974877</v>
      </c>
      <c r="I21" s="619"/>
      <c r="J21" s="636"/>
      <c r="K21" s="633"/>
      <c r="L21" s="731"/>
      <c r="M21" s="635">
        <f>K21-L21+M20</f>
        <v>-807442.188519725</v>
      </c>
      <c r="O21" s="656"/>
    </row>
    <row r="22" ht="30" customHeight="1" spans="1:15">
      <c r="A22" s="657">
        <v>21</v>
      </c>
      <c r="B22" s="658"/>
      <c r="C22" s="659"/>
      <c r="D22" s="660"/>
      <c r="E22" s="661"/>
      <c r="F22" s="662"/>
      <c r="G22" s="663"/>
      <c r="H22" s="631">
        <f>F22-G22+H21</f>
        <v>-13.2448999974877</v>
      </c>
      <c r="I22" s="619"/>
      <c r="J22" s="636"/>
      <c r="K22" s="633"/>
      <c r="L22" s="731"/>
      <c r="M22" s="635">
        <f>K22-L22+M21</f>
        <v>-807442.188519725</v>
      </c>
      <c r="O22" s="656"/>
    </row>
    <row r="23" ht="30" customHeight="1" spans="1:15">
      <c r="A23" s="657">
        <v>22</v>
      </c>
      <c r="B23" s="658"/>
      <c r="C23" s="659"/>
      <c r="D23" s="660"/>
      <c r="E23" s="661"/>
      <c r="F23" s="662"/>
      <c r="G23" s="663"/>
      <c r="H23" s="631">
        <f>F23-G23+H22</f>
        <v>-13.2448999974877</v>
      </c>
      <c r="I23" s="619"/>
      <c r="J23" s="636"/>
      <c r="K23" s="732"/>
      <c r="L23" s="665"/>
      <c r="M23" s="635">
        <f>K23-L23+M22</f>
        <v>-807442.188519725</v>
      </c>
      <c r="O23" s="656"/>
    </row>
    <row r="24" ht="30" customHeight="1" spans="1:15">
      <c r="A24" s="666"/>
      <c r="B24" s="667"/>
      <c r="C24" s="668"/>
      <c r="D24" s="669"/>
      <c r="E24" s="670"/>
      <c r="F24" s="671"/>
      <c r="G24" s="672"/>
      <c r="H24" s="673"/>
      <c r="I24" s="674"/>
      <c r="J24" s="675"/>
      <c r="K24" s="676"/>
      <c r="L24" s="676"/>
      <c r="M24" s="677"/>
    </row>
    <row r="26" spans="1:15">
      <c r="F26" s="678">
        <f>SUM(F3:F25)</f>
        <v>266366142.27</v>
      </c>
      <c r="G26" s="679">
        <f>SUM(G3:G25)</f>
        <v>266366155.5149</v>
      </c>
      <c r="H26" s="597"/>
      <c r="I26" s="597"/>
      <c r="J26" s="597"/>
      <c r="K26" s="680">
        <f>SUM(K3:K25)</f>
        <v>2575601.51396469</v>
      </c>
      <c r="L26" s="681">
        <f>SUM(L3:L25)</f>
        <v>3383043.70248442</v>
      </c>
    </row>
  </sheetData>
  <mergeCells count="1">
    <mergeCell ref="A1:M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5"/>
  <sheetViews>
    <sheetView workbookViewId="0">
      <pane xSplit="13" ySplit="3" topLeftCell="N4" activePane="bottomRight" state="frozen"/>
      <selection/>
      <selection pane="topRight"/>
      <selection pane="bottomLeft"/>
      <selection pane="bottomRight" activeCell="G6" sqref="G6"/>
    </sheetView>
  </sheetViews>
  <sheetFormatPr defaultColWidth="9" defaultRowHeight="12.75"/>
  <cols>
    <col min="1" max="1" width="5.55238095238095" style="593" customWidth="1"/>
    <col min="2" max="2" width="11.8857142857143" style="593" customWidth="1"/>
    <col min="3" max="3" width="34.552380952381" style="594" customWidth="1"/>
    <col min="4" max="4" width="11.2190476190476" style="594" customWidth="1"/>
    <col min="5" max="5" width="15.6666666666667" style="594" customWidth="1"/>
    <col min="6" max="8" width="13.3333333333333" style="594" customWidth="1"/>
    <col min="9" max="9" width="12.7809523809524" style="596" customWidth="1"/>
    <col min="10" max="10" width="0.219047619047619" style="596" customWidth="1"/>
    <col min="11" max="11" width="13.4380952380952" style="596" customWidth="1"/>
    <col min="12" max="12" width="16.3333333333333" style="597" customWidth="1"/>
    <col min="13" max="13" width="17.2190476190476" style="598" customWidth="1"/>
    <col min="14" max="253" width="8.88571428571429" style="593"/>
    <col min="254" max="254" width="5.55238095238095" style="593" customWidth="1"/>
    <col min="255" max="255" width="9.33333333333333" style="593" customWidth="1"/>
    <col min="256" max="256" width="24.6666666666667" style="593" customWidth="1"/>
    <col min="257" max="257" width="11" style="593" customWidth="1"/>
    <col min="258" max="258" width="7.55238095238095" style="593" customWidth="1"/>
    <col min="259" max="259" width="13.552380952381" style="593" customWidth="1"/>
    <col min="260" max="260" width="5.43809523809524" style="593" customWidth="1"/>
    <col min="261" max="261" width="11.3333333333333" style="593" customWidth="1"/>
    <col min="262" max="262" width="5.66666666666667" style="593" customWidth="1"/>
    <col min="263" max="263" width="12" style="593" customWidth="1"/>
    <col min="264" max="264" width="15.4380952380952" style="593" customWidth="1"/>
    <col min="265" max="266" width="15.1047619047619" style="593" customWidth="1"/>
    <col min="267" max="267" width="14.3333333333333" style="593" customWidth="1"/>
    <col min="268" max="268" width="3.1047619047619" style="593" customWidth="1"/>
    <col min="269" max="269" width="6.43809523809524" style="593" customWidth="1"/>
    <col min="270" max="509" width="8.88571428571429" style="593"/>
    <col min="510" max="510" width="5.55238095238095" style="593" customWidth="1"/>
    <col min="511" max="511" width="9.33333333333333" style="593" customWidth="1"/>
    <col min="512" max="512" width="24.6666666666667" style="593" customWidth="1"/>
    <col min="513" max="513" width="11" style="593" customWidth="1"/>
    <col min="514" max="514" width="7.55238095238095" style="593" customWidth="1"/>
    <col min="515" max="515" width="13.552380952381" style="593" customWidth="1"/>
    <col min="516" max="516" width="5.43809523809524" style="593" customWidth="1"/>
    <col min="517" max="517" width="11.3333333333333" style="593" customWidth="1"/>
    <col min="518" max="518" width="5.66666666666667" style="593" customWidth="1"/>
    <col min="519" max="519" width="12" style="593" customWidth="1"/>
    <col min="520" max="520" width="15.4380952380952" style="593" customWidth="1"/>
    <col min="521" max="522" width="15.1047619047619" style="593" customWidth="1"/>
    <col min="523" max="523" width="14.3333333333333" style="593" customWidth="1"/>
    <col min="524" max="524" width="3.1047619047619" style="593" customWidth="1"/>
    <col min="525" max="525" width="6.43809523809524" style="593" customWidth="1"/>
    <col min="526" max="765" width="8.88571428571429" style="593"/>
    <col min="766" max="766" width="5.55238095238095" style="593" customWidth="1"/>
    <col min="767" max="767" width="9.33333333333333" style="593" customWidth="1"/>
    <col min="768" max="768" width="24.6666666666667" style="593" customWidth="1"/>
    <col min="769" max="769" width="11" style="593" customWidth="1"/>
    <col min="770" max="770" width="7.55238095238095" style="593" customWidth="1"/>
    <col min="771" max="771" width="13.552380952381" style="593" customWidth="1"/>
    <col min="772" max="772" width="5.43809523809524" style="593" customWidth="1"/>
    <col min="773" max="773" width="11.3333333333333" style="593" customWidth="1"/>
    <col min="774" max="774" width="5.66666666666667" style="593" customWidth="1"/>
    <col min="775" max="775" width="12" style="593" customWidth="1"/>
    <col min="776" max="776" width="15.4380952380952" style="593" customWidth="1"/>
    <col min="777" max="778" width="15.1047619047619" style="593" customWidth="1"/>
    <col min="779" max="779" width="14.3333333333333" style="593" customWidth="1"/>
    <col min="780" max="780" width="3.1047619047619" style="593" customWidth="1"/>
    <col min="781" max="781" width="6.43809523809524" style="593" customWidth="1"/>
    <col min="782" max="1021" width="8.88571428571429" style="593"/>
    <col min="1022" max="1022" width="5.55238095238095" style="593" customWidth="1"/>
    <col min="1023" max="1023" width="9.33333333333333" style="593" customWidth="1"/>
    <col min="1024" max="1024" width="24.6666666666667" style="593" customWidth="1"/>
    <col min="1025" max="1025" width="11" style="593" customWidth="1"/>
    <col min="1026" max="1026" width="7.55238095238095" style="593" customWidth="1"/>
    <col min="1027" max="1027" width="13.552380952381" style="593" customWidth="1"/>
    <col min="1028" max="1028" width="5.43809523809524" style="593" customWidth="1"/>
    <col min="1029" max="1029" width="11.3333333333333" style="593" customWidth="1"/>
    <col min="1030" max="1030" width="5.66666666666667" style="593" customWidth="1"/>
    <col min="1031" max="1031" width="12" style="593" customWidth="1"/>
    <col min="1032" max="1032" width="15.4380952380952" style="593" customWidth="1"/>
    <col min="1033" max="1034" width="15.1047619047619" style="593" customWidth="1"/>
    <col min="1035" max="1035" width="14.3333333333333" style="593" customWidth="1"/>
    <col min="1036" max="1036" width="3.1047619047619" style="593" customWidth="1"/>
    <col min="1037" max="1037" width="6.43809523809524" style="593" customWidth="1"/>
    <col min="1038" max="1277" width="8.88571428571429" style="593"/>
    <col min="1278" max="1278" width="5.55238095238095" style="593" customWidth="1"/>
    <col min="1279" max="1279" width="9.33333333333333" style="593" customWidth="1"/>
    <col min="1280" max="1280" width="24.6666666666667" style="593" customWidth="1"/>
    <col min="1281" max="1281" width="11" style="593" customWidth="1"/>
    <col min="1282" max="1282" width="7.55238095238095" style="593" customWidth="1"/>
    <col min="1283" max="1283" width="13.552380952381" style="593" customWidth="1"/>
    <col min="1284" max="1284" width="5.43809523809524" style="593" customWidth="1"/>
    <col min="1285" max="1285" width="11.3333333333333" style="593" customWidth="1"/>
    <col min="1286" max="1286" width="5.66666666666667" style="593" customWidth="1"/>
    <col min="1287" max="1287" width="12" style="593" customWidth="1"/>
    <col min="1288" max="1288" width="15.4380952380952" style="593" customWidth="1"/>
    <col min="1289" max="1290" width="15.1047619047619" style="593" customWidth="1"/>
    <col min="1291" max="1291" width="14.3333333333333" style="593" customWidth="1"/>
    <col min="1292" max="1292" width="3.1047619047619" style="593" customWidth="1"/>
    <col min="1293" max="1293" width="6.43809523809524" style="593" customWidth="1"/>
    <col min="1294" max="1533" width="8.88571428571429" style="593"/>
    <col min="1534" max="1534" width="5.55238095238095" style="593" customWidth="1"/>
    <col min="1535" max="1535" width="9.33333333333333" style="593" customWidth="1"/>
    <col min="1536" max="1536" width="24.6666666666667" style="593" customWidth="1"/>
    <col min="1537" max="1537" width="11" style="593" customWidth="1"/>
    <col min="1538" max="1538" width="7.55238095238095" style="593" customWidth="1"/>
    <col min="1539" max="1539" width="13.552380952381" style="593" customWidth="1"/>
    <col min="1540" max="1540" width="5.43809523809524" style="593" customWidth="1"/>
    <col min="1541" max="1541" width="11.3333333333333" style="593" customWidth="1"/>
    <col min="1542" max="1542" width="5.66666666666667" style="593" customWidth="1"/>
    <col min="1543" max="1543" width="12" style="593" customWidth="1"/>
    <col min="1544" max="1544" width="15.4380952380952" style="593" customWidth="1"/>
    <col min="1545" max="1546" width="15.1047619047619" style="593" customWidth="1"/>
    <col min="1547" max="1547" width="14.3333333333333" style="593" customWidth="1"/>
    <col min="1548" max="1548" width="3.1047619047619" style="593" customWidth="1"/>
    <col min="1549" max="1549" width="6.43809523809524" style="593" customWidth="1"/>
    <col min="1550" max="1789" width="8.88571428571429" style="593"/>
    <col min="1790" max="1790" width="5.55238095238095" style="593" customWidth="1"/>
    <col min="1791" max="1791" width="9.33333333333333" style="593" customWidth="1"/>
    <col min="1792" max="1792" width="24.6666666666667" style="593" customWidth="1"/>
    <col min="1793" max="1793" width="11" style="593" customWidth="1"/>
    <col min="1794" max="1794" width="7.55238095238095" style="593" customWidth="1"/>
    <col min="1795" max="1795" width="13.552380952381" style="593" customWidth="1"/>
    <col min="1796" max="1796" width="5.43809523809524" style="593" customWidth="1"/>
    <col min="1797" max="1797" width="11.3333333333333" style="593" customWidth="1"/>
    <col min="1798" max="1798" width="5.66666666666667" style="593" customWidth="1"/>
    <col min="1799" max="1799" width="12" style="593" customWidth="1"/>
    <col min="1800" max="1800" width="15.4380952380952" style="593" customWidth="1"/>
    <col min="1801" max="1802" width="15.1047619047619" style="593" customWidth="1"/>
    <col min="1803" max="1803" width="14.3333333333333" style="593" customWidth="1"/>
    <col min="1804" max="1804" width="3.1047619047619" style="593" customWidth="1"/>
    <col min="1805" max="1805" width="6.43809523809524" style="593" customWidth="1"/>
    <col min="1806" max="2045" width="8.88571428571429" style="593"/>
    <col min="2046" max="2046" width="5.55238095238095" style="593" customWidth="1"/>
    <col min="2047" max="2047" width="9.33333333333333" style="593" customWidth="1"/>
    <col min="2048" max="2048" width="24.6666666666667" style="593" customWidth="1"/>
    <col min="2049" max="2049" width="11" style="593" customWidth="1"/>
    <col min="2050" max="2050" width="7.55238095238095" style="593" customWidth="1"/>
    <col min="2051" max="2051" width="13.552380952381" style="593" customWidth="1"/>
    <col min="2052" max="2052" width="5.43809523809524" style="593" customWidth="1"/>
    <col min="2053" max="2053" width="11.3333333333333" style="593" customWidth="1"/>
    <col min="2054" max="2054" width="5.66666666666667" style="593" customWidth="1"/>
    <col min="2055" max="2055" width="12" style="593" customWidth="1"/>
    <col min="2056" max="2056" width="15.4380952380952" style="593" customWidth="1"/>
    <col min="2057" max="2058" width="15.1047619047619" style="593" customWidth="1"/>
    <col min="2059" max="2059" width="14.3333333333333" style="593" customWidth="1"/>
    <col min="2060" max="2060" width="3.1047619047619" style="593" customWidth="1"/>
    <col min="2061" max="2061" width="6.43809523809524" style="593" customWidth="1"/>
    <col min="2062" max="2301" width="8.88571428571429" style="593"/>
    <col min="2302" max="2302" width="5.55238095238095" style="593" customWidth="1"/>
    <col min="2303" max="2303" width="9.33333333333333" style="593" customWidth="1"/>
    <col min="2304" max="2304" width="24.6666666666667" style="593" customWidth="1"/>
    <col min="2305" max="2305" width="11" style="593" customWidth="1"/>
    <col min="2306" max="2306" width="7.55238095238095" style="593" customWidth="1"/>
    <col min="2307" max="2307" width="13.552380952381" style="593" customWidth="1"/>
    <col min="2308" max="2308" width="5.43809523809524" style="593" customWidth="1"/>
    <col min="2309" max="2309" width="11.3333333333333" style="593" customWidth="1"/>
    <col min="2310" max="2310" width="5.66666666666667" style="593" customWidth="1"/>
    <col min="2311" max="2311" width="12" style="593" customWidth="1"/>
    <col min="2312" max="2312" width="15.4380952380952" style="593" customWidth="1"/>
    <col min="2313" max="2314" width="15.1047619047619" style="593" customWidth="1"/>
    <col min="2315" max="2315" width="14.3333333333333" style="593" customWidth="1"/>
    <col min="2316" max="2316" width="3.1047619047619" style="593" customWidth="1"/>
    <col min="2317" max="2317" width="6.43809523809524" style="593" customWidth="1"/>
    <col min="2318" max="2557" width="8.88571428571429" style="593"/>
    <col min="2558" max="2558" width="5.55238095238095" style="593" customWidth="1"/>
    <col min="2559" max="2559" width="9.33333333333333" style="593" customWidth="1"/>
    <col min="2560" max="2560" width="24.6666666666667" style="593" customWidth="1"/>
    <col min="2561" max="2561" width="11" style="593" customWidth="1"/>
    <col min="2562" max="2562" width="7.55238095238095" style="593" customWidth="1"/>
    <col min="2563" max="2563" width="13.552380952381" style="593" customWidth="1"/>
    <col min="2564" max="2564" width="5.43809523809524" style="593" customWidth="1"/>
    <col min="2565" max="2565" width="11.3333333333333" style="593" customWidth="1"/>
    <col min="2566" max="2566" width="5.66666666666667" style="593" customWidth="1"/>
    <col min="2567" max="2567" width="12" style="593" customWidth="1"/>
    <col min="2568" max="2568" width="15.4380952380952" style="593" customWidth="1"/>
    <col min="2569" max="2570" width="15.1047619047619" style="593" customWidth="1"/>
    <col min="2571" max="2571" width="14.3333333333333" style="593" customWidth="1"/>
    <col min="2572" max="2572" width="3.1047619047619" style="593" customWidth="1"/>
    <col min="2573" max="2573" width="6.43809523809524" style="593" customWidth="1"/>
    <col min="2574" max="2813" width="8.88571428571429" style="593"/>
    <col min="2814" max="2814" width="5.55238095238095" style="593" customWidth="1"/>
    <col min="2815" max="2815" width="9.33333333333333" style="593" customWidth="1"/>
    <col min="2816" max="2816" width="24.6666666666667" style="593" customWidth="1"/>
    <col min="2817" max="2817" width="11" style="593" customWidth="1"/>
    <col min="2818" max="2818" width="7.55238095238095" style="593" customWidth="1"/>
    <col min="2819" max="2819" width="13.552380952381" style="593" customWidth="1"/>
    <col min="2820" max="2820" width="5.43809523809524" style="593" customWidth="1"/>
    <col min="2821" max="2821" width="11.3333333333333" style="593" customWidth="1"/>
    <col min="2822" max="2822" width="5.66666666666667" style="593" customWidth="1"/>
    <col min="2823" max="2823" width="12" style="593" customWidth="1"/>
    <col min="2824" max="2824" width="15.4380952380952" style="593" customWidth="1"/>
    <col min="2825" max="2826" width="15.1047619047619" style="593" customWidth="1"/>
    <col min="2827" max="2827" width="14.3333333333333" style="593" customWidth="1"/>
    <col min="2828" max="2828" width="3.1047619047619" style="593" customWidth="1"/>
    <col min="2829" max="2829" width="6.43809523809524" style="593" customWidth="1"/>
    <col min="2830" max="3069" width="8.88571428571429" style="593"/>
    <col min="3070" max="3070" width="5.55238095238095" style="593" customWidth="1"/>
    <col min="3071" max="3071" width="9.33333333333333" style="593" customWidth="1"/>
    <col min="3072" max="3072" width="24.6666666666667" style="593" customWidth="1"/>
    <col min="3073" max="3073" width="11" style="593" customWidth="1"/>
    <col min="3074" max="3074" width="7.55238095238095" style="593" customWidth="1"/>
    <col min="3075" max="3075" width="13.552380952381" style="593" customWidth="1"/>
    <col min="3076" max="3076" width="5.43809523809524" style="593" customWidth="1"/>
    <col min="3077" max="3077" width="11.3333333333333" style="593" customWidth="1"/>
    <col min="3078" max="3078" width="5.66666666666667" style="593" customWidth="1"/>
    <col min="3079" max="3079" width="12" style="593" customWidth="1"/>
    <col min="3080" max="3080" width="15.4380952380952" style="593" customWidth="1"/>
    <col min="3081" max="3082" width="15.1047619047619" style="593" customWidth="1"/>
    <col min="3083" max="3083" width="14.3333333333333" style="593" customWidth="1"/>
    <col min="3084" max="3084" width="3.1047619047619" style="593" customWidth="1"/>
    <col min="3085" max="3085" width="6.43809523809524" style="593" customWidth="1"/>
    <col min="3086" max="3325" width="8.88571428571429" style="593"/>
    <col min="3326" max="3326" width="5.55238095238095" style="593" customWidth="1"/>
    <col min="3327" max="3327" width="9.33333333333333" style="593" customWidth="1"/>
    <col min="3328" max="3328" width="24.6666666666667" style="593" customWidth="1"/>
    <col min="3329" max="3329" width="11" style="593" customWidth="1"/>
    <col min="3330" max="3330" width="7.55238095238095" style="593" customWidth="1"/>
    <col min="3331" max="3331" width="13.552380952381" style="593" customWidth="1"/>
    <col min="3332" max="3332" width="5.43809523809524" style="593" customWidth="1"/>
    <col min="3333" max="3333" width="11.3333333333333" style="593" customWidth="1"/>
    <col min="3334" max="3334" width="5.66666666666667" style="593" customWidth="1"/>
    <col min="3335" max="3335" width="12" style="593" customWidth="1"/>
    <col min="3336" max="3336" width="15.4380952380952" style="593" customWidth="1"/>
    <col min="3337" max="3338" width="15.1047619047619" style="593" customWidth="1"/>
    <col min="3339" max="3339" width="14.3333333333333" style="593" customWidth="1"/>
    <col min="3340" max="3340" width="3.1047619047619" style="593" customWidth="1"/>
    <col min="3341" max="3341" width="6.43809523809524" style="593" customWidth="1"/>
    <col min="3342" max="3581" width="8.88571428571429" style="593"/>
    <col min="3582" max="3582" width="5.55238095238095" style="593" customWidth="1"/>
    <col min="3583" max="3583" width="9.33333333333333" style="593" customWidth="1"/>
    <col min="3584" max="3584" width="24.6666666666667" style="593" customWidth="1"/>
    <col min="3585" max="3585" width="11" style="593" customWidth="1"/>
    <col min="3586" max="3586" width="7.55238095238095" style="593" customWidth="1"/>
    <col min="3587" max="3587" width="13.552380952381" style="593" customWidth="1"/>
    <col min="3588" max="3588" width="5.43809523809524" style="593" customWidth="1"/>
    <col min="3589" max="3589" width="11.3333333333333" style="593" customWidth="1"/>
    <col min="3590" max="3590" width="5.66666666666667" style="593" customWidth="1"/>
    <col min="3591" max="3591" width="12" style="593" customWidth="1"/>
    <col min="3592" max="3592" width="15.4380952380952" style="593" customWidth="1"/>
    <col min="3593" max="3594" width="15.1047619047619" style="593" customWidth="1"/>
    <col min="3595" max="3595" width="14.3333333333333" style="593" customWidth="1"/>
    <col min="3596" max="3596" width="3.1047619047619" style="593" customWidth="1"/>
    <col min="3597" max="3597" width="6.43809523809524" style="593" customWidth="1"/>
    <col min="3598" max="3837" width="8.88571428571429" style="593"/>
    <col min="3838" max="3838" width="5.55238095238095" style="593" customWidth="1"/>
    <col min="3839" max="3839" width="9.33333333333333" style="593" customWidth="1"/>
    <col min="3840" max="3840" width="24.6666666666667" style="593" customWidth="1"/>
    <col min="3841" max="3841" width="11" style="593" customWidth="1"/>
    <col min="3842" max="3842" width="7.55238095238095" style="593" customWidth="1"/>
    <col min="3843" max="3843" width="13.552380952381" style="593" customWidth="1"/>
    <col min="3844" max="3844" width="5.43809523809524" style="593" customWidth="1"/>
    <col min="3845" max="3845" width="11.3333333333333" style="593" customWidth="1"/>
    <col min="3846" max="3846" width="5.66666666666667" style="593" customWidth="1"/>
    <col min="3847" max="3847" width="12" style="593" customWidth="1"/>
    <col min="3848" max="3848" width="15.4380952380952" style="593" customWidth="1"/>
    <col min="3849" max="3850" width="15.1047619047619" style="593" customWidth="1"/>
    <col min="3851" max="3851" width="14.3333333333333" style="593" customWidth="1"/>
    <col min="3852" max="3852" width="3.1047619047619" style="593" customWidth="1"/>
    <col min="3853" max="3853" width="6.43809523809524" style="593" customWidth="1"/>
    <col min="3854" max="4093" width="8.88571428571429" style="593"/>
    <col min="4094" max="4094" width="5.55238095238095" style="593" customWidth="1"/>
    <col min="4095" max="4095" width="9.33333333333333" style="593" customWidth="1"/>
    <col min="4096" max="4096" width="24.6666666666667" style="593" customWidth="1"/>
    <col min="4097" max="4097" width="11" style="593" customWidth="1"/>
    <col min="4098" max="4098" width="7.55238095238095" style="593" customWidth="1"/>
    <col min="4099" max="4099" width="13.552380952381" style="593" customWidth="1"/>
    <col min="4100" max="4100" width="5.43809523809524" style="593" customWidth="1"/>
    <col min="4101" max="4101" width="11.3333333333333" style="593" customWidth="1"/>
    <col min="4102" max="4102" width="5.66666666666667" style="593" customWidth="1"/>
    <col min="4103" max="4103" width="12" style="593" customWidth="1"/>
    <col min="4104" max="4104" width="15.4380952380952" style="593" customWidth="1"/>
    <col min="4105" max="4106" width="15.1047619047619" style="593" customWidth="1"/>
    <col min="4107" max="4107" width="14.3333333333333" style="593" customWidth="1"/>
    <col min="4108" max="4108" width="3.1047619047619" style="593" customWidth="1"/>
    <col min="4109" max="4109" width="6.43809523809524" style="593" customWidth="1"/>
    <col min="4110" max="4349" width="8.88571428571429" style="593"/>
    <col min="4350" max="4350" width="5.55238095238095" style="593" customWidth="1"/>
    <col min="4351" max="4351" width="9.33333333333333" style="593" customWidth="1"/>
    <col min="4352" max="4352" width="24.6666666666667" style="593" customWidth="1"/>
    <col min="4353" max="4353" width="11" style="593" customWidth="1"/>
    <col min="4354" max="4354" width="7.55238095238095" style="593" customWidth="1"/>
    <col min="4355" max="4355" width="13.552380952381" style="593" customWidth="1"/>
    <col min="4356" max="4356" width="5.43809523809524" style="593" customWidth="1"/>
    <col min="4357" max="4357" width="11.3333333333333" style="593" customWidth="1"/>
    <col min="4358" max="4358" width="5.66666666666667" style="593" customWidth="1"/>
    <col min="4359" max="4359" width="12" style="593" customWidth="1"/>
    <col min="4360" max="4360" width="15.4380952380952" style="593" customWidth="1"/>
    <col min="4361" max="4362" width="15.1047619047619" style="593" customWidth="1"/>
    <col min="4363" max="4363" width="14.3333333333333" style="593" customWidth="1"/>
    <col min="4364" max="4364" width="3.1047619047619" style="593" customWidth="1"/>
    <col min="4365" max="4365" width="6.43809523809524" style="593" customWidth="1"/>
    <col min="4366" max="4605" width="8.88571428571429" style="593"/>
    <col min="4606" max="4606" width="5.55238095238095" style="593" customWidth="1"/>
    <col min="4607" max="4607" width="9.33333333333333" style="593" customWidth="1"/>
    <col min="4608" max="4608" width="24.6666666666667" style="593" customWidth="1"/>
    <col min="4609" max="4609" width="11" style="593" customWidth="1"/>
    <col min="4610" max="4610" width="7.55238095238095" style="593" customWidth="1"/>
    <col min="4611" max="4611" width="13.552380952381" style="593" customWidth="1"/>
    <col min="4612" max="4612" width="5.43809523809524" style="593" customWidth="1"/>
    <col min="4613" max="4613" width="11.3333333333333" style="593" customWidth="1"/>
    <col min="4614" max="4614" width="5.66666666666667" style="593" customWidth="1"/>
    <col min="4615" max="4615" width="12" style="593" customWidth="1"/>
    <col min="4616" max="4616" width="15.4380952380952" style="593" customWidth="1"/>
    <col min="4617" max="4618" width="15.1047619047619" style="593" customWidth="1"/>
    <col min="4619" max="4619" width="14.3333333333333" style="593" customWidth="1"/>
    <col min="4620" max="4620" width="3.1047619047619" style="593" customWidth="1"/>
    <col min="4621" max="4621" width="6.43809523809524" style="593" customWidth="1"/>
    <col min="4622" max="4861" width="8.88571428571429" style="593"/>
    <col min="4862" max="4862" width="5.55238095238095" style="593" customWidth="1"/>
    <col min="4863" max="4863" width="9.33333333333333" style="593" customWidth="1"/>
    <col min="4864" max="4864" width="24.6666666666667" style="593" customWidth="1"/>
    <col min="4865" max="4865" width="11" style="593" customWidth="1"/>
    <col min="4866" max="4866" width="7.55238095238095" style="593" customWidth="1"/>
    <col min="4867" max="4867" width="13.552380952381" style="593" customWidth="1"/>
    <col min="4868" max="4868" width="5.43809523809524" style="593" customWidth="1"/>
    <col min="4869" max="4869" width="11.3333333333333" style="593" customWidth="1"/>
    <col min="4870" max="4870" width="5.66666666666667" style="593" customWidth="1"/>
    <col min="4871" max="4871" width="12" style="593" customWidth="1"/>
    <col min="4872" max="4872" width="15.4380952380952" style="593" customWidth="1"/>
    <col min="4873" max="4874" width="15.1047619047619" style="593" customWidth="1"/>
    <col min="4875" max="4875" width="14.3333333333333" style="593" customWidth="1"/>
    <col min="4876" max="4876" width="3.1047619047619" style="593" customWidth="1"/>
    <col min="4877" max="4877" width="6.43809523809524" style="593" customWidth="1"/>
    <col min="4878" max="5117" width="8.88571428571429" style="593"/>
    <col min="5118" max="5118" width="5.55238095238095" style="593" customWidth="1"/>
    <col min="5119" max="5119" width="9.33333333333333" style="593" customWidth="1"/>
    <col min="5120" max="5120" width="24.6666666666667" style="593" customWidth="1"/>
    <col min="5121" max="5121" width="11" style="593" customWidth="1"/>
    <col min="5122" max="5122" width="7.55238095238095" style="593" customWidth="1"/>
    <col min="5123" max="5123" width="13.552380952381" style="593" customWidth="1"/>
    <col min="5124" max="5124" width="5.43809523809524" style="593" customWidth="1"/>
    <col min="5125" max="5125" width="11.3333333333333" style="593" customWidth="1"/>
    <col min="5126" max="5126" width="5.66666666666667" style="593" customWidth="1"/>
    <col min="5127" max="5127" width="12" style="593" customWidth="1"/>
    <col min="5128" max="5128" width="15.4380952380952" style="593" customWidth="1"/>
    <col min="5129" max="5130" width="15.1047619047619" style="593" customWidth="1"/>
    <col min="5131" max="5131" width="14.3333333333333" style="593" customWidth="1"/>
    <col min="5132" max="5132" width="3.1047619047619" style="593" customWidth="1"/>
    <col min="5133" max="5133" width="6.43809523809524" style="593" customWidth="1"/>
    <col min="5134" max="5373" width="8.88571428571429" style="593"/>
    <col min="5374" max="5374" width="5.55238095238095" style="593" customWidth="1"/>
    <col min="5375" max="5375" width="9.33333333333333" style="593" customWidth="1"/>
    <col min="5376" max="5376" width="24.6666666666667" style="593" customWidth="1"/>
    <col min="5377" max="5377" width="11" style="593" customWidth="1"/>
    <col min="5378" max="5378" width="7.55238095238095" style="593" customWidth="1"/>
    <col min="5379" max="5379" width="13.552380952381" style="593" customWidth="1"/>
    <col min="5380" max="5380" width="5.43809523809524" style="593" customWidth="1"/>
    <col min="5381" max="5381" width="11.3333333333333" style="593" customWidth="1"/>
    <col min="5382" max="5382" width="5.66666666666667" style="593" customWidth="1"/>
    <col min="5383" max="5383" width="12" style="593" customWidth="1"/>
    <col min="5384" max="5384" width="15.4380952380952" style="593" customWidth="1"/>
    <col min="5385" max="5386" width="15.1047619047619" style="593" customWidth="1"/>
    <col min="5387" max="5387" width="14.3333333333333" style="593" customWidth="1"/>
    <col min="5388" max="5388" width="3.1047619047619" style="593" customWidth="1"/>
    <col min="5389" max="5389" width="6.43809523809524" style="593" customWidth="1"/>
    <col min="5390" max="5629" width="8.88571428571429" style="593"/>
    <col min="5630" max="5630" width="5.55238095238095" style="593" customWidth="1"/>
    <col min="5631" max="5631" width="9.33333333333333" style="593" customWidth="1"/>
    <col min="5632" max="5632" width="24.6666666666667" style="593" customWidth="1"/>
    <col min="5633" max="5633" width="11" style="593" customWidth="1"/>
    <col min="5634" max="5634" width="7.55238095238095" style="593" customWidth="1"/>
    <col min="5635" max="5635" width="13.552380952381" style="593" customWidth="1"/>
    <col min="5636" max="5636" width="5.43809523809524" style="593" customWidth="1"/>
    <col min="5637" max="5637" width="11.3333333333333" style="593" customWidth="1"/>
    <col min="5638" max="5638" width="5.66666666666667" style="593" customWidth="1"/>
    <col min="5639" max="5639" width="12" style="593" customWidth="1"/>
    <col min="5640" max="5640" width="15.4380952380952" style="593" customWidth="1"/>
    <col min="5641" max="5642" width="15.1047619047619" style="593" customWidth="1"/>
    <col min="5643" max="5643" width="14.3333333333333" style="593" customWidth="1"/>
    <col min="5644" max="5644" width="3.1047619047619" style="593" customWidth="1"/>
    <col min="5645" max="5645" width="6.43809523809524" style="593" customWidth="1"/>
    <col min="5646" max="5885" width="8.88571428571429" style="593"/>
    <col min="5886" max="5886" width="5.55238095238095" style="593" customWidth="1"/>
    <col min="5887" max="5887" width="9.33333333333333" style="593" customWidth="1"/>
    <col min="5888" max="5888" width="24.6666666666667" style="593" customWidth="1"/>
    <col min="5889" max="5889" width="11" style="593" customWidth="1"/>
    <col min="5890" max="5890" width="7.55238095238095" style="593" customWidth="1"/>
    <col min="5891" max="5891" width="13.552380952381" style="593" customWidth="1"/>
    <col min="5892" max="5892" width="5.43809523809524" style="593" customWidth="1"/>
    <col min="5893" max="5893" width="11.3333333333333" style="593" customWidth="1"/>
    <col min="5894" max="5894" width="5.66666666666667" style="593" customWidth="1"/>
    <col min="5895" max="5895" width="12" style="593" customWidth="1"/>
    <col min="5896" max="5896" width="15.4380952380952" style="593" customWidth="1"/>
    <col min="5897" max="5898" width="15.1047619047619" style="593" customWidth="1"/>
    <col min="5899" max="5899" width="14.3333333333333" style="593" customWidth="1"/>
    <col min="5900" max="5900" width="3.1047619047619" style="593" customWidth="1"/>
    <col min="5901" max="5901" width="6.43809523809524" style="593" customWidth="1"/>
    <col min="5902" max="6141" width="8.88571428571429" style="593"/>
    <col min="6142" max="6142" width="5.55238095238095" style="593" customWidth="1"/>
    <col min="6143" max="6143" width="9.33333333333333" style="593" customWidth="1"/>
    <col min="6144" max="6144" width="24.6666666666667" style="593" customWidth="1"/>
    <col min="6145" max="6145" width="11" style="593" customWidth="1"/>
    <col min="6146" max="6146" width="7.55238095238095" style="593" customWidth="1"/>
    <col min="6147" max="6147" width="13.552380952381" style="593" customWidth="1"/>
    <col min="6148" max="6148" width="5.43809523809524" style="593" customWidth="1"/>
    <col min="6149" max="6149" width="11.3333333333333" style="593" customWidth="1"/>
    <col min="6150" max="6150" width="5.66666666666667" style="593" customWidth="1"/>
    <col min="6151" max="6151" width="12" style="593" customWidth="1"/>
    <col min="6152" max="6152" width="15.4380952380952" style="593" customWidth="1"/>
    <col min="6153" max="6154" width="15.1047619047619" style="593" customWidth="1"/>
    <col min="6155" max="6155" width="14.3333333333333" style="593" customWidth="1"/>
    <col min="6156" max="6156" width="3.1047619047619" style="593" customWidth="1"/>
    <col min="6157" max="6157" width="6.43809523809524" style="593" customWidth="1"/>
    <col min="6158" max="6397" width="8.88571428571429" style="593"/>
    <col min="6398" max="6398" width="5.55238095238095" style="593" customWidth="1"/>
    <col min="6399" max="6399" width="9.33333333333333" style="593" customWidth="1"/>
    <col min="6400" max="6400" width="24.6666666666667" style="593" customWidth="1"/>
    <col min="6401" max="6401" width="11" style="593" customWidth="1"/>
    <col min="6402" max="6402" width="7.55238095238095" style="593" customWidth="1"/>
    <col min="6403" max="6403" width="13.552380952381" style="593" customWidth="1"/>
    <col min="6404" max="6404" width="5.43809523809524" style="593" customWidth="1"/>
    <col min="6405" max="6405" width="11.3333333333333" style="593" customWidth="1"/>
    <col min="6406" max="6406" width="5.66666666666667" style="593" customWidth="1"/>
    <col min="6407" max="6407" width="12" style="593" customWidth="1"/>
    <col min="6408" max="6408" width="15.4380952380952" style="593" customWidth="1"/>
    <col min="6409" max="6410" width="15.1047619047619" style="593" customWidth="1"/>
    <col min="6411" max="6411" width="14.3333333333333" style="593" customWidth="1"/>
    <col min="6412" max="6412" width="3.1047619047619" style="593" customWidth="1"/>
    <col min="6413" max="6413" width="6.43809523809524" style="593" customWidth="1"/>
    <col min="6414" max="6653" width="8.88571428571429" style="593"/>
    <col min="6654" max="6654" width="5.55238095238095" style="593" customWidth="1"/>
    <col min="6655" max="6655" width="9.33333333333333" style="593" customWidth="1"/>
    <col min="6656" max="6656" width="24.6666666666667" style="593" customWidth="1"/>
    <col min="6657" max="6657" width="11" style="593" customWidth="1"/>
    <col min="6658" max="6658" width="7.55238095238095" style="593" customWidth="1"/>
    <col min="6659" max="6659" width="13.552380952381" style="593" customWidth="1"/>
    <col min="6660" max="6660" width="5.43809523809524" style="593" customWidth="1"/>
    <col min="6661" max="6661" width="11.3333333333333" style="593" customWidth="1"/>
    <col min="6662" max="6662" width="5.66666666666667" style="593" customWidth="1"/>
    <col min="6663" max="6663" width="12" style="593" customWidth="1"/>
    <col min="6664" max="6664" width="15.4380952380952" style="593" customWidth="1"/>
    <col min="6665" max="6666" width="15.1047619047619" style="593" customWidth="1"/>
    <col min="6667" max="6667" width="14.3333333333333" style="593" customWidth="1"/>
    <col min="6668" max="6668" width="3.1047619047619" style="593" customWidth="1"/>
    <col min="6669" max="6669" width="6.43809523809524" style="593" customWidth="1"/>
    <col min="6670" max="6909" width="8.88571428571429" style="593"/>
    <col min="6910" max="6910" width="5.55238095238095" style="593" customWidth="1"/>
    <col min="6911" max="6911" width="9.33333333333333" style="593" customWidth="1"/>
    <col min="6912" max="6912" width="24.6666666666667" style="593" customWidth="1"/>
    <col min="6913" max="6913" width="11" style="593" customWidth="1"/>
    <col min="6914" max="6914" width="7.55238095238095" style="593" customWidth="1"/>
    <col min="6915" max="6915" width="13.552380952381" style="593" customWidth="1"/>
    <col min="6916" max="6916" width="5.43809523809524" style="593" customWidth="1"/>
    <col min="6917" max="6917" width="11.3333333333333" style="593" customWidth="1"/>
    <col min="6918" max="6918" width="5.66666666666667" style="593" customWidth="1"/>
    <col min="6919" max="6919" width="12" style="593" customWidth="1"/>
    <col min="6920" max="6920" width="15.4380952380952" style="593" customWidth="1"/>
    <col min="6921" max="6922" width="15.1047619047619" style="593" customWidth="1"/>
    <col min="6923" max="6923" width="14.3333333333333" style="593" customWidth="1"/>
    <col min="6924" max="6924" width="3.1047619047619" style="593" customWidth="1"/>
    <col min="6925" max="6925" width="6.43809523809524" style="593" customWidth="1"/>
    <col min="6926" max="7165" width="8.88571428571429" style="593"/>
    <col min="7166" max="7166" width="5.55238095238095" style="593" customWidth="1"/>
    <col min="7167" max="7167" width="9.33333333333333" style="593" customWidth="1"/>
    <col min="7168" max="7168" width="24.6666666666667" style="593" customWidth="1"/>
    <col min="7169" max="7169" width="11" style="593" customWidth="1"/>
    <col min="7170" max="7170" width="7.55238095238095" style="593" customWidth="1"/>
    <col min="7171" max="7171" width="13.552380952381" style="593" customWidth="1"/>
    <col min="7172" max="7172" width="5.43809523809524" style="593" customWidth="1"/>
    <col min="7173" max="7173" width="11.3333333333333" style="593" customWidth="1"/>
    <col min="7174" max="7174" width="5.66666666666667" style="593" customWidth="1"/>
    <col min="7175" max="7175" width="12" style="593" customWidth="1"/>
    <col min="7176" max="7176" width="15.4380952380952" style="593" customWidth="1"/>
    <col min="7177" max="7178" width="15.1047619047619" style="593" customWidth="1"/>
    <col min="7179" max="7179" width="14.3333333333333" style="593" customWidth="1"/>
    <col min="7180" max="7180" width="3.1047619047619" style="593" customWidth="1"/>
    <col min="7181" max="7181" width="6.43809523809524" style="593" customWidth="1"/>
    <col min="7182" max="7421" width="8.88571428571429" style="593"/>
    <col min="7422" max="7422" width="5.55238095238095" style="593" customWidth="1"/>
    <col min="7423" max="7423" width="9.33333333333333" style="593" customWidth="1"/>
    <col min="7424" max="7424" width="24.6666666666667" style="593" customWidth="1"/>
    <col min="7425" max="7425" width="11" style="593" customWidth="1"/>
    <col min="7426" max="7426" width="7.55238095238095" style="593" customWidth="1"/>
    <col min="7427" max="7427" width="13.552380952381" style="593" customWidth="1"/>
    <col min="7428" max="7428" width="5.43809523809524" style="593" customWidth="1"/>
    <col min="7429" max="7429" width="11.3333333333333" style="593" customWidth="1"/>
    <col min="7430" max="7430" width="5.66666666666667" style="593" customWidth="1"/>
    <col min="7431" max="7431" width="12" style="593" customWidth="1"/>
    <col min="7432" max="7432" width="15.4380952380952" style="593" customWidth="1"/>
    <col min="7433" max="7434" width="15.1047619047619" style="593" customWidth="1"/>
    <col min="7435" max="7435" width="14.3333333333333" style="593" customWidth="1"/>
    <col min="7436" max="7436" width="3.1047619047619" style="593" customWidth="1"/>
    <col min="7437" max="7437" width="6.43809523809524" style="593" customWidth="1"/>
    <col min="7438" max="7677" width="8.88571428571429" style="593"/>
    <col min="7678" max="7678" width="5.55238095238095" style="593" customWidth="1"/>
    <col min="7679" max="7679" width="9.33333333333333" style="593" customWidth="1"/>
    <col min="7680" max="7680" width="24.6666666666667" style="593" customWidth="1"/>
    <col min="7681" max="7681" width="11" style="593" customWidth="1"/>
    <col min="7682" max="7682" width="7.55238095238095" style="593" customWidth="1"/>
    <col min="7683" max="7683" width="13.552380952381" style="593" customWidth="1"/>
    <col min="7684" max="7684" width="5.43809523809524" style="593" customWidth="1"/>
    <col min="7685" max="7685" width="11.3333333333333" style="593" customWidth="1"/>
    <col min="7686" max="7686" width="5.66666666666667" style="593" customWidth="1"/>
    <col min="7687" max="7687" width="12" style="593" customWidth="1"/>
    <col min="7688" max="7688" width="15.4380952380952" style="593" customWidth="1"/>
    <col min="7689" max="7690" width="15.1047619047619" style="593" customWidth="1"/>
    <col min="7691" max="7691" width="14.3333333333333" style="593" customWidth="1"/>
    <col min="7692" max="7692" width="3.1047619047619" style="593" customWidth="1"/>
    <col min="7693" max="7693" width="6.43809523809524" style="593" customWidth="1"/>
    <col min="7694" max="7933" width="8.88571428571429" style="593"/>
    <col min="7934" max="7934" width="5.55238095238095" style="593" customWidth="1"/>
    <col min="7935" max="7935" width="9.33333333333333" style="593" customWidth="1"/>
    <col min="7936" max="7936" width="24.6666666666667" style="593" customWidth="1"/>
    <col min="7937" max="7937" width="11" style="593" customWidth="1"/>
    <col min="7938" max="7938" width="7.55238095238095" style="593" customWidth="1"/>
    <col min="7939" max="7939" width="13.552380952381" style="593" customWidth="1"/>
    <col min="7940" max="7940" width="5.43809523809524" style="593" customWidth="1"/>
    <col min="7941" max="7941" width="11.3333333333333" style="593" customWidth="1"/>
    <col min="7942" max="7942" width="5.66666666666667" style="593" customWidth="1"/>
    <col min="7943" max="7943" width="12" style="593" customWidth="1"/>
    <col min="7944" max="7944" width="15.4380952380952" style="593" customWidth="1"/>
    <col min="7945" max="7946" width="15.1047619047619" style="593" customWidth="1"/>
    <col min="7947" max="7947" width="14.3333333333333" style="593" customWidth="1"/>
    <col min="7948" max="7948" width="3.1047619047619" style="593" customWidth="1"/>
    <col min="7949" max="7949" width="6.43809523809524" style="593" customWidth="1"/>
    <col min="7950" max="8189" width="8.88571428571429" style="593"/>
    <col min="8190" max="8190" width="5.55238095238095" style="593" customWidth="1"/>
    <col min="8191" max="8191" width="9.33333333333333" style="593" customWidth="1"/>
    <col min="8192" max="8192" width="24.6666666666667" style="593" customWidth="1"/>
    <col min="8193" max="8193" width="11" style="593" customWidth="1"/>
    <col min="8194" max="8194" width="7.55238095238095" style="593" customWidth="1"/>
    <col min="8195" max="8195" width="13.552380952381" style="593" customWidth="1"/>
    <col min="8196" max="8196" width="5.43809523809524" style="593" customWidth="1"/>
    <col min="8197" max="8197" width="11.3333333333333" style="593" customWidth="1"/>
    <col min="8198" max="8198" width="5.66666666666667" style="593" customWidth="1"/>
    <col min="8199" max="8199" width="12" style="593" customWidth="1"/>
    <col min="8200" max="8200" width="15.4380952380952" style="593" customWidth="1"/>
    <col min="8201" max="8202" width="15.1047619047619" style="593" customWidth="1"/>
    <col min="8203" max="8203" width="14.3333333333333" style="593" customWidth="1"/>
    <col min="8204" max="8204" width="3.1047619047619" style="593" customWidth="1"/>
    <col min="8205" max="8205" width="6.43809523809524" style="593" customWidth="1"/>
    <col min="8206" max="8445" width="8.88571428571429" style="593"/>
    <col min="8446" max="8446" width="5.55238095238095" style="593" customWidth="1"/>
    <col min="8447" max="8447" width="9.33333333333333" style="593" customWidth="1"/>
    <col min="8448" max="8448" width="24.6666666666667" style="593" customWidth="1"/>
    <col min="8449" max="8449" width="11" style="593" customWidth="1"/>
    <col min="8450" max="8450" width="7.55238095238095" style="593" customWidth="1"/>
    <col min="8451" max="8451" width="13.552380952381" style="593" customWidth="1"/>
    <col min="8452" max="8452" width="5.43809523809524" style="593" customWidth="1"/>
    <col min="8453" max="8453" width="11.3333333333333" style="593" customWidth="1"/>
    <col min="8454" max="8454" width="5.66666666666667" style="593" customWidth="1"/>
    <col min="8455" max="8455" width="12" style="593" customWidth="1"/>
    <col min="8456" max="8456" width="15.4380952380952" style="593" customWidth="1"/>
    <col min="8457" max="8458" width="15.1047619047619" style="593" customWidth="1"/>
    <col min="8459" max="8459" width="14.3333333333333" style="593" customWidth="1"/>
    <col min="8460" max="8460" width="3.1047619047619" style="593" customWidth="1"/>
    <col min="8461" max="8461" width="6.43809523809524" style="593" customWidth="1"/>
    <col min="8462" max="8701" width="8.88571428571429" style="593"/>
    <col min="8702" max="8702" width="5.55238095238095" style="593" customWidth="1"/>
    <col min="8703" max="8703" width="9.33333333333333" style="593" customWidth="1"/>
    <col min="8704" max="8704" width="24.6666666666667" style="593" customWidth="1"/>
    <col min="8705" max="8705" width="11" style="593" customWidth="1"/>
    <col min="8706" max="8706" width="7.55238095238095" style="593" customWidth="1"/>
    <col min="8707" max="8707" width="13.552380952381" style="593" customWidth="1"/>
    <col min="8708" max="8708" width="5.43809523809524" style="593" customWidth="1"/>
    <col min="8709" max="8709" width="11.3333333333333" style="593" customWidth="1"/>
    <col min="8710" max="8710" width="5.66666666666667" style="593" customWidth="1"/>
    <col min="8711" max="8711" width="12" style="593" customWidth="1"/>
    <col min="8712" max="8712" width="15.4380952380952" style="593" customWidth="1"/>
    <col min="8713" max="8714" width="15.1047619047619" style="593" customWidth="1"/>
    <col min="8715" max="8715" width="14.3333333333333" style="593" customWidth="1"/>
    <col min="8716" max="8716" width="3.1047619047619" style="593" customWidth="1"/>
    <col min="8717" max="8717" width="6.43809523809524" style="593" customWidth="1"/>
    <col min="8718" max="8957" width="8.88571428571429" style="593"/>
    <col min="8958" max="8958" width="5.55238095238095" style="593" customWidth="1"/>
    <col min="8959" max="8959" width="9.33333333333333" style="593" customWidth="1"/>
    <col min="8960" max="8960" width="24.6666666666667" style="593" customWidth="1"/>
    <col min="8961" max="8961" width="11" style="593" customWidth="1"/>
    <col min="8962" max="8962" width="7.55238095238095" style="593" customWidth="1"/>
    <col min="8963" max="8963" width="13.552380952381" style="593" customWidth="1"/>
    <col min="8964" max="8964" width="5.43809523809524" style="593" customWidth="1"/>
    <col min="8965" max="8965" width="11.3333333333333" style="593" customWidth="1"/>
    <col min="8966" max="8966" width="5.66666666666667" style="593" customWidth="1"/>
    <col min="8967" max="8967" width="12" style="593" customWidth="1"/>
    <col min="8968" max="8968" width="15.4380952380952" style="593" customWidth="1"/>
    <col min="8969" max="8970" width="15.1047619047619" style="593" customWidth="1"/>
    <col min="8971" max="8971" width="14.3333333333333" style="593" customWidth="1"/>
    <col min="8972" max="8972" width="3.1047619047619" style="593" customWidth="1"/>
    <col min="8973" max="8973" width="6.43809523809524" style="593" customWidth="1"/>
    <col min="8974" max="9213" width="8.88571428571429" style="593"/>
    <col min="9214" max="9214" width="5.55238095238095" style="593" customWidth="1"/>
    <col min="9215" max="9215" width="9.33333333333333" style="593" customWidth="1"/>
    <col min="9216" max="9216" width="24.6666666666667" style="593" customWidth="1"/>
    <col min="9217" max="9217" width="11" style="593" customWidth="1"/>
    <col min="9218" max="9218" width="7.55238095238095" style="593" customWidth="1"/>
    <col min="9219" max="9219" width="13.552380952381" style="593" customWidth="1"/>
    <col min="9220" max="9220" width="5.43809523809524" style="593" customWidth="1"/>
    <col min="9221" max="9221" width="11.3333333333333" style="593" customWidth="1"/>
    <col min="9222" max="9222" width="5.66666666666667" style="593" customWidth="1"/>
    <col min="9223" max="9223" width="12" style="593" customWidth="1"/>
    <col min="9224" max="9224" width="15.4380952380952" style="593" customWidth="1"/>
    <col min="9225" max="9226" width="15.1047619047619" style="593" customWidth="1"/>
    <col min="9227" max="9227" width="14.3333333333333" style="593" customWidth="1"/>
    <col min="9228" max="9228" width="3.1047619047619" style="593" customWidth="1"/>
    <col min="9229" max="9229" width="6.43809523809524" style="593" customWidth="1"/>
    <col min="9230" max="9469" width="8.88571428571429" style="593"/>
    <col min="9470" max="9470" width="5.55238095238095" style="593" customWidth="1"/>
    <col min="9471" max="9471" width="9.33333333333333" style="593" customWidth="1"/>
    <col min="9472" max="9472" width="24.6666666666667" style="593" customWidth="1"/>
    <col min="9473" max="9473" width="11" style="593" customWidth="1"/>
    <col min="9474" max="9474" width="7.55238095238095" style="593" customWidth="1"/>
    <col min="9475" max="9475" width="13.552380952381" style="593" customWidth="1"/>
    <col min="9476" max="9476" width="5.43809523809524" style="593" customWidth="1"/>
    <col min="9477" max="9477" width="11.3333333333333" style="593" customWidth="1"/>
    <col min="9478" max="9478" width="5.66666666666667" style="593" customWidth="1"/>
    <col min="9479" max="9479" width="12" style="593" customWidth="1"/>
    <col min="9480" max="9480" width="15.4380952380952" style="593" customWidth="1"/>
    <col min="9481" max="9482" width="15.1047619047619" style="593" customWidth="1"/>
    <col min="9483" max="9483" width="14.3333333333333" style="593" customWidth="1"/>
    <col min="9484" max="9484" width="3.1047619047619" style="593" customWidth="1"/>
    <col min="9485" max="9485" width="6.43809523809524" style="593" customWidth="1"/>
    <col min="9486" max="9725" width="8.88571428571429" style="593"/>
    <col min="9726" max="9726" width="5.55238095238095" style="593" customWidth="1"/>
    <col min="9727" max="9727" width="9.33333333333333" style="593" customWidth="1"/>
    <col min="9728" max="9728" width="24.6666666666667" style="593" customWidth="1"/>
    <col min="9729" max="9729" width="11" style="593" customWidth="1"/>
    <col min="9730" max="9730" width="7.55238095238095" style="593" customWidth="1"/>
    <col min="9731" max="9731" width="13.552380952381" style="593" customWidth="1"/>
    <col min="9732" max="9732" width="5.43809523809524" style="593" customWidth="1"/>
    <col min="9733" max="9733" width="11.3333333333333" style="593" customWidth="1"/>
    <col min="9734" max="9734" width="5.66666666666667" style="593" customWidth="1"/>
    <col min="9735" max="9735" width="12" style="593" customWidth="1"/>
    <col min="9736" max="9736" width="15.4380952380952" style="593" customWidth="1"/>
    <col min="9737" max="9738" width="15.1047619047619" style="593" customWidth="1"/>
    <col min="9739" max="9739" width="14.3333333333333" style="593" customWidth="1"/>
    <col min="9740" max="9740" width="3.1047619047619" style="593" customWidth="1"/>
    <col min="9741" max="9741" width="6.43809523809524" style="593" customWidth="1"/>
    <col min="9742" max="9981" width="8.88571428571429" style="593"/>
    <col min="9982" max="9982" width="5.55238095238095" style="593" customWidth="1"/>
    <col min="9983" max="9983" width="9.33333333333333" style="593" customWidth="1"/>
    <col min="9984" max="9984" width="24.6666666666667" style="593" customWidth="1"/>
    <col min="9985" max="9985" width="11" style="593" customWidth="1"/>
    <col min="9986" max="9986" width="7.55238095238095" style="593" customWidth="1"/>
    <col min="9987" max="9987" width="13.552380952381" style="593" customWidth="1"/>
    <col min="9988" max="9988" width="5.43809523809524" style="593" customWidth="1"/>
    <col min="9989" max="9989" width="11.3333333333333" style="593" customWidth="1"/>
    <col min="9990" max="9990" width="5.66666666666667" style="593" customWidth="1"/>
    <col min="9991" max="9991" width="12" style="593" customWidth="1"/>
    <col min="9992" max="9992" width="15.4380952380952" style="593" customWidth="1"/>
    <col min="9993" max="9994" width="15.1047619047619" style="593" customWidth="1"/>
    <col min="9995" max="9995" width="14.3333333333333" style="593" customWidth="1"/>
    <col min="9996" max="9996" width="3.1047619047619" style="593" customWidth="1"/>
    <col min="9997" max="9997" width="6.43809523809524" style="593" customWidth="1"/>
    <col min="9998" max="10237" width="8.88571428571429" style="593"/>
    <col min="10238" max="10238" width="5.55238095238095" style="593" customWidth="1"/>
    <col min="10239" max="10239" width="9.33333333333333" style="593" customWidth="1"/>
    <col min="10240" max="10240" width="24.6666666666667" style="593" customWidth="1"/>
    <col min="10241" max="10241" width="11" style="593" customWidth="1"/>
    <col min="10242" max="10242" width="7.55238095238095" style="593" customWidth="1"/>
    <col min="10243" max="10243" width="13.552380952381" style="593" customWidth="1"/>
    <col min="10244" max="10244" width="5.43809523809524" style="593" customWidth="1"/>
    <col min="10245" max="10245" width="11.3333333333333" style="593" customWidth="1"/>
    <col min="10246" max="10246" width="5.66666666666667" style="593" customWidth="1"/>
    <col min="10247" max="10247" width="12" style="593" customWidth="1"/>
    <col min="10248" max="10248" width="15.4380952380952" style="593" customWidth="1"/>
    <col min="10249" max="10250" width="15.1047619047619" style="593" customWidth="1"/>
    <col min="10251" max="10251" width="14.3333333333333" style="593" customWidth="1"/>
    <col min="10252" max="10252" width="3.1047619047619" style="593" customWidth="1"/>
    <col min="10253" max="10253" width="6.43809523809524" style="593" customWidth="1"/>
    <col min="10254" max="10493" width="8.88571428571429" style="593"/>
    <col min="10494" max="10494" width="5.55238095238095" style="593" customWidth="1"/>
    <col min="10495" max="10495" width="9.33333333333333" style="593" customWidth="1"/>
    <col min="10496" max="10496" width="24.6666666666667" style="593" customWidth="1"/>
    <col min="10497" max="10497" width="11" style="593" customWidth="1"/>
    <col min="10498" max="10498" width="7.55238095238095" style="593" customWidth="1"/>
    <col min="10499" max="10499" width="13.552380952381" style="593" customWidth="1"/>
    <col min="10500" max="10500" width="5.43809523809524" style="593" customWidth="1"/>
    <col min="10501" max="10501" width="11.3333333333333" style="593" customWidth="1"/>
    <col min="10502" max="10502" width="5.66666666666667" style="593" customWidth="1"/>
    <col min="10503" max="10503" width="12" style="593" customWidth="1"/>
    <col min="10504" max="10504" width="15.4380952380952" style="593" customWidth="1"/>
    <col min="10505" max="10506" width="15.1047619047619" style="593" customWidth="1"/>
    <col min="10507" max="10507" width="14.3333333333333" style="593" customWidth="1"/>
    <col min="10508" max="10508" width="3.1047619047619" style="593" customWidth="1"/>
    <col min="10509" max="10509" width="6.43809523809524" style="593" customWidth="1"/>
    <col min="10510" max="10749" width="8.88571428571429" style="593"/>
    <col min="10750" max="10750" width="5.55238095238095" style="593" customWidth="1"/>
    <col min="10751" max="10751" width="9.33333333333333" style="593" customWidth="1"/>
    <col min="10752" max="10752" width="24.6666666666667" style="593" customWidth="1"/>
    <col min="10753" max="10753" width="11" style="593" customWidth="1"/>
    <col min="10754" max="10754" width="7.55238095238095" style="593" customWidth="1"/>
    <col min="10755" max="10755" width="13.552380952381" style="593" customWidth="1"/>
    <col min="10756" max="10756" width="5.43809523809524" style="593" customWidth="1"/>
    <col min="10757" max="10757" width="11.3333333333333" style="593" customWidth="1"/>
    <col min="10758" max="10758" width="5.66666666666667" style="593" customWidth="1"/>
    <col min="10759" max="10759" width="12" style="593" customWidth="1"/>
    <col min="10760" max="10760" width="15.4380952380952" style="593" customWidth="1"/>
    <col min="10761" max="10762" width="15.1047619047619" style="593" customWidth="1"/>
    <col min="10763" max="10763" width="14.3333333333333" style="593" customWidth="1"/>
    <col min="10764" max="10764" width="3.1047619047619" style="593" customWidth="1"/>
    <col min="10765" max="10765" width="6.43809523809524" style="593" customWidth="1"/>
    <col min="10766" max="11005" width="8.88571428571429" style="593"/>
    <col min="11006" max="11006" width="5.55238095238095" style="593" customWidth="1"/>
    <col min="11007" max="11007" width="9.33333333333333" style="593" customWidth="1"/>
    <col min="11008" max="11008" width="24.6666666666667" style="593" customWidth="1"/>
    <col min="11009" max="11009" width="11" style="593" customWidth="1"/>
    <col min="11010" max="11010" width="7.55238095238095" style="593" customWidth="1"/>
    <col min="11011" max="11011" width="13.552380952381" style="593" customWidth="1"/>
    <col min="11012" max="11012" width="5.43809523809524" style="593" customWidth="1"/>
    <col min="11013" max="11013" width="11.3333333333333" style="593" customWidth="1"/>
    <col min="11014" max="11014" width="5.66666666666667" style="593" customWidth="1"/>
    <col min="11015" max="11015" width="12" style="593" customWidth="1"/>
    <col min="11016" max="11016" width="15.4380952380952" style="593" customWidth="1"/>
    <col min="11017" max="11018" width="15.1047619047619" style="593" customWidth="1"/>
    <col min="11019" max="11019" width="14.3333333333333" style="593" customWidth="1"/>
    <col min="11020" max="11020" width="3.1047619047619" style="593" customWidth="1"/>
    <col min="11021" max="11021" width="6.43809523809524" style="593" customWidth="1"/>
    <col min="11022" max="11261" width="8.88571428571429" style="593"/>
    <col min="11262" max="11262" width="5.55238095238095" style="593" customWidth="1"/>
    <col min="11263" max="11263" width="9.33333333333333" style="593" customWidth="1"/>
    <col min="11264" max="11264" width="24.6666666666667" style="593" customWidth="1"/>
    <col min="11265" max="11265" width="11" style="593" customWidth="1"/>
    <col min="11266" max="11266" width="7.55238095238095" style="593" customWidth="1"/>
    <col min="11267" max="11267" width="13.552380952381" style="593" customWidth="1"/>
    <col min="11268" max="11268" width="5.43809523809524" style="593" customWidth="1"/>
    <col min="11269" max="11269" width="11.3333333333333" style="593" customWidth="1"/>
    <col min="11270" max="11270" width="5.66666666666667" style="593" customWidth="1"/>
    <col min="11271" max="11271" width="12" style="593" customWidth="1"/>
    <col min="11272" max="11272" width="15.4380952380952" style="593" customWidth="1"/>
    <col min="11273" max="11274" width="15.1047619047619" style="593" customWidth="1"/>
    <col min="11275" max="11275" width="14.3333333333333" style="593" customWidth="1"/>
    <col min="11276" max="11276" width="3.1047619047619" style="593" customWidth="1"/>
    <col min="11277" max="11277" width="6.43809523809524" style="593" customWidth="1"/>
    <col min="11278" max="11517" width="8.88571428571429" style="593"/>
    <col min="11518" max="11518" width="5.55238095238095" style="593" customWidth="1"/>
    <col min="11519" max="11519" width="9.33333333333333" style="593" customWidth="1"/>
    <col min="11520" max="11520" width="24.6666666666667" style="593" customWidth="1"/>
    <col min="11521" max="11521" width="11" style="593" customWidth="1"/>
    <col min="11522" max="11522" width="7.55238095238095" style="593" customWidth="1"/>
    <col min="11523" max="11523" width="13.552380952381" style="593" customWidth="1"/>
    <col min="11524" max="11524" width="5.43809523809524" style="593" customWidth="1"/>
    <col min="11525" max="11525" width="11.3333333333333" style="593" customWidth="1"/>
    <col min="11526" max="11526" width="5.66666666666667" style="593" customWidth="1"/>
    <col min="11527" max="11527" width="12" style="593" customWidth="1"/>
    <col min="11528" max="11528" width="15.4380952380952" style="593" customWidth="1"/>
    <col min="11529" max="11530" width="15.1047619047619" style="593" customWidth="1"/>
    <col min="11531" max="11531" width="14.3333333333333" style="593" customWidth="1"/>
    <col min="11532" max="11532" width="3.1047619047619" style="593" customWidth="1"/>
    <col min="11533" max="11533" width="6.43809523809524" style="593" customWidth="1"/>
    <col min="11534" max="11773" width="8.88571428571429" style="593"/>
    <col min="11774" max="11774" width="5.55238095238095" style="593" customWidth="1"/>
    <col min="11775" max="11775" width="9.33333333333333" style="593" customWidth="1"/>
    <col min="11776" max="11776" width="24.6666666666667" style="593" customWidth="1"/>
    <col min="11777" max="11777" width="11" style="593" customWidth="1"/>
    <col min="11778" max="11778" width="7.55238095238095" style="593" customWidth="1"/>
    <col min="11779" max="11779" width="13.552380952381" style="593" customWidth="1"/>
    <col min="11780" max="11780" width="5.43809523809524" style="593" customWidth="1"/>
    <col min="11781" max="11781" width="11.3333333333333" style="593" customWidth="1"/>
    <col min="11782" max="11782" width="5.66666666666667" style="593" customWidth="1"/>
    <col min="11783" max="11783" width="12" style="593" customWidth="1"/>
    <col min="11784" max="11784" width="15.4380952380952" style="593" customWidth="1"/>
    <col min="11785" max="11786" width="15.1047619047619" style="593" customWidth="1"/>
    <col min="11787" max="11787" width="14.3333333333333" style="593" customWidth="1"/>
    <col min="11788" max="11788" width="3.1047619047619" style="593" customWidth="1"/>
    <col min="11789" max="11789" width="6.43809523809524" style="593" customWidth="1"/>
    <col min="11790" max="12029" width="8.88571428571429" style="593"/>
    <col min="12030" max="12030" width="5.55238095238095" style="593" customWidth="1"/>
    <col min="12031" max="12031" width="9.33333333333333" style="593" customWidth="1"/>
    <col min="12032" max="12032" width="24.6666666666667" style="593" customWidth="1"/>
    <col min="12033" max="12033" width="11" style="593" customWidth="1"/>
    <col min="12034" max="12034" width="7.55238095238095" style="593" customWidth="1"/>
    <col min="12035" max="12035" width="13.552380952381" style="593" customWidth="1"/>
    <col min="12036" max="12036" width="5.43809523809524" style="593" customWidth="1"/>
    <col min="12037" max="12037" width="11.3333333333333" style="593" customWidth="1"/>
    <col min="12038" max="12038" width="5.66666666666667" style="593" customWidth="1"/>
    <col min="12039" max="12039" width="12" style="593" customWidth="1"/>
    <col min="12040" max="12040" width="15.4380952380952" style="593" customWidth="1"/>
    <col min="12041" max="12042" width="15.1047619047619" style="593" customWidth="1"/>
    <col min="12043" max="12043" width="14.3333333333333" style="593" customWidth="1"/>
    <col min="12044" max="12044" width="3.1047619047619" style="593" customWidth="1"/>
    <col min="12045" max="12045" width="6.43809523809524" style="593" customWidth="1"/>
    <col min="12046" max="12285" width="8.88571428571429" style="593"/>
    <col min="12286" max="12286" width="5.55238095238095" style="593" customWidth="1"/>
    <col min="12287" max="12287" width="9.33333333333333" style="593" customWidth="1"/>
    <col min="12288" max="12288" width="24.6666666666667" style="593" customWidth="1"/>
    <col min="12289" max="12289" width="11" style="593" customWidth="1"/>
    <col min="12290" max="12290" width="7.55238095238095" style="593" customWidth="1"/>
    <col min="12291" max="12291" width="13.552380952381" style="593" customWidth="1"/>
    <col min="12292" max="12292" width="5.43809523809524" style="593" customWidth="1"/>
    <col min="12293" max="12293" width="11.3333333333333" style="593" customWidth="1"/>
    <col min="12294" max="12294" width="5.66666666666667" style="593" customWidth="1"/>
    <col min="12295" max="12295" width="12" style="593" customWidth="1"/>
    <col min="12296" max="12296" width="15.4380952380952" style="593" customWidth="1"/>
    <col min="12297" max="12298" width="15.1047619047619" style="593" customWidth="1"/>
    <col min="12299" max="12299" width="14.3333333333333" style="593" customWidth="1"/>
    <col min="12300" max="12300" width="3.1047619047619" style="593" customWidth="1"/>
    <col min="12301" max="12301" width="6.43809523809524" style="593" customWidth="1"/>
    <col min="12302" max="12541" width="8.88571428571429" style="593"/>
    <col min="12542" max="12542" width="5.55238095238095" style="593" customWidth="1"/>
    <col min="12543" max="12543" width="9.33333333333333" style="593" customWidth="1"/>
    <col min="12544" max="12544" width="24.6666666666667" style="593" customWidth="1"/>
    <col min="12545" max="12545" width="11" style="593" customWidth="1"/>
    <col min="12546" max="12546" width="7.55238095238095" style="593" customWidth="1"/>
    <col min="12547" max="12547" width="13.552380952381" style="593" customWidth="1"/>
    <col min="12548" max="12548" width="5.43809523809524" style="593" customWidth="1"/>
    <col min="12549" max="12549" width="11.3333333333333" style="593" customWidth="1"/>
    <col min="12550" max="12550" width="5.66666666666667" style="593" customWidth="1"/>
    <col min="12551" max="12551" width="12" style="593" customWidth="1"/>
    <col min="12552" max="12552" width="15.4380952380952" style="593" customWidth="1"/>
    <col min="12553" max="12554" width="15.1047619047619" style="593" customWidth="1"/>
    <col min="12555" max="12555" width="14.3333333333333" style="593" customWidth="1"/>
    <col min="12556" max="12556" width="3.1047619047619" style="593" customWidth="1"/>
    <col min="12557" max="12557" width="6.43809523809524" style="593" customWidth="1"/>
    <col min="12558" max="12797" width="8.88571428571429" style="593"/>
    <col min="12798" max="12798" width="5.55238095238095" style="593" customWidth="1"/>
    <col min="12799" max="12799" width="9.33333333333333" style="593" customWidth="1"/>
    <col min="12800" max="12800" width="24.6666666666667" style="593" customWidth="1"/>
    <col min="12801" max="12801" width="11" style="593" customWidth="1"/>
    <col min="12802" max="12802" width="7.55238095238095" style="593" customWidth="1"/>
    <col min="12803" max="12803" width="13.552380952381" style="593" customWidth="1"/>
    <col min="12804" max="12804" width="5.43809523809524" style="593" customWidth="1"/>
    <col min="12805" max="12805" width="11.3333333333333" style="593" customWidth="1"/>
    <col min="12806" max="12806" width="5.66666666666667" style="593" customWidth="1"/>
    <col min="12807" max="12807" width="12" style="593" customWidth="1"/>
    <col min="12808" max="12808" width="15.4380952380952" style="593" customWidth="1"/>
    <col min="12809" max="12810" width="15.1047619047619" style="593" customWidth="1"/>
    <col min="12811" max="12811" width="14.3333333333333" style="593" customWidth="1"/>
    <col min="12812" max="12812" width="3.1047619047619" style="593" customWidth="1"/>
    <col min="12813" max="12813" width="6.43809523809524" style="593" customWidth="1"/>
    <col min="12814" max="13053" width="8.88571428571429" style="593"/>
    <col min="13054" max="13054" width="5.55238095238095" style="593" customWidth="1"/>
    <col min="13055" max="13055" width="9.33333333333333" style="593" customWidth="1"/>
    <col min="13056" max="13056" width="24.6666666666667" style="593" customWidth="1"/>
    <col min="13057" max="13057" width="11" style="593" customWidth="1"/>
    <col min="13058" max="13058" width="7.55238095238095" style="593" customWidth="1"/>
    <col min="13059" max="13059" width="13.552380952381" style="593" customWidth="1"/>
    <col min="13060" max="13060" width="5.43809523809524" style="593" customWidth="1"/>
    <col min="13061" max="13061" width="11.3333333333333" style="593" customWidth="1"/>
    <col min="13062" max="13062" width="5.66666666666667" style="593" customWidth="1"/>
    <col min="13063" max="13063" width="12" style="593" customWidth="1"/>
    <col min="13064" max="13064" width="15.4380952380952" style="593" customWidth="1"/>
    <col min="13065" max="13066" width="15.1047619047619" style="593" customWidth="1"/>
    <col min="13067" max="13067" width="14.3333333333333" style="593" customWidth="1"/>
    <col min="13068" max="13068" width="3.1047619047619" style="593" customWidth="1"/>
    <col min="13069" max="13069" width="6.43809523809524" style="593" customWidth="1"/>
    <col min="13070" max="13309" width="8.88571428571429" style="593"/>
    <col min="13310" max="13310" width="5.55238095238095" style="593" customWidth="1"/>
    <col min="13311" max="13311" width="9.33333333333333" style="593" customWidth="1"/>
    <col min="13312" max="13312" width="24.6666666666667" style="593" customWidth="1"/>
    <col min="13313" max="13313" width="11" style="593" customWidth="1"/>
    <col min="13314" max="13314" width="7.55238095238095" style="593" customWidth="1"/>
    <col min="13315" max="13315" width="13.552380952381" style="593" customWidth="1"/>
    <col min="13316" max="13316" width="5.43809523809524" style="593" customWidth="1"/>
    <col min="13317" max="13317" width="11.3333333333333" style="593" customWidth="1"/>
    <col min="13318" max="13318" width="5.66666666666667" style="593" customWidth="1"/>
    <col min="13319" max="13319" width="12" style="593" customWidth="1"/>
    <col min="13320" max="13320" width="15.4380952380952" style="593" customWidth="1"/>
    <col min="13321" max="13322" width="15.1047619047619" style="593" customWidth="1"/>
    <col min="13323" max="13323" width="14.3333333333333" style="593" customWidth="1"/>
    <col min="13324" max="13324" width="3.1047619047619" style="593" customWidth="1"/>
    <col min="13325" max="13325" width="6.43809523809524" style="593" customWidth="1"/>
    <col min="13326" max="13565" width="8.88571428571429" style="593"/>
    <col min="13566" max="13566" width="5.55238095238095" style="593" customWidth="1"/>
    <col min="13567" max="13567" width="9.33333333333333" style="593" customWidth="1"/>
    <col min="13568" max="13568" width="24.6666666666667" style="593" customWidth="1"/>
    <col min="13569" max="13569" width="11" style="593" customWidth="1"/>
    <col min="13570" max="13570" width="7.55238095238095" style="593" customWidth="1"/>
    <col min="13571" max="13571" width="13.552380952381" style="593" customWidth="1"/>
    <col min="13572" max="13572" width="5.43809523809524" style="593" customWidth="1"/>
    <col min="13573" max="13573" width="11.3333333333333" style="593" customWidth="1"/>
    <col min="13574" max="13574" width="5.66666666666667" style="593" customWidth="1"/>
    <col min="13575" max="13575" width="12" style="593" customWidth="1"/>
    <col min="13576" max="13576" width="15.4380952380952" style="593" customWidth="1"/>
    <col min="13577" max="13578" width="15.1047619047619" style="593" customWidth="1"/>
    <col min="13579" max="13579" width="14.3333333333333" style="593" customWidth="1"/>
    <col min="13580" max="13580" width="3.1047619047619" style="593" customWidth="1"/>
    <col min="13581" max="13581" width="6.43809523809524" style="593" customWidth="1"/>
    <col min="13582" max="13821" width="8.88571428571429" style="593"/>
    <col min="13822" max="13822" width="5.55238095238095" style="593" customWidth="1"/>
    <col min="13823" max="13823" width="9.33333333333333" style="593" customWidth="1"/>
    <col min="13824" max="13824" width="24.6666666666667" style="593" customWidth="1"/>
    <col min="13825" max="13825" width="11" style="593" customWidth="1"/>
    <col min="13826" max="13826" width="7.55238095238095" style="593" customWidth="1"/>
    <col min="13827" max="13827" width="13.552380952381" style="593" customWidth="1"/>
    <col min="13828" max="13828" width="5.43809523809524" style="593" customWidth="1"/>
    <col min="13829" max="13829" width="11.3333333333333" style="593" customWidth="1"/>
    <col min="13830" max="13830" width="5.66666666666667" style="593" customWidth="1"/>
    <col min="13831" max="13831" width="12" style="593" customWidth="1"/>
    <col min="13832" max="13832" width="15.4380952380952" style="593" customWidth="1"/>
    <col min="13833" max="13834" width="15.1047619047619" style="593" customWidth="1"/>
    <col min="13835" max="13835" width="14.3333333333333" style="593" customWidth="1"/>
    <col min="13836" max="13836" width="3.1047619047619" style="593" customWidth="1"/>
    <col min="13837" max="13837" width="6.43809523809524" style="593" customWidth="1"/>
    <col min="13838" max="14077" width="8.88571428571429" style="593"/>
    <col min="14078" max="14078" width="5.55238095238095" style="593" customWidth="1"/>
    <col min="14079" max="14079" width="9.33333333333333" style="593" customWidth="1"/>
    <col min="14080" max="14080" width="24.6666666666667" style="593" customWidth="1"/>
    <col min="14081" max="14081" width="11" style="593" customWidth="1"/>
    <col min="14082" max="14082" width="7.55238095238095" style="593" customWidth="1"/>
    <col min="14083" max="14083" width="13.552380952381" style="593" customWidth="1"/>
    <col min="14084" max="14084" width="5.43809523809524" style="593" customWidth="1"/>
    <col min="14085" max="14085" width="11.3333333333333" style="593" customWidth="1"/>
    <col min="14086" max="14086" width="5.66666666666667" style="593" customWidth="1"/>
    <col min="14087" max="14087" width="12" style="593" customWidth="1"/>
    <col min="14088" max="14088" width="15.4380952380952" style="593" customWidth="1"/>
    <col min="14089" max="14090" width="15.1047619047619" style="593" customWidth="1"/>
    <col min="14091" max="14091" width="14.3333333333333" style="593" customWidth="1"/>
    <col min="14092" max="14092" width="3.1047619047619" style="593" customWidth="1"/>
    <col min="14093" max="14093" width="6.43809523809524" style="593" customWidth="1"/>
    <col min="14094" max="14333" width="8.88571428571429" style="593"/>
    <col min="14334" max="14334" width="5.55238095238095" style="593" customWidth="1"/>
    <col min="14335" max="14335" width="9.33333333333333" style="593" customWidth="1"/>
    <col min="14336" max="14336" width="24.6666666666667" style="593" customWidth="1"/>
    <col min="14337" max="14337" width="11" style="593" customWidth="1"/>
    <col min="14338" max="14338" width="7.55238095238095" style="593" customWidth="1"/>
    <col min="14339" max="14339" width="13.552380952381" style="593" customWidth="1"/>
    <col min="14340" max="14340" width="5.43809523809524" style="593" customWidth="1"/>
    <col min="14341" max="14341" width="11.3333333333333" style="593" customWidth="1"/>
    <col min="14342" max="14342" width="5.66666666666667" style="593" customWidth="1"/>
    <col min="14343" max="14343" width="12" style="593" customWidth="1"/>
    <col min="14344" max="14344" width="15.4380952380952" style="593" customWidth="1"/>
    <col min="14345" max="14346" width="15.1047619047619" style="593" customWidth="1"/>
    <col min="14347" max="14347" width="14.3333333333333" style="593" customWidth="1"/>
    <col min="14348" max="14348" width="3.1047619047619" style="593" customWidth="1"/>
    <col min="14349" max="14349" width="6.43809523809524" style="593" customWidth="1"/>
    <col min="14350" max="14589" width="8.88571428571429" style="593"/>
    <col min="14590" max="14590" width="5.55238095238095" style="593" customWidth="1"/>
    <col min="14591" max="14591" width="9.33333333333333" style="593" customWidth="1"/>
    <col min="14592" max="14592" width="24.6666666666667" style="593" customWidth="1"/>
    <col min="14593" max="14593" width="11" style="593" customWidth="1"/>
    <col min="14594" max="14594" width="7.55238095238095" style="593" customWidth="1"/>
    <col min="14595" max="14595" width="13.552380952381" style="593" customWidth="1"/>
    <col min="14596" max="14596" width="5.43809523809524" style="593" customWidth="1"/>
    <col min="14597" max="14597" width="11.3333333333333" style="593" customWidth="1"/>
    <col min="14598" max="14598" width="5.66666666666667" style="593" customWidth="1"/>
    <col min="14599" max="14599" width="12" style="593" customWidth="1"/>
    <col min="14600" max="14600" width="15.4380952380952" style="593" customWidth="1"/>
    <col min="14601" max="14602" width="15.1047619047619" style="593" customWidth="1"/>
    <col min="14603" max="14603" width="14.3333333333333" style="593" customWidth="1"/>
    <col min="14604" max="14604" width="3.1047619047619" style="593" customWidth="1"/>
    <col min="14605" max="14605" width="6.43809523809524" style="593" customWidth="1"/>
    <col min="14606" max="14845" width="8.88571428571429" style="593"/>
    <col min="14846" max="14846" width="5.55238095238095" style="593" customWidth="1"/>
    <col min="14847" max="14847" width="9.33333333333333" style="593" customWidth="1"/>
    <col min="14848" max="14848" width="24.6666666666667" style="593" customWidth="1"/>
    <col min="14849" max="14849" width="11" style="593" customWidth="1"/>
    <col min="14850" max="14850" width="7.55238095238095" style="593" customWidth="1"/>
    <col min="14851" max="14851" width="13.552380952381" style="593" customWidth="1"/>
    <col min="14852" max="14852" width="5.43809523809524" style="593" customWidth="1"/>
    <col min="14853" max="14853" width="11.3333333333333" style="593" customWidth="1"/>
    <col min="14854" max="14854" width="5.66666666666667" style="593" customWidth="1"/>
    <col min="14855" max="14855" width="12" style="593" customWidth="1"/>
    <col min="14856" max="14856" width="15.4380952380952" style="593" customWidth="1"/>
    <col min="14857" max="14858" width="15.1047619047619" style="593" customWidth="1"/>
    <col min="14859" max="14859" width="14.3333333333333" style="593" customWidth="1"/>
    <col min="14860" max="14860" width="3.1047619047619" style="593" customWidth="1"/>
    <col min="14861" max="14861" width="6.43809523809524" style="593" customWidth="1"/>
    <col min="14862" max="15101" width="8.88571428571429" style="593"/>
    <col min="15102" max="15102" width="5.55238095238095" style="593" customWidth="1"/>
    <col min="15103" max="15103" width="9.33333333333333" style="593" customWidth="1"/>
    <col min="15104" max="15104" width="24.6666666666667" style="593" customWidth="1"/>
    <col min="15105" max="15105" width="11" style="593" customWidth="1"/>
    <col min="15106" max="15106" width="7.55238095238095" style="593" customWidth="1"/>
    <col min="15107" max="15107" width="13.552380952381" style="593" customWidth="1"/>
    <col min="15108" max="15108" width="5.43809523809524" style="593" customWidth="1"/>
    <col min="15109" max="15109" width="11.3333333333333" style="593" customWidth="1"/>
    <col min="15110" max="15110" width="5.66666666666667" style="593" customWidth="1"/>
    <col min="15111" max="15111" width="12" style="593" customWidth="1"/>
    <col min="15112" max="15112" width="15.4380952380952" style="593" customWidth="1"/>
    <col min="15113" max="15114" width="15.1047619047619" style="593" customWidth="1"/>
    <col min="15115" max="15115" width="14.3333333333333" style="593" customWidth="1"/>
    <col min="15116" max="15116" width="3.1047619047619" style="593" customWidth="1"/>
    <col min="15117" max="15117" width="6.43809523809524" style="593" customWidth="1"/>
    <col min="15118" max="15357" width="8.88571428571429" style="593"/>
    <col min="15358" max="15358" width="5.55238095238095" style="593" customWidth="1"/>
    <col min="15359" max="15359" width="9.33333333333333" style="593" customWidth="1"/>
    <col min="15360" max="15360" width="24.6666666666667" style="593" customWidth="1"/>
    <col min="15361" max="15361" width="11" style="593" customWidth="1"/>
    <col min="15362" max="15362" width="7.55238095238095" style="593" customWidth="1"/>
    <col min="15363" max="15363" width="13.552380952381" style="593" customWidth="1"/>
    <col min="15364" max="15364" width="5.43809523809524" style="593" customWidth="1"/>
    <col min="15365" max="15365" width="11.3333333333333" style="593" customWidth="1"/>
    <col min="15366" max="15366" width="5.66666666666667" style="593" customWidth="1"/>
    <col min="15367" max="15367" width="12" style="593" customWidth="1"/>
    <col min="15368" max="15368" width="15.4380952380952" style="593" customWidth="1"/>
    <col min="15369" max="15370" width="15.1047619047619" style="593" customWidth="1"/>
    <col min="15371" max="15371" width="14.3333333333333" style="593" customWidth="1"/>
    <col min="15372" max="15372" width="3.1047619047619" style="593" customWidth="1"/>
    <col min="15373" max="15373" width="6.43809523809524" style="593" customWidth="1"/>
    <col min="15374" max="15613" width="8.88571428571429" style="593"/>
    <col min="15614" max="15614" width="5.55238095238095" style="593" customWidth="1"/>
    <col min="15615" max="15615" width="9.33333333333333" style="593" customWidth="1"/>
    <col min="15616" max="15616" width="24.6666666666667" style="593" customWidth="1"/>
    <col min="15617" max="15617" width="11" style="593" customWidth="1"/>
    <col min="15618" max="15618" width="7.55238095238095" style="593" customWidth="1"/>
    <col min="15619" max="15619" width="13.552380952381" style="593" customWidth="1"/>
    <col min="15620" max="15620" width="5.43809523809524" style="593" customWidth="1"/>
    <col min="15621" max="15621" width="11.3333333333333" style="593" customWidth="1"/>
    <col min="15622" max="15622" width="5.66666666666667" style="593" customWidth="1"/>
    <col min="15623" max="15623" width="12" style="593" customWidth="1"/>
    <col min="15624" max="15624" width="15.4380952380952" style="593" customWidth="1"/>
    <col min="15625" max="15626" width="15.1047619047619" style="593" customWidth="1"/>
    <col min="15627" max="15627" width="14.3333333333333" style="593" customWidth="1"/>
    <col min="15628" max="15628" width="3.1047619047619" style="593" customWidth="1"/>
    <col min="15629" max="15629" width="6.43809523809524" style="593" customWidth="1"/>
    <col min="15630" max="15869" width="8.88571428571429" style="593"/>
    <col min="15870" max="15870" width="5.55238095238095" style="593" customWidth="1"/>
    <col min="15871" max="15871" width="9.33333333333333" style="593" customWidth="1"/>
    <col min="15872" max="15872" width="24.6666666666667" style="593" customWidth="1"/>
    <col min="15873" max="15873" width="11" style="593" customWidth="1"/>
    <col min="15874" max="15874" width="7.55238095238095" style="593" customWidth="1"/>
    <col min="15875" max="15875" width="13.552380952381" style="593" customWidth="1"/>
    <col min="15876" max="15876" width="5.43809523809524" style="593" customWidth="1"/>
    <col min="15877" max="15877" width="11.3333333333333" style="593" customWidth="1"/>
    <col min="15878" max="15878" width="5.66666666666667" style="593" customWidth="1"/>
    <col min="15879" max="15879" width="12" style="593" customWidth="1"/>
    <col min="15880" max="15880" width="15.4380952380952" style="593" customWidth="1"/>
    <col min="15881" max="15882" width="15.1047619047619" style="593" customWidth="1"/>
    <col min="15883" max="15883" width="14.3333333333333" style="593" customWidth="1"/>
    <col min="15884" max="15884" width="3.1047619047619" style="593" customWidth="1"/>
    <col min="15885" max="15885" width="6.43809523809524" style="593" customWidth="1"/>
    <col min="15886" max="16125" width="8.88571428571429" style="593"/>
    <col min="16126" max="16126" width="5.55238095238095" style="593" customWidth="1"/>
    <col min="16127" max="16127" width="9.33333333333333" style="593" customWidth="1"/>
    <col min="16128" max="16128" width="24.6666666666667" style="593" customWidth="1"/>
    <col min="16129" max="16129" width="11" style="593" customWidth="1"/>
    <col min="16130" max="16130" width="7.55238095238095" style="593" customWidth="1"/>
    <col min="16131" max="16131" width="13.552380952381" style="593" customWidth="1"/>
    <col min="16132" max="16132" width="5.43809523809524" style="593" customWidth="1"/>
    <col min="16133" max="16133" width="11.3333333333333" style="593" customWidth="1"/>
    <col min="16134" max="16134" width="5.66666666666667" style="593" customWidth="1"/>
    <col min="16135" max="16135" width="12" style="593" customWidth="1"/>
    <col min="16136" max="16136" width="15.4380952380952" style="593" customWidth="1"/>
    <col min="16137" max="16138" width="15.1047619047619" style="593" customWidth="1"/>
    <col min="16139" max="16139" width="14.3333333333333" style="593" customWidth="1"/>
    <col min="16140" max="16140" width="3.1047619047619" style="593" customWidth="1"/>
    <col min="16141" max="16141" width="6.43809523809524" style="593" customWidth="1"/>
    <col min="16142" max="16384" width="8.88571428571429" style="593"/>
  </cols>
  <sheetData>
    <row r="1" spans="1:13">
      <c r="A1" s="682" t="s">
        <v>129</v>
      </c>
      <c r="B1" s="682"/>
      <c r="C1" s="682"/>
      <c r="D1" s="682"/>
      <c r="E1" s="682"/>
      <c r="F1" s="682"/>
      <c r="G1" s="682"/>
      <c r="H1" s="682"/>
      <c r="I1" s="682"/>
      <c r="J1" s="682"/>
      <c r="K1" s="682"/>
      <c r="L1" s="682"/>
      <c r="M1" s="682"/>
    </row>
    <row r="2" ht="31.2" customHeight="1" spans="1:13">
      <c r="A2" s="683"/>
      <c r="B2" s="683"/>
      <c r="C2" s="683"/>
      <c r="D2" s="683"/>
      <c r="E2" s="683"/>
      <c r="F2" s="683"/>
      <c r="G2" s="683"/>
      <c r="H2" s="683"/>
      <c r="I2" s="683"/>
      <c r="J2" s="683"/>
      <c r="K2" s="683"/>
      <c r="L2" s="683"/>
      <c r="M2" s="683"/>
    </row>
    <row r="3" ht="35.4" customHeight="1" spans="1:13">
      <c r="A3" s="684" t="s">
        <v>1</v>
      </c>
      <c r="B3" s="685" t="s">
        <v>3</v>
      </c>
      <c r="C3" s="685" t="s">
        <v>4</v>
      </c>
      <c r="D3" s="685" t="s">
        <v>130</v>
      </c>
      <c r="E3" s="685" t="s">
        <v>131</v>
      </c>
      <c r="F3" s="686" t="s">
        <v>132</v>
      </c>
      <c r="G3" s="686" t="s">
        <v>133</v>
      </c>
      <c r="H3" s="687" t="s">
        <v>134</v>
      </c>
      <c r="I3" s="685" t="s">
        <v>135</v>
      </c>
      <c r="J3" s="685"/>
      <c r="K3" s="686" t="s">
        <v>132</v>
      </c>
      <c r="L3" s="688" t="s">
        <v>113</v>
      </c>
      <c r="M3" s="689" t="s">
        <v>136</v>
      </c>
    </row>
    <row r="4" ht="30" customHeight="1" spans="1:13">
      <c r="A4" s="690">
        <v>1</v>
      </c>
      <c r="B4" s="691">
        <v>46034</v>
      </c>
      <c r="C4" s="692" t="s">
        <v>137</v>
      </c>
      <c r="D4" s="692"/>
      <c r="E4" s="693">
        <v>252500000</v>
      </c>
      <c r="F4" s="693">
        <v>77.7267</v>
      </c>
      <c r="G4" s="694">
        <f>E4/F4</f>
        <v>3248561.94846816</v>
      </c>
      <c r="H4" s="695"/>
      <c r="I4" s="696"/>
      <c r="J4" s="621"/>
      <c r="K4" s="697"/>
      <c r="L4" s="696"/>
      <c r="M4" s="694"/>
    </row>
    <row r="5" ht="30" customHeight="1" spans="1:13">
      <c r="A5" s="698">
        <v>2</v>
      </c>
      <c r="B5" s="699">
        <v>46034</v>
      </c>
      <c r="C5" s="626" t="s">
        <v>138</v>
      </c>
      <c r="D5" s="700"/>
      <c r="E5" s="701">
        <v>197500000</v>
      </c>
      <c r="F5" s="701">
        <v>77.7267</v>
      </c>
      <c r="G5" s="702">
        <f>E5/F5</f>
        <v>2540954.39533648</v>
      </c>
      <c r="H5" s="703"/>
      <c r="I5" s="704"/>
      <c r="J5" s="633"/>
      <c r="K5" s="705"/>
      <c r="L5" s="704"/>
      <c r="M5" s="702"/>
    </row>
    <row r="6" ht="30" customHeight="1" spans="1:13">
      <c r="A6" s="698">
        <v>3</v>
      </c>
      <c r="B6" s="699"/>
      <c r="C6" s="626"/>
      <c r="D6" s="700"/>
      <c r="E6" s="700"/>
      <c r="F6" s="701"/>
      <c r="G6" s="702"/>
      <c r="H6" s="703"/>
      <c r="I6" s="704"/>
      <c r="J6" s="633"/>
      <c r="K6" s="705"/>
      <c r="L6" s="704"/>
      <c r="M6" s="702"/>
    </row>
    <row r="7" ht="30" customHeight="1" spans="1:13">
      <c r="A7" s="698">
        <v>4</v>
      </c>
      <c r="B7" s="699"/>
      <c r="C7" s="626"/>
      <c r="D7" s="626"/>
      <c r="E7" s="700"/>
      <c r="F7" s="701"/>
      <c r="G7" s="702"/>
      <c r="H7" s="703"/>
      <c r="I7" s="704"/>
      <c r="J7" s="633"/>
      <c r="K7" s="705"/>
      <c r="L7" s="704"/>
      <c r="M7" s="702"/>
    </row>
    <row r="8" ht="30" customHeight="1" spans="1:13">
      <c r="A8" s="698">
        <v>5</v>
      </c>
      <c r="B8" s="699"/>
      <c r="C8" s="626"/>
      <c r="D8" s="700"/>
      <c r="E8" s="700"/>
      <c r="F8" s="701"/>
      <c r="G8" s="702"/>
      <c r="H8" s="706"/>
      <c r="I8" s="704"/>
      <c r="J8" s="633"/>
      <c r="K8" s="705"/>
      <c r="L8" s="704"/>
      <c r="M8" s="702"/>
    </row>
    <row r="9" ht="30" customHeight="1" spans="1:13">
      <c r="A9" s="698">
        <v>6</v>
      </c>
      <c r="B9" s="699"/>
      <c r="C9" s="626"/>
      <c r="D9" s="626"/>
      <c r="E9" s="700"/>
      <c r="F9" s="701"/>
      <c r="G9" s="702"/>
      <c r="H9" s="705"/>
      <c r="I9" s="704"/>
      <c r="J9" s="633"/>
      <c r="K9" s="705"/>
      <c r="L9" s="704"/>
      <c r="M9" s="702"/>
    </row>
    <row r="10" ht="30" customHeight="1" spans="1:13">
      <c r="A10" s="698">
        <v>7</v>
      </c>
      <c r="B10" s="699"/>
      <c r="C10" s="626"/>
      <c r="D10" s="700"/>
      <c r="E10" s="707"/>
      <c r="F10" s="701"/>
      <c r="G10" s="702"/>
      <c r="H10" s="706"/>
      <c r="I10" s="704"/>
      <c r="J10" s="633"/>
      <c r="K10" s="705"/>
      <c r="L10" s="704"/>
      <c r="M10" s="702"/>
    </row>
    <row r="11" ht="30" customHeight="1" spans="1:13">
      <c r="A11" s="698">
        <v>8</v>
      </c>
      <c r="B11" s="699"/>
      <c r="C11" s="626"/>
      <c r="D11" s="626"/>
      <c r="E11" s="707"/>
      <c r="F11" s="701"/>
      <c r="G11" s="702"/>
      <c r="H11" s="706"/>
      <c r="I11" s="704"/>
      <c r="J11" s="633"/>
      <c r="K11" s="705"/>
      <c r="L11" s="704"/>
      <c r="M11" s="702"/>
    </row>
    <row r="12" ht="30" customHeight="1" spans="1:13">
      <c r="A12" s="698">
        <v>9</v>
      </c>
      <c r="B12" s="699"/>
      <c r="C12" s="626"/>
      <c r="D12" s="700"/>
      <c r="E12" s="707"/>
      <c r="F12" s="701"/>
      <c r="G12" s="702"/>
      <c r="H12" s="705"/>
      <c r="I12" s="704"/>
      <c r="J12" s="633"/>
      <c r="K12" s="705"/>
      <c r="L12" s="704"/>
      <c r="M12" s="702"/>
    </row>
    <row r="13" ht="30" customHeight="1" spans="1:13">
      <c r="A13" s="698">
        <v>10</v>
      </c>
      <c r="B13" s="699"/>
      <c r="C13" s="626"/>
      <c r="D13" s="626"/>
      <c r="E13" s="707"/>
      <c r="F13" s="701"/>
      <c r="G13" s="702"/>
      <c r="H13" s="705"/>
      <c r="I13" s="704"/>
      <c r="J13" s="633"/>
      <c r="K13" s="705"/>
      <c r="L13" s="704"/>
      <c r="M13" s="702"/>
    </row>
    <row r="14" ht="30" customHeight="1" spans="1:13">
      <c r="A14" s="698">
        <v>11</v>
      </c>
      <c r="B14" s="699"/>
      <c r="C14" s="626"/>
      <c r="D14" s="626"/>
      <c r="E14" s="707"/>
      <c r="F14" s="701"/>
      <c r="G14" s="702"/>
      <c r="H14" s="705"/>
      <c r="I14" s="704"/>
      <c r="J14" s="633"/>
      <c r="K14" s="705"/>
      <c r="L14" s="704"/>
      <c r="M14" s="702"/>
    </row>
    <row r="15" ht="30" customHeight="1" spans="1:13">
      <c r="A15" s="698">
        <v>12</v>
      </c>
      <c r="B15" s="625"/>
      <c r="C15" s="626"/>
      <c r="D15" s="626"/>
      <c r="E15" s="707"/>
      <c r="F15" s="701"/>
      <c r="G15" s="702"/>
      <c r="H15" s="705"/>
      <c r="I15" s="704"/>
      <c r="J15" s="633"/>
      <c r="K15" s="705"/>
      <c r="L15" s="704"/>
      <c r="M15" s="702"/>
    </row>
    <row r="16" ht="30" customHeight="1" spans="1:13">
      <c r="A16" s="698">
        <v>13</v>
      </c>
      <c r="B16" s="699"/>
      <c r="C16" s="626"/>
      <c r="D16" s="626"/>
      <c r="E16" s="707"/>
      <c r="F16" s="701"/>
      <c r="G16" s="702"/>
      <c r="H16" s="705"/>
      <c r="I16" s="704"/>
      <c r="J16" s="633"/>
      <c r="K16" s="705"/>
      <c r="L16" s="704"/>
      <c r="M16" s="702"/>
    </row>
    <row r="17" ht="30" customHeight="1" spans="1:13">
      <c r="A17" s="698">
        <v>14</v>
      </c>
      <c r="B17" s="699"/>
      <c r="C17" s="626"/>
      <c r="D17" s="626"/>
      <c r="E17" s="707"/>
      <c r="F17" s="701"/>
      <c r="G17" s="702"/>
      <c r="H17" s="705"/>
      <c r="I17" s="704"/>
      <c r="J17" s="633"/>
      <c r="K17" s="705"/>
      <c r="L17" s="704"/>
      <c r="M17" s="702"/>
    </row>
    <row r="18" ht="30" customHeight="1" spans="1:13">
      <c r="A18" s="698">
        <v>15</v>
      </c>
      <c r="B18" s="699"/>
      <c r="C18" s="626"/>
      <c r="D18" s="626"/>
      <c r="E18" s="707"/>
      <c r="F18" s="701"/>
      <c r="G18" s="702"/>
      <c r="H18" s="705"/>
      <c r="I18" s="704"/>
      <c r="J18" s="633"/>
      <c r="K18" s="705"/>
      <c r="L18" s="704"/>
      <c r="M18" s="702"/>
    </row>
    <row r="19" ht="30" customHeight="1" spans="1:13">
      <c r="A19" s="698">
        <v>16</v>
      </c>
      <c r="B19" s="625"/>
      <c r="C19" s="626"/>
      <c r="D19" s="626"/>
      <c r="E19" s="707"/>
      <c r="F19" s="701"/>
      <c r="G19" s="701"/>
      <c r="H19" s="705"/>
      <c r="I19" s="704"/>
      <c r="J19" s="633"/>
      <c r="K19" s="705"/>
      <c r="L19" s="704"/>
      <c r="M19" s="702"/>
    </row>
    <row r="20" ht="30" customHeight="1" spans="1:13">
      <c r="A20" s="698">
        <v>17</v>
      </c>
      <c r="B20" s="625"/>
      <c r="C20" s="626"/>
      <c r="D20" s="626"/>
      <c r="E20" s="708"/>
      <c r="F20" s="705"/>
      <c r="G20" s="705"/>
      <c r="H20" s="705"/>
      <c r="I20" s="704"/>
      <c r="J20" s="633"/>
      <c r="K20" s="705"/>
      <c r="L20" s="704"/>
      <c r="M20" s="702"/>
    </row>
    <row r="21" ht="30" customHeight="1" spans="1:13">
      <c r="A21" s="698">
        <v>18</v>
      </c>
      <c r="B21" s="625"/>
      <c r="C21" s="626"/>
      <c r="D21" s="626"/>
      <c r="E21" s="708"/>
      <c r="F21" s="705"/>
      <c r="G21" s="705"/>
      <c r="H21" s="705"/>
      <c r="I21" s="704"/>
      <c r="J21" s="633"/>
      <c r="K21" s="705"/>
      <c r="L21" s="696"/>
      <c r="M21" s="702"/>
    </row>
    <row r="22" ht="30" customHeight="1" spans="1:13">
      <c r="A22" s="698">
        <v>19</v>
      </c>
      <c r="B22" s="625"/>
      <c r="C22" s="626"/>
      <c r="D22" s="626"/>
      <c r="E22" s="705"/>
      <c r="F22" s="709"/>
      <c r="G22" s="709"/>
      <c r="H22" s="705"/>
      <c r="I22" s="704"/>
      <c r="J22" s="633"/>
      <c r="K22" s="705"/>
      <c r="L22" s="696"/>
      <c r="M22" s="702"/>
    </row>
    <row r="23" ht="30" customHeight="1" spans="1:13">
      <c r="A23" s="698">
        <v>20</v>
      </c>
      <c r="B23" s="625"/>
      <c r="C23" s="626"/>
      <c r="D23" s="626"/>
      <c r="E23" s="708"/>
      <c r="F23" s="705"/>
      <c r="G23" s="705"/>
      <c r="H23" s="705"/>
      <c r="I23" s="704"/>
      <c r="J23" s="633"/>
      <c r="K23" s="705"/>
      <c r="L23" s="704"/>
      <c r="M23" s="702"/>
    </row>
    <row r="24" ht="30" customHeight="1" spans="1:13">
      <c r="A24" s="698">
        <v>21</v>
      </c>
      <c r="B24" s="625"/>
      <c r="C24" s="626"/>
      <c r="D24" s="626"/>
      <c r="E24" s="708"/>
      <c r="F24" s="705"/>
      <c r="G24" s="705"/>
      <c r="H24" s="705"/>
      <c r="I24" s="704"/>
      <c r="J24" s="633"/>
      <c r="K24" s="705"/>
      <c r="L24" s="704"/>
      <c r="M24" s="702"/>
    </row>
    <row r="25" ht="30" customHeight="1" spans="1:13">
      <c r="A25" s="698">
        <v>22</v>
      </c>
      <c r="B25" s="625"/>
      <c r="C25" s="626"/>
      <c r="D25" s="626"/>
      <c r="E25" s="708"/>
      <c r="F25" s="705"/>
      <c r="G25" s="705"/>
      <c r="H25" s="705"/>
      <c r="I25" s="704"/>
      <c r="J25" s="633"/>
      <c r="K25" s="705"/>
      <c r="L25" s="704"/>
      <c r="M25" s="702"/>
    </row>
    <row r="26" ht="30" customHeight="1" spans="1:13">
      <c r="A26" s="698">
        <v>23</v>
      </c>
      <c r="B26" s="625"/>
      <c r="C26" s="626"/>
      <c r="D26" s="626"/>
      <c r="E26" s="708"/>
      <c r="F26" s="705"/>
      <c r="G26" s="705"/>
      <c r="H26" s="705"/>
      <c r="I26" s="704"/>
      <c r="J26" s="633"/>
      <c r="K26" s="705"/>
      <c r="L26" s="704"/>
      <c r="M26" s="702"/>
    </row>
    <row r="27" ht="30" customHeight="1" spans="1:13">
      <c r="A27" s="698">
        <v>24</v>
      </c>
      <c r="B27" s="625"/>
      <c r="C27" s="626"/>
      <c r="D27" s="626"/>
      <c r="E27" s="708"/>
      <c r="F27" s="705"/>
      <c r="G27" s="705"/>
      <c r="H27" s="705"/>
      <c r="I27" s="704"/>
      <c r="J27" s="633"/>
      <c r="K27" s="705"/>
      <c r="L27" s="704"/>
      <c r="M27" s="702"/>
    </row>
    <row r="28" ht="30" customHeight="1" spans="1:13">
      <c r="A28" s="698">
        <v>25</v>
      </c>
      <c r="B28" s="625"/>
      <c r="C28" s="626"/>
      <c r="D28" s="626"/>
      <c r="E28" s="707"/>
      <c r="F28" s="705"/>
      <c r="G28" s="705"/>
      <c r="H28" s="705"/>
      <c r="I28" s="704"/>
      <c r="J28" s="633"/>
      <c r="K28" s="705"/>
      <c r="L28" s="704"/>
      <c r="M28" s="702"/>
    </row>
    <row r="29" ht="30" customHeight="1" spans="1:13">
      <c r="A29" s="698">
        <v>26</v>
      </c>
      <c r="B29" s="625"/>
      <c r="C29" s="626"/>
      <c r="D29" s="626"/>
      <c r="E29" s="707"/>
      <c r="F29" s="705"/>
      <c r="G29" s="705"/>
      <c r="H29" s="705"/>
      <c r="I29" s="704"/>
      <c r="J29" s="710"/>
      <c r="K29" s="705"/>
      <c r="L29" s="704"/>
      <c r="M29" s="702"/>
    </row>
    <row r="30" ht="30" customHeight="1" spans="1:13">
      <c r="A30" s="698">
        <v>27</v>
      </c>
      <c r="B30" s="625"/>
      <c r="C30" s="626"/>
      <c r="D30" s="626"/>
      <c r="E30" s="707"/>
      <c r="F30" s="705"/>
      <c r="G30" s="705"/>
      <c r="H30" s="705"/>
      <c r="I30" s="704"/>
      <c r="J30" s="710"/>
      <c r="K30" s="705"/>
      <c r="L30" s="704"/>
      <c r="M30" s="702"/>
    </row>
    <row r="31" ht="30" customHeight="1" spans="1:13">
      <c r="A31" s="698">
        <v>28</v>
      </c>
      <c r="B31" s="625"/>
      <c r="C31" s="626"/>
      <c r="D31" s="626"/>
      <c r="E31" s="708"/>
      <c r="F31" s="705"/>
      <c r="G31" s="705"/>
      <c r="H31" s="705"/>
      <c r="I31" s="704"/>
      <c r="J31" s="710"/>
      <c r="K31" s="705"/>
      <c r="L31" s="704"/>
      <c r="M31" s="702"/>
    </row>
    <row r="32" ht="30" customHeight="1" spans="1:13">
      <c r="A32" s="698">
        <v>29</v>
      </c>
      <c r="B32" s="625"/>
      <c r="C32" s="626"/>
      <c r="D32" s="626"/>
      <c r="E32" s="708"/>
      <c r="F32" s="705"/>
      <c r="G32" s="705"/>
      <c r="H32" s="705"/>
      <c r="I32" s="704"/>
      <c r="J32" s="710"/>
      <c r="K32" s="711"/>
      <c r="L32" s="704"/>
      <c r="M32" s="702"/>
    </row>
    <row r="33" ht="30" customHeight="1" spans="1:13">
      <c r="A33" s="698">
        <v>30</v>
      </c>
      <c r="B33" s="625"/>
      <c r="C33" s="626"/>
      <c r="D33" s="626"/>
      <c r="E33" s="708"/>
      <c r="F33" s="705"/>
      <c r="G33" s="705"/>
      <c r="H33" s="705"/>
      <c r="I33" s="704"/>
      <c r="J33" s="710"/>
      <c r="K33" s="705"/>
      <c r="L33" s="704"/>
      <c r="M33" s="702"/>
    </row>
    <row r="34" ht="30" customHeight="1" spans="1:13">
      <c r="A34" s="698">
        <v>31</v>
      </c>
      <c r="B34" s="625"/>
      <c r="C34" s="626"/>
      <c r="D34" s="626"/>
      <c r="E34" s="708"/>
      <c r="F34" s="705"/>
      <c r="G34" s="705"/>
      <c r="H34" s="705"/>
      <c r="I34" s="704"/>
      <c r="J34" s="710"/>
      <c r="K34" s="705"/>
      <c r="L34" s="704"/>
      <c r="M34" s="702"/>
    </row>
    <row r="35" ht="30" customHeight="1" spans="1:13">
      <c r="A35" s="698">
        <v>32</v>
      </c>
      <c r="B35" s="625"/>
      <c r="C35" s="626"/>
      <c r="D35" s="626"/>
      <c r="E35" s="708"/>
      <c r="F35" s="705"/>
      <c r="G35" s="705"/>
      <c r="H35" s="705"/>
      <c r="I35" s="704"/>
      <c r="J35" s="710"/>
      <c r="K35" s="705"/>
      <c r="L35" s="704"/>
      <c r="M35" s="702"/>
    </row>
    <row r="36" ht="30" customHeight="1" spans="1:13">
      <c r="A36" s="698">
        <v>33</v>
      </c>
      <c r="B36" s="625"/>
      <c r="C36" s="626"/>
      <c r="D36" s="626"/>
      <c r="E36" s="708"/>
      <c r="F36" s="705"/>
      <c r="G36" s="705"/>
      <c r="H36" s="705"/>
      <c r="I36" s="704"/>
      <c r="J36" s="710"/>
      <c r="K36" s="705"/>
      <c r="L36" s="704"/>
      <c r="M36" s="702"/>
    </row>
    <row r="37" ht="30" customHeight="1" spans="1:13">
      <c r="A37" s="698">
        <v>34</v>
      </c>
      <c r="B37" s="625"/>
      <c r="C37" s="626"/>
      <c r="D37" s="626"/>
      <c r="E37" s="707"/>
      <c r="F37" s="705"/>
      <c r="G37" s="705"/>
      <c r="H37" s="705"/>
      <c r="I37" s="704"/>
      <c r="J37" s="710"/>
      <c r="K37" s="705"/>
      <c r="L37" s="704"/>
      <c r="M37" s="702"/>
    </row>
    <row r="38" ht="30" customHeight="1" spans="1:13">
      <c r="A38" s="698">
        <v>35</v>
      </c>
      <c r="B38" s="625"/>
      <c r="C38" s="626"/>
      <c r="D38" s="626"/>
      <c r="E38" s="707"/>
      <c r="F38" s="705"/>
      <c r="G38" s="705"/>
      <c r="H38" s="705"/>
      <c r="I38" s="704"/>
      <c r="J38" s="710"/>
      <c r="K38" s="705"/>
      <c r="L38" s="704"/>
      <c r="M38" s="702"/>
    </row>
    <row r="39" ht="30" customHeight="1" spans="1:13">
      <c r="A39" s="698">
        <v>36</v>
      </c>
      <c r="B39" s="625"/>
      <c r="C39" s="626"/>
      <c r="D39" s="626"/>
      <c r="E39" s="707"/>
      <c r="F39" s="705"/>
      <c r="G39" s="705"/>
      <c r="H39" s="705"/>
      <c r="I39" s="704"/>
      <c r="J39" s="710"/>
      <c r="K39" s="705"/>
      <c r="L39" s="704"/>
      <c r="M39" s="702"/>
    </row>
    <row r="40" ht="30" customHeight="1" spans="1:13">
      <c r="A40" s="698">
        <v>37</v>
      </c>
      <c r="B40" s="625"/>
      <c r="C40" s="626"/>
      <c r="D40" s="626"/>
      <c r="E40" s="707"/>
      <c r="F40" s="705"/>
      <c r="G40" s="705"/>
      <c r="H40" s="705"/>
      <c r="I40" s="704"/>
      <c r="J40" s="710"/>
      <c r="K40" s="705"/>
      <c r="L40" s="704"/>
      <c r="M40" s="702"/>
    </row>
    <row r="41" ht="30" customHeight="1" spans="1:13">
      <c r="A41" s="698">
        <v>38</v>
      </c>
      <c r="B41" s="625"/>
      <c r="C41" s="626"/>
      <c r="D41" s="626"/>
      <c r="E41" s="707"/>
      <c r="F41" s="705"/>
      <c r="G41" s="705"/>
      <c r="H41" s="705"/>
      <c r="I41" s="704"/>
      <c r="J41" s="710"/>
      <c r="K41" s="705"/>
      <c r="L41" s="704"/>
      <c r="M41" s="702"/>
    </row>
    <row r="42" ht="30" customHeight="1" spans="1:13">
      <c r="A42" s="698">
        <v>39</v>
      </c>
      <c r="B42" s="625"/>
      <c r="C42" s="626"/>
      <c r="D42" s="626"/>
      <c r="E42" s="708"/>
      <c r="F42" s="705"/>
      <c r="G42" s="705"/>
      <c r="H42" s="705"/>
      <c r="I42" s="704"/>
      <c r="J42" s="710"/>
      <c r="K42" s="705"/>
      <c r="L42" s="704"/>
      <c r="M42" s="702"/>
    </row>
    <row r="43" ht="30" customHeight="1" spans="1:13">
      <c r="A43" s="698">
        <v>40</v>
      </c>
      <c r="B43" s="625"/>
      <c r="C43" s="626"/>
      <c r="D43" s="626"/>
      <c r="E43" s="708"/>
      <c r="F43" s="705"/>
      <c r="G43" s="705"/>
      <c r="H43" s="705"/>
      <c r="I43" s="704"/>
      <c r="J43" s="710"/>
      <c r="K43" s="705"/>
      <c r="L43" s="704"/>
      <c r="M43" s="702"/>
    </row>
    <row r="44" ht="30" customHeight="1" spans="1:13">
      <c r="A44" s="698">
        <v>41</v>
      </c>
      <c r="B44" s="625"/>
      <c r="C44" s="626"/>
      <c r="D44" s="626"/>
      <c r="E44" s="708"/>
      <c r="F44" s="705"/>
      <c r="G44" s="705"/>
      <c r="H44" s="705"/>
      <c r="I44" s="704"/>
      <c r="J44" s="710"/>
      <c r="K44" s="705"/>
      <c r="L44" s="704"/>
      <c r="M44" s="702"/>
    </row>
    <row r="45" ht="30" customHeight="1" spans="1:13">
      <c r="A45" s="698">
        <v>42</v>
      </c>
      <c r="B45" s="625"/>
      <c r="C45" s="626"/>
      <c r="D45" s="626"/>
      <c r="E45" s="708"/>
      <c r="F45" s="705"/>
      <c r="G45" s="705"/>
      <c r="H45" s="705"/>
      <c r="I45" s="704"/>
      <c r="J45" s="710"/>
      <c r="K45" s="705"/>
      <c r="L45" s="704"/>
      <c r="M45" s="702"/>
    </row>
    <row r="46" ht="30" customHeight="1" spans="1:13">
      <c r="A46" s="698">
        <v>43</v>
      </c>
      <c r="B46" s="625"/>
      <c r="C46" s="626"/>
      <c r="D46" s="626"/>
      <c r="E46" s="707"/>
      <c r="F46" s="705"/>
      <c r="G46" s="705"/>
      <c r="H46" s="705"/>
      <c r="I46" s="704"/>
      <c r="J46" s="710"/>
      <c r="K46" s="705"/>
      <c r="L46" s="704"/>
      <c r="M46" s="702"/>
    </row>
    <row r="47" ht="30" customHeight="1" spans="1:13">
      <c r="A47" s="698">
        <v>44</v>
      </c>
      <c r="B47" s="625"/>
      <c r="C47" s="626"/>
      <c r="D47" s="626"/>
      <c r="E47" s="707"/>
      <c r="F47" s="705"/>
      <c r="G47" s="705"/>
      <c r="H47" s="705"/>
      <c r="I47" s="704"/>
      <c r="J47" s="710"/>
      <c r="K47" s="705"/>
      <c r="L47" s="704"/>
      <c r="M47" s="702"/>
    </row>
    <row r="48" ht="30" customHeight="1" spans="1:13">
      <c r="A48" s="698">
        <v>45</v>
      </c>
      <c r="B48" s="625"/>
      <c r="C48" s="626"/>
      <c r="D48" s="626"/>
      <c r="E48" s="707"/>
      <c r="F48" s="705"/>
      <c r="G48" s="705"/>
      <c r="H48" s="705"/>
      <c r="I48" s="704"/>
      <c r="J48" s="710"/>
      <c r="K48" s="705"/>
      <c r="L48" s="704"/>
      <c r="M48" s="702"/>
    </row>
    <row r="49" ht="30" customHeight="1" spans="1:13">
      <c r="A49" s="698">
        <v>46</v>
      </c>
      <c r="B49" s="625"/>
      <c r="C49" s="626"/>
      <c r="D49" s="626"/>
      <c r="E49" s="707"/>
      <c r="F49" s="705"/>
      <c r="G49" s="705"/>
      <c r="H49" s="705"/>
      <c r="I49" s="704"/>
      <c r="J49" s="710"/>
      <c r="K49" s="705"/>
      <c r="L49" s="704"/>
      <c r="M49" s="702"/>
    </row>
    <row r="50" ht="30" customHeight="1" spans="1:13">
      <c r="A50" s="698">
        <v>47</v>
      </c>
      <c r="B50" s="625"/>
      <c r="C50" s="626"/>
      <c r="D50" s="626"/>
      <c r="E50" s="707"/>
      <c r="F50" s="705"/>
      <c r="G50" s="705"/>
      <c r="H50" s="705"/>
      <c r="I50" s="712"/>
      <c r="J50" s="710"/>
      <c r="K50" s="705"/>
      <c r="L50" s="704"/>
      <c r="M50" s="702"/>
    </row>
    <row r="51" ht="30" customHeight="1" spans="1:13">
      <c r="A51" s="698">
        <v>48</v>
      </c>
      <c r="B51" s="625"/>
      <c r="C51" s="626"/>
      <c r="D51" s="626"/>
      <c r="E51" s="709"/>
      <c r="F51" s="709"/>
      <c r="G51" s="709"/>
      <c r="H51" s="709"/>
      <c r="I51" s="712"/>
      <c r="J51" s="710"/>
      <c r="K51" s="710"/>
      <c r="L51" s="713"/>
      <c r="M51" s="714"/>
    </row>
    <row r="52" ht="30" customHeight="1" spans="1:13">
      <c r="A52" s="698">
        <v>49</v>
      </c>
      <c r="B52" s="625"/>
      <c r="C52" s="626"/>
      <c r="D52" s="626"/>
      <c r="E52" s="709"/>
      <c r="F52" s="709"/>
      <c r="G52" s="709"/>
      <c r="H52" s="709"/>
      <c r="I52" s="712"/>
      <c r="J52" s="710"/>
      <c r="K52" s="710"/>
      <c r="L52" s="713"/>
      <c r="M52" s="714"/>
    </row>
    <row r="53" ht="30" customHeight="1" spans="1:13">
      <c r="A53" s="675"/>
      <c r="B53" s="715"/>
      <c r="C53" s="716"/>
      <c r="D53" s="716"/>
      <c r="E53" s="717"/>
      <c r="F53" s="717"/>
      <c r="G53" s="717"/>
      <c r="H53" s="717"/>
      <c r="I53" s="718"/>
      <c r="J53" s="718"/>
      <c r="K53" s="718"/>
      <c r="L53" s="719"/>
      <c r="M53" s="720"/>
    </row>
    <row r="55" spans="1:13">
      <c r="I55" s="680">
        <f>SUM(I4:I29)</f>
        <v>0</v>
      </c>
      <c r="J55" s="680"/>
      <c r="K55" s="680"/>
      <c r="L55" s="681">
        <f>SUM(L4:L53)</f>
        <v>0</v>
      </c>
      <c r="M55" s="721">
        <f>SUM(M4:M53)</f>
        <v>0</v>
      </c>
    </row>
  </sheetData>
  <mergeCells count="1">
    <mergeCell ref="A1:M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"/>
  <sheetViews>
    <sheetView topLeftCell="A6" workbookViewId="0">
      <selection activeCell="P14" sqref="$A1:$XFD1048576"/>
    </sheetView>
  </sheetViews>
  <sheetFormatPr defaultColWidth="9" defaultRowHeight="12.75"/>
  <cols>
    <col min="1" max="1" width="5.55238095238095" style="593" customWidth="1"/>
    <col min="2" max="2" width="8.88571428571429" style="593" customWidth="1"/>
    <col min="3" max="3" width="30.552380952381" style="594" customWidth="1"/>
    <col min="4" max="4" width="9.78095238095238" style="595" customWidth="1"/>
    <col min="5" max="5" width="11.8857142857143" style="595" customWidth="1"/>
    <col min="6" max="6" width="13.8857142857143" style="596" customWidth="1"/>
    <col min="7" max="7" width="13.4380952380952" style="597" customWidth="1"/>
    <col min="8" max="8" width="15.3333333333333" style="598" customWidth="1"/>
    <col min="9" max="9" width="0.780952380952381" style="598" customWidth="1"/>
    <col min="10" max="10" width="14.6666666666667" style="593" customWidth="1"/>
    <col min="11" max="11" width="13.7809523809524" style="593" customWidth="1"/>
    <col min="12" max="12" width="13.3333333333333" style="593" customWidth="1"/>
    <col min="13" max="13" width="13.1047619047619" style="593" customWidth="1"/>
    <col min="14" max="14" width="8.88571428571429" style="593"/>
    <col min="15" max="15" width="9.88571428571429" style="593" customWidth="1"/>
    <col min="16" max="249" width="8.88571428571429" style="593"/>
    <col min="250" max="250" width="5.55238095238095" style="593" customWidth="1"/>
    <col min="251" max="251" width="9.33333333333333" style="593" customWidth="1"/>
    <col min="252" max="252" width="24.6666666666667" style="593" customWidth="1"/>
    <col min="253" max="253" width="11" style="593" customWidth="1"/>
    <col min="254" max="254" width="7.55238095238095" style="593" customWidth="1"/>
    <col min="255" max="255" width="13.552380952381" style="593" customWidth="1"/>
    <col min="256" max="256" width="5.43809523809524" style="593" customWidth="1"/>
    <col min="257" max="257" width="11.3333333333333" style="593" customWidth="1"/>
    <col min="258" max="258" width="5.66666666666667" style="593" customWidth="1"/>
    <col min="259" max="259" width="12" style="593" customWidth="1"/>
    <col min="260" max="260" width="15.4380952380952" style="593" customWidth="1"/>
    <col min="261" max="262" width="15.1047619047619" style="593" customWidth="1"/>
    <col min="263" max="263" width="14.3333333333333" style="593" customWidth="1"/>
    <col min="264" max="264" width="3.1047619047619" style="593" customWidth="1"/>
    <col min="265" max="265" width="6.43809523809524" style="593" customWidth="1"/>
    <col min="266" max="505" width="8.88571428571429" style="593"/>
    <col min="506" max="506" width="5.55238095238095" style="593" customWidth="1"/>
    <col min="507" max="507" width="9.33333333333333" style="593" customWidth="1"/>
    <col min="508" max="508" width="24.6666666666667" style="593" customWidth="1"/>
    <col min="509" max="509" width="11" style="593" customWidth="1"/>
    <col min="510" max="510" width="7.55238095238095" style="593" customWidth="1"/>
    <col min="511" max="511" width="13.552380952381" style="593" customWidth="1"/>
    <col min="512" max="512" width="5.43809523809524" style="593" customWidth="1"/>
    <col min="513" max="513" width="11.3333333333333" style="593" customWidth="1"/>
    <col min="514" max="514" width="5.66666666666667" style="593" customWidth="1"/>
    <col min="515" max="515" width="12" style="593" customWidth="1"/>
    <col min="516" max="516" width="15.4380952380952" style="593" customWidth="1"/>
    <col min="517" max="518" width="15.1047619047619" style="593" customWidth="1"/>
    <col min="519" max="519" width="14.3333333333333" style="593" customWidth="1"/>
    <col min="520" max="520" width="3.1047619047619" style="593" customWidth="1"/>
    <col min="521" max="521" width="6.43809523809524" style="593" customWidth="1"/>
    <col min="522" max="761" width="8.88571428571429" style="593"/>
    <col min="762" max="762" width="5.55238095238095" style="593" customWidth="1"/>
    <col min="763" max="763" width="9.33333333333333" style="593" customWidth="1"/>
    <col min="764" max="764" width="24.6666666666667" style="593" customWidth="1"/>
    <col min="765" max="765" width="11" style="593" customWidth="1"/>
    <col min="766" max="766" width="7.55238095238095" style="593" customWidth="1"/>
    <col min="767" max="767" width="13.552380952381" style="593" customWidth="1"/>
    <col min="768" max="768" width="5.43809523809524" style="593" customWidth="1"/>
    <col min="769" max="769" width="11.3333333333333" style="593" customWidth="1"/>
    <col min="770" max="770" width="5.66666666666667" style="593" customWidth="1"/>
    <col min="771" max="771" width="12" style="593" customWidth="1"/>
    <col min="772" max="772" width="15.4380952380952" style="593" customWidth="1"/>
    <col min="773" max="774" width="15.1047619047619" style="593" customWidth="1"/>
    <col min="775" max="775" width="14.3333333333333" style="593" customWidth="1"/>
    <col min="776" max="776" width="3.1047619047619" style="593" customWidth="1"/>
    <col min="777" max="777" width="6.43809523809524" style="593" customWidth="1"/>
    <col min="778" max="1017" width="8.88571428571429" style="593"/>
    <col min="1018" max="1018" width="5.55238095238095" style="593" customWidth="1"/>
    <col min="1019" max="1019" width="9.33333333333333" style="593" customWidth="1"/>
    <col min="1020" max="1020" width="24.6666666666667" style="593" customWidth="1"/>
    <col min="1021" max="1021" width="11" style="593" customWidth="1"/>
    <col min="1022" max="1022" width="7.55238095238095" style="593" customWidth="1"/>
    <col min="1023" max="1023" width="13.552380952381" style="593" customWidth="1"/>
    <col min="1024" max="1024" width="5.43809523809524" style="593" customWidth="1"/>
    <col min="1025" max="1025" width="11.3333333333333" style="593" customWidth="1"/>
    <col min="1026" max="1026" width="5.66666666666667" style="593" customWidth="1"/>
    <col min="1027" max="1027" width="12" style="593" customWidth="1"/>
    <col min="1028" max="1028" width="15.4380952380952" style="593" customWidth="1"/>
    <col min="1029" max="1030" width="15.1047619047619" style="593" customWidth="1"/>
    <col min="1031" max="1031" width="14.3333333333333" style="593" customWidth="1"/>
    <col min="1032" max="1032" width="3.1047619047619" style="593" customWidth="1"/>
    <col min="1033" max="1033" width="6.43809523809524" style="593" customWidth="1"/>
    <col min="1034" max="1273" width="8.88571428571429" style="593"/>
    <col min="1274" max="1274" width="5.55238095238095" style="593" customWidth="1"/>
    <col min="1275" max="1275" width="9.33333333333333" style="593" customWidth="1"/>
    <col min="1276" max="1276" width="24.6666666666667" style="593" customWidth="1"/>
    <col min="1277" max="1277" width="11" style="593" customWidth="1"/>
    <col min="1278" max="1278" width="7.55238095238095" style="593" customWidth="1"/>
    <col min="1279" max="1279" width="13.552380952381" style="593" customWidth="1"/>
    <col min="1280" max="1280" width="5.43809523809524" style="593" customWidth="1"/>
    <col min="1281" max="1281" width="11.3333333333333" style="593" customWidth="1"/>
    <col min="1282" max="1282" width="5.66666666666667" style="593" customWidth="1"/>
    <col min="1283" max="1283" width="12" style="593" customWidth="1"/>
    <col min="1284" max="1284" width="15.4380952380952" style="593" customWidth="1"/>
    <col min="1285" max="1286" width="15.1047619047619" style="593" customWidth="1"/>
    <col min="1287" max="1287" width="14.3333333333333" style="593" customWidth="1"/>
    <col min="1288" max="1288" width="3.1047619047619" style="593" customWidth="1"/>
    <col min="1289" max="1289" width="6.43809523809524" style="593" customWidth="1"/>
    <col min="1290" max="1529" width="8.88571428571429" style="593"/>
    <col min="1530" max="1530" width="5.55238095238095" style="593" customWidth="1"/>
    <col min="1531" max="1531" width="9.33333333333333" style="593" customWidth="1"/>
    <col min="1532" max="1532" width="24.6666666666667" style="593" customWidth="1"/>
    <col min="1533" max="1533" width="11" style="593" customWidth="1"/>
    <col min="1534" max="1534" width="7.55238095238095" style="593" customWidth="1"/>
    <col min="1535" max="1535" width="13.552380952381" style="593" customWidth="1"/>
    <col min="1536" max="1536" width="5.43809523809524" style="593" customWidth="1"/>
    <col min="1537" max="1537" width="11.3333333333333" style="593" customWidth="1"/>
    <col min="1538" max="1538" width="5.66666666666667" style="593" customWidth="1"/>
    <col min="1539" max="1539" width="12" style="593" customWidth="1"/>
    <col min="1540" max="1540" width="15.4380952380952" style="593" customWidth="1"/>
    <col min="1541" max="1542" width="15.1047619047619" style="593" customWidth="1"/>
    <col min="1543" max="1543" width="14.3333333333333" style="593" customWidth="1"/>
    <col min="1544" max="1544" width="3.1047619047619" style="593" customWidth="1"/>
    <col min="1545" max="1545" width="6.43809523809524" style="593" customWidth="1"/>
    <col min="1546" max="1785" width="8.88571428571429" style="593"/>
    <col min="1786" max="1786" width="5.55238095238095" style="593" customWidth="1"/>
    <col min="1787" max="1787" width="9.33333333333333" style="593" customWidth="1"/>
    <col min="1788" max="1788" width="24.6666666666667" style="593" customWidth="1"/>
    <col min="1789" max="1789" width="11" style="593" customWidth="1"/>
    <col min="1790" max="1790" width="7.55238095238095" style="593" customWidth="1"/>
    <col min="1791" max="1791" width="13.552380952381" style="593" customWidth="1"/>
    <col min="1792" max="1792" width="5.43809523809524" style="593" customWidth="1"/>
    <col min="1793" max="1793" width="11.3333333333333" style="593" customWidth="1"/>
    <col min="1794" max="1794" width="5.66666666666667" style="593" customWidth="1"/>
    <col min="1795" max="1795" width="12" style="593" customWidth="1"/>
    <col min="1796" max="1796" width="15.4380952380952" style="593" customWidth="1"/>
    <col min="1797" max="1798" width="15.1047619047619" style="593" customWidth="1"/>
    <col min="1799" max="1799" width="14.3333333333333" style="593" customWidth="1"/>
    <col min="1800" max="1800" width="3.1047619047619" style="593" customWidth="1"/>
    <col min="1801" max="1801" width="6.43809523809524" style="593" customWidth="1"/>
    <col min="1802" max="2041" width="8.88571428571429" style="593"/>
    <col min="2042" max="2042" width="5.55238095238095" style="593" customWidth="1"/>
    <col min="2043" max="2043" width="9.33333333333333" style="593" customWidth="1"/>
    <col min="2044" max="2044" width="24.6666666666667" style="593" customWidth="1"/>
    <col min="2045" max="2045" width="11" style="593" customWidth="1"/>
    <col min="2046" max="2046" width="7.55238095238095" style="593" customWidth="1"/>
    <col min="2047" max="2047" width="13.552380952381" style="593" customWidth="1"/>
    <col min="2048" max="2048" width="5.43809523809524" style="593" customWidth="1"/>
    <col min="2049" max="2049" width="11.3333333333333" style="593" customWidth="1"/>
    <col min="2050" max="2050" width="5.66666666666667" style="593" customWidth="1"/>
    <col min="2051" max="2051" width="12" style="593" customWidth="1"/>
    <col min="2052" max="2052" width="15.4380952380952" style="593" customWidth="1"/>
    <col min="2053" max="2054" width="15.1047619047619" style="593" customWidth="1"/>
    <col min="2055" max="2055" width="14.3333333333333" style="593" customWidth="1"/>
    <col min="2056" max="2056" width="3.1047619047619" style="593" customWidth="1"/>
    <col min="2057" max="2057" width="6.43809523809524" style="593" customWidth="1"/>
    <col min="2058" max="2297" width="8.88571428571429" style="593"/>
    <col min="2298" max="2298" width="5.55238095238095" style="593" customWidth="1"/>
    <col min="2299" max="2299" width="9.33333333333333" style="593" customWidth="1"/>
    <col min="2300" max="2300" width="24.6666666666667" style="593" customWidth="1"/>
    <col min="2301" max="2301" width="11" style="593" customWidth="1"/>
    <col min="2302" max="2302" width="7.55238095238095" style="593" customWidth="1"/>
    <col min="2303" max="2303" width="13.552380952381" style="593" customWidth="1"/>
    <col min="2304" max="2304" width="5.43809523809524" style="593" customWidth="1"/>
    <col min="2305" max="2305" width="11.3333333333333" style="593" customWidth="1"/>
    <col min="2306" max="2306" width="5.66666666666667" style="593" customWidth="1"/>
    <col min="2307" max="2307" width="12" style="593" customWidth="1"/>
    <col min="2308" max="2308" width="15.4380952380952" style="593" customWidth="1"/>
    <col min="2309" max="2310" width="15.1047619047619" style="593" customWidth="1"/>
    <col min="2311" max="2311" width="14.3333333333333" style="593" customWidth="1"/>
    <col min="2312" max="2312" width="3.1047619047619" style="593" customWidth="1"/>
    <col min="2313" max="2313" width="6.43809523809524" style="593" customWidth="1"/>
    <col min="2314" max="2553" width="8.88571428571429" style="593"/>
    <col min="2554" max="2554" width="5.55238095238095" style="593" customWidth="1"/>
    <col min="2555" max="2555" width="9.33333333333333" style="593" customWidth="1"/>
    <col min="2556" max="2556" width="24.6666666666667" style="593" customWidth="1"/>
    <col min="2557" max="2557" width="11" style="593" customWidth="1"/>
    <col min="2558" max="2558" width="7.55238095238095" style="593" customWidth="1"/>
    <col min="2559" max="2559" width="13.552380952381" style="593" customWidth="1"/>
    <col min="2560" max="2560" width="5.43809523809524" style="593" customWidth="1"/>
    <col min="2561" max="2561" width="11.3333333333333" style="593" customWidth="1"/>
    <col min="2562" max="2562" width="5.66666666666667" style="593" customWidth="1"/>
    <col min="2563" max="2563" width="12" style="593" customWidth="1"/>
    <col min="2564" max="2564" width="15.4380952380952" style="593" customWidth="1"/>
    <col min="2565" max="2566" width="15.1047619047619" style="593" customWidth="1"/>
    <col min="2567" max="2567" width="14.3333333333333" style="593" customWidth="1"/>
    <col min="2568" max="2568" width="3.1047619047619" style="593" customWidth="1"/>
    <col min="2569" max="2569" width="6.43809523809524" style="593" customWidth="1"/>
    <col min="2570" max="2809" width="8.88571428571429" style="593"/>
    <col min="2810" max="2810" width="5.55238095238095" style="593" customWidth="1"/>
    <col min="2811" max="2811" width="9.33333333333333" style="593" customWidth="1"/>
    <col min="2812" max="2812" width="24.6666666666667" style="593" customWidth="1"/>
    <col min="2813" max="2813" width="11" style="593" customWidth="1"/>
    <col min="2814" max="2814" width="7.55238095238095" style="593" customWidth="1"/>
    <col min="2815" max="2815" width="13.552380952381" style="593" customWidth="1"/>
    <col min="2816" max="2816" width="5.43809523809524" style="593" customWidth="1"/>
    <col min="2817" max="2817" width="11.3333333333333" style="593" customWidth="1"/>
    <col min="2818" max="2818" width="5.66666666666667" style="593" customWidth="1"/>
    <col min="2819" max="2819" width="12" style="593" customWidth="1"/>
    <col min="2820" max="2820" width="15.4380952380952" style="593" customWidth="1"/>
    <col min="2821" max="2822" width="15.1047619047619" style="593" customWidth="1"/>
    <col min="2823" max="2823" width="14.3333333333333" style="593" customWidth="1"/>
    <col min="2824" max="2824" width="3.1047619047619" style="593" customWidth="1"/>
    <col min="2825" max="2825" width="6.43809523809524" style="593" customWidth="1"/>
    <col min="2826" max="3065" width="8.88571428571429" style="593"/>
    <col min="3066" max="3066" width="5.55238095238095" style="593" customWidth="1"/>
    <col min="3067" max="3067" width="9.33333333333333" style="593" customWidth="1"/>
    <col min="3068" max="3068" width="24.6666666666667" style="593" customWidth="1"/>
    <col min="3069" max="3069" width="11" style="593" customWidth="1"/>
    <col min="3070" max="3070" width="7.55238095238095" style="593" customWidth="1"/>
    <col min="3071" max="3071" width="13.552380952381" style="593" customWidth="1"/>
    <col min="3072" max="3072" width="5.43809523809524" style="593" customWidth="1"/>
    <col min="3073" max="3073" width="11.3333333333333" style="593" customWidth="1"/>
    <col min="3074" max="3074" width="5.66666666666667" style="593" customWidth="1"/>
    <col min="3075" max="3075" width="12" style="593" customWidth="1"/>
    <col min="3076" max="3076" width="15.4380952380952" style="593" customWidth="1"/>
    <col min="3077" max="3078" width="15.1047619047619" style="593" customWidth="1"/>
    <col min="3079" max="3079" width="14.3333333333333" style="593" customWidth="1"/>
    <col min="3080" max="3080" width="3.1047619047619" style="593" customWidth="1"/>
    <col min="3081" max="3081" width="6.43809523809524" style="593" customWidth="1"/>
    <col min="3082" max="3321" width="8.88571428571429" style="593"/>
    <col min="3322" max="3322" width="5.55238095238095" style="593" customWidth="1"/>
    <col min="3323" max="3323" width="9.33333333333333" style="593" customWidth="1"/>
    <col min="3324" max="3324" width="24.6666666666667" style="593" customWidth="1"/>
    <col min="3325" max="3325" width="11" style="593" customWidth="1"/>
    <col min="3326" max="3326" width="7.55238095238095" style="593" customWidth="1"/>
    <col min="3327" max="3327" width="13.552380952381" style="593" customWidth="1"/>
    <col min="3328" max="3328" width="5.43809523809524" style="593" customWidth="1"/>
    <col min="3329" max="3329" width="11.3333333333333" style="593" customWidth="1"/>
    <col min="3330" max="3330" width="5.66666666666667" style="593" customWidth="1"/>
    <col min="3331" max="3331" width="12" style="593" customWidth="1"/>
    <col min="3332" max="3332" width="15.4380952380952" style="593" customWidth="1"/>
    <col min="3333" max="3334" width="15.1047619047619" style="593" customWidth="1"/>
    <col min="3335" max="3335" width="14.3333333333333" style="593" customWidth="1"/>
    <col min="3336" max="3336" width="3.1047619047619" style="593" customWidth="1"/>
    <col min="3337" max="3337" width="6.43809523809524" style="593" customWidth="1"/>
    <col min="3338" max="3577" width="8.88571428571429" style="593"/>
    <col min="3578" max="3578" width="5.55238095238095" style="593" customWidth="1"/>
    <col min="3579" max="3579" width="9.33333333333333" style="593" customWidth="1"/>
    <col min="3580" max="3580" width="24.6666666666667" style="593" customWidth="1"/>
    <col min="3581" max="3581" width="11" style="593" customWidth="1"/>
    <col min="3582" max="3582" width="7.55238095238095" style="593" customWidth="1"/>
    <col min="3583" max="3583" width="13.552380952381" style="593" customWidth="1"/>
    <col min="3584" max="3584" width="5.43809523809524" style="593" customWidth="1"/>
    <col min="3585" max="3585" width="11.3333333333333" style="593" customWidth="1"/>
    <col min="3586" max="3586" width="5.66666666666667" style="593" customWidth="1"/>
    <col min="3587" max="3587" width="12" style="593" customWidth="1"/>
    <col min="3588" max="3588" width="15.4380952380952" style="593" customWidth="1"/>
    <col min="3589" max="3590" width="15.1047619047619" style="593" customWidth="1"/>
    <col min="3591" max="3591" width="14.3333333333333" style="593" customWidth="1"/>
    <col min="3592" max="3592" width="3.1047619047619" style="593" customWidth="1"/>
    <col min="3593" max="3593" width="6.43809523809524" style="593" customWidth="1"/>
    <col min="3594" max="3833" width="8.88571428571429" style="593"/>
    <col min="3834" max="3834" width="5.55238095238095" style="593" customWidth="1"/>
    <col min="3835" max="3835" width="9.33333333333333" style="593" customWidth="1"/>
    <col min="3836" max="3836" width="24.6666666666667" style="593" customWidth="1"/>
    <col min="3837" max="3837" width="11" style="593" customWidth="1"/>
    <col min="3838" max="3838" width="7.55238095238095" style="593" customWidth="1"/>
    <col min="3839" max="3839" width="13.552380952381" style="593" customWidth="1"/>
    <col min="3840" max="3840" width="5.43809523809524" style="593" customWidth="1"/>
    <col min="3841" max="3841" width="11.3333333333333" style="593" customWidth="1"/>
    <col min="3842" max="3842" width="5.66666666666667" style="593" customWidth="1"/>
    <col min="3843" max="3843" width="12" style="593" customWidth="1"/>
    <col min="3844" max="3844" width="15.4380952380952" style="593" customWidth="1"/>
    <col min="3845" max="3846" width="15.1047619047619" style="593" customWidth="1"/>
    <col min="3847" max="3847" width="14.3333333333333" style="593" customWidth="1"/>
    <col min="3848" max="3848" width="3.1047619047619" style="593" customWidth="1"/>
    <col min="3849" max="3849" width="6.43809523809524" style="593" customWidth="1"/>
    <col min="3850" max="4089" width="8.88571428571429" style="593"/>
    <col min="4090" max="4090" width="5.55238095238095" style="593" customWidth="1"/>
    <col min="4091" max="4091" width="9.33333333333333" style="593" customWidth="1"/>
    <col min="4092" max="4092" width="24.6666666666667" style="593" customWidth="1"/>
    <col min="4093" max="4093" width="11" style="593" customWidth="1"/>
    <col min="4094" max="4094" width="7.55238095238095" style="593" customWidth="1"/>
    <col min="4095" max="4095" width="13.552380952381" style="593" customWidth="1"/>
    <col min="4096" max="4096" width="5.43809523809524" style="593" customWidth="1"/>
    <col min="4097" max="4097" width="11.3333333333333" style="593" customWidth="1"/>
    <col min="4098" max="4098" width="5.66666666666667" style="593" customWidth="1"/>
    <col min="4099" max="4099" width="12" style="593" customWidth="1"/>
    <col min="4100" max="4100" width="15.4380952380952" style="593" customWidth="1"/>
    <col min="4101" max="4102" width="15.1047619047619" style="593" customWidth="1"/>
    <col min="4103" max="4103" width="14.3333333333333" style="593" customWidth="1"/>
    <col min="4104" max="4104" width="3.1047619047619" style="593" customWidth="1"/>
    <col min="4105" max="4105" width="6.43809523809524" style="593" customWidth="1"/>
    <col min="4106" max="4345" width="8.88571428571429" style="593"/>
    <col min="4346" max="4346" width="5.55238095238095" style="593" customWidth="1"/>
    <col min="4347" max="4347" width="9.33333333333333" style="593" customWidth="1"/>
    <col min="4348" max="4348" width="24.6666666666667" style="593" customWidth="1"/>
    <col min="4349" max="4349" width="11" style="593" customWidth="1"/>
    <col min="4350" max="4350" width="7.55238095238095" style="593" customWidth="1"/>
    <col min="4351" max="4351" width="13.552380952381" style="593" customWidth="1"/>
    <col min="4352" max="4352" width="5.43809523809524" style="593" customWidth="1"/>
    <col min="4353" max="4353" width="11.3333333333333" style="593" customWidth="1"/>
    <col min="4354" max="4354" width="5.66666666666667" style="593" customWidth="1"/>
    <col min="4355" max="4355" width="12" style="593" customWidth="1"/>
    <col min="4356" max="4356" width="15.4380952380952" style="593" customWidth="1"/>
    <col min="4357" max="4358" width="15.1047619047619" style="593" customWidth="1"/>
    <col min="4359" max="4359" width="14.3333333333333" style="593" customWidth="1"/>
    <col min="4360" max="4360" width="3.1047619047619" style="593" customWidth="1"/>
    <col min="4361" max="4361" width="6.43809523809524" style="593" customWidth="1"/>
    <col min="4362" max="4601" width="8.88571428571429" style="593"/>
    <col min="4602" max="4602" width="5.55238095238095" style="593" customWidth="1"/>
    <col min="4603" max="4603" width="9.33333333333333" style="593" customWidth="1"/>
    <col min="4604" max="4604" width="24.6666666666667" style="593" customWidth="1"/>
    <col min="4605" max="4605" width="11" style="593" customWidth="1"/>
    <col min="4606" max="4606" width="7.55238095238095" style="593" customWidth="1"/>
    <col min="4607" max="4607" width="13.552380952381" style="593" customWidth="1"/>
    <col min="4608" max="4608" width="5.43809523809524" style="593" customWidth="1"/>
    <col min="4609" max="4609" width="11.3333333333333" style="593" customWidth="1"/>
    <col min="4610" max="4610" width="5.66666666666667" style="593" customWidth="1"/>
    <col min="4611" max="4611" width="12" style="593" customWidth="1"/>
    <col min="4612" max="4612" width="15.4380952380952" style="593" customWidth="1"/>
    <col min="4613" max="4614" width="15.1047619047619" style="593" customWidth="1"/>
    <col min="4615" max="4615" width="14.3333333333333" style="593" customWidth="1"/>
    <col min="4616" max="4616" width="3.1047619047619" style="593" customWidth="1"/>
    <col min="4617" max="4617" width="6.43809523809524" style="593" customWidth="1"/>
    <col min="4618" max="4857" width="8.88571428571429" style="593"/>
    <col min="4858" max="4858" width="5.55238095238095" style="593" customWidth="1"/>
    <col min="4859" max="4859" width="9.33333333333333" style="593" customWidth="1"/>
    <col min="4860" max="4860" width="24.6666666666667" style="593" customWidth="1"/>
    <col min="4861" max="4861" width="11" style="593" customWidth="1"/>
    <col min="4862" max="4862" width="7.55238095238095" style="593" customWidth="1"/>
    <col min="4863" max="4863" width="13.552380952381" style="593" customWidth="1"/>
    <col min="4864" max="4864" width="5.43809523809524" style="593" customWidth="1"/>
    <col min="4865" max="4865" width="11.3333333333333" style="593" customWidth="1"/>
    <col min="4866" max="4866" width="5.66666666666667" style="593" customWidth="1"/>
    <col min="4867" max="4867" width="12" style="593" customWidth="1"/>
    <col min="4868" max="4868" width="15.4380952380952" style="593" customWidth="1"/>
    <col min="4869" max="4870" width="15.1047619047619" style="593" customWidth="1"/>
    <col min="4871" max="4871" width="14.3333333333333" style="593" customWidth="1"/>
    <col min="4872" max="4872" width="3.1047619047619" style="593" customWidth="1"/>
    <col min="4873" max="4873" width="6.43809523809524" style="593" customWidth="1"/>
    <col min="4874" max="5113" width="8.88571428571429" style="593"/>
    <col min="5114" max="5114" width="5.55238095238095" style="593" customWidth="1"/>
    <col min="5115" max="5115" width="9.33333333333333" style="593" customWidth="1"/>
    <col min="5116" max="5116" width="24.6666666666667" style="593" customWidth="1"/>
    <col min="5117" max="5117" width="11" style="593" customWidth="1"/>
    <col min="5118" max="5118" width="7.55238095238095" style="593" customWidth="1"/>
    <col min="5119" max="5119" width="13.552380952381" style="593" customWidth="1"/>
    <col min="5120" max="5120" width="5.43809523809524" style="593" customWidth="1"/>
    <col min="5121" max="5121" width="11.3333333333333" style="593" customWidth="1"/>
    <col min="5122" max="5122" width="5.66666666666667" style="593" customWidth="1"/>
    <col min="5123" max="5123" width="12" style="593" customWidth="1"/>
    <col min="5124" max="5124" width="15.4380952380952" style="593" customWidth="1"/>
    <col min="5125" max="5126" width="15.1047619047619" style="593" customWidth="1"/>
    <col min="5127" max="5127" width="14.3333333333333" style="593" customWidth="1"/>
    <col min="5128" max="5128" width="3.1047619047619" style="593" customWidth="1"/>
    <col min="5129" max="5129" width="6.43809523809524" style="593" customWidth="1"/>
    <col min="5130" max="5369" width="8.88571428571429" style="593"/>
    <col min="5370" max="5370" width="5.55238095238095" style="593" customWidth="1"/>
    <col min="5371" max="5371" width="9.33333333333333" style="593" customWidth="1"/>
    <col min="5372" max="5372" width="24.6666666666667" style="593" customWidth="1"/>
    <col min="5373" max="5373" width="11" style="593" customWidth="1"/>
    <col min="5374" max="5374" width="7.55238095238095" style="593" customWidth="1"/>
    <col min="5375" max="5375" width="13.552380952381" style="593" customWidth="1"/>
    <col min="5376" max="5376" width="5.43809523809524" style="593" customWidth="1"/>
    <col min="5377" max="5377" width="11.3333333333333" style="593" customWidth="1"/>
    <col min="5378" max="5378" width="5.66666666666667" style="593" customWidth="1"/>
    <col min="5379" max="5379" width="12" style="593" customWidth="1"/>
    <col min="5380" max="5380" width="15.4380952380952" style="593" customWidth="1"/>
    <col min="5381" max="5382" width="15.1047619047619" style="593" customWidth="1"/>
    <col min="5383" max="5383" width="14.3333333333333" style="593" customWidth="1"/>
    <col min="5384" max="5384" width="3.1047619047619" style="593" customWidth="1"/>
    <col min="5385" max="5385" width="6.43809523809524" style="593" customWidth="1"/>
    <col min="5386" max="5625" width="8.88571428571429" style="593"/>
    <col min="5626" max="5626" width="5.55238095238095" style="593" customWidth="1"/>
    <col min="5627" max="5627" width="9.33333333333333" style="593" customWidth="1"/>
    <col min="5628" max="5628" width="24.6666666666667" style="593" customWidth="1"/>
    <col min="5629" max="5629" width="11" style="593" customWidth="1"/>
    <col min="5630" max="5630" width="7.55238095238095" style="593" customWidth="1"/>
    <col min="5631" max="5631" width="13.552380952381" style="593" customWidth="1"/>
    <col min="5632" max="5632" width="5.43809523809524" style="593" customWidth="1"/>
    <col min="5633" max="5633" width="11.3333333333333" style="593" customWidth="1"/>
    <col min="5634" max="5634" width="5.66666666666667" style="593" customWidth="1"/>
    <col min="5635" max="5635" width="12" style="593" customWidth="1"/>
    <col min="5636" max="5636" width="15.4380952380952" style="593" customWidth="1"/>
    <col min="5637" max="5638" width="15.1047619047619" style="593" customWidth="1"/>
    <col min="5639" max="5639" width="14.3333333333333" style="593" customWidth="1"/>
    <col min="5640" max="5640" width="3.1047619047619" style="593" customWidth="1"/>
    <col min="5641" max="5641" width="6.43809523809524" style="593" customWidth="1"/>
    <col min="5642" max="5881" width="8.88571428571429" style="593"/>
    <col min="5882" max="5882" width="5.55238095238095" style="593" customWidth="1"/>
    <col min="5883" max="5883" width="9.33333333333333" style="593" customWidth="1"/>
    <col min="5884" max="5884" width="24.6666666666667" style="593" customWidth="1"/>
    <col min="5885" max="5885" width="11" style="593" customWidth="1"/>
    <col min="5886" max="5886" width="7.55238095238095" style="593" customWidth="1"/>
    <col min="5887" max="5887" width="13.552380952381" style="593" customWidth="1"/>
    <col min="5888" max="5888" width="5.43809523809524" style="593" customWidth="1"/>
    <col min="5889" max="5889" width="11.3333333333333" style="593" customWidth="1"/>
    <col min="5890" max="5890" width="5.66666666666667" style="593" customWidth="1"/>
    <col min="5891" max="5891" width="12" style="593" customWidth="1"/>
    <col min="5892" max="5892" width="15.4380952380952" style="593" customWidth="1"/>
    <col min="5893" max="5894" width="15.1047619047619" style="593" customWidth="1"/>
    <col min="5895" max="5895" width="14.3333333333333" style="593" customWidth="1"/>
    <col min="5896" max="5896" width="3.1047619047619" style="593" customWidth="1"/>
    <col min="5897" max="5897" width="6.43809523809524" style="593" customWidth="1"/>
    <col min="5898" max="6137" width="8.88571428571429" style="593"/>
    <col min="6138" max="6138" width="5.55238095238095" style="593" customWidth="1"/>
    <col min="6139" max="6139" width="9.33333333333333" style="593" customWidth="1"/>
    <col min="6140" max="6140" width="24.6666666666667" style="593" customWidth="1"/>
    <col min="6141" max="6141" width="11" style="593" customWidth="1"/>
    <col min="6142" max="6142" width="7.55238095238095" style="593" customWidth="1"/>
    <col min="6143" max="6143" width="13.552380952381" style="593" customWidth="1"/>
    <col min="6144" max="6144" width="5.43809523809524" style="593" customWidth="1"/>
    <col min="6145" max="6145" width="11.3333333333333" style="593" customWidth="1"/>
    <col min="6146" max="6146" width="5.66666666666667" style="593" customWidth="1"/>
    <col min="6147" max="6147" width="12" style="593" customWidth="1"/>
    <col min="6148" max="6148" width="15.4380952380952" style="593" customWidth="1"/>
    <col min="6149" max="6150" width="15.1047619047619" style="593" customWidth="1"/>
    <col min="6151" max="6151" width="14.3333333333333" style="593" customWidth="1"/>
    <col min="6152" max="6152" width="3.1047619047619" style="593" customWidth="1"/>
    <col min="6153" max="6153" width="6.43809523809524" style="593" customWidth="1"/>
    <col min="6154" max="6393" width="8.88571428571429" style="593"/>
    <col min="6394" max="6394" width="5.55238095238095" style="593" customWidth="1"/>
    <col min="6395" max="6395" width="9.33333333333333" style="593" customWidth="1"/>
    <col min="6396" max="6396" width="24.6666666666667" style="593" customWidth="1"/>
    <col min="6397" max="6397" width="11" style="593" customWidth="1"/>
    <col min="6398" max="6398" width="7.55238095238095" style="593" customWidth="1"/>
    <col min="6399" max="6399" width="13.552380952381" style="593" customWidth="1"/>
    <col min="6400" max="6400" width="5.43809523809524" style="593" customWidth="1"/>
    <col min="6401" max="6401" width="11.3333333333333" style="593" customWidth="1"/>
    <col min="6402" max="6402" width="5.66666666666667" style="593" customWidth="1"/>
    <col min="6403" max="6403" width="12" style="593" customWidth="1"/>
    <col min="6404" max="6404" width="15.4380952380952" style="593" customWidth="1"/>
    <col min="6405" max="6406" width="15.1047619047619" style="593" customWidth="1"/>
    <col min="6407" max="6407" width="14.3333333333333" style="593" customWidth="1"/>
    <col min="6408" max="6408" width="3.1047619047619" style="593" customWidth="1"/>
    <col min="6409" max="6409" width="6.43809523809524" style="593" customWidth="1"/>
    <col min="6410" max="6649" width="8.88571428571429" style="593"/>
    <col min="6650" max="6650" width="5.55238095238095" style="593" customWidth="1"/>
    <col min="6651" max="6651" width="9.33333333333333" style="593" customWidth="1"/>
    <col min="6652" max="6652" width="24.6666666666667" style="593" customWidth="1"/>
    <col min="6653" max="6653" width="11" style="593" customWidth="1"/>
    <col min="6654" max="6654" width="7.55238095238095" style="593" customWidth="1"/>
    <col min="6655" max="6655" width="13.552380952381" style="593" customWidth="1"/>
    <col min="6656" max="6656" width="5.43809523809524" style="593" customWidth="1"/>
    <col min="6657" max="6657" width="11.3333333333333" style="593" customWidth="1"/>
    <col min="6658" max="6658" width="5.66666666666667" style="593" customWidth="1"/>
    <col min="6659" max="6659" width="12" style="593" customWidth="1"/>
    <col min="6660" max="6660" width="15.4380952380952" style="593" customWidth="1"/>
    <col min="6661" max="6662" width="15.1047619047619" style="593" customWidth="1"/>
    <col min="6663" max="6663" width="14.3333333333333" style="593" customWidth="1"/>
    <col min="6664" max="6664" width="3.1047619047619" style="593" customWidth="1"/>
    <col min="6665" max="6665" width="6.43809523809524" style="593" customWidth="1"/>
    <col min="6666" max="6905" width="8.88571428571429" style="593"/>
    <col min="6906" max="6906" width="5.55238095238095" style="593" customWidth="1"/>
    <col min="6907" max="6907" width="9.33333333333333" style="593" customWidth="1"/>
    <col min="6908" max="6908" width="24.6666666666667" style="593" customWidth="1"/>
    <col min="6909" max="6909" width="11" style="593" customWidth="1"/>
    <col min="6910" max="6910" width="7.55238095238095" style="593" customWidth="1"/>
    <col min="6911" max="6911" width="13.552380952381" style="593" customWidth="1"/>
    <col min="6912" max="6912" width="5.43809523809524" style="593" customWidth="1"/>
    <col min="6913" max="6913" width="11.3333333333333" style="593" customWidth="1"/>
    <col min="6914" max="6914" width="5.66666666666667" style="593" customWidth="1"/>
    <col min="6915" max="6915" width="12" style="593" customWidth="1"/>
    <col min="6916" max="6916" width="15.4380952380952" style="593" customWidth="1"/>
    <col min="6917" max="6918" width="15.1047619047619" style="593" customWidth="1"/>
    <col min="6919" max="6919" width="14.3333333333333" style="593" customWidth="1"/>
    <col min="6920" max="6920" width="3.1047619047619" style="593" customWidth="1"/>
    <col min="6921" max="6921" width="6.43809523809524" style="593" customWidth="1"/>
    <col min="6922" max="7161" width="8.88571428571429" style="593"/>
    <col min="7162" max="7162" width="5.55238095238095" style="593" customWidth="1"/>
    <col min="7163" max="7163" width="9.33333333333333" style="593" customWidth="1"/>
    <col min="7164" max="7164" width="24.6666666666667" style="593" customWidth="1"/>
    <col min="7165" max="7165" width="11" style="593" customWidth="1"/>
    <col min="7166" max="7166" width="7.55238095238095" style="593" customWidth="1"/>
    <col min="7167" max="7167" width="13.552380952381" style="593" customWidth="1"/>
    <col min="7168" max="7168" width="5.43809523809524" style="593" customWidth="1"/>
    <col min="7169" max="7169" width="11.3333333333333" style="593" customWidth="1"/>
    <col min="7170" max="7170" width="5.66666666666667" style="593" customWidth="1"/>
    <col min="7171" max="7171" width="12" style="593" customWidth="1"/>
    <col min="7172" max="7172" width="15.4380952380952" style="593" customWidth="1"/>
    <col min="7173" max="7174" width="15.1047619047619" style="593" customWidth="1"/>
    <col min="7175" max="7175" width="14.3333333333333" style="593" customWidth="1"/>
    <col min="7176" max="7176" width="3.1047619047619" style="593" customWidth="1"/>
    <col min="7177" max="7177" width="6.43809523809524" style="593" customWidth="1"/>
    <col min="7178" max="7417" width="8.88571428571429" style="593"/>
    <col min="7418" max="7418" width="5.55238095238095" style="593" customWidth="1"/>
    <col min="7419" max="7419" width="9.33333333333333" style="593" customWidth="1"/>
    <col min="7420" max="7420" width="24.6666666666667" style="593" customWidth="1"/>
    <col min="7421" max="7421" width="11" style="593" customWidth="1"/>
    <col min="7422" max="7422" width="7.55238095238095" style="593" customWidth="1"/>
    <col min="7423" max="7423" width="13.552380952381" style="593" customWidth="1"/>
    <col min="7424" max="7424" width="5.43809523809524" style="593" customWidth="1"/>
    <col min="7425" max="7425" width="11.3333333333333" style="593" customWidth="1"/>
    <col min="7426" max="7426" width="5.66666666666667" style="593" customWidth="1"/>
    <col min="7427" max="7427" width="12" style="593" customWidth="1"/>
    <col min="7428" max="7428" width="15.4380952380952" style="593" customWidth="1"/>
    <col min="7429" max="7430" width="15.1047619047619" style="593" customWidth="1"/>
    <col min="7431" max="7431" width="14.3333333333333" style="593" customWidth="1"/>
    <col min="7432" max="7432" width="3.1047619047619" style="593" customWidth="1"/>
    <col min="7433" max="7433" width="6.43809523809524" style="593" customWidth="1"/>
    <col min="7434" max="7673" width="8.88571428571429" style="593"/>
    <col min="7674" max="7674" width="5.55238095238095" style="593" customWidth="1"/>
    <col min="7675" max="7675" width="9.33333333333333" style="593" customWidth="1"/>
    <col min="7676" max="7676" width="24.6666666666667" style="593" customWidth="1"/>
    <col min="7677" max="7677" width="11" style="593" customWidth="1"/>
    <col min="7678" max="7678" width="7.55238095238095" style="593" customWidth="1"/>
    <col min="7679" max="7679" width="13.552380952381" style="593" customWidth="1"/>
    <col min="7680" max="7680" width="5.43809523809524" style="593" customWidth="1"/>
    <col min="7681" max="7681" width="11.3333333333333" style="593" customWidth="1"/>
    <col min="7682" max="7682" width="5.66666666666667" style="593" customWidth="1"/>
    <col min="7683" max="7683" width="12" style="593" customWidth="1"/>
    <col min="7684" max="7684" width="15.4380952380952" style="593" customWidth="1"/>
    <col min="7685" max="7686" width="15.1047619047619" style="593" customWidth="1"/>
    <col min="7687" max="7687" width="14.3333333333333" style="593" customWidth="1"/>
    <col min="7688" max="7688" width="3.1047619047619" style="593" customWidth="1"/>
    <col min="7689" max="7689" width="6.43809523809524" style="593" customWidth="1"/>
    <col min="7690" max="7929" width="8.88571428571429" style="593"/>
    <col min="7930" max="7930" width="5.55238095238095" style="593" customWidth="1"/>
    <col min="7931" max="7931" width="9.33333333333333" style="593" customWidth="1"/>
    <col min="7932" max="7932" width="24.6666666666667" style="593" customWidth="1"/>
    <col min="7933" max="7933" width="11" style="593" customWidth="1"/>
    <col min="7934" max="7934" width="7.55238095238095" style="593" customWidth="1"/>
    <col min="7935" max="7935" width="13.552380952381" style="593" customWidth="1"/>
    <col min="7936" max="7936" width="5.43809523809524" style="593" customWidth="1"/>
    <col min="7937" max="7937" width="11.3333333333333" style="593" customWidth="1"/>
    <col min="7938" max="7938" width="5.66666666666667" style="593" customWidth="1"/>
    <col min="7939" max="7939" width="12" style="593" customWidth="1"/>
    <col min="7940" max="7940" width="15.4380952380952" style="593" customWidth="1"/>
    <col min="7941" max="7942" width="15.1047619047619" style="593" customWidth="1"/>
    <col min="7943" max="7943" width="14.3333333333333" style="593" customWidth="1"/>
    <col min="7944" max="7944" width="3.1047619047619" style="593" customWidth="1"/>
    <col min="7945" max="7945" width="6.43809523809524" style="593" customWidth="1"/>
    <col min="7946" max="8185" width="8.88571428571429" style="593"/>
    <col min="8186" max="8186" width="5.55238095238095" style="593" customWidth="1"/>
    <col min="8187" max="8187" width="9.33333333333333" style="593" customWidth="1"/>
    <col min="8188" max="8188" width="24.6666666666667" style="593" customWidth="1"/>
    <col min="8189" max="8189" width="11" style="593" customWidth="1"/>
    <col min="8190" max="8190" width="7.55238095238095" style="593" customWidth="1"/>
    <col min="8191" max="8191" width="13.552380952381" style="593" customWidth="1"/>
    <col min="8192" max="8192" width="5.43809523809524" style="593" customWidth="1"/>
    <col min="8193" max="8193" width="11.3333333333333" style="593" customWidth="1"/>
    <col min="8194" max="8194" width="5.66666666666667" style="593" customWidth="1"/>
    <col min="8195" max="8195" width="12" style="593" customWidth="1"/>
    <col min="8196" max="8196" width="15.4380952380952" style="593" customWidth="1"/>
    <col min="8197" max="8198" width="15.1047619047619" style="593" customWidth="1"/>
    <col min="8199" max="8199" width="14.3333333333333" style="593" customWidth="1"/>
    <col min="8200" max="8200" width="3.1047619047619" style="593" customWidth="1"/>
    <col min="8201" max="8201" width="6.43809523809524" style="593" customWidth="1"/>
    <col min="8202" max="8441" width="8.88571428571429" style="593"/>
    <col min="8442" max="8442" width="5.55238095238095" style="593" customWidth="1"/>
    <col min="8443" max="8443" width="9.33333333333333" style="593" customWidth="1"/>
    <col min="8444" max="8444" width="24.6666666666667" style="593" customWidth="1"/>
    <col min="8445" max="8445" width="11" style="593" customWidth="1"/>
    <col min="8446" max="8446" width="7.55238095238095" style="593" customWidth="1"/>
    <col min="8447" max="8447" width="13.552380952381" style="593" customWidth="1"/>
    <col min="8448" max="8448" width="5.43809523809524" style="593" customWidth="1"/>
    <col min="8449" max="8449" width="11.3333333333333" style="593" customWidth="1"/>
    <col min="8450" max="8450" width="5.66666666666667" style="593" customWidth="1"/>
    <col min="8451" max="8451" width="12" style="593" customWidth="1"/>
    <col min="8452" max="8452" width="15.4380952380952" style="593" customWidth="1"/>
    <col min="8453" max="8454" width="15.1047619047619" style="593" customWidth="1"/>
    <col min="8455" max="8455" width="14.3333333333333" style="593" customWidth="1"/>
    <col min="8456" max="8456" width="3.1047619047619" style="593" customWidth="1"/>
    <col min="8457" max="8457" width="6.43809523809524" style="593" customWidth="1"/>
    <col min="8458" max="8697" width="8.88571428571429" style="593"/>
    <col min="8698" max="8698" width="5.55238095238095" style="593" customWidth="1"/>
    <col min="8699" max="8699" width="9.33333333333333" style="593" customWidth="1"/>
    <col min="8700" max="8700" width="24.6666666666667" style="593" customWidth="1"/>
    <col min="8701" max="8701" width="11" style="593" customWidth="1"/>
    <col min="8702" max="8702" width="7.55238095238095" style="593" customWidth="1"/>
    <col min="8703" max="8703" width="13.552380952381" style="593" customWidth="1"/>
    <col min="8704" max="8704" width="5.43809523809524" style="593" customWidth="1"/>
    <col min="8705" max="8705" width="11.3333333333333" style="593" customWidth="1"/>
    <col min="8706" max="8706" width="5.66666666666667" style="593" customWidth="1"/>
    <col min="8707" max="8707" width="12" style="593" customWidth="1"/>
    <col min="8708" max="8708" width="15.4380952380952" style="593" customWidth="1"/>
    <col min="8709" max="8710" width="15.1047619047619" style="593" customWidth="1"/>
    <col min="8711" max="8711" width="14.3333333333333" style="593" customWidth="1"/>
    <col min="8712" max="8712" width="3.1047619047619" style="593" customWidth="1"/>
    <col min="8713" max="8713" width="6.43809523809524" style="593" customWidth="1"/>
    <col min="8714" max="8953" width="8.88571428571429" style="593"/>
    <col min="8954" max="8954" width="5.55238095238095" style="593" customWidth="1"/>
    <col min="8955" max="8955" width="9.33333333333333" style="593" customWidth="1"/>
    <col min="8956" max="8956" width="24.6666666666667" style="593" customWidth="1"/>
    <col min="8957" max="8957" width="11" style="593" customWidth="1"/>
    <col min="8958" max="8958" width="7.55238095238095" style="593" customWidth="1"/>
    <col min="8959" max="8959" width="13.552380952381" style="593" customWidth="1"/>
    <col min="8960" max="8960" width="5.43809523809524" style="593" customWidth="1"/>
    <col min="8961" max="8961" width="11.3333333333333" style="593" customWidth="1"/>
    <col min="8962" max="8962" width="5.66666666666667" style="593" customWidth="1"/>
    <col min="8963" max="8963" width="12" style="593" customWidth="1"/>
    <col min="8964" max="8964" width="15.4380952380952" style="593" customWidth="1"/>
    <col min="8965" max="8966" width="15.1047619047619" style="593" customWidth="1"/>
    <col min="8967" max="8967" width="14.3333333333333" style="593" customWidth="1"/>
    <col min="8968" max="8968" width="3.1047619047619" style="593" customWidth="1"/>
    <col min="8969" max="8969" width="6.43809523809524" style="593" customWidth="1"/>
    <col min="8970" max="9209" width="8.88571428571429" style="593"/>
    <col min="9210" max="9210" width="5.55238095238095" style="593" customWidth="1"/>
    <col min="9211" max="9211" width="9.33333333333333" style="593" customWidth="1"/>
    <col min="9212" max="9212" width="24.6666666666667" style="593" customWidth="1"/>
    <col min="9213" max="9213" width="11" style="593" customWidth="1"/>
    <col min="9214" max="9214" width="7.55238095238095" style="593" customWidth="1"/>
    <col min="9215" max="9215" width="13.552380952381" style="593" customWidth="1"/>
    <col min="9216" max="9216" width="5.43809523809524" style="593" customWidth="1"/>
    <col min="9217" max="9217" width="11.3333333333333" style="593" customWidth="1"/>
    <col min="9218" max="9218" width="5.66666666666667" style="593" customWidth="1"/>
    <col min="9219" max="9219" width="12" style="593" customWidth="1"/>
    <col min="9220" max="9220" width="15.4380952380952" style="593" customWidth="1"/>
    <col min="9221" max="9222" width="15.1047619047619" style="593" customWidth="1"/>
    <col min="9223" max="9223" width="14.3333333333333" style="593" customWidth="1"/>
    <col min="9224" max="9224" width="3.1047619047619" style="593" customWidth="1"/>
    <col min="9225" max="9225" width="6.43809523809524" style="593" customWidth="1"/>
    <col min="9226" max="9465" width="8.88571428571429" style="593"/>
    <col min="9466" max="9466" width="5.55238095238095" style="593" customWidth="1"/>
    <col min="9467" max="9467" width="9.33333333333333" style="593" customWidth="1"/>
    <col min="9468" max="9468" width="24.6666666666667" style="593" customWidth="1"/>
    <col min="9469" max="9469" width="11" style="593" customWidth="1"/>
    <col min="9470" max="9470" width="7.55238095238095" style="593" customWidth="1"/>
    <col min="9471" max="9471" width="13.552380952381" style="593" customWidth="1"/>
    <col min="9472" max="9472" width="5.43809523809524" style="593" customWidth="1"/>
    <col min="9473" max="9473" width="11.3333333333333" style="593" customWidth="1"/>
    <col min="9474" max="9474" width="5.66666666666667" style="593" customWidth="1"/>
    <col min="9475" max="9475" width="12" style="593" customWidth="1"/>
    <col min="9476" max="9476" width="15.4380952380952" style="593" customWidth="1"/>
    <col min="9477" max="9478" width="15.1047619047619" style="593" customWidth="1"/>
    <col min="9479" max="9479" width="14.3333333333333" style="593" customWidth="1"/>
    <col min="9480" max="9480" width="3.1047619047619" style="593" customWidth="1"/>
    <col min="9481" max="9481" width="6.43809523809524" style="593" customWidth="1"/>
    <col min="9482" max="9721" width="8.88571428571429" style="593"/>
    <col min="9722" max="9722" width="5.55238095238095" style="593" customWidth="1"/>
    <col min="9723" max="9723" width="9.33333333333333" style="593" customWidth="1"/>
    <col min="9724" max="9724" width="24.6666666666667" style="593" customWidth="1"/>
    <col min="9725" max="9725" width="11" style="593" customWidth="1"/>
    <col min="9726" max="9726" width="7.55238095238095" style="593" customWidth="1"/>
    <col min="9727" max="9727" width="13.552380952381" style="593" customWidth="1"/>
    <col min="9728" max="9728" width="5.43809523809524" style="593" customWidth="1"/>
    <col min="9729" max="9729" width="11.3333333333333" style="593" customWidth="1"/>
    <col min="9730" max="9730" width="5.66666666666667" style="593" customWidth="1"/>
    <col min="9731" max="9731" width="12" style="593" customWidth="1"/>
    <col min="9732" max="9732" width="15.4380952380952" style="593" customWidth="1"/>
    <col min="9733" max="9734" width="15.1047619047619" style="593" customWidth="1"/>
    <col min="9735" max="9735" width="14.3333333333333" style="593" customWidth="1"/>
    <col min="9736" max="9736" width="3.1047619047619" style="593" customWidth="1"/>
    <col min="9737" max="9737" width="6.43809523809524" style="593" customWidth="1"/>
    <col min="9738" max="9977" width="8.88571428571429" style="593"/>
    <col min="9978" max="9978" width="5.55238095238095" style="593" customWidth="1"/>
    <col min="9979" max="9979" width="9.33333333333333" style="593" customWidth="1"/>
    <col min="9980" max="9980" width="24.6666666666667" style="593" customWidth="1"/>
    <col min="9981" max="9981" width="11" style="593" customWidth="1"/>
    <col min="9982" max="9982" width="7.55238095238095" style="593" customWidth="1"/>
    <col min="9983" max="9983" width="13.552380952381" style="593" customWidth="1"/>
    <col min="9984" max="9984" width="5.43809523809524" style="593" customWidth="1"/>
    <col min="9985" max="9985" width="11.3333333333333" style="593" customWidth="1"/>
    <col min="9986" max="9986" width="5.66666666666667" style="593" customWidth="1"/>
    <col min="9987" max="9987" width="12" style="593" customWidth="1"/>
    <col min="9988" max="9988" width="15.4380952380952" style="593" customWidth="1"/>
    <col min="9989" max="9990" width="15.1047619047619" style="593" customWidth="1"/>
    <col min="9991" max="9991" width="14.3333333333333" style="593" customWidth="1"/>
    <col min="9992" max="9992" width="3.1047619047619" style="593" customWidth="1"/>
    <col min="9993" max="9993" width="6.43809523809524" style="593" customWidth="1"/>
    <col min="9994" max="10233" width="8.88571428571429" style="593"/>
    <col min="10234" max="10234" width="5.55238095238095" style="593" customWidth="1"/>
    <col min="10235" max="10235" width="9.33333333333333" style="593" customWidth="1"/>
    <col min="10236" max="10236" width="24.6666666666667" style="593" customWidth="1"/>
    <col min="10237" max="10237" width="11" style="593" customWidth="1"/>
    <col min="10238" max="10238" width="7.55238095238095" style="593" customWidth="1"/>
    <col min="10239" max="10239" width="13.552380952381" style="593" customWidth="1"/>
    <col min="10240" max="10240" width="5.43809523809524" style="593" customWidth="1"/>
    <col min="10241" max="10241" width="11.3333333333333" style="593" customWidth="1"/>
    <col min="10242" max="10242" width="5.66666666666667" style="593" customWidth="1"/>
    <col min="10243" max="10243" width="12" style="593" customWidth="1"/>
    <col min="10244" max="10244" width="15.4380952380952" style="593" customWidth="1"/>
    <col min="10245" max="10246" width="15.1047619047619" style="593" customWidth="1"/>
    <col min="10247" max="10247" width="14.3333333333333" style="593" customWidth="1"/>
    <col min="10248" max="10248" width="3.1047619047619" style="593" customWidth="1"/>
    <col min="10249" max="10249" width="6.43809523809524" style="593" customWidth="1"/>
    <col min="10250" max="10489" width="8.88571428571429" style="593"/>
    <col min="10490" max="10490" width="5.55238095238095" style="593" customWidth="1"/>
    <col min="10491" max="10491" width="9.33333333333333" style="593" customWidth="1"/>
    <col min="10492" max="10492" width="24.6666666666667" style="593" customWidth="1"/>
    <col min="10493" max="10493" width="11" style="593" customWidth="1"/>
    <col min="10494" max="10494" width="7.55238095238095" style="593" customWidth="1"/>
    <col min="10495" max="10495" width="13.552380952381" style="593" customWidth="1"/>
    <col min="10496" max="10496" width="5.43809523809524" style="593" customWidth="1"/>
    <col min="10497" max="10497" width="11.3333333333333" style="593" customWidth="1"/>
    <col min="10498" max="10498" width="5.66666666666667" style="593" customWidth="1"/>
    <col min="10499" max="10499" width="12" style="593" customWidth="1"/>
    <col min="10500" max="10500" width="15.4380952380952" style="593" customWidth="1"/>
    <col min="10501" max="10502" width="15.1047619047619" style="593" customWidth="1"/>
    <col min="10503" max="10503" width="14.3333333333333" style="593" customWidth="1"/>
    <col min="10504" max="10504" width="3.1047619047619" style="593" customWidth="1"/>
    <col min="10505" max="10505" width="6.43809523809524" style="593" customWidth="1"/>
    <col min="10506" max="10745" width="8.88571428571429" style="593"/>
    <col min="10746" max="10746" width="5.55238095238095" style="593" customWidth="1"/>
    <col min="10747" max="10747" width="9.33333333333333" style="593" customWidth="1"/>
    <col min="10748" max="10748" width="24.6666666666667" style="593" customWidth="1"/>
    <col min="10749" max="10749" width="11" style="593" customWidth="1"/>
    <col min="10750" max="10750" width="7.55238095238095" style="593" customWidth="1"/>
    <col min="10751" max="10751" width="13.552380952381" style="593" customWidth="1"/>
    <col min="10752" max="10752" width="5.43809523809524" style="593" customWidth="1"/>
    <col min="10753" max="10753" width="11.3333333333333" style="593" customWidth="1"/>
    <col min="10754" max="10754" width="5.66666666666667" style="593" customWidth="1"/>
    <col min="10755" max="10755" width="12" style="593" customWidth="1"/>
    <col min="10756" max="10756" width="15.4380952380952" style="593" customWidth="1"/>
    <col min="10757" max="10758" width="15.1047619047619" style="593" customWidth="1"/>
    <col min="10759" max="10759" width="14.3333333333333" style="593" customWidth="1"/>
    <col min="10760" max="10760" width="3.1047619047619" style="593" customWidth="1"/>
    <col min="10761" max="10761" width="6.43809523809524" style="593" customWidth="1"/>
    <col min="10762" max="11001" width="8.88571428571429" style="593"/>
    <col min="11002" max="11002" width="5.55238095238095" style="593" customWidth="1"/>
    <col min="11003" max="11003" width="9.33333333333333" style="593" customWidth="1"/>
    <col min="11004" max="11004" width="24.6666666666667" style="593" customWidth="1"/>
    <col min="11005" max="11005" width="11" style="593" customWidth="1"/>
    <col min="11006" max="11006" width="7.55238095238095" style="593" customWidth="1"/>
    <col min="11007" max="11007" width="13.552380952381" style="593" customWidth="1"/>
    <col min="11008" max="11008" width="5.43809523809524" style="593" customWidth="1"/>
    <col min="11009" max="11009" width="11.3333333333333" style="593" customWidth="1"/>
    <col min="11010" max="11010" width="5.66666666666667" style="593" customWidth="1"/>
    <col min="11011" max="11011" width="12" style="593" customWidth="1"/>
    <col min="11012" max="11012" width="15.4380952380952" style="593" customWidth="1"/>
    <col min="11013" max="11014" width="15.1047619047619" style="593" customWidth="1"/>
    <col min="11015" max="11015" width="14.3333333333333" style="593" customWidth="1"/>
    <col min="11016" max="11016" width="3.1047619047619" style="593" customWidth="1"/>
    <col min="11017" max="11017" width="6.43809523809524" style="593" customWidth="1"/>
    <col min="11018" max="11257" width="8.88571428571429" style="593"/>
    <col min="11258" max="11258" width="5.55238095238095" style="593" customWidth="1"/>
    <col min="11259" max="11259" width="9.33333333333333" style="593" customWidth="1"/>
    <col min="11260" max="11260" width="24.6666666666667" style="593" customWidth="1"/>
    <col min="11261" max="11261" width="11" style="593" customWidth="1"/>
    <col min="11262" max="11262" width="7.55238095238095" style="593" customWidth="1"/>
    <col min="11263" max="11263" width="13.552380952381" style="593" customWidth="1"/>
    <col min="11264" max="11264" width="5.43809523809524" style="593" customWidth="1"/>
    <col min="11265" max="11265" width="11.3333333333333" style="593" customWidth="1"/>
    <col min="11266" max="11266" width="5.66666666666667" style="593" customWidth="1"/>
    <col min="11267" max="11267" width="12" style="593" customWidth="1"/>
    <col min="11268" max="11268" width="15.4380952380952" style="593" customWidth="1"/>
    <col min="11269" max="11270" width="15.1047619047619" style="593" customWidth="1"/>
    <col min="11271" max="11271" width="14.3333333333333" style="593" customWidth="1"/>
    <col min="11272" max="11272" width="3.1047619047619" style="593" customWidth="1"/>
    <col min="11273" max="11273" width="6.43809523809524" style="593" customWidth="1"/>
    <col min="11274" max="11513" width="8.88571428571429" style="593"/>
    <col min="11514" max="11514" width="5.55238095238095" style="593" customWidth="1"/>
    <col min="11515" max="11515" width="9.33333333333333" style="593" customWidth="1"/>
    <col min="11516" max="11516" width="24.6666666666667" style="593" customWidth="1"/>
    <col min="11517" max="11517" width="11" style="593" customWidth="1"/>
    <col min="11518" max="11518" width="7.55238095238095" style="593" customWidth="1"/>
    <col min="11519" max="11519" width="13.552380952381" style="593" customWidth="1"/>
    <col min="11520" max="11520" width="5.43809523809524" style="593" customWidth="1"/>
    <col min="11521" max="11521" width="11.3333333333333" style="593" customWidth="1"/>
    <col min="11522" max="11522" width="5.66666666666667" style="593" customWidth="1"/>
    <col min="11523" max="11523" width="12" style="593" customWidth="1"/>
    <col min="11524" max="11524" width="15.4380952380952" style="593" customWidth="1"/>
    <col min="11525" max="11526" width="15.1047619047619" style="593" customWidth="1"/>
    <col min="11527" max="11527" width="14.3333333333333" style="593" customWidth="1"/>
    <col min="11528" max="11528" width="3.1047619047619" style="593" customWidth="1"/>
    <col min="11529" max="11529" width="6.43809523809524" style="593" customWidth="1"/>
    <col min="11530" max="11769" width="8.88571428571429" style="593"/>
    <col min="11770" max="11770" width="5.55238095238095" style="593" customWidth="1"/>
    <col min="11771" max="11771" width="9.33333333333333" style="593" customWidth="1"/>
    <col min="11772" max="11772" width="24.6666666666667" style="593" customWidth="1"/>
    <col min="11773" max="11773" width="11" style="593" customWidth="1"/>
    <col min="11774" max="11774" width="7.55238095238095" style="593" customWidth="1"/>
    <col min="11775" max="11775" width="13.552380952381" style="593" customWidth="1"/>
    <col min="11776" max="11776" width="5.43809523809524" style="593" customWidth="1"/>
    <col min="11777" max="11777" width="11.3333333333333" style="593" customWidth="1"/>
    <col min="11778" max="11778" width="5.66666666666667" style="593" customWidth="1"/>
    <col min="11779" max="11779" width="12" style="593" customWidth="1"/>
    <col min="11780" max="11780" width="15.4380952380952" style="593" customWidth="1"/>
    <col min="11781" max="11782" width="15.1047619047619" style="593" customWidth="1"/>
    <col min="11783" max="11783" width="14.3333333333333" style="593" customWidth="1"/>
    <col min="11784" max="11784" width="3.1047619047619" style="593" customWidth="1"/>
    <col min="11785" max="11785" width="6.43809523809524" style="593" customWidth="1"/>
    <col min="11786" max="12025" width="8.88571428571429" style="593"/>
    <col min="12026" max="12026" width="5.55238095238095" style="593" customWidth="1"/>
    <col min="12027" max="12027" width="9.33333333333333" style="593" customWidth="1"/>
    <col min="12028" max="12028" width="24.6666666666667" style="593" customWidth="1"/>
    <col min="12029" max="12029" width="11" style="593" customWidth="1"/>
    <col min="12030" max="12030" width="7.55238095238095" style="593" customWidth="1"/>
    <col min="12031" max="12031" width="13.552380952381" style="593" customWidth="1"/>
    <col min="12032" max="12032" width="5.43809523809524" style="593" customWidth="1"/>
    <col min="12033" max="12033" width="11.3333333333333" style="593" customWidth="1"/>
    <col min="12034" max="12034" width="5.66666666666667" style="593" customWidth="1"/>
    <col min="12035" max="12035" width="12" style="593" customWidth="1"/>
    <col min="12036" max="12036" width="15.4380952380952" style="593" customWidth="1"/>
    <col min="12037" max="12038" width="15.1047619047619" style="593" customWidth="1"/>
    <col min="12039" max="12039" width="14.3333333333333" style="593" customWidth="1"/>
    <col min="12040" max="12040" width="3.1047619047619" style="593" customWidth="1"/>
    <col min="12041" max="12041" width="6.43809523809524" style="593" customWidth="1"/>
    <col min="12042" max="12281" width="8.88571428571429" style="593"/>
    <col min="12282" max="12282" width="5.55238095238095" style="593" customWidth="1"/>
    <col min="12283" max="12283" width="9.33333333333333" style="593" customWidth="1"/>
    <col min="12284" max="12284" width="24.6666666666667" style="593" customWidth="1"/>
    <col min="12285" max="12285" width="11" style="593" customWidth="1"/>
    <col min="12286" max="12286" width="7.55238095238095" style="593" customWidth="1"/>
    <col min="12287" max="12287" width="13.552380952381" style="593" customWidth="1"/>
    <col min="12288" max="12288" width="5.43809523809524" style="593" customWidth="1"/>
    <col min="12289" max="12289" width="11.3333333333333" style="593" customWidth="1"/>
    <col min="12290" max="12290" width="5.66666666666667" style="593" customWidth="1"/>
    <col min="12291" max="12291" width="12" style="593" customWidth="1"/>
    <col min="12292" max="12292" width="15.4380952380952" style="593" customWidth="1"/>
    <col min="12293" max="12294" width="15.1047619047619" style="593" customWidth="1"/>
    <col min="12295" max="12295" width="14.3333333333333" style="593" customWidth="1"/>
    <col min="12296" max="12296" width="3.1047619047619" style="593" customWidth="1"/>
    <col min="12297" max="12297" width="6.43809523809524" style="593" customWidth="1"/>
    <col min="12298" max="12537" width="8.88571428571429" style="593"/>
    <col min="12538" max="12538" width="5.55238095238095" style="593" customWidth="1"/>
    <col min="12539" max="12539" width="9.33333333333333" style="593" customWidth="1"/>
    <col min="12540" max="12540" width="24.6666666666667" style="593" customWidth="1"/>
    <col min="12541" max="12541" width="11" style="593" customWidth="1"/>
    <col min="12542" max="12542" width="7.55238095238095" style="593" customWidth="1"/>
    <col min="12543" max="12543" width="13.552380952381" style="593" customWidth="1"/>
    <col min="12544" max="12544" width="5.43809523809524" style="593" customWidth="1"/>
    <col min="12545" max="12545" width="11.3333333333333" style="593" customWidth="1"/>
    <col min="12546" max="12546" width="5.66666666666667" style="593" customWidth="1"/>
    <col min="12547" max="12547" width="12" style="593" customWidth="1"/>
    <col min="12548" max="12548" width="15.4380952380952" style="593" customWidth="1"/>
    <col min="12549" max="12550" width="15.1047619047619" style="593" customWidth="1"/>
    <col min="12551" max="12551" width="14.3333333333333" style="593" customWidth="1"/>
    <col min="12552" max="12552" width="3.1047619047619" style="593" customWidth="1"/>
    <col min="12553" max="12553" width="6.43809523809524" style="593" customWidth="1"/>
    <col min="12554" max="12793" width="8.88571428571429" style="593"/>
    <col min="12794" max="12794" width="5.55238095238095" style="593" customWidth="1"/>
    <col min="12795" max="12795" width="9.33333333333333" style="593" customWidth="1"/>
    <col min="12796" max="12796" width="24.6666666666667" style="593" customWidth="1"/>
    <col min="12797" max="12797" width="11" style="593" customWidth="1"/>
    <col min="12798" max="12798" width="7.55238095238095" style="593" customWidth="1"/>
    <col min="12799" max="12799" width="13.552380952381" style="593" customWidth="1"/>
    <col min="12800" max="12800" width="5.43809523809524" style="593" customWidth="1"/>
    <col min="12801" max="12801" width="11.3333333333333" style="593" customWidth="1"/>
    <col min="12802" max="12802" width="5.66666666666667" style="593" customWidth="1"/>
    <col min="12803" max="12803" width="12" style="593" customWidth="1"/>
    <col min="12804" max="12804" width="15.4380952380952" style="593" customWidth="1"/>
    <col min="12805" max="12806" width="15.1047619047619" style="593" customWidth="1"/>
    <col min="12807" max="12807" width="14.3333333333333" style="593" customWidth="1"/>
    <col min="12808" max="12808" width="3.1047619047619" style="593" customWidth="1"/>
    <col min="12809" max="12809" width="6.43809523809524" style="593" customWidth="1"/>
    <col min="12810" max="13049" width="8.88571428571429" style="593"/>
    <col min="13050" max="13050" width="5.55238095238095" style="593" customWidth="1"/>
    <col min="13051" max="13051" width="9.33333333333333" style="593" customWidth="1"/>
    <col min="13052" max="13052" width="24.6666666666667" style="593" customWidth="1"/>
    <col min="13053" max="13053" width="11" style="593" customWidth="1"/>
    <col min="13054" max="13054" width="7.55238095238095" style="593" customWidth="1"/>
    <col min="13055" max="13055" width="13.552380952381" style="593" customWidth="1"/>
    <col min="13056" max="13056" width="5.43809523809524" style="593" customWidth="1"/>
    <col min="13057" max="13057" width="11.3333333333333" style="593" customWidth="1"/>
    <col min="13058" max="13058" width="5.66666666666667" style="593" customWidth="1"/>
    <col min="13059" max="13059" width="12" style="593" customWidth="1"/>
    <col min="13060" max="13060" width="15.4380952380952" style="593" customWidth="1"/>
    <col min="13061" max="13062" width="15.1047619047619" style="593" customWidth="1"/>
    <col min="13063" max="13063" width="14.3333333333333" style="593" customWidth="1"/>
    <col min="13064" max="13064" width="3.1047619047619" style="593" customWidth="1"/>
    <col min="13065" max="13065" width="6.43809523809524" style="593" customWidth="1"/>
    <col min="13066" max="13305" width="8.88571428571429" style="593"/>
    <col min="13306" max="13306" width="5.55238095238095" style="593" customWidth="1"/>
    <col min="13307" max="13307" width="9.33333333333333" style="593" customWidth="1"/>
    <col min="13308" max="13308" width="24.6666666666667" style="593" customWidth="1"/>
    <col min="13309" max="13309" width="11" style="593" customWidth="1"/>
    <col min="13310" max="13310" width="7.55238095238095" style="593" customWidth="1"/>
    <col min="13311" max="13311" width="13.552380952381" style="593" customWidth="1"/>
    <col min="13312" max="13312" width="5.43809523809524" style="593" customWidth="1"/>
    <col min="13313" max="13313" width="11.3333333333333" style="593" customWidth="1"/>
    <col min="13314" max="13314" width="5.66666666666667" style="593" customWidth="1"/>
    <col min="13315" max="13315" width="12" style="593" customWidth="1"/>
    <col min="13316" max="13316" width="15.4380952380952" style="593" customWidth="1"/>
    <col min="13317" max="13318" width="15.1047619047619" style="593" customWidth="1"/>
    <col min="13319" max="13319" width="14.3333333333333" style="593" customWidth="1"/>
    <col min="13320" max="13320" width="3.1047619047619" style="593" customWidth="1"/>
    <col min="13321" max="13321" width="6.43809523809524" style="593" customWidth="1"/>
    <col min="13322" max="13561" width="8.88571428571429" style="593"/>
    <col min="13562" max="13562" width="5.55238095238095" style="593" customWidth="1"/>
    <col min="13563" max="13563" width="9.33333333333333" style="593" customWidth="1"/>
    <col min="13564" max="13564" width="24.6666666666667" style="593" customWidth="1"/>
    <col min="13565" max="13565" width="11" style="593" customWidth="1"/>
    <col min="13566" max="13566" width="7.55238095238095" style="593" customWidth="1"/>
    <col min="13567" max="13567" width="13.552380952381" style="593" customWidth="1"/>
    <col min="13568" max="13568" width="5.43809523809524" style="593" customWidth="1"/>
    <col min="13569" max="13569" width="11.3333333333333" style="593" customWidth="1"/>
    <col min="13570" max="13570" width="5.66666666666667" style="593" customWidth="1"/>
    <col min="13571" max="13571" width="12" style="593" customWidth="1"/>
    <col min="13572" max="13572" width="15.4380952380952" style="593" customWidth="1"/>
    <col min="13573" max="13574" width="15.1047619047619" style="593" customWidth="1"/>
    <col min="13575" max="13575" width="14.3333333333333" style="593" customWidth="1"/>
    <col min="13576" max="13576" width="3.1047619047619" style="593" customWidth="1"/>
    <col min="13577" max="13577" width="6.43809523809524" style="593" customWidth="1"/>
    <col min="13578" max="13817" width="8.88571428571429" style="593"/>
    <col min="13818" max="13818" width="5.55238095238095" style="593" customWidth="1"/>
    <col min="13819" max="13819" width="9.33333333333333" style="593" customWidth="1"/>
    <col min="13820" max="13820" width="24.6666666666667" style="593" customWidth="1"/>
    <col min="13821" max="13821" width="11" style="593" customWidth="1"/>
    <col min="13822" max="13822" width="7.55238095238095" style="593" customWidth="1"/>
    <col min="13823" max="13823" width="13.552380952381" style="593" customWidth="1"/>
    <col min="13824" max="13824" width="5.43809523809524" style="593" customWidth="1"/>
    <col min="13825" max="13825" width="11.3333333333333" style="593" customWidth="1"/>
    <col min="13826" max="13826" width="5.66666666666667" style="593" customWidth="1"/>
    <col min="13827" max="13827" width="12" style="593" customWidth="1"/>
    <col min="13828" max="13828" width="15.4380952380952" style="593" customWidth="1"/>
    <col min="13829" max="13830" width="15.1047619047619" style="593" customWidth="1"/>
    <col min="13831" max="13831" width="14.3333333333333" style="593" customWidth="1"/>
    <col min="13832" max="13832" width="3.1047619047619" style="593" customWidth="1"/>
    <col min="13833" max="13833" width="6.43809523809524" style="593" customWidth="1"/>
    <col min="13834" max="14073" width="8.88571428571429" style="593"/>
    <col min="14074" max="14074" width="5.55238095238095" style="593" customWidth="1"/>
    <col min="14075" max="14075" width="9.33333333333333" style="593" customWidth="1"/>
    <col min="14076" max="14076" width="24.6666666666667" style="593" customWidth="1"/>
    <col min="14077" max="14077" width="11" style="593" customWidth="1"/>
    <col min="14078" max="14078" width="7.55238095238095" style="593" customWidth="1"/>
    <col min="14079" max="14079" width="13.552380952381" style="593" customWidth="1"/>
    <col min="14080" max="14080" width="5.43809523809524" style="593" customWidth="1"/>
    <col min="14081" max="14081" width="11.3333333333333" style="593" customWidth="1"/>
    <col min="14082" max="14082" width="5.66666666666667" style="593" customWidth="1"/>
    <col min="14083" max="14083" width="12" style="593" customWidth="1"/>
    <col min="14084" max="14084" width="15.4380952380952" style="593" customWidth="1"/>
    <col min="14085" max="14086" width="15.1047619047619" style="593" customWidth="1"/>
    <col min="14087" max="14087" width="14.3333333333333" style="593" customWidth="1"/>
    <col min="14088" max="14088" width="3.1047619047619" style="593" customWidth="1"/>
    <col min="14089" max="14089" width="6.43809523809524" style="593" customWidth="1"/>
    <col min="14090" max="14329" width="8.88571428571429" style="593"/>
    <col min="14330" max="14330" width="5.55238095238095" style="593" customWidth="1"/>
    <col min="14331" max="14331" width="9.33333333333333" style="593" customWidth="1"/>
    <col min="14332" max="14332" width="24.6666666666667" style="593" customWidth="1"/>
    <col min="14333" max="14333" width="11" style="593" customWidth="1"/>
    <col min="14334" max="14334" width="7.55238095238095" style="593" customWidth="1"/>
    <col min="14335" max="14335" width="13.552380952381" style="593" customWidth="1"/>
    <col min="14336" max="14336" width="5.43809523809524" style="593" customWidth="1"/>
    <col min="14337" max="14337" width="11.3333333333333" style="593" customWidth="1"/>
    <col min="14338" max="14338" width="5.66666666666667" style="593" customWidth="1"/>
    <col min="14339" max="14339" width="12" style="593" customWidth="1"/>
    <col min="14340" max="14340" width="15.4380952380952" style="593" customWidth="1"/>
    <col min="14341" max="14342" width="15.1047619047619" style="593" customWidth="1"/>
    <col min="14343" max="14343" width="14.3333333333333" style="593" customWidth="1"/>
    <col min="14344" max="14344" width="3.1047619047619" style="593" customWidth="1"/>
    <col min="14345" max="14345" width="6.43809523809524" style="593" customWidth="1"/>
    <col min="14346" max="14585" width="8.88571428571429" style="593"/>
    <col min="14586" max="14586" width="5.55238095238095" style="593" customWidth="1"/>
    <col min="14587" max="14587" width="9.33333333333333" style="593" customWidth="1"/>
    <col min="14588" max="14588" width="24.6666666666667" style="593" customWidth="1"/>
    <col min="14589" max="14589" width="11" style="593" customWidth="1"/>
    <col min="14590" max="14590" width="7.55238095238095" style="593" customWidth="1"/>
    <col min="14591" max="14591" width="13.552380952381" style="593" customWidth="1"/>
    <col min="14592" max="14592" width="5.43809523809524" style="593" customWidth="1"/>
    <col min="14593" max="14593" width="11.3333333333333" style="593" customWidth="1"/>
    <col min="14594" max="14594" width="5.66666666666667" style="593" customWidth="1"/>
    <col min="14595" max="14595" width="12" style="593" customWidth="1"/>
    <col min="14596" max="14596" width="15.4380952380952" style="593" customWidth="1"/>
    <col min="14597" max="14598" width="15.1047619047619" style="593" customWidth="1"/>
    <col min="14599" max="14599" width="14.3333333333333" style="593" customWidth="1"/>
    <col min="14600" max="14600" width="3.1047619047619" style="593" customWidth="1"/>
    <col min="14601" max="14601" width="6.43809523809524" style="593" customWidth="1"/>
    <col min="14602" max="14841" width="8.88571428571429" style="593"/>
    <col min="14842" max="14842" width="5.55238095238095" style="593" customWidth="1"/>
    <col min="14843" max="14843" width="9.33333333333333" style="593" customWidth="1"/>
    <col min="14844" max="14844" width="24.6666666666667" style="593" customWidth="1"/>
    <col min="14845" max="14845" width="11" style="593" customWidth="1"/>
    <col min="14846" max="14846" width="7.55238095238095" style="593" customWidth="1"/>
    <col min="14847" max="14847" width="13.552380952381" style="593" customWidth="1"/>
    <col min="14848" max="14848" width="5.43809523809524" style="593" customWidth="1"/>
    <col min="14849" max="14849" width="11.3333333333333" style="593" customWidth="1"/>
    <col min="14850" max="14850" width="5.66666666666667" style="593" customWidth="1"/>
    <col min="14851" max="14851" width="12" style="593" customWidth="1"/>
    <col min="14852" max="14852" width="15.4380952380952" style="593" customWidth="1"/>
    <col min="14853" max="14854" width="15.1047619047619" style="593" customWidth="1"/>
    <col min="14855" max="14855" width="14.3333333333333" style="593" customWidth="1"/>
    <col min="14856" max="14856" width="3.1047619047619" style="593" customWidth="1"/>
    <col min="14857" max="14857" width="6.43809523809524" style="593" customWidth="1"/>
    <col min="14858" max="15097" width="8.88571428571429" style="593"/>
    <col min="15098" max="15098" width="5.55238095238095" style="593" customWidth="1"/>
    <col min="15099" max="15099" width="9.33333333333333" style="593" customWidth="1"/>
    <col min="15100" max="15100" width="24.6666666666667" style="593" customWidth="1"/>
    <col min="15101" max="15101" width="11" style="593" customWidth="1"/>
    <col min="15102" max="15102" width="7.55238095238095" style="593" customWidth="1"/>
    <col min="15103" max="15103" width="13.552380952381" style="593" customWidth="1"/>
    <col min="15104" max="15104" width="5.43809523809524" style="593" customWidth="1"/>
    <col min="15105" max="15105" width="11.3333333333333" style="593" customWidth="1"/>
    <col min="15106" max="15106" width="5.66666666666667" style="593" customWidth="1"/>
    <col min="15107" max="15107" width="12" style="593" customWidth="1"/>
    <col min="15108" max="15108" width="15.4380952380952" style="593" customWidth="1"/>
    <col min="15109" max="15110" width="15.1047619047619" style="593" customWidth="1"/>
    <col min="15111" max="15111" width="14.3333333333333" style="593" customWidth="1"/>
    <col min="15112" max="15112" width="3.1047619047619" style="593" customWidth="1"/>
    <col min="15113" max="15113" width="6.43809523809524" style="593" customWidth="1"/>
    <col min="15114" max="15353" width="8.88571428571429" style="593"/>
    <col min="15354" max="15354" width="5.55238095238095" style="593" customWidth="1"/>
    <col min="15355" max="15355" width="9.33333333333333" style="593" customWidth="1"/>
    <col min="15356" max="15356" width="24.6666666666667" style="593" customWidth="1"/>
    <col min="15357" max="15357" width="11" style="593" customWidth="1"/>
    <col min="15358" max="15358" width="7.55238095238095" style="593" customWidth="1"/>
    <col min="15359" max="15359" width="13.552380952381" style="593" customWidth="1"/>
    <col min="15360" max="15360" width="5.43809523809524" style="593" customWidth="1"/>
    <col min="15361" max="15361" width="11.3333333333333" style="593" customWidth="1"/>
    <col min="15362" max="15362" width="5.66666666666667" style="593" customWidth="1"/>
    <col min="15363" max="15363" width="12" style="593" customWidth="1"/>
    <col min="15364" max="15364" width="15.4380952380952" style="593" customWidth="1"/>
    <col min="15365" max="15366" width="15.1047619047619" style="593" customWidth="1"/>
    <col min="15367" max="15367" width="14.3333333333333" style="593" customWidth="1"/>
    <col min="15368" max="15368" width="3.1047619047619" style="593" customWidth="1"/>
    <col min="15369" max="15369" width="6.43809523809524" style="593" customWidth="1"/>
    <col min="15370" max="15609" width="8.88571428571429" style="593"/>
    <col min="15610" max="15610" width="5.55238095238095" style="593" customWidth="1"/>
    <col min="15611" max="15611" width="9.33333333333333" style="593" customWidth="1"/>
    <col min="15612" max="15612" width="24.6666666666667" style="593" customWidth="1"/>
    <col min="15613" max="15613" width="11" style="593" customWidth="1"/>
    <col min="15614" max="15614" width="7.55238095238095" style="593" customWidth="1"/>
    <col min="15615" max="15615" width="13.552380952381" style="593" customWidth="1"/>
    <col min="15616" max="15616" width="5.43809523809524" style="593" customWidth="1"/>
    <col min="15617" max="15617" width="11.3333333333333" style="593" customWidth="1"/>
    <col min="15618" max="15618" width="5.66666666666667" style="593" customWidth="1"/>
    <col min="15619" max="15619" width="12" style="593" customWidth="1"/>
    <col min="15620" max="15620" width="15.4380952380952" style="593" customWidth="1"/>
    <col min="15621" max="15622" width="15.1047619047619" style="593" customWidth="1"/>
    <col min="15623" max="15623" width="14.3333333333333" style="593" customWidth="1"/>
    <col min="15624" max="15624" width="3.1047619047619" style="593" customWidth="1"/>
    <col min="15625" max="15625" width="6.43809523809524" style="593" customWidth="1"/>
    <col min="15626" max="15865" width="8.88571428571429" style="593"/>
    <col min="15866" max="15866" width="5.55238095238095" style="593" customWidth="1"/>
    <col min="15867" max="15867" width="9.33333333333333" style="593" customWidth="1"/>
    <col min="15868" max="15868" width="24.6666666666667" style="593" customWidth="1"/>
    <col min="15869" max="15869" width="11" style="593" customWidth="1"/>
    <col min="15870" max="15870" width="7.55238095238095" style="593" customWidth="1"/>
    <col min="15871" max="15871" width="13.552380952381" style="593" customWidth="1"/>
    <col min="15872" max="15872" width="5.43809523809524" style="593" customWidth="1"/>
    <col min="15873" max="15873" width="11.3333333333333" style="593" customWidth="1"/>
    <col min="15874" max="15874" width="5.66666666666667" style="593" customWidth="1"/>
    <col min="15875" max="15875" width="12" style="593" customWidth="1"/>
    <col min="15876" max="15876" width="15.4380952380952" style="593" customWidth="1"/>
    <col min="15877" max="15878" width="15.1047619047619" style="593" customWidth="1"/>
    <col min="15879" max="15879" width="14.3333333333333" style="593" customWidth="1"/>
    <col min="15880" max="15880" width="3.1047619047619" style="593" customWidth="1"/>
    <col min="15881" max="15881" width="6.43809523809524" style="593" customWidth="1"/>
    <col min="15882" max="16121" width="8.88571428571429" style="593"/>
    <col min="16122" max="16122" width="5.55238095238095" style="593" customWidth="1"/>
    <col min="16123" max="16123" width="9.33333333333333" style="593" customWidth="1"/>
    <col min="16124" max="16124" width="24.6666666666667" style="593" customWidth="1"/>
    <col min="16125" max="16125" width="11" style="593" customWidth="1"/>
    <col min="16126" max="16126" width="7.55238095238095" style="593" customWidth="1"/>
    <col min="16127" max="16127" width="13.552380952381" style="593" customWidth="1"/>
    <col min="16128" max="16128" width="5.43809523809524" style="593" customWidth="1"/>
    <col min="16129" max="16129" width="11.3333333333333" style="593" customWidth="1"/>
    <col min="16130" max="16130" width="5.66666666666667" style="593" customWidth="1"/>
    <col min="16131" max="16131" width="12" style="593" customWidth="1"/>
    <col min="16132" max="16132" width="15.4380952380952" style="593" customWidth="1"/>
    <col min="16133" max="16134" width="15.1047619047619" style="593" customWidth="1"/>
    <col min="16135" max="16135" width="14.3333333333333" style="593" customWidth="1"/>
    <col min="16136" max="16136" width="3.1047619047619" style="593" customWidth="1"/>
    <col min="16137" max="16137" width="6.43809523809524" style="593" customWidth="1"/>
    <col min="16138" max="16384" width="8.88571428571429" style="593"/>
  </cols>
  <sheetData>
    <row r="1" ht="47.4" customHeight="1" spans="1:15">
      <c r="A1" s="599" t="s">
        <v>114</v>
      </c>
      <c r="B1" s="599"/>
      <c r="C1" s="599"/>
      <c r="D1" s="599"/>
      <c r="E1" s="599"/>
      <c r="F1" s="599"/>
      <c r="G1" s="599"/>
      <c r="H1" s="599"/>
      <c r="I1" s="599"/>
      <c r="J1" s="599"/>
      <c r="K1" s="599"/>
      <c r="L1" s="599"/>
      <c r="M1" s="599"/>
    </row>
    <row r="2" ht="29.4" customHeight="1" spans="1:15">
      <c r="A2" s="600" t="s">
        <v>1</v>
      </c>
      <c r="B2" s="601" t="s">
        <v>3</v>
      </c>
      <c r="C2" s="601" t="s">
        <v>4</v>
      </c>
      <c r="D2" s="602" t="s">
        <v>5</v>
      </c>
      <c r="E2" s="602" t="s">
        <v>6</v>
      </c>
      <c r="F2" s="603" t="s">
        <v>115</v>
      </c>
      <c r="G2" s="604" t="s">
        <v>116</v>
      </c>
      <c r="H2" s="605" t="s">
        <v>9</v>
      </c>
      <c r="I2" s="606"/>
      <c r="J2" s="607" t="s">
        <v>10</v>
      </c>
      <c r="K2" s="608" t="s">
        <v>115</v>
      </c>
      <c r="L2" s="609" t="s">
        <v>116</v>
      </c>
      <c r="M2" s="610" t="s">
        <v>9</v>
      </c>
    </row>
    <row r="3" ht="34.95" customHeight="1" spans="1:15">
      <c r="A3" s="611">
        <v>1</v>
      </c>
      <c r="B3" s="612">
        <v>45753</v>
      </c>
      <c r="C3" s="613" t="s">
        <v>117</v>
      </c>
      <c r="D3" s="614"/>
      <c r="E3" s="615"/>
      <c r="F3" s="616">
        <v>69510300</v>
      </c>
      <c r="G3" s="617"/>
      <c r="H3" s="618">
        <f>F3-G3</f>
        <v>69510300</v>
      </c>
      <c r="I3" s="619"/>
      <c r="J3" s="620">
        <v>78.8549</v>
      </c>
      <c r="K3" s="621">
        <f>F3/J3</f>
        <v>881496.267194556</v>
      </c>
      <c r="L3" s="622"/>
      <c r="M3" s="623">
        <f>K3-L3</f>
        <v>881496.267194556</v>
      </c>
    </row>
    <row r="4" ht="34.95" customHeight="1" spans="1:15">
      <c r="A4" s="624">
        <v>2</v>
      </c>
      <c r="B4" s="625"/>
      <c r="C4" s="626" t="s">
        <v>118</v>
      </c>
      <c r="D4" s="627">
        <v>9934.05</v>
      </c>
      <c r="E4" s="628">
        <v>6951.03</v>
      </c>
      <c r="F4" s="629"/>
      <c r="G4" s="630">
        <f>D4*E4</f>
        <v>69051879.5715</v>
      </c>
      <c r="H4" s="631">
        <f>F4-G4+H3</f>
        <v>458420.428500012</v>
      </c>
      <c r="I4" s="619"/>
      <c r="J4" s="632">
        <v>88.1496267194556</v>
      </c>
      <c r="K4" s="633"/>
      <c r="L4" s="634">
        <f>D4*J4</f>
        <v>875682.799312408</v>
      </c>
      <c r="M4" s="635">
        <f>K4-L4+M3</f>
        <v>5813.46788214822</v>
      </c>
    </row>
    <row r="5" ht="34.95" customHeight="1" spans="1:15">
      <c r="A5" s="624">
        <v>3</v>
      </c>
      <c r="B5" s="625"/>
      <c r="C5" s="626"/>
      <c r="D5" s="627"/>
      <c r="E5" s="628"/>
      <c r="F5" s="629"/>
      <c r="G5" s="630"/>
      <c r="H5" s="631">
        <f>F5-G5+H4</f>
        <v>458420.428500012</v>
      </c>
      <c r="I5" s="619"/>
      <c r="J5" s="636"/>
      <c r="K5" s="633"/>
      <c r="L5" s="634"/>
      <c r="M5" s="635">
        <f>K5-L5+M4</f>
        <v>5813.46788214822</v>
      </c>
    </row>
    <row r="6" ht="34.95" customHeight="1" spans="1:15">
      <c r="A6" s="637">
        <v>4</v>
      </c>
      <c r="B6" s="638" t="s">
        <v>21</v>
      </c>
      <c r="C6" s="639" t="s">
        <v>119</v>
      </c>
      <c r="D6" s="640"/>
      <c r="E6" s="641"/>
      <c r="F6" s="642">
        <v>24391008</v>
      </c>
      <c r="G6" s="643"/>
      <c r="H6" s="631">
        <f>F6-G6+H5</f>
        <v>24849428.4285</v>
      </c>
      <c r="I6" s="619"/>
      <c r="J6" s="644">
        <v>78.4685</v>
      </c>
      <c r="K6" s="645">
        <f>F6/J6</f>
        <v>310838.208962832</v>
      </c>
      <c r="L6" s="646"/>
      <c r="M6" s="635">
        <f>K6-L6+M5</f>
        <v>316651.67684498</v>
      </c>
    </row>
    <row r="7" ht="34.95" customHeight="1" spans="1:15">
      <c r="A7" s="637">
        <v>5</v>
      </c>
      <c r="B7" s="638">
        <v>45876</v>
      </c>
      <c r="C7" s="639" t="s">
        <v>120</v>
      </c>
      <c r="D7" s="647"/>
      <c r="E7" s="641"/>
      <c r="F7" s="642">
        <v>23984491.2</v>
      </c>
      <c r="G7" s="643"/>
      <c r="H7" s="631">
        <f>F7-G7+H6</f>
        <v>48833919.6285</v>
      </c>
      <c r="I7" s="619"/>
      <c r="J7" s="644">
        <v>78.7185</v>
      </c>
      <c r="K7" s="645">
        <f>F7/J7</f>
        <v>304686.84235599</v>
      </c>
      <c r="L7" s="646"/>
      <c r="M7" s="635">
        <f>K7-L7+M6</f>
        <v>621338.51920097</v>
      </c>
    </row>
    <row r="8" ht="34.95" customHeight="1" spans="1:15">
      <c r="A8" s="637">
        <v>6</v>
      </c>
      <c r="B8" s="638" t="s">
        <v>24</v>
      </c>
      <c r="C8" s="639" t="s">
        <v>121</v>
      </c>
      <c r="D8" s="640"/>
      <c r="E8" s="641"/>
      <c r="F8" s="642">
        <v>9756403.2</v>
      </c>
      <c r="G8" s="643"/>
      <c r="H8" s="631">
        <f>F8-G8+H7</f>
        <v>58590322.8285</v>
      </c>
      <c r="I8" s="619"/>
      <c r="J8" s="644">
        <v>78.1856</v>
      </c>
      <c r="K8" s="645">
        <f>F8/J8</f>
        <v>124785.167601195</v>
      </c>
      <c r="L8" s="646"/>
      <c r="M8" s="635">
        <f>K8-L8+M7</f>
        <v>746123.686802166</v>
      </c>
    </row>
    <row r="9" ht="34.95" customHeight="1" spans="1:15">
      <c r="A9" s="624">
        <v>7</v>
      </c>
      <c r="B9" s="638" t="s">
        <v>122</v>
      </c>
      <c r="C9" s="648" t="s">
        <v>123</v>
      </c>
      <c r="D9" s="649"/>
      <c r="E9" s="650"/>
      <c r="F9" s="651">
        <v>9620897.6</v>
      </c>
      <c r="G9" s="643"/>
      <c r="H9" s="631">
        <f>F9-G9+H8</f>
        <v>68211220.4285</v>
      </c>
      <c r="I9" s="619"/>
      <c r="J9" s="644">
        <v>77.9584</v>
      </c>
      <c r="K9" s="645">
        <f>F9/J9</f>
        <v>123410.660044331</v>
      </c>
      <c r="L9" s="646"/>
      <c r="M9" s="635">
        <f>K9-L9+M8</f>
        <v>869534.346846497</v>
      </c>
    </row>
    <row r="10" ht="34.95" customHeight="1" spans="1:15">
      <c r="A10" s="624">
        <v>8</v>
      </c>
      <c r="B10" s="638"/>
      <c r="C10" s="639" t="s">
        <v>124</v>
      </c>
      <c r="D10" s="640">
        <v>9983.75</v>
      </c>
      <c r="E10" s="641">
        <v>6775.28</v>
      </c>
      <c r="F10" s="652"/>
      <c r="G10" s="643">
        <f>D10*E10</f>
        <v>67642701.7</v>
      </c>
      <c r="H10" s="631">
        <f>F10-G10+H9</f>
        <v>568518.728500009</v>
      </c>
      <c r="I10" s="619"/>
      <c r="J10" s="653">
        <f>L10/D10</f>
        <v>86.9099286340303</v>
      </c>
      <c r="K10" s="645"/>
      <c r="L10" s="646">
        <v>867687</v>
      </c>
      <c r="M10" s="635">
        <f>K10-L10+M9</f>
        <v>1847.34684649692</v>
      </c>
    </row>
    <row r="11" ht="34.95" customHeight="1" spans="1:15">
      <c r="A11" s="624">
        <v>9</v>
      </c>
      <c r="B11" s="625"/>
      <c r="C11" s="626"/>
      <c r="D11" s="627"/>
      <c r="E11" s="628"/>
      <c r="F11" s="629"/>
      <c r="G11" s="630"/>
      <c r="H11" s="631">
        <f>F11-G11+H10</f>
        <v>568518.728500009</v>
      </c>
      <c r="I11" s="619"/>
      <c r="J11" s="654"/>
      <c r="K11" s="633"/>
      <c r="L11" s="634"/>
      <c r="M11" s="635">
        <f>K11-L11+M10</f>
        <v>1847.34684649692</v>
      </c>
    </row>
    <row r="12" ht="34.95" customHeight="1" spans="1:15">
      <c r="A12" s="637">
        <v>11</v>
      </c>
      <c r="B12" s="625">
        <v>45665</v>
      </c>
      <c r="C12" s="626" t="s">
        <v>31</v>
      </c>
      <c r="D12" s="627"/>
      <c r="E12" s="628"/>
      <c r="F12" s="655">
        <v>66693400</v>
      </c>
      <c r="G12" s="630"/>
      <c r="H12" s="631">
        <f>F12-G12+H11</f>
        <v>67261918.7285</v>
      </c>
      <c r="I12" s="619"/>
      <c r="J12" s="636">
        <v>80.3163</v>
      </c>
      <c r="K12" s="633">
        <f>F12/J12</f>
        <v>830384.367805788</v>
      </c>
      <c r="L12" s="634"/>
      <c r="M12" s="635">
        <f>K12-L12+M11</f>
        <v>832231.714652285</v>
      </c>
    </row>
    <row r="13" ht="34.95" customHeight="1" spans="1:15">
      <c r="A13" s="624">
        <v>12</v>
      </c>
      <c r="B13" s="625"/>
      <c r="C13" s="626" t="s">
        <v>125</v>
      </c>
      <c r="D13" s="627">
        <v>9939.55</v>
      </c>
      <c r="E13" s="628">
        <v>6669.34</v>
      </c>
      <c r="F13" s="655"/>
      <c r="G13" s="630">
        <f>D13*E13</f>
        <v>66290238.397</v>
      </c>
      <c r="H13" s="631">
        <f>F13-G13+H12</f>
        <v>971680.331500009</v>
      </c>
      <c r="I13" s="619"/>
      <c r="J13" s="636">
        <v>85.57</v>
      </c>
      <c r="K13" s="633"/>
      <c r="L13" s="634">
        <f>D13*J13</f>
        <v>850527.2935</v>
      </c>
      <c r="M13" s="635">
        <f>K13-L13+M12</f>
        <v>-18295.5788477152</v>
      </c>
      <c r="O13" s="656"/>
    </row>
    <row r="14" ht="34.95" customHeight="1" spans="1:15">
      <c r="A14" s="657"/>
      <c r="B14" s="658"/>
      <c r="C14" s="659"/>
      <c r="D14" s="660"/>
      <c r="E14" s="661"/>
      <c r="F14" s="662"/>
      <c r="G14" s="663">
        <f>H13</f>
        <v>971680.331500009</v>
      </c>
      <c r="H14" s="631">
        <f>F14-G14+H13</f>
        <v>0</v>
      </c>
      <c r="I14" s="619"/>
      <c r="J14" s="636">
        <v>80.3163</v>
      </c>
      <c r="K14" s="664">
        <f>H14/J14</f>
        <v>0</v>
      </c>
      <c r="L14" s="665">
        <f>G14/J14</f>
        <v>12098.1710001582</v>
      </c>
      <c r="M14" s="635">
        <f>K14-L14+M13</f>
        <v>-30393.7498478734</v>
      </c>
      <c r="O14" s="656"/>
    </row>
    <row r="15" ht="34.95" customHeight="1" spans="1:15">
      <c r="A15" s="666"/>
      <c r="B15" s="667"/>
      <c r="C15" s="668"/>
      <c r="D15" s="669"/>
      <c r="E15" s="670"/>
      <c r="F15" s="671"/>
      <c r="G15" s="672"/>
      <c r="H15" s="673"/>
      <c r="I15" s="674"/>
      <c r="J15" s="675"/>
      <c r="K15" s="676"/>
      <c r="L15" s="676"/>
      <c r="M15" s="677"/>
    </row>
    <row r="17" spans="6:12">
      <c r="F17" s="678">
        <f>SUM(F3:F16)</f>
        <v>203956500</v>
      </c>
      <c r="G17" s="679">
        <f>SUM(G3:G16)</f>
        <v>203956500</v>
      </c>
      <c r="H17" s="597"/>
      <c r="I17" s="597"/>
      <c r="J17" s="597"/>
      <c r="K17" s="680">
        <f>SUM(K3:K16)</f>
        <v>2575601.51396469</v>
      </c>
      <c r="L17" s="681">
        <f>SUM(L3:L16)</f>
        <v>2605995.26381257</v>
      </c>
    </row>
  </sheetData>
  <mergeCells count="1">
    <mergeCell ref="A1:M1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74"/>
  <sheetViews>
    <sheetView tabSelected="1" workbookViewId="0">
      <selection activeCell="I5" sqref="I5:I168"/>
    </sheetView>
  </sheetViews>
  <sheetFormatPr defaultColWidth="9.1047619047619" defaultRowHeight="15"/>
  <cols>
    <col min="1" max="3" width="9.33333333333333" style="275" customWidth="1"/>
    <col min="4" max="4" width="14.3333333333333" style="275" customWidth="1"/>
    <col min="5" max="5" width="15.4380952380952" style="275" customWidth="1"/>
    <col min="6" max="6" width="9.1047619047619" style="275"/>
    <col min="7" max="7" width="9.88571428571429" style="275" customWidth="1"/>
    <col min="8" max="8" width="15.4380952380952" style="275" customWidth="1"/>
    <col min="9" max="9" width="12.3333333333333" style="275" customWidth="1"/>
    <col min="10" max="10" width="17.6666666666667" style="275" customWidth="1"/>
    <col min="11" max="11" width="16.8857142857143" style="275" customWidth="1"/>
    <col min="12" max="12" width="13.4380952380952" style="275" customWidth="1"/>
    <col min="13" max="13" width="0.666666666666667" style="275" customWidth="1"/>
    <col min="14" max="14" width="9.1047619047619" style="275"/>
    <col min="15" max="15" width="9.71428571428571" style="275"/>
    <col min="16" max="16" width="9.1047619047619" style="275"/>
    <col min="17" max="17" width="9.33333333333333" style="275" customWidth="1"/>
    <col min="18" max="16384" width="9.1047619047619" style="275"/>
  </cols>
  <sheetData>
    <row r="1" ht="13.8" customHeight="1" spans="1:18">
      <c r="A1" s="277" t="s">
        <v>139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9"/>
      <c r="O1" s="279"/>
      <c r="P1" s="279"/>
      <c r="Q1" s="510">
        <v>39944.86</v>
      </c>
      <c r="R1" s="279"/>
    </row>
    <row r="2" ht="13.8" customHeight="1" spans="1:18">
      <c r="A2" s="281" t="s">
        <v>140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79"/>
      <c r="O2" s="279"/>
      <c r="P2" s="279"/>
      <c r="Q2" s="279"/>
      <c r="R2" s="279"/>
    </row>
    <row r="3" ht="15.75" spans="1:18">
      <c r="A3" s="279"/>
      <c r="B3" s="279"/>
      <c r="C3" s="279"/>
      <c r="D3" s="279"/>
      <c r="E3" s="279"/>
      <c r="F3" s="283"/>
      <c r="G3" s="279"/>
      <c r="H3" s="279"/>
      <c r="I3" s="279"/>
      <c r="J3" s="284"/>
      <c r="K3" s="279"/>
      <c r="L3" s="279"/>
      <c r="M3" s="279"/>
      <c r="N3" s="279"/>
      <c r="O3" s="279"/>
      <c r="P3" s="279"/>
      <c r="Q3" s="279"/>
      <c r="R3" s="279"/>
    </row>
    <row r="4" ht="72" spans="1:18">
      <c r="A4" s="511" t="s">
        <v>141</v>
      </c>
      <c r="B4" s="512" t="s">
        <v>3</v>
      </c>
      <c r="C4" s="513" t="s">
        <v>142</v>
      </c>
      <c r="D4" s="512" t="s">
        <v>143</v>
      </c>
      <c r="E4" s="512" t="s">
        <v>144</v>
      </c>
      <c r="F4" s="514" t="s">
        <v>145</v>
      </c>
      <c r="G4" s="515" t="s">
        <v>146</v>
      </c>
      <c r="H4" s="516" t="s">
        <v>147</v>
      </c>
      <c r="I4" s="517" t="s">
        <v>148</v>
      </c>
      <c r="J4" s="518" t="s">
        <v>149</v>
      </c>
      <c r="K4" s="512" t="s">
        <v>150</v>
      </c>
      <c r="L4" s="519" t="s">
        <v>151</v>
      </c>
      <c r="M4" s="295"/>
      <c r="N4" s="296" t="s">
        <v>152</v>
      </c>
      <c r="O4" s="297" t="s">
        <v>153</v>
      </c>
      <c r="P4" s="298" t="s">
        <v>154</v>
      </c>
      <c r="Q4" s="298" t="s">
        <v>155</v>
      </c>
      <c r="R4" s="299" t="s">
        <v>156</v>
      </c>
    </row>
    <row r="5" ht="16.5" customHeight="1" spans="1:18">
      <c r="A5" s="300">
        <v>1</v>
      </c>
      <c r="B5" s="424">
        <v>46028</v>
      </c>
      <c r="C5" s="520">
        <v>9983054</v>
      </c>
      <c r="D5" s="521">
        <v>50390244</v>
      </c>
      <c r="E5" s="522">
        <v>57.595</v>
      </c>
      <c r="F5" s="523">
        <f>'[1]Platts '!AK35</f>
        <v>642.72619047619</v>
      </c>
      <c r="G5" s="524">
        <f>F5-125.41</f>
        <v>517.316190476191</v>
      </c>
      <c r="H5" s="524">
        <f>E5*G5</f>
        <v>29794.8259904762</v>
      </c>
      <c r="I5" s="525">
        <v>39944.86</v>
      </c>
      <c r="J5" s="525">
        <f t="shared" ref="J5:J33" si="0">E5*I5</f>
        <v>2300624.2117</v>
      </c>
      <c r="K5" s="149" t="s">
        <v>157</v>
      </c>
      <c r="L5" s="526" t="s">
        <v>158</v>
      </c>
      <c r="M5" s="346"/>
      <c r="N5" s="300"/>
      <c r="O5" s="424">
        <v>46034</v>
      </c>
      <c r="P5" s="309">
        <v>58.275</v>
      </c>
      <c r="Q5" s="313">
        <f>P5-E5</f>
        <v>0.68</v>
      </c>
      <c r="R5" s="310"/>
    </row>
    <row r="6" ht="17.25" customHeight="1" spans="1:18">
      <c r="A6" s="311">
        <f>A5+1</f>
        <v>2</v>
      </c>
      <c r="B6" s="388">
        <v>46028</v>
      </c>
      <c r="C6" s="527">
        <v>9983053</v>
      </c>
      <c r="D6" s="528">
        <v>51337087</v>
      </c>
      <c r="E6" s="529">
        <v>59.148</v>
      </c>
      <c r="F6" s="530">
        <v>642.73</v>
      </c>
      <c r="G6" s="531">
        <f t="shared" ref="G6:G33" si="1">F6-125.41</f>
        <v>517.32</v>
      </c>
      <c r="H6" s="531">
        <f>E6*G6</f>
        <v>30598.44336</v>
      </c>
      <c r="I6" s="532">
        <v>39944.86</v>
      </c>
      <c r="J6" s="532">
        <f t="shared" si="0"/>
        <v>2362658.57928</v>
      </c>
      <c r="K6" s="47" t="s">
        <v>157</v>
      </c>
      <c r="L6" s="526" t="s">
        <v>158</v>
      </c>
      <c r="M6" s="348"/>
      <c r="N6" s="311"/>
      <c r="O6" s="321"/>
      <c r="P6" s="321"/>
      <c r="Q6" s="321"/>
      <c r="R6" s="322"/>
    </row>
    <row r="7" ht="17.25" customHeight="1" spans="1:18">
      <c r="A7" s="311">
        <f t="shared" ref="A7:A33" si="2">A6+1</f>
        <v>3</v>
      </c>
      <c r="B7" s="388">
        <v>46028</v>
      </c>
      <c r="C7" s="527">
        <v>9983053</v>
      </c>
      <c r="D7" s="528">
        <v>51404424</v>
      </c>
      <c r="E7" s="529">
        <v>59.799</v>
      </c>
      <c r="F7" s="530">
        <v>642.73</v>
      </c>
      <c r="G7" s="531">
        <f t="shared" si="1"/>
        <v>517.32</v>
      </c>
      <c r="H7" s="524">
        <f t="shared" ref="H7:H38" si="3">E7*G7</f>
        <v>30935.21868</v>
      </c>
      <c r="I7" s="525">
        <v>39944.86</v>
      </c>
      <c r="J7" s="532">
        <f t="shared" si="0"/>
        <v>2388662.68314</v>
      </c>
      <c r="K7" s="47" t="s">
        <v>157</v>
      </c>
      <c r="L7" s="526" t="s">
        <v>158</v>
      </c>
      <c r="M7" s="348"/>
      <c r="N7" s="311"/>
      <c r="O7" s="321"/>
      <c r="P7" s="321"/>
      <c r="Q7" s="321"/>
      <c r="R7" s="322"/>
    </row>
    <row r="8" ht="17.25" customHeight="1" spans="1:18">
      <c r="A8" s="311">
        <f t="shared" si="2"/>
        <v>4</v>
      </c>
      <c r="B8" s="388">
        <v>46028</v>
      </c>
      <c r="C8" s="527">
        <v>9983053</v>
      </c>
      <c r="D8" s="528">
        <v>51775153</v>
      </c>
      <c r="E8" s="529">
        <v>58.797</v>
      </c>
      <c r="F8" s="530">
        <v>642.73</v>
      </c>
      <c r="G8" s="531">
        <f t="shared" si="1"/>
        <v>517.32</v>
      </c>
      <c r="H8" s="531">
        <f t="shared" si="3"/>
        <v>30416.86404</v>
      </c>
      <c r="I8" s="532">
        <v>39944.86</v>
      </c>
      <c r="J8" s="532">
        <f t="shared" si="0"/>
        <v>2348637.93342</v>
      </c>
      <c r="K8" s="47" t="s">
        <v>157</v>
      </c>
      <c r="L8" s="526" t="s">
        <v>158</v>
      </c>
      <c r="M8" s="348"/>
      <c r="N8" s="311"/>
      <c r="O8" s="321"/>
      <c r="P8" s="321"/>
      <c r="Q8" s="321"/>
      <c r="R8" s="322"/>
    </row>
    <row r="9" ht="17.25" customHeight="1" spans="1:18">
      <c r="A9" s="311">
        <f t="shared" si="2"/>
        <v>5</v>
      </c>
      <c r="B9" s="388">
        <v>46028</v>
      </c>
      <c r="C9" s="527">
        <v>9983053</v>
      </c>
      <c r="D9" s="528">
        <v>51847275</v>
      </c>
      <c r="E9" s="529">
        <v>58.948</v>
      </c>
      <c r="F9" s="530">
        <v>642.73</v>
      </c>
      <c r="G9" s="531">
        <f t="shared" si="1"/>
        <v>517.32</v>
      </c>
      <c r="H9" s="524">
        <f t="shared" si="3"/>
        <v>30494.97936</v>
      </c>
      <c r="I9" s="525">
        <v>39944.86</v>
      </c>
      <c r="J9" s="532">
        <f t="shared" si="0"/>
        <v>2354669.60728</v>
      </c>
      <c r="K9" s="47" t="s">
        <v>157</v>
      </c>
      <c r="L9" s="526" t="s">
        <v>158</v>
      </c>
      <c r="M9" s="348"/>
      <c r="N9" s="311"/>
      <c r="O9" s="321"/>
      <c r="P9" s="321"/>
      <c r="Q9" s="321"/>
      <c r="R9" s="322"/>
    </row>
    <row r="10" ht="17.25" customHeight="1" spans="1:18">
      <c r="A10" s="311">
        <f t="shared" si="2"/>
        <v>6</v>
      </c>
      <c r="B10" s="388">
        <v>46028</v>
      </c>
      <c r="C10" s="527">
        <v>9983054</v>
      </c>
      <c r="D10" s="528">
        <v>53872610</v>
      </c>
      <c r="E10" s="529">
        <v>61.151</v>
      </c>
      <c r="F10" s="530">
        <v>642.73</v>
      </c>
      <c r="G10" s="531">
        <f t="shared" si="1"/>
        <v>517.32</v>
      </c>
      <c r="H10" s="531">
        <f t="shared" si="3"/>
        <v>31634.63532</v>
      </c>
      <c r="I10" s="532">
        <v>39944.86</v>
      </c>
      <c r="J10" s="532">
        <f t="shared" si="0"/>
        <v>2442668.13386</v>
      </c>
      <c r="K10" s="47" t="s">
        <v>157</v>
      </c>
      <c r="L10" s="526" t="s">
        <v>158</v>
      </c>
      <c r="M10" s="348"/>
      <c r="N10" s="311"/>
      <c r="O10" s="388">
        <v>46034</v>
      </c>
      <c r="P10" s="321">
        <v>61.048</v>
      </c>
      <c r="Q10" s="313">
        <f>P10-E10</f>
        <v>-0.103000000000002</v>
      </c>
      <c r="R10" s="322"/>
    </row>
    <row r="11" ht="17.25" customHeight="1" spans="1:18">
      <c r="A11" s="311">
        <f t="shared" si="2"/>
        <v>7</v>
      </c>
      <c r="B11" s="388">
        <v>46028</v>
      </c>
      <c r="C11" s="527">
        <v>9983054</v>
      </c>
      <c r="D11" s="528">
        <v>53901963</v>
      </c>
      <c r="E11" s="529">
        <v>50.183</v>
      </c>
      <c r="F11" s="530">
        <v>642.73</v>
      </c>
      <c r="G11" s="531">
        <f t="shared" si="1"/>
        <v>517.32</v>
      </c>
      <c r="H11" s="524">
        <f t="shared" si="3"/>
        <v>25960.66956</v>
      </c>
      <c r="I11" s="525">
        <v>39944.86</v>
      </c>
      <c r="J11" s="532">
        <f t="shared" si="0"/>
        <v>2004552.90938</v>
      </c>
      <c r="K11" s="47" t="s">
        <v>157</v>
      </c>
      <c r="L11" s="526" t="s">
        <v>158</v>
      </c>
      <c r="M11" s="348"/>
      <c r="N11" s="311"/>
      <c r="O11" s="388">
        <v>46034</v>
      </c>
      <c r="P11" s="321">
        <v>50.064</v>
      </c>
      <c r="Q11" s="313">
        <f>P11-E11</f>
        <v>-0.119</v>
      </c>
      <c r="R11" s="322"/>
    </row>
    <row r="12" ht="17.25" customHeight="1" spans="1:18">
      <c r="A12" s="311">
        <f t="shared" si="2"/>
        <v>8</v>
      </c>
      <c r="B12" s="388">
        <v>46028</v>
      </c>
      <c r="C12" s="527">
        <v>9983053</v>
      </c>
      <c r="D12" s="528">
        <v>54027800</v>
      </c>
      <c r="E12" s="529">
        <v>60.049</v>
      </c>
      <c r="F12" s="530">
        <v>642.73</v>
      </c>
      <c r="G12" s="531">
        <f t="shared" si="1"/>
        <v>517.32</v>
      </c>
      <c r="H12" s="531">
        <f t="shared" si="3"/>
        <v>31064.54868</v>
      </c>
      <c r="I12" s="532">
        <v>39944.86</v>
      </c>
      <c r="J12" s="532">
        <f t="shared" si="0"/>
        <v>2398648.89814</v>
      </c>
      <c r="K12" s="47" t="s">
        <v>157</v>
      </c>
      <c r="L12" s="526" t="s">
        <v>158</v>
      </c>
      <c r="M12" s="348"/>
      <c r="N12" s="311"/>
      <c r="O12" s="321"/>
      <c r="P12" s="321"/>
      <c r="Q12" s="321"/>
      <c r="R12" s="322"/>
    </row>
    <row r="13" ht="17.25" customHeight="1" spans="1:18">
      <c r="A13" s="311">
        <f t="shared" si="2"/>
        <v>9</v>
      </c>
      <c r="B13" s="388">
        <v>46028</v>
      </c>
      <c r="C13" s="527">
        <v>9983054</v>
      </c>
      <c r="D13" s="528">
        <v>54717855</v>
      </c>
      <c r="E13" s="529">
        <v>61.051</v>
      </c>
      <c r="F13" s="530">
        <v>642.73</v>
      </c>
      <c r="G13" s="531">
        <f t="shared" si="1"/>
        <v>517.32</v>
      </c>
      <c r="H13" s="524">
        <f t="shared" si="3"/>
        <v>31582.90332</v>
      </c>
      <c r="I13" s="525">
        <v>39944.86</v>
      </c>
      <c r="J13" s="532">
        <f t="shared" si="0"/>
        <v>2438673.64786</v>
      </c>
      <c r="K13" s="47" t="s">
        <v>157</v>
      </c>
      <c r="L13" s="526" t="s">
        <v>158</v>
      </c>
      <c r="M13" s="348"/>
      <c r="N13" s="311"/>
      <c r="O13" s="321"/>
      <c r="P13" s="321"/>
      <c r="Q13" s="321"/>
      <c r="R13" s="322"/>
    </row>
    <row r="14" ht="17.25" customHeight="1" spans="1:18">
      <c r="A14" s="311">
        <f t="shared" si="2"/>
        <v>10</v>
      </c>
      <c r="B14" s="388">
        <v>46028</v>
      </c>
      <c r="C14" s="527">
        <v>9983053</v>
      </c>
      <c r="D14" s="528">
        <v>55306492</v>
      </c>
      <c r="E14" s="529">
        <v>61.502</v>
      </c>
      <c r="F14" s="530">
        <v>642.73</v>
      </c>
      <c r="G14" s="531">
        <f t="shared" si="1"/>
        <v>517.32</v>
      </c>
      <c r="H14" s="531">
        <f t="shared" si="3"/>
        <v>31816.21464</v>
      </c>
      <c r="I14" s="532">
        <v>39944.86</v>
      </c>
      <c r="J14" s="532">
        <f t="shared" si="0"/>
        <v>2456688.77972</v>
      </c>
      <c r="K14" s="47" t="s">
        <v>157</v>
      </c>
      <c r="L14" s="526" t="s">
        <v>158</v>
      </c>
      <c r="M14" s="348"/>
      <c r="N14" s="311"/>
      <c r="O14" s="321"/>
      <c r="P14" s="321"/>
      <c r="Q14" s="321"/>
      <c r="R14" s="322"/>
    </row>
    <row r="15" ht="17.25" customHeight="1" spans="1:18">
      <c r="A15" s="311">
        <f t="shared" si="2"/>
        <v>11</v>
      </c>
      <c r="B15" s="388">
        <v>46028</v>
      </c>
      <c r="C15" s="527">
        <v>9983053</v>
      </c>
      <c r="D15" s="528">
        <v>55307342</v>
      </c>
      <c r="E15" s="529">
        <v>59.248</v>
      </c>
      <c r="F15" s="530">
        <v>642.73</v>
      </c>
      <c r="G15" s="531">
        <f t="shared" si="1"/>
        <v>517.32</v>
      </c>
      <c r="H15" s="524">
        <f t="shared" si="3"/>
        <v>30650.17536</v>
      </c>
      <c r="I15" s="525">
        <v>39944.86</v>
      </c>
      <c r="J15" s="532">
        <f t="shared" si="0"/>
        <v>2366653.06528</v>
      </c>
      <c r="K15" s="47" t="s">
        <v>157</v>
      </c>
      <c r="L15" s="526" t="s">
        <v>158</v>
      </c>
      <c r="M15" s="348"/>
      <c r="N15" s="311"/>
      <c r="O15" s="321"/>
      <c r="P15" s="321"/>
      <c r="Q15" s="321"/>
      <c r="R15" s="322"/>
    </row>
    <row r="16" ht="17.25" customHeight="1" spans="1:18">
      <c r="A16" s="311">
        <f t="shared" si="2"/>
        <v>12</v>
      </c>
      <c r="B16" s="388">
        <v>46028</v>
      </c>
      <c r="C16" s="527">
        <v>9983054</v>
      </c>
      <c r="D16" s="528">
        <v>55307391</v>
      </c>
      <c r="E16" s="529">
        <v>58.397</v>
      </c>
      <c r="F16" s="530">
        <v>642.73</v>
      </c>
      <c r="G16" s="531">
        <f t="shared" si="1"/>
        <v>517.32</v>
      </c>
      <c r="H16" s="531">
        <f t="shared" si="3"/>
        <v>30209.93604</v>
      </c>
      <c r="I16" s="532">
        <v>39944.86</v>
      </c>
      <c r="J16" s="532">
        <f t="shared" si="0"/>
        <v>2332659.98942</v>
      </c>
      <c r="K16" s="47" t="s">
        <v>157</v>
      </c>
      <c r="L16" s="526" t="s">
        <v>158</v>
      </c>
      <c r="M16" s="348"/>
      <c r="N16" s="311"/>
      <c r="O16" s="388">
        <v>46034</v>
      </c>
      <c r="P16" s="321">
        <v>58.582</v>
      </c>
      <c r="Q16" s="313">
        <f>P16-E16</f>
        <v>0.185000000000002</v>
      </c>
      <c r="R16" s="322"/>
    </row>
    <row r="17" ht="17.25" customHeight="1" spans="1:18">
      <c r="A17" s="311">
        <f t="shared" si="2"/>
        <v>13</v>
      </c>
      <c r="B17" s="388">
        <v>46028</v>
      </c>
      <c r="C17" s="527">
        <v>9983053</v>
      </c>
      <c r="D17" s="528">
        <v>55714612</v>
      </c>
      <c r="E17" s="529">
        <v>59.549</v>
      </c>
      <c r="F17" s="530">
        <v>642.73</v>
      </c>
      <c r="G17" s="531">
        <f t="shared" si="1"/>
        <v>517.32</v>
      </c>
      <c r="H17" s="524">
        <f t="shared" si="3"/>
        <v>30805.88868</v>
      </c>
      <c r="I17" s="525">
        <v>39944.86</v>
      </c>
      <c r="J17" s="532">
        <f t="shared" si="0"/>
        <v>2378676.46814</v>
      </c>
      <c r="K17" s="47" t="s">
        <v>157</v>
      </c>
      <c r="L17" s="526" t="s">
        <v>158</v>
      </c>
      <c r="M17" s="348"/>
      <c r="N17" s="311"/>
      <c r="O17" s="321"/>
      <c r="P17" s="321"/>
      <c r="Q17" s="321"/>
      <c r="R17" s="322"/>
    </row>
    <row r="18" ht="17.25" customHeight="1" spans="1:18">
      <c r="A18" s="311">
        <f t="shared" si="2"/>
        <v>14</v>
      </c>
      <c r="B18" s="388">
        <v>46028</v>
      </c>
      <c r="C18" s="527">
        <v>9983054</v>
      </c>
      <c r="D18" s="528">
        <v>57175879</v>
      </c>
      <c r="E18" s="529">
        <v>58.697</v>
      </c>
      <c r="F18" s="530">
        <v>642.73</v>
      </c>
      <c r="G18" s="531">
        <f t="shared" si="1"/>
        <v>517.32</v>
      </c>
      <c r="H18" s="531">
        <f t="shared" si="3"/>
        <v>30365.13204</v>
      </c>
      <c r="I18" s="532">
        <v>39944.86</v>
      </c>
      <c r="J18" s="532">
        <f t="shared" si="0"/>
        <v>2344643.44742</v>
      </c>
      <c r="K18" s="47" t="s">
        <v>157</v>
      </c>
      <c r="L18" s="526" t="s">
        <v>158</v>
      </c>
      <c r="M18" s="348"/>
      <c r="N18" s="311"/>
      <c r="O18" s="388">
        <v>46034</v>
      </c>
      <c r="P18" s="321">
        <v>58.519</v>
      </c>
      <c r="Q18" s="313">
        <f>P18-E18</f>
        <v>-0.178000000000004</v>
      </c>
      <c r="R18" s="322"/>
    </row>
    <row r="19" ht="17.25" customHeight="1" spans="1:18">
      <c r="A19" s="311">
        <f t="shared" si="2"/>
        <v>15</v>
      </c>
      <c r="B19" s="388">
        <v>46028</v>
      </c>
      <c r="C19" s="527">
        <v>9983053</v>
      </c>
      <c r="D19" s="528">
        <v>57175903</v>
      </c>
      <c r="E19" s="529">
        <v>59.749</v>
      </c>
      <c r="F19" s="530">
        <v>642.73</v>
      </c>
      <c r="G19" s="531">
        <f t="shared" si="1"/>
        <v>517.32</v>
      </c>
      <c r="H19" s="524">
        <f t="shared" si="3"/>
        <v>30909.35268</v>
      </c>
      <c r="I19" s="525">
        <v>39944.86</v>
      </c>
      <c r="J19" s="532">
        <f t="shared" si="0"/>
        <v>2386665.44014</v>
      </c>
      <c r="K19" s="47" t="s">
        <v>157</v>
      </c>
      <c r="L19" s="526" t="s">
        <v>158</v>
      </c>
      <c r="M19" s="348"/>
      <c r="N19" s="311"/>
      <c r="O19" s="321"/>
      <c r="P19" s="321"/>
      <c r="Q19" s="321"/>
      <c r="R19" s="322"/>
    </row>
    <row r="20" ht="17.25" customHeight="1" spans="1:18">
      <c r="A20" s="311">
        <f t="shared" si="2"/>
        <v>16</v>
      </c>
      <c r="B20" s="388">
        <v>46028</v>
      </c>
      <c r="C20" s="527">
        <v>9983054</v>
      </c>
      <c r="D20" s="528">
        <v>57214488</v>
      </c>
      <c r="E20" s="529">
        <v>59.899</v>
      </c>
      <c r="F20" s="530">
        <v>642.73</v>
      </c>
      <c r="G20" s="531">
        <f t="shared" si="1"/>
        <v>517.32</v>
      </c>
      <c r="H20" s="531">
        <f t="shared" si="3"/>
        <v>30986.95068</v>
      </c>
      <c r="I20" s="532">
        <v>39944.86</v>
      </c>
      <c r="J20" s="532">
        <f t="shared" si="0"/>
        <v>2392657.16914</v>
      </c>
      <c r="K20" s="47" t="s">
        <v>157</v>
      </c>
      <c r="L20" s="526" t="s">
        <v>158</v>
      </c>
      <c r="M20" s="348"/>
      <c r="N20" s="311"/>
      <c r="O20" s="388">
        <v>46034</v>
      </c>
      <c r="P20" s="313">
        <v>59.58</v>
      </c>
      <c r="Q20" s="313">
        <f>P20-E20</f>
        <v>-0.319000000000003</v>
      </c>
      <c r="R20" s="322"/>
    </row>
    <row r="21" ht="17.25" customHeight="1" spans="1:18">
      <c r="A21" s="311">
        <f t="shared" si="2"/>
        <v>17</v>
      </c>
      <c r="B21" s="388">
        <v>46028</v>
      </c>
      <c r="C21" s="527">
        <v>9983054</v>
      </c>
      <c r="D21" s="528">
        <v>57368920</v>
      </c>
      <c r="E21" s="529">
        <v>59.549</v>
      </c>
      <c r="F21" s="530">
        <v>642.73</v>
      </c>
      <c r="G21" s="531">
        <f t="shared" si="1"/>
        <v>517.32</v>
      </c>
      <c r="H21" s="524">
        <f t="shared" si="3"/>
        <v>30805.88868</v>
      </c>
      <c r="I21" s="525">
        <v>39944.86</v>
      </c>
      <c r="J21" s="532">
        <f t="shared" si="0"/>
        <v>2378676.46814</v>
      </c>
      <c r="K21" s="47" t="s">
        <v>157</v>
      </c>
      <c r="L21" s="526" t="s">
        <v>158</v>
      </c>
      <c r="M21" s="348"/>
      <c r="N21" s="311"/>
      <c r="O21" s="321"/>
      <c r="P21" s="321"/>
      <c r="Q21" s="321"/>
      <c r="R21" s="322"/>
    </row>
    <row r="22" ht="17.25" customHeight="1" spans="1:18">
      <c r="A22" s="311">
        <f t="shared" si="2"/>
        <v>18</v>
      </c>
      <c r="B22" s="388">
        <v>46028</v>
      </c>
      <c r="C22" s="527">
        <v>9983053</v>
      </c>
      <c r="D22" s="528">
        <v>57376790</v>
      </c>
      <c r="E22" s="529">
        <v>51.235</v>
      </c>
      <c r="F22" s="530">
        <v>642.73</v>
      </c>
      <c r="G22" s="531">
        <f t="shared" si="1"/>
        <v>517.32</v>
      </c>
      <c r="H22" s="531">
        <f t="shared" si="3"/>
        <v>26504.8902</v>
      </c>
      <c r="I22" s="532">
        <v>39944.86</v>
      </c>
      <c r="J22" s="532">
        <f t="shared" si="0"/>
        <v>2046574.9021</v>
      </c>
      <c r="K22" s="47" t="s">
        <v>157</v>
      </c>
      <c r="L22" s="526" t="s">
        <v>158</v>
      </c>
      <c r="M22" s="348"/>
      <c r="N22" s="311"/>
      <c r="O22" s="321"/>
      <c r="P22" s="321"/>
      <c r="Q22" s="321"/>
      <c r="R22" s="322"/>
    </row>
    <row r="23" ht="17.25" customHeight="1" spans="1:18">
      <c r="A23" s="311">
        <f t="shared" si="2"/>
        <v>19</v>
      </c>
      <c r="B23" s="388">
        <v>46028</v>
      </c>
      <c r="C23" s="527">
        <v>9983054</v>
      </c>
      <c r="D23" s="528">
        <v>57444291</v>
      </c>
      <c r="E23" s="529">
        <v>58.847</v>
      </c>
      <c r="F23" s="530">
        <v>642.73</v>
      </c>
      <c r="G23" s="531">
        <f t="shared" si="1"/>
        <v>517.32</v>
      </c>
      <c r="H23" s="524">
        <f t="shared" si="3"/>
        <v>30442.73004</v>
      </c>
      <c r="I23" s="525">
        <v>39944.86</v>
      </c>
      <c r="J23" s="532">
        <f t="shared" si="0"/>
        <v>2350635.17642</v>
      </c>
      <c r="K23" s="47" t="s">
        <v>157</v>
      </c>
      <c r="L23" s="526" t="s">
        <v>158</v>
      </c>
      <c r="M23" s="348"/>
      <c r="N23" s="311"/>
      <c r="O23" s="388">
        <v>46034</v>
      </c>
      <c r="P23" s="321">
        <v>59.273</v>
      </c>
      <c r="Q23" s="313">
        <f>P23-E23</f>
        <v>0.426000000000002</v>
      </c>
      <c r="R23" s="322"/>
    </row>
    <row r="24" ht="17.25" customHeight="1" spans="1:18">
      <c r="A24" s="311">
        <f t="shared" si="2"/>
        <v>20</v>
      </c>
      <c r="B24" s="388">
        <v>46028</v>
      </c>
      <c r="C24" s="527">
        <v>9983053</v>
      </c>
      <c r="D24" s="528">
        <v>57661449</v>
      </c>
      <c r="E24" s="529">
        <v>59.198</v>
      </c>
      <c r="F24" s="530">
        <v>642.73</v>
      </c>
      <c r="G24" s="531">
        <f t="shared" si="1"/>
        <v>517.32</v>
      </c>
      <c r="H24" s="531">
        <f t="shared" si="3"/>
        <v>30624.30936</v>
      </c>
      <c r="I24" s="532">
        <v>39944.86</v>
      </c>
      <c r="J24" s="532">
        <f t="shared" si="0"/>
        <v>2364655.82228</v>
      </c>
      <c r="K24" s="47" t="s">
        <v>157</v>
      </c>
      <c r="L24" s="526" t="s">
        <v>158</v>
      </c>
      <c r="M24" s="348"/>
      <c r="N24" s="311"/>
      <c r="O24" s="321"/>
      <c r="P24" s="321"/>
      <c r="Q24" s="321"/>
      <c r="R24" s="322"/>
    </row>
    <row r="25" ht="17.25" customHeight="1" spans="1:18">
      <c r="A25" s="311">
        <f t="shared" si="2"/>
        <v>21</v>
      </c>
      <c r="B25" s="388">
        <v>46028</v>
      </c>
      <c r="C25" s="527">
        <v>9983053</v>
      </c>
      <c r="D25" s="528">
        <v>58348855</v>
      </c>
      <c r="E25" s="529">
        <v>61.802</v>
      </c>
      <c r="F25" s="530">
        <v>642.73</v>
      </c>
      <c r="G25" s="531">
        <f t="shared" si="1"/>
        <v>517.32</v>
      </c>
      <c r="H25" s="524">
        <f t="shared" si="3"/>
        <v>31971.41064</v>
      </c>
      <c r="I25" s="525">
        <v>39944.86</v>
      </c>
      <c r="J25" s="532">
        <f t="shared" si="0"/>
        <v>2468672.23772</v>
      </c>
      <c r="K25" s="47" t="s">
        <v>157</v>
      </c>
      <c r="L25" s="526" t="s">
        <v>158</v>
      </c>
      <c r="M25" s="348"/>
      <c r="N25" s="311"/>
      <c r="O25" s="321"/>
      <c r="P25" s="321"/>
      <c r="Q25" s="321"/>
      <c r="R25" s="322"/>
    </row>
    <row r="26" ht="17.25" customHeight="1" spans="1:18">
      <c r="A26" s="311">
        <f t="shared" si="2"/>
        <v>22</v>
      </c>
      <c r="B26" s="388">
        <v>46028</v>
      </c>
      <c r="C26" s="527">
        <v>9983054</v>
      </c>
      <c r="D26" s="528">
        <v>58645748</v>
      </c>
      <c r="E26" s="529">
        <v>58.547</v>
      </c>
      <c r="F26" s="530">
        <v>642.73</v>
      </c>
      <c r="G26" s="531">
        <f t="shared" si="1"/>
        <v>517.32</v>
      </c>
      <c r="H26" s="531">
        <f t="shared" si="3"/>
        <v>30287.53404</v>
      </c>
      <c r="I26" s="532">
        <v>39944.86</v>
      </c>
      <c r="J26" s="532">
        <f t="shared" si="0"/>
        <v>2338651.71842</v>
      </c>
      <c r="K26" s="47" t="s">
        <v>157</v>
      </c>
      <c r="L26" s="526" t="s">
        <v>158</v>
      </c>
      <c r="M26" s="348"/>
      <c r="N26" s="311"/>
      <c r="O26" s="388">
        <v>46034</v>
      </c>
      <c r="P26" s="321">
        <v>58.832</v>
      </c>
      <c r="Q26" s="313">
        <f t="shared" ref="Q26:Q31" si="4">P26-E26</f>
        <v>0.285000000000004</v>
      </c>
      <c r="R26" s="322"/>
    </row>
    <row r="27" ht="17.25" customHeight="1" spans="1:18">
      <c r="A27" s="311">
        <f t="shared" si="2"/>
        <v>23</v>
      </c>
      <c r="B27" s="388">
        <v>46028</v>
      </c>
      <c r="C27" s="527">
        <v>9983054</v>
      </c>
      <c r="D27" s="528">
        <v>74939349</v>
      </c>
      <c r="E27" s="529">
        <v>59.498</v>
      </c>
      <c r="F27" s="530">
        <v>642.73</v>
      </c>
      <c r="G27" s="531">
        <f t="shared" si="1"/>
        <v>517.32</v>
      </c>
      <c r="H27" s="524">
        <f t="shared" si="3"/>
        <v>30779.50536</v>
      </c>
      <c r="I27" s="525">
        <v>39944.86</v>
      </c>
      <c r="J27" s="532">
        <f t="shared" si="0"/>
        <v>2376639.28028</v>
      </c>
      <c r="K27" s="47" t="s">
        <v>157</v>
      </c>
      <c r="L27" s="526" t="s">
        <v>158</v>
      </c>
      <c r="M27" s="348"/>
      <c r="N27" s="311"/>
      <c r="O27" s="388">
        <v>46034</v>
      </c>
      <c r="P27" s="321">
        <v>59.905</v>
      </c>
      <c r="Q27" s="313">
        <f t="shared" si="4"/>
        <v>0.407000000000004</v>
      </c>
      <c r="R27" s="322"/>
    </row>
    <row r="28" ht="17.25" customHeight="1" spans="1:18">
      <c r="A28" s="311">
        <f t="shared" si="2"/>
        <v>24</v>
      </c>
      <c r="B28" s="388">
        <v>46028</v>
      </c>
      <c r="C28" s="527">
        <v>9983054</v>
      </c>
      <c r="D28" s="528">
        <v>74951047</v>
      </c>
      <c r="E28" s="529">
        <v>59.849</v>
      </c>
      <c r="F28" s="530">
        <v>642.73</v>
      </c>
      <c r="G28" s="531">
        <f t="shared" si="1"/>
        <v>517.32</v>
      </c>
      <c r="H28" s="531">
        <f t="shared" si="3"/>
        <v>30961.08468</v>
      </c>
      <c r="I28" s="532">
        <v>39944.86</v>
      </c>
      <c r="J28" s="532">
        <f t="shared" si="0"/>
        <v>2390659.92614</v>
      </c>
      <c r="K28" s="47" t="s">
        <v>157</v>
      </c>
      <c r="L28" s="526" t="s">
        <v>158</v>
      </c>
      <c r="M28" s="348"/>
      <c r="N28" s="311"/>
      <c r="O28" s="388">
        <v>46034</v>
      </c>
      <c r="P28" s="313">
        <v>59.35</v>
      </c>
      <c r="Q28" s="313">
        <f t="shared" si="4"/>
        <v>-0.498999999999995</v>
      </c>
      <c r="R28" s="322"/>
    </row>
    <row r="29" ht="17.25" customHeight="1" spans="1:18">
      <c r="A29" s="311">
        <f t="shared" si="2"/>
        <v>25</v>
      </c>
      <c r="B29" s="388">
        <v>46028</v>
      </c>
      <c r="C29" s="527">
        <v>9983054</v>
      </c>
      <c r="D29" s="528">
        <v>74999558</v>
      </c>
      <c r="E29" s="529">
        <v>59.498</v>
      </c>
      <c r="F29" s="530">
        <v>642.73</v>
      </c>
      <c r="G29" s="531">
        <f t="shared" si="1"/>
        <v>517.32</v>
      </c>
      <c r="H29" s="524">
        <f t="shared" si="3"/>
        <v>30779.50536</v>
      </c>
      <c r="I29" s="525">
        <v>39944.86</v>
      </c>
      <c r="J29" s="532">
        <f t="shared" si="0"/>
        <v>2376639.28028</v>
      </c>
      <c r="K29" s="47" t="s">
        <v>157</v>
      </c>
      <c r="L29" s="526" t="s">
        <v>158</v>
      </c>
      <c r="M29" s="348"/>
      <c r="N29" s="311"/>
      <c r="O29" s="388">
        <v>46034</v>
      </c>
      <c r="P29" s="321">
        <v>59.337</v>
      </c>
      <c r="Q29" s="313">
        <f t="shared" si="4"/>
        <v>-0.160999999999994</v>
      </c>
      <c r="R29" s="322"/>
    </row>
    <row r="30" ht="17.25" customHeight="1" spans="1:18">
      <c r="A30" s="311">
        <f t="shared" si="2"/>
        <v>26</v>
      </c>
      <c r="B30" s="388">
        <v>46028</v>
      </c>
      <c r="C30" s="527">
        <v>9983054</v>
      </c>
      <c r="D30" s="528">
        <v>75004143</v>
      </c>
      <c r="E30" s="529">
        <v>59.999</v>
      </c>
      <c r="F30" s="530">
        <v>642.73</v>
      </c>
      <c r="G30" s="531">
        <f t="shared" si="1"/>
        <v>517.32</v>
      </c>
      <c r="H30" s="531">
        <f t="shared" si="3"/>
        <v>31038.68268</v>
      </c>
      <c r="I30" s="532">
        <v>39944.86</v>
      </c>
      <c r="J30" s="532">
        <f t="shared" si="0"/>
        <v>2396651.65514</v>
      </c>
      <c r="K30" s="47" t="s">
        <v>157</v>
      </c>
      <c r="L30" s="526" t="s">
        <v>158</v>
      </c>
      <c r="M30" s="348"/>
      <c r="N30" s="311"/>
      <c r="O30" s="388">
        <v>46034</v>
      </c>
      <c r="P30" s="321">
        <v>59.235</v>
      </c>
      <c r="Q30" s="313">
        <f t="shared" si="4"/>
        <v>-0.764000000000003</v>
      </c>
      <c r="R30" s="322"/>
    </row>
    <row r="31" ht="17.25" customHeight="1" spans="1:18">
      <c r="A31" s="311">
        <f t="shared" si="2"/>
        <v>27</v>
      </c>
      <c r="B31" s="388">
        <v>46028</v>
      </c>
      <c r="C31" s="527">
        <v>9983054</v>
      </c>
      <c r="D31" s="528">
        <v>75021006</v>
      </c>
      <c r="E31" s="529">
        <v>58.497</v>
      </c>
      <c r="F31" s="530">
        <v>642.73</v>
      </c>
      <c r="G31" s="531">
        <f t="shared" si="1"/>
        <v>517.32</v>
      </c>
      <c r="H31" s="524">
        <f t="shared" si="3"/>
        <v>30261.66804</v>
      </c>
      <c r="I31" s="525">
        <v>39944.86</v>
      </c>
      <c r="J31" s="532">
        <f t="shared" si="0"/>
        <v>2336654.47542</v>
      </c>
      <c r="K31" s="47" t="s">
        <v>157</v>
      </c>
      <c r="L31" s="526" t="s">
        <v>158</v>
      </c>
      <c r="M31" s="348"/>
      <c r="N31" s="311"/>
      <c r="O31" s="388">
        <v>46034</v>
      </c>
      <c r="P31" s="321">
        <v>58.023</v>
      </c>
      <c r="Q31" s="313">
        <f t="shared" si="4"/>
        <v>-0.473999999999997</v>
      </c>
      <c r="R31" s="322"/>
    </row>
    <row r="32" ht="17.25" customHeight="1" spans="1:18">
      <c r="A32" s="311">
        <f t="shared" si="2"/>
        <v>28</v>
      </c>
      <c r="B32" s="388">
        <v>46028</v>
      </c>
      <c r="C32" s="527">
        <v>9983052</v>
      </c>
      <c r="D32" s="528">
        <v>75674895</v>
      </c>
      <c r="E32" s="529">
        <v>58.497</v>
      </c>
      <c r="F32" s="530">
        <v>642.73</v>
      </c>
      <c r="G32" s="531">
        <f t="shared" si="1"/>
        <v>517.32</v>
      </c>
      <c r="H32" s="531">
        <f t="shared" si="3"/>
        <v>30261.66804</v>
      </c>
      <c r="I32" s="532">
        <v>39944.86</v>
      </c>
      <c r="J32" s="532">
        <f t="shared" si="0"/>
        <v>2336654.47542</v>
      </c>
      <c r="K32" s="47" t="s">
        <v>157</v>
      </c>
      <c r="L32" s="526" t="s">
        <v>158</v>
      </c>
      <c r="M32" s="348"/>
      <c r="N32" s="311"/>
      <c r="O32" s="321"/>
      <c r="P32" s="321"/>
      <c r="Q32" s="321"/>
      <c r="R32" s="322"/>
    </row>
    <row r="33" ht="17.25" customHeight="1" spans="1:18">
      <c r="A33" s="332">
        <f t="shared" si="2"/>
        <v>29</v>
      </c>
      <c r="B33" s="396">
        <v>46028</v>
      </c>
      <c r="C33" s="533">
        <v>9983052</v>
      </c>
      <c r="D33" s="534">
        <v>75675199</v>
      </c>
      <c r="E33" s="535">
        <v>59.398</v>
      </c>
      <c r="F33" s="530">
        <v>642.73</v>
      </c>
      <c r="G33" s="536">
        <f t="shared" si="1"/>
        <v>517.32</v>
      </c>
      <c r="H33" s="524">
        <f t="shared" si="3"/>
        <v>30727.77336</v>
      </c>
      <c r="I33" s="525">
        <v>39944.86</v>
      </c>
      <c r="J33" s="537">
        <f t="shared" si="0"/>
        <v>2372644.79428</v>
      </c>
      <c r="K33" s="99" t="s">
        <v>157</v>
      </c>
      <c r="L33" s="526" t="s">
        <v>158</v>
      </c>
      <c r="M33" s="354"/>
      <c r="N33" s="332"/>
      <c r="O33" s="333"/>
      <c r="P33" s="333"/>
      <c r="Q33" s="333"/>
      <c r="R33" s="334"/>
    </row>
    <row r="34" spans="1:18">
      <c r="A34" s="404">
        <v>30</v>
      </c>
      <c r="B34" s="439">
        <v>46030</v>
      </c>
      <c r="C34" s="538">
        <v>9983065</v>
      </c>
      <c r="D34" s="539">
        <v>76814854</v>
      </c>
      <c r="E34" s="540">
        <v>58.847</v>
      </c>
      <c r="F34" s="530">
        <v>642.73</v>
      </c>
      <c r="G34" s="541">
        <f>F34-125.41</f>
        <v>517.32</v>
      </c>
      <c r="H34" s="531">
        <f t="shared" si="3"/>
        <v>30442.73004</v>
      </c>
      <c r="I34" s="532">
        <v>39944.86</v>
      </c>
      <c r="J34" s="542">
        <f t="shared" ref="J34" si="5">E34*I34</f>
        <v>2350635.17642</v>
      </c>
      <c r="K34" s="34" t="s">
        <v>157</v>
      </c>
      <c r="L34" s="526" t="s">
        <v>158</v>
      </c>
      <c r="M34" s="543"/>
      <c r="N34" s="365"/>
      <c r="O34" s="544">
        <v>46041</v>
      </c>
      <c r="P34" s="367">
        <v>58.756</v>
      </c>
      <c r="Q34" s="368">
        <f>P34-E34</f>
        <v>-0.0910000000000011</v>
      </c>
      <c r="R34" s="374"/>
    </row>
    <row r="35" spans="1:18">
      <c r="A35" s="300">
        <v>31</v>
      </c>
      <c r="B35" s="424">
        <v>46037</v>
      </c>
      <c r="C35" s="520">
        <v>9983127</v>
      </c>
      <c r="D35" s="521">
        <v>50774306</v>
      </c>
      <c r="E35" s="522">
        <v>51.239</v>
      </c>
      <c r="F35" s="530">
        <v>642.73</v>
      </c>
      <c r="G35" s="541">
        <f t="shared" ref="G35:G60" si="6">F35-125.41</f>
        <v>517.32</v>
      </c>
      <c r="H35" s="524">
        <f t="shared" si="3"/>
        <v>26506.95948</v>
      </c>
      <c r="I35" s="525">
        <v>39944.86</v>
      </c>
      <c r="J35" s="542">
        <f t="shared" ref="J35:J60" si="7">E35*I35</f>
        <v>2046734.68154</v>
      </c>
      <c r="K35" s="34" t="s">
        <v>157</v>
      </c>
      <c r="L35" s="545" t="s">
        <v>158</v>
      </c>
      <c r="M35" s="546"/>
      <c r="N35" s="300"/>
      <c r="O35" s="309"/>
      <c r="P35" s="309"/>
      <c r="Q35" s="309"/>
      <c r="R35" s="310"/>
    </row>
    <row r="36" spans="1:18">
      <c r="A36" s="311">
        <f>A35+1</f>
        <v>32</v>
      </c>
      <c r="B36" s="388">
        <v>46037</v>
      </c>
      <c r="C36" s="527">
        <v>9983127</v>
      </c>
      <c r="D36" s="528">
        <v>50786912</v>
      </c>
      <c r="E36" s="529">
        <v>53.043</v>
      </c>
      <c r="F36" s="530">
        <v>642.73</v>
      </c>
      <c r="G36" s="531">
        <f t="shared" si="6"/>
        <v>517.32</v>
      </c>
      <c r="H36" s="531">
        <f t="shared" si="3"/>
        <v>27440.20476</v>
      </c>
      <c r="I36" s="532">
        <v>39944.86</v>
      </c>
      <c r="J36" s="532">
        <f t="shared" si="7"/>
        <v>2118795.20898</v>
      </c>
      <c r="K36" s="47" t="s">
        <v>157</v>
      </c>
      <c r="L36" s="547" t="s">
        <v>158</v>
      </c>
      <c r="M36" s="348"/>
      <c r="N36" s="311"/>
      <c r="O36" s="321"/>
      <c r="P36" s="321"/>
      <c r="Q36" s="321"/>
      <c r="R36" s="322"/>
    </row>
    <row r="37" spans="1:18">
      <c r="A37" s="311">
        <f>A36+1</f>
        <v>33</v>
      </c>
      <c r="B37" s="388">
        <v>46037</v>
      </c>
      <c r="C37" s="527">
        <v>9983127</v>
      </c>
      <c r="D37" s="528">
        <v>50960202</v>
      </c>
      <c r="E37" s="529">
        <v>60.606</v>
      </c>
      <c r="F37" s="530">
        <v>642.73</v>
      </c>
      <c r="G37" s="531">
        <f t="shared" si="6"/>
        <v>517.32</v>
      </c>
      <c r="H37" s="524">
        <f t="shared" si="3"/>
        <v>31352.69592</v>
      </c>
      <c r="I37" s="525">
        <v>39944.86</v>
      </c>
      <c r="J37" s="532">
        <f t="shared" si="7"/>
        <v>2420898.18516</v>
      </c>
      <c r="K37" s="47" t="s">
        <v>157</v>
      </c>
      <c r="L37" s="547" t="s">
        <v>158</v>
      </c>
      <c r="M37" s="348"/>
      <c r="N37" s="311"/>
      <c r="O37" s="321"/>
      <c r="P37" s="321"/>
      <c r="Q37" s="321"/>
      <c r="R37" s="322"/>
    </row>
    <row r="38" spans="1:18">
      <c r="A38" s="311">
        <f>A50+1</f>
        <v>36</v>
      </c>
      <c r="B38" s="388">
        <v>46037</v>
      </c>
      <c r="C38" s="527">
        <v>9983127</v>
      </c>
      <c r="D38" s="528">
        <v>51231827</v>
      </c>
      <c r="E38" s="529">
        <v>60.956</v>
      </c>
      <c r="F38" s="530">
        <v>642.73</v>
      </c>
      <c r="G38" s="531">
        <f t="shared" si="6"/>
        <v>517.32</v>
      </c>
      <c r="H38" s="531">
        <f t="shared" si="3"/>
        <v>31533.75792</v>
      </c>
      <c r="I38" s="532">
        <v>39944.86</v>
      </c>
      <c r="J38" s="532">
        <f t="shared" si="7"/>
        <v>2434878.88616</v>
      </c>
      <c r="K38" s="47" t="s">
        <v>157</v>
      </c>
      <c r="L38" s="547" t="s">
        <v>158</v>
      </c>
      <c r="M38" s="348"/>
      <c r="N38" s="311"/>
      <c r="O38" s="321"/>
      <c r="P38" s="321"/>
      <c r="Q38" s="321"/>
      <c r="R38" s="322"/>
    </row>
    <row r="39" spans="1:18">
      <c r="A39" s="311">
        <f>A38+1</f>
        <v>37</v>
      </c>
      <c r="B39" s="388">
        <v>46037</v>
      </c>
      <c r="C39" s="527">
        <v>9983127</v>
      </c>
      <c r="D39" s="528">
        <v>51303246</v>
      </c>
      <c r="E39" s="529">
        <v>52.842</v>
      </c>
      <c r="F39" s="530">
        <v>642.73</v>
      </c>
      <c r="G39" s="531">
        <f t="shared" si="6"/>
        <v>517.32</v>
      </c>
      <c r="H39" s="524">
        <f t="shared" ref="H39:H70" si="8">E39*G39</f>
        <v>27336.22344</v>
      </c>
      <c r="I39" s="525">
        <v>39944.86</v>
      </c>
      <c r="J39" s="532">
        <f t="shared" si="7"/>
        <v>2110766.29212</v>
      </c>
      <c r="K39" s="47" t="s">
        <v>157</v>
      </c>
      <c r="L39" s="547" t="s">
        <v>158</v>
      </c>
      <c r="M39" s="348"/>
      <c r="N39" s="311"/>
      <c r="O39" s="321"/>
      <c r="P39" s="321"/>
      <c r="Q39" s="321"/>
      <c r="R39" s="322"/>
    </row>
    <row r="40" spans="1:18">
      <c r="A40" s="311">
        <f>A51+1</f>
        <v>39</v>
      </c>
      <c r="B40" s="388">
        <v>46037</v>
      </c>
      <c r="C40" s="527">
        <v>9983127</v>
      </c>
      <c r="D40" s="528">
        <v>51895191</v>
      </c>
      <c r="E40" s="529">
        <v>60.506</v>
      </c>
      <c r="F40" s="530">
        <v>642.73</v>
      </c>
      <c r="G40" s="531">
        <f t="shared" si="6"/>
        <v>517.32</v>
      </c>
      <c r="H40" s="531">
        <f t="shared" si="8"/>
        <v>31300.96392</v>
      </c>
      <c r="I40" s="532">
        <v>39944.86</v>
      </c>
      <c r="J40" s="532">
        <f t="shared" si="7"/>
        <v>2416903.69916</v>
      </c>
      <c r="K40" s="47" t="s">
        <v>157</v>
      </c>
      <c r="L40" s="547" t="s">
        <v>158</v>
      </c>
      <c r="M40" s="348"/>
      <c r="N40" s="311"/>
      <c r="O40" s="321"/>
      <c r="P40" s="321"/>
      <c r="Q40" s="321"/>
      <c r="R40" s="322"/>
    </row>
    <row r="41" spans="1:18">
      <c r="A41" s="311">
        <f>A40+1</f>
        <v>40</v>
      </c>
      <c r="B41" s="388">
        <v>46037</v>
      </c>
      <c r="C41" s="527">
        <v>9983127</v>
      </c>
      <c r="D41" s="528">
        <v>53945887</v>
      </c>
      <c r="E41" s="529">
        <v>50.138</v>
      </c>
      <c r="F41" s="530">
        <v>642.73</v>
      </c>
      <c r="G41" s="531">
        <f t="shared" si="6"/>
        <v>517.32</v>
      </c>
      <c r="H41" s="524">
        <f t="shared" si="8"/>
        <v>25937.39016</v>
      </c>
      <c r="I41" s="525">
        <v>39944.86</v>
      </c>
      <c r="J41" s="532">
        <f t="shared" si="7"/>
        <v>2002755.39068</v>
      </c>
      <c r="K41" s="47" t="s">
        <v>157</v>
      </c>
      <c r="L41" s="547" t="s">
        <v>158</v>
      </c>
      <c r="M41" s="348"/>
      <c r="N41" s="311"/>
      <c r="O41" s="321"/>
      <c r="P41" s="321"/>
      <c r="Q41" s="321"/>
      <c r="R41" s="322"/>
    </row>
    <row r="42" spans="1:18">
      <c r="A42" s="311">
        <f>A41+1</f>
        <v>41</v>
      </c>
      <c r="B42" s="388">
        <v>46037</v>
      </c>
      <c r="C42" s="527">
        <v>9983127</v>
      </c>
      <c r="D42" s="528">
        <v>54027289</v>
      </c>
      <c r="E42" s="529">
        <v>59.404</v>
      </c>
      <c r="F42" s="530">
        <v>642.73</v>
      </c>
      <c r="G42" s="531">
        <f t="shared" si="6"/>
        <v>517.32</v>
      </c>
      <c r="H42" s="531">
        <f t="shared" si="8"/>
        <v>30730.87728</v>
      </c>
      <c r="I42" s="532">
        <v>39944.86</v>
      </c>
      <c r="J42" s="532">
        <f t="shared" si="7"/>
        <v>2372884.46344</v>
      </c>
      <c r="K42" s="47" t="s">
        <v>157</v>
      </c>
      <c r="L42" s="547" t="s">
        <v>158</v>
      </c>
      <c r="M42" s="348"/>
      <c r="N42" s="311"/>
      <c r="O42" s="321"/>
      <c r="P42" s="321"/>
      <c r="Q42" s="321"/>
      <c r="R42" s="322"/>
    </row>
    <row r="43" spans="1:18">
      <c r="A43" s="311">
        <f>A42+1</f>
        <v>42</v>
      </c>
      <c r="B43" s="388">
        <v>46037</v>
      </c>
      <c r="C43" s="527">
        <v>9983127</v>
      </c>
      <c r="D43" s="528">
        <v>54246947</v>
      </c>
      <c r="E43" s="529">
        <v>60.155</v>
      </c>
      <c r="F43" s="530">
        <v>642.73</v>
      </c>
      <c r="G43" s="531">
        <f t="shared" si="6"/>
        <v>517.32</v>
      </c>
      <c r="H43" s="524">
        <f t="shared" si="8"/>
        <v>31119.3846</v>
      </c>
      <c r="I43" s="525">
        <v>39944.86</v>
      </c>
      <c r="J43" s="532">
        <f t="shared" si="7"/>
        <v>2402883.0533</v>
      </c>
      <c r="K43" s="47" t="s">
        <v>157</v>
      </c>
      <c r="L43" s="547" t="s">
        <v>158</v>
      </c>
      <c r="M43" s="348"/>
      <c r="N43" s="311"/>
      <c r="O43" s="321"/>
      <c r="P43" s="321"/>
      <c r="Q43" s="321"/>
      <c r="R43" s="322"/>
    </row>
    <row r="44" spans="1:18">
      <c r="A44" s="311">
        <f>A53+1</f>
        <v>45</v>
      </c>
      <c r="B44" s="388">
        <v>46037</v>
      </c>
      <c r="C44" s="527">
        <v>9983127</v>
      </c>
      <c r="D44" s="528">
        <v>54663364</v>
      </c>
      <c r="E44" s="529">
        <v>59.704</v>
      </c>
      <c r="F44" s="530">
        <v>642.73</v>
      </c>
      <c r="G44" s="531">
        <f t="shared" si="6"/>
        <v>517.32</v>
      </c>
      <c r="H44" s="531">
        <f t="shared" si="8"/>
        <v>30886.07328</v>
      </c>
      <c r="I44" s="532">
        <v>39944.86</v>
      </c>
      <c r="J44" s="532">
        <f t="shared" si="7"/>
        <v>2384867.92144</v>
      </c>
      <c r="K44" s="47" t="s">
        <v>157</v>
      </c>
      <c r="L44" s="547" t="s">
        <v>158</v>
      </c>
      <c r="M44" s="348"/>
      <c r="N44" s="311"/>
      <c r="O44" s="321"/>
      <c r="P44" s="321"/>
      <c r="Q44" s="321"/>
      <c r="R44" s="322"/>
    </row>
    <row r="45" spans="1:18">
      <c r="A45" s="311">
        <f>A44+1</f>
        <v>46</v>
      </c>
      <c r="B45" s="388">
        <v>46037</v>
      </c>
      <c r="C45" s="527">
        <v>9983127</v>
      </c>
      <c r="D45" s="528">
        <v>54663596</v>
      </c>
      <c r="E45" s="529">
        <v>60.956</v>
      </c>
      <c r="F45" s="530">
        <v>642.73</v>
      </c>
      <c r="G45" s="531">
        <f t="shared" si="6"/>
        <v>517.32</v>
      </c>
      <c r="H45" s="524">
        <f t="shared" si="8"/>
        <v>31533.75792</v>
      </c>
      <c r="I45" s="525">
        <v>39944.86</v>
      </c>
      <c r="J45" s="532">
        <f t="shared" si="7"/>
        <v>2434878.88616</v>
      </c>
      <c r="K45" s="47" t="s">
        <v>157</v>
      </c>
      <c r="L45" s="547" t="s">
        <v>158</v>
      </c>
      <c r="M45" s="348"/>
      <c r="N45" s="311"/>
      <c r="O45" s="321"/>
      <c r="P45" s="321"/>
      <c r="Q45" s="321"/>
      <c r="R45" s="322"/>
    </row>
    <row r="46" spans="1:18">
      <c r="A46" s="311">
        <f>A55+1</f>
        <v>49</v>
      </c>
      <c r="B46" s="388">
        <v>46037</v>
      </c>
      <c r="C46" s="527">
        <v>9983127</v>
      </c>
      <c r="D46" s="528">
        <v>57129678</v>
      </c>
      <c r="E46" s="529">
        <v>58.953</v>
      </c>
      <c r="F46" s="530">
        <v>642.73</v>
      </c>
      <c r="G46" s="531">
        <f t="shared" si="6"/>
        <v>517.32</v>
      </c>
      <c r="H46" s="531">
        <f t="shared" si="8"/>
        <v>30497.56596</v>
      </c>
      <c r="I46" s="532">
        <v>39944.86</v>
      </c>
      <c r="J46" s="532">
        <f t="shared" si="7"/>
        <v>2354869.33158</v>
      </c>
      <c r="K46" s="47" t="s">
        <v>157</v>
      </c>
      <c r="L46" s="547" t="s">
        <v>158</v>
      </c>
      <c r="M46" s="348"/>
      <c r="N46" s="311"/>
      <c r="O46" s="321"/>
      <c r="P46" s="321"/>
      <c r="Q46" s="321"/>
      <c r="R46" s="322"/>
    </row>
    <row r="47" spans="1:18">
      <c r="A47" s="311">
        <f>A46+1</f>
        <v>50</v>
      </c>
      <c r="B47" s="388">
        <v>46037</v>
      </c>
      <c r="C47" s="527">
        <v>9983127</v>
      </c>
      <c r="D47" s="528">
        <v>57135246</v>
      </c>
      <c r="E47" s="529">
        <v>60.105</v>
      </c>
      <c r="F47" s="530">
        <v>642.73</v>
      </c>
      <c r="G47" s="531">
        <f t="shared" si="6"/>
        <v>517.32</v>
      </c>
      <c r="H47" s="524">
        <f t="shared" si="8"/>
        <v>31093.5186</v>
      </c>
      <c r="I47" s="525">
        <v>39944.86</v>
      </c>
      <c r="J47" s="532">
        <f t="shared" si="7"/>
        <v>2400885.8103</v>
      </c>
      <c r="K47" s="47" t="s">
        <v>157</v>
      </c>
      <c r="L47" s="547" t="s">
        <v>158</v>
      </c>
      <c r="M47" s="348"/>
      <c r="N47" s="311"/>
      <c r="O47" s="321"/>
      <c r="P47" s="321"/>
      <c r="Q47" s="321"/>
      <c r="R47" s="322"/>
    </row>
    <row r="48" spans="1:18">
      <c r="A48" s="311">
        <v>31</v>
      </c>
      <c r="B48" s="388">
        <v>46037</v>
      </c>
      <c r="C48" s="527">
        <v>9983128</v>
      </c>
      <c r="D48" s="528">
        <v>50215649</v>
      </c>
      <c r="E48" s="529">
        <v>60.906</v>
      </c>
      <c r="F48" s="530">
        <v>642.73</v>
      </c>
      <c r="G48" s="531">
        <f t="shared" si="6"/>
        <v>517.32</v>
      </c>
      <c r="H48" s="531">
        <f t="shared" si="8"/>
        <v>31507.89192</v>
      </c>
      <c r="I48" s="532">
        <v>39944.86</v>
      </c>
      <c r="J48" s="532">
        <f t="shared" si="7"/>
        <v>2432881.64316</v>
      </c>
      <c r="K48" s="47" t="s">
        <v>157</v>
      </c>
      <c r="L48" s="547" t="s">
        <v>158</v>
      </c>
      <c r="M48" s="348"/>
      <c r="N48" s="311"/>
      <c r="O48" s="321"/>
      <c r="P48" s="321"/>
      <c r="Q48" s="321"/>
      <c r="R48" s="322"/>
    </row>
    <row r="49" spans="1:18">
      <c r="A49" s="311">
        <f>A37+1</f>
        <v>34</v>
      </c>
      <c r="B49" s="388">
        <v>46037</v>
      </c>
      <c r="C49" s="527">
        <v>9983128</v>
      </c>
      <c r="D49" s="528">
        <v>50960491</v>
      </c>
      <c r="E49" s="529">
        <v>59.754</v>
      </c>
      <c r="F49" s="530">
        <v>642.73</v>
      </c>
      <c r="G49" s="531">
        <f t="shared" si="6"/>
        <v>517.32</v>
      </c>
      <c r="H49" s="524">
        <f t="shared" si="8"/>
        <v>30911.93928</v>
      </c>
      <c r="I49" s="525">
        <v>39944.86</v>
      </c>
      <c r="J49" s="532">
        <f t="shared" si="7"/>
        <v>2386865.16444</v>
      </c>
      <c r="K49" s="47" t="s">
        <v>157</v>
      </c>
      <c r="L49" s="547" t="s">
        <v>158</v>
      </c>
      <c r="M49" s="348"/>
      <c r="N49" s="311"/>
      <c r="O49" s="321"/>
      <c r="P49" s="321"/>
      <c r="Q49" s="321"/>
      <c r="R49" s="322"/>
    </row>
    <row r="50" spans="1:18">
      <c r="A50" s="311">
        <f t="shared" ref="A50:A60" si="9">A49+1</f>
        <v>35</v>
      </c>
      <c r="B50" s="388">
        <v>46037</v>
      </c>
      <c r="C50" s="527">
        <v>9983128</v>
      </c>
      <c r="D50" s="528">
        <v>51227387</v>
      </c>
      <c r="E50" s="529">
        <v>60.706</v>
      </c>
      <c r="F50" s="530">
        <v>642.73</v>
      </c>
      <c r="G50" s="531">
        <f t="shared" si="6"/>
        <v>517.32</v>
      </c>
      <c r="H50" s="531">
        <f t="shared" si="8"/>
        <v>31404.42792</v>
      </c>
      <c r="I50" s="532">
        <v>39944.86</v>
      </c>
      <c r="J50" s="532">
        <f t="shared" si="7"/>
        <v>2424892.67116</v>
      </c>
      <c r="K50" s="47" t="s">
        <v>157</v>
      </c>
      <c r="L50" s="547" t="s">
        <v>158</v>
      </c>
      <c r="M50" s="348"/>
      <c r="N50" s="311"/>
      <c r="O50" s="321"/>
      <c r="P50" s="321"/>
      <c r="Q50" s="321"/>
      <c r="R50" s="322"/>
    </row>
    <row r="51" spans="1:18">
      <c r="A51" s="311">
        <f>A39+1</f>
        <v>38</v>
      </c>
      <c r="B51" s="388">
        <v>46037</v>
      </c>
      <c r="C51" s="527">
        <v>9983128</v>
      </c>
      <c r="D51" s="528">
        <v>51689529</v>
      </c>
      <c r="E51" s="529">
        <v>59.504</v>
      </c>
      <c r="F51" s="530">
        <v>642.73</v>
      </c>
      <c r="G51" s="531">
        <f t="shared" si="6"/>
        <v>517.32</v>
      </c>
      <c r="H51" s="524">
        <f t="shared" si="8"/>
        <v>30782.60928</v>
      </c>
      <c r="I51" s="525">
        <v>39944.86</v>
      </c>
      <c r="J51" s="532">
        <f t="shared" si="7"/>
        <v>2376878.94944</v>
      </c>
      <c r="K51" s="47" t="s">
        <v>157</v>
      </c>
      <c r="L51" s="547" t="s">
        <v>158</v>
      </c>
      <c r="M51" s="348"/>
      <c r="N51" s="311"/>
      <c r="O51" s="321"/>
      <c r="P51" s="321"/>
      <c r="Q51" s="321"/>
      <c r="R51" s="322"/>
    </row>
    <row r="52" spans="1:18">
      <c r="A52" s="311">
        <f>A43+1</f>
        <v>43</v>
      </c>
      <c r="B52" s="388">
        <v>46037</v>
      </c>
      <c r="C52" s="527">
        <v>9983128</v>
      </c>
      <c r="D52" s="528">
        <v>54247127</v>
      </c>
      <c r="E52" s="529">
        <v>59.905</v>
      </c>
      <c r="F52" s="530">
        <v>642.73</v>
      </c>
      <c r="G52" s="531">
        <f t="shared" si="6"/>
        <v>517.32</v>
      </c>
      <c r="H52" s="531">
        <f t="shared" si="8"/>
        <v>30990.0546</v>
      </c>
      <c r="I52" s="532">
        <v>39944.86</v>
      </c>
      <c r="J52" s="532">
        <f t="shared" si="7"/>
        <v>2392896.8383</v>
      </c>
      <c r="K52" s="47" t="s">
        <v>157</v>
      </c>
      <c r="L52" s="547" t="s">
        <v>158</v>
      </c>
      <c r="M52" s="348"/>
      <c r="N52" s="311"/>
      <c r="O52" s="321"/>
      <c r="P52" s="321"/>
      <c r="Q52" s="321"/>
      <c r="R52" s="322"/>
    </row>
    <row r="53" spans="1:18">
      <c r="A53" s="311">
        <f t="shared" si="9"/>
        <v>44</v>
      </c>
      <c r="B53" s="388">
        <v>46037</v>
      </c>
      <c r="C53" s="527">
        <v>9983128</v>
      </c>
      <c r="D53" s="528">
        <v>54247242</v>
      </c>
      <c r="E53" s="529">
        <v>60.155</v>
      </c>
      <c r="F53" s="530">
        <v>642.73</v>
      </c>
      <c r="G53" s="531">
        <f t="shared" si="6"/>
        <v>517.32</v>
      </c>
      <c r="H53" s="524">
        <f t="shared" si="8"/>
        <v>31119.3846</v>
      </c>
      <c r="I53" s="525">
        <v>39944.86</v>
      </c>
      <c r="J53" s="532">
        <f t="shared" si="7"/>
        <v>2402883.0533</v>
      </c>
      <c r="K53" s="47" t="s">
        <v>157</v>
      </c>
      <c r="L53" s="547" t="s">
        <v>158</v>
      </c>
      <c r="M53" s="348"/>
      <c r="N53" s="311"/>
      <c r="O53" s="321"/>
      <c r="P53" s="321"/>
      <c r="Q53" s="321"/>
      <c r="R53" s="322"/>
    </row>
    <row r="54" spans="1:18">
      <c r="A54" s="311">
        <f>A45+1</f>
        <v>47</v>
      </c>
      <c r="B54" s="388">
        <v>46037</v>
      </c>
      <c r="C54" s="527">
        <v>9983128</v>
      </c>
      <c r="D54" s="528">
        <v>54718671</v>
      </c>
      <c r="E54" s="529">
        <v>60.556</v>
      </c>
      <c r="F54" s="530">
        <v>642.73</v>
      </c>
      <c r="G54" s="531">
        <f t="shared" si="6"/>
        <v>517.32</v>
      </c>
      <c r="H54" s="531">
        <f t="shared" si="8"/>
        <v>31326.82992</v>
      </c>
      <c r="I54" s="532">
        <v>39944.86</v>
      </c>
      <c r="J54" s="532">
        <f t="shared" si="7"/>
        <v>2418900.94216</v>
      </c>
      <c r="K54" s="47" t="s">
        <v>157</v>
      </c>
      <c r="L54" s="547" t="s">
        <v>158</v>
      </c>
      <c r="M54" s="348"/>
      <c r="N54" s="311"/>
      <c r="O54" s="321"/>
      <c r="P54" s="321"/>
      <c r="Q54" s="321"/>
      <c r="R54" s="322"/>
    </row>
    <row r="55" spans="1:18">
      <c r="A55" s="311">
        <f t="shared" si="9"/>
        <v>48</v>
      </c>
      <c r="B55" s="388">
        <v>46037</v>
      </c>
      <c r="C55" s="527">
        <v>9983128</v>
      </c>
      <c r="D55" s="528">
        <v>57097479</v>
      </c>
      <c r="E55" s="529">
        <v>59.955</v>
      </c>
      <c r="F55" s="530">
        <v>642.73</v>
      </c>
      <c r="G55" s="531">
        <f t="shared" si="6"/>
        <v>517.32</v>
      </c>
      <c r="H55" s="524">
        <f t="shared" si="8"/>
        <v>31015.9206</v>
      </c>
      <c r="I55" s="525">
        <v>39944.86</v>
      </c>
      <c r="J55" s="532">
        <f t="shared" si="7"/>
        <v>2394894.0813</v>
      </c>
      <c r="K55" s="47" t="s">
        <v>157</v>
      </c>
      <c r="L55" s="547" t="s">
        <v>158</v>
      </c>
      <c r="M55" s="348"/>
      <c r="N55" s="311"/>
      <c r="O55" s="321"/>
      <c r="P55" s="321"/>
      <c r="Q55" s="321"/>
      <c r="R55" s="322"/>
    </row>
    <row r="56" spans="1:18">
      <c r="A56" s="311">
        <f>A47+1</f>
        <v>51</v>
      </c>
      <c r="B56" s="388">
        <v>46037</v>
      </c>
      <c r="C56" s="527">
        <v>9983128</v>
      </c>
      <c r="D56" s="528">
        <v>57217176</v>
      </c>
      <c r="E56" s="529">
        <v>60.305</v>
      </c>
      <c r="F56" s="530">
        <v>642.73</v>
      </c>
      <c r="G56" s="531">
        <f t="shared" si="6"/>
        <v>517.32</v>
      </c>
      <c r="H56" s="531">
        <f t="shared" si="8"/>
        <v>31196.9826</v>
      </c>
      <c r="I56" s="532">
        <v>39944.86</v>
      </c>
      <c r="J56" s="532">
        <f t="shared" si="7"/>
        <v>2408874.7823</v>
      </c>
      <c r="K56" s="47" t="s">
        <v>157</v>
      </c>
      <c r="L56" s="547" t="s">
        <v>158</v>
      </c>
      <c r="M56" s="348"/>
      <c r="N56" s="311"/>
      <c r="O56" s="321"/>
      <c r="P56" s="321"/>
      <c r="Q56" s="321"/>
      <c r="R56" s="322"/>
    </row>
    <row r="57" spans="1:18">
      <c r="A57" s="311">
        <f t="shared" si="9"/>
        <v>52</v>
      </c>
      <c r="B57" s="388">
        <v>46037</v>
      </c>
      <c r="C57" s="527">
        <v>9983128</v>
      </c>
      <c r="D57" s="528">
        <v>57375396</v>
      </c>
      <c r="E57" s="529">
        <v>52.993</v>
      </c>
      <c r="F57" s="530">
        <v>642.73</v>
      </c>
      <c r="G57" s="531">
        <f t="shared" si="6"/>
        <v>517.32</v>
      </c>
      <c r="H57" s="524">
        <f t="shared" si="8"/>
        <v>27414.33876</v>
      </c>
      <c r="I57" s="525">
        <v>39944.86</v>
      </c>
      <c r="J57" s="532">
        <f t="shared" si="7"/>
        <v>2116797.96598</v>
      </c>
      <c r="K57" s="47" t="s">
        <v>157</v>
      </c>
      <c r="L57" s="547" t="s">
        <v>158</v>
      </c>
      <c r="M57" s="348"/>
      <c r="N57" s="311"/>
      <c r="O57" s="321"/>
      <c r="P57" s="321"/>
      <c r="Q57" s="321"/>
      <c r="R57" s="322"/>
    </row>
    <row r="58" spans="1:18">
      <c r="A58" s="311">
        <f t="shared" si="9"/>
        <v>53</v>
      </c>
      <c r="B58" s="388">
        <v>46037</v>
      </c>
      <c r="C58" s="527">
        <v>9983128</v>
      </c>
      <c r="D58" s="528">
        <v>74908682</v>
      </c>
      <c r="E58" s="529">
        <v>60.956</v>
      </c>
      <c r="F58" s="530">
        <v>642.73</v>
      </c>
      <c r="G58" s="531">
        <f t="shared" si="6"/>
        <v>517.32</v>
      </c>
      <c r="H58" s="531">
        <f t="shared" si="8"/>
        <v>31533.75792</v>
      </c>
      <c r="I58" s="532">
        <v>39944.86</v>
      </c>
      <c r="J58" s="532">
        <f t="shared" si="7"/>
        <v>2434878.88616</v>
      </c>
      <c r="K58" s="47" t="s">
        <v>157</v>
      </c>
      <c r="L58" s="547" t="s">
        <v>158</v>
      </c>
      <c r="M58" s="348"/>
      <c r="N58" s="311"/>
      <c r="O58" s="321"/>
      <c r="P58" s="321"/>
      <c r="Q58" s="321"/>
      <c r="R58" s="322"/>
    </row>
    <row r="59" spans="1:18">
      <c r="A59" s="311">
        <f t="shared" si="9"/>
        <v>54</v>
      </c>
      <c r="B59" s="388">
        <v>46037</v>
      </c>
      <c r="C59" s="527">
        <v>9983128</v>
      </c>
      <c r="D59" s="528">
        <v>75047423</v>
      </c>
      <c r="E59" s="529">
        <v>58.502</v>
      </c>
      <c r="F59" s="530">
        <v>642.73</v>
      </c>
      <c r="G59" s="531">
        <f t="shared" si="6"/>
        <v>517.32</v>
      </c>
      <c r="H59" s="524">
        <f t="shared" si="8"/>
        <v>30264.25464</v>
      </c>
      <c r="I59" s="525">
        <v>39944.86</v>
      </c>
      <c r="J59" s="532">
        <f t="shared" si="7"/>
        <v>2336854.19972</v>
      </c>
      <c r="K59" s="47" t="s">
        <v>157</v>
      </c>
      <c r="L59" s="547" t="s">
        <v>158</v>
      </c>
      <c r="M59" s="348"/>
      <c r="N59" s="311"/>
      <c r="O59" s="321"/>
      <c r="P59" s="321"/>
      <c r="Q59" s="321"/>
      <c r="R59" s="322"/>
    </row>
    <row r="60" spans="1:18">
      <c r="A60" s="323">
        <f t="shared" si="9"/>
        <v>55</v>
      </c>
      <c r="B60" s="418">
        <v>46037</v>
      </c>
      <c r="C60" s="538">
        <v>9983128</v>
      </c>
      <c r="D60" s="539">
        <v>75055889</v>
      </c>
      <c r="E60" s="540">
        <v>60.406</v>
      </c>
      <c r="F60" s="530">
        <v>642.73</v>
      </c>
      <c r="G60" s="548">
        <f t="shared" si="6"/>
        <v>517.32</v>
      </c>
      <c r="H60" s="531">
        <f t="shared" si="8"/>
        <v>31249.23192</v>
      </c>
      <c r="I60" s="532">
        <v>39944.86</v>
      </c>
      <c r="J60" s="549">
        <f t="shared" si="7"/>
        <v>2412909.21316</v>
      </c>
      <c r="K60" s="64" t="s">
        <v>157</v>
      </c>
      <c r="L60" s="550" t="s">
        <v>158</v>
      </c>
      <c r="M60" s="551"/>
      <c r="N60" s="332"/>
      <c r="O60" s="333"/>
      <c r="P60" s="333"/>
      <c r="Q60" s="333"/>
      <c r="R60" s="334"/>
    </row>
    <row r="61" spans="1:18">
      <c r="A61" s="378">
        <v>56</v>
      </c>
      <c r="B61" s="379">
        <v>46038</v>
      </c>
      <c r="C61" s="552">
        <v>9983148</v>
      </c>
      <c r="D61" s="553">
        <v>50214501</v>
      </c>
      <c r="E61" s="554">
        <v>57.05</v>
      </c>
      <c r="F61" s="530">
        <v>642.73</v>
      </c>
      <c r="G61" s="555">
        <f t="shared" ref="G61:G69" si="10">F61-125.41</f>
        <v>517.32</v>
      </c>
      <c r="H61" s="524">
        <f t="shared" si="8"/>
        <v>29513.106</v>
      </c>
      <c r="I61" s="525">
        <v>39944.86</v>
      </c>
      <c r="J61" s="556">
        <f t="shared" ref="J61:J69" si="11">E61*I61</f>
        <v>2278854.263</v>
      </c>
      <c r="K61" s="55" t="s">
        <v>157</v>
      </c>
      <c r="L61" s="547" t="s">
        <v>158</v>
      </c>
      <c r="M61" s="426"/>
      <c r="N61" s="378"/>
      <c r="O61" s="379">
        <v>46046</v>
      </c>
      <c r="P61" s="411">
        <v>56.491</v>
      </c>
      <c r="Q61" s="431">
        <f t="shared" ref="Q61:Q69" si="12">P61-E61</f>
        <v>-0.558999999999997</v>
      </c>
      <c r="R61" s="387"/>
    </row>
    <row r="62" spans="1:18">
      <c r="A62" s="311">
        <f>A61+1</f>
        <v>57</v>
      </c>
      <c r="B62" s="388">
        <v>46038</v>
      </c>
      <c r="C62" s="527">
        <v>9983148</v>
      </c>
      <c r="D62" s="528">
        <v>51102960</v>
      </c>
      <c r="E62" s="529">
        <v>58.252</v>
      </c>
      <c r="F62" s="530">
        <v>642.73</v>
      </c>
      <c r="G62" s="531">
        <f t="shared" si="10"/>
        <v>517.32</v>
      </c>
      <c r="H62" s="531">
        <f t="shared" si="8"/>
        <v>30134.92464</v>
      </c>
      <c r="I62" s="532">
        <v>39944.86</v>
      </c>
      <c r="J62" s="532">
        <f t="shared" si="11"/>
        <v>2326867.98472</v>
      </c>
      <c r="K62" s="47" t="s">
        <v>157</v>
      </c>
      <c r="L62" s="547" t="s">
        <v>158</v>
      </c>
      <c r="M62" s="389"/>
      <c r="N62" s="311"/>
      <c r="O62" s="388">
        <v>46046</v>
      </c>
      <c r="P62" s="321">
        <v>58.04</v>
      </c>
      <c r="Q62" s="313">
        <f t="shared" si="12"/>
        <v>-0.212000000000003</v>
      </c>
      <c r="R62" s="322"/>
    </row>
    <row r="63" spans="1:18">
      <c r="A63" s="311">
        <f t="shared" ref="A63:A69" si="13">A62+1</f>
        <v>58</v>
      </c>
      <c r="B63" s="388">
        <v>46038</v>
      </c>
      <c r="C63" s="527">
        <v>9983148</v>
      </c>
      <c r="D63" s="528">
        <v>51487684</v>
      </c>
      <c r="E63" s="529">
        <v>57.1</v>
      </c>
      <c r="F63" s="530">
        <v>642.73</v>
      </c>
      <c r="G63" s="531">
        <f t="shared" si="10"/>
        <v>517.32</v>
      </c>
      <c r="H63" s="524">
        <f t="shared" si="8"/>
        <v>29538.972</v>
      </c>
      <c r="I63" s="525">
        <v>39944.86</v>
      </c>
      <c r="J63" s="532">
        <f t="shared" si="11"/>
        <v>2280851.506</v>
      </c>
      <c r="K63" s="47" t="s">
        <v>157</v>
      </c>
      <c r="L63" s="547" t="s">
        <v>158</v>
      </c>
      <c r="M63" s="389"/>
      <c r="N63" s="311"/>
      <c r="O63" s="388">
        <v>46046</v>
      </c>
      <c r="P63" s="321">
        <v>57.077</v>
      </c>
      <c r="Q63" s="313">
        <f t="shared" si="12"/>
        <v>-0.0230000000000032</v>
      </c>
      <c r="R63" s="322"/>
    </row>
    <row r="64" spans="1:18">
      <c r="A64" s="311">
        <f t="shared" si="13"/>
        <v>59</v>
      </c>
      <c r="B64" s="388">
        <v>46038</v>
      </c>
      <c r="C64" s="527">
        <v>9983148</v>
      </c>
      <c r="D64" s="528">
        <v>54243886</v>
      </c>
      <c r="E64" s="529">
        <v>58.002</v>
      </c>
      <c r="F64" s="530">
        <v>642.73</v>
      </c>
      <c r="G64" s="531">
        <f t="shared" si="10"/>
        <v>517.32</v>
      </c>
      <c r="H64" s="531">
        <f t="shared" si="8"/>
        <v>30005.59464</v>
      </c>
      <c r="I64" s="532">
        <v>39944.86</v>
      </c>
      <c r="J64" s="532">
        <f t="shared" si="11"/>
        <v>2316881.76972</v>
      </c>
      <c r="K64" s="47" t="s">
        <v>157</v>
      </c>
      <c r="L64" s="547" t="s">
        <v>158</v>
      </c>
      <c r="M64" s="389"/>
      <c r="N64" s="311"/>
      <c r="O64" s="388">
        <v>46046</v>
      </c>
      <c r="P64" s="321">
        <v>57.451</v>
      </c>
      <c r="Q64" s="313">
        <f t="shared" si="12"/>
        <v>-0.551000000000002</v>
      </c>
      <c r="R64" s="322"/>
    </row>
    <row r="65" spans="1:18">
      <c r="A65" s="311">
        <f t="shared" si="13"/>
        <v>60</v>
      </c>
      <c r="B65" s="388">
        <v>46038</v>
      </c>
      <c r="C65" s="527">
        <v>9983148</v>
      </c>
      <c r="D65" s="528">
        <v>54245410</v>
      </c>
      <c r="E65" s="529">
        <v>59.755</v>
      </c>
      <c r="F65" s="530">
        <v>642.73</v>
      </c>
      <c r="G65" s="531">
        <f t="shared" si="10"/>
        <v>517.32</v>
      </c>
      <c r="H65" s="524">
        <f t="shared" si="8"/>
        <v>30912.4566</v>
      </c>
      <c r="I65" s="525">
        <v>39944.86</v>
      </c>
      <c r="J65" s="532">
        <f t="shared" si="11"/>
        <v>2386905.1093</v>
      </c>
      <c r="K65" s="47" t="s">
        <v>157</v>
      </c>
      <c r="L65" s="547" t="s">
        <v>158</v>
      </c>
      <c r="M65" s="389"/>
      <c r="N65" s="311"/>
      <c r="O65" s="388">
        <v>46046</v>
      </c>
      <c r="P65" s="321">
        <v>59.38</v>
      </c>
      <c r="Q65" s="313">
        <f t="shared" si="12"/>
        <v>-0.375</v>
      </c>
      <c r="R65" s="322"/>
    </row>
    <row r="66" spans="1:18">
      <c r="A66" s="311">
        <f t="shared" si="13"/>
        <v>61</v>
      </c>
      <c r="B66" s="388">
        <v>46038</v>
      </c>
      <c r="C66" s="527">
        <v>9983148</v>
      </c>
      <c r="D66" s="528">
        <v>54246749</v>
      </c>
      <c r="E66" s="529">
        <v>57.851</v>
      </c>
      <c r="F66" s="530">
        <v>642.73</v>
      </c>
      <c r="G66" s="531">
        <f t="shared" si="10"/>
        <v>517.32</v>
      </c>
      <c r="H66" s="531">
        <f t="shared" si="8"/>
        <v>29927.47932</v>
      </c>
      <c r="I66" s="532">
        <v>39944.86</v>
      </c>
      <c r="J66" s="532">
        <f t="shared" si="11"/>
        <v>2310850.09586</v>
      </c>
      <c r="K66" s="47" t="s">
        <v>157</v>
      </c>
      <c r="L66" s="547" t="s">
        <v>158</v>
      </c>
      <c r="M66" s="389"/>
      <c r="N66" s="311"/>
      <c r="O66" s="388">
        <v>46046</v>
      </c>
      <c r="P66" s="321">
        <v>57.029</v>
      </c>
      <c r="Q66" s="313">
        <f t="shared" si="12"/>
        <v>-0.821999999999996</v>
      </c>
      <c r="R66" s="322"/>
    </row>
    <row r="67" spans="1:18">
      <c r="A67" s="311">
        <f t="shared" si="13"/>
        <v>62</v>
      </c>
      <c r="B67" s="388">
        <v>46038</v>
      </c>
      <c r="C67" s="527">
        <v>9983148</v>
      </c>
      <c r="D67" s="528">
        <v>57399602</v>
      </c>
      <c r="E67" s="529">
        <v>57.25</v>
      </c>
      <c r="F67" s="530">
        <v>642.73</v>
      </c>
      <c r="G67" s="531">
        <f t="shared" si="10"/>
        <v>517.32</v>
      </c>
      <c r="H67" s="524">
        <f t="shared" si="8"/>
        <v>29616.57</v>
      </c>
      <c r="I67" s="525">
        <v>39944.86</v>
      </c>
      <c r="J67" s="532">
        <f t="shared" si="11"/>
        <v>2286843.235</v>
      </c>
      <c r="K67" s="47" t="s">
        <v>157</v>
      </c>
      <c r="L67" s="547" t="s">
        <v>158</v>
      </c>
      <c r="M67" s="389"/>
      <c r="N67" s="311"/>
      <c r="O67" s="388">
        <v>46046</v>
      </c>
      <c r="P67" s="321">
        <v>57.047</v>
      </c>
      <c r="Q67" s="313">
        <f t="shared" si="12"/>
        <v>-0.203000000000003</v>
      </c>
      <c r="R67" s="322"/>
    </row>
    <row r="68" spans="1:18">
      <c r="A68" s="311">
        <f t="shared" si="13"/>
        <v>63</v>
      </c>
      <c r="B68" s="388">
        <v>46038</v>
      </c>
      <c r="C68" s="527">
        <v>9983148</v>
      </c>
      <c r="D68" s="528">
        <v>57933889</v>
      </c>
      <c r="E68" s="529">
        <v>56.699</v>
      </c>
      <c r="F68" s="530">
        <v>642.73</v>
      </c>
      <c r="G68" s="531">
        <f t="shared" si="10"/>
        <v>517.32</v>
      </c>
      <c r="H68" s="531">
        <f t="shared" si="8"/>
        <v>29331.52668</v>
      </c>
      <c r="I68" s="532">
        <v>39944.86</v>
      </c>
      <c r="J68" s="532">
        <f t="shared" si="11"/>
        <v>2264833.61714</v>
      </c>
      <c r="K68" s="47" t="s">
        <v>157</v>
      </c>
      <c r="L68" s="547" t="s">
        <v>158</v>
      </c>
      <c r="M68" s="389"/>
      <c r="N68" s="311"/>
      <c r="O68" s="388">
        <v>46046</v>
      </c>
      <c r="P68" s="321">
        <v>56.214</v>
      </c>
      <c r="Q68" s="321">
        <f t="shared" si="12"/>
        <v>-0.484999999999999</v>
      </c>
      <c r="R68" s="322"/>
    </row>
    <row r="69" spans="1:18">
      <c r="A69" s="323">
        <f t="shared" si="13"/>
        <v>64</v>
      </c>
      <c r="B69" s="418">
        <v>46038</v>
      </c>
      <c r="C69" s="538">
        <v>9983148</v>
      </c>
      <c r="D69" s="539">
        <v>58348848</v>
      </c>
      <c r="E69" s="540">
        <v>58.352</v>
      </c>
      <c r="F69" s="530">
        <v>642.73</v>
      </c>
      <c r="G69" s="548">
        <f t="shared" si="10"/>
        <v>517.32</v>
      </c>
      <c r="H69" s="524">
        <f t="shared" si="8"/>
        <v>30186.65664</v>
      </c>
      <c r="I69" s="525">
        <v>39944.86</v>
      </c>
      <c r="J69" s="549">
        <f t="shared" si="11"/>
        <v>2330862.47072</v>
      </c>
      <c r="K69" s="64" t="s">
        <v>157</v>
      </c>
      <c r="L69" s="550" t="s">
        <v>158</v>
      </c>
      <c r="M69" s="399"/>
      <c r="N69" s="332"/>
      <c r="O69" s="396">
        <v>46046</v>
      </c>
      <c r="P69" s="333">
        <v>57.866</v>
      </c>
      <c r="Q69" s="353">
        <f t="shared" si="12"/>
        <v>-0.485999999999997</v>
      </c>
      <c r="R69" s="334"/>
    </row>
    <row r="70" spans="1:18">
      <c r="A70" s="378">
        <v>65</v>
      </c>
      <c r="B70" s="379">
        <v>46039</v>
      </c>
      <c r="C70" s="552">
        <v>9983157</v>
      </c>
      <c r="D70" s="553">
        <v>54046461</v>
      </c>
      <c r="E70" s="554">
        <v>60.908</v>
      </c>
      <c r="F70" s="530">
        <v>642.73</v>
      </c>
      <c r="G70" s="555">
        <f t="shared" ref="G70:G72" si="14">F70-125.41</f>
        <v>517.32</v>
      </c>
      <c r="H70" s="531">
        <f t="shared" si="8"/>
        <v>31508.92656</v>
      </c>
      <c r="I70" s="532">
        <v>39944.86</v>
      </c>
      <c r="J70" s="556">
        <f t="shared" ref="J70:J72" si="15">E70*I70</f>
        <v>2432961.53288</v>
      </c>
      <c r="K70" s="55" t="s">
        <v>157</v>
      </c>
      <c r="L70" s="547" t="s">
        <v>158</v>
      </c>
      <c r="M70" s="426"/>
      <c r="N70" s="300"/>
      <c r="O70" s="424">
        <v>46050</v>
      </c>
      <c r="P70" s="309">
        <v>60.707</v>
      </c>
      <c r="Q70" s="321">
        <f>P70-E70</f>
        <v>-0.201000000000001</v>
      </c>
      <c r="R70" s="310"/>
    </row>
    <row r="71" spans="1:18">
      <c r="A71" s="311">
        <f>A70+1</f>
        <v>66</v>
      </c>
      <c r="B71" s="388">
        <v>46039</v>
      </c>
      <c r="C71" s="527">
        <v>9983157</v>
      </c>
      <c r="D71" s="528">
        <v>54720743</v>
      </c>
      <c r="E71" s="529">
        <v>60.106</v>
      </c>
      <c r="F71" s="530">
        <v>642.73</v>
      </c>
      <c r="G71" s="531">
        <f t="shared" si="14"/>
        <v>517.32</v>
      </c>
      <c r="H71" s="524">
        <f t="shared" ref="H71:H102" si="16">E71*G71</f>
        <v>31094.03592</v>
      </c>
      <c r="I71" s="525">
        <v>39944.86</v>
      </c>
      <c r="J71" s="532">
        <f t="shared" si="15"/>
        <v>2400925.75516</v>
      </c>
      <c r="K71" s="47" t="s">
        <v>157</v>
      </c>
      <c r="L71" s="547" t="s">
        <v>158</v>
      </c>
      <c r="M71" s="389"/>
      <c r="N71" s="311"/>
      <c r="O71" s="379">
        <v>46050</v>
      </c>
      <c r="P71" s="321">
        <v>60.39</v>
      </c>
      <c r="Q71" s="321">
        <f>P71-E71</f>
        <v>0.283999999999999</v>
      </c>
      <c r="R71" s="322"/>
    </row>
    <row r="72" spans="1:18">
      <c r="A72" s="332">
        <f>A71+1</f>
        <v>67</v>
      </c>
      <c r="B72" s="396">
        <v>46039</v>
      </c>
      <c r="C72" s="533">
        <v>9983157</v>
      </c>
      <c r="D72" s="534">
        <v>57096679</v>
      </c>
      <c r="E72" s="535">
        <v>58.303</v>
      </c>
      <c r="F72" s="530">
        <v>642.73</v>
      </c>
      <c r="G72" s="557">
        <f t="shared" si="14"/>
        <v>517.32</v>
      </c>
      <c r="H72" s="531">
        <f t="shared" si="16"/>
        <v>30161.30796</v>
      </c>
      <c r="I72" s="532">
        <v>39944.86</v>
      </c>
      <c r="J72" s="558">
        <f t="shared" si="15"/>
        <v>2328905.17258</v>
      </c>
      <c r="K72" s="115" t="s">
        <v>157</v>
      </c>
      <c r="L72" s="559" t="s">
        <v>158</v>
      </c>
      <c r="M72" s="399"/>
      <c r="N72" s="332"/>
      <c r="O72" s="379">
        <v>46050</v>
      </c>
      <c r="P72" s="333">
        <v>58.688</v>
      </c>
      <c r="Q72" s="333">
        <f>P72-E72</f>
        <v>0.385000000000005</v>
      </c>
      <c r="R72" s="334"/>
    </row>
    <row r="73" spans="1:18">
      <c r="A73" s="300">
        <v>68</v>
      </c>
      <c r="B73" s="424">
        <v>46040</v>
      </c>
      <c r="C73" s="520">
        <v>9983174</v>
      </c>
      <c r="D73" s="521">
        <v>50197193</v>
      </c>
      <c r="E73" s="522">
        <v>58.903</v>
      </c>
      <c r="F73" s="530">
        <v>642.73</v>
      </c>
      <c r="G73" s="541">
        <f t="shared" ref="G73:G82" si="17">F73-125.41</f>
        <v>517.32</v>
      </c>
      <c r="H73" s="524">
        <f t="shared" si="16"/>
        <v>30471.69996</v>
      </c>
      <c r="I73" s="525">
        <v>39944.86</v>
      </c>
      <c r="J73" s="542">
        <f t="shared" ref="J73:J82" si="18">E73*I73</f>
        <v>2352872.08858</v>
      </c>
      <c r="K73" s="34" t="s">
        <v>157</v>
      </c>
      <c r="L73" s="545" t="s">
        <v>158</v>
      </c>
      <c r="M73" s="426"/>
      <c r="N73" s="300"/>
      <c r="O73" s="309"/>
      <c r="P73" s="309"/>
      <c r="Q73" s="309"/>
      <c r="R73" s="310"/>
    </row>
    <row r="74" spans="1:18">
      <c r="A74" s="311">
        <f>A73+1</f>
        <v>69</v>
      </c>
      <c r="B74" s="379">
        <v>46040</v>
      </c>
      <c r="C74" s="527">
        <v>9983174</v>
      </c>
      <c r="D74" s="528">
        <v>50309152</v>
      </c>
      <c r="E74" s="529">
        <v>60.957</v>
      </c>
      <c r="F74" s="530">
        <v>642.73</v>
      </c>
      <c r="G74" s="531">
        <f t="shared" si="17"/>
        <v>517.32</v>
      </c>
      <c r="H74" s="531">
        <f t="shared" si="16"/>
        <v>31534.27524</v>
      </c>
      <c r="I74" s="532">
        <v>39944.86</v>
      </c>
      <c r="J74" s="532">
        <f t="shared" si="18"/>
        <v>2434918.83102</v>
      </c>
      <c r="K74" s="47" t="s">
        <v>157</v>
      </c>
      <c r="L74" s="547" t="s">
        <v>158</v>
      </c>
      <c r="M74" s="389"/>
      <c r="N74" s="311"/>
      <c r="O74" s="321"/>
      <c r="P74" s="321"/>
      <c r="Q74" s="321"/>
      <c r="R74" s="322"/>
    </row>
    <row r="75" spans="1:18">
      <c r="A75" s="311">
        <f t="shared" ref="A75:A82" si="19">A74+1</f>
        <v>70</v>
      </c>
      <c r="B75" s="379">
        <v>46040</v>
      </c>
      <c r="C75" s="527">
        <v>9983174</v>
      </c>
      <c r="D75" s="528">
        <v>51104065</v>
      </c>
      <c r="E75" s="529">
        <v>59.404</v>
      </c>
      <c r="F75" s="530">
        <v>642.73</v>
      </c>
      <c r="G75" s="531">
        <f t="shared" si="17"/>
        <v>517.32</v>
      </c>
      <c r="H75" s="524">
        <f t="shared" si="16"/>
        <v>30730.87728</v>
      </c>
      <c r="I75" s="525">
        <v>39944.86</v>
      </c>
      <c r="J75" s="532">
        <f t="shared" si="18"/>
        <v>2372884.46344</v>
      </c>
      <c r="K75" s="47" t="s">
        <v>157</v>
      </c>
      <c r="L75" s="547" t="s">
        <v>158</v>
      </c>
      <c r="M75" s="389"/>
      <c r="N75" s="311"/>
      <c r="O75" s="321"/>
      <c r="P75" s="321"/>
      <c r="Q75" s="321"/>
      <c r="R75" s="322"/>
    </row>
    <row r="76" spans="1:18">
      <c r="A76" s="311">
        <f t="shared" si="19"/>
        <v>71</v>
      </c>
      <c r="B76" s="379">
        <v>46040</v>
      </c>
      <c r="C76" s="527">
        <v>9983174</v>
      </c>
      <c r="D76" s="528">
        <v>54246400</v>
      </c>
      <c r="E76" s="529">
        <v>59.003</v>
      </c>
      <c r="F76" s="530">
        <v>642.73</v>
      </c>
      <c r="G76" s="531">
        <f t="shared" si="17"/>
        <v>517.32</v>
      </c>
      <c r="H76" s="531">
        <f t="shared" si="16"/>
        <v>30523.43196</v>
      </c>
      <c r="I76" s="532">
        <v>39944.86</v>
      </c>
      <c r="J76" s="532">
        <f t="shared" si="18"/>
        <v>2356866.57458</v>
      </c>
      <c r="K76" s="47" t="s">
        <v>157</v>
      </c>
      <c r="L76" s="547" t="s">
        <v>158</v>
      </c>
      <c r="M76" s="389"/>
      <c r="N76" s="311"/>
      <c r="O76" s="321"/>
      <c r="P76" s="321"/>
      <c r="Q76" s="321"/>
      <c r="R76" s="322"/>
    </row>
    <row r="77" spans="1:18">
      <c r="A77" s="311">
        <f t="shared" si="19"/>
        <v>72</v>
      </c>
      <c r="B77" s="379">
        <v>46040</v>
      </c>
      <c r="C77" s="527">
        <v>9983174</v>
      </c>
      <c r="D77" s="528">
        <v>54757802</v>
      </c>
      <c r="E77" s="529">
        <v>58.653</v>
      </c>
      <c r="F77" s="530">
        <v>642.73</v>
      </c>
      <c r="G77" s="531">
        <f t="shared" si="17"/>
        <v>517.32</v>
      </c>
      <c r="H77" s="524">
        <f t="shared" si="16"/>
        <v>30342.36996</v>
      </c>
      <c r="I77" s="525">
        <v>39944.86</v>
      </c>
      <c r="J77" s="532">
        <f t="shared" si="18"/>
        <v>2342885.87358</v>
      </c>
      <c r="K77" s="47" t="s">
        <v>157</v>
      </c>
      <c r="L77" s="547" t="s">
        <v>158</v>
      </c>
      <c r="M77" s="389"/>
      <c r="N77" s="311"/>
      <c r="O77" s="321"/>
      <c r="P77" s="321"/>
      <c r="Q77" s="321"/>
      <c r="R77" s="322"/>
    </row>
    <row r="78" spans="1:18">
      <c r="A78" s="311">
        <f t="shared" si="19"/>
        <v>73</v>
      </c>
      <c r="B78" s="379">
        <v>46040</v>
      </c>
      <c r="C78" s="527">
        <v>9983174</v>
      </c>
      <c r="D78" s="528">
        <v>57044877</v>
      </c>
      <c r="E78" s="529">
        <v>60.105</v>
      </c>
      <c r="F78" s="530">
        <v>642.73</v>
      </c>
      <c r="G78" s="531">
        <f t="shared" si="17"/>
        <v>517.32</v>
      </c>
      <c r="H78" s="531">
        <f t="shared" si="16"/>
        <v>31093.5186</v>
      </c>
      <c r="I78" s="532">
        <v>39944.86</v>
      </c>
      <c r="J78" s="532">
        <f t="shared" si="18"/>
        <v>2400885.8103</v>
      </c>
      <c r="K78" s="47" t="s">
        <v>157</v>
      </c>
      <c r="L78" s="547" t="s">
        <v>158</v>
      </c>
      <c r="M78" s="389"/>
      <c r="N78" s="311"/>
      <c r="O78" s="321"/>
      <c r="P78" s="321"/>
      <c r="Q78" s="321"/>
      <c r="R78" s="322"/>
    </row>
    <row r="79" spans="1:18">
      <c r="A79" s="311">
        <f t="shared" si="19"/>
        <v>74</v>
      </c>
      <c r="B79" s="379">
        <v>46040</v>
      </c>
      <c r="C79" s="527">
        <v>9983174</v>
      </c>
      <c r="D79" s="528">
        <v>57044901</v>
      </c>
      <c r="E79" s="529">
        <v>59.604</v>
      </c>
      <c r="F79" s="530">
        <v>642.73</v>
      </c>
      <c r="G79" s="531">
        <f t="shared" si="17"/>
        <v>517.32</v>
      </c>
      <c r="H79" s="524">
        <f t="shared" si="16"/>
        <v>30834.34128</v>
      </c>
      <c r="I79" s="525">
        <v>39944.86</v>
      </c>
      <c r="J79" s="532">
        <f t="shared" si="18"/>
        <v>2380873.43544</v>
      </c>
      <c r="K79" s="47" t="s">
        <v>157</v>
      </c>
      <c r="L79" s="547" t="s">
        <v>158</v>
      </c>
      <c r="M79" s="389"/>
      <c r="N79" s="311"/>
      <c r="O79" s="321"/>
      <c r="P79" s="321"/>
      <c r="Q79" s="321"/>
      <c r="R79" s="322"/>
    </row>
    <row r="80" spans="1:18">
      <c r="A80" s="311">
        <f t="shared" si="19"/>
        <v>75</v>
      </c>
      <c r="B80" s="379">
        <v>46040</v>
      </c>
      <c r="C80" s="527">
        <v>9983174</v>
      </c>
      <c r="D80" s="528">
        <v>57131252</v>
      </c>
      <c r="E80" s="529">
        <v>60.506</v>
      </c>
      <c r="F80" s="530">
        <v>642.73</v>
      </c>
      <c r="G80" s="531">
        <f t="shared" si="17"/>
        <v>517.32</v>
      </c>
      <c r="H80" s="531">
        <f t="shared" si="16"/>
        <v>31300.96392</v>
      </c>
      <c r="I80" s="532">
        <v>39944.86</v>
      </c>
      <c r="J80" s="532">
        <f t="shared" si="18"/>
        <v>2416903.69916</v>
      </c>
      <c r="K80" s="47" t="s">
        <v>157</v>
      </c>
      <c r="L80" s="547" t="s">
        <v>158</v>
      </c>
      <c r="M80" s="389"/>
      <c r="N80" s="311"/>
      <c r="O80" s="321"/>
      <c r="P80" s="321"/>
      <c r="Q80" s="321"/>
      <c r="R80" s="322"/>
    </row>
    <row r="81" spans="1:18">
      <c r="A81" s="311">
        <f t="shared" si="19"/>
        <v>76</v>
      </c>
      <c r="B81" s="379">
        <v>46040</v>
      </c>
      <c r="C81" s="527">
        <v>9983174</v>
      </c>
      <c r="D81" s="528">
        <v>74943515</v>
      </c>
      <c r="E81" s="529">
        <v>58.603</v>
      </c>
      <c r="F81" s="530">
        <v>642.73</v>
      </c>
      <c r="G81" s="531">
        <f t="shared" si="17"/>
        <v>517.32</v>
      </c>
      <c r="H81" s="524">
        <f t="shared" si="16"/>
        <v>30316.50396</v>
      </c>
      <c r="I81" s="525">
        <v>39944.86</v>
      </c>
      <c r="J81" s="532">
        <f t="shared" si="18"/>
        <v>2340888.63058</v>
      </c>
      <c r="K81" s="47" t="s">
        <v>157</v>
      </c>
      <c r="L81" s="547" t="s">
        <v>158</v>
      </c>
      <c r="M81" s="389"/>
      <c r="N81" s="311"/>
      <c r="O81" s="388">
        <v>46050</v>
      </c>
      <c r="P81" s="321">
        <v>58.542</v>
      </c>
      <c r="Q81" s="321">
        <f t="shared" ref="Q81:Q82" si="20">P81-E81</f>
        <v>-0.0609999999999999</v>
      </c>
      <c r="R81" s="322"/>
    </row>
    <row r="82" spans="1:18">
      <c r="A82" s="323">
        <f t="shared" si="19"/>
        <v>77</v>
      </c>
      <c r="B82" s="439">
        <v>46040</v>
      </c>
      <c r="C82" s="538">
        <v>9983174</v>
      </c>
      <c r="D82" s="539">
        <v>75000174</v>
      </c>
      <c r="E82" s="540">
        <v>58.953</v>
      </c>
      <c r="F82" s="530">
        <v>642.73</v>
      </c>
      <c r="G82" s="548">
        <f t="shared" si="17"/>
        <v>517.32</v>
      </c>
      <c r="H82" s="531">
        <f t="shared" si="16"/>
        <v>30497.56596</v>
      </c>
      <c r="I82" s="532">
        <v>39944.86</v>
      </c>
      <c r="J82" s="549">
        <f t="shared" si="18"/>
        <v>2354869.33158</v>
      </c>
      <c r="K82" s="64" t="s">
        <v>157</v>
      </c>
      <c r="L82" s="550" t="s">
        <v>158</v>
      </c>
      <c r="M82" s="399"/>
      <c r="N82" s="332"/>
      <c r="O82" s="396">
        <v>46050</v>
      </c>
      <c r="P82" s="333">
        <v>58.136</v>
      </c>
      <c r="Q82" s="321">
        <f t="shared" si="20"/>
        <v>-0.817</v>
      </c>
      <c r="R82" s="334"/>
    </row>
    <row r="83" spans="1:18">
      <c r="A83" s="378">
        <v>78</v>
      </c>
      <c r="B83" s="439">
        <v>46042</v>
      </c>
      <c r="C83" s="552">
        <v>9983191</v>
      </c>
      <c r="D83" s="553">
        <v>50273945</v>
      </c>
      <c r="E83" s="554">
        <v>57.649</v>
      </c>
      <c r="F83" s="530">
        <v>642.73</v>
      </c>
      <c r="G83" s="555">
        <f t="shared" ref="G83:G98" si="21">F83-125.41</f>
        <v>517.32</v>
      </c>
      <c r="H83" s="524">
        <f t="shared" si="16"/>
        <v>29822.98068</v>
      </c>
      <c r="I83" s="525">
        <v>39944.86</v>
      </c>
      <c r="J83" s="556">
        <f t="shared" ref="J83:J98" si="22">E83*I83</f>
        <v>2302781.23414</v>
      </c>
      <c r="K83" s="55" t="s">
        <v>157</v>
      </c>
      <c r="L83" s="547" t="s">
        <v>158</v>
      </c>
      <c r="M83" s="426"/>
      <c r="N83" s="300"/>
      <c r="O83" s="309"/>
      <c r="P83" s="309"/>
      <c r="Q83" s="309"/>
      <c r="R83" s="310"/>
    </row>
    <row r="84" spans="1:18">
      <c r="A84" s="311">
        <f>A83+1</f>
        <v>79</v>
      </c>
      <c r="B84" s="388">
        <v>46042</v>
      </c>
      <c r="C84" s="560">
        <v>9983191</v>
      </c>
      <c r="D84" s="528">
        <v>51182186</v>
      </c>
      <c r="E84" s="529">
        <v>58.751</v>
      </c>
      <c r="F84" s="530">
        <v>642.73</v>
      </c>
      <c r="G84" s="531">
        <f t="shared" si="21"/>
        <v>517.32</v>
      </c>
      <c r="H84" s="531">
        <f t="shared" si="16"/>
        <v>30393.06732</v>
      </c>
      <c r="I84" s="532">
        <v>39944.86</v>
      </c>
      <c r="J84" s="532">
        <f t="shared" si="22"/>
        <v>2346800.46986</v>
      </c>
      <c r="K84" s="47" t="s">
        <v>157</v>
      </c>
      <c r="L84" s="547" t="s">
        <v>158</v>
      </c>
      <c r="M84" s="389"/>
      <c r="N84" s="311"/>
      <c r="O84" s="321"/>
      <c r="P84" s="321"/>
      <c r="Q84" s="321"/>
      <c r="R84" s="322"/>
    </row>
    <row r="85" spans="1:18">
      <c r="A85" s="311">
        <f t="shared" ref="A85:A98" si="23">A84+1</f>
        <v>80</v>
      </c>
      <c r="B85" s="388">
        <v>46042</v>
      </c>
      <c r="C85" s="560">
        <v>9983191</v>
      </c>
      <c r="D85" s="528">
        <v>51227460</v>
      </c>
      <c r="E85" s="529">
        <v>58.351</v>
      </c>
      <c r="F85" s="530">
        <v>642.73</v>
      </c>
      <c r="G85" s="531">
        <f t="shared" si="21"/>
        <v>517.32</v>
      </c>
      <c r="H85" s="524">
        <f t="shared" si="16"/>
        <v>30186.13932</v>
      </c>
      <c r="I85" s="525">
        <v>39944.86</v>
      </c>
      <c r="J85" s="532">
        <f t="shared" si="22"/>
        <v>2330822.52586</v>
      </c>
      <c r="K85" s="47" t="s">
        <v>157</v>
      </c>
      <c r="L85" s="547" t="s">
        <v>158</v>
      </c>
      <c r="M85" s="389"/>
      <c r="N85" s="311"/>
      <c r="O85" s="321"/>
      <c r="P85" s="321"/>
      <c r="Q85" s="321"/>
      <c r="R85" s="322"/>
    </row>
    <row r="86" spans="1:18">
      <c r="A86" s="311">
        <f t="shared" si="23"/>
        <v>81</v>
      </c>
      <c r="B86" s="388">
        <v>46042</v>
      </c>
      <c r="C86" s="560">
        <v>9983191</v>
      </c>
      <c r="D86" s="528">
        <v>51689214</v>
      </c>
      <c r="E86" s="529">
        <v>60.054</v>
      </c>
      <c r="F86" s="530">
        <v>642.73</v>
      </c>
      <c r="G86" s="531">
        <f t="shared" si="21"/>
        <v>517.32</v>
      </c>
      <c r="H86" s="531">
        <f t="shared" si="16"/>
        <v>31067.13528</v>
      </c>
      <c r="I86" s="532">
        <v>39944.86</v>
      </c>
      <c r="J86" s="532">
        <f t="shared" si="22"/>
        <v>2398848.62244</v>
      </c>
      <c r="K86" s="47" t="s">
        <v>157</v>
      </c>
      <c r="L86" s="547" t="s">
        <v>158</v>
      </c>
      <c r="M86" s="389"/>
      <c r="N86" s="311"/>
      <c r="O86" s="321"/>
      <c r="P86" s="321"/>
      <c r="Q86" s="321"/>
      <c r="R86" s="322"/>
    </row>
    <row r="87" spans="1:18">
      <c r="A87" s="311">
        <f t="shared" si="23"/>
        <v>82</v>
      </c>
      <c r="B87" s="388">
        <v>46042</v>
      </c>
      <c r="C87" s="560">
        <v>9983191</v>
      </c>
      <c r="D87" s="528">
        <v>51847218</v>
      </c>
      <c r="E87" s="529">
        <v>59.352</v>
      </c>
      <c r="F87" s="530">
        <v>642.73</v>
      </c>
      <c r="G87" s="531">
        <f t="shared" si="21"/>
        <v>517.32</v>
      </c>
      <c r="H87" s="524">
        <f t="shared" si="16"/>
        <v>30703.97664</v>
      </c>
      <c r="I87" s="525">
        <v>39944.86</v>
      </c>
      <c r="J87" s="532">
        <f t="shared" si="22"/>
        <v>2370807.33072</v>
      </c>
      <c r="K87" s="47" t="s">
        <v>157</v>
      </c>
      <c r="L87" s="547" t="s">
        <v>158</v>
      </c>
      <c r="M87" s="389"/>
      <c r="N87" s="311"/>
      <c r="O87" s="321"/>
      <c r="P87" s="321"/>
      <c r="Q87" s="321"/>
      <c r="R87" s="322"/>
    </row>
    <row r="88" spans="1:18">
      <c r="A88" s="311">
        <f t="shared" si="23"/>
        <v>83</v>
      </c>
      <c r="B88" s="388">
        <v>46042</v>
      </c>
      <c r="C88" s="560">
        <v>9983191</v>
      </c>
      <c r="D88" s="528">
        <v>54068341</v>
      </c>
      <c r="E88" s="529">
        <v>59.302</v>
      </c>
      <c r="F88" s="530">
        <v>642.73</v>
      </c>
      <c r="G88" s="531">
        <f t="shared" si="21"/>
        <v>517.32</v>
      </c>
      <c r="H88" s="531">
        <f t="shared" si="16"/>
        <v>30678.11064</v>
      </c>
      <c r="I88" s="532">
        <v>39944.86</v>
      </c>
      <c r="J88" s="532">
        <f t="shared" si="22"/>
        <v>2368810.08772</v>
      </c>
      <c r="K88" s="47" t="s">
        <v>157</v>
      </c>
      <c r="L88" s="547" t="s">
        <v>158</v>
      </c>
      <c r="M88" s="389"/>
      <c r="N88" s="311"/>
      <c r="O88" s="321"/>
      <c r="P88" s="321"/>
      <c r="Q88" s="321"/>
      <c r="R88" s="322"/>
    </row>
    <row r="89" spans="1:18">
      <c r="A89" s="311">
        <f t="shared" si="23"/>
        <v>84</v>
      </c>
      <c r="B89" s="388">
        <v>46042</v>
      </c>
      <c r="C89" s="560">
        <v>9983191</v>
      </c>
      <c r="D89" s="528">
        <v>54246426</v>
      </c>
      <c r="E89" s="529">
        <v>59.753</v>
      </c>
      <c r="F89" s="530">
        <v>642.73</v>
      </c>
      <c r="G89" s="531">
        <f t="shared" si="21"/>
        <v>517.32</v>
      </c>
      <c r="H89" s="524">
        <f t="shared" si="16"/>
        <v>30911.42196</v>
      </c>
      <c r="I89" s="525">
        <v>39944.86</v>
      </c>
      <c r="J89" s="532">
        <f t="shared" si="22"/>
        <v>2386825.21958</v>
      </c>
      <c r="K89" s="47" t="s">
        <v>157</v>
      </c>
      <c r="L89" s="547" t="s">
        <v>158</v>
      </c>
      <c r="M89" s="389"/>
      <c r="N89" s="311"/>
      <c r="O89" s="321"/>
      <c r="P89" s="321"/>
      <c r="Q89" s="321"/>
      <c r="R89" s="322"/>
    </row>
    <row r="90" spans="1:18">
      <c r="A90" s="311">
        <f t="shared" si="23"/>
        <v>85</v>
      </c>
      <c r="B90" s="388">
        <v>46042</v>
      </c>
      <c r="C90" s="560">
        <v>9983191</v>
      </c>
      <c r="D90" s="528">
        <v>54246905</v>
      </c>
      <c r="E90" s="529">
        <v>59.803</v>
      </c>
      <c r="F90" s="530">
        <v>642.73</v>
      </c>
      <c r="G90" s="531">
        <f t="shared" si="21"/>
        <v>517.32</v>
      </c>
      <c r="H90" s="531">
        <f t="shared" si="16"/>
        <v>30937.28796</v>
      </c>
      <c r="I90" s="532">
        <v>39944.86</v>
      </c>
      <c r="J90" s="532">
        <f t="shared" si="22"/>
        <v>2388822.46258</v>
      </c>
      <c r="K90" s="47" t="s">
        <v>157</v>
      </c>
      <c r="L90" s="547" t="s">
        <v>158</v>
      </c>
      <c r="M90" s="389"/>
      <c r="N90" s="311"/>
      <c r="O90" s="321"/>
      <c r="P90" s="321"/>
      <c r="Q90" s="321"/>
      <c r="R90" s="322"/>
    </row>
    <row r="91" spans="1:18">
      <c r="A91" s="311">
        <f t="shared" si="23"/>
        <v>86</v>
      </c>
      <c r="B91" s="388">
        <v>46042</v>
      </c>
      <c r="C91" s="560">
        <v>9983191</v>
      </c>
      <c r="D91" s="528">
        <v>54641725</v>
      </c>
      <c r="E91" s="529">
        <v>58</v>
      </c>
      <c r="F91" s="530">
        <v>642.73</v>
      </c>
      <c r="G91" s="531">
        <f t="shared" si="21"/>
        <v>517.32</v>
      </c>
      <c r="H91" s="524">
        <f t="shared" si="16"/>
        <v>30004.56</v>
      </c>
      <c r="I91" s="525">
        <v>39944.86</v>
      </c>
      <c r="J91" s="532">
        <f t="shared" si="22"/>
        <v>2316801.88</v>
      </c>
      <c r="K91" s="47" t="s">
        <v>157</v>
      </c>
      <c r="L91" s="547" t="s">
        <v>158</v>
      </c>
      <c r="M91" s="389"/>
      <c r="N91" s="311"/>
      <c r="O91" s="321"/>
      <c r="P91" s="321"/>
      <c r="Q91" s="321"/>
      <c r="R91" s="322"/>
    </row>
    <row r="92" spans="1:18">
      <c r="A92" s="311">
        <f t="shared" si="23"/>
        <v>87</v>
      </c>
      <c r="B92" s="388">
        <v>46042</v>
      </c>
      <c r="C92" s="560">
        <v>9983191</v>
      </c>
      <c r="D92" s="528">
        <v>54643523</v>
      </c>
      <c r="E92" s="529">
        <v>59.102</v>
      </c>
      <c r="F92" s="530">
        <v>642.73</v>
      </c>
      <c r="G92" s="531">
        <f t="shared" si="21"/>
        <v>517.32</v>
      </c>
      <c r="H92" s="531">
        <f t="shared" si="16"/>
        <v>30574.64664</v>
      </c>
      <c r="I92" s="532">
        <v>39944.86</v>
      </c>
      <c r="J92" s="532">
        <f t="shared" si="22"/>
        <v>2360821.11572</v>
      </c>
      <c r="K92" s="47" t="s">
        <v>157</v>
      </c>
      <c r="L92" s="547" t="s">
        <v>158</v>
      </c>
      <c r="M92" s="389"/>
      <c r="N92" s="311"/>
      <c r="O92" s="321"/>
      <c r="P92" s="321"/>
      <c r="Q92" s="321"/>
      <c r="R92" s="322"/>
    </row>
    <row r="93" spans="1:18">
      <c r="A93" s="311">
        <f t="shared" si="23"/>
        <v>88</v>
      </c>
      <c r="B93" s="388">
        <v>46042</v>
      </c>
      <c r="C93" s="560">
        <v>9983191</v>
      </c>
      <c r="D93" s="528">
        <v>55694657</v>
      </c>
      <c r="E93" s="529">
        <v>59.202</v>
      </c>
      <c r="F93" s="530">
        <v>642.73</v>
      </c>
      <c r="G93" s="531">
        <f t="shared" si="21"/>
        <v>517.32</v>
      </c>
      <c r="H93" s="524">
        <f t="shared" si="16"/>
        <v>30626.37864</v>
      </c>
      <c r="I93" s="525">
        <v>39944.86</v>
      </c>
      <c r="J93" s="532">
        <f t="shared" si="22"/>
        <v>2364815.60172</v>
      </c>
      <c r="K93" s="47" t="s">
        <v>157</v>
      </c>
      <c r="L93" s="547" t="s">
        <v>158</v>
      </c>
      <c r="M93" s="389"/>
      <c r="N93" s="311"/>
      <c r="O93" s="321"/>
      <c r="P93" s="321"/>
      <c r="Q93" s="321"/>
      <c r="R93" s="322"/>
    </row>
    <row r="94" spans="1:18">
      <c r="A94" s="311">
        <f t="shared" si="23"/>
        <v>89</v>
      </c>
      <c r="B94" s="388">
        <v>46042</v>
      </c>
      <c r="C94" s="560">
        <v>9983191</v>
      </c>
      <c r="D94" s="528">
        <v>57045361</v>
      </c>
      <c r="E94" s="529">
        <v>58.651</v>
      </c>
      <c r="F94" s="530">
        <v>642.73</v>
      </c>
      <c r="G94" s="531">
        <f t="shared" si="21"/>
        <v>517.32</v>
      </c>
      <c r="H94" s="531">
        <f t="shared" si="16"/>
        <v>30341.33532</v>
      </c>
      <c r="I94" s="532">
        <v>39944.86</v>
      </c>
      <c r="J94" s="532">
        <f t="shared" si="22"/>
        <v>2342805.98386</v>
      </c>
      <c r="K94" s="47" t="s">
        <v>157</v>
      </c>
      <c r="L94" s="547" t="s">
        <v>158</v>
      </c>
      <c r="M94" s="389"/>
      <c r="N94" s="311"/>
      <c r="O94" s="321"/>
      <c r="P94" s="321"/>
      <c r="Q94" s="321"/>
      <c r="R94" s="322"/>
    </row>
    <row r="95" spans="1:18">
      <c r="A95" s="311">
        <f t="shared" si="23"/>
        <v>90</v>
      </c>
      <c r="B95" s="388">
        <v>46042</v>
      </c>
      <c r="C95" s="560">
        <v>9983191</v>
      </c>
      <c r="D95" s="528">
        <v>73142523</v>
      </c>
      <c r="E95" s="529">
        <v>59.703</v>
      </c>
      <c r="F95" s="530">
        <v>642.73</v>
      </c>
      <c r="G95" s="531">
        <f t="shared" si="21"/>
        <v>517.32</v>
      </c>
      <c r="H95" s="524">
        <f t="shared" si="16"/>
        <v>30885.55596</v>
      </c>
      <c r="I95" s="525">
        <v>39944.86</v>
      </c>
      <c r="J95" s="532">
        <f t="shared" si="22"/>
        <v>2384827.97658</v>
      </c>
      <c r="K95" s="47" t="s">
        <v>157</v>
      </c>
      <c r="L95" s="547" t="s">
        <v>158</v>
      </c>
      <c r="M95" s="389"/>
      <c r="N95" s="311"/>
      <c r="O95" s="321"/>
      <c r="P95" s="321"/>
      <c r="Q95" s="321"/>
      <c r="R95" s="322"/>
    </row>
    <row r="96" spans="1:18">
      <c r="A96" s="311">
        <f t="shared" si="23"/>
        <v>91</v>
      </c>
      <c r="B96" s="388">
        <v>46042</v>
      </c>
      <c r="C96" s="560">
        <v>9983191</v>
      </c>
      <c r="D96" s="528">
        <v>73901381</v>
      </c>
      <c r="E96" s="529">
        <v>59.152</v>
      </c>
      <c r="F96" s="530">
        <v>642.73</v>
      </c>
      <c r="G96" s="531">
        <f t="shared" si="21"/>
        <v>517.32</v>
      </c>
      <c r="H96" s="531">
        <f t="shared" si="16"/>
        <v>30600.51264</v>
      </c>
      <c r="I96" s="532">
        <v>39944.86</v>
      </c>
      <c r="J96" s="532">
        <f t="shared" si="22"/>
        <v>2362818.35872</v>
      </c>
      <c r="K96" s="47" t="s">
        <v>157</v>
      </c>
      <c r="L96" s="547" t="s">
        <v>158</v>
      </c>
      <c r="M96" s="389"/>
      <c r="N96" s="311"/>
      <c r="O96" s="321"/>
      <c r="P96" s="321"/>
      <c r="Q96" s="321"/>
      <c r="R96" s="322"/>
    </row>
    <row r="97" spans="1:18">
      <c r="A97" s="311">
        <f t="shared" si="23"/>
        <v>92</v>
      </c>
      <c r="B97" s="388">
        <v>46042</v>
      </c>
      <c r="C97" s="560">
        <v>9983191</v>
      </c>
      <c r="D97" s="528">
        <v>74950221</v>
      </c>
      <c r="E97" s="529">
        <v>59.252</v>
      </c>
      <c r="F97" s="530">
        <v>642.73</v>
      </c>
      <c r="G97" s="531">
        <f t="shared" si="21"/>
        <v>517.32</v>
      </c>
      <c r="H97" s="524">
        <f t="shared" si="16"/>
        <v>30652.24464</v>
      </c>
      <c r="I97" s="525">
        <v>39944.86</v>
      </c>
      <c r="J97" s="532">
        <f t="shared" si="22"/>
        <v>2366812.84472</v>
      </c>
      <c r="K97" s="47" t="s">
        <v>157</v>
      </c>
      <c r="L97" s="547" t="s">
        <v>158</v>
      </c>
      <c r="M97" s="389"/>
      <c r="N97" s="311"/>
      <c r="O97" s="321"/>
      <c r="P97" s="321"/>
      <c r="Q97" s="321"/>
      <c r="R97" s="322"/>
    </row>
    <row r="98" spans="1:18">
      <c r="A98" s="323">
        <f t="shared" si="23"/>
        <v>93</v>
      </c>
      <c r="B98" s="439">
        <v>46042</v>
      </c>
      <c r="C98" s="538">
        <v>9983191</v>
      </c>
      <c r="D98" s="539">
        <v>75007351</v>
      </c>
      <c r="E98" s="540">
        <v>59.252</v>
      </c>
      <c r="F98" s="530">
        <v>642.73</v>
      </c>
      <c r="G98" s="548">
        <f t="shared" si="21"/>
        <v>517.32</v>
      </c>
      <c r="H98" s="531">
        <f t="shared" si="16"/>
        <v>30652.24464</v>
      </c>
      <c r="I98" s="532">
        <v>39944.86</v>
      </c>
      <c r="J98" s="549">
        <f t="shared" si="22"/>
        <v>2366812.84472</v>
      </c>
      <c r="K98" s="64" t="s">
        <v>157</v>
      </c>
      <c r="L98" s="550" t="s">
        <v>158</v>
      </c>
      <c r="M98" s="399"/>
      <c r="N98" s="332"/>
      <c r="O98" s="333"/>
      <c r="P98" s="333"/>
      <c r="Q98" s="333"/>
      <c r="R98" s="334"/>
    </row>
    <row r="99" spans="1:18">
      <c r="A99" s="378">
        <v>94</v>
      </c>
      <c r="B99" s="379">
        <v>46044</v>
      </c>
      <c r="C99" s="552">
        <v>9983214</v>
      </c>
      <c r="D99" s="553">
        <v>54074265</v>
      </c>
      <c r="E99" s="554">
        <v>57.446</v>
      </c>
      <c r="F99" s="530">
        <v>642.73</v>
      </c>
      <c r="G99" s="555">
        <f t="shared" ref="G99:G104" si="24">F99-125.41</f>
        <v>517.32</v>
      </c>
      <c r="H99" s="524">
        <f t="shared" si="16"/>
        <v>29717.96472</v>
      </c>
      <c r="I99" s="525">
        <v>39944.86</v>
      </c>
      <c r="J99" s="556">
        <f t="shared" ref="J99:J104" si="25">E99*I99</f>
        <v>2294672.42756</v>
      </c>
      <c r="K99" s="55" t="s">
        <v>157</v>
      </c>
      <c r="L99" s="547" t="s">
        <v>158</v>
      </c>
      <c r="M99" s="383"/>
      <c r="N99" s="300"/>
      <c r="O99" s="309"/>
      <c r="P99" s="309"/>
      <c r="Q99" s="309"/>
      <c r="R99" s="310"/>
    </row>
    <row r="100" spans="1:18">
      <c r="A100" s="311">
        <f>A99+1</f>
        <v>95</v>
      </c>
      <c r="B100" s="388">
        <v>46044</v>
      </c>
      <c r="C100" s="527">
        <v>9983214</v>
      </c>
      <c r="D100" s="528">
        <v>74979543</v>
      </c>
      <c r="E100" s="529">
        <v>56.745</v>
      </c>
      <c r="F100" s="530">
        <v>642.73</v>
      </c>
      <c r="G100" s="531">
        <f t="shared" si="24"/>
        <v>517.32</v>
      </c>
      <c r="H100" s="531">
        <f t="shared" si="16"/>
        <v>29355.3234</v>
      </c>
      <c r="I100" s="532">
        <v>39944.86</v>
      </c>
      <c r="J100" s="532">
        <f t="shared" si="25"/>
        <v>2266671.0807</v>
      </c>
      <c r="K100" s="47" t="s">
        <v>157</v>
      </c>
      <c r="L100" s="547" t="s">
        <v>158</v>
      </c>
      <c r="M100" s="389"/>
      <c r="N100" s="311"/>
      <c r="O100" s="321"/>
      <c r="P100" s="321"/>
      <c r="Q100" s="321"/>
      <c r="R100" s="322"/>
    </row>
    <row r="101" spans="1:18">
      <c r="A101" s="311">
        <f t="shared" ref="A101:A104" si="26">A100+1</f>
        <v>96</v>
      </c>
      <c r="B101" s="388">
        <v>46044</v>
      </c>
      <c r="C101" s="527">
        <v>9983214</v>
      </c>
      <c r="D101" s="528">
        <v>76875368</v>
      </c>
      <c r="E101" s="529">
        <v>56.194</v>
      </c>
      <c r="F101" s="530">
        <v>642.73</v>
      </c>
      <c r="G101" s="531">
        <f t="shared" si="24"/>
        <v>517.32</v>
      </c>
      <c r="H101" s="524">
        <f t="shared" si="16"/>
        <v>29070.28008</v>
      </c>
      <c r="I101" s="525">
        <v>39944.86</v>
      </c>
      <c r="J101" s="532">
        <f t="shared" si="25"/>
        <v>2244661.46284</v>
      </c>
      <c r="K101" s="47" t="s">
        <v>157</v>
      </c>
      <c r="L101" s="547" t="s">
        <v>158</v>
      </c>
      <c r="M101" s="389"/>
      <c r="N101" s="311"/>
      <c r="O101" s="321"/>
      <c r="P101" s="321"/>
      <c r="Q101" s="321"/>
      <c r="R101" s="322"/>
    </row>
    <row r="102" spans="1:18">
      <c r="A102" s="311">
        <f t="shared" si="26"/>
        <v>97</v>
      </c>
      <c r="B102" s="388">
        <v>46044</v>
      </c>
      <c r="C102" s="527">
        <v>9983214</v>
      </c>
      <c r="D102" s="528">
        <v>50754423</v>
      </c>
      <c r="E102" s="529">
        <v>58.447</v>
      </c>
      <c r="F102" s="530">
        <v>642.73</v>
      </c>
      <c r="G102" s="531">
        <f t="shared" si="24"/>
        <v>517.32</v>
      </c>
      <c r="H102" s="531">
        <f t="shared" si="16"/>
        <v>30235.80204</v>
      </c>
      <c r="I102" s="532">
        <v>39944.86</v>
      </c>
      <c r="J102" s="532">
        <f t="shared" si="25"/>
        <v>2334657.23242</v>
      </c>
      <c r="K102" s="47" t="s">
        <v>157</v>
      </c>
      <c r="L102" s="547" t="s">
        <v>158</v>
      </c>
      <c r="M102" s="389"/>
      <c r="N102" s="311"/>
      <c r="O102" s="321"/>
      <c r="P102" s="321"/>
      <c r="Q102" s="321"/>
      <c r="R102" s="322"/>
    </row>
    <row r="103" spans="1:18">
      <c r="A103" s="311">
        <f t="shared" si="26"/>
        <v>98</v>
      </c>
      <c r="B103" s="388">
        <v>46044</v>
      </c>
      <c r="C103" s="527">
        <v>9983214</v>
      </c>
      <c r="D103" s="528">
        <v>54046446</v>
      </c>
      <c r="E103" s="529">
        <v>58.097</v>
      </c>
      <c r="F103" s="530">
        <v>642.73</v>
      </c>
      <c r="G103" s="531">
        <f t="shared" si="24"/>
        <v>517.32</v>
      </c>
      <c r="H103" s="524">
        <f t="shared" ref="H103:H134" si="27">E103*G103</f>
        <v>30054.74004</v>
      </c>
      <c r="I103" s="525">
        <v>39944.86</v>
      </c>
      <c r="J103" s="532">
        <f t="shared" si="25"/>
        <v>2320676.53142</v>
      </c>
      <c r="K103" s="47" t="s">
        <v>157</v>
      </c>
      <c r="L103" s="547" t="s">
        <v>158</v>
      </c>
      <c r="M103" s="389"/>
      <c r="N103" s="311"/>
      <c r="O103" s="321"/>
      <c r="P103" s="321"/>
      <c r="Q103" s="321"/>
      <c r="R103" s="322"/>
    </row>
    <row r="104" spans="1:18">
      <c r="A104" s="323">
        <f t="shared" si="26"/>
        <v>99</v>
      </c>
      <c r="B104" s="418">
        <v>46044</v>
      </c>
      <c r="C104" s="538">
        <v>9983214</v>
      </c>
      <c r="D104" s="539">
        <v>56905128</v>
      </c>
      <c r="E104" s="540">
        <v>57.446</v>
      </c>
      <c r="F104" s="530">
        <v>642.73</v>
      </c>
      <c r="G104" s="548">
        <f t="shared" si="24"/>
        <v>517.32</v>
      </c>
      <c r="H104" s="531">
        <f t="shared" si="27"/>
        <v>29717.96472</v>
      </c>
      <c r="I104" s="532">
        <v>39944.86</v>
      </c>
      <c r="J104" s="549">
        <f t="shared" si="25"/>
        <v>2294672.42756</v>
      </c>
      <c r="K104" s="64" t="s">
        <v>157</v>
      </c>
      <c r="L104" s="550" t="s">
        <v>158</v>
      </c>
      <c r="M104" s="420"/>
      <c r="N104" s="332"/>
      <c r="O104" s="333"/>
      <c r="P104" s="333"/>
      <c r="Q104" s="333"/>
      <c r="R104" s="334"/>
    </row>
    <row r="105" spans="1:18">
      <c r="A105" s="378">
        <v>100</v>
      </c>
      <c r="B105" s="379">
        <v>46046</v>
      </c>
      <c r="C105" s="561">
        <v>9983257</v>
      </c>
      <c r="D105" s="562">
        <v>50213255</v>
      </c>
      <c r="E105" s="563">
        <v>59.801</v>
      </c>
      <c r="F105" s="530">
        <v>642.73</v>
      </c>
      <c r="G105" s="555">
        <f t="shared" ref="G105:G122" si="28">F105-125.41</f>
        <v>517.32</v>
      </c>
      <c r="H105" s="524">
        <f t="shared" si="27"/>
        <v>30936.25332</v>
      </c>
      <c r="I105" s="525">
        <v>39944.86</v>
      </c>
      <c r="J105" s="556">
        <f t="shared" ref="J105:J122" si="29">E105*I105</f>
        <v>2388742.57286</v>
      </c>
      <c r="K105" s="55" t="s">
        <v>157</v>
      </c>
      <c r="L105" s="547" t="s">
        <v>158</v>
      </c>
      <c r="M105" s="426"/>
      <c r="N105" s="300"/>
      <c r="O105" s="309"/>
      <c r="P105" s="309"/>
      <c r="Q105" s="309"/>
      <c r="R105" s="310"/>
    </row>
    <row r="106" spans="1:18">
      <c r="A106" s="311">
        <f>A105+1</f>
        <v>101</v>
      </c>
      <c r="B106" s="388">
        <v>46046</v>
      </c>
      <c r="C106" s="564">
        <v>9983257</v>
      </c>
      <c r="D106" s="565">
        <v>50406917</v>
      </c>
      <c r="E106" s="566">
        <v>60.402</v>
      </c>
      <c r="F106" s="530">
        <v>642.73</v>
      </c>
      <c r="G106" s="531">
        <f t="shared" si="28"/>
        <v>517.32</v>
      </c>
      <c r="H106" s="531">
        <f t="shared" si="27"/>
        <v>31247.16264</v>
      </c>
      <c r="I106" s="532">
        <v>39944.86</v>
      </c>
      <c r="J106" s="532">
        <f t="shared" si="29"/>
        <v>2412749.43372</v>
      </c>
      <c r="K106" s="47" t="s">
        <v>157</v>
      </c>
      <c r="L106" s="547" t="s">
        <v>158</v>
      </c>
      <c r="M106" s="389"/>
      <c r="N106" s="311"/>
      <c r="O106" s="321"/>
      <c r="P106" s="321"/>
      <c r="Q106" s="321"/>
      <c r="R106" s="322"/>
    </row>
    <row r="107" spans="1:18">
      <c r="A107" s="311">
        <f t="shared" ref="A107:A122" si="30">A106+1</f>
        <v>102</v>
      </c>
      <c r="B107" s="388">
        <v>46046</v>
      </c>
      <c r="C107" s="564">
        <v>9983257</v>
      </c>
      <c r="D107" s="565">
        <v>50975580</v>
      </c>
      <c r="E107" s="566">
        <v>59.5</v>
      </c>
      <c r="F107" s="530">
        <v>642.73</v>
      </c>
      <c r="G107" s="531">
        <f t="shared" si="28"/>
        <v>517.32</v>
      </c>
      <c r="H107" s="524">
        <f t="shared" si="27"/>
        <v>30780.54</v>
      </c>
      <c r="I107" s="525">
        <v>39944.86</v>
      </c>
      <c r="J107" s="532">
        <f t="shared" si="29"/>
        <v>2376719.17</v>
      </c>
      <c r="K107" s="47" t="s">
        <v>157</v>
      </c>
      <c r="L107" s="547" t="s">
        <v>158</v>
      </c>
      <c r="M107" s="389"/>
      <c r="N107" s="311"/>
      <c r="O107" s="321"/>
      <c r="P107" s="321"/>
      <c r="Q107" s="321"/>
      <c r="R107" s="322"/>
    </row>
    <row r="108" spans="1:18">
      <c r="A108" s="311">
        <f t="shared" si="30"/>
        <v>103</v>
      </c>
      <c r="B108" s="388">
        <v>46046</v>
      </c>
      <c r="C108" s="564">
        <v>9983257</v>
      </c>
      <c r="D108" s="565">
        <v>51181758</v>
      </c>
      <c r="E108" s="566">
        <v>60.452</v>
      </c>
      <c r="F108" s="530">
        <v>642.73</v>
      </c>
      <c r="G108" s="531">
        <f t="shared" si="28"/>
        <v>517.32</v>
      </c>
      <c r="H108" s="531">
        <f t="shared" si="27"/>
        <v>31273.02864</v>
      </c>
      <c r="I108" s="532">
        <v>39944.86</v>
      </c>
      <c r="J108" s="532">
        <f t="shared" si="29"/>
        <v>2414746.67672</v>
      </c>
      <c r="K108" s="47" t="s">
        <v>157</v>
      </c>
      <c r="L108" s="547" t="s">
        <v>158</v>
      </c>
      <c r="M108" s="389"/>
      <c r="N108" s="311"/>
      <c r="O108" s="321"/>
      <c r="P108" s="321"/>
      <c r="Q108" s="321"/>
      <c r="R108" s="322"/>
    </row>
    <row r="109" spans="1:18">
      <c r="A109" s="311">
        <f t="shared" si="30"/>
        <v>104</v>
      </c>
      <c r="B109" s="388">
        <v>46046</v>
      </c>
      <c r="C109" s="564">
        <v>9983257</v>
      </c>
      <c r="D109" s="565">
        <v>51689636</v>
      </c>
      <c r="E109" s="566">
        <v>59.951</v>
      </c>
      <c r="F109" s="530">
        <v>642.73</v>
      </c>
      <c r="G109" s="531">
        <f t="shared" si="28"/>
        <v>517.32</v>
      </c>
      <c r="H109" s="524">
        <f t="shared" si="27"/>
        <v>31013.85132</v>
      </c>
      <c r="I109" s="525">
        <v>39944.86</v>
      </c>
      <c r="J109" s="532">
        <f t="shared" si="29"/>
        <v>2394734.30186</v>
      </c>
      <c r="K109" s="47" t="s">
        <v>157</v>
      </c>
      <c r="L109" s="547" t="s">
        <v>158</v>
      </c>
      <c r="M109" s="389"/>
      <c r="N109" s="311"/>
      <c r="O109" s="321"/>
      <c r="P109" s="321"/>
      <c r="Q109" s="321"/>
      <c r="R109" s="322"/>
    </row>
    <row r="110" spans="1:18">
      <c r="A110" s="311">
        <f t="shared" si="30"/>
        <v>105</v>
      </c>
      <c r="B110" s="388">
        <v>46046</v>
      </c>
      <c r="C110" s="564">
        <v>9983257</v>
      </c>
      <c r="D110" s="565">
        <v>54026927</v>
      </c>
      <c r="E110" s="566">
        <v>33.049</v>
      </c>
      <c r="F110" s="530">
        <v>642.73</v>
      </c>
      <c r="G110" s="531">
        <f t="shared" si="28"/>
        <v>517.32</v>
      </c>
      <c r="H110" s="531">
        <f t="shared" si="27"/>
        <v>17096.90868</v>
      </c>
      <c r="I110" s="532">
        <v>39944.86</v>
      </c>
      <c r="J110" s="532">
        <f t="shared" si="29"/>
        <v>1320137.67814</v>
      </c>
      <c r="K110" s="47" t="s">
        <v>157</v>
      </c>
      <c r="L110" s="547" t="s">
        <v>158</v>
      </c>
      <c r="M110" s="389"/>
      <c r="N110" s="311"/>
      <c r="O110" s="321"/>
      <c r="P110" s="321"/>
      <c r="Q110" s="321"/>
      <c r="R110" s="322"/>
    </row>
    <row r="111" spans="1:18">
      <c r="A111" s="311">
        <f t="shared" si="30"/>
        <v>106</v>
      </c>
      <c r="B111" s="388">
        <v>46046</v>
      </c>
      <c r="C111" s="564">
        <v>9983257</v>
      </c>
      <c r="D111" s="565">
        <v>54067954</v>
      </c>
      <c r="E111" s="566">
        <v>59.5</v>
      </c>
      <c r="F111" s="530">
        <v>642.73</v>
      </c>
      <c r="G111" s="531">
        <f t="shared" si="28"/>
        <v>517.32</v>
      </c>
      <c r="H111" s="524">
        <f t="shared" si="27"/>
        <v>30780.54</v>
      </c>
      <c r="I111" s="525">
        <v>39944.86</v>
      </c>
      <c r="J111" s="532">
        <f t="shared" si="29"/>
        <v>2376719.17</v>
      </c>
      <c r="K111" s="47" t="s">
        <v>157</v>
      </c>
      <c r="L111" s="547" t="s">
        <v>158</v>
      </c>
      <c r="M111" s="389"/>
      <c r="N111" s="311"/>
      <c r="O111" s="321"/>
      <c r="P111" s="321"/>
      <c r="Q111" s="321"/>
      <c r="R111" s="322"/>
    </row>
    <row r="112" spans="1:18">
      <c r="A112" s="311">
        <f t="shared" si="30"/>
        <v>107</v>
      </c>
      <c r="B112" s="388">
        <v>46046</v>
      </c>
      <c r="C112" s="564">
        <v>9983257</v>
      </c>
      <c r="D112" s="565">
        <v>54244959</v>
      </c>
      <c r="E112" s="566">
        <v>58.849</v>
      </c>
      <c r="F112" s="530">
        <v>642.73</v>
      </c>
      <c r="G112" s="531">
        <f t="shared" si="28"/>
        <v>517.32</v>
      </c>
      <c r="H112" s="531">
        <f t="shared" si="27"/>
        <v>30443.76468</v>
      </c>
      <c r="I112" s="532">
        <v>39944.86</v>
      </c>
      <c r="J112" s="532">
        <f t="shared" si="29"/>
        <v>2350715.06614</v>
      </c>
      <c r="K112" s="47" t="s">
        <v>157</v>
      </c>
      <c r="L112" s="547" t="s">
        <v>158</v>
      </c>
      <c r="M112" s="389"/>
      <c r="N112" s="311"/>
      <c r="O112" s="321"/>
      <c r="P112" s="321"/>
      <c r="Q112" s="321"/>
      <c r="R112" s="322"/>
    </row>
    <row r="113" spans="1:18">
      <c r="A113" s="311">
        <f t="shared" si="30"/>
        <v>108</v>
      </c>
      <c r="B113" s="388">
        <v>46046</v>
      </c>
      <c r="C113" s="564">
        <v>9983257</v>
      </c>
      <c r="D113" s="565">
        <v>57039562</v>
      </c>
      <c r="E113" s="566">
        <v>59.35</v>
      </c>
      <c r="F113" s="530">
        <v>642.73</v>
      </c>
      <c r="G113" s="531">
        <f t="shared" si="28"/>
        <v>517.32</v>
      </c>
      <c r="H113" s="524">
        <f t="shared" si="27"/>
        <v>30702.942</v>
      </c>
      <c r="I113" s="525">
        <v>39944.86</v>
      </c>
      <c r="J113" s="532">
        <f t="shared" si="29"/>
        <v>2370727.441</v>
      </c>
      <c r="K113" s="47" t="s">
        <v>157</v>
      </c>
      <c r="L113" s="547" t="s">
        <v>158</v>
      </c>
      <c r="M113" s="389"/>
      <c r="N113" s="311"/>
      <c r="O113" s="321"/>
      <c r="P113" s="321"/>
      <c r="Q113" s="321"/>
      <c r="R113" s="322"/>
    </row>
    <row r="114" spans="1:18">
      <c r="A114" s="311">
        <f t="shared" si="30"/>
        <v>109</v>
      </c>
      <c r="B114" s="388">
        <v>46046</v>
      </c>
      <c r="C114" s="564">
        <v>9983257</v>
      </c>
      <c r="D114" s="565">
        <v>57212094</v>
      </c>
      <c r="E114" s="566">
        <v>59.601</v>
      </c>
      <c r="F114" s="530">
        <v>642.73</v>
      </c>
      <c r="G114" s="531">
        <f t="shared" si="28"/>
        <v>517.32</v>
      </c>
      <c r="H114" s="531">
        <f t="shared" si="27"/>
        <v>30832.78932</v>
      </c>
      <c r="I114" s="532">
        <v>39944.86</v>
      </c>
      <c r="J114" s="532">
        <f t="shared" si="29"/>
        <v>2380753.60086</v>
      </c>
      <c r="K114" s="47" t="s">
        <v>157</v>
      </c>
      <c r="L114" s="547" t="s">
        <v>158</v>
      </c>
      <c r="M114" s="389"/>
      <c r="N114" s="311"/>
      <c r="O114" s="321"/>
      <c r="P114" s="321"/>
      <c r="Q114" s="321"/>
      <c r="R114" s="322"/>
    </row>
    <row r="115" spans="1:18">
      <c r="A115" s="311">
        <f t="shared" si="30"/>
        <v>110</v>
      </c>
      <c r="B115" s="388">
        <v>46046</v>
      </c>
      <c r="C115" s="564">
        <v>9983257</v>
      </c>
      <c r="D115" s="565">
        <v>57216699</v>
      </c>
      <c r="E115" s="566">
        <v>59.801</v>
      </c>
      <c r="F115" s="530">
        <v>642.73</v>
      </c>
      <c r="G115" s="531">
        <f t="shared" si="28"/>
        <v>517.32</v>
      </c>
      <c r="H115" s="524">
        <f t="shared" si="27"/>
        <v>30936.25332</v>
      </c>
      <c r="I115" s="525">
        <v>39944.86</v>
      </c>
      <c r="J115" s="532">
        <f t="shared" si="29"/>
        <v>2388742.57286</v>
      </c>
      <c r="K115" s="47" t="s">
        <v>157</v>
      </c>
      <c r="L115" s="547" t="s">
        <v>158</v>
      </c>
      <c r="M115" s="389"/>
      <c r="N115" s="311"/>
      <c r="O115" s="321"/>
      <c r="P115" s="321"/>
      <c r="Q115" s="321"/>
      <c r="R115" s="322"/>
    </row>
    <row r="116" spans="1:18">
      <c r="A116" s="311">
        <f t="shared" si="30"/>
        <v>111</v>
      </c>
      <c r="B116" s="388">
        <v>46046</v>
      </c>
      <c r="C116" s="564">
        <v>9983257</v>
      </c>
      <c r="D116" s="565">
        <v>57221079</v>
      </c>
      <c r="E116" s="566">
        <v>59.951</v>
      </c>
      <c r="F116" s="530">
        <v>642.73</v>
      </c>
      <c r="G116" s="531">
        <f t="shared" si="28"/>
        <v>517.32</v>
      </c>
      <c r="H116" s="531">
        <f t="shared" si="27"/>
        <v>31013.85132</v>
      </c>
      <c r="I116" s="532">
        <v>39944.86</v>
      </c>
      <c r="J116" s="532">
        <f t="shared" si="29"/>
        <v>2394734.30186</v>
      </c>
      <c r="K116" s="47" t="s">
        <v>157</v>
      </c>
      <c r="L116" s="547" t="s">
        <v>158</v>
      </c>
      <c r="M116" s="389"/>
      <c r="N116" s="311"/>
      <c r="O116" s="321"/>
      <c r="P116" s="321"/>
      <c r="Q116" s="321"/>
      <c r="R116" s="322"/>
    </row>
    <row r="117" spans="1:18">
      <c r="A117" s="311">
        <f t="shared" si="30"/>
        <v>112</v>
      </c>
      <c r="B117" s="388">
        <v>46046</v>
      </c>
      <c r="C117" s="564">
        <v>9983257</v>
      </c>
      <c r="D117" s="565">
        <v>57503393</v>
      </c>
      <c r="E117" s="566">
        <v>58.849</v>
      </c>
      <c r="F117" s="530">
        <v>642.73</v>
      </c>
      <c r="G117" s="531">
        <f t="shared" si="28"/>
        <v>517.32</v>
      </c>
      <c r="H117" s="524">
        <f t="shared" si="27"/>
        <v>30443.76468</v>
      </c>
      <c r="I117" s="525">
        <v>39944.86</v>
      </c>
      <c r="J117" s="532">
        <f t="shared" si="29"/>
        <v>2350715.06614</v>
      </c>
      <c r="K117" s="47" t="s">
        <v>157</v>
      </c>
      <c r="L117" s="547" t="s">
        <v>158</v>
      </c>
      <c r="M117" s="389"/>
      <c r="N117" s="311"/>
      <c r="O117" s="321"/>
      <c r="P117" s="321"/>
      <c r="Q117" s="321"/>
      <c r="R117" s="322"/>
    </row>
    <row r="118" spans="1:18">
      <c r="A118" s="311">
        <f t="shared" si="30"/>
        <v>113</v>
      </c>
      <c r="B118" s="388">
        <v>46046</v>
      </c>
      <c r="C118" s="564">
        <v>9983257</v>
      </c>
      <c r="D118" s="565">
        <v>57520694</v>
      </c>
      <c r="E118" s="566">
        <v>58.348</v>
      </c>
      <c r="F118" s="530">
        <v>642.73</v>
      </c>
      <c r="G118" s="531">
        <f t="shared" si="28"/>
        <v>517.32</v>
      </c>
      <c r="H118" s="531">
        <f t="shared" si="27"/>
        <v>30184.58736</v>
      </c>
      <c r="I118" s="532">
        <v>39944.86</v>
      </c>
      <c r="J118" s="532">
        <f t="shared" si="29"/>
        <v>2330702.69128</v>
      </c>
      <c r="K118" s="47" t="s">
        <v>157</v>
      </c>
      <c r="L118" s="547" t="s">
        <v>158</v>
      </c>
      <c r="M118" s="389"/>
      <c r="N118" s="311"/>
      <c r="O118" s="321"/>
      <c r="P118" s="321"/>
      <c r="Q118" s="321"/>
      <c r="R118" s="322"/>
    </row>
    <row r="119" spans="1:18">
      <c r="A119" s="311">
        <f t="shared" si="30"/>
        <v>114</v>
      </c>
      <c r="B119" s="388">
        <v>46046</v>
      </c>
      <c r="C119" s="564">
        <v>9983257</v>
      </c>
      <c r="D119" s="565">
        <v>57933772</v>
      </c>
      <c r="E119" s="566">
        <v>60.652</v>
      </c>
      <c r="F119" s="530">
        <v>642.73</v>
      </c>
      <c r="G119" s="531">
        <f t="shared" si="28"/>
        <v>517.32</v>
      </c>
      <c r="H119" s="524">
        <f t="shared" si="27"/>
        <v>31376.49264</v>
      </c>
      <c r="I119" s="525">
        <v>39944.86</v>
      </c>
      <c r="J119" s="532">
        <f t="shared" si="29"/>
        <v>2422735.64872</v>
      </c>
      <c r="K119" s="47" t="s">
        <v>157</v>
      </c>
      <c r="L119" s="547" t="s">
        <v>158</v>
      </c>
      <c r="M119" s="389"/>
      <c r="N119" s="311"/>
      <c r="O119" s="321"/>
      <c r="P119" s="321"/>
      <c r="Q119" s="321"/>
      <c r="R119" s="322"/>
    </row>
    <row r="120" spans="1:18">
      <c r="A120" s="311">
        <f t="shared" si="30"/>
        <v>115</v>
      </c>
      <c r="B120" s="388">
        <v>46046</v>
      </c>
      <c r="C120" s="564">
        <v>9983257</v>
      </c>
      <c r="D120" s="565">
        <v>57934861</v>
      </c>
      <c r="E120" s="566">
        <v>60.652</v>
      </c>
      <c r="F120" s="530">
        <v>642.73</v>
      </c>
      <c r="G120" s="531">
        <f t="shared" si="28"/>
        <v>517.32</v>
      </c>
      <c r="H120" s="531">
        <f t="shared" si="27"/>
        <v>31376.49264</v>
      </c>
      <c r="I120" s="532">
        <v>39944.86</v>
      </c>
      <c r="J120" s="532">
        <f t="shared" si="29"/>
        <v>2422735.64872</v>
      </c>
      <c r="K120" s="47" t="s">
        <v>157</v>
      </c>
      <c r="L120" s="547" t="s">
        <v>158</v>
      </c>
      <c r="M120" s="389"/>
      <c r="N120" s="311"/>
      <c r="O120" s="321"/>
      <c r="P120" s="321"/>
      <c r="Q120" s="321"/>
      <c r="R120" s="322"/>
    </row>
    <row r="121" spans="1:18">
      <c r="A121" s="311">
        <f t="shared" si="30"/>
        <v>116</v>
      </c>
      <c r="B121" s="388">
        <v>46046</v>
      </c>
      <c r="C121" s="564">
        <v>9983257</v>
      </c>
      <c r="D121" s="565">
        <v>58645367</v>
      </c>
      <c r="E121" s="566">
        <v>59.901</v>
      </c>
      <c r="F121" s="530">
        <v>642.73</v>
      </c>
      <c r="G121" s="531">
        <f t="shared" si="28"/>
        <v>517.32</v>
      </c>
      <c r="H121" s="524">
        <f t="shared" si="27"/>
        <v>30987.98532</v>
      </c>
      <c r="I121" s="525">
        <v>39944.86</v>
      </c>
      <c r="J121" s="532">
        <f t="shared" si="29"/>
        <v>2392737.05886</v>
      </c>
      <c r="K121" s="47" t="s">
        <v>157</v>
      </c>
      <c r="L121" s="547" t="s">
        <v>158</v>
      </c>
      <c r="M121" s="389"/>
      <c r="N121" s="311"/>
      <c r="O121" s="321"/>
      <c r="P121" s="321"/>
      <c r="Q121" s="321"/>
      <c r="R121" s="322"/>
    </row>
    <row r="122" spans="1:18">
      <c r="A122" s="332">
        <f t="shared" si="30"/>
        <v>117</v>
      </c>
      <c r="B122" s="396">
        <v>46046</v>
      </c>
      <c r="C122" s="567">
        <v>9983257</v>
      </c>
      <c r="D122" s="568">
        <v>75191585</v>
      </c>
      <c r="E122" s="569">
        <v>60.001</v>
      </c>
      <c r="F122" s="530">
        <v>642.73</v>
      </c>
      <c r="G122" s="557">
        <f t="shared" si="28"/>
        <v>517.32</v>
      </c>
      <c r="H122" s="531">
        <f t="shared" si="27"/>
        <v>31039.71732</v>
      </c>
      <c r="I122" s="532">
        <v>39944.86</v>
      </c>
      <c r="J122" s="558">
        <f t="shared" si="29"/>
        <v>2396731.54486</v>
      </c>
      <c r="K122" s="115" t="s">
        <v>157</v>
      </c>
      <c r="L122" s="559" t="s">
        <v>158</v>
      </c>
      <c r="M122" s="399"/>
      <c r="N122" s="332"/>
      <c r="O122" s="333"/>
      <c r="P122" s="333"/>
      <c r="Q122" s="333"/>
      <c r="R122" s="334"/>
    </row>
    <row r="123" spans="1:18">
      <c r="A123" s="570">
        <v>118</v>
      </c>
      <c r="B123" s="571">
        <v>46046</v>
      </c>
      <c r="C123" s="572">
        <v>9983257</v>
      </c>
      <c r="D123" s="573">
        <v>54026927</v>
      </c>
      <c r="E123" s="574">
        <v>3.9</v>
      </c>
      <c r="F123" s="530">
        <v>642.73</v>
      </c>
      <c r="G123" s="524">
        <f t="shared" ref="G123" si="31">F123-125.41</f>
        <v>517.32</v>
      </c>
      <c r="H123" s="524">
        <f t="shared" si="27"/>
        <v>2017.548</v>
      </c>
      <c r="I123" s="525">
        <v>39944.86</v>
      </c>
      <c r="J123" s="525">
        <f t="shared" ref="J123" si="32">E123*I123</f>
        <v>155784.954</v>
      </c>
      <c r="K123" s="149" t="s">
        <v>157</v>
      </c>
      <c r="L123" s="575" t="s">
        <v>158</v>
      </c>
      <c r="M123" s="543"/>
      <c r="N123" s="576"/>
      <c r="O123" s="367"/>
      <c r="P123" s="367"/>
      <c r="Q123" s="367"/>
      <c r="R123" s="374"/>
    </row>
    <row r="124" spans="1:18">
      <c r="A124" s="577">
        <v>119</v>
      </c>
      <c r="B124" s="578">
        <v>46046</v>
      </c>
      <c r="C124" s="579">
        <v>9983257</v>
      </c>
      <c r="D124" s="580">
        <v>54026927</v>
      </c>
      <c r="E124" s="581">
        <v>21.6</v>
      </c>
      <c r="F124" s="530">
        <v>642.73</v>
      </c>
      <c r="G124" s="536">
        <f t="shared" ref="G124" si="33">F124-125.41</f>
        <v>517.32</v>
      </c>
      <c r="H124" s="531">
        <f t="shared" si="27"/>
        <v>11174.112</v>
      </c>
      <c r="I124" s="532">
        <v>39944.86</v>
      </c>
      <c r="J124" s="537">
        <f t="shared" ref="J124" si="34">E124*I124</f>
        <v>862808.976</v>
      </c>
      <c r="K124" s="99" t="s">
        <v>157</v>
      </c>
      <c r="L124" s="559" t="s">
        <v>158</v>
      </c>
      <c r="M124" s="543"/>
      <c r="N124" s="576"/>
      <c r="O124" s="367"/>
      <c r="P124" s="367"/>
      <c r="Q124" s="367"/>
      <c r="R124" s="374"/>
    </row>
    <row r="125" spans="1:18">
      <c r="A125" s="365">
        <v>120</v>
      </c>
      <c r="B125" s="544">
        <v>46047</v>
      </c>
      <c r="C125" s="527">
        <v>9983264</v>
      </c>
      <c r="D125" s="528">
        <v>54244876</v>
      </c>
      <c r="E125" s="529">
        <v>58.3</v>
      </c>
      <c r="F125" s="530">
        <v>642.73</v>
      </c>
      <c r="G125" s="531">
        <f t="shared" ref="G125" si="35">F125-125.41</f>
        <v>517.32</v>
      </c>
      <c r="H125" s="524">
        <f t="shared" si="27"/>
        <v>30159.756</v>
      </c>
      <c r="I125" s="525">
        <v>39944.86</v>
      </c>
      <c r="J125" s="532">
        <f t="shared" ref="J125" si="36">E125*I125</f>
        <v>2328785.338</v>
      </c>
      <c r="K125" s="47" t="s">
        <v>157</v>
      </c>
      <c r="L125" s="547" t="s">
        <v>158</v>
      </c>
      <c r="M125" s="543"/>
      <c r="N125" s="576"/>
      <c r="O125" s="367"/>
      <c r="P125" s="367"/>
      <c r="Q125" s="367"/>
      <c r="R125" s="374"/>
    </row>
    <row r="126" spans="1:18">
      <c r="A126" s="300">
        <v>121</v>
      </c>
      <c r="B126" s="424">
        <v>46049</v>
      </c>
      <c r="C126" s="520">
        <v>9983293</v>
      </c>
      <c r="D126" s="521">
        <v>50133412</v>
      </c>
      <c r="E126" s="522">
        <v>61.35</v>
      </c>
      <c r="F126" s="530">
        <v>642.73</v>
      </c>
      <c r="G126" s="541">
        <f t="shared" ref="G126:G129" si="37">F126-125.41</f>
        <v>517.32</v>
      </c>
      <c r="H126" s="531">
        <f t="shared" si="27"/>
        <v>31737.582</v>
      </c>
      <c r="I126" s="532">
        <v>39944.86</v>
      </c>
      <c r="J126" s="542">
        <f t="shared" ref="J126:J129" si="38">E126*I126</f>
        <v>2450617.161</v>
      </c>
      <c r="K126" s="34" t="s">
        <v>157</v>
      </c>
      <c r="L126" s="545" t="s">
        <v>158</v>
      </c>
      <c r="M126" s="582"/>
      <c r="N126" s="300"/>
      <c r="O126" s="309"/>
      <c r="P126" s="309"/>
      <c r="Q126" s="309"/>
      <c r="R126" s="310"/>
    </row>
    <row r="127" spans="1:18">
      <c r="A127" s="311">
        <f>A126+1</f>
        <v>122</v>
      </c>
      <c r="B127" s="388">
        <v>46049</v>
      </c>
      <c r="C127" s="527">
        <v>9983293</v>
      </c>
      <c r="D127" s="528">
        <v>51689123</v>
      </c>
      <c r="E127" s="529">
        <v>59.297</v>
      </c>
      <c r="F127" s="530">
        <v>642.73</v>
      </c>
      <c r="G127" s="531">
        <f t="shared" si="37"/>
        <v>517.32</v>
      </c>
      <c r="H127" s="524">
        <f t="shared" si="27"/>
        <v>30675.52404</v>
      </c>
      <c r="I127" s="525">
        <v>39944.86</v>
      </c>
      <c r="J127" s="532">
        <f t="shared" si="38"/>
        <v>2368610.36342</v>
      </c>
      <c r="K127" s="47" t="s">
        <v>157</v>
      </c>
      <c r="L127" s="547" t="s">
        <v>158</v>
      </c>
      <c r="M127" s="320"/>
      <c r="N127" s="311"/>
      <c r="O127" s="321"/>
      <c r="P127" s="321"/>
      <c r="Q127" s="321"/>
      <c r="R127" s="322"/>
    </row>
    <row r="128" spans="1:18">
      <c r="A128" s="311">
        <f t="shared" ref="A128:A129" si="39">A127+1</f>
        <v>123</v>
      </c>
      <c r="B128" s="388">
        <v>46049</v>
      </c>
      <c r="C128" s="527">
        <v>9983293</v>
      </c>
      <c r="D128" s="528">
        <v>54097472</v>
      </c>
      <c r="E128" s="529">
        <v>59.948</v>
      </c>
      <c r="F128" s="530">
        <v>642.73</v>
      </c>
      <c r="G128" s="531">
        <f t="shared" si="37"/>
        <v>517.32</v>
      </c>
      <c r="H128" s="531">
        <f t="shared" si="27"/>
        <v>31012.29936</v>
      </c>
      <c r="I128" s="532">
        <v>39944.86</v>
      </c>
      <c r="J128" s="532">
        <f t="shared" si="38"/>
        <v>2394614.46728</v>
      </c>
      <c r="K128" s="47" t="s">
        <v>157</v>
      </c>
      <c r="L128" s="547" t="s">
        <v>158</v>
      </c>
      <c r="M128" s="320"/>
      <c r="N128" s="311"/>
      <c r="O128" s="321"/>
      <c r="P128" s="321"/>
      <c r="Q128" s="321"/>
      <c r="R128" s="322"/>
    </row>
    <row r="129" spans="1:18">
      <c r="A129" s="332">
        <f t="shared" si="39"/>
        <v>124</v>
      </c>
      <c r="B129" s="396">
        <v>46049</v>
      </c>
      <c r="C129" s="533">
        <v>9983293</v>
      </c>
      <c r="D129" s="534">
        <v>57139768</v>
      </c>
      <c r="E129" s="535">
        <v>57.995</v>
      </c>
      <c r="F129" s="530">
        <v>642.73</v>
      </c>
      <c r="G129" s="557">
        <f t="shared" si="37"/>
        <v>517.32</v>
      </c>
      <c r="H129" s="524">
        <f t="shared" si="27"/>
        <v>30001.9734</v>
      </c>
      <c r="I129" s="525">
        <v>39944.86</v>
      </c>
      <c r="J129" s="558">
        <f t="shared" si="38"/>
        <v>2316602.1557</v>
      </c>
      <c r="K129" s="115" t="s">
        <v>157</v>
      </c>
      <c r="L129" s="559" t="s">
        <v>158</v>
      </c>
      <c r="M129" s="583"/>
      <c r="N129" s="332"/>
      <c r="O129" s="333"/>
      <c r="P129" s="333"/>
      <c r="Q129" s="333"/>
      <c r="R129" s="334"/>
    </row>
    <row r="130" spans="1:18">
      <c r="A130" s="411">
        <v>125</v>
      </c>
      <c r="B130" s="379">
        <v>46049</v>
      </c>
      <c r="C130" s="584" t="s">
        <v>159</v>
      </c>
      <c r="D130" s="411">
        <v>73189169</v>
      </c>
      <c r="E130" s="455">
        <v>60.698</v>
      </c>
      <c r="F130" s="530">
        <v>642.73</v>
      </c>
      <c r="G130" s="555">
        <f t="shared" ref="G130:G144" si="40">F130-125.41</f>
        <v>517.32</v>
      </c>
      <c r="H130" s="531">
        <f t="shared" si="27"/>
        <v>31400.28936</v>
      </c>
      <c r="I130" s="532">
        <v>39944.86</v>
      </c>
      <c r="J130" s="556">
        <f t="shared" ref="J130:J144" si="41">E130*I130</f>
        <v>2424573.11228</v>
      </c>
      <c r="K130" s="55" t="s">
        <v>157</v>
      </c>
      <c r="L130" s="547" t="s">
        <v>158</v>
      </c>
      <c r="M130" s="383"/>
      <c r="N130" s="378"/>
      <c r="O130" s="411"/>
      <c r="P130" s="411"/>
      <c r="Q130" s="411"/>
      <c r="R130" s="387"/>
    </row>
    <row r="131" spans="1:18">
      <c r="A131" s="321">
        <f>A130+1</f>
        <v>126</v>
      </c>
      <c r="B131" s="388">
        <v>46049</v>
      </c>
      <c r="C131" s="585" t="s">
        <v>159</v>
      </c>
      <c r="D131" s="321">
        <v>73540486</v>
      </c>
      <c r="E131" s="456">
        <v>61.249</v>
      </c>
      <c r="F131" s="530">
        <v>642.73</v>
      </c>
      <c r="G131" s="531">
        <f t="shared" si="40"/>
        <v>517.32</v>
      </c>
      <c r="H131" s="524">
        <f t="shared" si="27"/>
        <v>31685.33268</v>
      </c>
      <c r="I131" s="525">
        <v>39944.86</v>
      </c>
      <c r="J131" s="532">
        <f t="shared" si="41"/>
        <v>2446582.73014</v>
      </c>
      <c r="K131" s="47" t="s">
        <v>157</v>
      </c>
      <c r="L131" s="547" t="s">
        <v>158</v>
      </c>
      <c r="M131" s="389"/>
      <c r="N131" s="311"/>
      <c r="O131" s="321"/>
      <c r="P131" s="321"/>
      <c r="Q131" s="321"/>
      <c r="R131" s="322"/>
    </row>
    <row r="132" spans="1:18">
      <c r="A132" s="321">
        <f t="shared" ref="A132:A144" si="42">A131+1</f>
        <v>127</v>
      </c>
      <c r="B132" s="388">
        <v>46049</v>
      </c>
      <c r="C132" s="585" t="s">
        <v>159</v>
      </c>
      <c r="D132" s="321">
        <v>75089730</v>
      </c>
      <c r="E132" s="456">
        <v>61.249</v>
      </c>
      <c r="F132" s="530">
        <v>642.73</v>
      </c>
      <c r="G132" s="531">
        <f t="shared" si="40"/>
        <v>517.32</v>
      </c>
      <c r="H132" s="531">
        <f t="shared" si="27"/>
        <v>31685.33268</v>
      </c>
      <c r="I132" s="532">
        <v>39944.86</v>
      </c>
      <c r="J132" s="532">
        <f t="shared" si="41"/>
        <v>2446582.73014</v>
      </c>
      <c r="K132" s="47" t="s">
        <v>157</v>
      </c>
      <c r="L132" s="547" t="s">
        <v>158</v>
      </c>
      <c r="M132" s="389"/>
      <c r="N132" s="311"/>
      <c r="O132" s="321"/>
      <c r="P132" s="321"/>
      <c r="Q132" s="321"/>
      <c r="R132" s="322"/>
    </row>
    <row r="133" spans="1:18">
      <c r="A133" s="321">
        <f t="shared" si="42"/>
        <v>128</v>
      </c>
      <c r="B133" s="388">
        <v>46049</v>
      </c>
      <c r="C133" s="585" t="s">
        <v>159</v>
      </c>
      <c r="D133" s="321">
        <v>57178659</v>
      </c>
      <c r="E133" s="456">
        <v>61.649</v>
      </c>
      <c r="F133" s="530">
        <v>642.73</v>
      </c>
      <c r="G133" s="531">
        <f t="shared" si="40"/>
        <v>517.32</v>
      </c>
      <c r="H133" s="524">
        <f t="shared" si="27"/>
        <v>31892.26068</v>
      </c>
      <c r="I133" s="525">
        <v>39944.86</v>
      </c>
      <c r="J133" s="532">
        <f t="shared" si="41"/>
        <v>2462560.67414</v>
      </c>
      <c r="K133" s="47" t="s">
        <v>157</v>
      </c>
      <c r="L133" s="547" t="s">
        <v>158</v>
      </c>
      <c r="M133" s="389"/>
      <c r="N133" s="311"/>
      <c r="O133" s="321"/>
      <c r="P133" s="321"/>
      <c r="Q133" s="321"/>
      <c r="R133" s="322"/>
    </row>
    <row r="134" spans="1:18">
      <c r="A134" s="321">
        <f t="shared" si="42"/>
        <v>129</v>
      </c>
      <c r="B134" s="388">
        <v>46049</v>
      </c>
      <c r="C134" s="585" t="s">
        <v>159</v>
      </c>
      <c r="D134" s="321">
        <v>57177248</v>
      </c>
      <c r="E134" s="456">
        <v>59.897</v>
      </c>
      <c r="F134" s="530">
        <v>642.73</v>
      </c>
      <c r="G134" s="531">
        <f t="shared" si="40"/>
        <v>517.32</v>
      </c>
      <c r="H134" s="531">
        <f t="shared" si="27"/>
        <v>30985.91604</v>
      </c>
      <c r="I134" s="532">
        <v>39944.86</v>
      </c>
      <c r="J134" s="532">
        <f t="shared" si="41"/>
        <v>2392577.27942</v>
      </c>
      <c r="K134" s="47" t="s">
        <v>157</v>
      </c>
      <c r="L134" s="547" t="s">
        <v>158</v>
      </c>
      <c r="M134" s="389"/>
      <c r="N134" s="311"/>
      <c r="O134" s="321"/>
      <c r="P134" s="321"/>
      <c r="Q134" s="321"/>
      <c r="R134" s="322"/>
    </row>
    <row r="135" spans="1:18">
      <c r="A135" s="321">
        <f t="shared" si="42"/>
        <v>130</v>
      </c>
      <c r="B135" s="388">
        <v>46049</v>
      </c>
      <c r="C135" s="585" t="s">
        <v>159</v>
      </c>
      <c r="D135" s="321">
        <v>50426790</v>
      </c>
      <c r="E135" s="456">
        <v>62</v>
      </c>
      <c r="F135" s="530">
        <v>642.73</v>
      </c>
      <c r="G135" s="531">
        <f t="shared" si="40"/>
        <v>517.32</v>
      </c>
      <c r="H135" s="524">
        <f t="shared" ref="H135:H166" si="43">E135*G135</f>
        <v>32073.84</v>
      </c>
      <c r="I135" s="525">
        <v>39944.86</v>
      </c>
      <c r="J135" s="532">
        <f t="shared" si="41"/>
        <v>2476581.32</v>
      </c>
      <c r="K135" s="47" t="s">
        <v>157</v>
      </c>
      <c r="L135" s="547" t="s">
        <v>158</v>
      </c>
      <c r="M135" s="389"/>
      <c r="N135" s="311"/>
      <c r="O135" s="321"/>
      <c r="P135" s="321"/>
      <c r="Q135" s="321"/>
      <c r="R135" s="322"/>
    </row>
    <row r="136" spans="1:18">
      <c r="A136" s="321">
        <f t="shared" si="42"/>
        <v>131</v>
      </c>
      <c r="B136" s="388">
        <v>46049</v>
      </c>
      <c r="C136" s="585" t="s">
        <v>159</v>
      </c>
      <c r="D136" s="321">
        <v>75101477</v>
      </c>
      <c r="E136" s="456">
        <v>62</v>
      </c>
      <c r="F136" s="530">
        <v>642.73</v>
      </c>
      <c r="G136" s="531">
        <f t="shared" si="40"/>
        <v>517.32</v>
      </c>
      <c r="H136" s="531">
        <f t="shared" si="43"/>
        <v>32073.84</v>
      </c>
      <c r="I136" s="532">
        <v>39944.86</v>
      </c>
      <c r="J136" s="532">
        <f t="shared" si="41"/>
        <v>2476581.32</v>
      </c>
      <c r="K136" s="47" t="s">
        <v>157</v>
      </c>
      <c r="L136" s="547" t="s">
        <v>158</v>
      </c>
      <c r="M136" s="389"/>
      <c r="N136" s="311"/>
      <c r="O136" s="321"/>
      <c r="P136" s="321"/>
      <c r="Q136" s="321"/>
      <c r="R136" s="322"/>
    </row>
    <row r="137" spans="1:18">
      <c r="A137" s="321">
        <f t="shared" si="42"/>
        <v>132</v>
      </c>
      <c r="B137" s="388">
        <v>46049</v>
      </c>
      <c r="C137" s="585" t="s">
        <v>159</v>
      </c>
      <c r="D137" s="321">
        <v>58289257</v>
      </c>
      <c r="E137" s="456">
        <v>61.048</v>
      </c>
      <c r="F137" s="530">
        <v>642.73</v>
      </c>
      <c r="G137" s="531">
        <f t="shared" si="40"/>
        <v>517.32</v>
      </c>
      <c r="H137" s="524">
        <f t="shared" si="43"/>
        <v>31581.35136</v>
      </c>
      <c r="I137" s="525">
        <v>39944.86</v>
      </c>
      <c r="J137" s="532">
        <f t="shared" si="41"/>
        <v>2438553.81328</v>
      </c>
      <c r="K137" s="47" t="s">
        <v>157</v>
      </c>
      <c r="L137" s="547" t="s">
        <v>158</v>
      </c>
      <c r="M137" s="389"/>
      <c r="N137" s="311"/>
      <c r="O137" s="321"/>
      <c r="P137" s="321"/>
      <c r="Q137" s="321"/>
      <c r="R137" s="322"/>
    </row>
    <row r="138" spans="1:18">
      <c r="A138" s="321">
        <f t="shared" si="42"/>
        <v>133</v>
      </c>
      <c r="B138" s="388">
        <v>46049</v>
      </c>
      <c r="C138" s="585" t="s">
        <v>159</v>
      </c>
      <c r="D138" s="321">
        <v>75565598</v>
      </c>
      <c r="E138" s="456">
        <v>62.451</v>
      </c>
      <c r="F138" s="530">
        <v>642.73</v>
      </c>
      <c r="G138" s="531">
        <f t="shared" si="40"/>
        <v>517.32</v>
      </c>
      <c r="H138" s="531">
        <f t="shared" si="43"/>
        <v>32307.15132</v>
      </c>
      <c r="I138" s="532">
        <v>39944.86</v>
      </c>
      <c r="J138" s="532">
        <f t="shared" si="41"/>
        <v>2494596.45186</v>
      </c>
      <c r="K138" s="47" t="s">
        <v>157</v>
      </c>
      <c r="L138" s="547" t="s">
        <v>158</v>
      </c>
      <c r="M138" s="389"/>
      <c r="N138" s="311"/>
      <c r="O138" s="321"/>
      <c r="P138" s="321"/>
      <c r="Q138" s="321"/>
      <c r="R138" s="322"/>
    </row>
    <row r="139" spans="1:18">
      <c r="A139" s="321">
        <f t="shared" si="42"/>
        <v>134</v>
      </c>
      <c r="B139" s="388">
        <v>46049</v>
      </c>
      <c r="C139" s="585" t="s">
        <v>159</v>
      </c>
      <c r="D139" s="321">
        <v>73088502</v>
      </c>
      <c r="E139" s="456">
        <v>60.698</v>
      </c>
      <c r="F139" s="530">
        <v>642.73</v>
      </c>
      <c r="G139" s="531">
        <f t="shared" si="40"/>
        <v>517.32</v>
      </c>
      <c r="H139" s="524">
        <f t="shared" si="43"/>
        <v>31400.28936</v>
      </c>
      <c r="I139" s="525">
        <v>39944.86</v>
      </c>
      <c r="J139" s="532">
        <f t="shared" si="41"/>
        <v>2424573.11228</v>
      </c>
      <c r="K139" s="47" t="s">
        <v>157</v>
      </c>
      <c r="L139" s="547" t="s">
        <v>158</v>
      </c>
      <c r="M139" s="389"/>
      <c r="N139" s="311"/>
      <c r="O139" s="321"/>
      <c r="P139" s="321"/>
      <c r="Q139" s="321"/>
      <c r="R139" s="322"/>
    </row>
    <row r="140" spans="1:18">
      <c r="A140" s="321">
        <f t="shared" si="42"/>
        <v>135</v>
      </c>
      <c r="B140" s="388">
        <v>46049</v>
      </c>
      <c r="C140" s="585" t="s">
        <v>159</v>
      </c>
      <c r="D140" s="321">
        <v>55303028</v>
      </c>
      <c r="E140" s="456">
        <v>62.05</v>
      </c>
      <c r="F140" s="530">
        <v>642.73</v>
      </c>
      <c r="G140" s="531">
        <f t="shared" si="40"/>
        <v>517.32</v>
      </c>
      <c r="H140" s="531">
        <f t="shared" si="43"/>
        <v>32099.706</v>
      </c>
      <c r="I140" s="532">
        <v>39944.86</v>
      </c>
      <c r="J140" s="532">
        <f t="shared" si="41"/>
        <v>2478578.563</v>
      </c>
      <c r="K140" s="47" t="s">
        <v>157</v>
      </c>
      <c r="L140" s="547" t="s">
        <v>158</v>
      </c>
      <c r="M140" s="389"/>
      <c r="N140" s="311"/>
      <c r="O140" s="321"/>
      <c r="P140" s="321"/>
      <c r="Q140" s="321"/>
      <c r="R140" s="322"/>
    </row>
    <row r="141" spans="1:18">
      <c r="A141" s="321">
        <f t="shared" si="42"/>
        <v>136</v>
      </c>
      <c r="B141" s="388">
        <v>46049</v>
      </c>
      <c r="C141" s="585" t="s">
        <v>159</v>
      </c>
      <c r="D141" s="321">
        <v>73206229</v>
      </c>
      <c r="E141" s="456">
        <v>61.699</v>
      </c>
      <c r="F141" s="530">
        <v>642.73</v>
      </c>
      <c r="G141" s="531">
        <f t="shared" si="40"/>
        <v>517.32</v>
      </c>
      <c r="H141" s="524">
        <f t="shared" si="43"/>
        <v>31918.12668</v>
      </c>
      <c r="I141" s="525">
        <v>39944.86</v>
      </c>
      <c r="J141" s="532">
        <f t="shared" si="41"/>
        <v>2464557.91714</v>
      </c>
      <c r="K141" s="47" t="s">
        <v>157</v>
      </c>
      <c r="L141" s="547" t="s">
        <v>158</v>
      </c>
      <c r="M141" s="389"/>
      <c r="N141" s="311"/>
      <c r="O141" s="321"/>
      <c r="P141" s="321"/>
      <c r="Q141" s="321"/>
      <c r="R141" s="322"/>
    </row>
    <row r="142" spans="1:18">
      <c r="A142" s="321">
        <f t="shared" si="42"/>
        <v>137</v>
      </c>
      <c r="B142" s="388">
        <v>46049</v>
      </c>
      <c r="C142" s="585" t="s">
        <v>159</v>
      </c>
      <c r="D142" s="321">
        <v>51392843</v>
      </c>
      <c r="E142" s="456">
        <v>51.733</v>
      </c>
      <c r="F142" s="530">
        <v>642.73</v>
      </c>
      <c r="G142" s="531">
        <f t="shared" si="40"/>
        <v>517.32</v>
      </c>
      <c r="H142" s="531">
        <f t="shared" si="43"/>
        <v>26762.51556</v>
      </c>
      <c r="I142" s="532">
        <v>39944.86</v>
      </c>
      <c r="J142" s="532">
        <f t="shared" si="41"/>
        <v>2066467.44238</v>
      </c>
      <c r="K142" s="47" t="s">
        <v>157</v>
      </c>
      <c r="L142" s="547" t="s">
        <v>158</v>
      </c>
      <c r="M142" s="389"/>
      <c r="N142" s="311"/>
      <c r="O142" s="321"/>
      <c r="P142" s="321"/>
      <c r="Q142" s="321"/>
      <c r="R142" s="322"/>
    </row>
    <row r="143" spans="1:18">
      <c r="A143" s="321">
        <f t="shared" si="42"/>
        <v>138</v>
      </c>
      <c r="B143" s="388">
        <v>46049</v>
      </c>
      <c r="C143" s="585" t="s">
        <v>159</v>
      </c>
      <c r="D143" s="321">
        <v>51547867</v>
      </c>
      <c r="E143" s="456">
        <v>51.683</v>
      </c>
      <c r="F143" s="530">
        <v>642.73</v>
      </c>
      <c r="G143" s="531">
        <f t="shared" si="40"/>
        <v>517.32</v>
      </c>
      <c r="H143" s="524">
        <f t="shared" si="43"/>
        <v>26736.64956</v>
      </c>
      <c r="I143" s="525">
        <v>39944.86</v>
      </c>
      <c r="J143" s="532">
        <f t="shared" si="41"/>
        <v>2064470.19938</v>
      </c>
      <c r="K143" s="47" t="s">
        <v>157</v>
      </c>
      <c r="L143" s="547" t="s">
        <v>158</v>
      </c>
      <c r="M143" s="389"/>
      <c r="N143" s="311"/>
      <c r="O143" s="321"/>
      <c r="P143" s="321"/>
      <c r="Q143" s="321"/>
      <c r="R143" s="322"/>
    </row>
    <row r="144" spans="1:18">
      <c r="A144" s="321">
        <f t="shared" si="42"/>
        <v>139</v>
      </c>
      <c r="B144" s="388">
        <v>46049</v>
      </c>
      <c r="C144" s="585" t="s">
        <v>159</v>
      </c>
      <c r="D144" s="586">
        <v>74905365</v>
      </c>
      <c r="E144" s="587">
        <v>62.3</v>
      </c>
      <c r="F144" s="530">
        <v>642.73</v>
      </c>
      <c r="G144" s="531">
        <f t="shared" si="40"/>
        <v>517.32</v>
      </c>
      <c r="H144" s="531">
        <f t="shared" si="43"/>
        <v>32229.036</v>
      </c>
      <c r="I144" s="532">
        <v>39944.86</v>
      </c>
      <c r="J144" s="532">
        <f t="shared" si="41"/>
        <v>2488564.778</v>
      </c>
      <c r="K144" s="47" t="s">
        <v>157</v>
      </c>
      <c r="L144" s="547" t="s">
        <v>158</v>
      </c>
      <c r="M144" s="420"/>
      <c r="N144" s="332"/>
      <c r="O144" s="333"/>
      <c r="P144" s="333"/>
      <c r="Q144" s="333"/>
      <c r="R144" s="334"/>
    </row>
    <row r="145" spans="1:20">
      <c r="A145" s="411">
        <v>140</v>
      </c>
      <c r="B145" s="379">
        <v>46049</v>
      </c>
      <c r="C145" s="584" t="s">
        <v>160</v>
      </c>
      <c r="D145" s="411">
        <v>71060644</v>
      </c>
      <c r="E145" s="455">
        <v>61.299</v>
      </c>
      <c r="F145" s="530">
        <v>642.73</v>
      </c>
      <c r="G145" s="531">
        <f t="shared" ref="G145:G158" si="44">F145-125.41</f>
        <v>517.32</v>
      </c>
      <c r="H145" s="524">
        <f t="shared" si="43"/>
        <v>31711.19868</v>
      </c>
      <c r="I145" s="525">
        <v>39944.86</v>
      </c>
      <c r="J145" s="532">
        <f t="shared" ref="J145:J158" si="45">E145*I145</f>
        <v>2448579.97314</v>
      </c>
      <c r="K145" s="47" t="s">
        <v>157</v>
      </c>
      <c r="L145" s="547" t="s">
        <v>158</v>
      </c>
      <c r="M145" s="383"/>
      <c r="N145" s="300"/>
      <c r="O145" s="309"/>
      <c r="P145" s="309"/>
      <c r="Q145" s="309"/>
      <c r="R145" s="310"/>
    </row>
    <row r="146" spans="1:20">
      <c r="A146" s="321">
        <f>A145+1</f>
        <v>141</v>
      </c>
      <c r="B146" s="379">
        <v>46049</v>
      </c>
      <c r="C146" s="584" t="s">
        <v>160</v>
      </c>
      <c r="D146" s="321">
        <v>75241158</v>
      </c>
      <c r="E146" s="456">
        <v>61.099</v>
      </c>
      <c r="F146" s="530">
        <v>642.73</v>
      </c>
      <c r="G146" s="531">
        <f t="shared" si="44"/>
        <v>517.32</v>
      </c>
      <c r="H146" s="531">
        <f t="shared" si="43"/>
        <v>31607.73468</v>
      </c>
      <c r="I146" s="532">
        <v>39944.86</v>
      </c>
      <c r="J146" s="532">
        <f t="shared" si="45"/>
        <v>2440591.00114</v>
      </c>
      <c r="K146" s="47" t="s">
        <v>157</v>
      </c>
      <c r="L146" s="547" t="s">
        <v>158</v>
      </c>
      <c r="M146" s="389"/>
      <c r="N146" s="311"/>
      <c r="O146" s="321"/>
      <c r="P146" s="321"/>
      <c r="Q146" s="321"/>
      <c r="R146" s="322"/>
    </row>
    <row r="147" spans="1:20">
      <c r="A147" s="321">
        <f t="shared" ref="A147:A158" si="46">A146+1</f>
        <v>142</v>
      </c>
      <c r="B147" s="379">
        <v>46049</v>
      </c>
      <c r="C147" s="584" t="s">
        <v>160</v>
      </c>
      <c r="D147" s="321">
        <v>75218123</v>
      </c>
      <c r="E147" s="456">
        <v>62.401</v>
      </c>
      <c r="F147" s="530">
        <v>642.73</v>
      </c>
      <c r="G147" s="531">
        <f t="shared" si="44"/>
        <v>517.32</v>
      </c>
      <c r="H147" s="524">
        <f t="shared" si="43"/>
        <v>32281.28532</v>
      </c>
      <c r="I147" s="525">
        <v>39944.86</v>
      </c>
      <c r="J147" s="532">
        <f t="shared" si="45"/>
        <v>2492599.20886</v>
      </c>
      <c r="K147" s="47" t="s">
        <v>157</v>
      </c>
      <c r="L147" s="547" t="s">
        <v>158</v>
      </c>
      <c r="M147" s="389"/>
      <c r="N147" s="311"/>
      <c r="O147" s="321"/>
      <c r="P147" s="321"/>
      <c r="Q147" s="321"/>
      <c r="R147" s="322"/>
    </row>
    <row r="148" spans="1:20">
      <c r="A148" s="321">
        <f t="shared" si="46"/>
        <v>143</v>
      </c>
      <c r="B148" s="379">
        <v>46049</v>
      </c>
      <c r="C148" s="584" t="s">
        <v>160</v>
      </c>
      <c r="D148" s="321">
        <v>73134132</v>
      </c>
      <c r="E148" s="456">
        <v>61.75</v>
      </c>
      <c r="F148" s="530">
        <v>642.73</v>
      </c>
      <c r="G148" s="531">
        <f t="shared" si="44"/>
        <v>517.32</v>
      </c>
      <c r="H148" s="531">
        <f t="shared" si="43"/>
        <v>31944.51</v>
      </c>
      <c r="I148" s="532">
        <v>39944.86</v>
      </c>
      <c r="J148" s="532">
        <f t="shared" si="45"/>
        <v>2466595.105</v>
      </c>
      <c r="K148" s="47" t="s">
        <v>157</v>
      </c>
      <c r="L148" s="547" t="s">
        <v>158</v>
      </c>
      <c r="M148" s="389"/>
      <c r="N148" s="311"/>
      <c r="O148" s="321"/>
      <c r="P148" s="321"/>
      <c r="Q148" s="321"/>
      <c r="R148" s="322"/>
    </row>
    <row r="149" spans="1:20">
      <c r="A149" s="321">
        <f t="shared" si="46"/>
        <v>144</v>
      </c>
      <c r="B149" s="379">
        <v>46049</v>
      </c>
      <c r="C149" s="584" t="s">
        <v>160</v>
      </c>
      <c r="D149" s="321">
        <v>53924320</v>
      </c>
      <c r="E149" s="456">
        <v>62.2</v>
      </c>
      <c r="F149" s="530">
        <v>642.73</v>
      </c>
      <c r="G149" s="531">
        <f t="shared" si="44"/>
        <v>517.32</v>
      </c>
      <c r="H149" s="524">
        <f t="shared" si="43"/>
        <v>32177.304</v>
      </c>
      <c r="I149" s="525">
        <v>39944.86</v>
      </c>
      <c r="J149" s="532">
        <f t="shared" si="45"/>
        <v>2484570.292</v>
      </c>
      <c r="K149" s="47" t="s">
        <v>157</v>
      </c>
      <c r="L149" s="547" t="s">
        <v>158</v>
      </c>
      <c r="M149" s="389"/>
      <c r="N149" s="311"/>
      <c r="O149" s="321"/>
      <c r="P149" s="321"/>
      <c r="Q149" s="321"/>
      <c r="R149" s="322"/>
    </row>
    <row r="150" spans="1:20">
      <c r="A150" s="321">
        <f t="shared" si="46"/>
        <v>145</v>
      </c>
      <c r="B150" s="379">
        <v>46049</v>
      </c>
      <c r="C150" s="584" t="s">
        <v>160</v>
      </c>
      <c r="D150" s="321">
        <v>51177392</v>
      </c>
      <c r="E150" s="456">
        <v>51.433</v>
      </c>
      <c r="F150" s="530">
        <v>642.73</v>
      </c>
      <c r="G150" s="531">
        <f t="shared" si="44"/>
        <v>517.32</v>
      </c>
      <c r="H150" s="531">
        <f t="shared" si="43"/>
        <v>26607.31956</v>
      </c>
      <c r="I150" s="532">
        <v>39944.86</v>
      </c>
      <c r="J150" s="532">
        <f t="shared" si="45"/>
        <v>2054483.98438</v>
      </c>
      <c r="K150" s="47" t="s">
        <v>157</v>
      </c>
      <c r="L150" s="547" t="s">
        <v>158</v>
      </c>
      <c r="M150" s="389"/>
      <c r="N150" s="311"/>
      <c r="O150" s="321"/>
      <c r="P150" s="321"/>
      <c r="Q150" s="321"/>
      <c r="R150" s="322"/>
    </row>
    <row r="151" spans="1:20">
      <c r="A151" s="321">
        <f t="shared" si="46"/>
        <v>146</v>
      </c>
      <c r="B151" s="379">
        <v>46049</v>
      </c>
      <c r="C151" s="584" t="s">
        <v>160</v>
      </c>
      <c r="D151" s="321">
        <v>75487298</v>
      </c>
      <c r="E151" s="456">
        <v>61.499</v>
      </c>
      <c r="F151" s="530">
        <v>642.73</v>
      </c>
      <c r="G151" s="531">
        <f t="shared" si="44"/>
        <v>517.32</v>
      </c>
      <c r="H151" s="524">
        <f t="shared" si="43"/>
        <v>31814.66268</v>
      </c>
      <c r="I151" s="525">
        <v>39944.86</v>
      </c>
      <c r="J151" s="532">
        <f t="shared" si="45"/>
        <v>2456568.94514</v>
      </c>
      <c r="K151" s="47" t="s">
        <v>157</v>
      </c>
      <c r="L151" s="547" t="s">
        <v>158</v>
      </c>
      <c r="M151" s="389"/>
      <c r="N151" s="311"/>
      <c r="O151" s="321"/>
      <c r="P151" s="321"/>
      <c r="Q151" s="321"/>
      <c r="R151" s="322"/>
    </row>
    <row r="152" spans="1:20">
      <c r="A152" s="321">
        <f t="shared" si="46"/>
        <v>147</v>
      </c>
      <c r="B152" s="379">
        <v>46049</v>
      </c>
      <c r="C152" s="584" t="s">
        <v>160</v>
      </c>
      <c r="D152" s="321">
        <v>75038661</v>
      </c>
      <c r="E152" s="456">
        <v>60.447</v>
      </c>
      <c r="F152" s="530">
        <v>642.73</v>
      </c>
      <c r="G152" s="531">
        <f t="shared" si="44"/>
        <v>517.32</v>
      </c>
      <c r="H152" s="531">
        <f t="shared" si="43"/>
        <v>31270.44204</v>
      </c>
      <c r="I152" s="532">
        <v>39944.86</v>
      </c>
      <c r="J152" s="532">
        <f t="shared" si="45"/>
        <v>2414546.95242</v>
      </c>
      <c r="K152" s="47" t="s">
        <v>157</v>
      </c>
      <c r="L152" s="547" t="s">
        <v>158</v>
      </c>
      <c r="M152" s="389"/>
      <c r="N152" s="311"/>
      <c r="O152" s="321"/>
      <c r="P152" s="321"/>
      <c r="Q152" s="321"/>
      <c r="R152" s="322"/>
    </row>
    <row r="153" spans="1:20">
      <c r="A153" s="321">
        <f t="shared" si="46"/>
        <v>148</v>
      </c>
      <c r="B153" s="379">
        <v>46049</v>
      </c>
      <c r="C153" s="584" t="s">
        <v>160</v>
      </c>
      <c r="D153" s="321">
        <v>75102426</v>
      </c>
      <c r="E153" s="456">
        <v>60.498</v>
      </c>
      <c r="F153" s="530">
        <v>642.73</v>
      </c>
      <c r="G153" s="531">
        <f t="shared" si="44"/>
        <v>517.32</v>
      </c>
      <c r="H153" s="524">
        <f t="shared" si="43"/>
        <v>31296.82536</v>
      </c>
      <c r="I153" s="525">
        <v>39944.86</v>
      </c>
      <c r="J153" s="532">
        <f t="shared" si="45"/>
        <v>2416584.14028</v>
      </c>
      <c r="K153" s="47" t="s">
        <v>157</v>
      </c>
      <c r="L153" s="547" t="s">
        <v>158</v>
      </c>
      <c r="M153" s="389"/>
      <c r="N153" s="311"/>
      <c r="O153" s="321"/>
      <c r="P153" s="321"/>
      <c r="Q153" s="321"/>
      <c r="R153" s="322"/>
    </row>
    <row r="154" spans="1:20">
      <c r="A154" s="321">
        <f t="shared" si="46"/>
        <v>149</v>
      </c>
      <c r="B154" s="379">
        <v>46049</v>
      </c>
      <c r="C154" s="584" t="s">
        <v>160</v>
      </c>
      <c r="D154" s="321">
        <v>50748151</v>
      </c>
      <c r="E154" s="456">
        <v>61.349</v>
      </c>
      <c r="F154" s="530">
        <v>642.73</v>
      </c>
      <c r="G154" s="531">
        <f t="shared" si="44"/>
        <v>517.32</v>
      </c>
      <c r="H154" s="531">
        <f t="shared" si="43"/>
        <v>31737.06468</v>
      </c>
      <c r="I154" s="532">
        <v>39944.86</v>
      </c>
      <c r="J154" s="532">
        <f t="shared" si="45"/>
        <v>2450577.21614</v>
      </c>
      <c r="K154" s="47" t="s">
        <v>157</v>
      </c>
      <c r="L154" s="547" t="s">
        <v>158</v>
      </c>
      <c r="M154" s="389"/>
      <c r="N154" s="311"/>
      <c r="O154" s="321"/>
      <c r="P154" s="321"/>
      <c r="Q154" s="321"/>
      <c r="R154" s="322"/>
    </row>
    <row r="155" spans="1:20">
      <c r="A155" s="321">
        <f t="shared" si="46"/>
        <v>150</v>
      </c>
      <c r="B155" s="379">
        <v>46049</v>
      </c>
      <c r="C155" s="584" t="s">
        <v>160</v>
      </c>
      <c r="D155" s="321">
        <v>54067772</v>
      </c>
      <c r="E155" s="456">
        <v>61.048</v>
      </c>
      <c r="F155" s="530">
        <v>642.73</v>
      </c>
      <c r="G155" s="531">
        <f t="shared" si="44"/>
        <v>517.32</v>
      </c>
      <c r="H155" s="524">
        <f t="shared" si="43"/>
        <v>31581.35136</v>
      </c>
      <c r="I155" s="525">
        <v>39944.86</v>
      </c>
      <c r="J155" s="532">
        <f t="shared" si="45"/>
        <v>2438553.81328</v>
      </c>
      <c r="K155" s="47" t="s">
        <v>157</v>
      </c>
      <c r="L155" s="547" t="s">
        <v>158</v>
      </c>
      <c r="M155" s="389"/>
      <c r="N155" s="311"/>
      <c r="O155" s="321"/>
      <c r="P155" s="321"/>
      <c r="Q155" s="321"/>
      <c r="R155" s="322"/>
    </row>
    <row r="156" spans="1:20">
      <c r="A156" s="321">
        <f t="shared" si="46"/>
        <v>151</v>
      </c>
      <c r="B156" s="379">
        <v>46049</v>
      </c>
      <c r="C156" s="584" t="s">
        <v>160</v>
      </c>
      <c r="D156" s="321">
        <v>50750041</v>
      </c>
      <c r="E156" s="456">
        <v>60.548</v>
      </c>
      <c r="F156" s="530">
        <v>642.73</v>
      </c>
      <c r="G156" s="531">
        <f t="shared" si="44"/>
        <v>517.32</v>
      </c>
      <c r="H156" s="531">
        <f t="shared" si="43"/>
        <v>31322.69136</v>
      </c>
      <c r="I156" s="532">
        <v>39944.86</v>
      </c>
      <c r="J156" s="532">
        <f t="shared" si="45"/>
        <v>2418581.38328</v>
      </c>
      <c r="K156" s="47" t="s">
        <v>157</v>
      </c>
      <c r="L156" s="547" t="s">
        <v>158</v>
      </c>
      <c r="M156" s="389"/>
      <c r="N156" s="311"/>
      <c r="O156" s="321"/>
      <c r="P156" s="321"/>
      <c r="Q156" s="321"/>
      <c r="R156" s="322"/>
    </row>
    <row r="157" spans="1:20">
      <c r="A157" s="321">
        <f t="shared" si="46"/>
        <v>152</v>
      </c>
      <c r="B157" s="379">
        <v>46049</v>
      </c>
      <c r="C157" s="584" t="s">
        <v>160</v>
      </c>
      <c r="D157" s="321">
        <v>57214298</v>
      </c>
      <c r="E157" s="456">
        <v>60.898</v>
      </c>
      <c r="F157" s="530">
        <v>642.73</v>
      </c>
      <c r="G157" s="531">
        <f t="shared" si="44"/>
        <v>517.32</v>
      </c>
      <c r="H157" s="524">
        <f t="shared" si="43"/>
        <v>31503.75336</v>
      </c>
      <c r="I157" s="525">
        <v>39944.86</v>
      </c>
      <c r="J157" s="532">
        <f t="shared" si="45"/>
        <v>2432562.08428</v>
      </c>
      <c r="K157" s="47" t="s">
        <v>157</v>
      </c>
      <c r="L157" s="547" t="s">
        <v>158</v>
      </c>
      <c r="M157" s="389"/>
      <c r="N157" s="311"/>
      <c r="O157" s="321"/>
      <c r="P157" s="321"/>
      <c r="Q157" s="321"/>
      <c r="R157" s="322"/>
    </row>
    <row r="158" spans="1:20">
      <c r="A158" s="417">
        <f t="shared" si="46"/>
        <v>153</v>
      </c>
      <c r="B158" s="439">
        <v>46049</v>
      </c>
      <c r="C158" s="588" t="s">
        <v>160</v>
      </c>
      <c r="D158" s="417">
        <v>51239390</v>
      </c>
      <c r="E158" s="482">
        <v>51.683</v>
      </c>
      <c r="F158" s="530">
        <v>642.73</v>
      </c>
      <c r="G158" s="548">
        <f t="shared" si="44"/>
        <v>517.32</v>
      </c>
      <c r="H158" s="531">
        <f t="shared" si="43"/>
        <v>26736.64956</v>
      </c>
      <c r="I158" s="532">
        <v>39944.86</v>
      </c>
      <c r="J158" s="549">
        <f t="shared" si="45"/>
        <v>2064470.19938</v>
      </c>
      <c r="K158" s="64" t="s">
        <v>157</v>
      </c>
      <c r="L158" s="550" t="s">
        <v>158</v>
      </c>
      <c r="M158" s="420"/>
      <c r="N158" s="332"/>
      <c r="O158" s="333"/>
      <c r="P158" s="333"/>
      <c r="Q158" s="333"/>
      <c r="R158" s="334"/>
    </row>
    <row r="159" spans="1:20">
      <c r="A159" s="378">
        <v>154</v>
      </c>
      <c r="B159" s="379">
        <v>46051</v>
      </c>
      <c r="C159" s="552">
        <v>9983311</v>
      </c>
      <c r="D159" s="553">
        <v>50214485</v>
      </c>
      <c r="E159" s="554">
        <v>59.347</v>
      </c>
      <c r="F159" s="589">
        <v>642.73</v>
      </c>
      <c r="G159" s="555">
        <f t="shared" ref="G159:G163" si="47">F159-125.41</f>
        <v>517.32</v>
      </c>
      <c r="H159" s="524">
        <f t="shared" si="43"/>
        <v>30701.39004</v>
      </c>
      <c r="I159" s="525">
        <v>39944.86</v>
      </c>
      <c r="J159" s="556">
        <f t="shared" ref="J159:J163" si="48">E159*I159</f>
        <v>2370607.60642</v>
      </c>
      <c r="K159" s="55" t="s">
        <v>157</v>
      </c>
      <c r="L159" s="547" t="s">
        <v>158</v>
      </c>
      <c r="M159" s="383"/>
      <c r="N159" s="300"/>
      <c r="O159" s="309"/>
      <c r="P159" s="309"/>
      <c r="Q159" s="309"/>
      <c r="R159" s="310"/>
      <c r="T159" s="349"/>
    </row>
    <row r="160" spans="1:20">
      <c r="A160" s="311">
        <f>A159+1</f>
        <v>155</v>
      </c>
      <c r="B160" s="388">
        <v>46051</v>
      </c>
      <c r="C160" s="527">
        <v>9983311</v>
      </c>
      <c r="D160" s="528">
        <v>50305192</v>
      </c>
      <c r="E160" s="529">
        <v>57.294</v>
      </c>
      <c r="F160" s="530">
        <v>642.73</v>
      </c>
      <c r="G160" s="531">
        <f t="shared" si="47"/>
        <v>517.32</v>
      </c>
      <c r="H160" s="531">
        <f t="shared" si="43"/>
        <v>29639.33208</v>
      </c>
      <c r="I160" s="532">
        <v>39944.86</v>
      </c>
      <c r="J160" s="532">
        <f t="shared" si="48"/>
        <v>2288600.80884</v>
      </c>
      <c r="K160" s="47" t="s">
        <v>157</v>
      </c>
      <c r="L160" s="547" t="s">
        <v>158</v>
      </c>
      <c r="M160" s="389"/>
      <c r="N160" s="311"/>
      <c r="O160" s="321"/>
      <c r="P160" s="321"/>
      <c r="Q160" s="321"/>
      <c r="R160" s="322"/>
      <c r="T160" s="349"/>
    </row>
    <row r="161" spans="1:20">
      <c r="A161" s="311">
        <f t="shared" ref="A161:A163" si="49">A160+1</f>
        <v>156</v>
      </c>
      <c r="B161" s="388">
        <v>46051</v>
      </c>
      <c r="C161" s="527">
        <v>9983311</v>
      </c>
      <c r="D161" s="528">
        <v>57122921</v>
      </c>
      <c r="E161" s="529">
        <v>58.196</v>
      </c>
      <c r="F161" s="530">
        <v>642.73</v>
      </c>
      <c r="G161" s="531">
        <f t="shared" si="47"/>
        <v>517.32</v>
      </c>
      <c r="H161" s="524">
        <f t="shared" si="43"/>
        <v>30105.95472</v>
      </c>
      <c r="I161" s="525">
        <v>39944.86</v>
      </c>
      <c r="J161" s="532">
        <f t="shared" si="48"/>
        <v>2324631.07256</v>
      </c>
      <c r="K161" s="47" t="s">
        <v>157</v>
      </c>
      <c r="L161" s="547" t="s">
        <v>158</v>
      </c>
      <c r="M161" s="389"/>
      <c r="N161" s="311"/>
      <c r="O161" s="321"/>
      <c r="P161" s="321"/>
      <c r="Q161" s="321"/>
      <c r="R161" s="322"/>
      <c r="T161" s="349"/>
    </row>
    <row r="162" spans="1:20">
      <c r="A162" s="311">
        <f t="shared" si="49"/>
        <v>157</v>
      </c>
      <c r="B162" s="388">
        <v>46051</v>
      </c>
      <c r="C162" s="527">
        <v>9983312</v>
      </c>
      <c r="D162" s="528">
        <v>73996167</v>
      </c>
      <c r="E162" s="529">
        <v>57.344</v>
      </c>
      <c r="F162" s="530">
        <v>642.73</v>
      </c>
      <c r="G162" s="531">
        <f t="shared" si="47"/>
        <v>517.32</v>
      </c>
      <c r="H162" s="531">
        <f t="shared" si="43"/>
        <v>29665.19808</v>
      </c>
      <c r="I162" s="532">
        <v>39944.86</v>
      </c>
      <c r="J162" s="532">
        <f t="shared" si="48"/>
        <v>2290598.05184</v>
      </c>
      <c r="K162" s="47" t="s">
        <v>157</v>
      </c>
      <c r="L162" s="547" t="s">
        <v>158</v>
      </c>
      <c r="M162" s="389"/>
      <c r="N162" s="311"/>
      <c r="O162" s="321"/>
      <c r="P162" s="321"/>
      <c r="Q162" s="321"/>
      <c r="R162" s="322"/>
      <c r="T162" s="349"/>
    </row>
    <row r="163" spans="1:20">
      <c r="A163" s="323">
        <f t="shared" si="49"/>
        <v>158</v>
      </c>
      <c r="B163" s="418">
        <v>46051</v>
      </c>
      <c r="C163" s="538">
        <v>9983312</v>
      </c>
      <c r="D163" s="539">
        <v>76814953</v>
      </c>
      <c r="E163" s="540">
        <v>59.999</v>
      </c>
      <c r="F163" s="590">
        <v>642.73</v>
      </c>
      <c r="G163" s="548">
        <f t="shared" si="47"/>
        <v>517.32</v>
      </c>
      <c r="H163" s="524">
        <f t="shared" si="43"/>
        <v>31038.68268</v>
      </c>
      <c r="I163" s="525">
        <v>39944.86</v>
      </c>
      <c r="J163" s="549">
        <f t="shared" si="48"/>
        <v>2396651.65514</v>
      </c>
      <c r="K163" s="64" t="s">
        <v>157</v>
      </c>
      <c r="L163" s="550" t="s">
        <v>158</v>
      </c>
      <c r="M163" s="420"/>
      <c r="N163" s="332"/>
      <c r="O163" s="333"/>
      <c r="P163" s="333"/>
      <c r="Q163" s="333"/>
      <c r="R163" s="334"/>
      <c r="T163" s="349"/>
    </row>
    <row r="164" spans="1:20">
      <c r="A164" s="300">
        <v>159</v>
      </c>
      <c r="B164" s="424">
        <v>46063</v>
      </c>
      <c r="C164" s="520">
        <v>9983386</v>
      </c>
      <c r="D164" s="521">
        <v>50071802</v>
      </c>
      <c r="E164" s="522">
        <v>51.037</v>
      </c>
      <c r="F164" s="523">
        <f>'[1]Platts '!AO32</f>
        <v>686.525</v>
      </c>
      <c r="G164" s="541">
        <f t="shared" ref="G164:G168" si="50">F164-125.41</f>
        <v>561.115</v>
      </c>
      <c r="H164" s="531">
        <f t="shared" si="43"/>
        <v>28637.626255</v>
      </c>
      <c r="I164" s="532">
        <v>39944.86</v>
      </c>
      <c r="J164" s="542">
        <f t="shared" ref="J164:J168" si="51">E164*I164</f>
        <v>2038665.81982</v>
      </c>
      <c r="K164" s="34" t="s">
        <v>157</v>
      </c>
      <c r="L164" s="545" t="s">
        <v>158</v>
      </c>
      <c r="M164" s="310"/>
      <c r="N164" s="300"/>
      <c r="O164" s="309"/>
      <c r="P164" s="309"/>
      <c r="Q164" s="309"/>
      <c r="R164" s="310"/>
      <c r="T164" s="349"/>
    </row>
    <row r="165" spans="1:20">
      <c r="A165" s="311">
        <f>A164+1</f>
        <v>160</v>
      </c>
      <c r="B165" s="388">
        <v>46063</v>
      </c>
      <c r="C165" s="527">
        <v>9983386</v>
      </c>
      <c r="D165" s="528">
        <v>50086628</v>
      </c>
      <c r="E165" s="529">
        <v>58.399</v>
      </c>
      <c r="F165" s="530">
        <v>667.92</v>
      </c>
      <c r="G165" s="531">
        <f t="shared" si="50"/>
        <v>542.51</v>
      </c>
      <c r="H165" s="524">
        <f t="shared" si="43"/>
        <v>31682.04149</v>
      </c>
      <c r="I165" s="525">
        <v>39944.86</v>
      </c>
      <c r="J165" s="532">
        <f t="shared" si="51"/>
        <v>2332739.87914</v>
      </c>
      <c r="K165" s="47" t="s">
        <v>157</v>
      </c>
      <c r="L165" s="547" t="s">
        <v>158</v>
      </c>
      <c r="M165" s="322"/>
      <c r="N165" s="311"/>
      <c r="O165" s="321"/>
      <c r="P165" s="321"/>
      <c r="Q165" s="321"/>
      <c r="R165" s="322"/>
      <c r="T165" s="349"/>
    </row>
    <row r="166" spans="1:20">
      <c r="A166" s="311">
        <f t="shared" ref="A166:A168" si="52">A165+1</f>
        <v>161</v>
      </c>
      <c r="B166" s="388">
        <v>46063</v>
      </c>
      <c r="C166" s="527">
        <v>9983386</v>
      </c>
      <c r="D166" s="528">
        <v>50489996</v>
      </c>
      <c r="E166" s="529">
        <v>59.05</v>
      </c>
      <c r="F166" s="530">
        <v>667.92</v>
      </c>
      <c r="G166" s="531">
        <f t="shared" si="50"/>
        <v>542.51</v>
      </c>
      <c r="H166" s="531">
        <f t="shared" si="43"/>
        <v>32035.2155</v>
      </c>
      <c r="I166" s="532">
        <v>39944.86</v>
      </c>
      <c r="J166" s="532">
        <f t="shared" si="51"/>
        <v>2358743.983</v>
      </c>
      <c r="K166" s="47" t="s">
        <v>157</v>
      </c>
      <c r="L166" s="547" t="s">
        <v>158</v>
      </c>
      <c r="M166" s="322"/>
      <c r="N166" s="311"/>
      <c r="O166" s="321"/>
      <c r="P166" s="321"/>
      <c r="Q166" s="321"/>
      <c r="R166" s="322"/>
      <c r="T166" s="349"/>
    </row>
    <row r="167" spans="1:20">
      <c r="A167" s="311">
        <f t="shared" si="52"/>
        <v>162</v>
      </c>
      <c r="B167" s="388">
        <v>46063</v>
      </c>
      <c r="C167" s="527">
        <v>9983386</v>
      </c>
      <c r="D167" s="528">
        <v>74945304</v>
      </c>
      <c r="E167" s="529">
        <v>59.701</v>
      </c>
      <c r="F167" s="530">
        <v>667.92</v>
      </c>
      <c r="G167" s="531">
        <f t="shared" si="50"/>
        <v>542.51</v>
      </c>
      <c r="H167" s="524">
        <f>E167*G167</f>
        <v>32388.38951</v>
      </c>
      <c r="I167" s="525">
        <v>39944.86</v>
      </c>
      <c r="J167" s="532">
        <f t="shared" si="51"/>
        <v>2384748.08686</v>
      </c>
      <c r="K167" s="47" t="s">
        <v>157</v>
      </c>
      <c r="L167" s="547" t="s">
        <v>158</v>
      </c>
      <c r="M167" s="322"/>
      <c r="N167" s="311"/>
      <c r="O167" s="321"/>
      <c r="P167" s="321"/>
      <c r="Q167" s="321"/>
      <c r="R167" s="322"/>
      <c r="T167" s="349"/>
    </row>
    <row r="168" ht="15.75" spans="1:20">
      <c r="A168" s="332">
        <f t="shared" si="52"/>
        <v>163</v>
      </c>
      <c r="B168" s="396">
        <v>46063</v>
      </c>
      <c r="C168" s="533">
        <v>9983386</v>
      </c>
      <c r="D168" s="534">
        <v>76807874</v>
      </c>
      <c r="E168" s="535">
        <v>58.099</v>
      </c>
      <c r="F168" s="530">
        <v>667.92</v>
      </c>
      <c r="G168" s="557">
        <f t="shared" si="50"/>
        <v>542.51</v>
      </c>
      <c r="H168" s="531">
        <f>E168*G168</f>
        <v>31519.28849</v>
      </c>
      <c r="I168" s="532">
        <v>39944.86</v>
      </c>
      <c r="J168" s="558">
        <f t="shared" si="51"/>
        <v>2320756.42114</v>
      </c>
      <c r="K168" s="115" t="s">
        <v>157</v>
      </c>
      <c r="L168" s="559" t="s">
        <v>158</v>
      </c>
      <c r="M168" s="334"/>
      <c r="N168" s="332"/>
      <c r="O168" s="333"/>
      <c r="P168" s="333"/>
      <c r="Q168" s="333"/>
      <c r="R168" s="334"/>
      <c r="T168" s="349"/>
    </row>
    <row r="169" spans="1:20">
      <c r="A169" s="488"/>
      <c r="B169" s="489"/>
      <c r="C169" s="489"/>
      <c r="D169" s="489"/>
      <c r="E169" s="490">
        <f>SUM(E5:E168)</f>
        <v>9564.278</v>
      </c>
      <c r="F169" s="489"/>
      <c r="G169" s="489"/>
      <c r="H169" s="491">
        <f>SUM(H5:H168)</f>
        <v>4955953.16327547</v>
      </c>
      <c r="I169" s="489"/>
      <c r="J169" s="591">
        <f>SUM(J5:J168)</f>
        <v>382043745.71108</v>
      </c>
      <c r="K169" s="489"/>
      <c r="L169" s="494"/>
      <c r="M169" s="495"/>
      <c r="N169" s="496"/>
      <c r="O169" s="489"/>
      <c r="P169" s="492" t="e">
        <f>#REF!+#REF!+#REF!+#REF!+#REF!+#REF!+#REF!+#REF!</f>
        <v>#REF!</v>
      </c>
      <c r="Q169" s="592" t="e">
        <f>#REF!+#REF!+#REF!+#REF!+#REF!+#REF!+#REF!+#REF!</f>
        <v>#REF!</v>
      </c>
      <c r="R169" s="497"/>
    </row>
    <row r="172" spans="1:20">
      <c r="B172" s="498" t="s">
        <v>161</v>
      </c>
      <c r="C172" s="499"/>
      <c r="D172" s="500"/>
      <c r="E172" s="501">
        <v>9600</v>
      </c>
    </row>
    <row r="173" spans="1:20">
      <c r="B173" s="502" t="s">
        <v>162</v>
      </c>
      <c r="C173" s="503"/>
      <c r="D173" s="504"/>
      <c r="E173" s="505">
        <f>E169</f>
        <v>9564.278</v>
      </c>
    </row>
    <row r="174" ht="15.75" spans="1:20">
      <c r="B174" s="506" t="s">
        <v>163</v>
      </c>
      <c r="C174" s="507"/>
      <c r="D174" s="508"/>
      <c r="E174" s="509">
        <f>E172-E173</f>
        <v>35.7219999999961</v>
      </c>
    </row>
  </sheetData>
  <mergeCells count="5">
    <mergeCell ref="A1:M1"/>
    <mergeCell ref="A2:M2"/>
    <mergeCell ref="B172:D172"/>
    <mergeCell ref="B173:D173"/>
    <mergeCell ref="B174:D174"/>
  </mergeCells>
  <conditionalFormatting sqref="D4">
    <cfRule type="duplicateValues" dxfId="0" priority="2"/>
  </conditionalFormatting>
  <conditionalFormatting sqref="D172:D174">
    <cfRule type="duplicateValues" dxfId="0" priority="1"/>
  </conditionalFormatting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92"/>
  <sheetViews>
    <sheetView topLeftCell="A161" workbookViewId="0">
      <selection activeCell="J186" sqref="J186"/>
    </sheetView>
  </sheetViews>
  <sheetFormatPr defaultColWidth="9.1047619047619" defaultRowHeight="15"/>
  <cols>
    <col min="1" max="1" width="9.1047619047619" style="275"/>
    <col min="2" max="2" width="10.552380952381" style="275" customWidth="1"/>
    <col min="3" max="3" width="11" style="275" customWidth="1"/>
    <col min="4" max="4" width="11.4380952380952" style="275" customWidth="1"/>
    <col min="5" max="5" width="10.1047619047619" style="276" customWidth="1"/>
    <col min="6" max="7" width="9.1047619047619" style="275"/>
    <col min="8" max="8" width="14.1047619047619" style="275" customWidth="1"/>
    <col min="9" max="9" width="10.6666666666667" style="275" customWidth="1"/>
    <col min="10" max="10" width="19.4380952380952" style="275" customWidth="1"/>
    <col min="11" max="11" width="15.1047619047619" style="275" customWidth="1"/>
    <col min="12" max="12" width="9.1047619047619" style="275"/>
    <col min="13" max="13" width="1" style="275" customWidth="1"/>
    <col min="14" max="14" width="9.1047619047619" style="275"/>
    <col min="15" max="15" width="10.4380952380952" style="275" customWidth="1"/>
    <col min="16" max="16" width="9.1047619047619" style="275"/>
    <col min="17" max="17" width="10" style="275" customWidth="1"/>
    <col min="18" max="19" width="9.1047619047619" style="275"/>
    <col min="20" max="20" width="15.4380952380952" style="275" customWidth="1"/>
    <col min="21" max="21" width="16.4380952380952" style="275" customWidth="1"/>
    <col min="22" max="16384" width="9.1047619047619" style="275"/>
  </cols>
  <sheetData>
    <row r="1" ht="13.8" customHeight="1" spans="1:18">
      <c r="A1" s="277" t="s">
        <v>139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9"/>
      <c r="O1" s="279"/>
      <c r="P1" s="279"/>
      <c r="Q1" s="280" t="s">
        <v>164</v>
      </c>
      <c r="R1" s="279"/>
    </row>
    <row r="2" ht="13.8" customHeight="1" spans="1:18">
      <c r="A2" s="281" t="s">
        <v>165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79"/>
      <c r="O2" s="279"/>
      <c r="P2" s="279"/>
      <c r="Q2" s="279"/>
      <c r="R2" s="279"/>
    </row>
    <row r="3" ht="15.75" spans="1:18">
      <c r="A3" s="279"/>
      <c r="B3" s="279"/>
      <c r="C3" s="279"/>
      <c r="D3" s="279"/>
      <c r="E3" s="283"/>
      <c r="F3" s="283"/>
      <c r="G3" s="279"/>
      <c r="H3" s="279"/>
      <c r="I3" s="279"/>
      <c r="J3" s="284"/>
      <c r="K3" s="279"/>
      <c r="L3" s="279"/>
      <c r="M3" s="279"/>
      <c r="N3" s="279"/>
      <c r="O3" s="279"/>
      <c r="P3" s="279"/>
      <c r="Q3" s="279"/>
      <c r="R3" s="279"/>
    </row>
    <row r="4" ht="72" spans="1:18">
      <c r="A4" s="285" t="s">
        <v>141</v>
      </c>
      <c r="B4" s="286" t="s">
        <v>3</v>
      </c>
      <c r="C4" s="287" t="s">
        <v>142</v>
      </c>
      <c r="D4" s="286" t="s">
        <v>143</v>
      </c>
      <c r="E4" s="288" t="s">
        <v>144</v>
      </c>
      <c r="F4" s="289" t="s">
        <v>166</v>
      </c>
      <c r="G4" s="290" t="s">
        <v>167</v>
      </c>
      <c r="H4" s="291" t="s">
        <v>147</v>
      </c>
      <c r="I4" s="292" t="s">
        <v>148</v>
      </c>
      <c r="J4" s="293" t="s">
        <v>149</v>
      </c>
      <c r="K4" s="286" t="s">
        <v>150</v>
      </c>
      <c r="L4" s="294" t="s">
        <v>151</v>
      </c>
      <c r="M4" s="295"/>
      <c r="N4" s="296" t="s">
        <v>152</v>
      </c>
      <c r="O4" s="297" t="s">
        <v>153</v>
      </c>
      <c r="P4" s="298" t="s">
        <v>154</v>
      </c>
      <c r="Q4" s="298" t="s">
        <v>155</v>
      </c>
      <c r="R4" s="299" t="s">
        <v>156</v>
      </c>
    </row>
    <row r="5" spans="1:18">
      <c r="A5" s="300">
        <v>1</v>
      </c>
      <c r="B5" s="301" t="s">
        <v>168</v>
      </c>
      <c r="C5" s="301" t="s">
        <v>169</v>
      </c>
      <c r="D5" s="301" t="s">
        <v>170</v>
      </c>
      <c r="E5" s="302">
        <v>53.35</v>
      </c>
      <c r="F5" s="303">
        <f>'[2]Platts '!AS35</f>
        <v>973.386363636364</v>
      </c>
      <c r="G5" s="304">
        <f>F5-42</f>
        <v>931.386363636364</v>
      </c>
      <c r="H5" s="303">
        <f>E5*G5</f>
        <v>49689.4625</v>
      </c>
      <c r="I5" s="305">
        <v>74980.34</v>
      </c>
      <c r="J5" s="306">
        <f>E5*I5</f>
        <v>4000201.139</v>
      </c>
      <c r="K5" s="149" t="s">
        <v>157</v>
      </c>
      <c r="L5" s="307" t="s">
        <v>171</v>
      </c>
      <c r="M5" s="308"/>
      <c r="N5" s="300"/>
      <c r="O5" s="309"/>
      <c r="P5" s="309"/>
      <c r="Q5" s="309"/>
      <c r="R5" s="310"/>
    </row>
    <row r="6" spans="1:18">
      <c r="A6" s="311">
        <f>A5+1</f>
        <v>2</v>
      </c>
      <c r="B6" s="312" t="s">
        <v>168</v>
      </c>
      <c r="C6" s="312" t="s">
        <v>169</v>
      </c>
      <c r="D6" s="312" t="s">
        <v>172</v>
      </c>
      <c r="E6" s="313">
        <v>60.4</v>
      </c>
      <c r="F6" s="314">
        <v>973.39</v>
      </c>
      <c r="G6" s="315">
        <f>F6-42</f>
        <v>931.39</v>
      </c>
      <c r="H6" s="316">
        <f>E6*G6</f>
        <v>56255.956</v>
      </c>
      <c r="I6" s="317">
        <v>74980.34</v>
      </c>
      <c r="J6" s="318">
        <f>E6*I6</f>
        <v>4528812.536</v>
      </c>
      <c r="K6" s="47" t="s">
        <v>157</v>
      </c>
      <c r="L6" s="319" t="s">
        <v>171</v>
      </c>
      <c r="M6" s="320"/>
      <c r="N6" s="311"/>
      <c r="O6" s="321"/>
      <c r="P6" s="321"/>
      <c r="Q6" s="321"/>
      <c r="R6" s="322"/>
    </row>
    <row r="7" spans="1:18">
      <c r="A7" s="311">
        <f>A6+1</f>
        <v>3</v>
      </c>
      <c r="B7" s="312" t="s">
        <v>168</v>
      </c>
      <c r="C7" s="312" t="s">
        <v>169</v>
      </c>
      <c r="D7" s="312" t="s">
        <v>173</v>
      </c>
      <c r="E7" s="313">
        <v>60.9</v>
      </c>
      <c r="F7" s="314">
        <v>973.39</v>
      </c>
      <c r="G7" s="315">
        <f>F7-42</f>
        <v>931.39</v>
      </c>
      <c r="H7" s="316">
        <f>E7*G7</f>
        <v>56721.651</v>
      </c>
      <c r="I7" s="317">
        <v>74980.34</v>
      </c>
      <c r="J7" s="318">
        <f>E7*I7</f>
        <v>4566302.706</v>
      </c>
      <c r="K7" s="47" t="s">
        <v>157</v>
      </c>
      <c r="L7" s="319" t="s">
        <v>171</v>
      </c>
      <c r="M7" s="320"/>
      <c r="N7" s="311"/>
      <c r="O7" s="321"/>
      <c r="P7" s="321"/>
      <c r="Q7" s="321"/>
      <c r="R7" s="322"/>
    </row>
    <row r="8" spans="1:18">
      <c r="A8" s="311">
        <f>A7+1</f>
        <v>4</v>
      </c>
      <c r="B8" s="312" t="s">
        <v>168</v>
      </c>
      <c r="C8" s="312" t="s">
        <v>169</v>
      </c>
      <c r="D8" s="312" t="s">
        <v>174</v>
      </c>
      <c r="E8" s="313">
        <v>61</v>
      </c>
      <c r="F8" s="314">
        <v>973.39</v>
      </c>
      <c r="G8" s="315">
        <f>F8-42</f>
        <v>931.39</v>
      </c>
      <c r="H8" s="316">
        <f>E8*G8</f>
        <v>56814.79</v>
      </c>
      <c r="I8" s="317">
        <v>74980.34</v>
      </c>
      <c r="J8" s="318">
        <f>E8*I8</f>
        <v>4573800.74</v>
      </c>
      <c r="K8" s="47" t="s">
        <v>157</v>
      </c>
      <c r="L8" s="319" t="s">
        <v>171</v>
      </c>
      <c r="M8" s="320"/>
      <c r="N8" s="311"/>
      <c r="O8" s="321"/>
      <c r="P8" s="321"/>
      <c r="Q8" s="321"/>
      <c r="R8" s="322"/>
    </row>
    <row r="9" spans="1:18">
      <c r="A9" s="311">
        <f>A8+1</f>
        <v>5</v>
      </c>
      <c r="B9" s="312" t="s">
        <v>168</v>
      </c>
      <c r="C9" s="312" t="s">
        <v>169</v>
      </c>
      <c r="D9" s="312" t="s">
        <v>175</v>
      </c>
      <c r="E9" s="313">
        <v>60.9</v>
      </c>
      <c r="F9" s="314">
        <v>973.39</v>
      </c>
      <c r="G9" s="315">
        <f>F9-42</f>
        <v>931.39</v>
      </c>
      <c r="H9" s="316">
        <f>E9*G9</f>
        <v>56721.651</v>
      </c>
      <c r="I9" s="317">
        <v>74980.34</v>
      </c>
      <c r="J9" s="318">
        <f>E9*I9</f>
        <v>4566302.706</v>
      </c>
      <c r="K9" s="47" t="s">
        <v>157</v>
      </c>
      <c r="L9" s="319" t="s">
        <v>171</v>
      </c>
      <c r="M9" s="320"/>
      <c r="N9" s="311"/>
      <c r="O9" s="321"/>
      <c r="P9" s="321"/>
      <c r="Q9" s="321"/>
      <c r="R9" s="322"/>
    </row>
    <row r="10" spans="1:18">
      <c r="A10" s="311">
        <f>A9+1</f>
        <v>6</v>
      </c>
      <c r="B10" s="312" t="s">
        <v>168</v>
      </c>
      <c r="C10" s="312" t="s">
        <v>169</v>
      </c>
      <c r="D10" s="312" t="s">
        <v>176</v>
      </c>
      <c r="E10" s="313">
        <v>60.95</v>
      </c>
      <c r="F10" s="314">
        <v>973.39</v>
      </c>
      <c r="G10" s="315">
        <f>F10-42</f>
        <v>931.39</v>
      </c>
      <c r="H10" s="316">
        <f>E10*G10</f>
        <v>56768.2205</v>
      </c>
      <c r="I10" s="317">
        <v>74980.34</v>
      </c>
      <c r="J10" s="318">
        <f>E10*I10</f>
        <v>4570051.723</v>
      </c>
      <c r="K10" s="47" t="s">
        <v>157</v>
      </c>
      <c r="L10" s="319" t="s">
        <v>171</v>
      </c>
      <c r="M10" s="320"/>
      <c r="N10" s="311"/>
      <c r="O10" s="321"/>
      <c r="P10" s="321"/>
      <c r="Q10" s="321"/>
      <c r="R10" s="322"/>
    </row>
    <row r="11" spans="1:18">
      <c r="A11" s="311">
        <f>A10+1</f>
        <v>7</v>
      </c>
      <c r="B11" s="312" t="s">
        <v>168</v>
      </c>
      <c r="C11" s="312" t="s">
        <v>169</v>
      </c>
      <c r="D11" s="312" t="s">
        <v>177</v>
      </c>
      <c r="E11" s="313">
        <v>52.7</v>
      </c>
      <c r="F11" s="314">
        <v>973.39</v>
      </c>
      <c r="G11" s="315">
        <f>F11-42</f>
        <v>931.39</v>
      </c>
      <c r="H11" s="316">
        <f>E11*G11</f>
        <v>49084.253</v>
      </c>
      <c r="I11" s="317">
        <v>74980.34</v>
      </c>
      <c r="J11" s="318">
        <f>E11*I11</f>
        <v>3951463.918</v>
      </c>
      <c r="K11" s="47" t="s">
        <v>157</v>
      </c>
      <c r="L11" s="319" t="s">
        <v>171</v>
      </c>
      <c r="M11" s="320"/>
      <c r="N11" s="311"/>
      <c r="O11" s="321"/>
      <c r="P11" s="321"/>
      <c r="Q11" s="321"/>
      <c r="R11" s="322"/>
    </row>
    <row r="12" spans="1:18">
      <c r="A12" s="311">
        <f>A11+1</f>
        <v>8</v>
      </c>
      <c r="B12" s="312" t="s">
        <v>168</v>
      </c>
      <c r="C12" s="312" t="s">
        <v>169</v>
      </c>
      <c r="D12" s="312" t="s">
        <v>178</v>
      </c>
      <c r="E12" s="313">
        <v>52.65</v>
      </c>
      <c r="F12" s="314">
        <v>973.39</v>
      </c>
      <c r="G12" s="315">
        <f>F12-42</f>
        <v>931.39</v>
      </c>
      <c r="H12" s="316">
        <f>E12*G12</f>
        <v>49037.6835</v>
      </c>
      <c r="I12" s="317">
        <v>74980.34</v>
      </c>
      <c r="J12" s="318">
        <f>E12*I12</f>
        <v>3947714.901</v>
      </c>
      <c r="K12" s="47" t="s">
        <v>157</v>
      </c>
      <c r="L12" s="319" t="s">
        <v>171</v>
      </c>
      <c r="M12" s="320"/>
      <c r="N12" s="311"/>
      <c r="O12" s="321"/>
      <c r="P12" s="321"/>
      <c r="Q12" s="321"/>
      <c r="R12" s="322"/>
    </row>
    <row r="13" spans="1:18">
      <c r="A13" s="311">
        <f>A12+1</f>
        <v>9</v>
      </c>
      <c r="B13" s="312" t="s">
        <v>168</v>
      </c>
      <c r="C13" s="312" t="s">
        <v>169</v>
      </c>
      <c r="D13" s="312" t="s">
        <v>179</v>
      </c>
      <c r="E13" s="313">
        <v>52.65</v>
      </c>
      <c r="F13" s="314">
        <v>973.39</v>
      </c>
      <c r="G13" s="315">
        <f>F13-42</f>
        <v>931.39</v>
      </c>
      <c r="H13" s="316">
        <f>E13*G13</f>
        <v>49037.6835</v>
      </c>
      <c r="I13" s="317">
        <v>74980.34</v>
      </c>
      <c r="J13" s="318">
        <f>E13*I13</f>
        <v>3947714.901</v>
      </c>
      <c r="K13" s="47" t="s">
        <v>157</v>
      </c>
      <c r="L13" s="319" t="s">
        <v>171</v>
      </c>
      <c r="M13" s="320"/>
      <c r="N13" s="311"/>
      <c r="O13" s="321"/>
      <c r="P13" s="321"/>
      <c r="Q13" s="321"/>
      <c r="R13" s="322"/>
    </row>
    <row r="14" spans="1:18">
      <c r="A14" s="311">
        <f>A13+1</f>
        <v>10</v>
      </c>
      <c r="B14" s="312" t="s">
        <v>168</v>
      </c>
      <c r="C14" s="312" t="s">
        <v>169</v>
      </c>
      <c r="D14" s="312" t="s">
        <v>180</v>
      </c>
      <c r="E14" s="313">
        <v>52.65</v>
      </c>
      <c r="F14" s="314">
        <v>973.39</v>
      </c>
      <c r="G14" s="315">
        <f>F14-42</f>
        <v>931.39</v>
      </c>
      <c r="H14" s="316">
        <f>E14*G14</f>
        <v>49037.6835</v>
      </c>
      <c r="I14" s="317">
        <v>74980.34</v>
      </c>
      <c r="J14" s="318">
        <f>E14*I14</f>
        <v>3947714.901</v>
      </c>
      <c r="K14" s="47" t="s">
        <v>157</v>
      </c>
      <c r="L14" s="319" t="s">
        <v>171</v>
      </c>
      <c r="M14" s="320"/>
      <c r="N14" s="311"/>
      <c r="O14" s="321"/>
      <c r="P14" s="321"/>
      <c r="Q14" s="321"/>
      <c r="R14" s="322"/>
    </row>
    <row r="15" spans="1:18">
      <c r="A15" s="311">
        <f>A14+1</f>
        <v>11</v>
      </c>
      <c r="B15" s="312" t="s">
        <v>168</v>
      </c>
      <c r="C15" s="312" t="s">
        <v>169</v>
      </c>
      <c r="D15" s="312" t="s">
        <v>181</v>
      </c>
      <c r="E15" s="313">
        <v>52.65</v>
      </c>
      <c r="F15" s="314">
        <v>973.39</v>
      </c>
      <c r="G15" s="315">
        <f>F15-42</f>
        <v>931.39</v>
      </c>
      <c r="H15" s="316">
        <f>E15*G15</f>
        <v>49037.6835</v>
      </c>
      <c r="I15" s="317">
        <v>74980.34</v>
      </c>
      <c r="J15" s="318">
        <f>E15*I15</f>
        <v>3947714.901</v>
      </c>
      <c r="K15" s="47" t="s">
        <v>157</v>
      </c>
      <c r="L15" s="319" t="s">
        <v>171</v>
      </c>
      <c r="M15" s="320"/>
      <c r="N15" s="311"/>
      <c r="O15" s="321"/>
      <c r="P15" s="321"/>
      <c r="Q15" s="321"/>
      <c r="R15" s="322"/>
    </row>
    <row r="16" spans="1:18">
      <c r="A16" s="311">
        <f>A15+1</f>
        <v>12</v>
      </c>
      <c r="B16" s="312" t="s">
        <v>168</v>
      </c>
      <c r="C16" s="312" t="s">
        <v>169</v>
      </c>
      <c r="D16" s="312" t="s">
        <v>182</v>
      </c>
      <c r="E16" s="313">
        <v>52.7</v>
      </c>
      <c r="F16" s="314">
        <v>973.39</v>
      </c>
      <c r="G16" s="315">
        <f>F16-42</f>
        <v>931.39</v>
      </c>
      <c r="H16" s="316">
        <f>E16*G16</f>
        <v>49084.253</v>
      </c>
      <c r="I16" s="317">
        <v>74980.34</v>
      </c>
      <c r="J16" s="318">
        <f>E16*I16</f>
        <v>3951463.918</v>
      </c>
      <c r="K16" s="47" t="s">
        <v>157</v>
      </c>
      <c r="L16" s="319" t="s">
        <v>171</v>
      </c>
      <c r="M16" s="320"/>
      <c r="N16" s="311"/>
      <c r="O16" s="321"/>
      <c r="P16" s="321"/>
      <c r="Q16" s="321"/>
      <c r="R16" s="322"/>
    </row>
    <row r="17" spans="1:21">
      <c r="A17" s="311">
        <f>A16+1</f>
        <v>13</v>
      </c>
      <c r="B17" s="312" t="s">
        <v>168</v>
      </c>
      <c r="C17" s="312" t="s">
        <v>169</v>
      </c>
      <c r="D17" s="312" t="s">
        <v>183</v>
      </c>
      <c r="E17" s="313">
        <v>60.45</v>
      </c>
      <c r="F17" s="314">
        <v>973.39</v>
      </c>
      <c r="G17" s="315">
        <f>F17-42</f>
        <v>931.39</v>
      </c>
      <c r="H17" s="316">
        <f>E17*G17</f>
        <v>56302.5255</v>
      </c>
      <c r="I17" s="317">
        <v>74980.34</v>
      </c>
      <c r="J17" s="318">
        <f>E17*I17</f>
        <v>4532561.553</v>
      </c>
      <c r="K17" s="47" t="s">
        <v>157</v>
      </c>
      <c r="L17" s="319" t="s">
        <v>171</v>
      </c>
      <c r="M17" s="320"/>
      <c r="N17" s="311"/>
      <c r="O17" s="321"/>
      <c r="P17" s="321"/>
      <c r="Q17" s="321"/>
      <c r="R17" s="322"/>
    </row>
    <row r="18" spans="1:21">
      <c r="A18" s="311">
        <f>A17+1</f>
        <v>14</v>
      </c>
      <c r="B18" s="312" t="s">
        <v>168</v>
      </c>
      <c r="C18" s="312" t="s">
        <v>169</v>
      </c>
      <c r="D18" s="312" t="s">
        <v>184</v>
      </c>
      <c r="E18" s="313">
        <v>60.95</v>
      </c>
      <c r="F18" s="314">
        <v>973.39</v>
      </c>
      <c r="G18" s="315">
        <f>F18-42</f>
        <v>931.39</v>
      </c>
      <c r="H18" s="316">
        <f>E18*G18</f>
        <v>56768.2205</v>
      </c>
      <c r="I18" s="317">
        <v>74980.34</v>
      </c>
      <c r="J18" s="318">
        <f>E18*I18</f>
        <v>4570051.723</v>
      </c>
      <c r="K18" s="47" t="s">
        <v>157</v>
      </c>
      <c r="L18" s="319" t="s">
        <v>171</v>
      </c>
      <c r="M18" s="320"/>
      <c r="N18" s="311"/>
      <c r="O18" s="321"/>
      <c r="P18" s="321"/>
      <c r="Q18" s="321"/>
      <c r="R18" s="322"/>
    </row>
    <row r="19" spans="1:21">
      <c r="A19" s="311">
        <f>A18+1</f>
        <v>15</v>
      </c>
      <c r="B19" s="312" t="s">
        <v>168</v>
      </c>
      <c r="C19" s="312" t="s">
        <v>169</v>
      </c>
      <c r="D19" s="312" t="s">
        <v>185</v>
      </c>
      <c r="E19" s="313">
        <v>60.8</v>
      </c>
      <c r="F19" s="314">
        <v>973.39</v>
      </c>
      <c r="G19" s="315">
        <f>F19-42</f>
        <v>931.39</v>
      </c>
      <c r="H19" s="316">
        <f>E19*G19</f>
        <v>56628.512</v>
      </c>
      <c r="I19" s="317">
        <v>74980.34</v>
      </c>
      <c r="J19" s="318">
        <f>E19*I19</f>
        <v>4558804.672</v>
      </c>
      <c r="K19" s="47" t="s">
        <v>157</v>
      </c>
      <c r="L19" s="319" t="s">
        <v>171</v>
      </c>
      <c r="M19" s="320"/>
      <c r="N19" s="311"/>
      <c r="O19" s="321"/>
      <c r="P19" s="321"/>
      <c r="Q19" s="321"/>
      <c r="R19" s="322"/>
    </row>
    <row r="20" spans="1:21">
      <c r="A20" s="311">
        <f>A19+1</f>
        <v>16</v>
      </c>
      <c r="B20" s="312" t="s">
        <v>168</v>
      </c>
      <c r="C20" s="312" t="s">
        <v>169</v>
      </c>
      <c r="D20" s="312" t="s">
        <v>186</v>
      </c>
      <c r="E20" s="313">
        <v>61.1</v>
      </c>
      <c r="F20" s="314">
        <v>973.39</v>
      </c>
      <c r="G20" s="315">
        <f>F20-42</f>
        <v>931.39</v>
      </c>
      <c r="H20" s="316">
        <f>E20*G20</f>
        <v>56907.929</v>
      </c>
      <c r="I20" s="317">
        <v>74980.34</v>
      </c>
      <c r="J20" s="318">
        <f>E20*I20</f>
        <v>4581298.774</v>
      </c>
      <c r="K20" s="47" t="s">
        <v>157</v>
      </c>
      <c r="L20" s="319" t="s">
        <v>171</v>
      </c>
      <c r="M20" s="320"/>
      <c r="N20" s="311"/>
      <c r="O20" s="321"/>
      <c r="P20" s="321"/>
      <c r="Q20" s="321"/>
      <c r="R20" s="322"/>
    </row>
    <row r="21" spans="1:21">
      <c r="A21" s="311">
        <f>A20+1</f>
        <v>17</v>
      </c>
      <c r="B21" s="312" t="s">
        <v>168</v>
      </c>
      <c r="C21" s="312" t="s">
        <v>169</v>
      </c>
      <c r="D21" s="312" t="s">
        <v>187</v>
      </c>
      <c r="E21" s="313">
        <v>60.6</v>
      </c>
      <c r="F21" s="314">
        <v>973.39</v>
      </c>
      <c r="G21" s="315">
        <f>F21-42</f>
        <v>931.39</v>
      </c>
      <c r="H21" s="316">
        <f>E21*G21</f>
        <v>56442.234</v>
      </c>
      <c r="I21" s="317">
        <v>74980.34</v>
      </c>
      <c r="J21" s="318">
        <f>E21*I21</f>
        <v>4543808.604</v>
      </c>
      <c r="K21" s="47" t="s">
        <v>157</v>
      </c>
      <c r="L21" s="319" t="s">
        <v>171</v>
      </c>
      <c r="M21" s="320"/>
      <c r="N21" s="311"/>
      <c r="O21" s="321"/>
      <c r="P21" s="321"/>
      <c r="Q21" s="321"/>
      <c r="R21" s="322"/>
    </row>
    <row r="22" spans="1:21">
      <c r="A22" s="311">
        <f>A21+1</f>
        <v>18</v>
      </c>
      <c r="B22" s="312" t="s">
        <v>168</v>
      </c>
      <c r="C22" s="312" t="s">
        <v>169</v>
      </c>
      <c r="D22" s="312" t="s">
        <v>188</v>
      </c>
      <c r="E22" s="313">
        <v>60.45</v>
      </c>
      <c r="F22" s="314">
        <v>973.39</v>
      </c>
      <c r="G22" s="315">
        <f>F22-42</f>
        <v>931.39</v>
      </c>
      <c r="H22" s="316">
        <f>E22*G22</f>
        <v>56302.5255</v>
      </c>
      <c r="I22" s="317">
        <v>74980.34</v>
      </c>
      <c r="J22" s="318">
        <f>E22*I22</f>
        <v>4532561.553</v>
      </c>
      <c r="K22" s="47" t="s">
        <v>157</v>
      </c>
      <c r="L22" s="319" t="s">
        <v>171</v>
      </c>
      <c r="M22" s="320"/>
      <c r="N22" s="311"/>
      <c r="O22" s="321"/>
      <c r="P22" s="321"/>
      <c r="Q22" s="321"/>
      <c r="R22" s="322"/>
    </row>
    <row r="23" spans="1:21">
      <c r="A23" s="311">
        <f>A22+1</f>
        <v>19</v>
      </c>
      <c r="B23" s="312" t="s">
        <v>168</v>
      </c>
      <c r="C23" s="312" t="s">
        <v>169</v>
      </c>
      <c r="D23" s="312" t="s">
        <v>189</v>
      </c>
      <c r="E23" s="313">
        <v>60.45</v>
      </c>
      <c r="F23" s="314">
        <v>973.39</v>
      </c>
      <c r="G23" s="315">
        <f>F23-42</f>
        <v>931.39</v>
      </c>
      <c r="H23" s="316">
        <f>E23*G23</f>
        <v>56302.5255</v>
      </c>
      <c r="I23" s="317">
        <v>74980.34</v>
      </c>
      <c r="J23" s="318">
        <f>E23*I23</f>
        <v>4532561.553</v>
      </c>
      <c r="K23" s="47" t="s">
        <v>157</v>
      </c>
      <c r="L23" s="319" t="s">
        <v>171</v>
      </c>
      <c r="M23" s="320"/>
      <c r="N23" s="311"/>
      <c r="O23" s="321"/>
      <c r="P23" s="321"/>
      <c r="Q23" s="321"/>
      <c r="R23" s="322"/>
    </row>
    <row r="24" ht="15.75" spans="1:21">
      <c r="A24" s="323">
        <f>A23+1</f>
        <v>20</v>
      </c>
      <c r="B24" s="324" t="s">
        <v>168</v>
      </c>
      <c r="C24" s="324" t="s">
        <v>169</v>
      </c>
      <c r="D24" s="324" t="s">
        <v>190</v>
      </c>
      <c r="E24" s="325">
        <v>60.5</v>
      </c>
      <c r="F24" s="314">
        <v>973.39</v>
      </c>
      <c r="G24" s="326">
        <f>F24-42</f>
        <v>931.39</v>
      </c>
      <c r="H24" s="327">
        <f>E24*G24</f>
        <v>56349.095</v>
      </c>
      <c r="I24" s="328">
        <v>74980.34</v>
      </c>
      <c r="J24" s="329">
        <f>E24*I24</f>
        <v>4536310.57</v>
      </c>
      <c r="K24" s="90" t="s">
        <v>157</v>
      </c>
      <c r="L24" s="330" t="s">
        <v>171</v>
      </c>
      <c r="M24" s="331"/>
      <c r="N24" s="332"/>
      <c r="O24" s="333"/>
      <c r="P24" s="333"/>
      <c r="Q24" s="333"/>
      <c r="R24" s="334"/>
      <c r="T24" s="335"/>
    </row>
    <row r="25" ht="15.75" spans="1:21">
      <c r="A25" s="336"/>
      <c r="B25" s="337"/>
      <c r="C25" s="337"/>
      <c r="D25" s="337"/>
      <c r="E25" s="338">
        <f>SUM(E5:E24)</f>
        <v>1158.8</v>
      </c>
      <c r="F25" s="337"/>
      <c r="G25" s="337"/>
      <c r="H25" s="339">
        <f>SUM(H5:H24)</f>
        <v>1079294.538</v>
      </c>
      <c r="I25" s="340"/>
      <c r="J25" s="341">
        <f>SUM(J5:J24)</f>
        <v>86887217.992</v>
      </c>
      <c r="K25" s="337"/>
      <c r="L25" s="342"/>
      <c r="M25" s="343"/>
      <c r="N25" s="344"/>
      <c r="O25" s="337"/>
      <c r="P25" s="337"/>
      <c r="Q25" s="337"/>
      <c r="R25" s="342"/>
    </row>
    <row r="26" spans="1:21">
      <c r="A26" s="300">
        <v>21</v>
      </c>
      <c r="B26" s="301" t="s">
        <v>168</v>
      </c>
      <c r="C26" s="301" t="s">
        <v>191</v>
      </c>
      <c r="D26" s="301" t="s">
        <v>192</v>
      </c>
      <c r="E26" s="345">
        <v>52.7</v>
      </c>
      <c r="F26" s="314">
        <v>973.39</v>
      </c>
      <c r="G26" s="315">
        <f>F26-42</f>
        <v>931.39</v>
      </c>
      <c r="H26" s="316">
        <f>E26*G26</f>
        <v>49084.253</v>
      </c>
      <c r="I26" s="305">
        <v>74980.34</v>
      </c>
      <c r="J26" s="318">
        <f>E26*I26</f>
        <v>3951463.918</v>
      </c>
      <c r="K26" s="47" t="s">
        <v>157</v>
      </c>
      <c r="L26" s="319" t="s">
        <v>171</v>
      </c>
      <c r="M26" s="346"/>
      <c r="N26" s="300"/>
      <c r="O26" s="309"/>
      <c r="P26" s="309"/>
      <c r="Q26" s="309"/>
      <c r="R26" s="310"/>
    </row>
    <row r="27" spans="1:21">
      <c r="A27" s="311">
        <f>A26+1</f>
        <v>22</v>
      </c>
      <c r="B27" s="312" t="s">
        <v>168</v>
      </c>
      <c r="C27" s="312" t="s">
        <v>191</v>
      </c>
      <c r="D27" s="347" t="s">
        <v>193</v>
      </c>
      <c r="E27" s="313">
        <v>60.45</v>
      </c>
      <c r="F27" s="314">
        <v>973.39</v>
      </c>
      <c r="G27" s="315">
        <f>F27-42</f>
        <v>931.39</v>
      </c>
      <c r="H27" s="316">
        <f>E27*G27</f>
        <v>56302.5255</v>
      </c>
      <c r="I27" s="317">
        <v>74980.34</v>
      </c>
      <c r="J27" s="318">
        <f>E27*I27</f>
        <v>4532561.553</v>
      </c>
      <c r="K27" s="47" t="s">
        <v>157</v>
      </c>
      <c r="L27" s="319" t="s">
        <v>171</v>
      </c>
      <c r="M27" s="348"/>
      <c r="N27" s="311"/>
      <c r="O27" s="321"/>
      <c r="P27" s="321"/>
      <c r="Q27" s="321"/>
      <c r="R27" s="322"/>
    </row>
    <row r="28" spans="1:21">
      <c r="A28" s="311">
        <f>A27+1</f>
        <v>23</v>
      </c>
      <c r="B28" s="312" t="s">
        <v>168</v>
      </c>
      <c r="C28" s="312" t="s">
        <v>191</v>
      </c>
      <c r="D28" s="347" t="s">
        <v>194</v>
      </c>
      <c r="E28" s="313">
        <v>60.45</v>
      </c>
      <c r="F28" s="314">
        <v>973.39</v>
      </c>
      <c r="G28" s="315">
        <f>F28-42</f>
        <v>931.39</v>
      </c>
      <c r="H28" s="316">
        <f>E28*G28</f>
        <v>56302.5255</v>
      </c>
      <c r="I28" s="317">
        <v>74980.34</v>
      </c>
      <c r="J28" s="318">
        <f>E28*I28</f>
        <v>4532561.553</v>
      </c>
      <c r="K28" s="47" t="s">
        <v>157</v>
      </c>
      <c r="L28" s="319" t="s">
        <v>171</v>
      </c>
      <c r="M28" s="348"/>
      <c r="N28" s="311"/>
      <c r="O28" s="321"/>
      <c r="P28" s="321"/>
      <c r="Q28" s="321"/>
      <c r="R28" s="322"/>
    </row>
    <row r="29" spans="1:21">
      <c r="A29" s="311">
        <f>A28+1</f>
        <v>24</v>
      </c>
      <c r="B29" s="312" t="s">
        <v>168</v>
      </c>
      <c r="C29" s="312" t="s">
        <v>191</v>
      </c>
      <c r="D29" s="347" t="s">
        <v>195</v>
      </c>
      <c r="E29" s="313">
        <v>52.65</v>
      </c>
      <c r="F29" s="314">
        <v>973.39</v>
      </c>
      <c r="G29" s="315">
        <f>F29-42</f>
        <v>931.39</v>
      </c>
      <c r="H29" s="316">
        <f>E29*G29</f>
        <v>49037.6835</v>
      </c>
      <c r="I29" s="317">
        <v>74980.34</v>
      </c>
      <c r="J29" s="318">
        <f>E29*I29</f>
        <v>3947714.901</v>
      </c>
      <c r="K29" s="47" t="s">
        <v>157</v>
      </c>
      <c r="L29" s="319" t="s">
        <v>171</v>
      </c>
      <c r="M29" s="348"/>
      <c r="N29" s="311"/>
      <c r="O29" s="321"/>
      <c r="P29" s="321"/>
      <c r="Q29" s="321"/>
      <c r="R29" s="322"/>
    </row>
    <row r="30" spans="1:21">
      <c r="A30" s="311">
        <f>A29+1</f>
        <v>25</v>
      </c>
      <c r="B30" s="312" t="s">
        <v>168</v>
      </c>
      <c r="C30" s="312" t="s">
        <v>191</v>
      </c>
      <c r="D30" s="347" t="s">
        <v>196</v>
      </c>
      <c r="E30" s="313">
        <v>52.7</v>
      </c>
      <c r="F30" s="314">
        <v>973.39</v>
      </c>
      <c r="G30" s="315">
        <f>F30-42</f>
        <v>931.39</v>
      </c>
      <c r="H30" s="316">
        <f>E30*G30</f>
        <v>49084.253</v>
      </c>
      <c r="I30" s="317">
        <v>74980.34</v>
      </c>
      <c r="J30" s="318">
        <f>E30*I30</f>
        <v>3951463.918</v>
      </c>
      <c r="K30" s="47" t="s">
        <v>157</v>
      </c>
      <c r="L30" s="319" t="s">
        <v>171</v>
      </c>
      <c r="M30" s="348"/>
      <c r="N30" s="311"/>
      <c r="O30" s="321"/>
      <c r="P30" s="321"/>
      <c r="Q30" s="321"/>
      <c r="R30" s="322"/>
    </row>
    <row r="31" spans="1:21">
      <c r="A31" s="311">
        <f>A30+1</f>
        <v>26</v>
      </c>
      <c r="B31" s="312" t="s">
        <v>168</v>
      </c>
      <c r="C31" s="312" t="s">
        <v>191</v>
      </c>
      <c r="D31" s="347" t="s">
        <v>197</v>
      </c>
      <c r="E31" s="313">
        <v>60.55</v>
      </c>
      <c r="F31" s="314">
        <v>973.39</v>
      </c>
      <c r="G31" s="315">
        <f>F31-42</f>
        <v>931.39</v>
      </c>
      <c r="H31" s="316">
        <f>E31*G31</f>
        <v>56395.6645</v>
      </c>
      <c r="I31" s="317">
        <v>74980.34</v>
      </c>
      <c r="J31" s="318">
        <f>E31*I31</f>
        <v>4540059.587</v>
      </c>
      <c r="K31" s="47" t="s">
        <v>157</v>
      </c>
      <c r="L31" s="319" t="s">
        <v>171</v>
      </c>
      <c r="M31" s="348"/>
      <c r="N31" s="311"/>
      <c r="O31" s="321"/>
      <c r="P31" s="321"/>
      <c r="Q31" s="321"/>
      <c r="R31" s="322"/>
    </row>
    <row r="32" spans="1:21">
      <c r="A32" s="311">
        <f>A31+1</f>
        <v>27</v>
      </c>
      <c r="B32" s="312" t="s">
        <v>168</v>
      </c>
      <c r="C32" s="312" t="s">
        <v>191</v>
      </c>
      <c r="D32" s="347" t="s">
        <v>198</v>
      </c>
      <c r="E32" s="313">
        <v>60.95</v>
      </c>
      <c r="F32" s="314">
        <v>973.39</v>
      </c>
      <c r="G32" s="315">
        <f>F32-42</f>
        <v>931.39</v>
      </c>
      <c r="H32" s="316">
        <f>E32*G32</f>
        <v>56768.2205</v>
      </c>
      <c r="I32" s="317">
        <v>74980.34</v>
      </c>
      <c r="J32" s="318">
        <f>E32*I32</f>
        <v>4570051.723</v>
      </c>
      <c r="K32" s="47" t="s">
        <v>157</v>
      </c>
      <c r="L32" s="319" t="s">
        <v>171</v>
      </c>
      <c r="M32" s="348"/>
      <c r="N32" s="311"/>
      <c r="O32" s="321"/>
      <c r="P32" s="321"/>
      <c r="Q32" s="321"/>
      <c r="R32" s="322"/>
      <c r="U32" s="335"/>
    </row>
    <row r="33" spans="1:22">
      <c r="A33" s="311">
        <f>A32+1</f>
        <v>28</v>
      </c>
      <c r="B33" s="312" t="s">
        <v>168</v>
      </c>
      <c r="C33" s="312" t="s">
        <v>191</v>
      </c>
      <c r="D33" s="347" t="s">
        <v>199</v>
      </c>
      <c r="E33" s="313">
        <v>60.95</v>
      </c>
      <c r="F33" s="314">
        <v>973.39</v>
      </c>
      <c r="G33" s="315">
        <f>F33-42</f>
        <v>931.39</v>
      </c>
      <c r="H33" s="316">
        <f>E33*G33</f>
        <v>56768.2205</v>
      </c>
      <c r="I33" s="317">
        <v>74980.34</v>
      </c>
      <c r="J33" s="318">
        <f>E33*I33</f>
        <v>4570051.723</v>
      </c>
      <c r="K33" s="47" t="s">
        <v>157</v>
      </c>
      <c r="L33" s="319" t="s">
        <v>171</v>
      </c>
      <c r="M33" s="348"/>
      <c r="N33" s="311"/>
      <c r="O33" s="321"/>
      <c r="P33" s="321"/>
      <c r="Q33" s="321"/>
      <c r="R33" s="322"/>
    </row>
    <row r="34" spans="1:22">
      <c r="A34" s="311">
        <f>A33+1</f>
        <v>29</v>
      </c>
      <c r="B34" s="312" t="s">
        <v>168</v>
      </c>
      <c r="C34" s="312" t="s">
        <v>191</v>
      </c>
      <c r="D34" s="347" t="s">
        <v>200</v>
      </c>
      <c r="E34" s="313">
        <v>60.95</v>
      </c>
      <c r="F34" s="314">
        <v>973.39</v>
      </c>
      <c r="G34" s="315">
        <f>F34-42</f>
        <v>931.39</v>
      </c>
      <c r="H34" s="316">
        <f>E34*G34</f>
        <v>56768.2205</v>
      </c>
      <c r="I34" s="317">
        <v>74980.34</v>
      </c>
      <c r="J34" s="318">
        <f>E34*I34</f>
        <v>4570051.723</v>
      </c>
      <c r="K34" s="47" t="s">
        <v>157</v>
      </c>
      <c r="L34" s="319" t="s">
        <v>171</v>
      </c>
      <c r="M34" s="348"/>
      <c r="N34" s="311"/>
      <c r="O34" s="321"/>
      <c r="P34" s="321"/>
      <c r="Q34" s="321"/>
      <c r="R34" s="322"/>
    </row>
    <row r="35" spans="1:22">
      <c r="A35" s="311">
        <f>A34+1</f>
        <v>30</v>
      </c>
      <c r="B35" s="312" t="s">
        <v>168</v>
      </c>
      <c r="C35" s="312" t="s">
        <v>191</v>
      </c>
      <c r="D35" s="347" t="s">
        <v>201</v>
      </c>
      <c r="E35" s="313">
        <v>60.05</v>
      </c>
      <c r="F35" s="314">
        <v>973.39</v>
      </c>
      <c r="G35" s="315">
        <f>F35-42</f>
        <v>931.39</v>
      </c>
      <c r="H35" s="316">
        <f>E35*G35</f>
        <v>55929.9695</v>
      </c>
      <c r="I35" s="317">
        <v>74980.34</v>
      </c>
      <c r="J35" s="318">
        <f>E35*I35</f>
        <v>4502569.417</v>
      </c>
      <c r="K35" s="47" t="s">
        <v>157</v>
      </c>
      <c r="L35" s="319" t="s">
        <v>171</v>
      </c>
      <c r="M35" s="348"/>
      <c r="N35" s="311"/>
      <c r="O35" s="321"/>
      <c r="P35" s="321"/>
      <c r="Q35" s="321"/>
      <c r="R35" s="322"/>
      <c r="T35" s="349"/>
    </row>
    <row r="36" spans="1:22">
      <c r="A36" s="311">
        <f>A35+1</f>
        <v>31</v>
      </c>
      <c r="B36" s="312" t="s">
        <v>168</v>
      </c>
      <c r="C36" s="312" t="s">
        <v>191</v>
      </c>
      <c r="D36" s="347" t="s">
        <v>202</v>
      </c>
      <c r="E36" s="313">
        <v>60.4</v>
      </c>
      <c r="F36" s="314">
        <v>973.39</v>
      </c>
      <c r="G36" s="315">
        <f>F36-42</f>
        <v>931.39</v>
      </c>
      <c r="H36" s="316">
        <f>E36*G36</f>
        <v>56255.956</v>
      </c>
      <c r="I36" s="317">
        <v>74980.34</v>
      </c>
      <c r="J36" s="318">
        <f>E36*I36</f>
        <v>4528812.536</v>
      </c>
      <c r="K36" s="47" t="s">
        <v>157</v>
      </c>
      <c r="L36" s="319" t="s">
        <v>171</v>
      </c>
      <c r="M36" s="348"/>
      <c r="N36" s="311"/>
      <c r="O36" s="321"/>
      <c r="P36" s="321"/>
      <c r="Q36" s="321"/>
      <c r="R36" s="322"/>
    </row>
    <row r="37" spans="1:22">
      <c r="A37" s="311">
        <f>A36+1</f>
        <v>32</v>
      </c>
      <c r="B37" s="312" t="s">
        <v>168</v>
      </c>
      <c r="C37" s="312" t="s">
        <v>191</v>
      </c>
      <c r="D37" s="347" t="s">
        <v>203</v>
      </c>
      <c r="E37" s="313">
        <v>60.65</v>
      </c>
      <c r="F37" s="314">
        <v>973.39</v>
      </c>
      <c r="G37" s="315">
        <f>F37-42</f>
        <v>931.39</v>
      </c>
      <c r="H37" s="316">
        <f>E37*G37</f>
        <v>56488.8035</v>
      </c>
      <c r="I37" s="317">
        <v>74980.34</v>
      </c>
      <c r="J37" s="318">
        <f>E37*I37</f>
        <v>4547557.621</v>
      </c>
      <c r="K37" s="47" t="s">
        <v>157</v>
      </c>
      <c r="L37" s="319" t="s">
        <v>171</v>
      </c>
      <c r="M37" s="348"/>
      <c r="N37" s="311"/>
      <c r="O37" s="321"/>
      <c r="P37" s="321"/>
      <c r="Q37" s="321"/>
      <c r="R37" s="322"/>
    </row>
    <row r="38" ht="15.75" spans="1:22">
      <c r="A38" s="332">
        <f>A37+1</f>
        <v>33</v>
      </c>
      <c r="B38" s="350" t="s">
        <v>168</v>
      </c>
      <c r="C38" s="351" t="s">
        <v>191</v>
      </c>
      <c r="D38" s="352" t="s">
        <v>204</v>
      </c>
      <c r="E38" s="353">
        <v>61.15</v>
      </c>
      <c r="F38" s="314">
        <v>973.39</v>
      </c>
      <c r="G38" s="315">
        <f>F38-42</f>
        <v>931.39</v>
      </c>
      <c r="H38" s="316">
        <f>E38*G38</f>
        <v>56954.4985</v>
      </c>
      <c r="I38" s="328">
        <v>74980.34</v>
      </c>
      <c r="J38" s="318">
        <f>E38*I38</f>
        <v>4585047.791</v>
      </c>
      <c r="K38" s="47" t="s">
        <v>157</v>
      </c>
      <c r="L38" s="319" t="s">
        <v>171</v>
      </c>
      <c r="M38" s="354"/>
      <c r="N38" s="332"/>
      <c r="O38" s="333"/>
      <c r="P38" s="333"/>
      <c r="Q38" s="333"/>
      <c r="R38" s="334"/>
    </row>
    <row r="39" ht="15.75" spans="1:22">
      <c r="A39" s="355"/>
      <c r="B39" s="356"/>
      <c r="C39" s="356"/>
      <c r="D39" s="356"/>
      <c r="E39" s="357">
        <f>SUM(E26:E38)</f>
        <v>764.6</v>
      </c>
      <c r="F39" s="356"/>
      <c r="G39" s="356"/>
      <c r="H39" s="358">
        <f>SUM(H26:H38)</f>
        <v>712140.794</v>
      </c>
      <c r="I39" s="359"/>
      <c r="J39" s="360">
        <f>SUM(J26:J38)</f>
        <v>57329967.964</v>
      </c>
      <c r="K39" s="356"/>
      <c r="L39" s="361"/>
      <c r="M39" s="362"/>
      <c r="N39" s="363"/>
      <c r="O39" s="356"/>
      <c r="P39" s="356"/>
      <c r="Q39" s="356"/>
      <c r="R39" s="364"/>
    </row>
    <row r="40" ht="15.75" spans="1:22">
      <c r="A40" s="365">
        <v>34</v>
      </c>
      <c r="B40" s="366" t="s">
        <v>168</v>
      </c>
      <c r="C40" s="367">
        <v>8611822</v>
      </c>
      <c r="D40" s="367">
        <v>74970823</v>
      </c>
      <c r="E40" s="368">
        <v>60.2</v>
      </c>
      <c r="F40" s="369">
        <v>973.39</v>
      </c>
      <c r="G40" s="370">
        <f>F40-42</f>
        <v>931.39</v>
      </c>
      <c r="H40" s="369">
        <f>E40*G40</f>
        <v>56069.678</v>
      </c>
      <c r="I40" s="317">
        <v>74980.34</v>
      </c>
      <c r="J40" s="371">
        <f>E40*I40</f>
        <v>4513816.468</v>
      </c>
      <c r="K40" s="372" t="s">
        <v>157</v>
      </c>
      <c r="L40" s="373" t="s">
        <v>171</v>
      </c>
      <c r="M40" s="367"/>
      <c r="N40" s="367"/>
      <c r="O40" s="367"/>
      <c r="P40" s="367"/>
      <c r="Q40" s="367"/>
      <c r="R40" s="374"/>
    </row>
    <row r="41" ht="15.75" spans="1:22">
      <c r="A41" s="336"/>
      <c r="B41" s="337"/>
      <c r="C41" s="375"/>
      <c r="D41" s="337"/>
      <c r="E41" s="376">
        <f>E40</f>
        <v>60.2</v>
      </c>
      <c r="F41" s="337"/>
      <c r="G41" s="337"/>
      <c r="H41" s="339">
        <f>H40</f>
        <v>56069.678</v>
      </c>
      <c r="I41" s="340"/>
      <c r="J41" s="341">
        <f>J40</f>
        <v>4513816.468</v>
      </c>
      <c r="K41" s="337"/>
      <c r="L41" s="377"/>
      <c r="M41" s="375"/>
      <c r="N41" s="344"/>
      <c r="O41" s="337"/>
      <c r="P41" s="337"/>
      <c r="Q41" s="337"/>
      <c r="R41" s="342"/>
    </row>
    <row r="42" spans="1:22">
      <c r="A42" s="378">
        <v>34</v>
      </c>
      <c r="B42" s="379">
        <v>46091</v>
      </c>
      <c r="C42" s="280" t="s">
        <v>205</v>
      </c>
      <c r="D42" s="380" t="s">
        <v>206</v>
      </c>
      <c r="E42" s="325">
        <v>61.05</v>
      </c>
      <c r="F42" s="316">
        <v>973.39</v>
      </c>
      <c r="G42" s="315">
        <f>F42-42</f>
        <v>931.39</v>
      </c>
      <c r="H42" s="316">
        <f>E42*G42</f>
        <v>56861.3595</v>
      </c>
      <c r="I42" s="317">
        <v>74980.34</v>
      </c>
      <c r="J42" s="381">
        <f>E42*I42</f>
        <v>4577549.757</v>
      </c>
      <c r="K42" s="55" t="s">
        <v>157</v>
      </c>
      <c r="L42" s="382" t="s">
        <v>171</v>
      </c>
      <c r="M42" s="383"/>
      <c r="N42" s="378"/>
      <c r="O42" s="384">
        <v>45741</v>
      </c>
      <c r="P42" s="385">
        <v>61.479</v>
      </c>
      <c r="Q42" s="386">
        <f>P42-E42</f>
        <v>0.429000000000002</v>
      </c>
      <c r="R42" s="387"/>
      <c r="V42" s="280"/>
    </row>
    <row r="43" spans="1:22">
      <c r="A43" s="311">
        <f>A42+1</f>
        <v>35</v>
      </c>
      <c r="B43" s="388">
        <v>46091</v>
      </c>
      <c r="C43" s="312" t="s">
        <v>205</v>
      </c>
      <c r="D43" s="312" t="s">
        <v>207</v>
      </c>
      <c r="E43" s="313">
        <v>51.7</v>
      </c>
      <c r="F43" s="314">
        <v>973.39</v>
      </c>
      <c r="G43" s="315">
        <f>F43-42</f>
        <v>931.39</v>
      </c>
      <c r="H43" s="316">
        <f>E43*G43</f>
        <v>48152.863</v>
      </c>
      <c r="I43" s="317">
        <v>74980.34</v>
      </c>
      <c r="J43" s="318">
        <f>E43*I43</f>
        <v>3876483.578</v>
      </c>
      <c r="K43" s="47" t="s">
        <v>157</v>
      </c>
      <c r="L43" s="319" t="s">
        <v>171</v>
      </c>
      <c r="M43" s="389"/>
      <c r="N43" s="311"/>
      <c r="O43" s="390">
        <v>46106</v>
      </c>
      <c r="P43" s="391">
        <v>50.952</v>
      </c>
      <c r="Q43" s="392">
        <f>P43-E43</f>
        <v>-0.748000000000005</v>
      </c>
      <c r="R43" s="322"/>
      <c r="V43" s="280"/>
    </row>
    <row r="44" spans="1:22">
      <c r="A44" s="311">
        <f>A43+1</f>
        <v>36</v>
      </c>
      <c r="B44" s="388">
        <v>46091</v>
      </c>
      <c r="C44" s="312" t="s">
        <v>205</v>
      </c>
      <c r="D44" s="312" t="s">
        <v>208</v>
      </c>
      <c r="E44" s="313">
        <v>52.15</v>
      </c>
      <c r="F44" s="314">
        <v>973.39</v>
      </c>
      <c r="G44" s="315">
        <f>F44-42</f>
        <v>931.39</v>
      </c>
      <c r="H44" s="316">
        <f>E44*G44</f>
        <v>48571.9885</v>
      </c>
      <c r="I44" s="317">
        <v>74980.34</v>
      </c>
      <c r="J44" s="318">
        <f>E44*I44</f>
        <v>3910224.731</v>
      </c>
      <c r="K44" s="47" t="s">
        <v>157</v>
      </c>
      <c r="L44" s="319" t="s">
        <v>171</v>
      </c>
      <c r="M44" s="389"/>
      <c r="N44" s="311"/>
      <c r="O44" s="393">
        <v>46107</v>
      </c>
      <c r="P44" s="394">
        <v>52.34</v>
      </c>
      <c r="Q44" s="395">
        <f>P44-E44</f>
        <v>0.190000000000005</v>
      </c>
      <c r="R44" s="322"/>
      <c r="V44" s="280"/>
    </row>
    <row r="45" spans="1:22">
      <c r="A45" s="311">
        <f>A44+1</f>
        <v>37</v>
      </c>
      <c r="B45" s="388">
        <v>46091</v>
      </c>
      <c r="C45" s="312" t="s">
        <v>205</v>
      </c>
      <c r="D45" s="312" t="s">
        <v>209</v>
      </c>
      <c r="E45" s="313">
        <v>60.65</v>
      </c>
      <c r="F45" s="314">
        <v>973.39</v>
      </c>
      <c r="G45" s="315">
        <f>F45-42</f>
        <v>931.39</v>
      </c>
      <c r="H45" s="316">
        <f>E45*G45</f>
        <v>56488.8035</v>
      </c>
      <c r="I45" s="317">
        <v>74980.34</v>
      </c>
      <c r="J45" s="318">
        <f>E45*I45</f>
        <v>4547557.621</v>
      </c>
      <c r="K45" s="47" t="s">
        <v>157</v>
      </c>
      <c r="L45" s="319" t="s">
        <v>171</v>
      </c>
      <c r="M45" s="389"/>
      <c r="N45" s="311"/>
      <c r="O45" s="393">
        <v>46107</v>
      </c>
      <c r="P45" s="394">
        <v>59.323</v>
      </c>
      <c r="Q45" s="395">
        <f>P45-E45</f>
        <v>-1.327</v>
      </c>
      <c r="R45" s="322"/>
      <c r="V45" s="280"/>
    </row>
    <row r="46" ht="15.75" spans="1:22">
      <c r="A46" s="332">
        <f>A45+1</f>
        <v>38</v>
      </c>
      <c r="B46" s="396">
        <v>46091</v>
      </c>
      <c r="C46" s="352" t="s">
        <v>205</v>
      </c>
      <c r="D46" s="350" t="s">
        <v>210</v>
      </c>
      <c r="E46" s="397">
        <v>61.1</v>
      </c>
      <c r="F46" s="314">
        <v>973.39</v>
      </c>
      <c r="G46" s="315">
        <f>F46-42</f>
        <v>931.39</v>
      </c>
      <c r="H46" s="316">
        <f>E46*G46</f>
        <v>56907.929</v>
      </c>
      <c r="I46" s="317">
        <v>74980.34</v>
      </c>
      <c r="J46" s="318">
        <f>E46*I46</f>
        <v>4581298.774</v>
      </c>
      <c r="K46" s="115" t="s">
        <v>157</v>
      </c>
      <c r="L46" s="398" t="s">
        <v>171</v>
      </c>
      <c r="M46" s="399"/>
      <c r="N46" s="332"/>
      <c r="O46" s="400">
        <v>46106</v>
      </c>
      <c r="P46" s="401">
        <v>61.002</v>
      </c>
      <c r="Q46" s="402">
        <f>P46-E46</f>
        <v>-0.097999999999999</v>
      </c>
      <c r="R46" s="334"/>
      <c r="V46" s="280"/>
    </row>
    <row r="47" ht="15.75" spans="1:22">
      <c r="A47" s="336"/>
      <c r="B47" s="337"/>
      <c r="C47" s="337"/>
      <c r="D47" s="337"/>
      <c r="E47" s="403">
        <f>SUM(E42:E46)</f>
        <v>286.65</v>
      </c>
      <c r="F47" s="337"/>
      <c r="G47" s="337"/>
      <c r="H47" s="339">
        <f>SUM(H42:H46)</f>
        <v>266982.9435</v>
      </c>
      <c r="I47" s="340"/>
      <c r="J47" s="341">
        <f>SUM(J42:J46)</f>
        <v>21493114.461</v>
      </c>
      <c r="K47" s="337"/>
      <c r="L47" s="342"/>
      <c r="M47" s="375"/>
      <c r="N47" s="336"/>
      <c r="O47" s="337"/>
      <c r="P47" s="337"/>
      <c r="Q47" s="337"/>
      <c r="R47" s="342"/>
    </row>
    <row r="48" ht="15.75" spans="1:22">
      <c r="A48" s="404">
        <v>39</v>
      </c>
      <c r="B48" s="388">
        <v>46091</v>
      </c>
      <c r="C48" s="366" t="s">
        <v>211</v>
      </c>
      <c r="D48" s="405" t="s">
        <v>212</v>
      </c>
      <c r="E48" s="406">
        <v>60.65</v>
      </c>
      <c r="F48" s="314">
        <v>973.39</v>
      </c>
      <c r="G48" s="315">
        <f>F48-42</f>
        <v>931.39</v>
      </c>
      <c r="H48" s="327">
        <f>E48*G48</f>
        <v>56488.8035</v>
      </c>
      <c r="I48" s="317">
        <v>74980.34</v>
      </c>
      <c r="J48" s="318">
        <f>E48*I48</f>
        <v>4547557.621</v>
      </c>
      <c r="K48" s="64" t="s">
        <v>157</v>
      </c>
      <c r="L48" s="330" t="s">
        <v>171</v>
      </c>
      <c r="M48" s="407"/>
      <c r="N48" s="365"/>
      <c r="O48" s="408">
        <v>46110</v>
      </c>
      <c r="P48" s="409">
        <v>60.532</v>
      </c>
      <c r="Q48" s="410">
        <f>P48-E48</f>
        <v>-0.118000000000002</v>
      </c>
      <c r="R48" s="374"/>
    </row>
    <row r="49" ht="15.75" spans="1:18">
      <c r="A49" s="336"/>
      <c r="B49" s="337"/>
      <c r="C49" s="337"/>
      <c r="D49" s="337"/>
      <c r="E49" s="403">
        <f>E48</f>
        <v>60.65</v>
      </c>
      <c r="F49" s="337"/>
      <c r="G49" s="337"/>
      <c r="H49" s="339">
        <f>H48</f>
        <v>56488.8035</v>
      </c>
      <c r="I49" s="340"/>
      <c r="J49" s="341">
        <f>J48</f>
        <v>4547557.621</v>
      </c>
      <c r="K49" s="337"/>
      <c r="L49" s="377"/>
      <c r="M49" s="343"/>
      <c r="N49" s="344"/>
      <c r="O49" s="337"/>
      <c r="P49" s="337"/>
      <c r="Q49" s="337"/>
      <c r="R49" s="342"/>
    </row>
    <row r="50" spans="1:18">
      <c r="A50" s="411">
        <v>40</v>
      </c>
      <c r="B50" s="379">
        <v>46091</v>
      </c>
      <c r="C50" s="280" t="s">
        <v>213</v>
      </c>
      <c r="D50" s="380" t="s">
        <v>214</v>
      </c>
      <c r="E50" s="412">
        <v>59.9</v>
      </c>
      <c r="F50" s="314">
        <v>973.39</v>
      </c>
      <c r="G50" s="315">
        <f>F50-42</f>
        <v>931.39</v>
      </c>
      <c r="H50" s="316">
        <f>E50*G50</f>
        <v>55790.261</v>
      </c>
      <c r="I50" s="317">
        <v>74980.34</v>
      </c>
      <c r="J50" s="381">
        <f>E50*I50</f>
        <v>4491322.366</v>
      </c>
      <c r="K50" s="55" t="s">
        <v>157</v>
      </c>
      <c r="L50" s="382" t="s">
        <v>171</v>
      </c>
      <c r="M50" s="383"/>
      <c r="N50" s="300"/>
      <c r="O50" s="309"/>
      <c r="P50" s="309"/>
      <c r="Q50" s="309"/>
      <c r="R50" s="310"/>
    </row>
    <row r="51" spans="1:18">
      <c r="A51" s="321">
        <f>A50+1</f>
        <v>41</v>
      </c>
      <c r="B51" s="388">
        <v>46091</v>
      </c>
      <c r="C51" s="312" t="s">
        <v>213</v>
      </c>
      <c r="D51" s="312" t="s">
        <v>215</v>
      </c>
      <c r="E51" s="413">
        <v>51.9</v>
      </c>
      <c r="F51" s="314">
        <v>973.39</v>
      </c>
      <c r="G51" s="315">
        <f>F51-42</f>
        <v>931.39</v>
      </c>
      <c r="H51" s="316">
        <f>E51*G51</f>
        <v>48339.141</v>
      </c>
      <c r="I51" s="317">
        <v>74980.34</v>
      </c>
      <c r="J51" s="318">
        <f>E51*I51</f>
        <v>3891479.646</v>
      </c>
      <c r="K51" s="47" t="s">
        <v>157</v>
      </c>
      <c r="L51" s="319" t="s">
        <v>171</v>
      </c>
      <c r="M51" s="389"/>
      <c r="N51" s="311"/>
      <c r="O51" s="321"/>
      <c r="P51" s="321"/>
      <c r="Q51" s="321"/>
      <c r="R51" s="322"/>
    </row>
    <row r="52" spans="1:18">
      <c r="A52" s="321">
        <f>A51+1</f>
        <v>42</v>
      </c>
      <c r="B52" s="388">
        <v>46091</v>
      </c>
      <c r="C52" s="312" t="s">
        <v>213</v>
      </c>
      <c r="D52" s="312" t="s">
        <v>216</v>
      </c>
      <c r="E52" s="413">
        <v>59.45</v>
      </c>
      <c r="F52" s="314">
        <v>973.39</v>
      </c>
      <c r="G52" s="315">
        <f>F52-42</f>
        <v>931.39</v>
      </c>
      <c r="H52" s="316">
        <f>E52*G52</f>
        <v>55371.1355</v>
      </c>
      <c r="I52" s="317">
        <v>74980.34</v>
      </c>
      <c r="J52" s="318">
        <f>E52*I52</f>
        <v>4457581.213</v>
      </c>
      <c r="K52" s="47" t="s">
        <v>157</v>
      </c>
      <c r="L52" s="319" t="s">
        <v>171</v>
      </c>
      <c r="M52" s="389"/>
      <c r="N52" s="311"/>
      <c r="O52" s="414">
        <v>46106</v>
      </c>
      <c r="P52" s="415">
        <v>59.021</v>
      </c>
      <c r="Q52" s="416">
        <f>P52-E52</f>
        <v>-0.429000000000002</v>
      </c>
      <c r="R52" s="322"/>
    </row>
    <row r="53" spans="1:18">
      <c r="A53" s="321">
        <f>A52+1</f>
        <v>43</v>
      </c>
      <c r="B53" s="388">
        <v>46091</v>
      </c>
      <c r="C53" s="312" t="s">
        <v>213</v>
      </c>
      <c r="D53" s="312" t="s">
        <v>217</v>
      </c>
      <c r="E53" s="413">
        <v>60.1</v>
      </c>
      <c r="F53" s="314">
        <v>973.39</v>
      </c>
      <c r="G53" s="315">
        <f>F53-42</f>
        <v>931.39</v>
      </c>
      <c r="H53" s="316">
        <f>E53*G53</f>
        <v>55976.539</v>
      </c>
      <c r="I53" s="317">
        <v>74980.34</v>
      </c>
      <c r="J53" s="318">
        <f>E53*I53</f>
        <v>4506318.434</v>
      </c>
      <c r="K53" s="47" t="s">
        <v>157</v>
      </c>
      <c r="L53" s="319" t="s">
        <v>171</v>
      </c>
      <c r="M53" s="389"/>
      <c r="N53" s="311"/>
      <c r="O53" s="321"/>
      <c r="P53" s="321"/>
      <c r="Q53" s="321"/>
      <c r="R53" s="322"/>
    </row>
    <row r="54" spans="1:18">
      <c r="A54" s="321">
        <f>A53+1</f>
        <v>44</v>
      </c>
      <c r="B54" s="388">
        <v>46091</v>
      </c>
      <c r="C54" s="312" t="s">
        <v>213</v>
      </c>
      <c r="D54" s="312" t="s">
        <v>218</v>
      </c>
      <c r="E54" s="413">
        <v>60.05</v>
      </c>
      <c r="F54" s="314">
        <v>973.39</v>
      </c>
      <c r="G54" s="315">
        <f>F54-42</f>
        <v>931.39</v>
      </c>
      <c r="H54" s="316">
        <f>E54*G54</f>
        <v>55929.9695</v>
      </c>
      <c r="I54" s="317">
        <v>74980.34</v>
      </c>
      <c r="J54" s="318">
        <f>E54*I54</f>
        <v>4502569.417</v>
      </c>
      <c r="K54" s="47" t="s">
        <v>157</v>
      </c>
      <c r="L54" s="319" t="s">
        <v>171</v>
      </c>
      <c r="M54" s="389"/>
      <c r="N54" s="311"/>
      <c r="O54" s="321"/>
      <c r="P54" s="321"/>
      <c r="Q54" s="321"/>
      <c r="R54" s="322"/>
    </row>
    <row r="55" spans="1:18">
      <c r="A55" s="321">
        <f>A54+1</f>
        <v>45</v>
      </c>
      <c r="B55" s="388">
        <v>46091</v>
      </c>
      <c r="C55" s="312" t="s">
        <v>213</v>
      </c>
      <c r="D55" s="312" t="s">
        <v>219</v>
      </c>
      <c r="E55" s="413">
        <v>60.4</v>
      </c>
      <c r="F55" s="314">
        <v>973.39</v>
      </c>
      <c r="G55" s="315">
        <f>F55-42</f>
        <v>931.39</v>
      </c>
      <c r="H55" s="316">
        <f>E55*G55</f>
        <v>56255.956</v>
      </c>
      <c r="I55" s="317">
        <v>74980.34</v>
      </c>
      <c r="J55" s="318">
        <f>E55*I55</f>
        <v>4528812.536</v>
      </c>
      <c r="K55" s="47" t="s">
        <v>157</v>
      </c>
      <c r="L55" s="319" t="s">
        <v>171</v>
      </c>
      <c r="M55" s="389"/>
      <c r="N55" s="311"/>
      <c r="O55" s="414">
        <v>46108</v>
      </c>
      <c r="P55" s="415">
        <v>60.171</v>
      </c>
      <c r="Q55" s="416">
        <f>P55-E55</f>
        <v>-0.228999999999999</v>
      </c>
      <c r="R55" s="322"/>
    </row>
    <row r="56" spans="1:18">
      <c r="A56" s="321">
        <f>A55+1</f>
        <v>46</v>
      </c>
      <c r="B56" s="388">
        <v>46091</v>
      </c>
      <c r="C56" s="312" t="s">
        <v>213</v>
      </c>
      <c r="D56" s="312" t="s">
        <v>220</v>
      </c>
      <c r="E56" s="413">
        <v>60.65</v>
      </c>
      <c r="F56" s="314">
        <v>973.39</v>
      </c>
      <c r="G56" s="315">
        <f>F56-42</f>
        <v>931.39</v>
      </c>
      <c r="H56" s="316">
        <f>E56*G56</f>
        <v>56488.8035</v>
      </c>
      <c r="I56" s="317">
        <v>74980.34</v>
      </c>
      <c r="J56" s="318">
        <f>E56*I56</f>
        <v>4547557.621</v>
      </c>
      <c r="K56" s="47" t="s">
        <v>157</v>
      </c>
      <c r="L56" s="319" t="s">
        <v>171</v>
      </c>
      <c r="M56" s="389"/>
      <c r="N56" s="311"/>
      <c r="O56" s="321"/>
      <c r="P56" s="321"/>
      <c r="Q56" s="321"/>
      <c r="R56" s="322"/>
    </row>
    <row r="57" spans="1:18">
      <c r="A57" s="321">
        <f>A56+1</f>
        <v>47</v>
      </c>
      <c r="B57" s="388">
        <v>46091</v>
      </c>
      <c r="C57" s="312" t="s">
        <v>213</v>
      </c>
      <c r="D57" s="312" t="s">
        <v>221</v>
      </c>
      <c r="E57" s="413">
        <v>60.45</v>
      </c>
      <c r="F57" s="314">
        <v>973.39</v>
      </c>
      <c r="G57" s="315">
        <f>F57-42</f>
        <v>931.39</v>
      </c>
      <c r="H57" s="316">
        <f>E57*G57</f>
        <v>56302.5255</v>
      </c>
      <c r="I57" s="317">
        <v>74980.34</v>
      </c>
      <c r="J57" s="318">
        <f>E57*I57</f>
        <v>4532561.553</v>
      </c>
      <c r="K57" s="47" t="s">
        <v>157</v>
      </c>
      <c r="L57" s="319" t="s">
        <v>171</v>
      </c>
      <c r="M57" s="389"/>
      <c r="N57" s="311"/>
      <c r="O57" s="321"/>
      <c r="P57" s="321"/>
      <c r="Q57" s="321"/>
      <c r="R57" s="322"/>
    </row>
    <row r="58" spans="1:18">
      <c r="A58" s="321">
        <f>A57+1</f>
        <v>48</v>
      </c>
      <c r="B58" s="388">
        <v>46091</v>
      </c>
      <c r="C58" s="312" t="s">
        <v>213</v>
      </c>
      <c r="D58" s="312" t="s">
        <v>222</v>
      </c>
      <c r="E58" s="413">
        <v>60.35</v>
      </c>
      <c r="F58" s="314">
        <v>973.39</v>
      </c>
      <c r="G58" s="315">
        <f>F58-42</f>
        <v>931.39</v>
      </c>
      <c r="H58" s="316">
        <f>E58*G58</f>
        <v>56209.3865</v>
      </c>
      <c r="I58" s="317">
        <v>74980.34</v>
      </c>
      <c r="J58" s="318">
        <f>E58*I58</f>
        <v>4525063.519</v>
      </c>
      <c r="K58" s="47" t="s">
        <v>157</v>
      </c>
      <c r="L58" s="319" t="s">
        <v>171</v>
      </c>
      <c r="M58" s="389"/>
      <c r="N58" s="311"/>
      <c r="O58" s="321"/>
      <c r="P58" s="321"/>
      <c r="Q58" s="321"/>
      <c r="R58" s="322"/>
    </row>
    <row r="59" spans="1:18">
      <c r="A59" s="321">
        <f>A58+1</f>
        <v>49</v>
      </c>
      <c r="B59" s="388">
        <v>46091</v>
      </c>
      <c r="C59" s="312" t="s">
        <v>213</v>
      </c>
      <c r="D59" s="312" t="s">
        <v>223</v>
      </c>
      <c r="E59" s="413">
        <v>60.4</v>
      </c>
      <c r="F59" s="314">
        <v>973.39</v>
      </c>
      <c r="G59" s="315">
        <f>F59-42</f>
        <v>931.39</v>
      </c>
      <c r="H59" s="316">
        <f>E59*G59</f>
        <v>56255.956</v>
      </c>
      <c r="I59" s="317">
        <v>74980.34</v>
      </c>
      <c r="J59" s="318">
        <f>E59*I59</f>
        <v>4528812.536</v>
      </c>
      <c r="K59" s="47" t="s">
        <v>157</v>
      </c>
      <c r="L59" s="319" t="s">
        <v>171</v>
      </c>
      <c r="M59" s="389"/>
      <c r="N59" s="311"/>
      <c r="O59" s="414">
        <v>46108</v>
      </c>
      <c r="P59" s="415">
        <v>60.323</v>
      </c>
      <c r="Q59" s="416">
        <f>P59-E59</f>
        <v>-0.0769999999999982</v>
      </c>
      <c r="R59" s="322"/>
    </row>
    <row r="60" spans="1:18">
      <c r="A60" s="321">
        <f>A59+1</f>
        <v>50</v>
      </c>
      <c r="B60" s="388">
        <v>46091</v>
      </c>
      <c r="C60" s="312" t="s">
        <v>213</v>
      </c>
      <c r="D60" s="312" t="s">
        <v>224</v>
      </c>
      <c r="E60" s="413">
        <v>60.5</v>
      </c>
      <c r="F60" s="314">
        <v>973.39</v>
      </c>
      <c r="G60" s="315">
        <f>F60-42</f>
        <v>931.39</v>
      </c>
      <c r="H60" s="316">
        <f>E60*G60</f>
        <v>56349.095</v>
      </c>
      <c r="I60" s="317">
        <v>74980.34</v>
      </c>
      <c r="J60" s="318">
        <f>E60*I60</f>
        <v>4536310.57</v>
      </c>
      <c r="K60" s="47" t="s">
        <v>157</v>
      </c>
      <c r="L60" s="319" t="s">
        <v>171</v>
      </c>
      <c r="M60" s="389"/>
      <c r="N60" s="311"/>
      <c r="O60" s="321"/>
      <c r="P60" s="321"/>
      <c r="Q60" s="321"/>
      <c r="R60" s="322"/>
    </row>
    <row r="61" spans="1:18">
      <c r="A61" s="321">
        <f>A60+1</f>
        <v>51</v>
      </c>
      <c r="B61" s="388">
        <v>46091</v>
      </c>
      <c r="C61" s="312" t="s">
        <v>213</v>
      </c>
      <c r="D61" s="312" t="s">
        <v>225</v>
      </c>
      <c r="E61" s="413">
        <v>60.35</v>
      </c>
      <c r="F61" s="314">
        <v>973.39</v>
      </c>
      <c r="G61" s="315">
        <f>F61-42</f>
        <v>931.39</v>
      </c>
      <c r="H61" s="316">
        <f>E61*G61</f>
        <v>56209.3865</v>
      </c>
      <c r="I61" s="317">
        <v>74980.34</v>
      </c>
      <c r="J61" s="318">
        <f>E61*I61</f>
        <v>4525063.519</v>
      </c>
      <c r="K61" s="47" t="s">
        <v>157</v>
      </c>
      <c r="L61" s="319" t="s">
        <v>171</v>
      </c>
      <c r="M61" s="389"/>
      <c r="N61" s="311"/>
      <c r="O61" s="321"/>
      <c r="P61" s="321"/>
      <c r="Q61" s="321"/>
      <c r="R61" s="322"/>
    </row>
    <row r="62" spans="1:18">
      <c r="A62" s="321">
        <f>A61+1</f>
        <v>52</v>
      </c>
      <c r="B62" s="388">
        <v>46091</v>
      </c>
      <c r="C62" s="312" t="s">
        <v>213</v>
      </c>
      <c r="D62" s="312" t="s">
        <v>226</v>
      </c>
      <c r="E62" s="413">
        <v>60.4</v>
      </c>
      <c r="F62" s="314">
        <v>973.39</v>
      </c>
      <c r="G62" s="315">
        <f>F62-42</f>
        <v>931.39</v>
      </c>
      <c r="H62" s="316">
        <f>E62*G62</f>
        <v>56255.956</v>
      </c>
      <c r="I62" s="317">
        <v>74980.34</v>
      </c>
      <c r="J62" s="318">
        <f>E62*I62</f>
        <v>4528812.536</v>
      </c>
      <c r="K62" s="47" t="s">
        <v>157</v>
      </c>
      <c r="L62" s="319" t="s">
        <v>171</v>
      </c>
      <c r="M62" s="389"/>
      <c r="N62" s="311"/>
      <c r="O62" s="414">
        <v>45741</v>
      </c>
      <c r="P62" s="415">
        <v>60.077</v>
      </c>
      <c r="Q62" s="416">
        <f>P62-E62</f>
        <v>-0.323</v>
      </c>
      <c r="R62" s="322"/>
    </row>
    <row r="63" spans="1:18">
      <c r="A63" s="321">
        <f>A62+1</f>
        <v>53</v>
      </c>
      <c r="B63" s="388">
        <v>46091</v>
      </c>
      <c r="C63" s="312" t="s">
        <v>213</v>
      </c>
      <c r="D63" s="312" t="s">
        <v>227</v>
      </c>
      <c r="E63" s="413">
        <v>60.8</v>
      </c>
      <c r="F63" s="314">
        <v>973.39</v>
      </c>
      <c r="G63" s="315">
        <f>F63-42</f>
        <v>931.39</v>
      </c>
      <c r="H63" s="316">
        <f>E63*G63</f>
        <v>56628.512</v>
      </c>
      <c r="I63" s="317">
        <v>74980.34</v>
      </c>
      <c r="J63" s="318">
        <f>E63*I63</f>
        <v>4558804.672</v>
      </c>
      <c r="K63" s="47" t="s">
        <v>157</v>
      </c>
      <c r="L63" s="319" t="s">
        <v>171</v>
      </c>
      <c r="M63" s="389"/>
      <c r="N63" s="311"/>
      <c r="O63" s="414">
        <v>46106</v>
      </c>
      <c r="P63" s="415">
        <v>60.638</v>
      </c>
      <c r="Q63" s="416">
        <f>P63-E63</f>
        <v>-0.161999999999999</v>
      </c>
      <c r="R63" s="322"/>
    </row>
    <row r="64" ht="15.75" spans="1:18">
      <c r="A64" s="417">
        <f>A63+1</f>
        <v>54</v>
      </c>
      <c r="B64" s="418">
        <v>46091</v>
      </c>
      <c r="C64" s="324" t="s">
        <v>213</v>
      </c>
      <c r="D64" s="324" t="s">
        <v>228</v>
      </c>
      <c r="E64" s="419">
        <v>60.7</v>
      </c>
      <c r="F64" s="314">
        <v>973.39</v>
      </c>
      <c r="G64" s="315">
        <f>F64-42</f>
        <v>931.39</v>
      </c>
      <c r="H64" s="327">
        <f>E64*G64</f>
        <v>56535.373</v>
      </c>
      <c r="I64" s="317">
        <v>74980.34</v>
      </c>
      <c r="J64" s="329">
        <f>E64*I64</f>
        <v>4551306.638</v>
      </c>
      <c r="K64" s="64" t="s">
        <v>157</v>
      </c>
      <c r="L64" s="330" t="s">
        <v>171</v>
      </c>
      <c r="M64" s="420"/>
      <c r="N64" s="332"/>
      <c r="O64" s="421">
        <v>46108</v>
      </c>
      <c r="P64" s="422">
        <v>60.581</v>
      </c>
      <c r="Q64" s="423">
        <f>P64-E64</f>
        <v>-0.119</v>
      </c>
      <c r="R64" s="334"/>
    </row>
    <row r="65" ht="15.75" spans="1:20">
      <c r="A65" s="336"/>
      <c r="B65" s="337"/>
      <c r="C65" s="337"/>
      <c r="D65" s="337"/>
      <c r="E65" s="403">
        <f>SUM(E50:E64)</f>
        <v>896.4</v>
      </c>
      <c r="F65" s="337"/>
      <c r="G65" s="337"/>
      <c r="H65" s="339">
        <f>SUM(H50:H64)</f>
        <v>834897.996</v>
      </c>
      <c r="I65" s="340"/>
      <c r="J65" s="341">
        <f>SUM(J50:J64)</f>
        <v>67212376.776</v>
      </c>
      <c r="K65" s="337"/>
      <c r="L65" s="377"/>
      <c r="M65" s="343"/>
      <c r="N65" s="344"/>
      <c r="O65" s="337"/>
      <c r="P65" s="337"/>
      <c r="Q65" s="337"/>
      <c r="R65" s="342"/>
    </row>
    <row r="66" spans="1:20">
      <c r="A66" s="300">
        <v>55</v>
      </c>
      <c r="B66" s="424">
        <v>46091</v>
      </c>
      <c r="C66" s="301" t="s">
        <v>229</v>
      </c>
      <c r="D66" s="301" t="s">
        <v>230</v>
      </c>
      <c r="E66" s="425">
        <v>59.8</v>
      </c>
      <c r="F66" s="314">
        <v>973.39</v>
      </c>
      <c r="G66" s="315">
        <f>F66-42</f>
        <v>931.39</v>
      </c>
      <c r="H66" s="303">
        <f>E66*G66</f>
        <v>55697.122</v>
      </c>
      <c r="I66" s="317">
        <v>74980.34</v>
      </c>
      <c r="J66" s="306">
        <f>E66*I66</f>
        <v>4483824.332</v>
      </c>
      <c r="K66" s="34" t="s">
        <v>157</v>
      </c>
      <c r="L66" s="307" t="s">
        <v>171</v>
      </c>
      <c r="M66" s="426"/>
      <c r="N66" s="300"/>
      <c r="O66" s="309"/>
      <c r="P66" s="309"/>
      <c r="Q66" s="309"/>
      <c r="R66" s="310"/>
    </row>
    <row r="67" spans="1:20">
      <c r="A67" s="311">
        <f>A66+1</f>
        <v>56</v>
      </c>
      <c r="B67" s="388">
        <v>46091</v>
      </c>
      <c r="C67" s="312" t="s">
        <v>229</v>
      </c>
      <c r="D67" s="312" t="s">
        <v>231</v>
      </c>
      <c r="E67" s="413">
        <v>51.2</v>
      </c>
      <c r="F67" s="314">
        <v>973.39</v>
      </c>
      <c r="G67" s="315">
        <f>F67-42</f>
        <v>931.39</v>
      </c>
      <c r="H67" s="316">
        <f>E67*G67</f>
        <v>47687.168</v>
      </c>
      <c r="I67" s="317">
        <v>74980.34</v>
      </c>
      <c r="J67" s="318">
        <f>E67*I67</f>
        <v>3838993.408</v>
      </c>
      <c r="K67" s="47" t="s">
        <v>157</v>
      </c>
      <c r="L67" s="319" t="s">
        <v>171</v>
      </c>
      <c r="M67" s="389"/>
      <c r="N67" s="311"/>
      <c r="O67" s="414">
        <v>46106</v>
      </c>
      <c r="P67" s="415">
        <v>50.533</v>
      </c>
      <c r="Q67" s="416">
        <f>P67-E67</f>
        <v>-0.667000000000002</v>
      </c>
      <c r="R67" s="322"/>
    </row>
    <row r="68" spans="1:20">
      <c r="A68" s="311">
        <f>A67+1</f>
        <v>57</v>
      </c>
      <c r="B68" s="388">
        <v>46091</v>
      </c>
      <c r="C68" s="312" t="s">
        <v>229</v>
      </c>
      <c r="D68" s="312" t="s">
        <v>232</v>
      </c>
      <c r="E68" s="413">
        <v>51.05</v>
      </c>
      <c r="F68" s="314">
        <v>973.39</v>
      </c>
      <c r="G68" s="315">
        <f>F68-42</f>
        <v>931.39</v>
      </c>
      <c r="H68" s="316">
        <f>E68*G68</f>
        <v>47547.4595</v>
      </c>
      <c r="I68" s="317">
        <v>74980.34</v>
      </c>
      <c r="J68" s="318">
        <f>E68*I68</f>
        <v>3827746.357</v>
      </c>
      <c r="K68" s="47" t="s">
        <v>157</v>
      </c>
      <c r="L68" s="319" t="s">
        <v>171</v>
      </c>
      <c r="M68" s="389"/>
      <c r="N68" s="311"/>
      <c r="O68" s="321"/>
      <c r="P68" s="321"/>
      <c r="Q68" s="321"/>
      <c r="R68" s="322"/>
    </row>
    <row r="69" spans="1:20">
      <c r="A69" s="311">
        <f>A68+1</f>
        <v>58</v>
      </c>
      <c r="B69" s="388">
        <v>46091</v>
      </c>
      <c r="C69" s="312" t="s">
        <v>229</v>
      </c>
      <c r="D69" s="312" t="s">
        <v>233</v>
      </c>
      <c r="E69" s="413">
        <v>59.95</v>
      </c>
      <c r="F69" s="314">
        <v>973.39</v>
      </c>
      <c r="G69" s="315">
        <f>F69-42</f>
        <v>931.39</v>
      </c>
      <c r="H69" s="316">
        <f>E69*G69</f>
        <v>55836.8305</v>
      </c>
      <c r="I69" s="317">
        <v>74980.34</v>
      </c>
      <c r="J69" s="318">
        <f>E69*I69</f>
        <v>4495071.383</v>
      </c>
      <c r="K69" s="47" t="s">
        <v>157</v>
      </c>
      <c r="L69" s="319" t="s">
        <v>171</v>
      </c>
      <c r="M69" s="389"/>
      <c r="N69" s="311"/>
      <c r="O69" s="321"/>
      <c r="P69" s="321"/>
      <c r="Q69" s="321"/>
      <c r="R69" s="322"/>
    </row>
    <row r="70" spans="1:20">
      <c r="A70" s="311">
        <f>A69+1</f>
        <v>59</v>
      </c>
      <c r="B70" s="388">
        <v>46091</v>
      </c>
      <c r="C70" s="312" t="s">
        <v>229</v>
      </c>
      <c r="D70" s="312" t="s">
        <v>234</v>
      </c>
      <c r="E70" s="413">
        <v>59.85</v>
      </c>
      <c r="F70" s="314">
        <v>973.39</v>
      </c>
      <c r="G70" s="315">
        <f>F70-42</f>
        <v>931.39</v>
      </c>
      <c r="H70" s="316">
        <f>E70*G70</f>
        <v>55743.6915</v>
      </c>
      <c r="I70" s="317">
        <v>74980.34</v>
      </c>
      <c r="J70" s="318">
        <f>E70*I70</f>
        <v>4487573.349</v>
      </c>
      <c r="K70" s="47" t="s">
        <v>157</v>
      </c>
      <c r="L70" s="319" t="s">
        <v>171</v>
      </c>
      <c r="M70" s="389"/>
      <c r="N70" s="311"/>
      <c r="O70" s="321"/>
      <c r="P70" s="321"/>
      <c r="Q70" s="321"/>
      <c r="R70" s="322"/>
    </row>
    <row r="71" spans="1:20">
      <c r="A71" s="311">
        <f>A70+1</f>
        <v>60</v>
      </c>
      <c r="B71" s="388">
        <v>46091</v>
      </c>
      <c r="C71" s="312" t="s">
        <v>229</v>
      </c>
      <c r="D71" s="312" t="s">
        <v>235</v>
      </c>
      <c r="E71" s="413">
        <v>59.85</v>
      </c>
      <c r="F71" s="314">
        <v>973.39</v>
      </c>
      <c r="G71" s="315">
        <f>F71-42</f>
        <v>931.39</v>
      </c>
      <c r="H71" s="316">
        <f>E71*G71</f>
        <v>55743.6915</v>
      </c>
      <c r="I71" s="317">
        <v>74980.34</v>
      </c>
      <c r="J71" s="318">
        <f>E71*I71</f>
        <v>4487573.349</v>
      </c>
      <c r="K71" s="47" t="s">
        <v>157</v>
      </c>
      <c r="L71" s="319" t="s">
        <v>171</v>
      </c>
      <c r="M71" s="389"/>
      <c r="N71" s="311"/>
      <c r="O71" s="414">
        <v>46106</v>
      </c>
      <c r="P71" s="415">
        <v>59.302</v>
      </c>
      <c r="Q71" s="416">
        <f>P71-E71</f>
        <v>-0.548000000000002</v>
      </c>
      <c r="R71" s="322"/>
    </row>
    <row r="72" spans="1:20">
      <c r="A72" s="311">
        <f>A71+1</f>
        <v>61</v>
      </c>
      <c r="B72" s="388">
        <v>46091</v>
      </c>
      <c r="C72" s="312" t="s">
        <v>229</v>
      </c>
      <c r="D72" s="312" t="s">
        <v>236</v>
      </c>
      <c r="E72" s="413">
        <v>59.9</v>
      </c>
      <c r="F72" s="314">
        <v>973.39</v>
      </c>
      <c r="G72" s="315">
        <f>F72-42</f>
        <v>931.39</v>
      </c>
      <c r="H72" s="316">
        <f>E72*G72</f>
        <v>55790.261</v>
      </c>
      <c r="I72" s="317">
        <v>74980.34</v>
      </c>
      <c r="J72" s="318">
        <f>E72*I72</f>
        <v>4491322.366</v>
      </c>
      <c r="K72" s="47" t="s">
        <v>157</v>
      </c>
      <c r="L72" s="319" t="s">
        <v>171</v>
      </c>
      <c r="M72" s="389"/>
      <c r="N72" s="311"/>
      <c r="O72" s="321"/>
      <c r="P72" s="321"/>
      <c r="Q72" s="321"/>
      <c r="R72" s="322"/>
    </row>
    <row r="73" spans="1:20">
      <c r="A73" s="311">
        <f>A72+1</f>
        <v>62</v>
      </c>
      <c r="B73" s="388">
        <v>46091</v>
      </c>
      <c r="C73" s="312" t="s">
        <v>229</v>
      </c>
      <c r="D73" s="312" t="s">
        <v>237</v>
      </c>
      <c r="E73" s="413">
        <v>59.85</v>
      </c>
      <c r="F73" s="314">
        <v>973.39</v>
      </c>
      <c r="G73" s="315">
        <f>F73-42</f>
        <v>931.39</v>
      </c>
      <c r="H73" s="316">
        <f>E73*G73</f>
        <v>55743.6915</v>
      </c>
      <c r="I73" s="317">
        <v>74980.34</v>
      </c>
      <c r="J73" s="318">
        <f>E73*I73</f>
        <v>4487573.349</v>
      </c>
      <c r="K73" s="47" t="s">
        <v>157</v>
      </c>
      <c r="L73" s="319" t="s">
        <v>171</v>
      </c>
      <c r="M73" s="389"/>
      <c r="N73" s="311"/>
      <c r="O73" s="414">
        <v>46106</v>
      </c>
      <c r="P73" s="415">
        <v>59.464</v>
      </c>
      <c r="Q73" s="416">
        <f>P73-E73</f>
        <v>-0.386000000000003</v>
      </c>
      <c r="R73" s="322"/>
    </row>
    <row r="74" spans="1:20">
      <c r="A74" s="311">
        <f>A73+1</f>
        <v>63</v>
      </c>
      <c r="B74" s="388">
        <v>46091</v>
      </c>
      <c r="C74" s="312" t="s">
        <v>229</v>
      </c>
      <c r="D74" s="312" t="s">
        <v>238</v>
      </c>
      <c r="E74" s="413">
        <v>59.95</v>
      </c>
      <c r="F74" s="314">
        <v>973.39</v>
      </c>
      <c r="G74" s="315">
        <f>F74-42</f>
        <v>931.39</v>
      </c>
      <c r="H74" s="316">
        <f>E74*G74</f>
        <v>55836.8305</v>
      </c>
      <c r="I74" s="317">
        <v>74980.34</v>
      </c>
      <c r="J74" s="318">
        <f>E74*I74</f>
        <v>4495071.383</v>
      </c>
      <c r="K74" s="47" t="s">
        <v>157</v>
      </c>
      <c r="L74" s="319" t="s">
        <v>171</v>
      </c>
      <c r="M74" s="389"/>
      <c r="N74" s="311"/>
      <c r="O74" s="414">
        <v>46106</v>
      </c>
      <c r="P74" s="415">
        <v>59.358</v>
      </c>
      <c r="Q74" s="416">
        <f>P74-E74</f>
        <v>-0.592000000000006</v>
      </c>
      <c r="R74" s="322"/>
    </row>
    <row r="75" spans="1:20">
      <c r="A75" s="311">
        <f>A74+1</f>
        <v>64</v>
      </c>
      <c r="B75" s="388">
        <v>46091</v>
      </c>
      <c r="C75" s="312" t="s">
        <v>229</v>
      </c>
      <c r="D75" s="312" t="s">
        <v>239</v>
      </c>
      <c r="E75" s="413">
        <v>60.05</v>
      </c>
      <c r="F75" s="314">
        <v>973.39</v>
      </c>
      <c r="G75" s="315">
        <f>F75-42</f>
        <v>931.39</v>
      </c>
      <c r="H75" s="316">
        <f>E75*G75</f>
        <v>55929.9695</v>
      </c>
      <c r="I75" s="317">
        <v>74980.34</v>
      </c>
      <c r="J75" s="318">
        <f>E75*I75</f>
        <v>4502569.417</v>
      </c>
      <c r="K75" s="47" t="s">
        <v>157</v>
      </c>
      <c r="L75" s="319" t="s">
        <v>171</v>
      </c>
      <c r="M75" s="389"/>
      <c r="N75" s="311"/>
      <c r="O75" s="321"/>
      <c r="P75" s="321"/>
      <c r="Q75" s="321"/>
      <c r="R75" s="322"/>
    </row>
    <row r="76" spans="1:20">
      <c r="A76" s="311">
        <f>A75+1</f>
        <v>65</v>
      </c>
      <c r="B76" s="388">
        <v>46091</v>
      </c>
      <c r="C76" s="312" t="s">
        <v>229</v>
      </c>
      <c r="D76" s="312" t="s">
        <v>240</v>
      </c>
      <c r="E76" s="413">
        <v>60.5</v>
      </c>
      <c r="F76" s="314">
        <v>973.39</v>
      </c>
      <c r="G76" s="315">
        <f>F76-42</f>
        <v>931.39</v>
      </c>
      <c r="H76" s="316">
        <f>E76*G76</f>
        <v>56349.095</v>
      </c>
      <c r="I76" s="317">
        <v>74980.34</v>
      </c>
      <c r="J76" s="318">
        <f>E76*I76</f>
        <v>4536310.57</v>
      </c>
      <c r="K76" s="47" t="s">
        <v>157</v>
      </c>
      <c r="L76" s="319" t="s">
        <v>171</v>
      </c>
      <c r="M76" s="389"/>
      <c r="N76" s="311"/>
      <c r="O76" s="321"/>
      <c r="P76" s="321"/>
      <c r="Q76" s="321"/>
      <c r="R76" s="322"/>
    </row>
    <row r="77" ht="15.75" spans="1:20">
      <c r="A77" s="323">
        <f>A76+1</f>
        <v>66</v>
      </c>
      <c r="B77" s="418">
        <v>46091</v>
      </c>
      <c r="C77" s="324" t="s">
        <v>229</v>
      </c>
      <c r="D77" s="324" t="s">
        <v>241</v>
      </c>
      <c r="E77" s="419">
        <v>59.95</v>
      </c>
      <c r="F77" s="314">
        <v>973.39</v>
      </c>
      <c r="G77" s="326">
        <f>F77-42</f>
        <v>931.39</v>
      </c>
      <c r="H77" s="327">
        <f>E77*G77</f>
        <v>55836.8305</v>
      </c>
      <c r="I77" s="317">
        <v>74980.34</v>
      </c>
      <c r="J77" s="329">
        <f>E77*I77</f>
        <v>4495071.383</v>
      </c>
      <c r="K77" s="64" t="s">
        <v>157</v>
      </c>
      <c r="L77" s="330" t="s">
        <v>171</v>
      </c>
      <c r="M77" s="399"/>
      <c r="N77" s="332"/>
      <c r="O77" s="421">
        <v>46106</v>
      </c>
      <c r="P77" s="422">
        <v>59.446</v>
      </c>
      <c r="Q77" s="423">
        <f>P77-E77</f>
        <v>-0.504000000000005</v>
      </c>
      <c r="R77" s="334"/>
    </row>
    <row r="78" ht="15.75" spans="1:20">
      <c r="A78" s="336"/>
      <c r="B78" s="337"/>
      <c r="C78" s="337"/>
      <c r="D78" s="337"/>
      <c r="E78" s="403">
        <f>SUM(E66:E77)</f>
        <v>701.9</v>
      </c>
      <c r="F78" s="337"/>
      <c r="G78" s="337"/>
      <c r="H78" s="339">
        <f>SUM(H66:H77)</f>
        <v>653742.641</v>
      </c>
      <c r="I78" s="340"/>
      <c r="J78" s="341">
        <f>SUM(J66:J77)</f>
        <v>52628700.646</v>
      </c>
      <c r="K78" s="337"/>
      <c r="L78" s="342"/>
      <c r="M78" s="427"/>
      <c r="N78" s="428"/>
      <c r="O78" s="429"/>
      <c r="P78" s="429"/>
      <c r="Q78" s="429"/>
      <c r="R78" s="430"/>
    </row>
    <row r="79" spans="1:20">
      <c r="A79" s="378">
        <v>67</v>
      </c>
      <c r="B79" s="379">
        <v>46092</v>
      </c>
      <c r="C79" s="280" t="s">
        <v>242</v>
      </c>
      <c r="D79" s="380" t="s">
        <v>243</v>
      </c>
      <c r="E79" s="431">
        <v>60.5</v>
      </c>
      <c r="F79" s="314">
        <v>973.39</v>
      </c>
      <c r="G79" s="315">
        <f>F79-42</f>
        <v>931.39</v>
      </c>
      <c r="H79" s="316">
        <f>E79*G79</f>
        <v>56349.095</v>
      </c>
      <c r="I79" s="317">
        <v>74980.34</v>
      </c>
      <c r="J79" s="381">
        <f>E79*I79</f>
        <v>4536310.57</v>
      </c>
      <c r="K79" s="55" t="s">
        <v>157</v>
      </c>
      <c r="L79" s="382" t="s">
        <v>171</v>
      </c>
      <c r="M79" s="310"/>
      <c r="N79" s="300"/>
      <c r="O79" s="309"/>
      <c r="P79" s="309"/>
      <c r="Q79" s="309"/>
      <c r="R79" s="310"/>
      <c r="T79" s="280"/>
    </row>
    <row r="80" spans="1:20">
      <c r="A80" s="311">
        <f>A79+1</f>
        <v>68</v>
      </c>
      <c r="B80" s="388">
        <v>46092</v>
      </c>
      <c r="C80" s="312" t="s">
        <v>242</v>
      </c>
      <c r="D80" s="312" t="s">
        <v>244</v>
      </c>
      <c r="E80" s="313">
        <v>60.6</v>
      </c>
      <c r="F80" s="314">
        <v>973.39</v>
      </c>
      <c r="G80" s="315">
        <f>F80-42</f>
        <v>931.39</v>
      </c>
      <c r="H80" s="316">
        <f>E80*G80</f>
        <v>56442.234</v>
      </c>
      <c r="I80" s="317">
        <v>74980.34</v>
      </c>
      <c r="J80" s="318">
        <f>E80*I80</f>
        <v>4543808.604</v>
      </c>
      <c r="K80" s="47" t="s">
        <v>157</v>
      </c>
      <c r="L80" s="319" t="s">
        <v>171</v>
      </c>
      <c r="M80" s="322"/>
      <c r="N80" s="311"/>
      <c r="O80" s="321"/>
      <c r="P80" s="321"/>
      <c r="Q80" s="321"/>
      <c r="R80" s="322"/>
      <c r="T80" s="280"/>
    </row>
    <row r="81" spans="1:20">
      <c r="A81" s="311">
        <f>A80+1</f>
        <v>69</v>
      </c>
      <c r="B81" s="388">
        <v>46092</v>
      </c>
      <c r="C81" s="312" t="s">
        <v>242</v>
      </c>
      <c r="D81" s="312" t="s">
        <v>245</v>
      </c>
      <c r="E81" s="313">
        <v>60.45</v>
      </c>
      <c r="F81" s="314">
        <v>973.39</v>
      </c>
      <c r="G81" s="315">
        <f>F81-42</f>
        <v>931.39</v>
      </c>
      <c r="H81" s="316">
        <f>E81*G81</f>
        <v>56302.5255</v>
      </c>
      <c r="I81" s="317">
        <v>74980.34</v>
      </c>
      <c r="J81" s="318">
        <f>E81*I81</f>
        <v>4532561.553</v>
      </c>
      <c r="K81" s="47" t="s">
        <v>157</v>
      </c>
      <c r="L81" s="319" t="s">
        <v>171</v>
      </c>
      <c r="M81" s="322"/>
      <c r="N81" s="311"/>
      <c r="O81" s="321"/>
      <c r="P81" s="321"/>
      <c r="Q81" s="321"/>
      <c r="R81" s="322"/>
      <c r="T81" s="280"/>
    </row>
    <row r="82" spans="1:20">
      <c r="A82" s="311">
        <f>A81+1</f>
        <v>70</v>
      </c>
      <c r="B82" s="388">
        <v>46092</v>
      </c>
      <c r="C82" s="312" t="s">
        <v>242</v>
      </c>
      <c r="D82" s="312" t="s">
        <v>246</v>
      </c>
      <c r="E82" s="313">
        <v>52.1</v>
      </c>
      <c r="F82" s="314">
        <v>973.39</v>
      </c>
      <c r="G82" s="315">
        <f>F82-42</f>
        <v>931.39</v>
      </c>
      <c r="H82" s="316">
        <f>E82*G82</f>
        <v>48525.419</v>
      </c>
      <c r="I82" s="317">
        <v>74980.34</v>
      </c>
      <c r="J82" s="318">
        <f>E82*I82</f>
        <v>3906475.714</v>
      </c>
      <c r="K82" s="47" t="s">
        <v>157</v>
      </c>
      <c r="L82" s="319" t="s">
        <v>171</v>
      </c>
      <c r="M82" s="322"/>
      <c r="N82" s="311"/>
      <c r="O82" s="321"/>
      <c r="P82" s="321"/>
      <c r="Q82" s="321"/>
      <c r="R82" s="322"/>
      <c r="T82" s="280"/>
    </row>
    <row r="83" spans="1:20">
      <c r="A83" s="311">
        <f>A82+1</f>
        <v>71</v>
      </c>
      <c r="B83" s="388">
        <v>46092</v>
      </c>
      <c r="C83" s="312" t="s">
        <v>242</v>
      </c>
      <c r="D83" s="312" t="s">
        <v>247</v>
      </c>
      <c r="E83" s="313">
        <v>61.1</v>
      </c>
      <c r="F83" s="314">
        <v>973.39</v>
      </c>
      <c r="G83" s="315">
        <f>F83-42</f>
        <v>931.39</v>
      </c>
      <c r="H83" s="316">
        <f>E83*G83</f>
        <v>56907.929</v>
      </c>
      <c r="I83" s="317">
        <v>74980.34</v>
      </c>
      <c r="J83" s="318">
        <f>E83*I83</f>
        <v>4581298.774</v>
      </c>
      <c r="K83" s="47" t="s">
        <v>157</v>
      </c>
      <c r="L83" s="319" t="s">
        <v>171</v>
      </c>
      <c r="M83" s="322"/>
      <c r="N83" s="311"/>
      <c r="O83" s="321"/>
      <c r="P83" s="321"/>
      <c r="Q83" s="321"/>
      <c r="R83" s="322"/>
      <c r="T83" s="280"/>
    </row>
    <row r="84" spans="1:20">
      <c r="A84" s="311">
        <f>A83+1</f>
        <v>72</v>
      </c>
      <c r="B84" s="388">
        <v>46092</v>
      </c>
      <c r="C84" s="312" t="s">
        <v>242</v>
      </c>
      <c r="D84" s="312" t="s">
        <v>248</v>
      </c>
      <c r="E84" s="313">
        <v>61.05</v>
      </c>
      <c r="F84" s="314">
        <v>973.39</v>
      </c>
      <c r="G84" s="315">
        <f>F84-42</f>
        <v>931.39</v>
      </c>
      <c r="H84" s="316">
        <f>E84*G84</f>
        <v>56861.3595</v>
      </c>
      <c r="I84" s="317">
        <v>74980.34</v>
      </c>
      <c r="J84" s="318">
        <f>E84*I84</f>
        <v>4577549.757</v>
      </c>
      <c r="K84" s="47" t="s">
        <v>157</v>
      </c>
      <c r="L84" s="319" t="s">
        <v>171</v>
      </c>
      <c r="M84" s="322"/>
      <c r="N84" s="311"/>
      <c r="O84" s="321"/>
      <c r="P84" s="321"/>
      <c r="Q84" s="321"/>
      <c r="R84" s="322"/>
      <c r="T84" s="280"/>
    </row>
    <row r="85" spans="1:20">
      <c r="A85" s="311">
        <f>A84+1</f>
        <v>73</v>
      </c>
      <c r="B85" s="388">
        <v>46092</v>
      </c>
      <c r="C85" s="312" t="s">
        <v>242</v>
      </c>
      <c r="D85" s="312" t="s">
        <v>249</v>
      </c>
      <c r="E85" s="313">
        <v>61.05</v>
      </c>
      <c r="F85" s="314">
        <v>973.39</v>
      </c>
      <c r="G85" s="315">
        <f>F85-42</f>
        <v>931.39</v>
      </c>
      <c r="H85" s="316">
        <f>E85*G85</f>
        <v>56861.3595</v>
      </c>
      <c r="I85" s="317">
        <v>74980.34</v>
      </c>
      <c r="J85" s="318">
        <f>E85*I85</f>
        <v>4577549.757</v>
      </c>
      <c r="K85" s="47" t="s">
        <v>157</v>
      </c>
      <c r="L85" s="319" t="s">
        <v>171</v>
      </c>
      <c r="M85" s="322"/>
      <c r="N85" s="311"/>
      <c r="O85" s="321"/>
      <c r="P85" s="321"/>
      <c r="Q85" s="321"/>
      <c r="R85" s="322"/>
      <c r="T85" s="280"/>
    </row>
    <row r="86" spans="1:20">
      <c r="A86" s="311">
        <f>A85+1</f>
        <v>74</v>
      </c>
      <c r="B86" s="388">
        <v>46092</v>
      </c>
      <c r="C86" s="312" t="s">
        <v>242</v>
      </c>
      <c r="D86" s="312" t="s">
        <v>250</v>
      </c>
      <c r="E86" s="313">
        <v>61</v>
      </c>
      <c r="F86" s="314">
        <v>973.39</v>
      </c>
      <c r="G86" s="315">
        <f>F86-42</f>
        <v>931.39</v>
      </c>
      <c r="H86" s="316">
        <f>E86*G86</f>
        <v>56814.79</v>
      </c>
      <c r="I86" s="317">
        <v>74980.34</v>
      </c>
      <c r="J86" s="318">
        <f>E86*I86</f>
        <v>4573800.74</v>
      </c>
      <c r="K86" s="47" t="s">
        <v>157</v>
      </c>
      <c r="L86" s="319" t="s">
        <v>171</v>
      </c>
      <c r="M86" s="322"/>
      <c r="N86" s="311"/>
      <c r="O86" s="321"/>
      <c r="P86" s="321"/>
      <c r="Q86" s="321"/>
      <c r="R86" s="322"/>
      <c r="T86" s="280"/>
    </row>
    <row r="87" ht="15.75" spans="1:20">
      <c r="A87" s="332">
        <f>A86+1</f>
        <v>75</v>
      </c>
      <c r="B87" s="396">
        <v>46092</v>
      </c>
      <c r="C87" s="352" t="s">
        <v>242</v>
      </c>
      <c r="D87" s="350" t="s">
        <v>251</v>
      </c>
      <c r="E87" s="353">
        <v>61.35</v>
      </c>
      <c r="F87" s="314">
        <v>973.39</v>
      </c>
      <c r="G87" s="315">
        <f>F87-42</f>
        <v>931.39</v>
      </c>
      <c r="H87" s="432">
        <f>E87*G87</f>
        <v>57140.7765</v>
      </c>
      <c r="I87" s="317">
        <v>74980.34</v>
      </c>
      <c r="J87" s="433">
        <f>E87*I87</f>
        <v>4600043.859</v>
      </c>
      <c r="K87" s="115" t="s">
        <v>157</v>
      </c>
      <c r="L87" s="398" t="s">
        <v>171</v>
      </c>
      <c r="M87" s="334"/>
      <c r="N87" s="332"/>
      <c r="O87" s="333"/>
      <c r="P87" s="333"/>
      <c r="Q87" s="333"/>
      <c r="R87" s="334"/>
      <c r="T87" s="280"/>
    </row>
    <row r="88" ht="15.75" spans="1:20">
      <c r="A88" s="336"/>
      <c r="B88" s="337"/>
      <c r="C88" s="337"/>
      <c r="D88" s="337"/>
      <c r="E88" s="403">
        <f>SUM(E79:E87)</f>
        <v>539.2</v>
      </c>
      <c r="F88" s="337"/>
      <c r="G88" s="337"/>
      <c r="H88" s="339">
        <f>SUM(H79:H87)</f>
        <v>502205.488</v>
      </c>
      <c r="I88" s="340"/>
      <c r="J88" s="341">
        <f>SUM(J79:J87)</f>
        <v>40429399.328</v>
      </c>
      <c r="K88" s="337"/>
      <c r="L88" s="342"/>
      <c r="M88" s="434"/>
      <c r="N88" s="435"/>
      <c r="O88" s="436"/>
      <c r="P88" s="436"/>
      <c r="Q88" s="436"/>
      <c r="R88" s="437"/>
    </row>
    <row r="89" ht="15.75" spans="1:20">
      <c r="A89" s="438">
        <v>76</v>
      </c>
      <c r="B89" s="439">
        <v>46092</v>
      </c>
      <c r="C89" s="440" t="s">
        <v>252</v>
      </c>
      <c r="D89" s="440" t="s">
        <v>253</v>
      </c>
      <c r="E89" s="441">
        <v>52.2</v>
      </c>
      <c r="F89" s="314">
        <v>973.39</v>
      </c>
      <c r="G89" s="315">
        <f>F89-42</f>
        <v>931.39</v>
      </c>
      <c r="H89" s="327">
        <f>E89*G89</f>
        <v>48618.558</v>
      </c>
      <c r="I89" s="317">
        <v>74980.34</v>
      </c>
      <c r="J89" s="442">
        <f>E89*I89</f>
        <v>3913973.748</v>
      </c>
      <c r="K89" s="90" t="s">
        <v>157</v>
      </c>
      <c r="L89" s="443" t="s">
        <v>171</v>
      </c>
      <c r="M89" s="444"/>
      <c r="N89" s="445"/>
      <c r="O89" s="446">
        <v>46108</v>
      </c>
      <c r="P89" s="447">
        <v>52.121</v>
      </c>
      <c r="Q89" s="448">
        <f>P89-E89</f>
        <v>-0.0790000000000006</v>
      </c>
      <c r="R89" s="449"/>
    </row>
    <row r="90" ht="15.75" spans="1:20">
      <c r="A90" s="336"/>
      <c r="B90" s="337"/>
      <c r="C90" s="337"/>
      <c r="D90" s="337"/>
      <c r="E90" s="403">
        <f>E89</f>
        <v>52.2</v>
      </c>
      <c r="F90" s="337"/>
      <c r="G90" s="337"/>
      <c r="H90" s="339">
        <f>SUM(H89)</f>
        <v>48618.558</v>
      </c>
      <c r="I90" s="340"/>
      <c r="J90" s="341">
        <f>SUM(J89)</f>
        <v>3913973.748</v>
      </c>
      <c r="K90" s="337"/>
      <c r="L90" s="377"/>
      <c r="M90" s="343"/>
      <c r="N90" s="344"/>
      <c r="O90" s="337"/>
      <c r="P90" s="337"/>
      <c r="Q90" s="337"/>
      <c r="R90" s="342"/>
    </row>
    <row r="91" spans="1:20">
      <c r="A91" s="300">
        <v>77</v>
      </c>
      <c r="B91" s="424">
        <v>46093</v>
      </c>
      <c r="C91" s="450" t="s">
        <v>254</v>
      </c>
      <c r="D91" s="301" t="s">
        <v>255</v>
      </c>
      <c r="E91" s="425">
        <v>60</v>
      </c>
      <c r="F91" s="314">
        <v>973.39</v>
      </c>
      <c r="G91" s="315">
        <f>F91-42</f>
        <v>931.39</v>
      </c>
      <c r="H91" s="303">
        <f>E91*G91</f>
        <v>55883.4</v>
      </c>
      <c r="I91" s="317">
        <v>74980.34</v>
      </c>
      <c r="J91" s="306">
        <f>E91*I91</f>
        <v>4498820.4</v>
      </c>
      <c r="K91" s="34" t="s">
        <v>157</v>
      </c>
      <c r="L91" s="307" t="s">
        <v>171</v>
      </c>
      <c r="M91" s="310"/>
      <c r="N91" s="300"/>
      <c r="O91" s="451">
        <v>46106</v>
      </c>
      <c r="P91" s="452">
        <v>59.644</v>
      </c>
      <c r="Q91" s="453">
        <f>P91-E91</f>
        <v>-0.356000000000002</v>
      </c>
      <c r="R91" s="310"/>
    </row>
    <row r="92" spans="1:20">
      <c r="A92" s="311">
        <f>A91+1</f>
        <v>78</v>
      </c>
      <c r="B92" s="388">
        <v>46093</v>
      </c>
      <c r="C92" s="347" t="s">
        <v>254</v>
      </c>
      <c r="D92" s="312" t="s">
        <v>256</v>
      </c>
      <c r="E92" s="413">
        <v>60.05</v>
      </c>
      <c r="F92" s="314">
        <v>973.39</v>
      </c>
      <c r="G92" s="315">
        <f>F92-42</f>
        <v>931.39</v>
      </c>
      <c r="H92" s="316">
        <f>E92*G92</f>
        <v>55929.9695</v>
      </c>
      <c r="I92" s="317">
        <v>74980.34</v>
      </c>
      <c r="J92" s="318">
        <f>E92*I92</f>
        <v>4502569.417</v>
      </c>
      <c r="K92" s="47" t="s">
        <v>157</v>
      </c>
      <c r="L92" s="319" t="s">
        <v>171</v>
      </c>
      <c r="M92" s="322"/>
      <c r="N92" s="311"/>
      <c r="O92" s="390">
        <v>46106</v>
      </c>
      <c r="P92" s="391">
        <v>60.425</v>
      </c>
      <c r="Q92" s="392">
        <f>P92-E92</f>
        <v>0.375</v>
      </c>
      <c r="R92" s="322"/>
    </row>
    <row r="93" spans="1:20">
      <c r="A93" s="311">
        <f>A92+1</f>
        <v>79</v>
      </c>
      <c r="B93" s="388">
        <v>46093</v>
      </c>
      <c r="C93" s="347" t="s">
        <v>254</v>
      </c>
      <c r="D93" s="312" t="s">
        <v>257</v>
      </c>
      <c r="E93" s="413">
        <v>60.05</v>
      </c>
      <c r="F93" s="314">
        <v>973.39</v>
      </c>
      <c r="G93" s="315">
        <f>F93-42</f>
        <v>931.39</v>
      </c>
      <c r="H93" s="316">
        <f>E93*G93</f>
        <v>55929.9695</v>
      </c>
      <c r="I93" s="317">
        <v>74980.34</v>
      </c>
      <c r="J93" s="318">
        <f>E93*I93</f>
        <v>4502569.417</v>
      </c>
      <c r="K93" s="47" t="s">
        <v>157</v>
      </c>
      <c r="L93" s="319" t="s">
        <v>171</v>
      </c>
      <c r="M93" s="322"/>
      <c r="N93" s="311"/>
      <c r="O93" s="414">
        <v>46108</v>
      </c>
      <c r="P93" s="415">
        <v>60.116</v>
      </c>
      <c r="Q93" s="416">
        <f>P93-E93</f>
        <v>0.0660000000000025</v>
      </c>
      <c r="R93" s="322"/>
    </row>
    <row r="94" spans="1:20">
      <c r="A94" s="311">
        <f>A93+1</f>
        <v>80</v>
      </c>
      <c r="B94" s="388">
        <v>46093</v>
      </c>
      <c r="C94" s="347" t="s">
        <v>254</v>
      </c>
      <c r="D94" s="312" t="s">
        <v>258</v>
      </c>
      <c r="E94" s="413">
        <v>60.05</v>
      </c>
      <c r="F94" s="314">
        <v>973.39</v>
      </c>
      <c r="G94" s="315">
        <f>F94-42</f>
        <v>931.39</v>
      </c>
      <c r="H94" s="316">
        <f>E94*G94</f>
        <v>55929.9695</v>
      </c>
      <c r="I94" s="317">
        <v>74980.34</v>
      </c>
      <c r="J94" s="318">
        <f>E94*I94</f>
        <v>4502569.417</v>
      </c>
      <c r="K94" s="47" t="s">
        <v>157</v>
      </c>
      <c r="L94" s="319" t="s">
        <v>171</v>
      </c>
      <c r="M94" s="322"/>
      <c r="N94" s="311"/>
      <c r="O94" s="390">
        <v>46106</v>
      </c>
      <c r="P94" s="391">
        <v>59.838</v>
      </c>
      <c r="Q94" s="392">
        <f>P94-E94</f>
        <v>-0.211999999999996</v>
      </c>
      <c r="R94" s="322"/>
    </row>
    <row r="95" spans="1:20">
      <c r="A95" s="311">
        <f>A94+1</f>
        <v>81</v>
      </c>
      <c r="B95" s="388">
        <v>46093</v>
      </c>
      <c r="C95" s="347" t="s">
        <v>254</v>
      </c>
      <c r="D95" s="312" t="s">
        <v>259</v>
      </c>
      <c r="E95" s="413">
        <v>60.1</v>
      </c>
      <c r="F95" s="314">
        <v>973.39</v>
      </c>
      <c r="G95" s="315">
        <f>F95-42</f>
        <v>931.39</v>
      </c>
      <c r="H95" s="316">
        <f>E95*G95</f>
        <v>55976.539</v>
      </c>
      <c r="I95" s="317">
        <v>74980.34</v>
      </c>
      <c r="J95" s="318">
        <f>E95*I95</f>
        <v>4506318.434</v>
      </c>
      <c r="K95" s="47" t="s">
        <v>157</v>
      </c>
      <c r="L95" s="319" t="s">
        <v>171</v>
      </c>
      <c r="M95" s="322"/>
      <c r="N95" s="311"/>
      <c r="O95" s="390">
        <v>46106</v>
      </c>
      <c r="P95" s="391">
        <v>59.924</v>
      </c>
      <c r="Q95" s="392">
        <f>P95-E95</f>
        <v>-0.176000000000002</v>
      </c>
      <c r="R95" s="322"/>
    </row>
    <row r="96" spans="1:20">
      <c r="A96" s="311">
        <f>A95+1</f>
        <v>82</v>
      </c>
      <c r="B96" s="388">
        <v>46093</v>
      </c>
      <c r="C96" s="347" t="s">
        <v>254</v>
      </c>
      <c r="D96" s="312" t="s">
        <v>260</v>
      </c>
      <c r="E96" s="413">
        <v>60.1</v>
      </c>
      <c r="F96" s="314">
        <v>973.39</v>
      </c>
      <c r="G96" s="315">
        <f>F96-42</f>
        <v>931.39</v>
      </c>
      <c r="H96" s="316">
        <f>E96*G96</f>
        <v>55976.539</v>
      </c>
      <c r="I96" s="317">
        <v>74980.34</v>
      </c>
      <c r="J96" s="318">
        <f>E96*I96</f>
        <v>4506318.434</v>
      </c>
      <c r="K96" s="47" t="s">
        <v>157</v>
      </c>
      <c r="L96" s="319" t="s">
        <v>171</v>
      </c>
      <c r="M96" s="322"/>
      <c r="N96" s="311"/>
      <c r="O96" s="390">
        <v>46106</v>
      </c>
      <c r="P96" s="391">
        <v>59.788</v>
      </c>
      <c r="Q96" s="392">
        <f>P96-E96</f>
        <v>-0.312000000000005</v>
      </c>
      <c r="R96" s="322"/>
    </row>
    <row r="97" spans="1:18">
      <c r="A97" s="311">
        <f>A96+1</f>
        <v>83</v>
      </c>
      <c r="B97" s="388">
        <v>46093</v>
      </c>
      <c r="C97" s="347" t="s">
        <v>254</v>
      </c>
      <c r="D97" s="312" t="s">
        <v>261</v>
      </c>
      <c r="E97" s="413">
        <v>60.2</v>
      </c>
      <c r="F97" s="314">
        <v>973.39</v>
      </c>
      <c r="G97" s="315">
        <f>F97-42</f>
        <v>931.39</v>
      </c>
      <c r="H97" s="316">
        <f>E97*G97</f>
        <v>56069.678</v>
      </c>
      <c r="I97" s="317">
        <v>74980.34</v>
      </c>
      <c r="J97" s="318">
        <f>E97*I97</f>
        <v>4513816.468</v>
      </c>
      <c r="K97" s="47" t="s">
        <v>157</v>
      </c>
      <c r="L97" s="319" t="s">
        <v>171</v>
      </c>
      <c r="M97" s="322"/>
      <c r="N97" s="311"/>
      <c r="O97" s="390">
        <v>46106</v>
      </c>
      <c r="P97" s="391">
        <v>59.482</v>
      </c>
      <c r="Q97" s="392">
        <f>P97-E97</f>
        <v>-0.718000000000004</v>
      </c>
      <c r="R97" s="322"/>
    </row>
    <row r="98" spans="1:18">
      <c r="A98" s="311">
        <f>A97+1</f>
        <v>84</v>
      </c>
      <c r="B98" s="388">
        <v>46093</v>
      </c>
      <c r="C98" s="347" t="s">
        <v>254</v>
      </c>
      <c r="D98" s="312" t="s">
        <v>262</v>
      </c>
      <c r="E98" s="413">
        <v>60.15</v>
      </c>
      <c r="F98" s="314">
        <v>973.39</v>
      </c>
      <c r="G98" s="315">
        <f>F98-42</f>
        <v>931.39</v>
      </c>
      <c r="H98" s="316">
        <f>E98*G98</f>
        <v>56023.1085</v>
      </c>
      <c r="I98" s="317">
        <v>74980.34</v>
      </c>
      <c r="J98" s="318">
        <f>E98*I98</f>
        <v>4510067.451</v>
      </c>
      <c r="K98" s="47" t="s">
        <v>157</v>
      </c>
      <c r="L98" s="319" t="s">
        <v>171</v>
      </c>
      <c r="M98" s="322"/>
      <c r="N98" s="311"/>
      <c r="O98" s="390">
        <v>46106</v>
      </c>
      <c r="P98" s="392">
        <v>60.08</v>
      </c>
      <c r="Q98" s="392">
        <f>P98-E98</f>
        <v>-0.0700000000000003</v>
      </c>
      <c r="R98" s="322"/>
    </row>
    <row r="99" spans="1:18">
      <c r="A99" s="311">
        <f>A98+1</f>
        <v>85</v>
      </c>
      <c r="B99" s="388">
        <v>46093</v>
      </c>
      <c r="C99" s="347" t="s">
        <v>254</v>
      </c>
      <c r="D99" s="312" t="s">
        <v>263</v>
      </c>
      <c r="E99" s="413">
        <v>60.6</v>
      </c>
      <c r="F99" s="314">
        <v>973.39</v>
      </c>
      <c r="G99" s="315">
        <f>F99-42</f>
        <v>931.39</v>
      </c>
      <c r="H99" s="316">
        <f>E99*G99</f>
        <v>56442.234</v>
      </c>
      <c r="I99" s="317">
        <v>74980.34</v>
      </c>
      <c r="J99" s="318">
        <f>E99*I99</f>
        <v>4543808.604</v>
      </c>
      <c r="K99" s="47" t="s">
        <v>157</v>
      </c>
      <c r="L99" s="319" t="s">
        <v>171</v>
      </c>
      <c r="M99" s="322"/>
      <c r="N99" s="311"/>
      <c r="O99" s="390">
        <v>46106</v>
      </c>
      <c r="P99" s="391">
        <v>60.295</v>
      </c>
      <c r="Q99" s="391">
        <f>P99-E99</f>
        <v>-0.305</v>
      </c>
      <c r="R99" s="322"/>
    </row>
    <row r="100" spans="1:18">
      <c r="A100" s="311">
        <f>A99+1</f>
        <v>86</v>
      </c>
      <c r="B100" s="388">
        <v>46093</v>
      </c>
      <c r="C100" s="347" t="s">
        <v>254</v>
      </c>
      <c r="D100" s="312" t="s">
        <v>264</v>
      </c>
      <c r="E100" s="413">
        <v>60.55</v>
      </c>
      <c r="F100" s="314">
        <v>973.39</v>
      </c>
      <c r="G100" s="315">
        <f>F100-42</f>
        <v>931.39</v>
      </c>
      <c r="H100" s="316">
        <f>E100*G100</f>
        <v>56395.6645</v>
      </c>
      <c r="I100" s="317">
        <v>74980.34</v>
      </c>
      <c r="J100" s="318">
        <f>E100*I100</f>
        <v>4540059.587</v>
      </c>
      <c r="K100" s="47" t="s">
        <v>157</v>
      </c>
      <c r="L100" s="319" t="s">
        <v>171</v>
      </c>
      <c r="M100" s="322"/>
      <c r="N100" s="311"/>
      <c r="O100" s="414">
        <v>46108</v>
      </c>
      <c r="P100" s="415">
        <v>60.785</v>
      </c>
      <c r="Q100" s="415">
        <f>P100-E100</f>
        <v>0.234999999999999</v>
      </c>
      <c r="R100" s="322"/>
    </row>
    <row r="101" spans="1:18">
      <c r="A101" s="311">
        <f>A100+1</f>
        <v>87</v>
      </c>
      <c r="B101" s="388">
        <v>46093</v>
      </c>
      <c r="C101" s="347" t="s">
        <v>254</v>
      </c>
      <c r="D101" s="312" t="s">
        <v>265</v>
      </c>
      <c r="E101" s="413">
        <v>60.6</v>
      </c>
      <c r="F101" s="314">
        <v>973.39</v>
      </c>
      <c r="G101" s="315">
        <f>F101-42</f>
        <v>931.39</v>
      </c>
      <c r="H101" s="316">
        <f>E101*G101</f>
        <v>56442.234</v>
      </c>
      <c r="I101" s="317">
        <v>74980.34</v>
      </c>
      <c r="J101" s="318">
        <f>E101*I101</f>
        <v>4543808.604</v>
      </c>
      <c r="K101" s="47" t="s">
        <v>157</v>
      </c>
      <c r="L101" s="319" t="s">
        <v>171</v>
      </c>
      <c r="M101" s="322"/>
      <c r="N101" s="311"/>
      <c r="O101" s="414">
        <v>46108</v>
      </c>
      <c r="P101" s="415">
        <v>60.568</v>
      </c>
      <c r="Q101" s="415">
        <f>P101-E101</f>
        <v>-0.0320000000000036</v>
      </c>
      <c r="R101" s="322"/>
    </row>
    <row r="102" spans="1:18">
      <c r="A102" s="311">
        <f>A101+1</f>
        <v>88</v>
      </c>
      <c r="B102" s="388">
        <v>46093</v>
      </c>
      <c r="C102" s="347" t="s">
        <v>254</v>
      </c>
      <c r="D102" s="312" t="s">
        <v>266</v>
      </c>
      <c r="E102" s="413">
        <v>60.55</v>
      </c>
      <c r="F102" s="314">
        <v>973.39</v>
      </c>
      <c r="G102" s="315">
        <f>F102-42</f>
        <v>931.39</v>
      </c>
      <c r="H102" s="316">
        <f>E102*G102</f>
        <v>56395.6645</v>
      </c>
      <c r="I102" s="317">
        <v>74980.34</v>
      </c>
      <c r="J102" s="318">
        <f>E102*I102</f>
        <v>4540059.587</v>
      </c>
      <c r="K102" s="47" t="s">
        <v>157</v>
      </c>
      <c r="L102" s="319" t="s">
        <v>171</v>
      </c>
      <c r="M102" s="322"/>
      <c r="N102" s="311"/>
      <c r="O102" s="390">
        <v>46106</v>
      </c>
      <c r="P102" s="391">
        <v>60.264</v>
      </c>
      <c r="Q102" s="392">
        <f>P102-E102</f>
        <v>-0.285999999999994</v>
      </c>
      <c r="R102" s="322"/>
    </row>
    <row r="103" spans="1:18">
      <c r="A103" s="311">
        <f>A102+1</f>
        <v>89</v>
      </c>
      <c r="B103" s="388">
        <v>46093</v>
      </c>
      <c r="C103" s="347" t="s">
        <v>254</v>
      </c>
      <c r="D103" s="312" t="s">
        <v>267</v>
      </c>
      <c r="E103" s="413">
        <v>60.6</v>
      </c>
      <c r="F103" s="314">
        <v>973.39</v>
      </c>
      <c r="G103" s="315">
        <f>F103-42</f>
        <v>931.39</v>
      </c>
      <c r="H103" s="316">
        <f>E103*G103</f>
        <v>56442.234</v>
      </c>
      <c r="I103" s="317">
        <v>74980.34</v>
      </c>
      <c r="J103" s="318">
        <f>E103*I103</f>
        <v>4543808.604</v>
      </c>
      <c r="K103" s="47" t="s">
        <v>157</v>
      </c>
      <c r="L103" s="319" t="s">
        <v>171</v>
      </c>
      <c r="M103" s="322"/>
      <c r="N103" s="311"/>
      <c r="O103" s="414">
        <v>46108</v>
      </c>
      <c r="P103" s="415">
        <v>60.866</v>
      </c>
      <c r="Q103" s="416">
        <f>P103-E103</f>
        <v>0.265999999999998</v>
      </c>
      <c r="R103" s="322"/>
    </row>
    <row r="104" spans="1:18">
      <c r="A104" s="311">
        <f>A103+1</f>
        <v>90</v>
      </c>
      <c r="B104" s="388">
        <v>46093</v>
      </c>
      <c r="C104" s="347" t="s">
        <v>254</v>
      </c>
      <c r="D104" s="312" t="s">
        <v>268</v>
      </c>
      <c r="E104" s="413">
        <v>60.6</v>
      </c>
      <c r="F104" s="314">
        <v>973.39</v>
      </c>
      <c r="G104" s="315">
        <f>F104-42</f>
        <v>931.39</v>
      </c>
      <c r="H104" s="316">
        <f>E104*G104</f>
        <v>56442.234</v>
      </c>
      <c r="I104" s="317">
        <v>74980.34</v>
      </c>
      <c r="J104" s="318">
        <f>E104*I104</f>
        <v>4543808.604</v>
      </c>
      <c r="K104" s="47" t="s">
        <v>157</v>
      </c>
      <c r="L104" s="319" t="s">
        <v>171</v>
      </c>
      <c r="M104" s="322"/>
      <c r="N104" s="311"/>
      <c r="O104" s="390">
        <v>46106</v>
      </c>
      <c r="P104" s="391">
        <v>60.031</v>
      </c>
      <c r="Q104" s="392">
        <f>P104-E104</f>
        <v>-0.569000000000003</v>
      </c>
      <c r="R104" s="322"/>
    </row>
    <row r="105" spans="1:18">
      <c r="A105" s="311">
        <f>A104+1</f>
        <v>91</v>
      </c>
      <c r="B105" s="388">
        <v>46093</v>
      </c>
      <c r="C105" s="347" t="s">
        <v>254</v>
      </c>
      <c r="D105" s="312" t="s">
        <v>269</v>
      </c>
      <c r="E105" s="413">
        <v>60.55</v>
      </c>
      <c r="F105" s="314">
        <v>973.39</v>
      </c>
      <c r="G105" s="315">
        <f>F105-42</f>
        <v>931.39</v>
      </c>
      <c r="H105" s="316">
        <f>E105*G105</f>
        <v>56395.6645</v>
      </c>
      <c r="I105" s="317">
        <v>74980.34</v>
      </c>
      <c r="J105" s="318">
        <f>E105*I105</f>
        <v>4540059.587</v>
      </c>
      <c r="K105" s="47" t="s">
        <v>157</v>
      </c>
      <c r="L105" s="319" t="s">
        <v>171</v>
      </c>
      <c r="M105" s="322"/>
      <c r="N105" s="311"/>
      <c r="O105" s="390">
        <v>46106</v>
      </c>
      <c r="P105" s="391">
        <v>60.147</v>
      </c>
      <c r="Q105" s="392">
        <f>P105-E105</f>
        <v>-0.402999999999999</v>
      </c>
      <c r="R105" s="322"/>
    </row>
    <row r="106" spans="1:18">
      <c r="A106" s="311">
        <f>A105+1</f>
        <v>92</v>
      </c>
      <c r="B106" s="388">
        <v>46093</v>
      </c>
      <c r="C106" s="347" t="s">
        <v>254</v>
      </c>
      <c r="D106" s="312" t="s">
        <v>270</v>
      </c>
      <c r="E106" s="413">
        <v>60.8</v>
      </c>
      <c r="F106" s="314">
        <v>973.39</v>
      </c>
      <c r="G106" s="315">
        <f>F106-42</f>
        <v>931.39</v>
      </c>
      <c r="H106" s="316">
        <f>E106*G106</f>
        <v>56628.512</v>
      </c>
      <c r="I106" s="317">
        <v>74980.34</v>
      </c>
      <c r="J106" s="318">
        <f>E106*I106</f>
        <v>4558804.672</v>
      </c>
      <c r="K106" s="47" t="s">
        <v>157</v>
      </c>
      <c r="L106" s="319" t="s">
        <v>171</v>
      </c>
      <c r="M106" s="322"/>
      <c r="N106" s="311"/>
      <c r="O106" s="414">
        <v>46108</v>
      </c>
      <c r="P106" s="415">
        <v>60.269</v>
      </c>
      <c r="Q106" s="415">
        <f>P106-E106</f>
        <v>-0.530999999999999</v>
      </c>
      <c r="R106" s="322"/>
    </row>
    <row r="107" ht="15.75" spans="1:18">
      <c r="A107" s="323">
        <f>A106+1</f>
        <v>93</v>
      </c>
      <c r="B107" s="418">
        <v>46093</v>
      </c>
      <c r="C107" s="280" t="s">
        <v>254</v>
      </c>
      <c r="D107" s="324" t="s">
        <v>271</v>
      </c>
      <c r="E107" s="419">
        <v>60.85</v>
      </c>
      <c r="F107" s="314">
        <v>973.39</v>
      </c>
      <c r="G107" s="326">
        <f>F107-42</f>
        <v>931.39</v>
      </c>
      <c r="H107" s="327">
        <f>E107*G107</f>
        <v>56675.0815</v>
      </c>
      <c r="I107" s="317">
        <v>74980.34</v>
      </c>
      <c r="J107" s="329">
        <f>E107*I107</f>
        <v>4562553.689</v>
      </c>
      <c r="K107" s="64" t="s">
        <v>157</v>
      </c>
      <c r="L107" s="330" t="s">
        <v>171</v>
      </c>
      <c r="M107" s="334"/>
      <c r="N107" s="332"/>
      <c r="O107" s="421">
        <v>46108</v>
      </c>
      <c r="P107" s="422">
        <v>60.983</v>
      </c>
      <c r="Q107" s="423">
        <f>P107-E107</f>
        <v>0.132999999999996</v>
      </c>
      <c r="R107" s="334"/>
    </row>
    <row r="108" ht="15.75" spans="1:18">
      <c r="A108" s="336"/>
      <c r="B108" s="337"/>
      <c r="C108" s="337"/>
      <c r="D108" s="337"/>
      <c r="E108" s="454">
        <f>SUM(E91:E107)</f>
        <v>1026.4</v>
      </c>
      <c r="F108" s="337"/>
      <c r="G108" s="337"/>
      <c r="H108" s="339">
        <f>SUM(H91:H107)</f>
        <v>955978.696</v>
      </c>
      <c r="I108" s="340"/>
      <c r="J108" s="341">
        <f>SUM(J91:J107)</f>
        <v>76959820.976</v>
      </c>
      <c r="K108" s="337"/>
      <c r="L108" s="342"/>
      <c r="M108" s="427"/>
      <c r="N108" s="428"/>
      <c r="O108" s="429"/>
      <c r="P108" s="429"/>
      <c r="Q108" s="429"/>
      <c r="R108" s="430"/>
    </row>
    <row r="109" spans="1:18">
      <c r="A109" s="378">
        <v>94</v>
      </c>
      <c r="B109" s="379">
        <v>46095</v>
      </c>
      <c r="C109" s="411">
        <v>8612052</v>
      </c>
      <c r="D109" s="411">
        <v>50946011</v>
      </c>
      <c r="E109" s="455">
        <v>60</v>
      </c>
      <c r="F109" s="314">
        <v>973.39</v>
      </c>
      <c r="G109" s="315">
        <f>F109-42</f>
        <v>931.39</v>
      </c>
      <c r="H109" s="316">
        <f>E109*G109</f>
        <v>55883.4</v>
      </c>
      <c r="I109" s="317">
        <v>74980.34</v>
      </c>
      <c r="J109" s="381">
        <f>E109*I109</f>
        <v>4498820.4</v>
      </c>
      <c r="K109" s="55" t="s">
        <v>157</v>
      </c>
      <c r="L109" s="382" t="s">
        <v>171</v>
      </c>
      <c r="M109" s="426"/>
      <c r="N109" s="300"/>
      <c r="O109" s="309"/>
      <c r="P109" s="309"/>
      <c r="Q109" s="309"/>
      <c r="R109" s="310"/>
    </row>
    <row r="110" spans="1:18">
      <c r="A110" s="311">
        <f>A109+1</f>
        <v>95</v>
      </c>
      <c r="B110" s="388">
        <v>46095</v>
      </c>
      <c r="C110" s="321">
        <v>8612052</v>
      </c>
      <c r="D110" s="321">
        <v>54077318</v>
      </c>
      <c r="E110" s="456">
        <v>60.05</v>
      </c>
      <c r="F110" s="314">
        <v>973.39</v>
      </c>
      <c r="G110" s="315">
        <f>F110-42</f>
        <v>931.39</v>
      </c>
      <c r="H110" s="316">
        <f>E110*G110</f>
        <v>55929.9695</v>
      </c>
      <c r="I110" s="317">
        <v>74980.34</v>
      </c>
      <c r="J110" s="318">
        <f>E110*I110</f>
        <v>4502569.417</v>
      </c>
      <c r="K110" s="47" t="s">
        <v>157</v>
      </c>
      <c r="L110" s="319" t="s">
        <v>171</v>
      </c>
      <c r="M110" s="389"/>
      <c r="N110" s="311"/>
      <c r="O110" s="321"/>
      <c r="P110" s="321"/>
      <c r="Q110" s="321"/>
      <c r="R110" s="322"/>
    </row>
    <row r="111" spans="1:18">
      <c r="A111" s="311">
        <f>A110+1</f>
        <v>96</v>
      </c>
      <c r="B111" s="388">
        <v>46095</v>
      </c>
      <c r="C111" s="321">
        <v>8612052</v>
      </c>
      <c r="D111" s="321">
        <v>54717525</v>
      </c>
      <c r="E111" s="456">
        <v>60.15</v>
      </c>
      <c r="F111" s="314">
        <v>973.39</v>
      </c>
      <c r="G111" s="315">
        <f>F111-42</f>
        <v>931.39</v>
      </c>
      <c r="H111" s="316">
        <f>E111*G111</f>
        <v>56023.1085</v>
      </c>
      <c r="I111" s="317">
        <v>74980.34</v>
      </c>
      <c r="J111" s="318">
        <f>E111*I111</f>
        <v>4510067.451</v>
      </c>
      <c r="K111" s="47" t="s">
        <v>157</v>
      </c>
      <c r="L111" s="319" t="s">
        <v>171</v>
      </c>
      <c r="M111" s="389"/>
      <c r="N111" s="311"/>
      <c r="O111" s="457">
        <v>46084</v>
      </c>
      <c r="P111" s="458">
        <v>59.55</v>
      </c>
      <c r="Q111" s="458">
        <f>P111-E111</f>
        <v>-0.600000000000001</v>
      </c>
      <c r="R111" s="322"/>
    </row>
    <row r="112" spans="1:18">
      <c r="A112" s="311">
        <f>A111+1</f>
        <v>97</v>
      </c>
      <c r="B112" s="388">
        <v>46095</v>
      </c>
      <c r="C112" s="321">
        <v>8612052</v>
      </c>
      <c r="D112" s="321">
        <v>58706805</v>
      </c>
      <c r="E112" s="456">
        <v>59.95</v>
      </c>
      <c r="F112" s="314">
        <v>973.39</v>
      </c>
      <c r="G112" s="315">
        <f>F112-42</f>
        <v>931.39</v>
      </c>
      <c r="H112" s="316">
        <f>E112*G112</f>
        <v>55836.8305</v>
      </c>
      <c r="I112" s="317">
        <v>74980.34</v>
      </c>
      <c r="J112" s="318">
        <f>E112*I112</f>
        <v>4495071.383</v>
      </c>
      <c r="K112" s="47" t="s">
        <v>157</v>
      </c>
      <c r="L112" s="319" t="s">
        <v>171</v>
      </c>
      <c r="M112" s="389"/>
      <c r="N112" s="311"/>
      <c r="O112" s="457">
        <v>46084</v>
      </c>
      <c r="P112" s="459">
        <v>59.944</v>
      </c>
      <c r="Q112" s="460">
        <f>P112-E112</f>
        <v>-0.00600000000000023</v>
      </c>
      <c r="R112" s="322"/>
    </row>
    <row r="113" spans="1:18">
      <c r="A113" s="311">
        <f>A112+1</f>
        <v>98</v>
      </c>
      <c r="B113" s="388">
        <v>46095</v>
      </c>
      <c r="C113" s="321">
        <v>8612052</v>
      </c>
      <c r="D113" s="321">
        <v>73037350</v>
      </c>
      <c r="E113" s="456">
        <v>60.55</v>
      </c>
      <c r="F113" s="314">
        <v>973.39</v>
      </c>
      <c r="G113" s="315">
        <f>F113-42</f>
        <v>931.39</v>
      </c>
      <c r="H113" s="316">
        <f>E113*G113</f>
        <v>56395.6645</v>
      </c>
      <c r="I113" s="317">
        <v>74980.34</v>
      </c>
      <c r="J113" s="318">
        <f>E113*I113</f>
        <v>4540059.587</v>
      </c>
      <c r="K113" s="47" t="s">
        <v>157</v>
      </c>
      <c r="L113" s="319" t="s">
        <v>171</v>
      </c>
      <c r="M113" s="389"/>
      <c r="N113" s="311"/>
      <c r="O113" s="321"/>
      <c r="P113" s="321"/>
      <c r="Q113" s="321"/>
      <c r="R113" s="322"/>
    </row>
    <row r="114" spans="1:18">
      <c r="A114" s="311">
        <f>A113+1</f>
        <v>99</v>
      </c>
      <c r="B114" s="388">
        <v>46095</v>
      </c>
      <c r="C114" s="321">
        <v>8612052</v>
      </c>
      <c r="D114" s="321">
        <v>73051401</v>
      </c>
      <c r="E114" s="456">
        <v>60.55</v>
      </c>
      <c r="F114" s="314">
        <v>973.39</v>
      </c>
      <c r="G114" s="315">
        <f>F114-42</f>
        <v>931.39</v>
      </c>
      <c r="H114" s="316">
        <f>E114*G114</f>
        <v>56395.6645</v>
      </c>
      <c r="I114" s="317">
        <v>74980.34</v>
      </c>
      <c r="J114" s="318">
        <f>E114*I114</f>
        <v>4540059.587</v>
      </c>
      <c r="K114" s="47" t="s">
        <v>157</v>
      </c>
      <c r="L114" s="319" t="s">
        <v>171</v>
      </c>
      <c r="M114" s="389"/>
      <c r="N114" s="311"/>
      <c r="O114" s="457">
        <v>46084</v>
      </c>
      <c r="P114" s="459">
        <v>60.339</v>
      </c>
      <c r="Q114" s="460">
        <f>P114-E114</f>
        <v>-0.210999999999999</v>
      </c>
      <c r="R114" s="322"/>
    </row>
    <row r="115" spans="1:18">
      <c r="A115" s="311">
        <f>A114+1</f>
        <v>100</v>
      </c>
      <c r="B115" s="388">
        <v>46095</v>
      </c>
      <c r="C115" s="321">
        <v>8612052</v>
      </c>
      <c r="D115" s="321">
        <v>73106247</v>
      </c>
      <c r="E115" s="456">
        <v>60.7</v>
      </c>
      <c r="F115" s="314">
        <v>973.39</v>
      </c>
      <c r="G115" s="315">
        <f>F115-42</f>
        <v>931.39</v>
      </c>
      <c r="H115" s="316">
        <f>E115*G115</f>
        <v>56535.373</v>
      </c>
      <c r="I115" s="317">
        <v>74980.34</v>
      </c>
      <c r="J115" s="318">
        <f>E115*I115</f>
        <v>4551306.638</v>
      </c>
      <c r="K115" s="47" t="s">
        <v>157</v>
      </c>
      <c r="L115" s="319" t="s">
        <v>171</v>
      </c>
      <c r="M115" s="389"/>
      <c r="N115" s="311"/>
      <c r="O115" s="457">
        <v>46084</v>
      </c>
      <c r="P115" s="459">
        <v>60.486</v>
      </c>
      <c r="Q115" s="460">
        <f>P115-E115</f>
        <v>-0.214000000000006</v>
      </c>
      <c r="R115" s="322"/>
    </row>
    <row r="116" spans="1:18">
      <c r="A116" s="311">
        <f>A115+1</f>
        <v>101</v>
      </c>
      <c r="B116" s="388">
        <v>46095</v>
      </c>
      <c r="C116" s="321">
        <v>8612052</v>
      </c>
      <c r="D116" s="321">
        <v>73230567</v>
      </c>
      <c r="E116" s="456">
        <v>60.5</v>
      </c>
      <c r="F116" s="314">
        <v>973.39</v>
      </c>
      <c r="G116" s="315">
        <f>F116-42</f>
        <v>931.39</v>
      </c>
      <c r="H116" s="316">
        <f>E116*G116</f>
        <v>56349.095</v>
      </c>
      <c r="I116" s="317">
        <v>74980.34</v>
      </c>
      <c r="J116" s="318">
        <f>E116*I116</f>
        <v>4536310.57</v>
      </c>
      <c r="K116" s="47" t="s">
        <v>157</v>
      </c>
      <c r="L116" s="319" t="s">
        <v>171</v>
      </c>
      <c r="M116" s="389"/>
      <c r="N116" s="311"/>
      <c r="O116" s="321"/>
      <c r="P116" s="321"/>
      <c r="Q116" s="321"/>
      <c r="R116" s="322"/>
    </row>
    <row r="117" spans="1:18">
      <c r="A117" s="311">
        <f>A116+1</f>
        <v>102</v>
      </c>
      <c r="B117" s="388">
        <v>46095</v>
      </c>
      <c r="C117" s="321">
        <v>8612052</v>
      </c>
      <c r="D117" s="321">
        <v>73230757</v>
      </c>
      <c r="E117" s="456">
        <v>60.55</v>
      </c>
      <c r="F117" s="314">
        <v>973.39</v>
      </c>
      <c r="G117" s="315">
        <f>F117-42</f>
        <v>931.39</v>
      </c>
      <c r="H117" s="316">
        <f>E117*G117</f>
        <v>56395.6645</v>
      </c>
      <c r="I117" s="317">
        <v>74980.34</v>
      </c>
      <c r="J117" s="318">
        <f>E117*I117</f>
        <v>4540059.587</v>
      </c>
      <c r="K117" s="47" t="s">
        <v>157</v>
      </c>
      <c r="L117" s="319" t="s">
        <v>171</v>
      </c>
      <c r="M117" s="389"/>
      <c r="N117" s="311"/>
      <c r="O117" s="321"/>
      <c r="P117" s="321"/>
      <c r="Q117" s="321"/>
      <c r="R117" s="322"/>
    </row>
    <row r="118" spans="1:18">
      <c r="A118" s="311">
        <f>A117+1</f>
        <v>103</v>
      </c>
      <c r="B118" s="388">
        <v>46095</v>
      </c>
      <c r="C118" s="321">
        <v>8612052</v>
      </c>
      <c r="D118" s="321">
        <v>73237208</v>
      </c>
      <c r="E118" s="456">
        <v>60.45</v>
      </c>
      <c r="F118" s="314">
        <v>973.39</v>
      </c>
      <c r="G118" s="315">
        <f>F118-42</f>
        <v>931.39</v>
      </c>
      <c r="H118" s="316">
        <f>E118*G118</f>
        <v>56302.5255</v>
      </c>
      <c r="I118" s="317">
        <v>74980.34</v>
      </c>
      <c r="J118" s="318">
        <f>E118*I118</f>
        <v>4532561.553</v>
      </c>
      <c r="K118" s="47" t="s">
        <v>157</v>
      </c>
      <c r="L118" s="319" t="s">
        <v>171</v>
      </c>
      <c r="M118" s="389"/>
      <c r="N118" s="311"/>
      <c r="O118" s="457">
        <v>46084</v>
      </c>
      <c r="P118" s="459">
        <v>60.248</v>
      </c>
      <c r="Q118" s="460">
        <f>P118-E118</f>
        <v>-0.202000000000005</v>
      </c>
      <c r="R118" s="322"/>
    </row>
    <row r="119" ht="15.75" spans="1:18">
      <c r="A119" s="332">
        <f>A118+1</f>
        <v>104</v>
      </c>
      <c r="B119" s="396">
        <v>46095</v>
      </c>
      <c r="C119" s="333">
        <v>8612052</v>
      </c>
      <c r="D119" s="333">
        <v>75288423</v>
      </c>
      <c r="E119" s="461">
        <v>60.85</v>
      </c>
      <c r="F119" s="314">
        <v>973.39</v>
      </c>
      <c r="G119" s="315">
        <f>F119-42</f>
        <v>931.39</v>
      </c>
      <c r="H119" s="432">
        <f>E119*G119</f>
        <v>56675.0815</v>
      </c>
      <c r="I119" s="317">
        <v>74980.34</v>
      </c>
      <c r="J119" s="433">
        <f>E119*I119</f>
        <v>4562553.689</v>
      </c>
      <c r="K119" s="115" t="s">
        <v>157</v>
      </c>
      <c r="L119" s="398" t="s">
        <v>171</v>
      </c>
      <c r="M119" s="399"/>
      <c r="N119" s="332"/>
      <c r="O119" s="333"/>
      <c r="P119" s="333"/>
      <c r="Q119" s="333"/>
      <c r="R119" s="334"/>
    </row>
    <row r="120" ht="15.75" spans="1:18">
      <c r="A120" s="336"/>
      <c r="B120" s="337"/>
      <c r="C120" s="337"/>
      <c r="D120" s="337"/>
      <c r="E120" s="454">
        <f>SUM(E109:E119)</f>
        <v>664.3</v>
      </c>
      <c r="F120" s="337"/>
      <c r="G120" s="337"/>
      <c r="H120" s="339">
        <f>SUM(H109:H119)</f>
        <v>618722.377</v>
      </c>
      <c r="I120" s="340"/>
      <c r="J120" s="341">
        <f>SUM(J109:J119)</f>
        <v>49809439.862</v>
      </c>
      <c r="K120" s="337"/>
      <c r="L120" s="342"/>
      <c r="M120" s="462"/>
      <c r="N120" s="428"/>
      <c r="O120" s="429"/>
      <c r="P120" s="429"/>
      <c r="Q120" s="429"/>
      <c r="R120" s="430"/>
    </row>
    <row r="121" spans="1:18">
      <c r="A121" s="300">
        <v>105</v>
      </c>
      <c r="B121" s="424">
        <v>46096</v>
      </c>
      <c r="C121" s="309">
        <v>8612060</v>
      </c>
      <c r="D121" s="309">
        <v>50188697</v>
      </c>
      <c r="E121" s="463">
        <v>62.7</v>
      </c>
      <c r="F121" s="314">
        <v>973.39</v>
      </c>
      <c r="G121" s="315">
        <f>F121-42</f>
        <v>931.39</v>
      </c>
      <c r="H121" s="303">
        <f>E121*G121</f>
        <v>58398.153</v>
      </c>
      <c r="I121" s="317">
        <v>74980.34</v>
      </c>
      <c r="J121" s="306">
        <f>E121*I121</f>
        <v>4701267.318</v>
      </c>
      <c r="K121" s="34" t="s">
        <v>157</v>
      </c>
      <c r="L121" s="307" t="s">
        <v>171</v>
      </c>
      <c r="M121" s="310"/>
      <c r="N121" s="300"/>
      <c r="O121" s="464">
        <v>46105</v>
      </c>
      <c r="P121" s="465">
        <v>61.955</v>
      </c>
      <c r="Q121" s="466">
        <f>P121-E121</f>
        <v>-0.745000000000005</v>
      </c>
      <c r="R121" s="310"/>
    </row>
    <row r="122" spans="1:18">
      <c r="A122" s="311">
        <f>A121+1</f>
        <v>106</v>
      </c>
      <c r="B122" s="388">
        <v>46096</v>
      </c>
      <c r="C122" s="321">
        <v>8612060</v>
      </c>
      <c r="D122" s="321">
        <v>50197268</v>
      </c>
      <c r="E122" s="456">
        <v>57.75</v>
      </c>
      <c r="F122" s="314">
        <v>973.39</v>
      </c>
      <c r="G122" s="315">
        <f>F122-42</f>
        <v>931.39</v>
      </c>
      <c r="H122" s="316">
        <f>E122*G122</f>
        <v>53787.7725</v>
      </c>
      <c r="I122" s="317">
        <v>74980.34</v>
      </c>
      <c r="J122" s="318">
        <f>E122*I122</f>
        <v>4330114.635</v>
      </c>
      <c r="K122" s="47" t="s">
        <v>157</v>
      </c>
      <c r="L122" s="319" t="s">
        <v>171</v>
      </c>
      <c r="M122" s="322"/>
      <c r="N122" s="311"/>
      <c r="O122" s="393">
        <v>46105</v>
      </c>
      <c r="P122" s="394">
        <v>58.239</v>
      </c>
      <c r="Q122" s="467">
        <f>P122-E122</f>
        <v>0.488999999999997</v>
      </c>
      <c r="R122" s="322"/>
    </row>
    <row r="123" spans="1:18">
      <c r="A123" s="311">
        <f>A122+1</f>
        <v>107</v>
      </c>
      <c r="B123" s="388">
        <v>46096</v>
      </c>
      <c r="C123" s="321">
        <v>8612060</v>
      </c>
      <c r="D123" s="321">
        <v>50768449</v>
      </c>
      <c r="E123" s="456">
        <v>50.3</v>
      </c>
      <c r="F123" s="314">
        <v>973.39</v>
      </c>
      <c r="G123" s="315">
        <f>F123-42</f>
        <v>931.39</v>
      </c>
      <c r="H123" s="316">
        <f>E123*G123</f>
        <v>46848.917</v>
      </c>
      <c r="I123" s="317">
        <v>74980.34</v>
      </c>
      <c r="J123" s="318">
        <f>E123*I123</f>
        <v>3771511.102</v>
      </c>
      <c r="K123" s="47" t="s">
        <v>157</v>
      </c>
      <c r="L123" s="319" t="s">
        <v>171</v>
      </c>
      <c r="M123" s="322"/>
      <c r="N123" s="311"/>
      <c r="O123" s="393">
        <v>46105</v>
      </c>
      <c r="P123" s="394">
        <v>49.869</v>
      </c>
      <c r="Q123" s="467">
        <f>P123-E123</f>
        <v>-0.430999999999997</v>
      </c>
      <c r="R123" s="322"/>
    </row>
    <row r="124" spans="1:18">
      <c r="A124" s="311">
        <f>A123+1</f>
        <v>108</v>
      </c>
      <c r="B124" s="388">
        <v>46096</v>
      </c>
      <c r="C124" s="321">
        <v>8612060</v>
      </c>
      <c r="D124" s="321">
        <v>51688927</v>
      </c>
      <c r="E124" s="456">
        <v>60.95</v>
      </c>
      <c r="F124" s="314">
        <v>973.39</v>
      </c>
      <c r="G124" s="315">
        <f>F124-42</f>
        <v>931.39</v>
      </c>
      <c r="H124" s="316">
        <f>E124*G124</f>
        <v>56768.2205</v>
      </c>
      <c r="I124" s="317">
        <v>74980.34</v>
      </c>
      <c r="J124" s="318">
        <f>E124*I124</f>
        <v>4570051.723</v>
      </c>
      <c r="K124" s="47" t="s">
        <v>157</v>
      </c>
      <c r="L124" s="319" t="s">
        <v>171</v>
      </c>
      <c r="M124" s="322"/>
      <c r="N124" s="311"/>
      <c r="O124" s="393">
        <v>46105</v>
      </c>
      <c r="P124" s="394">
        <v>60.306</v>
      </c>
      <c r="Q124" s="467">
        <f>P124-E124</f>
        <v>-0.644000000000005</v>
      </c>
      <c r="R124" s="322"/>
    </row>
    <row r="125" spans="1:18">
      <c r="A125" s="311">
        <f>A124+1</f>
        <v>109</v>
      </c>
      <c r="B125" s="388">
        <v>46096</v>
      </c>
      <c r="C125" s="321">
        <v>8612060</v>
      </c>
      <c r="D125" s="321">
        <v>51813160</v>
      </c>
      <c r="E125" s="456">
        <v>59.65</v>
      </c>
      <c r="F125" s="314">
        <v>973.39</v>
      </c>
      <c r="G125" s="315">
        <f>F125-42</f>
        <v>931.39</v>
      </c>
      <c r="H125" s="316">
        <f>E125*G125</f>
        <v>55557.4135</v>
      </c>
      <c r="I125" s="317">
        <v>74980.34</v>
      </c>
      <c r="J125" s="318">
        <f>E125*I125</f>
        <v>4472577.281</v>
      </c>
      <c r="K125" s="47" t="s">
        <v>157</v>
      </c>
      <c r="L125" s="319" t="s">
        <v>171</v>
      </c>
      <c r="M125" s="322"/>
      <c r="N125" s="311"/>
      <c r="O125" s="393">
        <v>46116</v>
      </c>
      <c r="P125" s="394">
        <v>59.609</v>
      </c>
      <c r="Q125" s="467">
        <f>P125-E125</f>
        <v>-0.0409999999999968</v>
      </c>
      <c r="R125" s="322"/>
    </row>
    <row r="126" spans="1:18">
      <c r="A126" s="311">
        <f>A125+1</f>
        <v>110</v>
      </c>
      <c r="B126" s="388">
        <v>46096</v>
      </c>
      <c r="C126" s="321">
        <v>8612060</v>
      </c>
      <c r="D126" s="321">
        <v>51847135</v>
      </c>
      <c r="E126" s="456">
        <v>57.8</v>
      </c>
      <c r="F126" s="314">
        <v>973.39</v>
      </c>
      <c r="G126" s="315">
        <f>F126-42</f>
        <v>931.39</v>
      </c>
      <c r="H126" s="316">
        <f>E126*G126</f>
        <v>53834.342</v>
      </c>
      <c r="I126" s="317">
        <v>74980.34</v>
      </c>
      <c r="J126" s="318">
        <f>E126*I126</f>
        <v>4333863.652</v>
      </c>
      <c r="K126" s="47" t="s">
        <v>157</v>
      </c>
      <c r="L126" s="319" t="s">
        <v>171</v>
      </c>
      <c r="M126" s="322"/>
      <c r="N126" s="311"/>
      <c r="O126" s="393">
        <v>46105</v>
      </c>
      <c r="P126" s="394">
        <v>57.007</v>
      </c>
      <c r="Q126" s="467">
        <f>P126-E126</f>
        <v>-0.792999999999999</v>
      </c>
      <c r="R126" s="322"/>
    </row>
    <row r="127" spans="1:18">
      <c r="A127" s="311">
        <f>A126+1</f>
        <v>111</v>
      </c>
      <c r="B127" s="388">
        <v>46096</v>
      </c>
      <c r="C127" s="321">
        <v>8612060</v>
      </c>
      <c r="D127" s="321">
        <v>54656566</v>
      </c>
      <c r="E127" s="456">
        <v>61.45</v>
      </c>
      <c r="F127" s="314">
        <v>973.39</v>
      </c>
      <c r="G127" s="315">
        <f>F127-42</f>
        <v>931.39</v>
      </c>
      <c r="H127" s="316">
        <f>E127*G127</f>
        <v>57233.9155</v>
      </c>
      <c r="I127" s="317">
        <v>74980.34</v>
      </c>
      <c r="J127" s="318">
        <f>E127*I127</f>
        <v>4607541.893</v>
      </c>
      <c r="K127" s="47" t="s">
        <v>157</v>
      </c>
      <c r="L127" s="319" t="s">
        <v>171</v>
      </c>
      <c r="M127" s="322"/>
      <c r="N127" s="311"/>
      <c r="O127" s="393">
        <v>46105</v>
      </c>
      <c r="P127" s="394">
        <v>61.637</v>
      </c>
      <c r="Q127" s="467">
        <f>P127-E127</f>
        <v>0.186999999999998</v>
      </c>
      <c r="R127" s="322"/>
    </row>
    <row r="128" spans="1:18">
      <c r="A128" s="311">
        <f>A127+1</f>
        <v>112</v>
      </c>
      <c r="B128" s="388">
        <v>46096</v>
      </c>
      <c r="C128" s="321">
        <v>8612060</v>
      </c>
      <c r="D128" s="321">
        <v>57147167</v>
      </c>
      <c r="E128" s="456">
        <v>58.75</v>
      </c>
      <c r="F128" s="314">
        <v>973.39</v>
      </c>
      <c r="G128" s="315">
        <f>F128-42</f>
        <v>931.39</v>
      </c>
      <c r="H128" s="316">
        <f>E128*G128</f>
        <v>54719.1625</v>
      </c>
      <c r="I128" s="317">
        <v>74980.34</v>
      </c>
      <c r="J128" s="318">
        <f>E128*I128</f>
        <v>4405094.975</v>
      </c>
      <c r="K128" s="47" t="s">
        <v>157</v>
      </c>
      <c r="L128" s="319" t="s">
        <v>171</v>
      </c>
      <c r="M128" s="322"/>
      <c r="N128" s="311"/>
      <c r="O128" s="393">
        <v>46105</v>
      </c>
      <c r="P128" s="394">
        <v>58.129</v>
      </c>
      <c r="Q128" s="467">
        <f>P128-E128</f>
        <v>-0.621000000000002</v>
      </c>
      <c r="R128" s="322"/>
    </row>
    <row r="129" spans="1:18">
      <c r="A129" s="311">
        <f>A128+1</f>
        <v>113</v>
      </c>
      <c r="B129" s="388">
        <v>46096</v>
      </c>
      <c r="C129" s="321">
        <v>8612060</v>
      </c>
      <c r="D129" s="321">
        <v>74893371</v>
      </c>
      <c r="E129" s="456">
        <v>53</v>
      </c>
      <c r="F129" s="314">
        <v>973.39</v>
      </c>
      <c r="G129" s="315">
        <f>F129-42</f>
        <v>931.39</v>
      </c>
      <c r="H129" s="316">
        <f>E129*G129</f>
        <v>49363.67</v>
      </c>
      <c r="I129" s="317">
        <v>74980.34</v>
      </c>
      <c r="J129" s="318">
        <f>E129*I129</f>
        <v>3973958.02</v>
      </c>
      <c r="K129" s="47" t="s">
        <v>157</v>
      </c>
      <c r="L129" s="319" t="s">
        <v>171</v>
      </c>
      <c r="M129" s="322"/>
      <c r="N129" s="311"/>
      <c r="O129" s="393">
        <v>46105</v>
      </c>
      <c r="P129" s="394">
        <v>53.364</v>
      </c>
      <c r="Q129" s="467">
        <f>P129-E129</f>
        <v>0.363999999999997</v>
      </c>
      <c r="R129" s="322"/>
    </row>
    <row r="130" spans="1:18">
      <c r="A130" s="311">
        <f>A129+1</f>
        <v>114</v>
      </c>
      <c r="B130" s="388">
        <v>46096</v>
      </c>
      <c r="C130" s="321">
        <v>8612060</v>
      </c>
      <c r="D130" s="321">
        <v>75000760</v>
      </c>
      <c r="E130" s="456">
        <v>60.25</v>
      </c>
      <c r="F130" s="314">
        <v>973.39</v>
      </c>
      <c r="G130" s="315">
        <f>F130-42</f>
        <v>931.39</v>
      </c>
      <c r="H130" s="316">
        <f>E130*G130</f>
        <v>56116.2475</v>
      </c>
      <c r="I130" s="317">
        <v>74980.34</v>
      </c>
      <c r="J130" s="318">
        <f>E130*I130</f>
        <v>4517565.485</v>
      </c>
      <c r="K130" s="47" t="s">
        <v>157</v>
      </c>
      <c r="L130" s="319" t="s">
        <v>171</v>
      </c>
      <c r="M130" s="322"/>
      <c r="N130" s="311"/>
      <c r="O130" s="393">
        <v>46105</v>
      </c>
      <c r="P130" s="394">
        <v>59.966</v>
      </c>
      <c r="Q130" s="467">
        <f>P130-E130</f>
        <v>-0.283999999999999</v>
      </c>
      <c r="R130" s="322"/>
    </row>
    <row r="131" ht="15.75" spans="1:18">
      <c r="A131" s="332">
        <f>A130+1</f>
        <v>115</v>
      </c>
      <c r="B131" s="396">
        <v>46096</v>
      </c>
      <c r="C131" s="333">
        <v>8612060</v>
      </c>
      <c r="D131" s="333">
        <v>73158016</v>
      </c>
      <c r="E131" s="461">
        <v>56.55</v>
      </c>
      <c r="F131" s="314">
        <v>973.39</v>
      </c>
      <c r="G131" s="315">
        <f>F131-42</f>
        <v>931.39</v>
      </c>
      <c r="H131" s="432">
        <f>E131*G131</f>
        <v>52670.1045</v>
      </c>
      <c r="I131" s="317">
        <v>74980.34</v>
      </c>
      <c r="J131" s="433">
        <f>E131*I131</f>
        <v>4240138.227</v>
      </c>
      <c r="K131" s="115" t="s">
        <v>157</v>
      </c>
      <c r="L131" s="398" t="s">
        <v>171</v>
      </c>
      <c r="M131" s="334"/>
      <c r="N131" s="332"/>
      <c r="O131" s="468">
        <v>46084</v>
      </c>
      <c r="P131" s="469">
        <v>56.181</v>
      </c>
      <c r="Q131" s="470">
        <f>P131-E131</f>
        <v>-0.369</v>
      </c>
      <c r="R131" s="334"/>
    </row>
    <row r="132" ht="15.75" spans="1:18">
      <c r="A132" s="336"/>
      <c r="B132" s="337"/>
      <c r="C132" s="337"/>
      <c r="D132" s="337"/>
      <c r="E132" s="454">
        <f>SUM(E121:E131)</f>
        <v>639.15</v>
      </c>
      <c r="F132" s="337"/>
      <c r="G132" s="337"/>
      <c r="H132" s="339">
        <f>SUM(H121:H131)</f>
        <v>595297.9185</v>
      </c>
      <c r="I132" s="340"/>
      <c r="J132" s="341">
        <f>SUM(J121:J131)</f>
        <v>47923684.311</v>
      </c>
      <c r="K132" s="337"/>
      <c r="L132" s="377"/>
      <c r="M132" s="343"/>
      <c r="N132" s="428"/>
      <c r="O132" s="429"/>
      <c r="P132" s="429"/>
      <c r="Q132" s="429"/>
      <c r="R132" s="430"/>
    </row>
    <row r="133" spans="1:18">
      <c r="A133" s="300">
        <v>116</v>
      </c>
      <c r="B133" s="424">
        <v>46096</v>
      </c>
      <c r="C133" s="309">
        <v>8612063</v>
      </c>
      <c r="D133" s="309">
        <v>50400035</v>
      </c>
      <c r="E133" s="463">
        <v>60.15</v>
      </c>
      <c r="F133" s="314">
        <v>973.39</v>
      </c>
      <c r="G133" s="315">
        <f>F133-42</f>
        <v>931.39</v>
      </c>
      <c r="H133" s="303">
        <f>E133*G133</f>
        <v>56023.1085</v>
      </c>
      <c r="I133" s="317">
        <v>74980.34</v>
      </c>
      <c r="J133" s="306">
        <f>E133*I133</f>
        <v>4510067.451</v>
      </c>
      <c r="K133" s="34" t="s">
        <v>157</v>
      </c>
      <c r="L133" s="307" t="s">
        <v>171</v>
      </c>
      <c r="M133" s="383"/>
      <c r="N133" s="300"/>
      <c r="O133" s="471">
        <v>46112</v>
      </c>
      <c r="P133" s="472">
        <v>60.36</v>
      </c>
      <c r="Q133" s="473">
        <f>P133-E133</f>
        <v>0.210000000000001</v>
      </c>
      <c r="R133" s="310"/>
    </row>
    <row r="134" spans="1:18">
      <c r="A134" s="311">
        <f>A133+1</f>
        <v>117</v>
      </c>
      <c r="B134" s="388">
        <v>46096</v>
      </c>
      <c r="C134" s="321">
        <v>8612063</v>
      </c>
      <c r="D134" s="321">
        <v>50409580</v>
      </c>
      <c r="E134" s="456">
        <v>60.1</v>
      </c>
      <c r="F134" s="314">
        <v>973.39</v>
      </c>
      <c r="G134" s="315">
        <f>F134-42</f>
        <v>931.39</v>
      </c>
      <c r="H134" s="316">
        <f>E134*G134</f>
        <v>55976.539</v>
      </c>
      <c r="I134" s="317">
        <v>74980.34</v>
      </c>
      <c r="J134" s="318">
        <f>E134*I134</f>
        <v>4506318.434</v>
      </c>
      <c r="K134" s="47" t="s">
        <v>157</v>
      </c>
      <c r="L134" s="319" t="s">
        <v>171</v>
      </c>
      <c r="M134" s="389"/>
      <c r="N134" s="311"/>
      <c r="O134" s="393">
        <v>46112</v>
      </c>
      <c r="P134" s="394">
        <v>60.086</v>
      </c>
      <c r="Q134" s="467">
        <f>P134-E134</f>
        <v>-0.0140000000000029</v>
      </c>
      <c r="R134" s="322"/>
    </row>
    <row r="135" spans="1:18">
      <c r="A135" s="311">
        <f>A134+1</f>
        <v>118</v>
      </c>
      <c r="B135" s="388">
        <v>46096</v>
      </c>
      <c r="C135" s="321">
        <v>8612063</v>
      </c>
      <c r="D135" s="321">
        <v>50748938</v>
      </c>
      <c r="E135" s="456">
        <v>51.6</v>
      </c>
      <c r="F135" s="314">
        <v>973.39</v>
      </c>
      <c r="G135" s="315">
        <f>F135-42</f>
        <v>931.39</v>
      </c>
      <c r="H135" s="316">
        <f>E135*G135</f>
        <v>48059.724</v>
      </c>
      <c r="I135" s="317">
        <v>74980.34</v>
      </c>
      <c r="J135" s="318">
        <f>E135*I135</f>
        <v>3868985.544</v>
      </c>
      <c r="K135" s="47" t="s">
        <v>157</v>
      </c>
      <c r="L135" s="319" t="s">
        <v>171</v>
      </c>
      <c r="M135" s="389"/>
      <c r="N135" s="311"/>
      <c r="O135" s="393">
        <v>46112</v>
      </c>
      <c r="P135" s="395">
        <v>50.91</v>
      </c>
      <c r="Q135" s="467">
        <f>P135-E135</f>
        <v>-0.690000000000005</v>
      </c>
      <c r="R135" s="322"/>
    </row>
    <row r="136" spans="1:18">
      <c r="A136" s="311">
        <f>A135+1</f>
        <v>119</v>
      </c>
      <c r="B136" s="388">
        <v>46096</v>
      </c>
      <c r="C136" s="321">
        <v>8612063</v>
      </c>
      <c r="D136" s="321">
        <v>50945864</v>
      </c>
      <c r="E136" s="456">
        <v>60.3</v>
      </c>
      <c r="F136" s="314">
        <v>973.39</v>
      </c>
      <c r="G136" s="315">
        <f>F136-42</f>
        <v>931.39</v>
      </c>
      <c r="H136" s="316">
        <f>E136*G136</f>
        <v>56162.817</v>
      </c>
      <c r="I136" s="317">
        <v>74980.34</v>
      </c>
      <c r="J136" s="318">
        <f>E136*I136</f>
        <v>4521314.502</v>
      </c>
      <c r="K136" s="47" t="s">
        <v>157</v>
      </c>
      <c r="L136" s="319" t="s">
        <v>171</v>
      </c>
      <c r="M136" s="389"/>
      <c r="N136" s="311"/>
      <c r="O136" s="474">
        <v>46112</v>
      </c>
      <c r="P136" s="475">
        <v>60.36</v>
      </c>
      <c r="Q136" s="475">
        <f>P136-E136</f>
        <v>0.0600000000000023</v>
      </c>
      <c r="R136" s="322"/>
    </row>
    <row r="137" spans="1:18">
      <c r="A137" s="311">
        <f>A136+1</f>
        <v>120</v>
      </c>
      <c r="B137" s="388">
        <v>46096</v>
      </c>
      <c r="C137" s="321">
        <v>8612063</v>
      </c>
      <c r="D137" s="321">
        <v>50974906</v>
      </c>
      <c r="E137" s="456">
        <v>60.3</v>
      </c>
      <c r="F137" s="314">
        <v>973.39</v>
      </c>
      <c r="G137" s="315">
        <f>F137-42</f>
        <v>931.39</v>
      </c>
      <c r="H137" s="316">
        <f>E137*G137</f>
        <v>56162.817</v>
      </c>
      <c r="I137" s="317">
        <v>74980.34</v>
      </c>
      <c r="J137" s="318">
        <f>E137*I137</f>
        <v>4521314.502</v>
      </c>
      <c r="K137" s="47" t="s">
        <v>157</v>
      </c>
      <c r="L137" s="319" t="s">
        <v>171</v>
      </c>
      <c r="M137" s="389"/>
      <c r="N137" s="311"/>
      <c r="O137" s="474">
        <v>46112</v>
      </c>
      <c r="P137" s="475">
        <v>60.53</v>
      </c>
      <c r="Q137" s="476">
        <f>P137-E137</f>
        <v>0.230000000000004</v>
      </c>
      <c r="R137" s="322"/>
    </row>
    <row r="138" spans="1:18">
      <c r="A138" s="311">
        <f>A137+1</f>
        <v>121</v>
      </c>
      <c r="B138" s="388">
        <v>46096</v>
      </c>
      <c r="C138" s="321">
        <v>8612063</v>
      </c>
      <c r="D138" s="321">
        <v>51481059</v>
      </c>
      <c r="E138" s="456">
        <v>51.05</v>
      </c>
      <c r="F138" s="314">
        <v>973.39</v>
      </c>
      <c r="G138" s="315">
        <f>F138-42</f>
        <v>931.39</v>
      </c>
      <c r="H138" s="316">
        <f>E138*G138</f>
        <v>47547.4595</v>
      </c>
      <c r="I138" s="317">
        <v>74980.34</v>
      </c>
      <c r="J138" s="318">
        <f>E138*I138</f>
        <v>3827746.357</v>
      </c>
      <c r="K138" s="47" t="s">
        <v>157</v>
      </c>
      <c r="L138" s="319" t="s">
        <v>171</v>
      </c>
      <c r="M138" s="389"/>
      <c r="N138" s="311"/>
      <c r="O138" s="477">
        <v>46112</v>
      </c>
      <c r="P138" s="395">
        <v>50.53</v>
      </c>
      <c r="Q138" s="395">
        <f>P138-E138</f>
        <v>-0.519999999999996</v>
      </c>
      <c r="R138" s="322"/>
    </row>
    <row r="139" spans="1:18">
      <c r="A139" s="311">
        <f>A138+1</f>
        <v>122</v>
      </c>
      <c r="B139" s="388">
        <v>46096</v>
      </c>
      <c r="C139" s="321">
        <v>8612063</v>
      </c>
      <c r="D139" s="321">
        <v>73230179</v>
      </c>
      <c r="E139" s="456">
        <v>60.9</v>
      </c>
      <c r="F139" s="314">
        <v>973.39</v>
      </c>
      <c r="G139" s="315">
        <f>F139-42</f>
        <v>931.39</v>
      </c>
      <c r="H139" s="316">
        <f>E139*G139</f>
        <v>56721.651</v>
      </c>
      <c r="I139" s="317">
        <v>74980.34</v>
      </c>
      <c r="J139" s="318">
        <f>E139*I139</f>
        <v>4566302.706</v>
      </c>
      <c r="K139" s="47" t="s">
        <v>157</v>
      </c>
      <c r="L139" s="319" t="s">
        <v>171</v>
      </c>
      <c r="M139" s="389"/>
      <c r="N139" s="311"/>
      <c r="O139" s="478">
        <v>46116</v>
      </c>
      <c r="P139" s="479">
        <v>60.76</v>
      </c>
      <c r="Q139" s="480">
        <f>P139-E139</f>
        <v>-0.140000000000001</v>
      </c>
      <c r="R139" s="322"/>
    </row>
    <row r="140" spans="1:18">
      <c r="A140" s="311">
        <f>A139+1</f>
        <v>123</v>
      </c>
      <c r="B140" s="388">
        <v>46096</v>
      </c>
      <c r="C140" s="321">
        <v>8612063</v>
      </c>
      <c r="D140" s="321">
        <v>75217208</v>
      </c>
      <c r="E140" s="456">
        <v>61.1</v>
      </c>
      <c r="F140" s="314">
        <v>973.39</v>
      </c>
      <c r="G140" s="315">
        <f>F140-42</f>
        <v>931.39</v>
      </c>
      <c r="H140" s="316">
        <f>E140*G140</f>
        <v>56907.929</v>
      </c>
      <c r="I140" s="317">
        <v>74980.34</v>
      </c>
      <c r="J140" s="318">
        <f>E140*I140</f>
        <v>4581298.774</v>
      </c>
      <c r="K140" s="47" t="s">
        <v>157</v>
      </c>
      <c r="L140" s="319" t="s">
        <v>171</v>
      </c>
      <c r="M140" s="389"/>
      <c r="N140" s="311"/>
      <c r="O140" s="474">
        <v>46112</v>
      </c>
      <c r="P140" s="481">
        <v>60.856</v>
      </c>
      <c r="Q140" s="476">
        <f>P140-E140</f>
        <v>-0.244</v>
      </c>
      <c r="R140" s="322"/>
    </row>
    <row r="141" spans="1:18">
      <c r="A141" s="311">
        <f>A140+1</f>
        <v>124</v>
      </c>
      <c r="B141" s="388">
        <v>46096</v>
      </c>
      <c r="C141" s="321">
        <v>8612063</v>
      </c>
      <c r="D141" s="321">
        <v>76401595</v>
      </c>
      <c r="E141" s="456">
        <v>60.95</v>
      </c>
      <c r="F141" s="314">
        <v>973.39</v>
      </c>
      <c r="G141" s="315">
        <f>F141-42</f>
        <v>931.39</v>
      </c>
      <c r="H141" s="316">
        <f>E141*G141</f>
        <v>56768.2205</v>
      </c>
      <c r="I141" s="317">
        <v>74980.34</v>
      </c>
      <c r="J141" s="318">
        <f>E141*I141</f>
        <v>4570051.723</v>
      </c>
      <c r="K141" s="47" t="s">
        <v>157</v>
      </c>
      <c r="L141" s="319" t="s">
        <v>171</v>
      </c>
      <c r="M141" s="389"/>
      <c r="N141" s="311"/>
      <c r="O141" s="474">
        <v>46112</v>
      </c>
      <c r="P141" s="481">
        <v>60.919</v>
      </c>
      <c r="Q141" s="476">
        <f>P141-E141</f>
        <v>-0.0310000000000059</v>
      </c>
      <c r="R141" s="322"/>
    </row>
    <row r="142" spans="1:18">
      <c r="A142" s="311">
        <f>A141+1</f>
        <v>125</v>
      </c>
      <c r="B142" s="388">
        <v>46096</v>
      </c>
      <c r="C142" s="321">
        <v>8612063</v>
      </c>
      <c r="D142" s="321">
        <v>51393569</v>
      </c>
      <c r="E142" s="456">
        <v>59.9</v>
      </c>
      <c r="F142" s="314">
        <v>973.39</v>
      </c>
      <c r="G142" s="315">
        <f>F142-42</f>
        <v>931.39</v>
      </c>
      <c r="H142" s="316">
        <f>E142*G142</f>
        <v>55790.261</v>
      </c>
      <c r="I142" s="317">
        <v>74980.34</v>
      </c>
      <c r="J142" s="318">
        <f>E142*I142</f>
        <v>4491322.366</v>
      </c>
      <c r="K142" s="47" t="s">
        <v>157</v>
      </c>
      <c r="L142" s="319" t="s">
        <v>171</v>
      </c>
      <c r="M142" s="389"/>
      <c r="N142" s="311"/>
      <c r="O142" s="474">
        <v>46112</v>
      </c>
      <c r="P142" s="481">
        <v>60.616</v>
      </c>
      <c r="Q142" s="476">
        <f>P142-E142</f>
        <v>0.716000000000001</v>
      </c>
      <c r="R142" s="322"/>
    </row>
    <row r="143" spans="1:18">
      <c r="A143" s="311">
        <f>A142+1</f>
        <v>126</v>
      </c>
      <c r="B143" s="388">
        <v>46096</v>
      </c>
      <c r="C143" s="321">
        <v>8612063</v>
      </c>
      <c r="D143" s="321">
        <v>51812949</v>
      </c>
      <c r="E143" s="456">
        <v>60.3</v>
      </c>
      <c r="F143" s="314">
        <v>973.39</v>
      </c>
      <c r="G143" s="315">
        <f>F143-42</f>
        <v>931.39</v>
      </c>
      <c r="H143" s="316">
        <f>E143*G143</f>
        <v>56162.817</v>
      </c>
      <c r="I143" s="317">
        <v>74980.34</v>
      </c>
      <c r="J143" s="318">
        <f>E143*I143</f>
        <v>4521314.502</v>
      </c>
      <c r="K143" s="47" t="s">
        <v>157</v>
      </c>
      <c r="L143" s="319" t="s">
        <v>171</v>
      </c>
      <c r="M143" s="389"/>
      <c r="N143" s="311"/>
      <c r="O143" s="474">
        <v>46112</v>
      </c>
      <c r="P143" s="481">
        <v>59.678</v>
      </c>
      <c r="Q143" s="476">
        <f>P143-E143</f>
        <v>-0.622</v>
      </c>
      <c r="R143" s="322"/>
    </row>
    <row r="144" spans="1:18">
      <c r="A144" s="311">
        <f>A143+1</f>
        <v>127</v>
      </c>
      <c r="B144" s="388">
        <v>46096</v>
      </c>
      <c r="C144" s="321">
        <v>8612063</v>
      </c>
      <c r="D144" s="321">
        <v>51847200</v>
      </c>
      <c r="E144" s="456">
        <v>60.05</v>
      </c>
      <c r="F144" s="314">
        <v>973.39</v>
      </c>
      <c r="G144" s="315">
        <f>F144-42</f>
        <v>931.39</v>
      </c>
      <c r="H144" s="316">
        <f>E144*G144</f>
        <v>55929.9695</v>
      </c>
      <c r="I144" s="317">
        <v>74980.34</v>
      </c>
      <c r="J144" s="318">
        <f>E144*I144</f>
        <v>4502569.417</v>
      </c>
      <c r="K144" s="47" t="s">
        <v>157</v>
      </c>
      <c r="L144" s="319" t="s">
        <v>171</v>
      </c>
      <c r="M144" s="389"/>
      <c r="N144" s="311"/>
      <c r="O144" s="393">
        <v>46112</v>
      </c>
      <c r="P144" s="395">
        <v>59.81</v>
      </c>
      <c r="Q144" s="467">
        <f>P144-E144</f>
        <v>-0.239999999999995</v>
      </c>
      <c r="R144" s="322"/>
    </row>
    <row r="145" spans="1:18">
      <c r="A145" s="311">
        <f>A144+1</f>
        <v>128</v>
      </c>
      <c r="B145" s="388">
        <v>46096</v>
      </c>
      <c r="C145" s="321">
        <v>8612063</v>
      </c>
      <c r="D145" s="321">
        <v>54245154</v>
      </c>
      <c r="E145" s="456">
        <v>60.85</v>
      </c>
      <c r="F145" s="314">
        <v>973.39</v>
      </c>
      <c r="G145" s="315">
        <f>F145-42</f>
        <v>931.39</v>
      </c>
      <c r="H145" s="316">
        <f>E145*G145</f>
        <v>56675.0815</v>
      </c>
      <c r="I145" s="317">
        <v>74980.34</v>
      </c>
      <c r="J145" s="318">
        <f>E145*I145</f>
        <v>4562553.689</v>
      </c>
      <c r="K145" s="47" t="s">
        <v>157</v>
      </c>
      <c r="L145" s="319" t="s">
        <v>171</v>
      </c>
      <c r="M145" s="389"/>
      <c r="N145" s="311"/>
      <c r="O145" s="393">
        <v>46112</v>
      </c>
      <c r="P145" s="395">
        <v>60.6</v>
      </c>
      <c r="Q145" s="395">
        <f>P145-E145</f>
        <v>-0.25</v>
      </c>
      <c r="R145" s="322"/>
    </row>
    <row r="146" spans="1:18">
      <c r="A146" s="311">
        <f>A145+1</f>
        <v>129</v>
      </c>
      <c r="B146" s="388">
        <v>46096</v>
      </c>
      <c r="C146" s="321">
        <v>8612063</v>
      </c>
      <c r="D146" s="321">
        <v>54643358</v>
      </c>
      <c r="E146" s="456">
        <v>60.05</v>
      </c>
      <c r="F146" s="314">
        <v>973.39</v>
      </c>
      <c r="G146" s="315">
        <f>F146-42</f>
        <v>931.39</v>
      </c>
      <c r="H146" s="316">
        <f>E146*G146</f>
        <v>55929.9695</v>
      </c>
      <c r="I146" s="317">
        <v>74980.34</v>
      </c>
      <c r="J146" s="318">
        <f>E146*I146</f>
        <v>4502569.417</v>
      </c>
      <c r="K146" s="47" t="s">
        <v>157</v>
      </c>
      <c r="L146" s="319" t="s">
        <v>171</v>
      </c>
      <c r="M146" s="389"/>
      <c r="N146" s="311"/>
      <c r="O146" s="393">
        <v>46112</v>
      </c>
      <c r="P146" s="394">
        <v>59.794</v>
      </c>
      <c r="Q146" s="467">
        <f>P146-E146</f>
        <v>-0.256</v>
      </c>
      <c r="R146" s="322"/>
    </row>
    <row r="147" spans="1:18">
      <c r="A147" s="311">
        <f>A146+1</f>
        <v>130</v>
      </c>
      <c r="B147" s="388">
        <v>46096</v>
      </c>
      <c r="C147" s="321">
        <v>8612063</v>
      </c>
      <c r="D147" s="321">
        <v>54657093</v>
      </c>
      <c r="E147" s="456">
        <v>60.4</v>
      </c>
      <c r="F147" s="314">
        <v>973.39</v>
      </c>
      <c r="G147" s="315">
        <f>F147-42</f>
        <v>931.39</v>
      </c>
      <c r="H147" s="316">
        <f>E147*G147</f>
        <v>56255.956</v>
      </c>
      <c r="I147" s="317">
        <v>74980.34</v>
      </c>
      <c r="J147" s="318">
        <f>E147*I147</f>
        <v>4528812.536</v>
      </c>
      <c r="K147" s="47" t="s">
        <v>157</v>
      </c>
      <c r="L147" s="319" t="s">
        <v>171</v>
      </c>
      <c r="M147" s="389"/>
      <c r="N147" s="311"/>
      <c r="O147" s="474">
        <v>46112</v>
      </c>
      <c r="P147" s="481">
        <v>59.958</v>
      </c>
      <c r="Q147" s="476">
        <f>P147-E147</f>
        <v>-0.442</v>
      </c>
      <c r="R147" s="322"/>
    </row>
    <row r="148" spans="1:18">
      <c r="A148" s="311">
        <f>A147+1</f>
        <v>131</v>
      </c>
      <c r="B148" s="388">
        <v>46096</v>
      </c>
      <c r="C148" s="321">
        <v>8612063</v>
      </c>
      <c r="D148" s="321">
        <v>57072068</v>
      </c>
      <c r="E148" s="456">
        <v>60.15</v>
      </c>
      <c r="F148" s="314">
        <v>973.39</v>
      </c>
      <c r="G148" s="315">
        <f>F148-42</f>
        <v>931.39</v>
      </c>
      <c r="H148" s="316">
        <f>E148*G148</f>
        <v>56023.1085</v>
      </c>
      <c r="I148" s="317">
        <v>74980.34</v>
      </c>
      <c r="J148" s="318">
        <f>E148*I148</f>
        <v>4510067.451</v>
      </c>
      <c r="K148" s="47" t="s">
        <v>157</v>
      </c>
      <c r="L148" s="319" t="s">
        <v>171</v>
      </c>
      <c r="M148" s="389"/>
      <c r="N148" s="311"/>
      <c r="O148" s="474">
        <v>46112</v>
      </c>
      <c r="P148" s="481">
        <v>59.912</v>
      </c>
      <c r="Q148" s="476">
        <f>P148-E148</f>
        <v>-0.238</v>
      </c>
      <c r="R148" s="322"/>
    </row>
    <row r="149" spans="1:18">
      <c r="A149" s="311">
        <f>A148+1</f>
        <v>132</v>
      </c>
      <c r="B149" s="388">
        <v>46096</v>
      </c>
      <c r="C149" s="321">
        <v>8612063</v>
      </c>
      <c r="D149" s="321">
        <v>57135113</v>
      </c>
      <c r="E149" s="456">
        <v>60.1</v>
      </c>
      <c r="F149" s="314">
        <v>973.39</v>
      </c>
      <c r="G149" s="315">
        <f>F149-42</f>
        <v>931.39</v>
      </c>
      <c r="H149" s="316">
        <f>E149*G149</f>
        <v>55976.539</v>
      </c>
      <c r="I149" s="317">
        <v>74980.34</v>
      </c>
      <c r="J149" s="318">
        <f>E149*I149</f>
        <v>4506318.434</v>
      </c>
      <c r="K149" s="47" t="s">
        <v>157</v>
      </c>
      <c r="L149" s="319" t="s">
        <v>171</v>
      </c>
      <c r="M149" s="389"/>
      <c r="N149" s="311"/>
      <c r="O149" s="474">
        <v>46112</v>
      </c>
      <c r="P149" s="475">
        <v>59.05</v>
      </c>
      <c r="Q149" s="476">
        <f>P149-E149</f>
        <v>-1.05</v>
      </c>
      <c r="R149" s="322"/>
    </row>
    <row r="150" spans="1:18">
      <c r="A150" s="311">
        <f>A149+1</f>
        <v>133</v>
      </c>
      <c r="B150" s="388">
        <v>46096</v>
      </c>
      <c r="C150" s="321">
        <v>8612063</v>
      </c>
      <c r="D150" s="321">
        <v>73147183</v>
      </c>
      <c r="E150" s="456">
        <v>60.65</v>
      </c>
      <c r="F150" s="314">
        <v>973.39</v>
      </c>
      <c r="G150" s="315">
        <f>F150-42</f>
        <v>931.39</v>
      </c>
      <c r="H150" s="316">
        <f>E150*G150</f>
        <v>56488.8035</v>
      </c>
      <c r="I150" s="317">
        <v>74980.34</v>
      </c>
      <c r="J150" s="318">
        <f>E150*I150</f>
        <v>4547557.621</v>
      </c>
      <c r="K150" s="47" t="s">
        <v>157</v>
      </c>
      <c r="L150" s="319" t="s">
        <v>171</v>
      </c>
      <c r="M150" s="389"/>
      <c r="N150" s="311"/>
      <c r="O150" s="474">
        <v>46112</v>
      </c>
      <c r="P150" s="481">
        <v>60.517</v>
      </c>
      <c r="Q150" s="476">
        <f>P150-E150</f>
        <v>-0.132999999999996</v>
      </c>
      <c r="R150" s="322"/>
    </row>
    <row r="151" spans="1:18">
      <c r="A151" s="311">
        <f>A150+1</f>
        <v>134</v>
      </c>
      <c r="B151" s="388">
        <v>46096</v>
      </c>
      <c r="C151" s="321">
        <v>8612063</v>
      </c>
      <c r="D151" s="321">
        <v>73902736</v>
      </c>
      <c r="E151" s="456">
        <v>60.35</v>
      </c>
      <c r="F151" s="314">
        <v>973.39</v>
      </c>
      <c r="G151" s="315">
        <f>F151-42</f>
        <v>931.39</v>
      </c>
      <c r="H151" s="316">
        <f>E151*G151</f>
        <v>56209.3865</v>
      </c>
      <c r="I151" s="317">
        <v>74980.34</v>
      </c>
      <c r="J151" s="318">
        <f>E151*I151</f>
        <v>4525063.519</v>
      </c>
      <c r="K151" s="47" t="s">
        <v>157</v>
      </c>
      <c r="L151" s="319" t="s">
        <v>171</v>
      </c>
      <c r="M151" s="389"/>
      <c r="N151" s="311"/>
      <c r="O151" s="474">
        <v>46112</v>
      </c>
      <c r="P151" s="481">
        <v>60.135</v>
      </c>
      <c r="Q151" s="476">
        <f>P151-E151</f>
        <v>-0.215000000000003</v>
      </c>
      <c r="R151" s="322"/>
    </row>
    <row r="152" spans="1:18">
      <c r="A152" s="311">
        <f>A151+1</f>
        <v>135</v>
      </c>
      <c r="B152" s="388">
        <v>46096</v>
      </c>
      <c r="C152" s="321">
        <v>8612063</v>
      </c>
      <c r="D152" s="321">
        <v>74951047</v>
      </c>
      <c r="E152" s="456">
        <v>60.15</v>
      </c>
      <c r="F152" s="314">
        <v>973.39</v>
      </c>
      <c r="G152" s="315">
        <f>F152-42</f>
        <v>931.39</v>
      </c>
      <c r="H152" s="316">
        <f>E152*G152</f>
        <v>56023.1085</v>
      </c>
      <c r="I152" s="317">
        <v>74980.34</v>
      </c>
      <c r="J152" s="318">
        <f>E152*I152</f>
        <v>4510067.451</v>
      </c>
      <c r="K152" s="47" t="s">
        <v>157</v>
      </c>
      <c r="L152" s="319" t="s">
        <v>171</v>
      </c>
      <c r="M152" s="389"/>
      <c r="N152" s="311"/>
      <c r="O152" s="457">
        <v>46084</v>
      </c>
      <c r="P152" s="459">
        <v>60.079</v>
      </c>
      <c r="Q152" s="460">
        <f>P152-E152</f>
        <v>-0.070999999999998</v>
      </c>
      <c r="R152" s="322"/>
    </row>
    <row r="153" spans="1:18">
      <c r="A153" s="311">
        <f>A152+1</f>
        <v>136</v>
      </c>
      <c r="B153" s="388">
        <v>46096</v>
      </c>
      <c r="C153" s="321">
        <v>8612063</v>
      </c>
      <c r="D153" s="321">
        <v>75032938</v>
      </c>
      <c r="E153" s="456">
        <v>60.85</v>
      </c>
      <c r="F153" s="314">
        <v>973.39</v>
      </c>
      <c r="G153" s="315">
        <f>F153-42</f>
        <v>931.39</v>
      </c>
      <c r="H153" s="316">
        <f>E153*G153</f>
        <v>56675.0815</v>
      </c>
      <c r="I153" s="317">
        <v>74980.34</v>
      </c>
      <c r="J153" s="318">
        <f>E153*I153</f>
        <v>4562553.689</v>
      </c>
      <c r="K153" s="47" t="s">
        <v>157</v>
      </c>
      <c r="L153" s="319" t="s">
        <v>171</v>
      </c>
      <c r="M153" s="389"/>
      <c r="N153" s="311"/>
      <c r="O153" s="474">
        <v>46112</v>
      </c>
      <c r="P153" s="481">
        <v>61.234</v>
      </c>
      <c r="Q153" s="476">
        <f>P153-E153</f>
        <v>0.384</v>
      </c>
      <c r="R153" s="322"/>
    </row>
    <row r="154" spans="1:18">
      <c r="A154" s="311">
        <f>A153+1</f>
        <v>137</v>
      </c>
      <c r="B154" s="388">
        <v>46096</v>
      </c>
      <c r="C154" s="321">
        <v>8612063</v>
      </c>
      <c r="D154" s="321">
        <v>75102376</v>
      </c>
      <c r="E154" s="456">
        <v>61</v>
      </c>
      <c r="F154" s="314">
        <v>973.39</v>
      </c>
      <c r="G154" s="315">
        <f>F154-42</f>
        <v>931.39</v>
      </c>
      <c r="H154" s="316">
        <f>E154*G154</f>
        <v>56814.79</v>
      </c>
      <c r="I154" s="317">
        <v>74980.34</v>
      </c>
      <c r="J154" s="318">
        <f>E154*I154</f>
        <v>4573800.74</v>
      </c>
      <c r="K154" s="47" t="s">
        <v>157</v>
      </c>
      <c r="L154" s="319" t="s">
        <v>171</v>
      </c>
      <c r="M154" s="389"/>
      <c r="N154" s="311"/>
      <c r="O154" s="457">
        <v>46084</v>
      </c>
      <c r="P154" s="459">
        <v>60.804</v>
      </c>
      <c r="Q154" s="460">
        <f>P154-E154</f>
        <v>-0.195999999999998</v>
      </c>
      <c r="R154" s="322"/>
    </row>
    <row r="155" spans="1:18">
      <c r="A155" s="311">
        <f>A154+1</f>
        <v>138</v>
      </c>
      <c r="B155" s="388">
        <v>46096</v>
      </c>
      <c r="C155" s="321">
        <v>8612063</v>
      </c>
      <c r="D155" s="321">
        <v>75180182</v>
      </c>
      <c r="E155" s="456">
        <v>61.6</v>
      </c>
      <c r="F155" s="314">
        <v>973.39</v>
      </c>
      <c r="G155" s="315">
        <f>F155-42</f>
        <v>931.39</v>
      </c>
      <c r="H155" s="316">
        <f>E155*G155</f>
        <v>57373.624</v>
      </c>
      <c r="I155" s="317">
        <v>74980.34</v>
      </c>
      <c r="J155" s="318">
        <f>E155*I155</f>
        <v>4618788.944</v>
      </c>
      <c r="K155" s="47" t="s">
        <v>157</v>
      </c>
      <c r="L155" s="319" t="s">
        <v>171</v>
      </c>
      <c r="M155" s="389"/>
      <c r="N155" s="311"/>
      <c r="O155" s="457">
        <v>46084</v>
      </c>
      <c r="P155" s="459">
        <v>61.498</v>
      </c>
      <c r="Q155" s="460">
        <f>P155-E155</f>
        <v>-0.102000000000004</v>
      </c>
      <c r="R155" s="322"/>
    </row>
    <row r="156" spans="1:18">
      <c r="A156" s="311">
        <f>A155+1</f>
        <v>139</v>
      </c>
      <c r="B156" s="388">
        <v>46096</v>
      </c>
      <c r="C156" s="321">
        <v>8612063</v>
      </c>
      <c r="D156" s="321">
        <v>76815083</v>
      </c>
      <c r="E156" s="456">
        <v>60.85</v>
      </c>
      <c r="F156" s="314">
        <v>973.39</v>
      </c>
      <c r="G156" s="315">
        <f>F156-42</f>
        <v>931.39</v>
      </c>
      <c r="H156" s="316">
        <f>E156*G156</f>
        <v>56675.0815</v>
      </c>
      <c r="I156" s="317">
        <v>74980.34</v>
      </c>
      <c r="J156" s="318">
        <f>E156*I156</f>
        <v>4562553.689</v>
      </c>
      <c r="K156" s="47" t="s">
        <v>157</v>
      </c>
      <c r="L156" s="319" t="s">
        <v>171</v>
      </c>
      <c r="M156" s="389"/>
      <c r="N156" s="311"/>
      <c r="O156" s="474">
        <v>46112</v>
      </c>
      <c r="P156" s="481">
        <v>60.561</v>
      </c>
      <c r="Q156" s="476">
        <f>P156-E156</f>
        <v>-0.289000000000001</v>
      </c>
      <c r="R156" s="322"/>
    </row>
    <row r="157" spans="1:18">
      <c r="A157" s="311">
        <f>A156+1</f>
        <v>140</v>
      </c>
      <c r="B157" s="388">
        <v>46096</v>
      </c>
      <c r="C157" s="321">
        <v>8612063</v>
      </c>
      <c r="D157" s="321">
        <v>51340594</v>
      </c>
      <c r="E157" s="456">
        <v>51.95</v>
      </c>
      <c r="F157" s="314">
        <v>973.39</v>
      </c>
      <c r="G157" s="315">
        <f>F157-42</f>
        <v>931.39</v>
      </c>
      <c r="H157" s="316">
        <f>E157*G157</f>
        <v>48385.7105</v>
      </c>
      <c r="I157" s="317">
        <v>74980.34</v>
      </c>
      <c r="J157" s="318">
        <f>E157*I157</f>
        <v>3895228.663</v>
      </c>
      <c r="K157" s="47" t="s">
        <v>157</v>
      </c>
      <c r="L157" s="319" t="s">
        <v>171</v>
      </c>
      <c r="M157" s="389"/>
      <c r="N157" s="311"/>
      <c r="O157" s="393">
        <v>46112</v>
      </c>
      <c r="P157" s="394">
        <v>51.906</v>
      </c>
      <c r="Q157" s="467">
        <f>P157-E157</f>
        <v>-0.044000000000004</v>
      </c>
      <c r="R157" s="322"/>
    </row>
    <row r="158" spans="1:18">
      <c r="A158" s="311">
        <f>A157+1</f>
        <v>141</v>
      </c>
      <c r="B158" s="388">
        <v>46096</v>
      </c>
      <c r="C158" s="321">
        <v>8612063</v>
      </c>
      <c r="D158" s="321">
        <v>51341899</v>
      </c>
      <c r="E158" s="456">
        <v>51.9</v>
      </c>
      <c r="F158" s="314">
        <v>973.39</v>
      </c>
      <c r="G158" s="315">
        <f>F158-42</f>
        <v>931.39</v>
      </c>
      <c r="H158" s="316">
        <f>E158*G158</f>
        <v>48339.141</v>
      </c>
      <c r="I158" s="317">
        <v>74980.34</v>
      </c>
      <c r="J158" s="318">
        <f>E158*I158</f>
        <v>3891479.646</v>
      </c>
      <c r="K158" s="47" t="s">
        <v>157</v>
      </c>
      <c r="L158" s="319" t="s">
        <v>171</v>
      </c>
      <c r="M158" s="389"/>
      <c r="N158" s="311"/>
      <c r="O158" s="393">
        <v>46112</v>
      </c>
      <c r="P158" s="394">
        <v>52.252</v>
      </c>
      <c r="Q158" s="467">
        <f>P158-E158</f>
        <v>0.352000000000004</v>
      </c>
      <c r="R158" s="322"/>
    </row>
    <row r="159" spans="1:18">
      <c r="A159" s="311">
        <f>A158+1</f>
        <v>142</v>
      </c>
      <c r="B159" s="388">
        <v>46096</v>
      </c>
      <c r="C159" s="321">
        <v>8612063</v>
      </c>
      <c r="D159" s="321">
        <v>51346492</v>
      </c>
      <c r="E159" s="456">
        <v>52.15</v>
      </c>
      <c r="F159" s="314">
        <v>973.39</v>
      </c>
      <c r="G159" s="315">
        <f>F159-42</f>
        <v>931.39</v>
      </c>
      <c r="H159" s="316">
        <f>E159*G159</f>
        <v>48571.9885</v>
      </c>
      <c r="I159" s="317">
        <v>74980.34</v>
      </c>
      <c r="J159" s="318">
        <f>E159*I159</f>
        <v>3910224.731</v>
      </c>
      <c r="K159" s="47" t="s">
        <v>157</v>
      </c>
      <c r="L159" s="319" t="s">
        <v>171</v>
      </c>
      <c r="M159" s="389"/>
      <c r="N159" s="311"/>
      <c r="O159" s="393">
        <v>46112</v>
      </c>
      <c r="P159" s="394">
        <v>52.062</v>
      </c>
      <c r="Q159" s="467">
        <f>P159-E159</f>
        <v>-0.088000000000001</v>
      </c>
      <c r="R159" s="322"/>
    </row>
    <row r="160" spans="1:18">
      <c r="A160" s="311">
        <f>A159+1</f>
        <v>143</v>
      </c>
      <c r="B160" s="388">
        <v>46096</v>
      </c>
      <c r="C160" s="321">
        <v>8612063</v>
      </c>
      <c r="D160" s="321">
        <v>51346898</v>
      </c>
      <c r="E160" s="456">
        <v>51.95</v>
      </c>
      <c r="F160" s="314">
        <v>973.39</v>
      </c>
      <c r="G160" s="315">
        <f>F160-42</f>
        <v>931.39</v>
      </c>
      <c r="H160" s="316">
        <f>E160*G160</f>
        <v>48385.7105</v>
      </c>
      <c r="I160" s="317">
        <v>74980.34</v>
      </c>
      <c r="J160" s="318">
        <f>E160*I160</f>
        <v>3895228.663</v>
      </c>
      <c r="K160" s="47" t="s">
        <v>157</v>
      </c>
      <c r="L160" s="319" t="s">
        <v>171</v>
      </c>
      <c r="M160" s="389"/>
      <c r="N160" s="311"/>
      <c r="O160" s="457">
        <v>46084</v>
      </c>
      <c r="P160" s="458">
        <v>51.96</v>
      </c>
      <c r="Q160" s="458">
        <f>P160-E160</f>
        <v>0.00999999999999801</v>
      </c>
      <c r="R160" s="322"/>
    </row>
    <row r="161" spans="1:18">
      <c r="A161" s="311">
        <f>A160+1</f>
        <v>144</v>
      </c>
      <c r="B161" s="388">
        <v>46096</v>
      </c>
      <c r="C161" s="321">
        <v>8612063</v>
      </c>
      <c r="D161" s="321">
        <v>51347797</v>
      </c>
      <c r="E161" s="456">
        <v>51.8</v>
      </c>
      <c r="F161" s="314">
        <v>973.39</v>
      </c>
      <c r="G161" s="315">
        <f>F161-42</f>
        <v>931.39</v>
      </c>
      <c r="H161" s="316">
        <f>E161*G161</f>
        <v>48246.002</v>
      </c>
      <c r="I161" s="317">
        <v>74980.34</v>
      </c>
      <c r="J161" s="318">
        <f>E161*I161</f>
        <v>3883981.612</v>
      </c>
      <c r="K161" s="47" t="s">
        <v>157</v>
      </c>
      <c r="L161" s="319" t="s">
        <v>171</v>
      </c>
      <c r="M161" s="389"/>
      <c r="N161" s="311"/>
      <c r="O161" s="393">
        <v>46112</v>
      </c>
      <c r="P161" s="394">
        <v>51.958</v>
      </c>
      <c r="Q161" s="467">
        <f>P161-E161</f>
        <v>0.158000000000001</v>
      </c>
      <c r="R161" s="322"/>
    </row>
    <row r="162" spans="1:18">
      <c r="A162" s="311">
        <f>A161+1</f>
        <v>145</v>
      </c>
      <c r="B162" s="388">
        <v>46096</v>
      </c>
      <c r="C162" s="321">
        <v>8612063</v>
      </c>
      <c r="D162" s="321">
        <v>51684942</v>
      </c>
      <c r="E162" s="456">
        <v>51.9</v>
      </c>
      <c r="F162" s="314">
        <v>973.39</v>
      </c>
      <c r="G162" s="315">
        <f>F162-42</f>
        <v>931.39</v>
      </c>
      <c r="H162" s="316">
        <f>E162*G162</f>
        <v>48339.141</v>
      </c>
      <c r="I162" s="317">
        <v>74980.34</v>
      </c>
      <c r="J162" s="318">
        <f>E162*I162</f>
        <v>3891479.646</v>
      </c>
      <c r="K162" s="47" t="s">
        <v>157</v>
      </c>
      <c r="L162" s="319" t="s">
        <v>171</v>
      </c>
      <c r="M162" s="389"/>
      <c r="N162" s="311"/>
      <c r="O162" s="393">
        <v>46112</v>
      </c>
      <c r="P162" s="394">
        <v>51.886</v>
      </c>
      <c r="Q162" s="467">
        <f>P162-E162</f>
        <v>-0.0139999999999958</v>
      </c>
      <c r="R162" s="322"/>
    </row>
    <row r="163" spans="1:18">
      <c r="A163" s="311">
        <f>A162+1</f>
        <v>146</v>
      </c>
      <c r="B163" s="388">
        <v>46096</v>
      </c>
      <c r="C163" s="321">
        <v>8612063</v>
      </c>
      <c r="D163" s="321">
        <v>51685147</v>
      </c>
      <c r="E163" s="456">
        <v>51.9</v>
      </c>
      <c r="F163" s="314">
        <v>973.39</v>
      </c>
      <c r="G163" s="315">
        <f>F163-42</f>
        <v>931.39</v>
      </c>
      <c r="H163" s="316">
        <f>E163*G163</f>
        <v>48339.141</v>
      </c>
      <c r="I163" s="317">
        <v>74980.34</v>
      </c>
      <c r="J163" s="318">
        <f>E163*I163</f>
        <v>3891479.646</v>
      </c>
      <c r="K163" s="47" t="s">
        <v>157</v>
      </c>
      <c r="L163" s="319" t="s">
        <v>171</v>
      </c>
      <c r="M163" s="389"/>
      <c r="N163" s="311"/>
      <c r="O163" s="393">
        <v>46112</v>
      </c>
      <c r="P163" s="395">
        <v>52.24</v>
      </c>
      <c r="Q163" s="467">
        <f>P163-E163</f>
        <v>0.340000000000003</v>
      </c>
      <c r="R163" s="322"/>
    </row>
    <row r="164" spans="1:18">
      <c r="A164" s="311">
        <f>A163+1</f>
        <v>147</v>
      </c>
      <c r="B164" s="388">
        <v>46096</v>
      </c>
      <c r="C164" s="321">
        <v>8612063</v>
      </c>
      <c r="D164" s="321">
        <v>51685543</v>
      </c>
      <c r="E164" s="456">
        <v>51.95</v>
      </c>
      <c r="F164" s="314">
        <v>973.39</v>
      </c>
      <c r="G164" s="315">
        <f>F164-42</f>
        <v>931.39</v>
      </c>
      <c r="H164" s="316">
        <f>E164*G164</f>
        <v>48385.7105</v>
      </c>
      <c r="I164" s="317">
        <v>74980.34</v>
      </c>
      <c r="J164" s="318">
        <f>E164*I164</f>
        <v>3895228.663</v>
      </c>
      <c r="K164" s="47" t="s">
        <v>157</v>
      </c>
      <c r="L164" s="319" t="s">
        <v>171</v>
      </c>
      <c r="M164" s="389"/>
      <c r="N164" s="311"/>
      <c r="O164" s="393">
        <v>46112</v>
      </c>
      <c r="P164" s="394">
        <v>52.234</v>
      </c>
      <c r="Q164" s="467">
        <f>P164-E164</f>
        <v>0.283999999999999</v>
      </c>
      <c r="R164" s="322"/>
    </row>
    <row r="165" ht="15.75" spans="1:18">
      <c r="A165" s="323">
        <f>A164+1</f>
        <v>148</v>
      </c>
      <c r="B165" s="418">
        <v>46096</v>
      </c>
      <c r="C165" s="417">
        <v>8612063</v>
      </c>
      <c r="D165" s="417">
        <v>51709749</v>
      </c>
      <c r="E165" s="482">
        <v>51.85</v>
      </c>
      <c r="F165" s="314">
        <v>973.39</v>
      </c>
      <c r="G165" s="326">
        <f>F165-42</f>
        <v>931.39</v>
      </c>
      <c r="H165" s="327">
        <f>E165*G165</f>
        <v>48292.5715</v>
      </c>
      <c r="I165" s="317">
        <v>74980.34</v>
      </c>
      <c r="J165" s="329">
        <f>E165*I165</f>
        <v>3887730.629</v>
      </c>
      <c r="K165" s="64" t="s">
        <v>157</v>
      </c>
      <c r="L165" s="330" t="s">
        <v>171</v>
      </c>
      <c r="M165" s="420"/>
      <c r="N165" s="332"/>
      <c r="O165" s="483">
        <v>46084</v>
      </c>
      <c r="P165" s="484">
        <v>51.83</v>
      </c>
      <c r="Q165" s="484">
        <f>P165-E165</f>
        <v>-0.0200000000000031</v>
      </c>
      <c r="R165" s="334"/>
    </row>
    <row r="166" ht="15.75" spans="1:18">
      <c r="A166" s="336"/>
      <c r="B166" s="337"/>
      <c r="C166" s="337"/>
      <c r="D166" s="337"/>
      <c r="E166" s="454">
        <f>SUM(E133:E165)</f>
        <v>1901.05</v>
      </c>
      <c r="F166" s="337"/>
      <c r="G166" s="337"/>
      <c r="H166" s="339">
        <f>SUM(H133:H165)</f>
        <v>1770618.9595</v>
      </c>
      <c r="I166" s="340"/>
      <c r="J166" s="341">
        <f>SUM(J133:J165)</f>
        <v>142541375.357</v>
      </c>
      <c r="K166" s="337"/>
      <c r="L166" s="342"/>
      <c r="M166" s="343"/>
      <c r="N166" s="428"/>
      <c r="O166" s="429"/>
      <c r="P166" s="429"/>
      <c r="Q166" s="429"/>
      <c r="R166" s="430"/>
    </row>
    <row r="167" spans="1:18">
      <c r="A167" s="300">
        <v>149</v>
      </c>
      <c r="B167" s="424">
        <v>46098</v>
      </c>
      <c r="C167" s="309">
        <v>8612088</v>
      </c>
      <c r="D167" s="309">
        <v>50193531</v>
      </c>
      <c r="E167" s="463">
        <v>60.7</v>
      </c>
      <c r="F167" s="314">
        <v>973.39</v>
      </c>
      <c r="G167" s="304">
        <f>F167-42</f>
        <v>931.39</v>
      </c>
      <c r="H167" s="303">
        <f>E167*G167</f>
        <v>56535.373</v>
      </c>
      <c r="I167" s="317">
        <v>74980.34</v>
      </c>
      <c r="J167" s="306">
        <f>E167*I167</f>
        <v>4551306.638</v>
      </c>
      <c r="K167" s="34" t="s">
        <v>157</v>
      </c>
      <c r="L167" s="307" t="s">
        <v>171</v>
      </c>
      <c r="M167" s="426"/>
      <c r="N167" s="300"/>
      <c r="O167" s="471">
        <v>46112</v>
      </c>
      <c r="P167" s="485">
        <v>60.573</v>
      </c>
      <c r="Q167" s="473">
        <f>P167-E167</f>
        <v>-0.127000000000002</v>
      </c>
      <c r="R167" s="310"/>
    </row>
    <row r="168" spans="1:18">
      <c r="A168" s="311">
        <f>A167+1</f>
        <v>150</v>
      </c>
      <c r="B168" s="388">
        <v>46098</v>
      </c>
      <c r="C168" s="321">
        <v>8612088</v>
      </c>
      <c r="D168" s="321">
        <v>51181402</v>
      </c>
      <c r="E168" s="456">
        <v>60.15</v>
      </c>
      <c r="F168" s="314">
        <v>973.39</v>
      </c>
      <c r="G168" s="315">
        <f>F168-42</f>
        <v>931.39</v>
      </c>
      <c r="H168" s="316">
        <f>E168*G168</f>
        <v>56023.1085</v>
      </c>
      <c r="I168" s="317">
        <v>74980.34</v>
      </c>
      <c r="J168" s="318">
        <f>E168*I168</f>
        <v>4510067.451</v>
      </c>
      <c r="K168" s="47" t="s">
        <v>157</v>
      </c>
      <c r="L168" s="319" t="s">
        <v>171</v>
      </c>
      <c r="M168" s="389"/>
      <c r="N168" s="311"/>
      <c r="O168" s="321"/>
      <c r="P168" s="321"/>
      <c r="Q168" s="321"/>
      <c r="R168" s="322"/>
    </row>
    <row r="169" spans="1:18">
      <c r="A169" s="311">
        <f>A168+1</f>
        <v>151</v>
      </c>
      <c r="B169" s="388">
        <v>46098</v>
      </c>
      <c r="C169" s="321">
        <v>8612088</v>
      </c>
      <c r="D169" s="321">
        <v>53924049</v>
      </c>
      <c r="E169" s="456">
        <v>60.2</v>
      </c>
      <c r="F169" s="314">
        <v>973.39</v>
      </c>
      <c r="G169" s="315">
        <f>F169-42</f>
        <v>931.39</v>
      </c>
      <c r="H169" s="316">
        <f>E169*G169</f>
        <v>56069.678</v>
      </c>
      <c r="I169" s="317">
        <v>74980.34</v>
      </c>
      <c r="J169" s="318">
        <f>E169*I169</f>
        <v>4513816.468</v>
      </c>
      <c r="K169" s="47" t="s">
        <v>157</v>
      </c>
      <c r="L169" s="319" t="s">
        <v>171</v>
      </c>
      <c r="M169" s="389"/>
      <c r="N169" s="311"/>
      <c r="O169" s="415" t="s">
        <v>272</v>
      </c>
      <c r="P169" s="486">
        <v>60.274</v>
      </c>
      <c r="Q169" s="486">
        <f>P169-E169</f>
        <v>0.0739999999999981</v>
      </c>
      <c r="R169" s="322"/>
    </row>
    <row r="170" spans="1:18">
      <c r="A170" s="311">
        <f>A169+1</f>
        <v>152</v>
      </c>
      <c r="B170" s="388">
        <v>46098</v>
      </c>
      <c r="C170" s="321">
        <v>8612088</v>
      </c>
      <c r="D170" s="321">
        <v>53987962</v>
      </c>
      <c r="E170" s="456">
        <v>59.85</v>
      </c>
      <c r="F170" s="314">
        <v>973.39</v>
      </c>
      <c r="G170" s="315">
        <f>F170-42</f>
        <v>931.39</v>
      </c>
      <c r="H170" s="316">
        <f>E170*G170</f>
        <v>55743.6915</v>
      </c>
      <c r="I170" s="317">
        <v>74980.34</v>
      </c>
      <c r="J170" s="318">
        <f>E170*I170</f>
        <v>4487573.349</v>
      </c>
      <c r="K170" s="47" t="s">
        <v>157</v>
      </c>
      <c r="L170" s="319" t="s">
        <v>171</v>
      </c>
      <c r="M170" s="389"/>
      <c r="N170" s="311"/>
      <c r="O170" s="474">
        <v>46112</v>
      </c>
      <c r="P170" s="481">
        <v>60.184</v>
      </c>
      <c r="Q170" s="476">
        <f>P170-E170</f>
        <v>0.333999999999996</v>
      </c>
      <c r="R170" s="322"/>
    </row>
    <row r="171" spans="1:18">
      <c r="A171" s="311">
        <f>A170+1</f>
        <v>153</v>
      </c>
      <c r="B171" s="388">
        <v>46098</v>
      </c>
      <c r="C171" s="321">
        <v>8612088</v>
      </c>
      <c r="D171" s="321">
        <v>54098215</v>
      </c>
      <c r="E171" s="456">
        <v>60.1</v>
      </c>
      <c r="F171" s="314">
        <v>973.39</v>
      </c>
      <c r="G171" s="315">
        <f>F171-42</f>
        <v>931.39</v>
      </c>
      <c r="H171" s="316">
        <f>E171*G171</f>
        <v>55976.539</v>
      </c>
      <c r="I171" s="317">
        <v>74980.34</v>
      </c>
      <c r="J171" s="318">
        <f>E171*I171</f>
        <v>4506318.434</v>
      </c>
      <c r="K171" s="47" t="s">
        <v>157</v>
      </c>
      <c r="L171" s="319" t="s">
        <v>171</v>
      </c>
      <c r="M171" s="389"/>
      <c r="N171" s="311"/>
      <c r="O171" s="474">
        <v>46112</v>
      </c>
      <c r="P171" s="475">
        <v>60.04</v>
      </c>
      <c r="Q171" s="475">
        <f>P171-E171</f>
        <v>-0.0600000000000023</v>
      </c>
      <c r="R171" s="322"/>
    </row>
    <row r="172" spans="1:18">
      <c r="A172" s="311">
        <f>A171+1</f>
        <v>154</v>
      </c>
      <c r="B172" s="388">
        <v>46098</v>
      </c>
      <c r="C172" s="321">
        <v>8612088</v>
      </c>
      <c r="D172" s="321">
        <v>54098579</v>
      </c>
      <c r="E172" s="456">
        <v>60.2</v>
      </c>
      <c r="F172" s="314">
        <v>973.39</v>
      </c>
      <c r="G172" s="315">
        <f>F172-42</f>
        <v>931.39</v>
      </c>
      <c r="H172" s="316">
        <f>E172*G172</f>
        <v>56069.678</v>
      </c>
      <c r="I172" s="317">
        <v>74980.34</v>
      </c>
      <c r="J172" s="318">
        <f>E172*I172</f>
        <v>4513816.468</v>
      </c>
      <c r="K172" s="47" t="s">
        <v>157</v>
      </c>
      <c r="L172" s="319" t="s">
        <v>171</v>
      </c>
      <c r="M172" s="389"/>
      <c r="N172" s="311"/>
      <c r="O172" s="474">
        <v>46112</v>
      </c>
      <c r="P172" s="481">
        <v>59.988</v>
      </c>
      <c r="Q172" s="476">
        <f>P172-E172</f>
        <v>-0.212000000000003</v>
      </c>
      <c r="R172" s="322"/>
    </row>
    <row r="173" spans="1:18">
      <c r="A173" s="311">
        <f>A172+1</f>
        <v>155</v>
      </c>
      <c r="B173" s="388">
        <v>46098</v>
      </c>
      <c r="C173" s="321">
        <v>8612088</v>
      </c>
      <c r="D173" s="321">
        <v>55945828</v>
      </c>
      <c r="E173" s="456">
        <v>60.5</v>
      </c>
      <c r="F173" s="314">
        <v>973.39</v>
      </c>
      <c r="G173" s="315">
        <f>F173-42</f>
        <v>931.39</v>
      </c>
      <c r="H173" s="316">
        <f>E173*G173</f>
        <v>56349.095</v>
      </c>
      <c r="I173" s="317">
        <v>74980.34</v>
      </c>
      <c r="J173" s="318">
        <f>E173*I173</f>
        <v>4536310.57</v>
      </c>
      <c r="K173" s="47" t="s">
        <v>157</v>
      </c>
      <c r="L173" s="319" t="s">
        <v>171</v>
      </c>
      <c r="M173" s="389"/>
      <c r="N173" s="311"/>
      <c r="O173" s="474">
        <v>46112</v>
      </c>
      <c r="P173" s="481">
        <v>60.428</v>
      </c>
      <c r="Q173" s="476">
        <f>P173-E173</f>
        <v>-0.0720000000000027</v>
      </c>
      <c r="R173" s="322"/>
    </row>
    <row r="174" spans="1:18">
      <c r="A174" s="311">
        <f>A173+1</f>
        <v>156</v>
      </c>
      <c r="B174" s="388">
        <v>46098</v>
      </c>
      <c r="C174" s="321">
        <v>8612088</v>
      </c>
      <c r="D174" s="321">
        <v>57371445</v>
      </c>
      <c r="E174" s="456">
        <v>60.55</v>
      </c>
      <c r="F174" s="314">
        <v>973.39</v>
      </c>
      <c r="G174" s="315">
        <f>F174-42</f>
        <v>931.39</v>
      </c>
      <c r="H174" s="316">
        <f>E174*G174</f>
        <v>56395.6645</v>
      </c>
      <c r="I174" s="317">
        <v>74980.34</v>
      </c>
      <c r="J174" s="318">
        <f>E174*I174</f>
        <v>4540059.587</v>
      </c>
      <c r="K174" s="47" t="s">
        <v>157</v>
      </c>
      <c r="L174" s="319" t="s">
        <v>171</v>
      </c>
      <c r="M174" s="389"/>
      <c r="N174" s="311"/>
      <c r="O174" s="474">
        <v>46112</v>
      </c>
      <c r="P174" s="481">
        <v>60.333</v>
      </c>
      <c r="Q174" s="481">
        <f>P174-E174</f>
        <v>-0.216999999999999</v>
      </c>
      <c r="R174" s="322"/>
    </row>
    <row r="175" spans="1:18">
      <c r="A175" s="311">
        <f>A174+1</f>
        <v>157</v>
      </c>
      <c r="B175" s="388">
        <v>46098</v>
      </c>
      <c r="C175" s="321">
        <v>8612088</v>
      </c>
      <c r="D175" s="321">
        <v>57422792</v>
      </c>
      <c r="E175" s="456">
        <v>59.8</v>
      </c>
      <c r="F175" s="314">
        <v>973.39</v>
      </c>
      <c r="G175" s="315">
        <f>F175-42</f>
        <v>931.39</v>
      </c>
      <c r="H175" s="316">
        <f>E175*G175</f>
        <v>55697.122</v>
      </c>
      <c r="I175" s="317">
        <v>74980.34</v>
      </c>
      <c r="J175" s="318">
        <f>E175*I175</f>
        <v>4483824.332</v>
      </c>
      <c r="K175" s="47" t="s">
        <v>157</v>
      </c>
      <c r="L175" s="319" t="s">
        <v>171</v>
      </c>
      <c r="M175" s="389"/>
      <c r="N175" s="311"/>
      <c r="O175" s="321"/>
      <c r="P175" s="321"/>
      <c r="Q175" s="321"/>
      <c r="R175" s="322"/>
    </row>
    <row r="176" spans="1:18">
      <c r="A176" s="311">
        <f>A175+1</f>
        <v>158</v>
      </c>
      <c r="B176" s="388">
        <v>46098</v>
      </c>
      <c r="C176" s="321">
        <v>8612088</v>
      </c>
      <c r="D176" s="321">
        <v>71048235</v>
      </c>
      <c r="E176" s="456">
        <v>59.95</v>
      </c>
      <c r="F176" s="314">
        <v>973.39</v>
      </c>
      <c r="G176" s="315">
        <f>F176-42</f>
        <v>931.39</v>
      </c>
      <c r="H176" s="316">
        <f>E176*G176</f>
        <v>55836.8305</v>
      </c>
      <c r="I176" s="317">
        <v>74980.34</v>
      </c>
      <c r="J176" s="318">
        <f>E176*I176</f>
        <v>4495071.383</v>
      </c>
      <c r="K176" s="47" t="s">
        <v>157</v>
      </c>
      <c r="L176" s="319" t="s">
        <v>171</v>
      </c>
      <c r="M176" s="389"/>
      <c r="N176" s="311"/>
      <c r="O176" s="474">
        <v>46112</v>
      </c>
      <c r="P176" s="481">
        <v>59.808</v>
      </c>
      <c r="Q176" s="476">
        <f>P176-E176</f>
        <v>-0.142000000000003</v>
      </c>
      <c r="R176" s="322"/>
    </row>
    <row r="177" spans="1:18">
      <c r="A177" s="311">
        <f>A176+1</f>
        <v>159</v>
      </c>
      <c r="B177" s="388">
        <v>46098</v>
      </c>
      <c r="C177" s="321">
        <v>8612088</v>
      </c>
      <c r="D177" s="321">
        <v>73138042</v>
      </c>
      <c r="E177" s="456">
        <v>60.6</v>
      </c>
      <c r="F177" s="314">
        <v>973.39</v>
      </c>
      <c r="G177" s="315">
        <f>F177-42</f>
        <v>931.39</v>
      </c>
      <c r="H177" s="316">
        <f>E177*G177</f>
        <v>56442.234</v>
      </c>
      <c r="I177" s="317">
        <v>74980.34</v>
      </c>
      <c r="J177" s="318">
        <f>E177*I177</f>
        <v>4543808.604</v>
      </c>
      <c r="K177" s="47" t="s">
        <v>157</v>
      </c>
      <c r="L177" s="319" t="s">
        <v>171</v>
      </c>
      <c r="M177" s="389"/>
      <c r="N177" s="311"/>
      <c r="O177" s="474">
        <v>46112</v>
      </c>
      <c r="P177" s="481">
        <v>60.609</v>
      </c>
      <c r="Q177" s="476">
        <f>P177-E177</f>
        <v>0.00900000000000034</v>
      </c>
      <c r="R177" s="322"/>
    </row>
    <row r="178" spans="1:18">
      <c r="A178" s="311">
        <f>A177+1</f>
        <v>160</v>
      </c>
      <c r="B178" s="388">
        <v>46098</v>
      </c>
      <c r="C178" s="321">
        <v>8612088</v>
      </c>
      <c r="D178" s="321">
        <v>73195927</v>
      </c>
      <c r="E178" s="456">
        <v>60.75</v>
      </c>
      <c r="F178" s="314">
        <v>973.39</v>
      </c>
      <c r="G178" s="315">
        <f>F178-42</f>
        <v>931.39</v>
      </c>
      <c r="H178" s="316">
        <f>E178*G178</f>
        <v>56581.9425</v>
      </c>
      <c r="I178" s="317">
        <v>74980.34</v>
      </c>
      <c r="J178" s="318">
        <f>E178*I178</f>
        <v>4555055.655</v>
      </c>
      <c r="K178" s="47" t="s">
        <v>157</v>
      </c>
      <c r="L178" s="319" t="s">
        <v>171</v>
      </c>
      <c r="M178" s="389"/>
      <c r="N178" s="311"/>
      <c r="O178" s="474">
        <v>46112</v>
      </c>
      <c r="P178" s="475">
        <v>60.44</v>
      </c>
      <c r="Q178" s="475">
        <f>P178-E178</f>
        <v>-0.310000000000002</v>
      </c>
      <c r="R178" s="322"/>
    </row>
    <row r="179" spans="1:18">
      <c r="A179" s="311">
        <f>A178+1</f>
        <v>161</v>
      </c>
      <c r="B179" s="388">
        <v>46098</v>
      </c>
      <c r="C179" s="321">
        <v>8612088</v>
      </c>
      <c r="D179" s="321">
        <v>74997941</v>
      </c>
      <c r="E179" s="456">
        <v>61.8</v>
      </c>
      <c r="F179" s="314">
        <v>973.39</v>
      </c>
      <c r="G179" s="315">
        <f>F179-42</f>
        <v>931.39</v>
      </c>
      <c r="H179" s="316">
        <f>E179*G179</f>
        <v>57559.902</v>
      </c>
      <c r="I179" s="317">
        <v>74980.34</v>
      </c>
      <c r="J179" s="318">
        <f>E179*I179</f>
        <v>4633785.012</v>
      </c>
      <c r="K179" s="47" t="s">
        <v>157</v>
      </c>
      <c r="L179" s="319" t="s">
        <v>171</v>
      </c>
      <c r="M179" s="389"/>
      <c r="N179" s="311"/>
      <c r="O179" s="415" t="s">
        <v>272</v>
      </c>
      <c r="P179" s="415">
        <v>61.983</v>
      </c>
      <c r="Q179" s="486">
        <f>P179-E179</f>
        <v>0.183</v>
      </c>
      <c r="R179" s="322"/>
    </row>
    <row r="180" spans="1:18">
      <c r="A180" s="311">
        <f>A179+1</f>
        <v>162</v>
      </c>
      <c r="B180" s="388">
        <v>46098</v>
      </c>
      <c r="C180" s="321">
        <v>8612088</v>
      </c>
      <c r="D180" s="321">
        <v>75292771</v>
      </c>
      <c r="E180" s="456">
        <v>61.3</v>
      </c>
      <c r="F180" s="314">
        <v>973.39</v>
      </c>
      <c r="G180" s="315">
        <f>F180-42</f>
        <v>931.39</v>
      </c>
      <c r="H180" s="316">
        <f>E180*G180</f>
        <v>57094.207</v>
      </c>
      <c r="I180" s="317">
        <v>74980.34</v>
      </c>
      <c r="J180" s="318">
        <f>E180*I180</f>
        <v>4596294.842</v>
      </c>
      <c r="K180" s="47" t="s">
        <v>157</v>
      </c>
      <c r="L180" s="319" t="s">
        <v>171</v>
      </c>
      <c r="M180" s="389"/>
      <c r="N180" s="311"/>
      <c r="O180" s="415" t="s">
        <v>272</v>
      </c>
      <c r="P180" s="415">
        <v>61.415</v>
      </c>
      <c r="Q180" s="486">
        <f>P180-E180</f>
        <v>0.115000000000002</v>
      </c>
      <c r="R180" s="322"/>
    </row>
    <row r="181" spans="1:18">
      <c r="A181" s="311">
        <f>A180+1</f>
        <v>163</v>
      </c>
      <c r="B181" s="388">
        <v>46098</v>
      </c>
      <c r="C181" s="321">
        <v>8612088</v>
      </c>
      <c r="D181" s="321">
        <v>75292870</v>
      </c>
      <c r="E181" s="456">
        <v>61.15</v>
      </c>
      <c r="F181" s="314">
        <v>973.39</v>
      </c>
      <c r="G181" s="315">
        <f>F181-42</f>
        <v>931.39</v>
      </c>
      <c r="H181" s="316">
        <f>E181*G181</f>
        <v>56954.4985</v>
      </c>
      <c r="I181" s="317">
        <v>74980.34</v>
      </c>
      <c r="J181" s="318">
        <f>E181*I181</f>
        <v>4585047.791</v>
      </c>
      <c r="K181" s="47" t="s">
        <v>157</v>
      </c>
      <c r="L181" s="319" t="s">
        <v>171</v>
      </c>
      <c r="M181" s="389"/>
      <c r="N181" s="311"/>
      <c r="O181" s="415" t="s">
        <v>272</v>
      </c>
      <c r="P181" s="415">
        <v>61.224</v>
      </c>
      <c r="Q181" s="486">
        <f>P181-E181</f>
        <v>0.0739999999999981</v>
      </c>
      <c r="R181" s="322"/>
    </row>
    <row r="182" spans="1:18">
      <c r="A182" s="311">
        <f>A181+1</f>
        <v>164</v>
      </c>
      <c r="B182" s="388">
        <v>46098</v>
      </c>
      <c r="C182" s="321">
        <v>8612088</v>
      </c>
      <c r="D182" s="321">
        <v>75295857</v>
      </c>
      <c r="E182" s="456">
        <v>61.15</v>
      </c>
      <c r="F182" s="314">
        <v>973.39</v>
      </c>
      <c r="G182" s="315">
        <f>F182-42</f>
        <v>931.39</v>
      </c>
      <c r="H182" s="316">
        <f>E182*G182</f>
        <v>56954.4985</v>
      </c>
      <c r="I182" s="317">
        <v>74980.34</v>
      </c>
      <c r="J182" s="318">
        <f>E182*I182</f>
        <v>4585047.791</v>
      </c>
      <c r="K182" s="47" t="s">
        <v>157</v>
      </c>
      <c r="L182" s="319" t="s">
        <v>171</v>
      </c>
      <c r="M182" s="389"/>
      <c r="N182" s="311"/>
      <c r="O182" s="474">
        <v>46112</v>
      </c>
      <c r="P182" s="481">
        <v>61.312</v>
      </c>
      <c r="Q182" s="476">
        <f>P182-E182</f>
        <v>0.161999999999999</v>
      </c>
      <c r="R182" s="322"/>
    </row>
    <row r="183" spans="1:18">
      <c r="A183" s="311">
        <f>A182+1</f>
        <v>165</v>
      </c>
      <c r="B183" s="388">
        <v>46098</v>
      </c>
      <c r="C183" s="321">
        <v>8612088</v>
      </c>
      <c r="D183" s="321">
        <v>75298851</v>
      </c>
      <c r="E183" s="456">
        <v>61.15</v>
      </c>
      <c r="F183" s="314">
        <v>973.39</v>
      </c>
      <c r="G183" s="315">
        <f>F183-42</f>
        <v>931.39</v>
      </c>
      <c r="H183" s="316">
        <f>E183*G183</f>
        <v>56954.4985</v>
      </c>
      <c r="I183" s="317">
        <v>74980.34</v>
      </c>
      <c r="J183" s="318">
        <f>E183*I183</f>
        <v>4585047.791</v>
      </c>
      <c r="K183" s="47" t="s">
        <v>157</v>
      </c>
      <c r="L183" s="319" t="s">
        <v>171</v>
      </c>
      <c r="M183" s="389"/>
      <c r="N183" s="311"/>
      <c r="O183" s="474">
        <v>46112</v>
      </c>
      <c r="P183" s="481">
        <v>61.231</v>
      </c>
      <c r="Q183" s="481">
        <f>P183-E183</f>
        <v>0.0810000000000031</v>
      </c>
      <c r="R183" s="322"/>
    </row>
    <row r="184" ht="15.75" spans="1:18">
      <c r="A184" s="323">
        <f>A183+1</f>
        <v>166</v>
      </c>
      <c r="B184" s="418">
        <v>46098</v>
      </c>
      <c r="C184" s="417">
        <v>8612088</v>
      </c>
      <c r="D184" s="417">
        <v>76153295</v>
      </c>
      <c r="E184" s="482">
        <v>61.2</v>
      </c>
      <c r="F184" s="487">
        <v>973.39</v>
      </c>
      <c r="G184" s="326">
        <f>F184-42</f>
        <v>931.39</v>
      </c>
      <c r="H184" s="327">
        <f>E184*G184</f>
        <v>57001.068</v>
      </c>
      <c r="I184" s="317">
        <v>74980.34</v>
      </c>
      <c r="J184" s="329">
        <f>E184*I184</f>
        <v>4588796.808</v>
      </c>
      <c r="K184" s="64" t="s">
        <v>157</v>
      </c>
      <c r="L184" s="330" t="s">
        <v>171</v>
      </c>
      <c r="M184" s="399"/>
      <c r="N184" s="332"/>
      <c r="O184" s="333"/>
      <c r="P184" s="333"/>
      <c r="Q184" s="333"/>
      <c r="R184" s="334"/>
    </row>
    <row r="185" ht="15.75" spans="1:18">
      <c r="A185" s="336"/>
      <c r="B185" s="337"/>
      <c r="C185" s="337"/>
      <c r="D185" s="337"/>
      <c r="E185" s="454">
        <f>SUM(E167:E184)</f>
        <v>1091.1</v>
      </c>
      <c r="F185" s="337"/>
      <c r="G185" s="337"/>
      <c r="H185" s="339">
        <f>SUM(H167:H184)</f>
        <v>1016239.629</v>
      </c>
      <c r="I185" s="340"/>
      <c r="J185" s="341">
        <f>SUM(J167:J184)</f>
        <v>81811048.974</v>
      </c>
      <c r="K185" s="337"/>
      <c r="L185" s="342"/>
      <c r="M185" s="434"/>
      <c r="N185" s="435"/>
      <c r="O185" s="436"/>
      <c r="P185" s="436"/>
      <c r="Q185" s="436"/>
      <c r="R185" s="437"/>
    </row>
    <row r="186" ht="15.75" spans="1:18">
      <c r="A186" s="488"/>
      <c r="B186" s="489"/>
      <c r="C186" s="489"/>
      <c r="D186" s="489"/>
      <c r="E186" s="490">
        <f>E25+E39+E47+E49+E65+E78+E88+E90+E108+E132+E120+E185+E166+E41</f>
        <v>9842.6</v>
      </c>
      <c r="F186" s="489"/>
      <c r="G186" s="489"/>
      <c r="H186" s="491">
        <f>H25+H39+H47+H49+H65+H78+H88+H90+H108+H132+H185+H120+H166+H41</f>
        <v>9167299.02</v>
      </c>
      <c r="I186" s="492"/>
      <c r="J186" s="493">
        <f>J25+J39+J47+J49+J65+J78+J88+J90+J108+J132+J185+J120+J166+J41</f>
        <v>738001494.484</v>
      </c>
      <c r="K186" s="489"/>
      <c r="L186" s="494"/>
      <c r="M186" s="495"/>
      <c r="N186" s="496"/>
      <c r="O186" s="489"/>
      <c r="P186" s="489"/>
      <c r="Q186" s="489"/>
      <c r="R186" s="497"/>
    </row>
    <row r="188" ht="15.75"/>
    <row r="189" spans="1:18">
      <c r="B189" s="498" t="s">
        <v>161</v>
      </c>
      <c r="C189" s="499"/>
      <c r="D189" s="500"/>
      <c r="E189" s="501">
        <v>10000</v>
      </c>
    </row>
    <row r="190" spans="1:18">
      <c r="B190" s="502" t="s">
        <v>162</v>
      </c>
      <c r="C190" s="503"/>
      <c r="D190" s="504"/>
      <c r="E190" s="505">
        <f>E186</f>
        <v>9842.6</v>
      </c>
    </row>
    <row r="191" ht="15.75" spans="1:18">
      <c r="B191" s="506" t="s">
        <v>163</v>
      </c>
      <c r="C191" s="507"/>
      <c r="D191" s="508"/>
      <c r="E191" s="509">
        <f>E189-E190</f>
        <v>157.4</v>
      </c>
    </row>
    <row r="192" spans="1:18">
      <c r="I192" s="325"/>
    </row>
  </sheetData>
  <mergeCells count="5">
    <mergeCell ref="A1:M1"/>
    <mergeCell ref="A2:M2"/>
    <mergeCell ref="B189:D189"/>
    <mergeCell ref="B190:D190"/>
    <mergeCell ref="B191:D191"/>
  </mergeCells>
  <conditionalFormatting sqref="D4">
    <cfRule type="duplicateValues" dxfId="0" priority="2"/>
  </conditionalFormatting>
  <conditionalFormatting sqref="D189:D191">
    <cfRule type="duplicateValues" dxfId="0" priority="1"/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83"/>
  <sheetViews>
    <sheetView topLeftCell="A154" workbookViewId="0">
      <selection activeCell="J178" sqref="J178"/>
    </sheetView>
  </sheetViews>
  <sheetFormatPr defaultColWidth="9.1047619047619" defaultRowHeight="15"/>
  <cols>
    <col min="1" max="3" width="9.1047619047619" style="2"/>
    <col min="4" max="4" width="10.4380952380952" style="2" customWidth="1"/>
    <col min="5" max="5" width="11.4380952380952" style="2" customWidth="1"/>
    <col min="6" max="6" width="11.552380952381" style="2" customWidth="1"/>
    <col min="7" max="7" width="9.1047619047619" style="2"/>
    <col min="8" max="8" width="16.6666666666667" style="2" customWidth="1"/>
    <col min="9" max="9" width="10.6666666666667" style="3" customWidth="1"/>
    <col min="10" max="10" width="19.4380952380952" style="2" customWidth="1"/>
    <col min="11" max="11" width="21.8857142857143" style="2" customWidth="1"/>
    <col min="12" max="12" width="15" style="2" customWidth="1"/>
    <col min="13" max="13" width="1.1047619047619" style="2" customWidth="1"/>
    <col min="14" max="14" width="9.1047619047619" style="2"/>
    <col min="15" max="15" width="11.8857142857143" style="2" customWidth="1"/>
    <col min="16" max="16" width="9.1047619047619" style="2"/>
    <col min="17" max="17" width="11.6666666666667" style="2" customWidth="1"/>
    <col min="18" max="19" width="9.1047619047619" style="2"/>
    <col min="20" max="20" width="13.3333333333333" style="2" customWidth="1"/>
    <col min="21" max="16384" width="9.1047619047619" style="2"/>
  </cols>
  <sheetData>
    <row r="1" spans="1:18">
      <c r="A1" s="4" t="s">
        <v>139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  <c r="O1" s="6"/>
      <c r="P1" s="6"/>
      <c r="Q1" s="7">
        <v>78274.59</v>
      </c>
      <c r="R1" s="6"/>
    </row>
    <row r="2" spans="1:18">
      <c r="A2" s="8" t="s">
        <v>273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6"/>
      <c r="O2" s="6"/>
      <c r="P2" s="6"/>
      <c r="Q2" s="6"/>
      <c r="R2" s="6"/>
    </row>
    <row r="3" ht="15.75" spans="1:18">
      <c r="A3" s="10" t="s">
        <v>274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6"/>
      <c r="N3" s="6"/>
      <c r="O3" s="6"/>
      <c r="P3" s="6"/>
      <c r="Q3" s="6"/>
      <c r="R3" s="6"/>
    </row>
    <row r="4" ht="57.75" spans="1:18">
      <c r="A4" s="11" t="s">
        <v>141</v>
      </c>
      <c r="B4" s="12" t="s">
        <v>3</v>
      </c>
      <c r="C4" s="13" t="s">
        <v>142</v>
      </c>
      <c r="D4" s="12" t="s">
        <v>143</v>
      </c>
      <c r="E4" s="14" t="s">
        <v>144</v>
      </c>
      <c r="F4" s="15" t="s">
        <v>275</v>
      </c>
      <c r="G4" s="16" t="s">
        <v>276</v>
      </c>
      <c r="H4" s="17" t="s">
        <v>147</v>
      </c>
      <c r="I4" s="18" t="s">
        <v>148</v>
      </c>
      <c r="J4" s="19" t="s">
        <v>149</v>
      </c>
      <c r="K4" s="12" t="s">
        <v>150</v>
      </c>
      <c r="L4" s="20" t="s">
        <v>151</v>
      </c>
      <c r="M4" s="21"/>
      <c r="N4" s="22" t="s">
        <v>152</v>
      </c>
      <c r="O4" s="23" t="s">
        <v>153</v>
      </c>
      <c r="P4" s="24" t="s">
        <v>154</v>
      </c>
      <c r="Q4" s="24" t="s">
        <v>155</v>
      </c>
      <c r="R4" s="25" t="s">
        <v>156</v>
      </c>
    </row>
    <row r="5" spans="1:18">
      <c r="A5" s="26">
        <v>1</v>
      </c>
      <c r="B5" s="27">
        <v>46116</v>
      </c>
      <c r="C5" s="28" t="s">
        <v>277</v>
      </c>
      <c r="D5" s="29" t="s">
        <v>278</v>
      </c>
      <c r="E5" s="30">
        <v>60.1</v>
      </c>
      <c r="F5" s="31">
        <f>'[3]Platts '!AW34</f>
        <v>1060.0125</v>
      </c>
      <c r="G5" s="31">
        <f>F5-42</f>
        <v>1018.0125</v>
      </c>
      <c r="H5" s="31">
        <f>E5*G5</f>
        <v>61182.55125</v>
      </c>
      <c r="I5" s="32">
        <v>78274.59</v>
      </c>
      <c r="J5" s="33">
        <f>E5*I5</f>
        <v>4704302.859</v>
      </c>
      <c r="K5" s="34" t="s">
        <v>157</v>
      </c>
      <c r="L5" s="35" t="s">
        <v>171</v>
      </c>
      <c r="M5" s="36"/>
      <c r="N5" s="37"/>
      <c r="O5" s="38"/>
      <c r="P5" s="38"/>
      <c r="Q5" s="38"/>
      <c r="R5" s="39"/>
    </row>
    <row r="6" spans="1:18">
      <c r="A6" s="40">
        <f>A5+1</f>
        <v>2</v>
      </c>
      <c r="B6" s="41">
        <v>46116</v>
      </c>
      <c r="C6" s="42" t="s">
        <v>277</v>
      </c>
      <c r="D6" s="42" t="s">
        <v>279</v>
      </c>
      <c r="E6" s="43">
        <v>51.25</v>
      </c>
      <c r="F6" s="44">
        <v>1060.01</v>
      </c>
      <c r="G6" s="44">
        <f>F6-42</f>
        <v>1018.01</v>
      </c>
      <c r="H6" s="44">
        <f>E6*G6</f>
        <v>52173.0125</v>
      </c>
      <c r="I6" s="45">
        <v>78274.59</v>
      </c>
      <c r="J6" s="46">
        <f>E6*I6</f>
        <v>4011572.7375</v>
      </c>
      <c r="K6" s="47" t="s">
        <v>157</v>
      </c>
      <c r="L6" s="48" t="s">
        <v>171</v>
      </c>
      <c r="M6" s="49"/>
      <c r="N6" s="50"/>
      <c r="O6" s="51"/>
      <c r="P6" s="51"/>
      <c r="Q6" s="51"/>
      <c r="R6" s="52"/>
    </row>
    <row r="7" spans="1:18">
      <c r="A7" s="40">
        <f>A6+1</f>
        <v>3</v>
      </c>
      <c r="B7" s="41">
        <v>46116</v>
      </c>
      <c r="C7" s="42" t="s">
        <v>277</v>
      </c>
      <c r="D7" s="42" t="s">
        <v>280</v>
      </c>
      <c r="E7" s="43">
        <v>51.7</v>
      </c>
      <c r="F7" s="44">
        <v>1060.01</v>
      </c>
      <c r="G7" s="44">
        <f>F7-42</f>
        <v>1018.01</v>
      </c>
      <c r="H7" s="44">
        <f>E7*G7</f>
        <v>52631.117</v>
      </c>
      <c r="I7" s="45">
        <v>78274.59</v>
      </c>
      <c r="J7" s="46">
        <f>E7*I7</f>
        <v>4046796.303</v>
      </c>
      <c r="K7" s="47" t="s">
        <v>157</v>
      </c>
      <c r="L7" s="48" t="s">
        <v>171</v>
      </c>
      <c r="M7" s="49"/>
      <c r="N7" s="50"/>
      <c r="O7" s="51"/>
      <c r="P7" s="51"/>
      <c r="Q7" s="51"/>
      <c r="R7" s="52"/>
    </row>
    <row r="8" spans="1:18">
      <c r="A8" s="40">
        <f>A7+1</f>
        <v>4</v>
      </c>
      <c r="B8" s="41">
        <v>46116</v>
      </c>
      <c r="C8" s="42" t="s">
        <v>277</v>
      </c>
      <c r="D8" s="42" t="s">
        <v>281</v>
      </c>
      <c r="E8" s="43">
        <v>51.75</v>
      </c>
      <c r="F8" s="44">
        <v>1060.01</v>
      </c>
      <c r="G8" s="44">
        <f>F8-42</f>
        <v>1018.01</v>
      </c>
      <c r="H8" s="44">
        <f>E8*G8</f>
        <v>52682.0175</v>
      </c>
      <c r="I8" s="45">
        <v>78274.59</v>
      </c>
      <c r="J8" s="46">
        <f>E8*I8</f>
        <v>4050710.0325</v>
      </c>
      <c r="K8" s="47" t="s">
        <v>157</v>
      </c>
      <c r="L8" s="48" t="s">
        <v>171</v>
      </c>
      <c r="M8" s="49"/>
      <c r="N8" s="50"/>
      <c r="O8" s="51"/>
      <c r="P8" s="51"/>
      <c r="Q8" s="51"/>
      <c r="R8" s="52"/>
    </row>
    <row r="9" spans="1:18">
      <c r="A9" s="40">
        <f>A8+1</f>
        <v>5</v>
      </c>
      <c r="B9" s="41">
        <v>46116</v>
      </c>
      <c r="C9" s="42" t="s">
        <v>277</v>
      </c>
      <c r="D9" s="42" t="s">
        <v>282</v>
      </c>
      <c r="E9" s="43">
        <v>60</v>
      </c>
      <c r="F9" s="44">
        <v>1060.01</v>
      </c>
      <c r="G9" s="44">
        <f>F9-42</f>
        <v>1018.01</v>
      </c>
      <c r="H9" s="44">
        <f>E9*G9</f>
        <v>61080.6</v>
      </c>
      <c r="I9" s="45">
        <v>78274.59</v>
      </c>
      <c r="J9" s="46">
        <f>E9*I9</f>
        <v>4696475.4</v>
      </c>
      <c r="K9" s="47" t="s">
        <v>157</v>
      </c>
      <c r="L9" s="48" t="s">
        <v>171</v>
      </c>
      <c r="M9" s="49"/>
      <c r="N9" s="50"/>
      <c r="O9" s="51"/>
      <c r="P9" s="51"/>
      <c r="Q9" s="51"/>
      <c r="R9" s="52"/>
    </row>
    <row r="10" spans="1:18">
      <c r="A10" s="40">
        <f>A9+1</f>
        <v>6</v>
      </c>
      <c r="B10" s="41">
        <v>46116</v>
      </c>
      <c r="C10" s="42" t="s">
        <v>277</v>
      </c>
      <c r="D10" s="42" t="s">
        <v>283</v>
      </c>
      <c r="E10" s="43">
        <v>60.5</v>
      </c>
      <c r="F10" s="44">
        <v>1060.01</v>
      </c>
      <c r="G10" s="44">
        <f>F10-42</f>
        <v>1018.01</v>
      </c>
      <c r="H10" s="44">
        <f>E10*G10</f>
        <v>61589.605</v>
      </c>
      <c r="I10" s="45">
        <v>78274.59</v>
      </c>
      <c r="J10" s="46">
        <f>E10*I10</f>
        <v>4735612.695</v>
      </c>
      <c r="K10" s="47" t="s">
        <v>157</v>
      </c>
      <c r="L10" s="48" t="s">
        <v>171</v>
      </c>
      <c r="M10" s="49"/>
      <c r="N10" s="50"/>
      <c r="O10" s="51"/>
      <c r="P10" s="51"/>
      <c r="Q10" s="51"/>
      <c r="R10" s="52"/>
    </row>
    <row r="11" spans="1:18">
      <c r="A11" s="40">
        <f>A10+1</f>
        <v>7</v>
      </c>
      <c r="B11" s="41">
        <v>46116</v>
      </c>
      <c r="C11" s="42" t="s">
        <v>277</v>
      </c>
      <c r="D11" s="42" t="s">
        <v>284</v>
      </c>
      <c r="E11" s="43">
        <v>60.6</v>
      </c>
      <c r="F11" s="44">
        <v>1060.01</v>
      </c>
      <c r="G11" s="44">
        <f>F11-42</f>
        <v>1018.01</v>
      </c>
      <c r="H11" s="44">
        <f>E11*G11</f>
        <v>61691.406</v>
      </c>
      <c r="I11" s="45">
        <v>78274.59</v>
      </c>
      <c r="J11" s="46">
        <f>E11*I11</f>
        <v>4743440.154</v>
      </c>
      <c r="K11" s="47" t="s">
        <v>157</v>
      </c>
      <c r="L11" s="48" t="s">
        <v>171</v>
      </c>
      <c r="M11" s="49"/>
      <c r="N11" s="50"/>
      <c r="O11" s="51"/>
      <c r="P11" s="51"/>
      <c r="Q11" s="51"/>
      <c r="R11" s="52"/>
    </row>
    <row r="12" spans="1:18">
      <c r="A12" s="40">
        <f>A11+1</f>
        <v>8</v>
      </c>
      <c r="B12" s="41">
        <v>46116</v>
      </c>
      <c r="C12" s="42" t="s">
        <v>277</v>
      </c>
      <c r="D12" s="42" t="s">
        <v>285</v>
      </c>
      <c r="E12" s="43">
        <v>60.6</v>
      </c>
      <c r="F12" s="44">
        <v>1060.01</v>
      </c>
      <c r="G12" s="53">
        <f>F12-42</f>
        <v>1018.01</v>
      </c>
      <c r="H12" s="53">
        <f>E12*G12</f>
        <v>61691.406</v>
      </c>
      <c r="I12" s="45">
        <v>78274.59</v>
      </c>
      <c r="J12" s="54">
        <f>E12*I12</f>
        <v>4743440.154</v>
      </c>
      <c r="K12" s="55" t="s">
        <v>157</v>
      </c>
      <c r="L12" s="56" t="s">
        <v>171</v>
      </c>
      <c r="M12" s="49"/>
      <c r="N12" s="50"/>
      <c r="O12" s="51"/>
      <c r="P12" s="51"/>
      <c r="Q12" s="51"/>
      <c r="R12" s="52"/>
    </row>
    <row r="13" spans="1:18">
      <c r="A13" s="40">
        <f>A12+1</f>
        <v>9</v>
      </c>
      <c r="B13" s="41">
        <v>46116</v>
      </c>
      <c r="C13" s="42" t="s">
        <v>277</v>
      </c>
      <c r="D13" s="42" t="s">
        <v>286</v>
      </c>
      <c r="E13" s="43">
        <v>60.6</v>
      </c>
      <c r="F13" s="44">
        <v>1060.01</v>
      </c>
      <c r="G13" s="44">
        <f>F13-42</f>
        <v>1018.01</v>
      </c>
      <c r="H13" s="44">
        <f>E13*G13</f>
        <v>61691.406</v>
      </c>
      <c r="I13" s="45">
        <v>78274.59</v>
      </c>
      <c r="J13" s="46">
        <f>E13*I13</f>
        <v>4743440.154</v>
      </c>
      <c r="K13" s="47" t="s">
        <v>157</v>
      </c>
      <c r="L13" s="48" t="s">
        <v>171</v>
      </c>
      <c r="M13" s="49"/>
      <c r="N13" s="50"/>
      <c r="O13" s="51"/>
      <c r="P13" s="51"/>
      <c r="Q13" s="51"/>
      <c r="R13" s="52"/>
    </row>
    <row r="14" spans="1:18">
      <c r="A14" s="40">
        <f>A13+1</f>
        <v>10</v>
      </c>
      <c r="B14" s="41">
        <v>46116</v>
      </c>
      <c r="C14" s="42" t="s">
        <v>277</v>
      </c>
      <c r="D14" s="42" t="s">
        <v>287</v>
      </c>
      <c r="E14" s="43">
        <v>60.5</v>
      </c>
      <c r="F14" s="44">
        <v>1060.01</v>
      </c>
      <c r="G14" s="44">
        <f>F14-42</f>
        <v>1018.01</v>
      </c>
      <c r="H14" s="44">
        <f>E14*G14</f>
        <v>61589.605</v>
      </c>
      <c r="I14" s="45">
        <v>78274.59</v>
      </c>
      <c r="J14" s="46">
        <f>E14*I14</f>
        <v>4735612.695</v>
      </c>
      <c r="K14" s="47" t="s">
        <v>157</v>
      </c>
      <c r="L14" s="48" t="s">
        <v>171</v>
      </c>
      <c r="M14" s="49"/>
      <c r="N14" s="50"/>
      <c r="O14" s="51"/>
      <c r="P14" s="51"/>
      <c r="Q14" s="51"/>
      <c r="R14" s="52"/>
    </row>
    <row r="15" spans="1:18">
      <c r="A15" s="40">
        <f>A14+1</f>
        <v>11</v>
      </c>
      <c r="B15" s="41">
        <v>46116</v>
      </c>
      <c r="C15" s="42" t="s">
        <v>277</v>
      </c>
      <c r="D15" s="42" t="s">
        <v>288</v>
      </c>
      <c r="E15" s="43">
        <v>60.55</v>
      </c>
      <c r="F15" s="44">
        <v>1060.01</v>
      </c>
      <c r="G15" s="44">
        <f>F15-42</f>
        <v>1018.01</v>
      </c>
      <c r="H15" s="44">
        <f>E15*G15</f>
        <v>61640.5055</v>
      </c>
      <c r="I15" s="45">
        <v>78274.59</v>
      </c>
      <c r="J15" s="46">
        <f>E15*I15</f>
        <v>4739526.4245</v>
      </c>
      <c r="K15" s="47" t="s">
        <v>157</v>
      </c>
      <c r="L15" s="48" t="s">
        <v>171</v>
      </c>
      <c r="M15" s="49"/>
      <c r="N15" s="50"/>
      <c r="O15" s="51"/>
      <c r="P15" s="51"/>
      <c r="Q15" s="51"/>
      <c r="R15" s="52"/>
    </row>
    <row r="16" spans="1:18">
      <c r="A16" s="40">
        <f>A15+1</f>
        <v>12</v>
      </c>
      <c r="B16" s="41">
        <v>46116</v>
      </c>
      <c r="C16" s="42" t="s">
        <v>277</v>
      </c>
      <c r="D16" s="42" t="s">
        <v>289</v>
      </c>
      <c r="E16" s="43">
        <v>60.6</v>
      </c>
      <c r="F16" s="44">
        <v>1060.01</v>
      </c>
      <c r="G16" s="44">
        <f>F16-42</f>
        <v>1018.01</v>
      </c>
      <c r="H16" s="44">
        <f>E16*G16</f>
        <v>61691.406</v>
      </c>
      <c r="I16" s="45">
        <v>78274.59</v>
      </c>
      <c r="J16" s="46">
        <f>E16*I16</f>
        <v>4743440.154</v>
      </c>
      <c r="K16" s="47" t="s">
        <v>157</v>
      </c>
      <c r="L16" s="48" t="s">
        <v>171</v>
      </c>
      <c r="M16" s="49"/>
      <c r="N16" s="50"/>
      <c r="O16" s="51"/>
      <c r="P16" s="51"/>
      <c r="Q16" s="51"/>
      <c r="R16" s="52"/>
    </row>
    <row r="17" spans="1:18">
      <c r="A17" s="40">
        <f>A16+1</f>
        <v>13</v>
      </c>
      <c r="B17" s="41">
        <v>46116</v>
      </c>
      <c r="C17" s="42" t="s">
        <v>277</v>
      </c>
      <c r="D17" s="42" t="s">
        <v>290</v>
      </c>
      <c r="E17" s="43">
        <v>60.5</v>
      </c>
      <c r="F17" s="44">
        <v>1060.01</v>
      </c>
      <c r="G17" s="44">
        <f>F17-42</f>
        <v>1018.01</v>
      </c>
      <c r="H17" s="44">
        <f>E17*G17</f>
        <v>61589.605</v>
      </c>
      <c r="I17" s="45">
        <v>78274.59</v>
      </c>
      <c r="J17" s="46">
        <f>E17*I17</f>
        <v>4735612.695</v>
      </c>
      <c r="K17" s="47" t="s">
        <v>157</v>
      </c>
      <c r="L17" s="48" t="s">
        <v>171</v>
      </c>
      <c r="M17" s="49"/>
      <c r="N17" s="50"/>
      <c r="O17" s="51"/>
      <c r="P17" s="51"/>
      <c r="Q17" s="51"/>
      <c r="R17" s="52"/>
    </row>
    <row r="18" spans="1:18">
      <c r="A18" s="40">
        <f>A17+1</f>
        <v>14</v>
      </c>
      <c r="B18" s="41">
        <v>46116</v>
      </c>
      <c r="C18" s="42" t="s">
        <v>277</v>
      </c>
      <c r="D18" s="42" t="s">
        <v>291</v>
      </c>
      <c r="E18" s="43">
        <v>60.5</v>
      </c>
      <c r="F18" s="44">
        <v>1060.01</v>
      </c>
      <c r="G18" s="44">
        <f>F18-42</f>
        <v>1018.01</v>
      </c>
      <c r="H18" s="44">
        <f>E18*G18</f>
        <v>61589.605</v>
      </c>
      <c r="I18" s="45">
        <v>78274.59</v>
      </c>
      <c r="J18" s="46">
        <f>E18*I18</f>
        <v>4735612.695</v>
      </c>
      <c r="K18" s="47" t="s">
        <v>157</v>
      </c>
      <c r="L18" s="48" t="s">
        <v>171</v>
      </c>
      <c r="M18" s="49"/>
      <c r="N18" s="50"/>
      <c r="O18" s="51"/>
      <c r="P18" s="51"/>
      <c r="Q18" s="51"/>
      <c r="R18" s="52"/>
    </row>
    <row r="19" ht="15.75" spans="1:18">
      <c r="A19" s="57">
        <f>A18+1</f>
        <v>15</v>
      </c>
      <c r="B19" s="58">
        <v>46116</v>
      </c>
      <c r="C19" s="59" t="s">
        <v>277</v>
      </c>
      <c r="D19" s="59" t="s">
        <v>292</v>
      </c>
      <c r="E19" s="60">
        <v>60.75</v>
      </c>
      <c r="F19" s="44">
        <v>1060.01</v>
      </c>
      <c r="G19" s="61">
        <f>F19-42</f>
        <v>1018.01</v>
      </c>
      <c r="H19" s="61">
        <f>E19*G19</f>
        <v>61844.1075</v>
      </c>
      <c r="I19" s="62">
        <v>78274.59</v>
      </c>
      <c r="J19" s="63">
        <f>E19*I19</f>
        <v>4755181.3425</v>
      </c>
      <c r="K19" s="64" t="s">
        <v>157</v>
      </c>
      <c r="L19" s="65" t="s">
        <v>171</v>
      </c>
      <c r="M19" s="66"/>
      <c r="N19" s="67"/>
      <c r="O19" s="68"/>
      <c r="P19" s="68"/>
      <c r="Q19" s="68"/>
      <c r="R19" s="69"/>
    </row>
    <row r="20" ht="15.75" spans="1:18">
      <c r="A20" s="70"/>
      <c r="B20" s="71"/>
      <c r="C20" s="72"/>
      <c r="D20" s="71"/>
      <c r="E20" s="73">
        <f>SUM(E5:E19)</f>
        <v>880.5</v>
      </c>
      <c r="F20" s="74"/>
      <c r="G20" s="75"/>
      <c r="H20" s="76">
        <f>SUM(H5:H19)</f>
        <v>896357.95525</v>
      </c>
      <c r="I20" s="77"/>
      <c r="J20" s="78">
        <f>SUM(J5:J19)</f>
        <v>68920776.495</v>
      </c>
      <c r="K20" s="71"/>
      <c r="L20" s="79"/>
      <c r="M20" s="80"/>
      <c r="N20" s="81"/>
      <c r="O20" s="82"/>
      <c r="P20" s="82"/>
      <c r="Q20" s="82"/>
      <c r="R20" s="83"/>
    </row>
    <row r="21" spans="1:18">
      <c r="A21" s="26">
        <v>16</v>
      </c>
      <c r="B21" s="84">
        <v>46116</v>
      </c>
      <c r="C21" s="28" t="s">
        <v>293</v>
      </c>
      <c r="D21" s="29" t="s">
        <v>294</v>
      </c>
      <c r="E21" s="85">
        <v>60.15</v>
      </c>
      <c r="F21" s="44">
        <v>1060.01</v>
      </c>
      <c r="G21" s="31">
        <f>F21-42</f>
        <v>1018.01</v>
      </c>
      <c r="H21" s="31">
        <f>E21*G21</f>
        <v>61233.3015</v>
      </c>
      <c r="I21" s="45">
        <v>78274.59</v>
      </c>
      <c r="J21" s="33">
        <f>E21*I21</f>
        <v>4708216.5885</v>
      </c>
      <c r="K21" s="34" t="s">
        <v>157</v>
      </c>
      <c r="L21" s="35" t="s">
        <v>171</v>
      </c>
      <c r="M21" s="86"/>
      <c r="N21" s="37"/>
      <c r="O21" s="38"/>
      <c r="P21" s="38"/>
      <c r="Q21" s="38"/>
      <c r="R21" s="39"/>
    </row>
    <row r="22" spans="1:18">
      <c r="A22" s="40">
        <f>A21+1</f>
        <v>17</v>
      </c>
      <c r="B22" s="41">
        <v>46116</v>
      </c>
      <c r="C22" s="42" t="s">
        <v>293</v>
      </c>
      <c r="D22" s="42" t="s">
        <v>295</v>
      </c>
      <c r="E22" s="87">
        <v>60.05</v>
      </c>
      <c r="F22" s="44">
        <v>1060.01</v>
      </c>
      <c r="G22" s="44">
        <f>F22-42</f>
        <v>1018.01</v>
      </c>
      <c r="H22" s="44">
        <f>E22*G22</f>
        <v>61131.5005</v>
      </c>
      <c r="I22" s="45">
        <v>78274.59</v>
      </c>
      <c r="J22" s="46">
        <f>E22*I22</f>
        <v>4700389.1295</v>
      </c>
      <c r="K22" s="47" t="s">
        <v>157</v>
      </c>
      <c r="L22" s="48" t="s">
        <v>171</v>
      </c>
      <c r="M22" s="49"/>
      <c r="N22" s="50"/>
      <c r="O22" s="51"/>
      <c r="P22" s="51"/>
      <c r="Q22" s="51"/>
      <c r="R22" s="52"/>
    </row>
    <row r="23" spans="1:18">
      <c r="A23" s="40">
        <f>A22+1</f>
        <v>18</v>
      </c>
      <c r="B23" s="41">
        <v>46116</v>
      </c>
      <c r="C23" s="42" t="s">
        <v>293</v>
      </c>
      <c r="D23" s="42" t="s">
        <v>296</v>
      </c>
      <c r="E23" s="87">
        <v>60.05</v>
      </c>
      <c r="F23" s="44">
        <v>1060.01</v>
      </c>
      <c r="G23" s="44">
        <f>F23-42</f>
        <v>1018.01</v>
      </c>
      <c r="H23" s="44">
        <f>E23*G23</f>
        <v>61131.5005</v>
      </c>
      <c r="I23" s="45">
        <v>78274.59</v>
      </c>
      <c r="J23" s="46">
        <f>E23*I23</f>
        <v>4700389.1295</v>
      </c>
      <c r="K23" s="47" t="s">
        <v>157</v>
      </c>
      <c r="L23" s="48" t="s">
        <v>171</v>
      </c>
      <c r="M23" s="49"/>
      <c r="N23" s="50"/>
      <c r="O23" s="51"/>
      <c r="P23" s="51"/>
      <c r="Q23" s="51"/>
      <c r="R23" s="52"/>
    </row>
    <row r="24" spans="1:18">
      <c r="A24" s="40">
        <f>A23+1</f>
        <v>19</v>
      </c>
      <c r="B24" s="41">
        <v>46116</v>
      </c>
      <c r="C24" s="42" t="s">
        <v>293</v>
      </c>
      <c r="D24" s="42" t="s">
        <v>297</v>
      </c>
      <c r="E24" s="87">
        <v>60.05</v>
      </c>
      <c r="F24" s="44">
        <v>1060.01</v>
      </c>
      <c r="G24" s="44">
        <f>F24-42</f>
        <v>1018.01</v>
      </c>
      <c r="H24" s="44">
        <f>E24*G24</f>
        <v>61131.5005</v>
      </c>
      <c r="I24" s="45">
        <v>78274.59</v>
      </c>
      <c r="J24" s="46">
        <f>E24*I24</f>
        <v>4700389.1295</v>
      </c>
      <c r="K24" s="47" t="s">
        <v>157</v>
      </c>
      <c r="L24" s="48" t="s">
        <v>171</v>
      </c>
      <c r="M24" s="49"/>
      <c r="N24" s="50"/>
      <c r="O24" s="51"/>
      <c r="P24" s="51"/>
      <c r="Q24" s="51"/>
      <c r="R24" s="52"/>
    </row>
    <row r="25" spans="1:18">
      <c r="A25" s="40">
        <f>A24+1</f>
        <v>20</v>
      </c>
      <c r="B25" s="41">
        <v>46116</v>
      </c>
      <c r="C25" s="42" t="s">
        <v>293</v>
      </c>
      <c r="D25" s="42" t="s">
        <v>298</v>
      </c>
      <c r="E25" s="87">
        <v>60</v>
      </c>
      <c r="F25" s="44">
        <v>1060.01</v>
      </c>
      <c r="G25" s="44">
        <f>F25-42</f>
        <v>1018.01</v>
      </c>
      <c r="H25" s="44">
        <f>E25*G25</f>
        <v>61080.6</v>
      </c>
      <c r="I25" s="45">
        <v>78274.59</v>
      </c>
      <c r="J25" s="46">
        <f>E25*I25</f>
        <v>4696475.4</v>
      </c>
      <c r="K25" s="47" t="s">
        <v>157</v>
      </c>
      <c r="L25" s="48" t="s">
        <v>171</v>
      </c>
      <c r="M25" s="49"/>
      <c r="N25" s="50"/>
      <c r="O25" s="51"/>
      <c r="P25" s="51"/>
      <c r="Q25" s="51"/>
      <c r="R25" s="52"/>
    </row>
    <row r="26" spans="1:18">
      <c r="A26" s="40">
        <f>A25+1</f>
        <v>21</v>
      </c>
      <c r="B26" s="41">
        <v>46116</v>
      </c>
      <c r="C26" s="42" t="s">
        <v>293</v>
      </c>
      <c r="D26" s="42" t="s">
        <v>299</v>
      </c>
      <c r="E26" s="87">
        <v>60.2</v>
      </c>
      <c r="F26" s="44">
        <v>1060.01</v>
      </c>
      <c r="G26" s="44">
        <f>F26-42</f>
        <v>1018.01</v>
      </c>
      <c r="H26" s="44">
        <f>E26*G26</f>
        <v>61284.202</v>
      </c>
      <c r="I26" s="45">
        <v>78274.59</v>
      </c>
      <c r="J26" s="46">
        <f>E26*I26</f>
        <v>4712130.318</v>
      </c>
      <c r="K26" s="47" t="s">
        <v>157</v>
      </c>
      <c r="L26" s="48" t="s">
        <v>171</v>
      </c>
      <c r="M26" s="49"/>
      <c r="N26" s="50"/>
      <c r="O26" s="51"/>
      <c r="P26" s="51"/>
      <c r="Q26" s="51"/>
      <c r="R26" s="52"/>
    </row>
    <row r="27" spans="1:18">
      <c r="A27" s="40">
        <f>A26+1</f>
        <v>22</v>
      </c>
      <c r="B27" s="41">
        <v>46116</v>
      </c>
      <c r="C27" s="42" t="s">
        <v>293</v>
      </c>
      <c r="D27" s="42" t="s">
        <v>300</v>
      </c>
      <c r="E27" s="87">
        <v>60</v>
      </c>
      <c r="F27" s="44">
        <v>1060.01</v>
      </c>
      <c r="G27" s="88">
        <f>F27-42</f>
        <v>1018.01</v>
      </c>
      <c r="H27" s="88">
        <f>E27*G27</f>
        <v>61080.6</v>
      </c>
      <c r="I27" s="45">
        <v>78274.59</v>
      </c>
      <c r="J27" s="89">
        <f>E27*I27</f>
        <v>4696475.4</v>
      </c>
      <c r="K27" s="90" t="s">
        <v>157</v>
      </c>
      <c r="L27" s="91" t="s">
        <v>171</v>
      </c>
      <c r="M27" s="49"/>
      <c r="N27" s="50"/>
      <c r="O27" s="51"/>
      <c r="P27" s="51"/>
      <c r="Q27" s="51"/>
      <c r="R27" s="52"/>
    </row>
    <row r="28" spans="1:18">
      <c r="A28" s="40">
        <f>A27+1</f>
        <v>23</v>
      </c>
      <c r="B28" s="41">
        <v>46116</v>
      </c>
      <c r="C28" s="42" t="s">
        <v>293</v>
      </c>
      <c r="D28" s="42" t="s">
        <v>301</v>
      </c>
      <c r="E28" s="87">
        <v>60.1</v>
      </c>
      <c r="F28" s="44">
        <v>1060.01</v>
      </c>
      <c r="G28" s="44">
        <f>F28-42</f>
        <v>1018.01</v>
      </c>
      <c r="H28" s="44">
        <f>E28*G28</f>
        <v>61182.401</v>
      </c>
      <c r="I28" s="45">
        <v>78274.59</v>
      </c>
      <c r="J28" s="46">
        <f>E28*I28</f>
        <v>4704302.859</v>
      </c>
      <c r="K28" s="47" t="s">
        <v>157</v>
      </c>
      <c r="L28" s="48" t="s">
        <v>171</v>
      </c>
      <c r="M28" s="49"/>
      <c r="N28" s="50"/>
      <c r="O28" s="51"/>
      <c r="P28" s="51"/>
      <c r="Q28" s="51"/>
      <c r="R28" s="52"/>
    </row>
    <row r="29" spans="1:18">
      <c r="A29" s="40">
        <f>A28+1</f>
        <v>24</v>
      </c>
      <c r="B29" s="41">
        <v>46116</v>
      </c>
      <c r="C29" s="42" t="s">
        <v>293</v>
      </c>
      <c r="D29" s="42" t="s">
        <v>302</v>
      </c>
      <c r="E29" s="87">
        <v>60.05</v>
      </c>
      <c r="F29" s="44">
        <v>1060.01</v>
      </c>
      <c r="G29" s="44">
        <f>F29-42</f>
        <v>1018.01</v>
      </c>
      <c r="H29" s="44">
        <f>E29*G29</f>
        <v>61131.5005</v>
      </c>
      <c r="I29" s="45">
        <v>78274.59</v>
      </c>
      <c r="J29" s="46">
        <f>E29*I29</f>
        <v>4700389.1295</v>
      </c>
      <c r="K29" s="47" t="s">
        <v>157</v>
      </c>
      <c r="L29" s="48" t="s">
        <v>171</v>
      </c>
      <c r="M29" s="49"/>
      <c r="N29" s="50"/>
      <c r="O29" s="51"/>
      <c r="P29" s="51"/>
      <c r="Q29" s="51"/>
      <c r="R29" s="52"/>
    </row>
    <row r="30" ht="15.75" spans="1:18">
      <c r="A30" s="92">
        <f>A29+1</f>
        <v>25</v>
      </c>
      <c r="B30" s="93">
        <v>46116</v>
      </c>
      <c r="C30" s="94" t="s">
        <v>293</v>
      </c>
      <c r="D30" s="95" t="s">
        <v>303</v>
      </c>
      <c r="E30" s="96">
        <v>60.8</v>
      </c>
      <c r="F30" s="44">
        <v>1060.01</v>
      </c>
      <c r="G30" s="97">
        <f>F30-42</f>
        <v>1018.01</v>
      </c>
      <c r="H30" s="97">
        <f>E30*G30</f>
        <v>61895.008</v>
      </c>
      <c r="I30" s="45">
        <v>78274.59</v>
      </c>
      <c r="J30" s="98">
        <f>E30*I30</f>
        <v>4759095.072</v>
      </c>
      <c r="K30" s="99" t="s">
        <v>157</v>
      </c>
      <c r="L30" s="100" t="s">
        <v>171</v>
      </c>
      <c r="M30" s="101"/>
      <c r="N30" s="67"/>
      <c r="O30" s="68"/>
      <c r="P30" s="68"/>
      <c r="Q30" s="68"/>
      <c r="R30" s="69"/>
    </row>
    <row r="31" ht="15.75" spans="1:18">
      <c r="A31" s="70"/>
      <c r="B31" s="71"/>
      <c r="C31" s="72"/>
      <c r="D31" s="71"/>
      <c r="E31" s="102">
        <f>SUM(E21:E30)</f>
        <v>601.45</v>
      </c>
      <c r="F31" s="74"/>
      <c r="G31" s="75"/>
      <c r="H31" s="75">
        <f>SUM(H21:H30)</f>
        <v>612282.1145</v>
      </c>
      <c r="I31" s="77"/>
      <c r="J31" s="78">
        <f>SUM(J21:J30)</f>
        <v>47078252.1555</v>
      </c>
      <c r="K31" s="71"/>
      <c r="L31" s="103"/>
      <c r="M31" s="80"/>
      <c r="N31" s="104"/>
      <c r="O31" s="105"/>
      <c r="P31" s="105"/>
      <c r="Q31" s="105"/>
      <c r="R31" s="106"/>
    </row>
    <row r="32" spans="1:18">
      <c r="A32" s="26">
        <v>26</v>
      </c>
      <c r="B32" s="84">
        <v>46116</v>
      </c>
      <c r="C32" s="28" t="s">
        <v>304</v>
      </c>
      <c r="D32" s="29" t="s">
        <v>305</v>
      </c>
      <c r="E32" s="85">
        <v>60.2</v>
      </c>
      <c r="F32" s="44">
        <v>1060.01</v>
      </c>
      <c r="G32" s="31">
        <f>F32-42</f>
        <v>1018.01</v>
      </c>
      <c r="H32" s="31">
        <f>E32*G32</f>
        <v>61284.202</v>
      </c>
      <c r="I32" s="45">
        <v>78274.59</v>
      </c>
      <c r="J32" s="33">
        <f>E32*I32</f>
        <v>4712130.318</v>
      </c>
      <c r="K32" s="34" t="s">
        <v>157</v>
      </c>
      <c r="L32" s="107" t="s">
        <v>171</v>
      </c>
      <c r="M32" s="108"/>
      <c r="N32" s="109"/>
      <c r="O32" s="38"/>
      <c r="P32" s="38"/>
      <c r="Q32" s="38"/>
      <c r="R32" s="39"/>
    </row>
    <row r="33" spans="1:18">
      <c r="A33" s="40">
        <f>A32+1</f>
        <v>27</v>
      </c>
      <c r="B33" s="41">
        <v>46116</v>
      </c>
      <c r="C33" s="42" t="s">
        <v>304</v>
      </c>
      <c r="D33" s="42" t="s">
        <v>306</v>
      </c>
      <c r="E33" s="87">
        <v>59.95</v>
      </c>
      <c r="F33" s="44">
        <v>1060.01</v>
      </c>
      <c r="G33" s="44">
        <f>F33-42</f>
        <v>1018.01</v>
      </c>
      <c r="H33" s="44">
        <f>E33*G33</f>
        <v>61029.6995</v>
      </c>
      <c r="I33" s="45">
        <v>78274.59</v>
      </c>
      <c r="J33" s="46">
        <f>E33*I33</f>
        <v>4692561.6705</v>
      </c>
      <c r="K33" s="47" t="s">
        <v>157</v>
      </c>
      <c r="L33" s="110" t="s">
        <v>171</v>
      </c>
      <c r="M33" s="111"/>
      <c r="N33" s="112"/>
      <c r="O33" s="51"/>
      <c r="P33" s="51"/>
      <c r="Q33" s="51"/>
      <c r="R33" s="52"/>
    </row>
    <row r="34" spans="1:18">
      <c r="A34" s="40">
        <f>A33+1</f>
        <v>28</v>
      </c>
      <c r="B34" s="41">
        <v>46116</v>
      </c>
      <c r="C34" s="42" t="s">
        <v>304</v>
      </c>
      <c r="D34" s="42" t="s">
        <v>307</v>
      </c>
      <c r="E34" s="87">
        <v>60.8</v>
      </c>
      <c r="F34" s="44">
        <v>1060.01</v>
      </c>
      <c r="G34" s="44">
        <f>F34-42</f>
        <v>1018.01</v>
      </c>
      <c r="H34" s="44">
        <f>E34*G34</f>
        <v>61895.008</v>
      </c>
      <c r="I34" s="45">
        <v>78274.59</v>
      </c>
      <c r="J34" s="46">
        <f>E34*I34</f>
        <v>4759095.072</v>
      </c>
      <c r="K34" s="47" t="s">
        <v>157</v>
      </c>
      <c r="L34" s="110" t="s">
        <v>171</v>
      </c>
      <c r="M34" s="111"/>
      <c r="N34" s="112"/>
      <c r="O34" s="51"/>
      <c r="P34" s="51"/>
      <c r="Q34" s="51"/>
      <c r="R34" s="52"/>
    </row>
    <row r="35" spans="1:18">
      <c r="A35" s="40">
        <f>A34+1</f>
        <v>29</v>
      </c>
      <c r="B35" s="41">
        <v>46116</v>
      </c>
      <c r="C35" s="42" t="s">
        <v>304</v>
      </c>
      <c r="D35" s="42" t="s">
        <v>308</v>
      </c>
      <c r="E35" s="87">
        <v>60.55</v>
      </c>
      <c r="F35" s="44">
        <v>1060.01</v>
      </c>
      <c r="G35" s="44">
        <f>F35-42</f>
        <v>1018.01</v>
      </c>
      <c r="H35" s="44">
        <f>E35*G35</f>
        <v>61640.5055</v>
      </c>
      <c r="I35" s="45">
        <v>78274.59</v>
      </c>
      <c r="J35" s="46">
        <f>E35*I35</f>
        <v>4739526.4245</v>
      </c>
      <c r="K35" s="47" t="s">
        <v>157</v>
      </c>
      <c r="L35" s="110" t="s">
        <v>171</v>
      </c>
      <c r="M35" s="111"/>
      <c r="N35" s="112"/>
      <c r="O35" s="51"/>
      <c r="P35" s="51"/>
      <c r="Q35" s="51"/>
      <c r="R35" s="52"/>
    </row>
    <row r="36" spans="1:18">
      <c r="A36" s="40">
        <f>A35+1</f>
        <v>30</v>
      </c>
      <c r="B36" s="41">
        <v>46116</v>
      </c>
      <c r="C36" s="42" t="s">
        <v>304</v>
      </c>
      <c r="D36" s="42" t="s">
        <v>309</v>
      </c>
      <c r="E36" s="87">
        <v>60.65</v>
      </c>
      <c r="F36" s="44">
        <v>1060.01</v>
      </c>
      <c r="G36" s="44">
        <f>F36-42</f>
        <v>1018.01</v>
      </c>
      <c r="H36" s="44">
        <f>E36*G36</f>
        <v>61742.3065</v>
      </c>
      <c r="I36" s="45">
        <v>78274.59</v>
      </c>
      <c r="J36" s="46">
        <f>E36*I36</f>
        <v>4747353.8835</v>
      </c>
      <c r="K36" s="47" t="s">
        <v>157</v>
      </c>
      <c r="L36" s="110" t="s">
        <v>171</v>
      </c>
      <c r="M36" s="111"/>
      <c r="N36" s="112"/>
      <c r="O36" s="51"/>
      <c r="P36" s="51"/>
      <c r="Q36" s="51"/>
      <c r="R36" s="52"/>
    </row>
    <row r="37" spans="1:18">
      <c r="A37" s="40">
        <f>A36+1</f>
        <v>31</v>
      </c>
      <c r="B37" s="41">
        <v>46116</v>
      </c>
      <c r="C37" s="42" t="s">
        <v>304</v>
      </c>
      <c r="D37" s="42" t="s">
        <v>310</v>
      </c>
      <c r="E37" s="87">
        <v>60.7</v>
      </c>
      <c r="F37" s="44">
        <v>1060.01</v>
      </c>
      <c r="G37" s="44">
        <f>F37-42</f>
        <v>1018.01</v>
      </c>
      <c r="H37" s="44">
        <f>E37*G37</f>
        <v>61793.207</v>
      </c>
      <c r="I37" s="45">
        <v>78274.59</v>
      </c>
      <c r="J37" s="46">
        <f>E37*I37</f>
        <v>4751267.613</v>
      </c>
      <c r="K37" s="47" t="s">
        <v>157</v>
      </c>
      <c r="L37" s="110" t="s">
        <v>171</v>
      </c>
      <c r="M37" s="111"/>
      <c r="N37" s="112"/>
      <c r="O37" s="51"/>
      <c r="P37" s="51"/>
      <c r="Q37" s="51"/>
      <c r="R37" s="52"/>
    </row>
    <row r="38" ht="15.75" spans="1:18">
      <c r="A38" s="92">
        <f>A37+1</f>
        <v>32</v>
      </c>
      <c r="B38" s="93">
        <v>46116</v>
      </c>
      <c r="C38" s="94" t="s">
        <v>304</v>
      </c>
      <c r="D38" s="95" t="s">
        <v>311</v>
      </c>
      <c r="E38" s="96">
        <v>61.15</v>
      </c>
      <c r="F38" s="44">
        <v>1060.01</v>
      </c>
      <c r="G38" s="113">
        <f>F38-42</f>
        <v>1018.01</v>
      </c>
      <c r="H38" s="113">
        <f>E38*G38</f>
        <v>62251.3115</v>
      </c>
      <c r="I38" s="45">
        <v>78274.59</v>
      </c>
      <c r="J38" s="114">
        <f>E38*I38</f>
        <v>4786491.1785</v>
      </c>
      <c r="K38" s="115" t="s">
        <v>157</v>
      </c>
      <c r="L38" s="116" t="s">
        <v>171</v>
      </c>
      <c r="M38" s="117"/>
      <c r="N38" s="118"/>
      <c r="O38" s="68"/>
      <c r="P38" s="68"/>
      <c r="Q38" s="68"/>
      <c r="R38" s="69"/>
    </row>
    <row r="39" ht="15.75" spans="1:18">
      <c r="A39" s="70"/>
      <c r="B39" s="71"/>
      <c r="C39" s="119"/>
      <c r="D39" s="71"/>
      <c r="E39" s="120">
        <f>SUM(E32:E38)</f>
        <v>424</v>
      </c>
      <c r="F39" s="74"/>
      <c r="G39" s="75"/>
      <c r="H39" s="75">
        <f>SUM(H32:H38)</f>
        <v>431636.24</v>
      </c>
      <c r="I39" s="77"/>
      <c r="J39" s="78">
        <f>SUM(J32:J38)</f>
        <v>33188426.16</v>
      </c>
      <c r="K39" s="71"/>
      <c r="L39" s="103"/>
      <c r="M39" s="80"/>
      <c r="N39" s="104"/>
      <c r="O39" s="105"/>
      <c r="P39" s="105"/>
      <c r="Q39" s="105"/>
      <c r="R39" s="106"/>
    </row>
    <row r="40" spans="1:18">
      <c r="A40" s="121">
        <v>33</v>
      </c>
      <c r="B40" s="84">
        <v>46116</v>
      </c>
      <c r="C40" s="29" t="s">
        <v>312</v>
      </c>
      <c r="D40" s="29" t="s">
        <v>313</v>
      </c>
      <c r="E40" s="85">
        <v>59.8</v>
      </c>
      <c r="F40" s="44">
        <v>1060.01</v>
      </c>
      <c r="G40" s="31">
        <f>F40-42</f>
        <v>1018.01</v>
      </c>
      <c r="H40" s="31">
        <f>E40*G40</f>
        <v>60876.998</v>
      </c>
      <c r="I40" s="45">
        <v>78274.59</v>
      </c>
      <c r="J40" s="33">
        <f>E40*I40</f>
        <v>4680820.482</v>
      </c>
      <c r="K40" s="34" t="s">
        <v>157</v>
      </c>
      <c r="L40" s="35" t="s">
        <v>171</v>
      </c>
      <c r="M40" s="122"/>
      <c r="N40" s="123"/>
      <c r="O40" s="124">
        <v>46128</v>
      </c>
      <c r="P40" s="125">
        <v>59.826</v>
      </c>
      <c r="Q40" s="126">
        <f>P40-E40</f>
        <v>0.0260000000000034</v>
      </c>
      <c r="R40" s="127"/>
    </row>
    <row r="41" spans="1:18">
      <c r="A41" s="40">
        <f>A40+1</f>
        <v>34</v>
      </c>
      <c r="B41" s="41">
        <v>46116</v>
      </c>
      <c r="C41" s="42" t="s">
        <v>312</v>
      </c>
      <c r="D41" s="42" t="s">
        <v>314</v>
      </c>
      <c r="E41" s="87">
        <v>60.05</v>
      </c>
      <c r="F41" s="44">
        <v>1060.01</v>
      </c>
      <c r="G41" s="44">
        <f>F41-42</f>
        <v>1018.01</v>
      </c>
      <c r="H41" s="44">
        <f>E41*G41</f>
        <v>61131.5005</v>
      </c>
      <c r="I41" s="45">
        <v>78274.59</v>
      </c>
      <c r="J41" s="46">
        <f>E41*I41</f>
        <v>4700389.1295</v>
      </c>
      <c r="K41" s="47" t="s">
        <v>157</v>
      </c>
      <c r="L41" s="48" t="s">
        <v>171</v>
      </c>
      <c r="M41" s="49"/>
      <c r="N41" s="50"/>
      <c r="O41" s="128">
        <v>46128</v>
      </c>
      <c r="P41" s="129">
        <v>60.209</v>
      </c>
      <c r="Q41" s="130">
        <f>P41-E41</f>
        <v>0.159000000000006</v>
      </c>
      <c r="R41" s="52"/>
    </row>
    <row r="42" spans="1:18">
      <c r="A42" s="40">
        <f>A41+1</f>
        <v>35</v>
      </c>
      <c r="B42" s="41">
        <v>46116</v>
      </c>
      <c r="C42" s="42" t="s">
        <v>312</v>
      </c>
      <c r="D42" s="42" t="s">
        <v>315</v>
      </c>
      <c r="E42" s="87">
        <v>51.5</v>
      </c>
      <c r="F42" s="44">
        <v>1060.01</v>
      </c>
      <c r="G42" s="44">
        <f>F42-42</f>
        <v>1018.01</v>
      </c>
      <c r="H42" s="44">
        <f>E42*G42</f>
        <v>52427.515</v>
      </c>
      <c r="I42" s="45">
        <v>78274.59</v>
      </c>
      <c r="J42" s="46">
        <f>E42*I42</f>
        <v>4031141.385</v>
      </c>
      <c r="K42" s="47" t="s">
        <v>157</v>
      </c>
      <c r="L42" s="48" t="s">
        <v>171</v>
      </c>
      <c r="M42" s="49"/>
      <c r="N42" s="50"/>
      <c r="O42" s="128">
        <v>46128</v>
      </c>
      <c r="P42" s="129">
        <v>50.904</v>
      </c>
      <c r="Q42" s="130">
        <f>P42-E42</f>
        <v>-0.595999999999997</v>
      </c>
      <c r="R42" s="52"/>
    </row>
    <row r="43" spans="1:18">
      <c r="A43" s="40">
        <f>A42+1</f>
        <v>36</v>
      </c>
      <c r="B43" s="41">
        <v>46116</v>
      </c>
      <c r="C43" s="42" t="s">
        <v>312</v>
      </c>
      <c r="D43" s="42" t="s">
        <v>316</v>
      </c>
      <c r="E43" s="87">
        <v>60.05</v>
      </c>
      <c r="F43" s="44">
        <v>1060.01</v>
      </c>
      <c r="G43" s="44">
        <f>F43-42</f>
        <v>1018.01</v>
      </c>
      <c r="H43" s="44">
        <f>E43*G43</f>
        <v>61131.5005</v>
      </c>
      <c r="I43" s="45">
        <v>78274.59</v>
      </c>
      <c r="J43" s="46">
        <f>E43*I43</f>
        <v>4700389.1295</v>
      </c>
      <c r="K43" s="47" t="s">
        <v>157</v>
      </c>
      <c r="L43" s="48" t="s">
        <v>171</v>
      </c>
      <c r="M43" s="49"/>
      <c r="N43" s="50"/>
      <c r="O43" s="128">
        <v>46128</v>
      </c>
      <c r="P43" s="129">
        <v>59.787</v>
      </c>
      <c r="Q43" s="130">
        <f>P43-E43</f>
        <v>-0.262999999999998</v>
      </c>
      <c r="R43" s="52"/>
    </row>
    <row r="44" spans="1:18">
      <c r="A44" s="40">
        <f>A43+1</f>
        <v>37</v>
      </c>
      <c r="B44" s="41">
        <v>46116</v>
      </c>
      <c r="C44" s="42" t="s">
        <v>312</v>
      </c>
      <c r="D44" s="42" t="s">
        <v>317</v>
      </c>
      <c r="E44" s="87">
        <v>60.1</v>
      </c>
      <c r="F44" s="44">
        <v>1060.01</v>
      </c>
      <c r="G44" s="44">
        <f>F44-42</f>
        <v>1018.01</v>
      </c>
      <c r="H44" s="44">
        <f>E44*G44</f>
        <v>61182.401</v>
      </c>
      <c r="I44" s="45">
        <v>78274.59</v>
      </c>
      <c r="J44" s="46">
        <f>E44*I44</f>
        <v>4704302.859</v>
      </c>
      <c r="K44" s="47" t="s">
        <v>157</v>
      </c>
      <c r="L44" s="48" t="s">
        <v>171</v>
      </c>
      <c r="M44" s="49"/>
      <c r="N44" s="50"/>
      <c r="O44" s="128">
        <v>46128</v>
      </c>
      <c r="P44" s="129">
        <v>60.037</v>
      </c>
      <c r="Q44" s="130">
        <f>P44-E44</f>
        <v>-0.0630000000000024</v>
      </c>
      <c r="R44" s="52"/>
    </row>
    <row r="45" spans="1:18">
      <c r="A45" s="40">
        <f>A44+1</f>
        <v>38</v>
      </c>
      <c r="B45" s="41">
        <v>46116</v>
      </c>
      <c r="C45" s="42" t="s">
        <v>312</v>
      </c>
      <c r="D45" s="42" t="s">
        <v>318</v>
      </c>
      <c r="E45" s="87">
        <v>60</v>
      </c>
      <c r="F45" s="44">
        <v>1060.01</v>
      </c>
      <c r="G45" s="44">
        <f>F45-42</f>
        <v>1018.01</v>
      </c>
      <c r="H45" s="44">
        <f>E45*G45</f>
        <v>61080.6</v>
      </c>
      <c r="I45" s="45">
        <v>78274.59</v>
      </c>
      <c r="J45" s="46">
        <f>E45*I45</f>
        <v>4696475.4</v>
      </c>
      <c r="K45" s="47" t="s">
        <v>157</v>
      </c>
      <c r="L45" s="48" t="s">
        <v>171</v>
      </c>
      <c r="M45" s="49"/>
      <c r="N45" s="50"/>
      <c r="O45" s="129"/>
      <c r="P45" s="129"/>
      <c r="Q45" s="129"/>
      <c r="R45" s="52"/>
    </row>
    <row r="46" spans="1:18">
      <c r="A46" s="40">
        <f>A45+1</f>
        <v>39</v>
      </c>
      <c r="B46" s="41">
        <v>46116</v>
      </c>
      <c r="C46" s="42" t="s">
        <v>312</v>
      </c>
      <c r="D46" s="42" t="s">
        <v>319</v>
      </c>
      <c r="E46" s="87">
        <v>60.1</v>
      </c>
      <c r="F46" s="44">
        <v>1060.01</v>
      </c>
      <c r="G46" s="44">
        <f>F46-42</f>
        <v>1018.01</v>
      </c>
      <c r="H46" s="44">
        <f>E46*G46</f>
        <v>61182.401</v>
      </c>
      <c r="I46" s="45">
        <v>78274.59</v>
      </c>
      <c r="J46" s="46">
        <f>E46*I46</f>
        <v>4704302.859</v>
      </c>
      <c r="K46" s="47" t="s">
        <v>157</v>
      </c>
      <c r="L46" s="48" t="s">
        <v>171</v>
      </c>
      <c r="M46" s="49"/>
      <c r="N46" s="50"/>
      <c r="O46" s="128">
        <v>46128</v>
      </c>
      <c r="P46" s="129">
        <v>59.716</v>
      </c>
      <c r="Q46" s="130">
        <f>P46-E46</f>
        <v>-0.384</v>
      </c>
      <c r="R46" s="52"/>
    </row>
    <row r="47" spans="1:18">
      <c r="A47" s="40">
        <f>A46+1</f>
        <v>40</v>
      </c>
      <c r="B47" s="41">
        <v>46116</v>
      </c>
      <c r="C47" s="42" t="s">
        <v>312</v>
      </c>
      <c r="D47" s="42" t="s">
        <v>320</v>
      </c>
      <c r="E47" s="87">
        <v>60.3</v>
      </c>
      <c r="F47" s="44">
        <v>1060.01</v>
      </c>
      <c r="G47" s="44">
        <f>F47-42</f>
        <v>1018.01</v>
      </c>
      <c r="H47" s="44">
        <f>E47*G47</f>
        <v>61386.003</v>
      </c>
      <c r="I47" s="45">
        <v>78274.59</v>
      </c>
      <c r="J47" s="46">
        <f>E47*I47</f>
        <v>4719957.777</v>
      </c>
      <c r="K47" s="47" t="s">
        <v>157</v>
      </c>
      <c r="L47" s="48" t="s">
        <v>171</v>
      </c>
      <c r="M47" s="49"/>
      <c r="N47" s="50"/>
      <c r="O47" s="128">
        <v>46128</v>
      </c>
      <c r="P47" s="129">
        <v>60.073</v>
      </c>
      <c r="Q47" s="130">
        <f>P47-E47</f>
        <v>-0.226999999999997</v>
      </c>
      <c r="R47" s="52"/>
    </row>
    <row r="48" spans="1:18">
      <c r="A48" s="40">
        <f>A47+1</f>
        <v>41</v>
      </c>
      <c r="B48" s="41">
        <v>46116</v>
      </c>
      <c r="C48" s="42" t="s">
        <v>312</v>
      </c>
      <c r="D48" s="42" t="s">
        <v>321</v>
      </c>
      <c r="E48" s="87">
        <v>51.6</v>
      </c>
      <c r="F48" s="44">
        <v>1060.01</v>
      </c>
      <c r="G48" s="44">
        <f>F48-42</f>
        <v>1018.01</v>
      </c>
      <c r="H48" s="44">
        <f>E48*G48</f>
        <v>52529.316</v>
      </c>
      <c r="I48" s="45">
        <v>78274.59</v>
      </c>
      <c r="J48" s="46">
        <f>E48*I48</f>
        <v>4038968.844</v>
      </c>
      <c r="K48" s="47" t="s">
        <v>157</v>
      </c>
      <c r="L48" s="48" t="s">
        <v>171</v>
      </c>
      <c r="M48" s="49"/>
      <c r="N48" s="50"/>
      <c r="O48" s="128">
        <v>46128</v>
      </c>
      <c r="P48" s="129">
        <v>50.364</v>
      </c>
      <c r="Q48" s="130">
        <f>P48-E48</f>
        <v>-1.236</v>
      </c>
      <c r="R48" s="52"/>
    </row>
    <row r="49" ht="15.75" spans="1:20">
      <c r="A49" s="92">
        <f>A48+1</f>
        <v>42</v>
      </c>
      <c r="B49" s="93">
        <v>46116</v>
      </c>
      <c r="C49" s="95" t="s">
        <v>312</v>
      </c>
      <c r="D49" s="95" t="s">
        <v>322</v>
      </c>
      <c r="E49" s="96">
        <v>60.65</v>
      </c>
      <c r="F49" s="44">
        <v>1060.01</v>
      </c>
      <c r="G49" s="113">
        <f>F49-42</f>
        <v>1018.01</v>
      </c>
      <c r="H49" s="113">
        <f>E49*G49</f>
        <v>61742.3065</v>
      </c>
      <c r="I49" s="45">
        <v>78274.59</v>
      </c>
      <c r="J49" s="114">
        <f>E49*I49</f>
        <v>4747353.8835</v>
      </c>
      <c r="K49" s="115" t="s">
        <v>157</v>
      </c>
      <c r="L49" s="131" t="s">
        <v>171</v>
      </c>
      <c r="M49" s="132"/>
      <c r="N49" s="133"/>
      <c r="O49" s="134">
        <v>46128</v>
      </c>
      <c r="P49" s="135">
        <v>60.484</v>
      </c>
      <c r="Q49" s="136">
        <f>P49-E49</f>
        <v>-0.165999999999997</v>
      </c>
      <c r="R49" s="137"/>
    </row>
    <row r="50" ht="15.75" spans="1:20">
      <c r="A50" s="70"/>
      <c r="B50" s="71"/>
      <c r="C50" s="72"/>
      <c r="D50" s="71"/>
      <c r="E50" s="138">
        <f>SUM(E40:E49)</f>
        <v>584.15</v>
      </c>
      <c r="F50" s="139"/>
      <c r="G50" s="140"/>
      <c r="H50" s="140">
        <f>SUM(H40:H49)</f>
        <v>594670.5415</v>
      </c>
      <c r="I50" s="141"/>
      <c r="J50" s="142">
        <f>SUM(J40:J49)</f>
        <v>45724101.7485</v>
      </c>
      <c r="K50" s="71"/>
      <c r="L50" s="79"/>
      <c r="M50" s="143"/>
      <c r="N50" s="144"/>
      <c r="O50" s="104"/>
      <c r="P50" s="105"/>
      <c r="Q50" s="105"/>
      <c r="R50" s="106"/>
    </row>
    <row r="51" ht="15.75" customHeight="1" spans="1:20">
      <c r="A51" s="145">
        <v>43</v>
      </c>
      <c r="B51" s="27">
        <v>46117</v>
      </c>
      <c r="C51" s="29" t="s">
        <v>323</v>
      </c>
      <c r="D51" s="29" t="s">
        <v>324</v>
      </c>
      <c r="E51" s="146">
        <v>60.9</v>
      </c>
      <c r="F51" s="44">
        <v>1060.01</v>
      </c>
      <c r="G51" s="147">
        <f>F51-42</f>
        <v>1018.01</v>
      </c>
      <c r="H51" s="147">
        <f>E51*G51</f>
        <v>61996.809</v>
      </c>
      <c r="I51" s="45">
        <v>78274.59</v>
      </c>
      <c r="J51" s="148">
        <f>E51*I51</f>
        <v>4766922.531</v>
      </c>
      <c r="K51" s="149" t="s">
        <v>157</v>
      </c>
      <c r="L51" s="150" t="s">
        <v>171</v>
      </c>
      <c r="N51" s="151"/>
      <c r="O51" s="152">
        <v>46126</v>
      </c>
      <c r="P51" s="153">
        <v>60.739</v>
      </c>
      <c r="Q51" s="154">
        <f>P51-E51</f>
        <v>-0.161000000000001</v>
      </c>
      <c r="R51" s="155"/>
      <c r="T51" s="156"/>
    </row>
    <row r="52" spans="1:20">
      <c r="A52" s="157">
        <f>A51+1</f>
        <v>44</v>
      </c>
      <c r="B52" s="41">
        <v>46117</v>
      </c>
      <c r="C52" s="42" t="s">
        <v>323</v>
      </c>
      <c r="D52" s="42" t="s">
        <v>325</v>
      </c>
      <c r="E52" s="87">
        <v>60.9</v>
      </c>
      <c r="F52" s="44">
        <v>1060.01</v>
      </c>
      <c r="G52" s="44">
        <f>F52-42</f>
        <v>1018.01</v>
      </c>
      <c r="H52" s="44">
        <f>E52*G52</f>
        <v>61996.809</v>
      </c>
      <c r="I52" s="45">
        <v>78274.59</v>
      </c>
      <c r="J52" s="46">
        <f>E52*I52</f>
        <v>4766922.531</v>
      </c>
      <c r="K52" s="47" t="s">
        <v>157</v>
      </c>
      <c r="L52" s="48" t="s">
        <v>171</v>
      </c>
      <c r="M52" s="158"/>
      <c r="N52" s="157"/>
      <c r="O52" s="159">
        <v>46126</v>
      </c>
      <c r="P52" s="160">
        <v>60.498</v>
      </c>
      <c r="Q52" s="161">
        <f>P52-E52</f>
        <v>-0.402000000000001</v>
      </c>
      <c r="R52" s="162"/>
      <c r="T52" s="156"/>
    </row>
    <row r="53" spans="1:20">
      <c r="A53" s="157">
        <f>A52+1</f>
        <v>45</v>
      </c>
      <c r="B53" s="41">
        <v>46117</v>
      </c>
      <c r="C53" s="42" t="s">
        <v>323</v>
      </c>
      <c r="D53" s="42" t="s">
        <v>326</v>
      </c>
      <c r="E53" s="87">
        <v>60.85</v>
      </c>
      <c r="F53" s="44">
        <v>1060.01</v>
      </c>
      <c r="G53" s="44">
        <f>F53-42</f>
        <v>1018.01</v>
      </c>
      <c r="H53" s="44">
        <f>E53*G53</f>
        <v>61945.9085</v>
      </c>
      <c r="I53" s="45">
        <v>78274.59</v>
      </c>
      <c r="J53" s="46">
        <f>E53*I53</f>
        <v>4763008.8015</v>
      </c>
      <c r="K53" s="47" t="s">
        <v>157</v>
      </c>
      <c r="L53" s="48" t="s">
        <v>171</v>
      </c>
      <c r="M53" s="158"/>
      <c r="N53" s="157"/>
      <c r="O53" s="159">
        <v>46126</v>
      </c>
      <c r="P53" s="160">
        <v>60.925</v>
      </c>
      <c r="Q53" s="161">
        <f>P53-E53</f>
        <v>0.0749999999999957</v>
      </c>
      <c r="R53" s="162"/>
      <c r="T53" s="156"/>
    </row>
    <row r="54" spans="1:20">
      <c r="A54" s="157">
        <f>A53+1</f>
        <v>46</v>
      </c>
      <c r="B54" s="41">
        <v>46117</v>
      </c>
      <c r="C54" s="42" t="s">
        <v>323</v>
      </c>
      <c r="D54" s="42" t="s">
        <v>327</v>
      </c>
      <c r="E54" s="87">
        <v>60.9</v>
      </c>
      <c r="F54" s="44">
        <v>1060.01</v>
      </c>
      <c r="G54" s="44">
        <f>F54-42</f>
        <v>1018.01</v>
      </c>
      <c r="H54" s="44">
        <f>E54*G54</f>
        <v>61996.809</v>
      </c>
      <c r="I54" s="45">
        <v>78274.59</v>
      </c>
      <c r="J54" s="46">
        <f>E54*I54</f>
        <v>4766922.531</v>
      </c>
      <c r="K54" s="47" t="s">
        <v>157</v>
      </c>
      <c r="L54" s="48" t="s">
        <v>171</v>
      </c>
      <c r="M54" s="158"/>
      <c r="N54" s="157"/>
      <c r="O54" s="159">
        <v>46126</v>
      </c>
      <c r="P54" s="160">
        <v>60.811</v>
      </c>
      <c r="Q54" s="161">
        <f>P54-E54</f>
        <v>-0.0889999999999986</v>
      </c>
      <c r="R54" s="162"/>
      <c r="T54" s="156"/>
    </row>
    <row r="55" spans="1:20">
      <c r="A55" s="157">
        <f>A54+1</f>
        <v>47</v>
      </c>
      <c r="B55" s="41">
        <v>46117</v>
      </c>
      <c r="C55" s="42" t="s">
        <v>323</v>
      </c>
      <c r="D55" s="42" t="s">
        <v>328</v>
      </c>
      <c r="E55" s="87">
        <v>60.9</v>
      </c>
      <c r="F55" s="44">
        <v>1060.01</v>
      </c>
      <c r="G55" s="44">
        <f>F55-42</f>
        <v>1018.01</v>
      </c>
      <c r="H55" s="44">
        <f>E55*G55</f>
        <v>61996.809</v>
      </c>
      <c r="I55" s="45">
        <v>78274.59</v>
      </c>
      <c r="J55" s="46">
        <f>E55*I55</f>
        <v>4766922.531</v>
      </c>
      <c r="K55" s="47" t="s">
        <v>157</v>
      </c>
      <c r="L55" s="48" t="s">
        <v>171</v>
      </c>
      <c r="M55" s="158"/>
      <c r="N55" s="157"/>
      <c r="O55" s="159">
        <v>46126</v>
      </c>
      <c r="P55" s="160">
        <v>60.605</v>
      </c>
      <c r="Q55" s="161">
        <f>P55-E55</f>
        <v>-0.295000000000002</v>
      </c>
      <c r="R55" s="162"/>
      <c r="T55" s="156"/>
    </row>
    <row r="56" spans="1:20">
      <c r="A56" s="157">
        <f>A55+1</f>
        <v>48</v>
      </c>
      <c r="B56" s="41">
        <v>46117</v>
      </c>
      <c r="C56" s="42" t="s">
        <v>323</v>
      </c>
      <c r="D56" s="42" t="s">
        <v>329</v>
      </c>
      <c r="E56" s="87">
        <v>60.95</v>
      </c>
      <c r="F56" s="44">
        <v>1060.01</v>
      </c>
      <c r="G56" s="44">
        <f>F56-42</f>
        <v>1018.01</v>
      </c>
      <c r="H56" s="44">
        <f>E56*G56</f>
        <v>62047.7095</v>
      </c>
      <c r="I56" s="45">
        <v>78274.59</v>
      </c>
      <c r="J56" s="46">
        <f>E56*I56</f>
        <v>4770836.2605</v>
      </c>
      <c r="K56" s="47" t="s">
        <v>157</v>
      </c>
      <c r="L56" s="48" t="s">
        <v>171</v>
      </c>
      <c r="M56" s="158"/>
      <c r="N56" s="157"/>
      <c r="O56" s="159">
        <v>46126</v>
      </c>
      <c r="P56" s="160">
        <v>60.645</v>
      </c>
      <c r="Q56" s="160">
        <f>P56-E56</f>
        <v>-0.305</v>
      </c>
      <c r="R56" s="162"/>
      <c r="T56" s="156"/>
    </row>
    <row r="57" spans="1:20">
      <c r="A57" s="157">
        <f>A56+1</f>
        <v>49</v>
      </c>
      <c r="B57" s="41">
        <v>46117</v>
      </c>
      <c r="C57" s="42" t="s">
        <v>323</v>
      </c>
      <c r="D57" s="42" t="s">
        <v>330</v>
      </c>
      <c r="E57" s="87">
        <v>60.95</v>
      </c>
      <c r="F57" s="44">
        <v>1060.01</v>
      </c>
      <c r="G57" s="44">
        <f>F57-42</f>
        <v>1018.01</v>
      </c>
      <c r="H57" s="44">
        <f>E57*G57</f>
        <v>62047.7095</v>
      </c>
      <c r="I57" s="45">
        <v>78274.59</v>
      </c>
      <c r="J57" s="46">
        <f>E57*I57</f>
        <v>4770836.2605</v>
      </c>
      <c r="K57" s="47" t="s">
        <v>157</v>
      </c>
      <c r="L57" s="48" t="s">
        <v>171</v>
      </c>
      <c r="M57" s="158"/>
      <c r="N57" s="157"/>
      <c r="O57" s="159">
        <v>46126</v>
      </c>
      <c r="P57" s="160">
        <v>60.553</v>
      </c>
      <c r="Q57" s="161">
        <f>P57-E57</f>
        <v>-0.397000000000006</v>
      </c>
      <c r="R57" s="162"/>
      <c r="T57" s="156"/>
    </row>
    <row r="58" ht="15.75" spans="1:20">
      <c r="A58" s="163">
        <f>A57+1</f>
        <v>50</v>
      </c>
      <c r="B58" s="164">
        <v>46117</v>
      </c>
      <c r="C58" s="95" t="s">
        <v>323</v>
      </c>
      <c r="D58" s="95" t="s">
        <v>331</v>
      </c>
      <c r="E58" s="165">
        <v>60.9</v>
      </c>
      <c r="F58" s="44">
        <v>1060.01</v>
      </c>
      <c r="G58" s="97">
        <f>F58-42</f>
        <v>1018.01</v>
      </c>
      <c r="H58" s="97">
        <f>E58*G58</f>
        <v>61996.809</v>
      </c>
      <c r="I58" s="45">
        <v>78274.59</v>
      </c>
      <c r="J58" s="98">
        <f>E58*I58</f>
        <v>4766922.531</v>
      </c>
      <c r="K58" s="99" t="s">
        <v>157</v>
      </c>
      <c r="L58" s="100" t="s">
        <v>171</v>
      </c>
      <c r="M58" s="166"/>
      <c r="N58" s="167"/>
      <c r="O58" s="168">
        <v>46126</v>
      </c>
      <c r="P58" s="169">
        <v>60.74</v>
      </c>
      <c r="Q58" s="169">
        <f>P58-E58</f>
        <v>-0.159999999999997</v>
      </c>
      <c r="R58" s="170"/>
      <c r="T58" s="156"/>
    </row>
    <row r="59" ht="15.75" spans="1:20">
      <c r="A59" s="171"/>
      <c r="B59" s="172"/>
      <c r="C59" s="172"/>
      <c r="D59" s="172"/>
      <c r="E59" s="173">
        <f>SUM(E51:E58)</f>
        <v>487.25</v>
      </c>
      <c r="F59" s="172"/>
      <c r="G59" s="172"/>
      <c r="H59" s="174">
        <f>SUM(H51:H58)</f>
        <v>496025.3725</v>
      </c>
      <c r="I59" s="175"/>
      <c r="J59" s="176">
        <f>SUM(J51:J58)</f>
        <v>38139293.9775</v>
      </c>
      <c r="K59" s="172"/>
      <c r="L59" s="177"/>
      <c r="M59" s="178"/>
      <c r="N59" s="179"/>
      <c r="O59" s="180"/>
      <c r="P59" s="180"/>
      <c r="Q59" s="180"/>
      <c r="R59" s="181"/>
    </row>
    <row r="60" spans="1:20">
      <c r="A60" s="182">
        <v>51</v>
      </c>
      <c r="B60" s="183">
        <v>46121</v>
      </c>
      <c r="C60" s="184" t="s">
        <v>332</v>
      </c>
      <c r="D60" s="184" t="s">
        <v>333</v>
      </c>
      <c r="E60" s="185">
        <v>60.6</v>
      </c>
      <c r="F60" s="53">
        <v>1060.01</v>
      </c>
      <c r="G60" s="53">
        <f>F60-42</f>
        <v>1018.01</v>
      </c>
      <c r="H60" s="53">
        <f>E60*G60</f>
        <v>61691.406</v>
      </c>
      <c r="I60" s="62">
        <v>78274.59</v>
      </c>
      <c r="J60" s="54">
        <f>E60*I60</f>
        <v>4743440.154</v>
      </c>
      <c r="K60" s="55" t="s">
        <v>157</v>
      </c>
      <c r="L60" s="56" t="s">
        <v>171</v>
      </c>
      <c r="M60" s="186"/>
      <c r="N60" s="187"/>
      <c r="O60" s="29"/>
      <c r="P60" s="29"/>
      <c r="Q60" s="29"/>
      <c r="R60" s="186"/>
    </row>
    <row r="61" spans="1:20">
      <c r="A61" s="157">
        <f>A60+1</f>
        <v>52</v>
      </c>
      <c r="B61" s="41">
        <v>46121</v>
      </c>
      <c r="C61" s="42" t="s">
        <v>334</v>
      </c>
      <c r="D61" s="42" t="s">
        <v>335</v>
      </c>
      <c r="E61" s="87">
        <v>60.65</v>
      </c>
      <c r="F61" s="44">
        <v>1060.01</v>
      </c>
      <c r="G61" s="44">
        <f>F61-42</f>
        <v>1018.01</v>
      </c>
      <c r="H61" s="44">
        <f>E61*G61</f>
        <v>61742.3065</v>
      </c>
      <c r="I61" s="45">
        <v>78274.59</v>
      </c>
      <c r="J61" s="46">
        <f>E61*I61</f>
        <v>4747353.8835</v>
      </c>
      <c r="K61" s="47" t="s">
        <v>157</v>
      </c>
      <c r="L61" s="48" t="s">
        <v>171</v>
      </c>
      <c r="M61" s="162"/>
      <c r="N61" s="157"/>
      <c r="O61" s="42"/>
      <c r="P61" s="42"/>
      <c r="Q61" s="42"/>
      <c r="R61" s="162"/>
    </row>
    <row r="62" spans="1:20">
      <c r="A62" s="157">
        <f>A61+1</f>
        <v>53</v>
      </c>
      <c r="B62" s="41">
        <v>46121</v>
      </c>
      <c r="C62" s="42" t="s">
        <v>334</v>
      </c>
      <c r="D62" s="42" t="s">
        <v>336</v>
      </c>
      <c r="E62" s="87">
        <v>52.15</v>
      </c>
      <c r="F62" s="44">
        <v>1060.01</v>
      </c>
      <c r="G62" s="44">
        <f>F62-42</f>
        <v>1018.01</v>
      </c>
      <c r="H62" s="44">
        <f>E62*G62</f>
        <v>53089.2215</v>
      </c>
      <c r="I62" s="45">
        <v>78274.59</v>
      </c>
      <c r="J62" s="46">
        <f>E62*I62</f>
        <v>4082019.8685</v>
      </c>
      <c r="K62" s="47" t="s">
        <v>157</v>
      </c>
      <c r="L62" s="48" t="s">
        <v>171</v>
      </c>
      <c r="M62" s="162"/>
      <c r="N62" s="157"/>
      <c r="O62" s="42"/>
      <c r="P62" s="42"/>
      <c r="Q62" s="42"/>
      <c r="R62" s="162"/>
    </row>
    <row r="63" spans="1:20">
      <c r="A63" s="157">
        <f>A62+1</f>
        <v>54</v>
      </c>
      <c r="B63" s="41">
        <v>46121</v>
      </c>
      <c r="C63" s="42" t="s">
        <v>334</v>
      </c>
      <c r="D63" s="42" t="s">
        <v>337</v>
      </c>
      <c r="E63" s="87">
        <v>60.35</v>
      </c>
      <c r="F63" s="44">
        <v>1060.01</v>
      </c>
      <c r="G63" s="44">
        <f>F63-42</f>
        <v>1018.01</v>
      </c>
      <c r="H63" s="44">
        <f>E63*G63</f>
        <v>61436.9035</v>
      </c>
      <c r="I63" s="45">
        <v>78274.59</v>
      </c>
      <c r="J63" s="46">
        <f>E63*I63</f>
        <v>4723871.5065</v>
      </c>
      <c r="K63" s="47" t="s">
        <v>157</v>
      </c>
      <c r="L63" s="48" t="s">
        <v>171</v>
      </c>
      <c r="M63" s="162"/>
      <c r="N63" s="157"/>
      <c r="O63" s="42"/>
      <c r="P63" s="42"/>
      <c r="Q63" s="42"/>
      <c r="R63" s="162"/>
    </row>
    <row r="64" spans="1:20">
      <c r="A64" s="157">
        <f>A63+1</f>
        <v>55</v>
      </c>
      <c r="B64" s="41">
        <v>46121</v>
      </c>
      <c r="C64" s="42" t="s">
        <v>334</v>
      </c>
      <c r="D64" s="42" t="s">
        <v>338</v>
      </c>
      <c r="E64" s="87">
        <v>60.6</v>
      </c>
      <c r="F64" s="44">
        <v>1060.01</v>
      </c>
      <c r="G64" s="44">
        <f>F64-42</f>
        <v>1018.01</v>
      </c>
      <c r="H64" s="44">
        <f>E64*G64</f>
        <v>61691.406</v>
      </c>
      <c r="I64" s="45">
        <v>78274.59</v>
      </c>
      <c r="J64" s="46">
        <f>E64*I64</f>
        <v>4743440.154</v>
      </c>
      <c r="K64" s="47" t="s">
        <v>157</v>
      </c>
      <c r="L64" s="48" t="s">
        <v>171</v>
      </c>
      <c r="M64" s="162"/>
      <c r="N64" s="157"/>
      <c r="O64" s="42"/>
      <c r="P64" s="42"/>
      <c r="Q64" s="42"/>
      <c r="R64" s="162"/>
    </row>
    <row r="65" spans="1:18">
      <c r="A65" s="157">
        <f>A64+1</f>
        <v>56</v>
      </c>
      <c r="B65" s="41">
        <v>46121</v>
      </c>
      <c r="C65" s="42" t="s">
        <v>334</v>
      </c>
      <c r="D65" s="42" t="s">
        <v>339</v>
      </c>
      <c r="E65" s="87">
        <v>60.6</v>
      </c>
      <c r="F65" s="44">
        <v>1060.01</v>
      </c>
      <c r="G65" s="44">
        <f>F65-42</f>
        <v>1018.01</v>
      </c>
      <c r="H65" s="44">
        <f>E65*G65</f>
        <v>61691.406</v>
      </c>
      <c r="I65" s="45">
        <v>78274.59</v>
      </c>
      <c r="J65" s="46">
        <f>E65*I65</f>
        <v>4743440.154</v>
      </c>
      <c r="K65" s="47" t="s">
        <v>157</v>
      </c>
      <c r="L65" s="48" t="s">
        <v>171</v>
      </c>
      <c r="M65" s="162"/>
      <c r="N65" s="157"/>
      <c r="O65" s="42"/>
      <c r="P65" s="42"/>
      <c r="Q65" s="42"/>
      <c r="R65" s="162"/>
    </row>
    <row r="66" spans="1:18">
      <c r="A66" s="157">
        <f>A65+1</f>
        <v>57</v>
      </c>
      <c r="B66" s="41">
        <v>46121</v>
      </c>
      <c r="C66" s="42" t="s">
        <v>334</v>
      </c>
      <c r="D66" s="42" t="s">
        <v>340</v>
      </c>
      <c r="E66" s="87">
        <v>60.6</v>
      </c>
      <c r="F66" s="44">
        <v>1060.01</v>
      </c>
      <c r="G66" s="44">
        <f>F66-42</f>
        <v>1018.01</v>
      </c>
      <c r="H66" s="44">
        <f>E66*G66</f>
        <v>61691.406</v>
      </c>
      <c r="I66" s="45">
        <v>78274.59</v>
      </c>
      <c r="J66" s="46">
        <f>E66*I66</f>
        <v>4743440.154</v>
      </c>
      <c r="K66" s="47" t="s">
        <v>157</v>
      </c>
      <c r="L66" s="48" t="s">
        <v>171</v>
      </c>
      <c r="M66" s="162"/>
      <c r="N66" s="157"/>
      <c r="O66" s="42"/>
      <c r="P66" s="42"/>
      <c r="Q66" s="42"/>
      <c r="R66" s="162"/>
    </row>
    <row r="67" spans="1:18">
      <c r="A67" s="157">
        <f>A66+1</f>
        <v>58</v>
      </c>
      <c r="B67" s="41">
        <v>46121</v>
      </c>
      <c r="C67" s="42" t="s">
        <v>334</v>
      </c>
      <c r="D67" s="42" t="s">
        <v>341</v>
      </c>
      <c r="E67" s="87">
        <v>61.05</v>
      </c>
      <c r="F67" s="44">
        <v>1060.01</v>
      </c>
      <c r="G67" s="44">
        <f>F67-42</f>
        <v>1018.01</v>
      </c>
      <c r="H67" s="44">
        <f>E67*G67</f>
        <v>62149.5105</v>
      </c>
      <c r="I67" s="45">
        <v>78274.59</v>
      </c>
      <c r="J67" s="46">
        <f>E67*I67</f>
        <v>4778663.7195</v>
      </c>
      <c r="K67" s="47" t="s">
        <v>157</v>
      </c>
      <c r="L67" s="48" t="s">
        <v>171</v>
      </c>
      <c r="M67" s="162"/>
      <c r="N67" s="157"/>
      <c r="O67" s="42"/>
      <c r="P67" s="42"/>
      <c r="Q67" s="42"/>
      <c r="R67" s="162"/>
    </row>
    <row r="68" spans="1:18">
      <c r="A68" s="157">
        <f>A67+1</f>
        <v>59</v>
      </c>
      <c r="B68" s="41">
        <v>46121</v>
      </c>
      <c r="C68" s="42" t="s">
        <v>334</v>
      </c>
      <c r="D68" s="42" t="s">
        <v>342</v>
      </c>
      <c r="E68" s="87">
        <v>60.5</v>
      </c>
      <c r="F68" s="44">
        <v>1060.01</v>
      </c>
      <c r="G68" s="44">
        <f>F68-42</f>
        <v>1018.01</v>
      </c>
      <c r="H68" s="44">
        <f>E68*G68</f>
        <v>61589.605</v>
      </c>
      <c r="I68" s="45">
        <v>78274.59</v>
      </c>
      <c r="J68" s="46">
        <f>E68*I68</f>
        <v>4735612.695</v>
      </c>
      <c r="K68" s="47" t="s">
        <v>157</v>
      </c>
      <c r="L68" s="48" t="s">
        <v>171</v>
      </c>
      <c r="M68" s="162"/>
      <c r="N68" s="157"/>
      <c r="O68" s="42"/>
      <c r="P68" s="42"/>
      <c r="Q68" s="42"/>
      <c r="R68" s="162"/>
    </row>
    <row r="69" spans="1:18">
      <c r="A69" s="157">
        <f>A68+1</f>
        <v>60</v>
      </c>
      <c r="B69" s="41">
        <v>46121</v>
      </c>
      <c r="C69" s="42" t="s">
        <v>334</v>
      </c>
      <c r="D69" s="42" t="s">
        <v>343</v>
      </c>
      <c r="E69" s="87">
        <v>52.3</v>
      </c>
      <c r="F69" s="44">
        <v>1060.01</v>
      </c>
      <c r="G69" s="44">
        <f>F69-42</f>
        <v>1018.01</v>
      </c>
      <c r="H69" s="44">
        <f>E69*G69</f>
        <v>53241.923</v>
      </c>
      <c r="I69" s="45">
        <v>78274.59</v>
      </c>
      <c r="J69" s="46">
        <f>E69*I69</f>
        <v>4093761.057</v>
      </c>
      <c r="K69" s="47" t="s">
        <v>157</v>
      </c>
      <c r="L69" s="48" t="s">
        <v>171</v>
      </c>
      <c r="M69" s="162"/>
      <c r="N69" s="157"/>
      <c r="O69" s="42"/>
      <c r="P69" s="42"/>
      <c r="Q69" s="42"/>
      <c r="R69" s="162"/>
    </row>
    <row r="70" spans="1:18">
      <c r="A70" s="157">
        <f>A69+1</f>
        <v>61</v>
      </c>
      <c r="B70" s="41">
        <v>46121</v>
      </c>
      <c r="C70" s="42" t="s">
        <v>334</v>
      </c>
      <c r="D70" s="42" t="s">
        <v>344</v>
      </c>
      <c r="E70" s="87">
        <v>60.55</v>
      </c>
      <c r="F70" s="44">
        <v>1060.01</v>
      </c>
      <c r="G70" s="44">
        <f>F70-42</f>
        <v>1018.01</v>
      </c>
      <c r="H70" s="44">
        <f>E70*G70</f>
        <v>61640.5055</v>
      </c>
      <c r="I70" s="45">
        <v>78274.59</v>
      </c>
      <c r="J70" s="46">
        <f>E70*I70</f>
        <v>4739526.4245</v>
      </c>
      <c r="K70" s="47" t="s">
        <v>157</v>
      </c>
      <c r="L70" s="48" t="s">
        <v>171</v>
      </c>
      <c r="M70" s="162"/>
      <c r="N70" s="157"/>
      <c r="O70" s="42"/>
      <c r="P70" s="42"/>
      <c r="Q70" s="42"/>
      <c r="R70" s="162"/>
    </row>
    <row r="71" ht="15.75" spans="1:18">
      <c r="A71" s="167">
        <f>A70+1</f>
        <v>62</v>
      </c>
      <c r="B71" s="58">
        <v>46121</v>
      </c>
      <c r="C71" s="59" t="s">
        <v>334</v>
      </c>
      <c r="D71" s="59" t="s">
        <v>345</v>
      </c>
      <c r="E71" s="188">
        <v>60.5</v>
      </c>
      <c r="F71" s="61">
        <v>1060.01</v>
      </c>
      <c r="G71" s="61">
        <f>F71-42</f>
        <v>1018.01</v>
      </c>
      <c r="H71" s="61">
        <f>E71*G71</f>
        <v>61589.605</v>
      </c>
      <c r="I71" s="189">
        <v>78274.59</v>
      </c>
      <c r="J71" s="63">
        <f>E71*I71</f>
        <v>4735612.695</v>
      </c>
      <c r="K71" s="64" t="s">
        <v>157</v>
      </c>
      <c r="L71" s="65" t="s">
        <v>171</v>
      </c>
      <c r="M71" s="190"/>
      <c r="N71" s="163"/>
      <c r="O71" s="95"/>
      <c r="P71" s="95"/>
      <c r="Q71" s="95"/>
      <c r="R71" s="190"/>
    </row>
    <row r="72" ht="15.75" spans="1:18">
      <c r="A72" s="171"/>
      <c r="B72" s="172"/>
      <c r="C72" s="172"/>
      <c r="D72" s="172"/>
      <c r="E72" s="173">
        <f>SUM(E60:E71)</f>
        <v>710.45</v>
      </c>
      <c r="F72" s="172"/>
      <c r="G72" s="172"/>
      <c r="H72" s="174">
        <f>SUM(H60:H71)</f>
        <v>723245.2045</v>
      </c>
      <c r="I72" s="175"/>
      <c r="J72" s="176">
        <f>SUM(J60:J71)</f>
        <v>55610182.4655</v>
      </c>
      <c r="K72" s="172"/>
      <c r="L72" s="177"/>
      <c r="M72" s="191"/>
      <c r="N72" s="192"/>
      <c r="O72" s="193"/>
      <c r="P72" s="193"/>
      <c r="Q72" s="193"/>
      <c r="R72" s="194"/>
    </row>
    <row r="73" spans="1:18">
      <c r="A73" s="182">
        <v>63</v>
      </c>
      <c r="B73" s="183">
        <v>46122</v>
      </c>
      <c r="C73" s="184">
        <v>8612806</v>
      </c>
      <c r="D73" s="184">
        <v>76506690</v>
      </c>
      <c r="E73" s="185">
        <v>60.8</v>
      </c>
      <c r="F73" s="53">
        <v>1060.01</v>
      </c>
      <c r="G73" s="53">
        <f>F73-42</f>
        <v>1018.01</v>
      </c>
      <c r="H73" s="53">
        <f>E73*G73</f>
        <v>61895.008</v>
      </c>
      <c r="I73" s="62">
        <v>78274.59</v>
      </c>
      <c r="J73" s="54">
        <f>E73*I73</f>
        <v>4759095.072</v>
      </c>
      <c r="K73" s="55" t="s">
        <v>157</v>
      </c>
      <c r="L73" s="56" t="s">
        <v>171</v>
      </c>
      <c r="M73" s="195"/>
      <c r="N73" s="187"/>
      <c r="O73" s="29"/>
      <c r="P73" s="29"/>
      <c r="Q73" s="29"/>
      <c r="R73" s="186"/>
    </row>
    <row r="74" spans="1:18">
      <c r="A74" s="157">
        <f>A73+1</f>
        <v>64</v>
      </c>
      <c r="B74" s="41">
        <v>46122</v>
      </c>
      <c r="C74" s="42">
        <v>8612806</v>
      </c>
      <c r="D74" s="42">
        <v>73110405</v>
      </c>
      <c r="E74" s="87">
        <v>60.7</v>
      </c>
      <c r="F74" s="44">
        <v>1060.01</v>
      </c>
      <c r="G74" s="44">
        <f>F74-42</f>
        <v>1018.01</v>
      </c>
      <c r="H74" s="44">
        <f>E74*G74</f>
        <v>61793.207</v>
      </c>
      <c r="I74" s="45">
        <v>78274.59</v>
      </c>
      <c r="J74" s="46">
        <f>E74*I74</f>
        <v>4751267.613</v>
      </c>
      <c r="K74" s="47" t="s">
        <v>157</v>
      </c>
      <c r="L74" s="48" t="s">
        <v>171</v>
      </c>
      <c r="M74" s="196"/>
      <c r="N74" s="157"/>
      <c r="O74" s="42"/>
      <c r="P74" s="42"/>
      <c r="Q74" s="42"/>
      <c r="R74" s="162"/>
    </row>
    <row r="75" spans="1:18">
      <c r="A75" s="157">
        <f>A74+1</f>
        <v>65</v>
      </c>
      <c r="B75" s="41">
        <v>46122</v>
      </c>
      <c r="C75" s="42">
        <v>8612806</v>
      </c>
      <c r="D75" s="42">
        <v>73126989</v>
      </c>
      <c r="E75" s="87">
        <v>60.55</v>
      </c>
      <c r="F75" s="44">
        <v>1060.01</v>
      </c>
      <c r="G75" s="44">
        <f>F75-42</f>
        <v>1018.01</v>
      </c>
      <c r="H75" s="44">
        <f>E75*G75</f>
        <v>61640.5055</v>
      </c>
      <c r="I75" s="45">
        <v>78274.59</v>
      </c>
      <c r="J75" s="46">
        <f>E75*I75</f>
        <v>4739526.4245</v>
      </c>
      <c r="K75" s="47" t="s">
        <v>157</v>
      </c>
      <c r="L75" s="48" t="s">
        <v>171</v>
      </c>
      <c r="M75" s="196"/>
      <c r="N75" s="157"/>
      <c r="O75" s="42"/>
      <c r="P75" s="42"/>
      <c r="Q75" s="42"/>
      <c r="R75" s="162"/>
    </row>
    <row r="76" spans="1:18">
      <c r="A76" s="157">
        <f>A75+1</f>
        <v>66</v>
      </c>
      <c r="B76" s="41">
        <v>46122</v>
      </c>
      <c r="C76" s="42">
        <v>8612806</v>
      </c>
      <c r="D76" s="42">
        <v>51554772</v>
      </c>
      <c r="E76" s="87">
        <v>51.95</v>
      </c>
      <c r="F76" s="44">
        <v>1060.01</v>
      </c>
      <c r="G76" s="44">
        <f>F76-42</f>
        <v>1018.01</v>
      </c>
      <c r="H76" s="44">
        <f>E76*G76</f>
        <v>52885.6195</v>
      </c>
      <c r="I76" s="45">
        <v>78274.59</v>
      </c>
      <c r="J76" s="46">
        <f>E76*I76</f>
        <v>4066364.9505</v>
      </c>
      <c r="K76" s="47" t="s">
        <v>157</v>
      </c>
      <c r="L76" s="48" t="s">
        <v>171</v>
      </c>
      <c r="M76" s="196"/>
      <c r="N76" s="157"/>
      <c r="O76" s="42"/>
      <c r="P76" s="42"/>
      <c r="Q76" s="42"/>
      <c r="R76" s="162"/>
    </row>
    <row r="77" spans="1:18">
      <c r="A77" s="157">
        <f>A76+1</f>
        <v>67</v>
      </c>
      <c r="B77" s="41">
        <v>46122</v>
      </c>
      <c r="C77" s="42">
        <v>8612806</v>
      </c>
      <c r="D77" s="42">
        <v>73173445</v>
      </c>
      <c r="E77" s="87">
        <v>60.55</v>
      </c>
      <c r="F77" s="44">
        <v>1060.01</v>
      </c>
      <c r="G77" s="44">
        <f>F77-42</f>
        <v>1018.01</v>
      </c>
      <c r="H77" s="44">
        <f>E77*G77</f>
        <v>61640.5055</v>
      </c>
      <c r="I77" s="45">
        <v>78274.59</v>
      </c>
      <c r="J77" s="46">
        <f>E77*I77</f>
        <v>4739526.4245</v>
      </c>
      <c r="K77" s="47" t="s">
        <v>157</v>
      </c>
      <c r="L77" s="48" t="s">
        <v>171</v>
      </c>
      <c r="M77" s="196"/>
      <c r="N77" s="157"/>
      <c r="O77" s="42"/>
      <c r="P77" s="42"/>
      <c r="Q77" s="42"/>
      <c r="R77" s="162"/>
    </row>
    <row r="78" spans="1:18">
      <c r="A78" s="157">
        <f>A77+1</f>
        <v>68</v>
      </c>
      <c r="B78" s="41">
        <v>46122</v>
      </c>
      <c r="C78" s="42">
        <v>8612806</v>
      </c>
      <c r="D78" s="42">
        <v>73229023</v>
      </c>
      <c r="E78" s="87">
        <v>60.75</v>
      </c>
      <c r="F78" s="44">
        <v>1060.01</v>
      </c>
      <c r="G78" s="44">
        <f>F78-42</f>
        <v>1018.01</v>
      </c>
      <c r="H78" s="44">
        <f>E78*G78</f>
        <v>61844.1075</v>
      </c>
      <c r="I78" s="45">
        <v>78274.59</v>
      </c>
      <c r="J78" s="46">
        <f>E78*I78</f>
        <v>4755181.3425</v>
      </c>
      <c r="K78" s="47" t="s">
        <v>157</v>
      </c>
      <c r="L78" s="48" t="s">
        <v>171</v>
      </c>
      <c r="M78" s="196"/>
      <c r="N78" s="157"/>
      <c r="O78" s="42"/>
      <c r="P78" s="42"/>
      <c r="Q78" s="42"/>
      <c r="R78" s="162"/>
    </row>
    <row r="79" spans="1:18">
      <c r="A79" s="157">
        <f>A78+1</f>
        <v>69</v>
      </c>
      <c r="B79" s="41">
        <v>46122</v>
      </c>
      <c r="C79" s="42">
        <v>8612806</v>
      </c>
      <c r="D79" s="42">
        <v>73042202</v>
      </c>
      <c r="E79" s="87">
        <v>60.5</v>
      </c>
      <c r="F79" s="44">
        <v>1060.01</v>
      </c>
      <c r="G79" s="44">
        <f>F79-42</f>
        <v>1018.01</v>
      </c>
      <c r="H79" s="44">
        <f>E79*G79</f>
        <v>61589.605</v>
      </c>
      <c r="I79" s="45">
        <v>78274.59</v>
      </c>
      <c r="J79" s="46">
        <f>E79*I79</f>
        <v>4735612.695</v>
      </c>
      <c r="K79" s="47" t="s">
        <v>157</v>
      </c>
      <c r="L79" s="48" t="s">
        <v>171</v>
      </c>
      <c r="M79" s="196"/>
      <c r="N79" s="157"/>
      <c r="O79" s="42"/>
      <c r="P79" s="42"/>
      <c r="Q79" s="42"/>
      <c r="R79" s="162"/>
    </row>
    <row r="80" spans="1:18">
      <c r="A80" s="157">
        <f>A79+1</f>
        <v>70</v>
      </c>
      <c r="B80" s="41">
        <v>46122</v>
      </c>
      <c r="C80" s="42">
        <v>8612806</v>
      </c>
      <c r="D80" s="42">
        <v>73001984</v>
      </c>
      <c r="E80" s="87">
        <v>60.8</v>
      </c>
      <c r="F80" s="44">
        <v>1060.01</v>
      </c>
      <c r="G80" s="44">
        <f>F80-42</f>
        <v>1018.01</v>
      </c>
      <c r="H80" s="44">
        <f>E80*G80</f>
        <v>61895.008</v>
      </c>
      <c r="I80" s="45">
        <v>78274.59</v>
      </c>
      <c r="J80" s="46">
        <f>E80*I80</f>
        <v>4759095.072</v>
      </c>
      <c r="K80" s="47" t="s">
        <v>157</v>
      </c>
      <c r="L80" s="48" t="s">
        <v>171</v>
      </c>
      <c r="M80" s="196"/>
      <c r="N80" s="157"/>
      <c r="O80" s="42"/>
      <c r="P80" s="42"/>
      <c r="Q80" s="42"/>
      <c r="R80" s="162"/>
    </row>
    <row r="81" spans="1:20">
      <c r="A81" s="157">
        <f>A80+1</f>
        <v>71</v>
      </c>
      <c r="B81" s="41">
        <v>46122</v>
      </c>
      <c r="C81" s="42">
        <v>8612806</v>
      </c>
      <c r="D81" s="42">
        <v>73136756</v>
      </c>
      <c r="E81" s="87">
        <v>60.55</v>
      </c>
      <c r="F81" s="44">
        <v>1060.01</v>
      </c>
      <c r="G81" s="44">
        <f>F81-42</f>
        <v>1018.01</v>
      </c>
      <c r="H81" s="44">
        <f>E81*G81</f>
        <v>61640.5055</v>
      </c>
      <c r="I81" s="45">
        <v>78274.59</v>
      </c>
      <c r="J81" s="46">
        <f>E81*I81</f>
        <v>4739526.4245</v>
      </c>
      <c r="K81" s="47" t="s">
        <v>157</v>
      </c>
      <c r="L81" s="48" t="s">
        <v>171</v>
      </c>
      <c r="M81" s="196"/>
      <c r="N81" s="157"/>
      <c r="O81" s="42"/>
      <c r="P81" s="42"/>
      <c r="Q81" s="42"/>
      <c r="R81" s="162"/>
    </row>
    <row r="82" spans="1:20">
      <c r="A82" s="157">
        <f>A81+1</f>
        <v>72</v>
      </c>
      <c r="B82" s="41">
        <v>46122</v>
      </c>
      <c r="C82" s="42">
        <v>8612806</v>
      </c>
      <c r="D82" s="42">
        <v>75225813</v>
      </c>
      <c r="E82" s="87">
        <v>61</v>
      </c>
      <c r="F82" s="44">
        <v>1060.01</v>
      </c>
      <c r="G82" s="44">
        <f>F82-42</f>
        <v>1018.01</v>
      </c>
      <c r="H82" s="44">
        <f>E82*G82</f>
        <v>62098.61</v>
      </c>
      <c r="I82" s="45">
        <v>78274.59</v>
      </c>
      <c r="J82" s="46">
        <f>E82*I82</f>
        <v>4774749.99</v>
      </c>
      <c r="K82" s="47" t="s">
        <v>157</v>
      </c>
      <c r="L82" s="48" t="s">
        <v>171</v>
      </c>
      <c r="M82" s="196"/>
      <c r="N82" s="157"/>
      <c r="O82" s="42"/>
      <c r="P82" s="42"/>
      <c r="Q82" s="42"/>
      <c r="R82" s="162"/>
    </row>
    <row r="83" spans="1:20">
      <c r="A83" s="157">
        <f>A82+1</f>
        <v>73</v>
      </c>
      <c r="B83" s="41">
        <v>46122</v>
      </c>
      <c r="C83" s="42">
        <v>8612806</v>
      </c>
      <c r="D83" s="42">
        <v>73224834</v>
      </c>
      <c r="E83" s="87">
        <v>60.5</v>
      </c>
      <c r="F83" s="44">
        <v>1060.01</v>
      </c>
      <c r="G83" s="44">
        <f>F83-42</f>
        <v>1018.01</v>
      </c>
      <c r="H83" s="44">
        <f>E83*G83</f>
        <v>61589.605</v>
      </c>
      <c r="I83" s="45">
        <v>78274.59</v>
      </c>
      <c r="J83" s="46">
        <f>E83*I83</f>
        <v>4735612.695</v>
      </c>
      <c r="K83" s="47" t="s">
        <v>157</v>
      </c>
      <c r="L83" s="48" t="s">
        <v>171</v>
      </c>
      <c r="M83" s="196"/>
      <c r="N83" s="157"/>
      <c r="O83" s="42"/>
      <c r="P83" s="42"/>
      <c r="Q83" s="42"/>
      <c r="R83" s="162"/>
    </row>
    <row r="84" spans="1:20">
      <c r="A84" s="157">
        <f>A83+1</f>
        <v>74</v>
      </c>
      <c r="B84" s="41">
        <v>46122</v>
      </c>
      <c r="C84" s="42">
        <v>8612806</v>
      </c>
      <c r="D84" s="42">
        <v>73114738</v>
      </c>
      <c r="E84" s="87">
        <v>60.75</v>
      </c>
      <c r="F84" s="44">
        <v>1060.01</v>
      </c>
      <c r="G84" s="44">
        <f>F84-42</f>
        <v>1018.01</v>
      </c>
      <c r="H84" s="44">
        <f>E84*G84</f>
        <v>61844.1075</v>
      </c>
      <c r="I84" s="45">
        <v>78274.59</v>
      </c>
      <c r="J84" s="46">
        <f>E84*I84</f>
        <v>4755181.3425</v>
      </c>
      <c r="K84" s="47" t="s">
        <v>157</v>
      </c>
      <c r="L84" s="48" t="s">
        <v>171</v>
      </c>
      <c r="M84" s="196"/>
      <c r="N84" s="157"/>
      <c r="O84" s="42"/>
      <c r="P84" s="42"/>
      <c r="Q84" s="42"/>
      <c r="R84" s="162"/>
    </row>
    <row r="85" spans="1:20">
      <c r="A85" s="157">
        <f>A84+1</f>
        <v>75</v>
      </c>
      <c r="B85" s="41">
        <v>46122</v>
      </c>
      <c r="C85" s="42">
        <v>8612806</v>
      </c>
      <c r="D85" s="42">
        <v>75250670</v>
      </c>
      <c r="E85" s="87">
        <v>60.9</v>
      </c>
      <c r="F85" s="44">
        <v>1060.01</v>
      </c>
      <c r="G85" s="44">
        <f>F85-42</f>
        <v>1018.01</v>
      </c>
      <c r="H85" s="44">
        <f>E85*G85</f>
        <v>61996.809</v>
      </c>
      <c r="I85" s="45">
        <v>78274.59</v>
      </c>
      <c r="J85" s="46">
        <f>E85*I85</f>
        <v>4766922.531</v>
      </c>
      <c r="K85" s="47" t="s">
        <v>157</v>
      </c>
      <c r="L85" s="48" t="s">
        <v>171</v>
      </c>
      <c r="M85" s="196"/>
      <c r="N85" s="157"/>
      <c r="O85" s="42"/>
      <c r="P85" s="42"/>
      <c r="Q85" s="42"/>
      <c r="R85" s="162"/>
    </row>
    <row r="86" spans="1:20">
      <c r="A86" s="157">
        <f>A85+1</f>
        <v>76</v>
      </c>
      <c r="B86" s="41">
        <v>46122</v>
      </c>
      <c r="C86" s="42">
        <v>8612806</v>
      </c>
      <c r="D86" s="42">
        <v>73183519</v>
      </c>
      <c r="E86" s="87">
        <v>60.6</v>
      </c>
      <c r="F86" s="44">
        <v>1060.01</v>
      </c>
      <c r="G86" s="44">
        <f>F86-42</f>
        <v>1018.01</v>
      </c>
      <c r="H86" s="44">
        <f>E86*G86</f>
        <v>61691.406</v>
      </c>
      <c r="I86" s="45">
        <v>78274.59</v>
      </c>
      <c r="J86" s="46">
        <f>E86*I86</f>
        <v>4743440.154</v>
      </c>
      <c r="K86" s="47" t="s">
        <v>157</v>
      </c>
      <c r="L86" s="48" t="s">
        <v>171</v>
      </c>
      <c r="M86" s="196"/>
      <c r="N86" s="157"/>
      <c r="O86" s="42"/>
      <c r="P86" s="42"/>
      <c r="Q86" s="42"/>
      <c r="R86" s="162"/>
    </row>
    <row r="87" spans="1:20">
      <c r="A87" s="157">
        <f>A86+1</f>
        <v>77</v>
      </c>
      <c r="B87" s="41">
        <v>46122</v>
      </c>
      <c r="C87" s="42">
        <v>8612806</v>
      </c>
      <c r="D87" s="42">
        <v>75253047</v>
      </c>
      <c r="E87" s="87">
        <v>60.85</v>
      </c>
      <c r="F87" s="44">
        <v>1060.01</v>
      </c>
      <c r="G87" s="44">
        <f>F87-42</f>
        <v>1018.01</v>
      </c>
      <c r="H87" s="44">
        <f>E87*G87</f>
        <v>61945.9085</v>
      </c>
      <c r="I87" s="45">
        <v>78274.59</v>
      </c>
      <c r="J87" s="46">
        <f>E87*I87</f>
        <v>4763008.8015</v>
      </c>
      <c r="K87" s="47" t="s">
        <v>157</v>
      </c>
      <c r="L87" s="48" t="s">
        <v>171</v>
      </c>
      <c r="M87" s="196"/>
      <c r="N87" s="157"/>
      <c r="O87" s="42"/>
      <c r="P87" s="42"/>
      <c r="Q87" s="42"/>
      <c r="R87" s="162"/>
    </row>
    <row r="88" spans="1:20">
      <c r="A88" s="157">
        <f>A87+1</f>
        <v>78</v>
      </c>
      <c r="B88" s="41">
        <v>46122</v>
      </c>
      <c r="C88" s="42">
        <v>8612806</v>
      </c>
      <c r="D88" s="42">
        <v>50395490</v>
      </c>
      <c r="E88" s="87">
        <v>60.1</v>
      </c>
      <c r="F88" s="44">
        <v>1060.01</v>
      </c>
      <c r="G88" s="44">
        <f>F88-42</f>
        <v>1018.01</v>
      </c>
      <c r="H88" s="44">
        <f>E88*G88</f>
        <v>61182.401</v>
      </c>
      <c r="I88" s="45">
        <v>78274.59</v>
      </c>
      <c r="J88" s="46">
        <f>E88*I88</f>
        <v>4704302.859</v>
      </c>
      <c r="K88" s="47" t="s">
        <v>157</v>
      </c>
      <c r="L88" s="48" t="s">
        <v>171</v>
      </c>
      <c r="M88" s="196"/>
      <c r="N88" s="157"/>
      <c r="O88" s="42"/>
      <c r="P88" s="42"/>
      <c r="Q88" s="42"/>
      <c r="R88" s="162"/>
    </row>
    <row r="89" spans="1:20">
      <c r="A89" s="157">
        <f>A88+1</f>
        <v>79</v>
      </c>
      <c r="B89" s="41">
        <v>46122</v>
      </c>
      <c r="C89" s="42">
        <v>8612808</v>
      </c>
      <c r="D89" s="42">
        <v>76828656</v>
      </c>
      <c r="E89" s="87">
        <v>60.75</v>
      </c>
      <c r="F89" s="44">
        <v>1060.01</v>
      </c>
      <c r="G89" s="44">
        <f>F89-42</f>
        <v>1018.01</v>
      </c>
      <c r="H89" s="44">
        <f>E89*G89</f>
        <v>61844.1075</v>
      </c>
      <c r="I89" s="45">
        <v>78274.59</v>
      </c>
      <c r="J89" s="46">
        <f>E89*I89</f>
        <v>4755181.3425</v>
      </c>
      <c r="K89" s="47" t="s">
        <v>157</v>
      </c>
      <c r="L89" s="48" t="s">
        <v>171</v>
      </c>
      <c r="M89" s="196"/>
      <c r="N89" s="157"/>
      <c r="O89" s="42"/>
      <c r="P89" s="42"/>
      <c r="Q89" s="42"/>
      <c r="R89" s="162"/>
    </row>
    <row r="90" spans="1:20">
      <c r="A90" s="157">
        <f>A89+1</f>
        <v>80</v>
      </c>
      <c r="B90" s="41">
        <v>46122</v>
      </c>
      <c r="C90" s="42">
        <v>8612808</v>
      </c>
      <c r="D90" s="42">
        <v>51638526</v>
      </c>
      <c r="E90" s="87">
        <v>60</v>
      </c>
      <c r="F90" s="44">
        <v>1060.01</v>
      </c>
      <c r="G90" s="44">
        <f>F90-42</f>
        <v>1018.01</v>
      </c>
      <c r="H90" s="44">
        <f>E90*G90</f>
        <v>61080.6</v>
      </c>
      <c r="I90" s="45">
        <v>78274.59</v>
      </c>
      <c r="J90" s="46">
        <f>E90*I90</f>
        <v>4696475.4</v>
      </c>
      <c r="K90" s="47" t="s">
        <v>157</v>
      </c>
      <c r="L90" s="48" t="s">
        <v>171</v>
      </c>
      <c r="M90" s="196"/>
      <c r="N90" s="157"/>
      <c r="O90" s="42"/>
      <c r="P90" s="42"/>
      <c r="Q90" s="42"/>
      <c r="R90" s="162"/>
    </row>
    <row r="91" spans="1:20">
      <c r="A91" s="157">
        <f>A90+1</f>
        <v>81</v>
      </c>
      <c r="B91" s="41">
        <v>46122</v>
      </c>
      <c r="C91" s="42">
        <v>8612808</v>
      </c>
      <c r="D91" s="42">
        <v>51813236</v>
      </c>
      <c r="E91" s="87">
        <v>60.2</v>
      </c>
      <c r="F91" s="44">
        <v>1060.01</v>
      </c>
      <c r="G91" s="44">
        <f>F91-42</f>
        <v>1018.01</v>
      </c>
      <c r="H91" s="44">
        <f>E91*G91</f>
        <v>61284.202</v>
      </c>
      <c r="I91" s="45">
        <v>78274.59</v>
      </c>
      <c r="J91" s="46">
        <f>E91*I91</f>
        <v>4712130.318</v>
      </c>
      <c r="K91" s="47" t="s">
        <v>157</v>
      </c>
      <c r="L91" s="48" t="s">
        <v>171</v>
      </c>
      <c r="M91" s="196"/>
      <c r="N91" s="157"/>
      <c r="O91" s="42"/>
      <c r="P91" s="42"/>
      <c r="Q91" s="42"/>
      <c r="R91" s="162"/>
    </row>
    <row r="92" spans="1:20">
      <c r="A92" s="157">
        <f>A91+1</f>
        <v>82</v>
      </c>
      <c r="B92" s="41">
        <v>46122</v>
      </c>
      <c r="C92" s="42">
        <v>8612808</v>
      </c>
      <c r="D92" s="42">
        <v>74979725</v>
      </c>
      <c r="E92" s="87">
        <v>60.1</v>
      </c>
      <c r="F92" s="44">
        <v>1060.01</v>
      </c>
      <c r="G92" s="44">
        <f>F92-42</f>
        <v>1018.01</v>
      </c>
      <c r="H92" s="44">
        <f>E92*G92</f>
        <v>61182.401</v>
      </c>
      <c r="I92" s="45">
        <v>78274.59</v>
      </c>
      <c r="J92" s="46">
        <f>E92*I92</f>
        <v>4704302.859</v>
      </c>
      <c r="K92" s="47" t="s">
        <v>157</v>
      </c>
      <c r="L92" s="48" t="s">
        <v>171</v>
      </c>
      <c r="M92" s="196"/>
      <c r="N92" s="157"/>
      <c r="O92" s="42"/>
      <c r="P92" s="42"/>
      <c r="Q92" s="42"/>
      <c r="R92" s="162"/>
    </row>
    <row r="93" ht="15.75" spans="1:20">
      <c r="A93" s="167">
        <f>A92+1</f>
        <v>83</v>
      </c>
      <c r="B93" s="58">
        <v>46122</v>
      </c>
      <c r="C93" s="59">
        <v>8612808</v>
      </c>
      <c r="D93" s="59">
        <v>50749340</v>
      </c>
      <c r="E93" s="188">
        <v>59.95</v>
      </c>
      <c r="F93" s="61">
        <v>1060.01</v>
      </c>
      <c r="G93" s="61">
        <f>F93-42</f>
        <v>1018.01</v>
      </c>
      <c r="H93" s="61">
        <f>E93*G93</f>
        <v>61029.6995</v>
      </c>
      <c r="I93" s="189">
        <v>78274.59</v>
      </c>
      <c r="J93" s="63">
        <f>E93*I93</f>
        <v>4692561.6705</v>
      </c>
      <c r="K93" s="64" t="s">
        <v>157</v>
      </c>
      <c r="L93" s="65" t="s">
        <v>171</v>
      </c>
      <c r="M93" s="197"/>
      <c r="N93" s="163"/>
      <c r="O93" s="95"/>
      <c r="P93" s="95"/>
      <c r="Q93" s="95"/>
      <c r="R93" s="190"/>
    </row>
    <row r="94" ht="15.75" spans="1:20">
      <c r="A94" s="171"/>
      <c r="B94" s="172"/>
      <c r="C94" s="172"/>
      <c r="D94" s="172"/>
      <c r="E94" s="198">
        <f>SUM(E73:E93)</f>
        <v>1262.85</v>
      </c>
      <c r="F94" s="172"/>
      <c r="G94" s="172"/>
      <c r="H94" s="174">
        <f>SUM(H73:H93)</f>
        <v>1285593.9285</v>
      </c>
      <c r="I94" s="175"/>
      <c r="J94" s="176">
        <f>SUM(J73:J93)</f>
        <v>98849065.9815</v>
      </c>
      <c r="K94" s="172"/>
      <c r="L94" s="177"/>
      <c r="M94" s="191"/>
      <c r="N94" s="192"/>
      <c r="O94" s="193"/>
      <c r="P94" s="193"/>
      <c r="Q94" s="193"/>
      <c r="R94" s="194"/>
    </row>
    <row r="95" s="1" customFormat="1" ht="16.5" customHeight="1" spans="1:20">
      <c r="A95" s="199">
        <v>84</v>
      </c>
      <c r="B95" s="200">
        <v>46129</v>
      </c>
      <c r="C95" s="201">
        <v>8612958</v>
      </c>
      <c r="D95" s="202">
        <v>50067305</v>
      </c>
      <c r="E95" s="203">
        <v>60</v>
      </c>
      <c r="F95" s="53">
        <v>1060.01</v>
      </c>
      <c r="G95" s="88">
        <f>F95-42</f>
        <v>1018.01</v>
      </c>
      <c r="H95" s="88">
        <f>E95*G95</f>
        <v>61080.6</v>
      </c>
      <c r="I95" s="204">
        <v>78274.59</v>
      </c>
      <c r="J95" s="89">
        <f>E95*I95</f>
        <v>4696475.4</v>
      </c>
      <c r="K95" s="90" t="s">
        <v>346</v>
      </c>
      <c r="L95" s="91" t="s">
        <v>347</v>
      </c>
      <c r="M95" s="122"/>
      <c r="N95" s="123"/>
      <c r="O95" s="205"/>
      <c r="P95" s="205"/>
      <c r="Q95" s="205"/>
      <c r="R95" s="127"/>
      <c r="T95" s="45">
        <v>80696.62</v>
      </c>
    </row>
    <row r="96" s="1" customFormat="1" ht="15.75" customHeight="1" spans="1:20">
      <c r="A96" s="206">
        <f>A95+1</f>
        <v>85</v>
      </c>
      <c r="B96" s="41">
        <v>46129</v>
      </c>
      <c r="C96" s="207">
        <v>8612960</v>
      </c>
      <c r="D96" s="208">
        <v>50215656</v>
      </c>
      <c r="E96" s="209">
        <v>59.6</v>
      </c>
      <c r="F96" s="44">
        <v>1060.01</v>
      </c>
      <c r="G96" s="44">
        <f>F96-42</f>
        <v>1018.01</v>
      </c>
      <c r="H96" s="44">
        <f>E96*G96</f>
        <v>60673.396</v>
      </c>
      <c r="I96" s="45">
        <v>78274.59</v>
      </c>
      <c r="J96" s="46">
        <f>E96*I96</f>
        <v>4665165.564</v>
      </c>
      <c r="K96" s="47" t="s">
        <v>346</v>
      </c>
      <c r="L96" s="48" t="s">
        <v>347</v>
      </c>
      <c r="M96" s="210"/>
      <c r="N96" s="206"/>
      <c r="O96" s="211"/>
      <c r="P96" s="211"/>
      <c r="Q96" s="211"/>
      <c r="R96" s="212"/>
    </row>
    <row r="97" s="1" customFormat="1" ht="15.75" customHeight="1" spans="1:18">
      <c r="A97" s="206">
        <f>A96+1</f>
        <v>86</v>
      </c>
      <c r="B97" s="41">
        <v>46129</v>
      </c>
      <c r="C97" s="207">
        <v>8612958</v>
      </c>
      <c r="D97" s="208">
        <v>51228765</v>
      </c>
      <c r="E97" s="209">
        <v>59.5</v>
      </c>
      <c r="F97" s="44">
        <v>1060.01</v>
      </c>
      <c r="G97" s="44">
        <f>F97-42</f>
        <v>1018.01</v>
      </c>
      <c r="H97" s="44">
        <f>E97*G97</f>
        <v>60571.595</v>
      </c>
      <c r="I97" s="45">
        <v>78274.59</v>
      </c>
      <c r="J97" s="46">
        <f>E97*I97</f>
        <v>4657338.105</v>
      </c>
      <c r="K97" s="47" t="s">
        <v>346</v>
      </c>
      <c r="L97" s="48" t="s">
        <v>347</v>
      </c>
      <c r="M97" s="210"/>
      <c r="N97" s="206"/>
      <c r="O97" s="211"/>
      <c r="P97" s="211"/>
      <c r="Q97" s="211"/>
      <c r="R97" s="212"/>
    </row>
    <row r="98" s="1" customFormat="1" ht="15.75" customHeight="1" spans="1:18">
      <c r="A98" s="206">
        <f>A97+1</f>
        <v>87</v>
      </c>
      <c r="B98" s="41">
        <v>46129</v>
      </c>
      <c r="C98" s="207">
        <v>8612960</v>
      </c>
      <c r="D98" s="208">
        <v>51302362</v>
      </c>
      <c r="E98" s="209">
        <v>50.75</v>
      </c>
      <c r="F98" s="44">
        <v>1060.01</v>
      </c>
      <c r="G98" s="44">
        <f>F98-42</f>
        <v>1018.01</v>
      </c>
      <c r="H98" s="44">
        <f>E98*G98</f>
        <v>51664.0075</v>
      </c>
      <c r="I98" s="45">
        <v>78274.59</v>
      </c>
      <c r="J98" s="46">
        <f>E98*I98</f>
        <v>3972435.4425</v>
      </c>
      <c r="K98" s="47" t="s">
        <v>346</v>
      </c>
      <c r="L98" s="48" t="s">
        <v>347</v>
      </c>
      <c r="M98" s="210"/>
      <c r="N98" s="206"/>
      <c r="O98" s="211"/>
      <c r="P98" s="211"/>
      <c r="Q98" s="211"/>
      <c r="R98" s="212"/>
    </row>
    <row r="99" s="1" customFormat="1" ht="15.75" customHeight="1" spans="1:18">
      <c r="A99" s="206">
        <f>A98+1</f>
        <v>88</v>
      </c>
      <c r="B99" s="41">
        <v>46129</v>
      </c>
      <c r="C99" s="207">
        <v>8612958</v>
      </c>
      <c r="D99" s="208">
        <v>51847937</v>
      </c>
      <c r="E99" s="209">
        <v>60</v>
      </c>
      <c r="F99" s="44">
        <v>1060.01</v>
      </c>
      <c r="G99" s="44">
        <f>F99-42</f>
        <v>1018.01</v>
      </c>
      <c r="H99" s="44">
        <f>E99*G99</f>
        <v>61080.6</v>
      </c>
      <c r="I99" s="45">
        <v>78274.59</v>
      </c>
      <c r="J99" s="46">
        <f>E99*I99</f>
        <v>4696475.4</v>
      </c>
      <c r="K99" s="47" t="s">
        <v>346</v>
      </c>
      <c r="L99" s="48" t="s">
        <v>347</v>
      </c>
      <c r="M99" s="210"/>
      <c r="N99" s="206"/>
      <c r="O99" s="211"/>
      <c r="P99" s="211"/>
      <c r="Q99" s="211"/>
      <c r="R99" s="212"/>
    </row>
    <row r="100" s="1" customFormat="1" ht="15.75" customHeight="1" spans="1:18">
      <c r="A100" s="206">
        <f>A99+1</f>
        <v>89</v>
      </c>
      <c r="B100" s="41">
        <v>46129</v>
      </c>
      <c r="C100" s="207">
        <v>8612960</v>
      </c>
      <c r="D100" s="208">
        <v>53996005</v>
      </c>
      <c r="E100" s="209">
        <v>50.3</v>
      </c>
      <c r="F100" s="44">
        <v>1060.01</v>
      </c>
      <c r="G100" s="44">
        <f>F100-42</f>
        <v>1018.01</v>
      </c>
      <c r="H100" s="44">
        <f>E100*G100</f>
        <v>51205.903</v>
      </c>
      <c r="I100" s="45">
        <v>78274.59</v>
      </c>
      <c r="J100" s="46">
        <f>E100*I100</f>
        <v>3937211.877</v>
      </c>
      <c r="K100" s="47" t="s">
        <v>346</v>
      </c>
      <c r="L100" s="48" t="s">
        <v>347</v>
      </c>
      <c r="M100" s="210"/>
      <c r="N100" s="206"/>
      <c r="O100" s="211"/>
      <c r="P100" s="211"/>
      <c r="Q100" s="211"/>
      <c r="R100" s="212"/>
    </row>
    <row r="101" s="1" customFormat="1" ht="15.75" customHeight="1" spans="1:18">
      <c r="A101" s="206">
        <f>A100+1</f>
        <v>90</v>
      </c>
      <c r="B101" s="41">
        <v>46129</v>
      </c>
      <c r="C101" s="207">
        <v>8612959</v>
      </c>
      <c r="D101" s="208">
        <v>54721428</v>
      </c>
      <c r="E101" s="209">
        <v>59.55</v>
      </c>
      <c r="F101" s="44">
        <v>1060.01</v>
      </c>
      <c r="G101" s="44">
        <f>F101-42</f>
        <v>1018.01</v>
      </c>
      <c r="H101" s="44">
        <f>E101*G101</f>
        <v>60622.4955</v>
      </c>
      <c r="I101" s="45">
        <v>78274.59</v>
      </c>
      <c r="J101" s="46">
        <f>E101*I101</f>
        <v>4661251.8345</v>
      </c>
      <c r="K101" s="47" t="s">
        <v>346</v>
      </c>
      <c r="L101" s="48" t="s">
        <v>347</v>
      </c>
      <c r="M101" s="210"/>
      <c r="N101" s="206"/>
      <c r="O101" s="211"/>
      <c r="P101" s="211"/>
      <c r="Q101" s="211"/>
      <c r="R101" s="212"/>
    </row>
    <row r="102" s="1" customFormat="1" ht="15.75" customHeight="1" spans="1:18">
      <c r="A102" s="206">
        <f>A101+1</f>
        <v>91</v>
      </c>
      <c r="B102" s="41">
        <v>46129</v>
      </c>
      <c r="C102" s="207">
        <v>8612958</v>
      </c>
      <c r="D102" s="208">
        <v>55655666</v>
      </c>
      <c r="E102" s="209">
        <v>59.6</v>
      </c>
      <c r="F102" s="44">
        <v>1060.01</v>
      </c>
      <c r="G102" s="44">
        <f>F102-42</f>
        <v>1018.01</v>
      </c>
      <c r="H102" s="44">
        <f>E102*G102</f>
        <v>60673.396</v>
      </c>
      <c r="I102" s="45">
        <v>78274.59</v>
      </c>
      <c r="J102" s="46">
        <f>E102*I102</f>
        <v>4665165.564</v>
      </c>
      <c r="K102" s="47" t="s">
        <v>346</v>
      </c>
      <c r="L102" s="48" t="s">
        <v>347</v>
      </c>
      <c r="M102" s="210"/>
      <c r="N102" s="206"/>
      <c r="O102" s="211"/>
      <c r="P102" s="211"/>
      <c r="Q102" s="211"/>
      <c r="R102" s="212"/>
    </row>
    <row r="103" s="1" customFormat="1" ht="15.75" customHeight="1" spans="1:18">
      <c r="A103" s="206">
        <f>A102+1</f>
        <v>92</v>
      </c>
      <c r="B103" s="41">
        <v>46129</v>
      </c>
      <c r="C103" s="207">
        <v>8612960</v>
      </c>
      <c r="D103" s="208">
        <v>57377095</v>
      </c>
      <c r="E103" s="209">
        <v>50.7</v>
      </c>
      <c r="F103" s="44">
        <v>1060.01</v>
      </c>
      <c r="G103" s="44">
        <f>F103-42</f>
        <v>1018.01</v>
      </c>
      <c r="H103" s="44">
        <f>E103*G103</f>
        <v>51613.107</v>
      </c>
      <c r="I103" s="45">
        <v>78274.59</v>
      </c>
      <c r="J103" s="46">
        <f>E103*I103</f>
        <v>3968521.713</v>
      </c>
      <c r="K103" s="47" t="s">
        <v>346</v>
      </c>
      <c r="L103" s="48" t="s">
        <v>347</v>
      </c>
      <c r="M103" s="210"/>
      <c r="N103" s="206"/>
      <c r="O103" s="211"/>
      <c r="P103" s="211"/>
      <c r="Q103" s="211"/>
      <c r="R103" s="212"/>
    </row>
    <row r="104" s="1" customFormat="1" ht="15.75" customHeight="1" spans="1:18">
      <c r="A104" s="206">
        <f>A103+1</f>
        <v>93</v>
      </c>
      <c r="B104" s="41">
        <v>46129</v>
      </c>
      <c r="C104" s="207">
        <v>8612958</v>
      </c>
      <c r="D104" s="208">
        <v>70718622</v>
      </c>
      <c r="E104" s="209">
        <v>51.2</v>
      </c>
      <c r="F104" s="44">
        <v>1060.01</v>
      </c>
      <c r="G104" s="44">
        <f>F104-42</f>
        <v>1018.01</v>
      </c>
      <c r="H104" s="44">
        <f>E104*G104</f>
        <v>52122.112</v>
      </c>
      <c r="I104" s="45">
        <v>78274.59</v>
      </c>
      <c r="J104" s="46">
        <f>E104*I104</f>
        <v>4007659.008</v>
      </c>
      <c r="K104" s="47" t="s">
        <v>346</v>
      </c>
      <c r="L104" s="48" t="s">
        <v>347</v>
      </c>
      <c r="M104" s="210"/>
      <c r="N104" s="206"/>
      <c r="O104" s="211"/>
      <c r="P104" s="211"/>
      <c r="Q104" s="211"/>
      <c r="R104" s="212"/>
    </row>
    <row r="105" s="1" customFormat="1" ht="15.75" customHeight="1" spans="1:18">
      <c r="A105" s="206">
        <f>A104+1</f>
        <v>94</v>
      </c>
      <c r="B105" s="41">
        <v>46129</v>
      </c>
      <c r="C105" s="207">
        <v>8612959</v>
      </c>
      <c r="D105" s="208">
        <v>73041758</v>
      </c>
      <c r="E105" s="209">
        <v>60.05</v>
      </c>
      <c r="F105" s="44">
        <v>1060.01</v>
      </c>
      <c r="G105" s="44">
        <f>F105-42</f>
        <v>1018.01</v>
      </c>
      <c r="H105" s="44">
        <f>E105*G105</f>
        <v>61131.5005</v>
      </c>
      <c r="I105" s="45">
        <v>78274.59</v>
      </c>
      <c r="J105" s="46">
        <f>E105*I105</f>
        <v>4700389.1295</v>
      </c>
      <c r="K105" s="47" t="s">
        <v>346</v>
      </c>
      <c r="L105" s="48" t="s">
        <v>347</v>
      </c>
      <c r="M105" s="210"/>
      <c r="N105" s="206"/>
      <c r="O105" s="211"/>
      <c r="P105" s="211"/>
      <c r="Q105" s="211"/>
      <c r="R105" s="212"/>
    </row>
    <row r="106" s="1" customFormat="1" ht="15.75" customHeight="1" spans="1:18">
      <c r="A106" s="206">
        <f>A105+1</f>
        <v>95</v>
      </c>
      <c r="B106" s="41">
        <v>46129</v>
      </c>
      <c r="C106" s="207">
        <v>8612959</v>
      </c>
      <c r="D106" s="208">
        <v>73106213</v>
      </c>
      <c r="E106" s="209">
        <v>60.25</v>
      </c>
      <c r="F106" s="44">
        <v>1060.01</v>
      </c>
      <c r="G106" s="44">
        <f>F106-42</f>
        <v>1018.01</v>
      </c>
      <c r="H106" s="44">
        <f>E106*G106</f>
        <v>61335.1025</v>
      </c>
      <c r="I106" s="45">
        <v>78274.59</v>
      </c>
      <c r="J106" s="46">
        <f>E106*I106</f>
        <v>4716044.0475</v>
      </c>
      <c r="K106" s="47" t="s">
        <v>346</v>
      </c>
      <c r="L106" s="48" t="s">
        <v>347</v>
      </c>
      <c r="M106" s="210"/>
      <c r="N106" s="206"/>
      <c r="O106" s="211"/>
      <c r="P106" s="211"/>
      <c r="Q106" s="211"/>
      <c r="R106" s="212"/>
    </row>
    <row r="107" s="1" customFormat="1" ht="15.75" customHeight="1" spans="1:18">
      <c r="A107" s="206">
        <f>A106+1</f>
        <v>96</v>
      </c>
      <c r="B107" s="41">
        <v>46129</v>
      </c>
      <c r="C107" s="207">
        <v>8612959</v>
      </c>
      <c r="D107" s="208">
        <v>73175234</v>
      </c>
      <c r="E107" s="209">
        <v>60.25</v>
      </c>
      <c r="F107" s="44">
        <v>1060.01</v>
      </c>
      <c r="G107" s="44">
        <f>F107-42</f>
        <v>1018.01</v>
      </c>
      <c r="H107" s="44">
        <f>E107*G107</f>
        <v>61335.1025</v>
      </c>
      <c r="I107" s="45">
        <v>78274.59</v>
      </c>
      <c r="J107" s="46">
        <f>E107*I107</f>
        <v>4716044.0475</v>
      </c>
      <c r="K107" s="47" t="s">
        <v>346</v>
      </c>
      <c r="L107" s="48" t="s">
        <v>347</v>
      </c>
      <c r="M107" s="210"/>
      <c r="N107" s="206"/>
      <c r="O107" s="211"/>
      <c r="P107" s="211"/>
      <c r="Q107" s="211"/>
      <c r="R107" s="212"/>
    </row>
    <row r="108" s="1" customFormat="1" ht="15.75" customHeight="1" spans="1:18">
      <c r="A108" s="206">
        <f>A107+1</f>
        <v>97</v>
      </c>
      <c r="B108" s="41">
        <v>46129</v>
      </c>
      <c r="C108" s="207">
        <v>8612959</v>
      </c>
      <c r="D108" s="208">
        <v>73180911</v>
      </c>
      <c r="E108" s="209">
        <v>59.95</v>
      </c>
      <c r="F108" s="44">
        <v>1060.01</v>
      </c>
      <c r="G108" s="44">
        <f>F108-42</f>
        <v>1018.01</v>
      </c>
      <c r="H108" s="44">
        <f>E108*G108</f>
        <v>61029.6995</v>
      </c>
      <c r="I108" s="45">
        <v>78274.59</v>
      </c>
      <c r="J108" s="46">
        <f>E108*I108</f>
        <v>4692561.6705</v>
      </c>
      <c r="K108" s="47" t="s">
        <v>346</v>
      </c>
      <c r="L108" s="48" t="s">
        <v>347</v>
      </c>
      <c r="M108" s="210"/>
      <c r="N108" s="206"/>
      <c r="O108" s="211"/>
      <c r="P108" s="211"/>
      <c r="Q108" s="211"/>
      <c r="R108" s="212"/>
    </row>
    <row r="109" s="1" customFormat="1" ht="15.75" customHeight="1" spans="1:18">
      <c r="A109" s="206">
        <f>A108+1</f>
        <v>98</v>
      </c>
      <c r="B109" s="41">
        <v>46129</v>
      </c>
      <c r="C109" s="207">
        <v>8612959</v>
      </c>
      <c r="D109" s="208">
        <v>73225401</v>
      </c>
      <c r="E109" s="209">
        <v>60.35</v>
      </c>
      <c r="F109" s="44">
        <v>1060.01</v>
      </c>
      <c r="G109" s="44">
        <f>F109-42</f>
        <v>1018.01</v>
      </c>
      <c r="H109" s="44">
        <f>E109*G109</f>
        <v>61436.9035</v>
      </c>
      <c r="I109" s="45">
        <v>78274.59</v>
      </c>
      <c r="J109" s="46">
        <f>E109*I109</f>
        <v>4723871.5065</v>
      </c>
      <c r="K109" s="47" t="s">
        <v>346</v>
      </c>
      <c r="L109" s="48" t="s">
        <v>347</v>
      </c>
      <c r="M109" s="210"/>
      <c r="N109" s="206"/>
      <c r="O109" s="211"/>
      <c r="P109" s="211"/>
      <c r="Q109" s="211"/>
      <c r="R109" s="212"/>
    </row>
    <row r="110" s="1" customFormat="1" ht="15.75" customHeight="1" spans="1:18">
      <c r="A110" s="206">
        <f>A109+1</f>
        <v>99</v>
      </c>
      <c r="B110" s="41">
        <v>46129</v>
      </c>
      <c r="C110" s="207">
        <v>8612959</v>
      </c>
      <c r="D110" s="208">
        <v>73239345</v>
      </c>
      <c r="E110" s="209">
        <v>60.2</v>
      </c>
      <c r="F110" s="44">
        <v>1060.01</v>
      </c>
      <c r="G110" s="44">
        <f>F110-42</f>
        <v>1018.01</v>
      </c>
      <c r="H110" s="44">
        <f>E110*G110</f>
        <v>61284.202</v>
      </c>
      <c r="I110" s="45">
        <v>78274.59</v>
      </c>
      <c r="J110" s="46">
        <f>E110*I110</f>
        <v>4712130.318</v>
      </c>
      <c r="K110" s="47" t="s">
        <v>346</v>
      </c>
      <c r="L110" s="48" t="s">
        <v>347</v>
      </c>
      <c r="M110" s="210"/>
      <c r="N110" s="206"/>
      <c r="O110" s="211"/>
      <c r="P110" s="211"/>
      <c r="Q110" s="211"/>
      <c r="R110" s="212"/>
    </row>
    <row r="111" s="1" customFormat="1" ht="15.75" customHeight="1" spans="1:18">
      <c r="A111" s="206">
        <f>A110+1</f>
        <v>100</v>
      </c>
      <c r="B111" s="41">
        <v>46129</v>
      </c>
      <c r="C111" s="207">
        <v>8612958</v>
      </c>
      <c r="D111" s="208">
        <v>73757387</v>
      </c>
      <c r="E111" s="209">
        <v>60</v>
      </c>
      <c r="F111" s="44">
        <v>1060.01</v>
      </c>
      <c r="G111" s="44">
        <f>F111-42</f>
        <v>1018.01</v>
      </c>
      <c r="H111" s="44">
        <f>E111*G111</f>
        <v>61080.6</v>
      </c>
      <c r="I111" s="45">
        <v>78274.59</v>
      </c>
      <c r="J111" s="46">
        <f>E111*I111</f>
        <v>4696475.4</v>
      </c>
      <c r="K111" s="47" t="s">
        <v>346</v>
      </c>
      <c r="L111" s="48" t="s">
        <v>347</v>
      </c>
      <c r="M111" s="210"/>
      <c r="N111" s="206"/>
      <c r="O111" s="211"/>
      <c r="P111" s="211"/>
      <c r="Q111" s="211"/>
      <c r="R111" s="212"/>
    </row>
    <row r="112" s="1" customFormat="1" ht="15.75" customHeight="1" spans="1:18">
      <c r="A112" s="206">
        <f>A111+1</f>
        <v>101</v>
      </c>
      <c r="B112" s="41">
        <v>46129</v>
      </c>
      <c r="C112" s="207">
        <v>8612960</v>
      </c>
      <c r="D112" s="208">
        <v>74940024</v>
      </c>
      <c r="E112" s="209">
        <v>60</v>
      </c>
      <c r="F112" s="44">
        <v>1060.01</v>
      </c>
      <c r="G112" s="44">
        <f>F112-42</f>
        <v>1018.01</v>
      </c>
      <c r="H112" s="44">
        <f>E112*G112</f>
        <v>61080.6</v>
      </c>
      <c r="I112" s="45">
        <v>78274.59</v>
      </c>
      <c r="J112" s="46">
        <f>E112*I112</f>
        <v>4696475.4</v>
      </c>
      <c r="K112" s="47" t="s">
        <v>346</v>
      </c>
      <c r="L112" s="48" t="s">
        <v>347</v>
      </c>
      <c r="M112" s="210"/>
      <c r="N112" s="206"/>
      <c r="O112" s="211"/>
      <c r="P112" s="211"/>
      <c r="Q112" s="211"/>
      <c r="R112" s="212"/>
    </row>
    <row r="113" s="1" customFormat="1" ht="15.75" customHeight="1" spans="1:18">
      <c r="A113" s="206">
        <f>A112+1</f>
        <v>102</v>
      </c>
      <c r="B113" s="41">
        <v>46129</v>
      </c>
      <c r="C113" s="207">
        <v>8612959</v>
      </c>
      <c r="D113" s="208">
        <v>75535294</v>
      </c>
      <c r="E113" s="209">
        <v>60.6</v>
      </c>
      <c r="F113" s="44">
        <v>1060.01</v>
      </c>
      <c r="G113" s="44">
        <f>F113-42</f>
        <v>1018.01</v>
      </c>
      <c r="H113" s="44">
        <f>E113*G113</f>
        <v>61691.406</v>
      </c>
      <c r="I113" s="45">
        <v>78274.59</v>
      </c>
      <c r="J113" s="46">
        <f>E113*I113</f>
        <v>4743440.154</v>
      </c>
      <c r="K113" s="47" t="s">
        <v>346</v>
      </c>
      <c r="L113" s="48" t="s">
        <v>347</v>
      </c>
      <c r="M113" s="210"/>
      <c r="N113" s="206"/>
      <c r="O113" s="211"/>
      <c r="P113" s="211"/>
      <c r="Q113" s="211"/>
      <c r="R113" s="212"/>
    </row>
    <row r="114" s="1" customFormat="1" ht="15.75" customHeight="1" spans="1:18">
      <c r="A114" s="206">
        <f>A113+1</f>
        <v>103</v>
      </c>
      <c r="B114" s="41">
        <v>46129</v>
      </c>
      <c r="C114" s="207">
        <v>8612959</v>
      </c>
      <c r="D114" s="208">
        <v>75787796</v>
      </c>
      <c r="E114" s="209">
        <v>60.8</v>
      </c>
      <c r="F114" s="44">
        <v>1060.01</v>
      </c>
      <c r="G114" s="44">
        <f>F114-42</f>
        <v>1018.01</v>
      </c>
      <c r="H114" s="44">
        <f>E114*G114</f>
        <v>61895.008</v>
      </c>
      <c r="I114" s="45">
        <v>78274.59</v>
      </c>
      <c r="J114" s="46">
        <f>E114*I114</f>
        <v>4759095.072</v>
      </c>
      <c r="K114" s="47" t="s">
        <v>346</v>
      </c>
      <c r="L114" s="48" t="s">
        <v>347</v>
      </c>
      <c r="M114" s="210"/>
      <c r="N114" s="206"/>
      <c r="O114" s="211"/>
      <c r="P114" s="211"/>
      <c r="Q114" s="211"/>
      <c r="R114" s="212"/>
    </row>
    <row r="115" s="1" customFormat="1" ht="15.75" customHeight="1" spans="1:18">
      <c r="A115" s="213">
        <f>A114+1</f>
        <v>104</v>
      </c>
      <c r="B115" s="58">
        <v>46129</v>
      </c>
      <c r="C115" s="214">
        <v>8612959</v>
      </c>
      <c r="D115" s="215">
        <v>76606490</v>
      </c>
      <c r="E115" s="209">
        <v>60.6</v>
      </c>
      <c r="F115" s="44">
        <v>1060.01</v>
      </c>
      <c r="G115" s="88">
        <f>F115-42</f>
        <v>1018.01</v>
      </c>
      <c r="H115" s="88">
        <f>E115*G115</f>
        <v>61691.406</v>
      </c>
      <c r="I115" s="204">
        <v>78274.59</v>
      </c>
      <c r="J115" s="89">
        <f>E115*I115</f>
        <v>4743440.154</v>
      </c>
      <c r="K115" s="90" t="s">
        <v>346</v>
      </c>
      <c r="L115" s="91" t="s">
        <v>347</v>
      </c>
      <c r="M115" s="216"/>
      <c r="N115" s="217"/>
      <c r="O115" s="218"/>
      <c r="P115" s="218"/>
      <c r="Q115" s="218"/>
      <c r="R115" s="219"/>
    </row>
    <row r="116" s="1" customFormat="1" ht="15.75" customHeight="1" spans="1:18">
      <c r="A116" s="220"/>
      <c r="B116" s="221"/>
      <c r="C116" s="221"/>
      <c r="D116" s="221"/>
      <c r="E116" s="222">
        <f>SUM(E95:E115)</f>
        <v>1224.25</v>
      </c>
      <c r="F116" s="221"/>
      <c r="G116" s="221"/>
      <c r="H116" s="223">
        <f>SUM(H95:H115)</f>
        <v>1246298.7425</v>
      </c>
      <c r="I116" s="224"/>
      <c r="J116" s="225">
        <f>SUM(J95:J115)</f>
        <v>95827666.8075</v>
      </c>
      <c r="K116" s="221"/>
      <c r="L116" s="226"/>
      <c r="M116" s="227"/>
      <c r="N116" s="220"/>
      <c r="O116" s="221"/>
      <c r="P116" s="221"/>
      <c r="Q116" s="221"/>
      <c r="R116" s="226"/>
    </row>
    <row r="117" s="1" customFormat="1" ht="15.75" customHeight="1" spans="1:18">
      <c r="A117" s="228">
        <v>105</v>
      </c>
      <c r="B117" s="229">
        <v>46130</v>
      </c>
      <c r="C117" s="207">
        <v>8612962</v>
      </c>
      <c r="D117" s="208">
        <v>50473727</v>
      </c>
      <c r="E117" s="209">
        <v>51.9</v>
      </c>
      <c r="F117" s="44">
        <v>1060.01</v>
      </c>
      <c r="G117" s="44">
        <f>F117-42</f>
        <v>1018.01</v>
      </c>
      <c r="H117" s="44">
        <f>E117*G117</f>
        <v>52834.719</v>
      </c>
      <c r="I117" s="45">
        <v>78274.59</v>
      </c>
      <c r="J117" s="46">
        <f>E117*I117</f>
        <v>4062451.221</v>
      </c>
      <c r="K117" s="47" t="s">
        <v>346</v>
      </c>
      <c r="L117" s="110" t="s">
        <v>347</v>
      </c>
      <c r="M117" s="230"/>
      <c r="N117" s="231"/>
      <c r="O117" s="232"/>
      <c r="P117" s="232"/>
      <c r="Q117" s="232"/>
      <c r="R117" s="233"/>
    </row>
    <row r="118" s="1" customFormat="1" ht="15.75" customHeight="1" spans="1:18">
      <c r="A118" s="211">
        <f>A117+1</f>
        <v>106</v>
      </c>
      <c r="B118" s="229">
        <v>46130</v>
      </c>
      <c r="C118" s="207">
        <v>8612962</v>
      </c>
      <c r="D118" s="208">
        <v>50852193</v>
      </c>
      <c r="E118" s="209">
        <v>59.7</v>
      </c>
      <c r="F118" s="44">
        <v>1060.01</v>
      </c>
      <c r="G118" s="44">
        <f>F118-42</f>
        <v>1018.01</v>
      </c>
      <c r="H118" s="44">
        <f>E118*G118</f>
        <v>60775.197</v>
      </c>
      <c r="I118" s="45">
        <v>78274.59</v>
      </c>
      <c r="J118" s="46">
        <f>E118*I118</f>
        <v>4672993.023</v>
      </c>
      <c r="K118" s="47" t="s">
        <v>346</v>
      </c>
      <c r="L118" s="110" t="s">
        <v>347</v>
      </c>
      <c r="M118" s="234"/>
      <c r="N118" s="206"/>
      <c r="O118" s="211"/>
      <c r="P118" s="211"/>
      <c r="Q118" s="211"/>
      <c r="R118" s="212"/>
    </row>
    <row r="119" s="1" customFormat="1" ht="15.75" customHeight="1" spans="1:18">
      <c r="A119" s="211">
        <f>A118+1</f>
        <v>107</v>
      </c>
      <c r="B119" s="229">
        <v>46130</v>
      </c>
      <c r="C119" s="207">
        <v>8612962</v>
      </c>
      <c r="D119" s="208">
        <v>53850335</v>
      </c>
      <c r="E119" s="209">
        <v>59.5</v>
      </c>
      <c r="F119" s="44">
        <v>1060.01</v>
      </c>
      <c r="G119" s="44">
        <f>F119-42</f>
        <v>1018.01</v>
      </c>
      <c r="H119" s="44">
        <f>E119*G119</f>
        <v>60571.595</v>
      </c>
      <c r="I119" s="45">
        <v>78274.59</v>
      </c>
      <c r="J119" s="46">
        <f>E119*I119</f>
        <v>4657338.105</v>
      </c>
      <c r="K119" s="47" t="s">
        <v>346</v>
      </c>
      <c r="L119" s="110" t="s">
        <v>347</v>
      </c>
      <c r="M119" s="234"/>
      <c r="N119" s="206"/>
      <c r="O119" s="211"/>
      <c r="P119" s="211"/>
      <c r="Q119" s="211"/>
      <c r="R119" s="212"/>
    </row>
    <row r="120" s="1" customFormat="1" ht="15.75" customHeight="1" spans="1:18">
      <c r="A120" s="211">
        <f>A119+1</f>
        <v>108</v>
      </c>
      <c r="B120" s="229">
        <v>46130</v>
      </c>
      <c r="C120" s="207">
        <v>8612962</v>
      </c>
      <c r="D120" s="208">
        <v>53979225</v>
      </c>
      <c r="E120" s="209">
        <v>50.55</v>
      </c>
      <c r="F120" s="44">
        <v>1060.01</v>
      </c>
      <c r="G120" s="44">
        <f>F120-42</f>
        <v>1018.01</v>
      </c>
      <c r="H120" s="44">
        <f>E120*G120</f>
        <v>51460.4055</v>
      </c>
      <c r="I120" s="45">
        <v>78274.59</v>
      </c>
      <c r="J120" s="46">
        <f>E120*I120</f>
        <v>3956780.5245</v>
      </c>
      <c r="K120" s="47" t="s">
        <v>346</v>
      </c>
      <c r="L120" s="110" t="s">
        <v>347</v>
      </c>
      <c r="M120" s="234"/>
      <c r="N120" s="206"/>
      <c r="O120" s="211"/>
      <c r="P120" s="211"/>
      <c r="Q120" s="211"/>
      <c r="R120" s="212"/>
    </row>
    <row r="121" s="1" customFormat="1" ht="15.75" customHeight="1" spans="1:18">
      <c r="A121" s="211">
        <f>A120+1</f>
        <v>109</v>
      </c>
      <c r="B121" s="229">
        <v>46130</v>
      </c>
      <c r="C121" s="207">
        <v>8612962</v>
      </c>
      <c r="D121" s="208">
        <v>54601018</v>
      </c>
      <c r="E121" s="209">
        <v>59.6</v>
      </c>
      <c r="F121" s="44">
        <v>1060.01</v>
      </c>
      <c r="G121" s="44">
        <f>F121-42</f>
        <v>1018.01</v>
      </c>
      <c r="H121" s="44">
        <f>E121*G121</f>
        <v>60673.396</v>
      </c>
      <c r="I121" s="45">
        <v>78274.59</v>
      </c>
      <c r="J121" s="46">
        <f>E121*I121</f>
        <v>4665165.564</v>
      </c>
      <c r="K121" s="47" t="s">
        <v>346</v>
      </c>
      <c r="L121" s="110" t="s">
        <v>347</v>
      </c>
      <c r="M121" s="234"/>
      <c r="N121" s="206"/>
      <c r="O121" s="211"/>
      <c r="P121" s="211"/>
      <c r="Q121" s="211"/>
      <c r="R121" s="212"/>
    </row>
    <row r="122" s="1" customFormat="1" ht="15.75" customHeight="1" spans="1:18">
      <c r="A122" s="211">
        <f>A121+1</f>
        <v>110</v>
      </c>
      <c r="B122" s="229">
        <v>46130</v>
      </c>
      <c r="C122" s="207">
        <v>8612962</v>
      </c>
      <c r="D122" s="208">
        <v>55947824</v>
      </c>
      <c r="E122" s="209">
        <v>60</v>
      </c>
      <c r="F122" s="44">
        <v>1060.01</v>
      </c>
      <c r="G122" s="44">
        <f>F122-42</f>
        <v>1018.01</v>
      </c>
      <c r="H122" s="44">
        <f>E122*G122</f>
        <v>61080.6</v>
      </c>
      <c r="I122" s="45">
        <v>78274.59</v>
      </c>
      <c r="J122" s="46">
        <f>E122*I122</f>
        <v>4696475.4</v>
      </c>
      <c r="K122" s="47" t="s">
        <v>346</v>
      </c>
      <c r="L122" s="110" t="s">
        <v>347</v>
      </c>
      <c r="M122" s="234"/>
      <c r="N122" s="206"/>
      <c r="O122" s="211"/>
      <c r="P122" s="211"/>
      <c r="Q122" s="211"/>
      <c r="R122" s="212"/>
    </row>
    <row r="123" s="1" customFormat="1" ht="15.75" customHeight="1" spans="1:18">
      <c r="A123" s="211">
        <f>A122+1</f>
        <v>111</v>
      </c>
      <c r="B123" s="229">
        <v>46130</v>
      </c>
      <c r="C123" s="207">
        <v>8612962</v>
      </c>
      <c r="D123" s="208">
        <v>58147877</v>
      </c>
      <c r="E123" s="209">
        <v>59.75</v>
      </c>
      <c r="F123" s="44">
        <v>1060.01</v>
      </c>
      <c r="G123" s="44">
        <f>F123-42</f>
        <v>1018.01</v>
      </c>
      <c r="H123" s="44">
        <f>E123*G123</f>
        <v>60826.0975</v>
      </c>
      <c r="I123" s="45">
        <v>78274.59</v>
      </c>
      <c r="J123" s="46">
        <f>E123*I123</f>
        <v>4676906.7525</v>
      </c>
      <c r="K123" s="47" t="s">
        <v>346</v>
      </c>
      <c r="L123" s="110" t="s">
        <v>347</v>
      </c>
      <c r="M123" s="234"/>
      <c r="N123" s="206"/>
      <c r="O123" s="211"/>
      <c r="P123" s="211"/>
      <c r="Q123" s="211"/>
      <c r="R123" s="212"/>
    </row>
    <row r="124" s="1" customFormat="1" ht="15.75" customHeight="1" spans="1:18">
      <c r="A124" s="211">
        <f>A123+1</f>
        <v>112</v>
      </c>
      <c r="B124" s="229">
        <v>46130</v>
      </c>
      <c r="C124" s="207">
        <v>8612962</v>
      </c>
      <c r="D124" s="208">
        <v>58644998</v>
      </c>
      <c r="E124" s="209">
        <v>50.65</v>
      </c>
      <c r="F124" s="44">
        <v>1060.01</v>
      </c>
      <c r="G124" s="44">
        <f>F124-42</f>
        <v>1018.01</v>
      </c>
      <c r="H124" s="44">
        <f>E124*G124</f>
        <v>51562.2065</v>
      </c>
      <c r="I124" s="45">
        <v>78274.59</v>
      </c>
      <c r="J124" s="46">
        <f>E124*I124</f>
        <v>3964607.9835</v>
      </c>
      <c r="K124" s="47" t="s">
        <v>346</v>
      </c>
      <c r="L124" s="110" t="s">
        <v>347</v>
      </c>
      <c r="M124" s="234"/>
      <c r="N124" s="206"/>
      <c r="O124" s="211"/>
      <c r="P124" s="211"/>
      <c r="Q124" s="211"/>
      <c r="R124" s="212"/>
    </row>
    <row r="125" s="1" customFormat="1" ht="15.75" customHeight="1" spans="1:18">
      <c r="A125" s="211">
        <f>A124+1</f>
        <v>113</v>
      </c>
      <c r="B125" s="229">
        <v>46130</v>
      </c>
      <c r="C125" s="207">
        <v>8612962</v>
      </c>
      <c r="D125" s="208">
        <v>73187353</v>
      </c>
      <c r="E125" s="209">
        <v>60</v>
      </c>
      <c r="F125" s="44">
        <v>1060.01</v>
      </c>
      <c r="G125" s="44">
        <f>F125-42</f>
        <v>1018.01</v>
      </c>
      <c r="H125" s="44">
        <f>E125*G125</f>
        <v>61080.6</v>
      </c>
      <c r="I125" s="45">
        <v>78274.59</v>
      </c>
      <c r="J125" s="46">
        <f>E125*I125</f>
        <v>4696475.4</v>
      </c>
      <c r="K125" s="47" t="s">
        <v>346</v>
      </c>
      <c r="L125" s="110" t="s">
        <v>347</v>
      </c>
      <c r="M125" s="234"/>
      <c r="N125" s="206"/>
      <c r="O125" s="211"/>
      <c r="P125" s="211"/>
      <c r="Q125" s="211"/>
      <c r="R125" s="212"/>
    </row>
    <row r="126" s="1" customFormat="1" ht="15.75" customHeight="1" spans="1:18">
      <c r="A126" s="211">
        <f>A125+1</f>
        <v>114</v>
      </c>
      <c r="B126" s="229">
        <v>46130</v>
      </c>
      <c r="C126" s="207">
        <v>8612962</v>
      </c>
      <c r="D126" s="208">
        <v>73195034</v>
      </c>
      <c r="E126" s="209">
        <v>60.3</v>
      </c>
      <c r="F126" s="44">
        <v>1060.01</v>
      </c>
      <c r="G126" s="44">
        <f>F126-42</f>
        <v>1018.01</v>
      </c>
      <c r="H126" s="44">
        <f>E126*G126</f>
        <v>61386.003</v>
      </c>
      <c r="I126" s="45">
        <v>78274.59</v>
      </c>
      <c r="J126" s="46">
        <f>E126*I126</f>
        <v>4719957.777</v>
      </c>
      <c r="K126" s="47" t="s">
        <v>346</v>
      </c>
      <c r="L126" s="110" t="s">
        <v>347</v>
      </c>
      <c r="M126" s="234"/>
      <c r="N126" s="206"/>
      <c r="O126" s="211"/>
      <c r="P126" s="211"/>
      <c r="Q126" s="211"/>
      <c r="R126" s="212"/>
    </row>
    <row r="127" s="1" customFormat="1" ht="15.75" customHeight="1" spans="1:18">
      <c r="A127" s="211">
        <f>A126+1</f>
        <v>115</v>
      </c>
      <c r="B127" s="229">
        <v>46130</v>
      </c>
      <c r="C127" s="207">
        <v>8612962</v>
      </c>
      <c r="D127" s="208">
        <v>73200024</v>
      </c>
      <c r="E127" s="209">
        <v>60.25</v>
      </c>
      <c r="F127" s="44">
        <v>1060.01</v>
      </c>
      <c r="G127" s="44">
        <f>F127-42</f>
        <v>1018.01</v>
      </c>
      <c r="H127" s="44">
        <f>E127*G127</f>
        <v>61335.1025</v>
      </c>
      <c r="I127" s="45">
        <v>78274.59</v>
      </c>
      <c r="J127" s="46">
        <f>E127*I127</f>
        <v>4716044.0475</v>
      </c>
      <c r="K127" s="47" t="s">
        <v>346</v>
      </c>
      <c r="L127" s="110" t="s">
        <v>347</v>
      </c>
      <c r="M127" s="234"/>
      <c r="N127" s="206"/>
      <c r="O127" s="211"/>
      <c r="P127" s="211"/>
      <c r="Q127" s="211"/>
      <c r="R127" s="212"/>
    </row>
    <row r="128" s="1" customFormat="1" ht="15.75" customHeight="1" spans="1:18">
      <c r="A128" s="211">
        <f>A127+1</f>
        <v>116</v>
      </c>
      <c r="B128" s="229">
        <v>46130</v>
      </c>
      <c r="C128" s="207">
        <v>8612962</v>
      </c>
      <c r="D128" s="208">
        <v>73203465</v>
      </c>
      <c r="E128" s="209">
        <v>60</v>
      </c>
      <c r="F128" s="44">
        <v>1060.01</v>
      </c>
      <c r="G128" s="44">
        <f>F128-42</f>
        <v>1018.01</v>
      </c>
      <c r="H128" s="44">
        <f>E128*G128</f>
        <v>61080.6</v>
      </c>
      <c r="I128" s="45">
        <v>78274.59</v>
      </c>
      <c r="J128" s="46">
        <f>E128*I128</f>
        <v>4696475.4</v>
      </c>
      <c r="K128" s="47" t="s">
        <v>346</v>
      </c>
      <c r="L128" s="110" t="s">
        <v>347</v>
      </c>
      <c r="M128" s="234"/>
      <c r="N128" s="206"/>
      <c r="O128" s="211"/>
      <c r="P128" s="211"/>
      <c r="Q128" s="211"/>
      <c r="R128" s="212"/>
    </row>
    <row r="129" s="1" customFormat="1" ht="15.75" customHeight="1" spans="1:18">
      <c r="A129" s="211">
        <f>A128+1</f>
        <v>117</v>
      </c>
      <c r="B129" s="229">
        <v>46130</v>
      </c>
      <c r="C129" s="207">
        <v>8612962</v>
      </c>
      <c r="D129" s="208">
        <v>73206054</v>
      </c>
      <c r="E129" s="209">
        <v>60.25</v>
      </c>
      <c r="F129" s="44">
        <v>1060.01</v>
      </c>
      <c r="G129" s="44">
        <f>F129-42</f>
        <v>1018.01</v>
      </c>
      <c r="H129" s="44">
        <f>E129*G129</f>
        <v>61335.1025</v>
      </c>
      <c r="I129" s="45">
        <v>78274.59</v>
      </c>
      <c r="J129" s="46">
        <f>E129*I129</f>
        <v>4716044.0475</v>
      </c>
      <c r="K129" s="47" t="s">
        <v>346</v>
      </c>
      <c r="L129" s="110" t="s">
        <v>347</v>
      </c>
      <c r="M129" s="234"/>
      <c r="N129" s="206"/>
      <c r="O129" s="211"/>
      <c r="P129" s="211"/>
      <c r="Q129" s="211"/>
      <c r="R129" s="212"/>
    </row>
    <row r="130" s="1" customFormat="1" ht="15.75" customHeight="1" spans="1:18">
      <c r="A130" s="211">
        <f>A129+1</f>
        <v>118</v>
      </c>
      <c r="B130" s="229">
        <v>46130</v>
      </c>
      <c r="C130" s="207">
        <v>8612962</v>
      </c>
      <c r="D130" s="208">
        <v>73210536</v>
      </c>
      <c r="E130" s="209">
        <v>60.05</v>
      </c>
      <c r="F130" s="44">
        <v>1060.01</v>
      </c>
      <c r="G130" s="44">
        <f>F130-42</f>
        <v>1018.01</v>
      </c>
      <c r="H130" s="44">
        <f>E130*G130</f>
        <v>61131.5005</v>
      </c>
      <c r="I130" s="45">
        <v>78274.59</v>
      </c>
      <c r="J130" s="46">
        <f>E130*I130</f>
        <v>4700389.1295</v>
      </c>
      <c r="K130" s="47" t="s">
        <v>346</v>
      </c>
      <c r="L130" s="110" t="s">
        <v>347</v>
      </c>
      <c r="M130" s="234"/>
      <c r="N130" s="206"/>
      <c r="O130" s="211"/>
      <c r="P130" s="211"/>
      <c r="Q130" s="211"/>
      <c r="R130" s="212"/>
    </row>
    <row r="131" s="1" customFormat="1" ht="15.75" customHeight="1" spans="1:18">
      <c r="A131" s="211">
        <f>A130+1</f>
        <v>119</v>
      </c>
      <c r="B131" s="229">
        <v>46130</v>
      </c>
      <c r="C131" s="207">
        <v>8612962</v>
      </c>
      <c r="D131" s="208">
        <v>73984700</v>
      </c>
      <c r="E131" s="209">
        <v>61.5</v>
      </c>
      <c r="F131" s="44">
        <v>1060.01</v>
      </c>
      <c r="G131" s="44">
        <f>F131-42</f>
        <v>1018.01</v>
      </c>
      <c r="H131" s="44">
        <f>E131*G131</f>
        <v>62607.615</v>
      </c>
      <c r="I131" s="45">
        <v>78274.59</v>
      </c>
      <c r="J131" s="46">
        <f>E131*I131</f>
        <v>4813887.285</v>
      </c>
      <c r="K131" s="47" t="s">
        <v>346</v>
      </c>
      <c r="L131" s="110" t="s">
        <v>347</v>
      </c>
      <c r="M131" s="234"/>
      <c r="N131" s="206"/>
      <c r="O131" s="211"/>
      <c r="P131" s="211"/>
      <c r="Q131" s="211"/>
      <c r="R131" s="212"/>
    </row>
    <row r="132" s="1" customFormat="1" ht="15.75" customHeight="1" spans="1:18">
      <c r="A132" s="211">
        <f>A131+1</f>
        <v>120</v>
      </c>
      <c r="B132" s="229">
        <v>46130</v>
      </c>
      <c r="C132" s="207">
        <v>8612962</v>
      </c>
      <c r="D132" s="208">
        <v>75205542</v>
      </c>
      <c r="E132" s="209">
        <v>60.65</v>
      </c>
      <c r="F132" s="44">
        <v>1060.01</v>
      </c>
      <c r="G132" s="44">
        <f>F132-42</f>
        <v>1018.01</v>
      </c>
      <c r="H132" s="44">
        <f>E132*G132</f>
        <v>61742.3065</v>
      </c>
      <c r="I132" s="45">
        <v>78274.59</v>
      </c>
      <c r="J132" s="46">
        <f>E132*I132</f>
        <v>4747353.8835</v>
      </c>
      <c r="K132" s="47" t="s">
        <v>346</v>
      </c>
      <c r="L132" s="110" t="s">
        <v>347</v>
      </c>
      <c r="M132" s="234"/>
      <c r="N132" s="206"/>
      <c r="O132" s="211"/>
      <c r="P132" s="211"/>
      <c r="Q132" s="211"/>
      <c r="R132" s="212"/>
    </row>
    <row r="133" s="1" customFormat="1" ht="15.75" customHeight="1" spans="1:18">
      <c r="A133" s="211">
        <f>A132+1</f>
        <v>121</v>
      </c>
      <c r="B133" s="229">
        <v>46130</v>
      </c>
      <c r="C133" s="207">
        <v>8612962</v>
      </c>
      <c r="D133" s="208">
        <v>75824391</v>
      </c>
      <c r="E133" s="209">
        <v>60.65</v>
      </c>
      <c r="F133" s="44">
        <v>1060.01</v>
      </c>
      <c r="G133" s="44">
        <f>F133-42</f>
        <v>1018.01</v>
      </c>
      <c r="H133" s="44">
        <f>E133*G133</f>
        <v>61742.3065</v>
      </c>
      <c r="I133" s="45">
        <v>78274.59</v>
      </c>
      <c r="J133" s="46">
        <f>E133*I133</f>
        <v>4747353.8835</v>
      </c>
      <c r="K133" s="47" t="s">
        <v>346</v>
      </c>
      <c r="L133" s="110" t="s">
        <v>347</v>
      </c>
      <c r="M133" s="234"/>
      <c r="N133" s="206"/>
      <c r="O133" s="211"/>
      <c r="P133" s="211"/>
      <c r="Q133" s="211"/>
      <c r="R133" s="212"/>
    </row>
    <row r="134" s="1" customFormat="1" ht="15.75" customHeight="1" spans="1:18">
      <c r="A134" s="211">
        <f>A133+1</f>
        <v>122</v>
      </c>
      <c r="B134" s="229">
        <v>46130</v>
      </c>
      <c r="C134" s="207">
        <v>8612962</v>
      </c>
      <c r="D134" s="208">
        <v>75898999</v>
      </c>
      <c r="E134" s="209">
        <v>60.5</v>
      </c>
      <c r="F134" s="44">
        <v>1060.01</v>
      </c>
      <c r="G134" s="44">
        <f>F134-42</f>
        <v>1018.01</v>
      </c>
      <c r="H134" s="44">
        <f>E134*G134</f>
        <v>61589.605</v>
      </c>
      <c r="I134" s="45">
        <v>78274.59</v>
      </c>
      <c r="J134" s="46">
        <f>E134*I134</f>
        <v>4735612.695</v>
      </c>
      <c r="K134" s="47" t="s">
        <v>346</v>
      </c>
      <c r="L134" s="110" t="s">
        <v>347</v>
      </c>
      <c r="M134" s="234"/>
      <c r="N134" s="206"/>
      <c r="O134" s="211"/>
      <c r="P134" s="211"/>
      <c r="Q134" s="211"/>
      <c r="R134" s="212"/>
    </row>
    <row r="135" s="1" customFormat="1" ht="15.75" customHeight="1" spans="1:18">
      <c r="A135" s="211">
        <f>A134+1</f>
        <v>123</v>
      </c>
      <c r="B135" s="229">
        <v>46130</v>
      </c>
      <c r="C135" s="207">
        <v>8612962</v>
      </c>
      <c r="D135" s="208">
        <v>76355692</v>
      </c>
      <c r="E135" s="209">
        <v>60.75</v>
      </c>
      <c r="F135" s="44">
        <v>1060.01</v>
      </c>
      <c r="G135" s="44">
        <f>F135-42</f>
        <v>1018.01</v>
      </c>
      <c r="H135" s="44">
        <f>E135*G135</f>
        <v>61844.1075</v>
      </c>
      <c r="I135" s="45">
        <v>78274.59</v>
      </c>
      <c r="J135" s="46">
        <f>E135*I135</f>
        <v>4755181.3425</v>
      </c>
      <c r="K135" s="47" t="s">
        <v>346</v>
      </c>
      <c r="L135" s="110" t="s">
        <v>347</v>
      </c>
      <c r="M135" s="234"/>
      <c r="N135" s="206"/>
      <c r="O135" s="211"/>
      <c r="P135" s="211"/>
      <c r="Q135" s="211"/>
      <c r="R135" s="212"/>
    </row>
    <row r="136" s="1" customFormat="1" ht="15.75" customHeight="1" spans="1:18">
      <c r="A136" s="235">
        <f>A135+1</f>
        <v>124</v>
      </c>
      <c r="B136" s="236">
        <v>46130</v>
      </c>
      <c r="C136" s="214">
        <v>8612962</v>
      </c>
      <c r="D136" s="215">
        <v>76660398</v>
      </c>
      <c r="E136" s="237">
        <v>60.45</v>
      </c>
      <c r="F136" s="44">
        <v>1060.01</v>
      </c>
      <c r="G136" s="44">
        <f>F136-42</f>
        <v>1018.01</v>
      </c>
      <c r="H136" s="44">
        <f>E136*G136</f>
        <v>61538.7045</v>
      </c>
      <c r="I136" s="45">
        <v>78274.59</v>
      </c>
      <c r="J136" s="46">
        <f>E136*I136</f>
        <v>4731698.9655</v>
      </c>
      <c r="K136" s="47" t="s">
        <v>346</v>
      </c>
      <c r="L136" s="110" t="s">
        <v>347</v>
      </c>
      <c r="M136" s="238"/>
      <c r="N136" s="217"/>
      <c r="O136" s="218"/>
      <c r="P136" s="218"/>
      <c r="Q136" s="218"/>
      <c r="R136" s="219"/>
    </row>
    <row r="137" s="1" customFormat="1" ht="15.75" customHeight="1" spans="1:18">
      <c r="A137" s="220"/>
      <c r="B137" s="221"/>
      <c r="C137" s="221"/>
      <c r="D137" s="221"/>
      <c r="E137" s="222">
        <f>SUM(E117:E136)</f>
        <v>1177</v>
      </c>
      <c r="F137" s="221"/>
      <c r="G137" s="221"/>
      <c r="H137" s="223">
        <f>SUM(H117:H136)</f>
        <v>1198197.77</v>
      </c>
      <c r="I137" s="224"/>
      <c r="J137" s="225">
        <f>SUM(J117:J136)</f>
        <v>92129192.43</v>
      </c>
      <c r="K137" s="221"/>
      <c r="L137" s="239"/>
      <c r="M137" s="240"/>
      <c r="N137" s="241"/>
      <c r="O137" s="221"/>
      <c r="P137" s="221"/>
      <c r="Q137" s="221"/>
      <c r="R137" s="226"/>
    </row>
    <row r="138" s="1" customFormat="1" ht="15.75" customHeight="1" spans="1:18">
      <c r="A138" s="228">
        <v>125</v>
      </c>
      <c r="B138" s="229">
        <v>46130</v>
      </c>
      <c r="C138" s="207">
        <v>8612971</v>
      </c>
      <c r="D138" s="208">
        <v>50418995</v>
      </c>
      <c r="E138" s="209">
        <v>59.85</v>
      </c>
      <c r="F138" s="44">
        <v>1060.01</v>
      </c>
      <c r="G138" s="44">
        <f>F138-42</f>
        <v>1018.01</v>
      </c>
      <c r="H138" s="44">
        <f>E138*G138</f>
        <v>60927.8985</v>
      </c>
      <c r="I138" s="45">
        <v>78274.59</v>
      </c>
      <c r="J138" s="46">
        <f>E138*I138</f>
        <v>4684734.2115</v>
      </c>
      <c r="K138" s="47" t="s">
        <v>346</v>
      </c>
      <c r="L138" s="110" t="s">
        <v>347</v>
      </c>
      <c r="M138" s="230"/>
      <c r="N138" s="231"/>
      <c r="O138" s="232"/>
      <c r="P138" s="232"/>
      <c r="Q138" s="232"/>
      <c r="R138" s="233"/>
    </row>
    <row r="139" s="1" customFormat="1" spans="1:18">
      <c r="A139" s="211">
        <f>A138+1</f>
        <v>126</v>
      </c>
      <c r="B139" s="229">
        <v>46130</v>
      </c>
      <c r="C139" s="207">
        <v>8612967</v>
      </c>
      <c r="D139" s="208">
        <v>51103299</v>
      </c>
      <c r="E139" s="209">
        <v>50.3</v>
      </c>
      <c r="F139" s="44">
        <v>1060.01</v>
      </c>
      <c r="G139" s="44">
        <f>F139-42</f>
        <v>1018.01</v>
      </c>
      <c r="H139" s="44">
        <f>E139*G139</f>
        <v>51205.903</v>
      </c>
      <c r="I139" s="45">
        <v>78274.59</v>
      </c>
      <c r="J139" s="46">
        <f>E139*I139</f>
        <v>3937211.877</v>
      </c>
      <c r="K139" s="47" t="s">
        <v>346</v>
      </c>
      <c r="L139" s="110" t="s">
        <v>347</v>
      </c>
      <c r="M139" s="234"/>
      <c r="N139" s="206"/>
      <c r="O139" s="211"/>
      <c r="P139" s="211"/>
      <c r="Q139" s="211"/>
      <c r="R139" s="212"/>
    </row>
    <row r="140" s="1" customFormat="1" spans="1:18">
      <c r="A140" s="211">
        <f>A139+1</f>
        <v>127</v>
      </c>
      <c r="B140" s="229">
        <v>46130</v>
      </c>
      <c r="C140" s="207">
        <v>8612969</v>
      </c>
      <c r="D140" s="208">
        <v>51107118</v>
      </c>
      <c r="E140" s="209">
        <v>59.55</v>
      </c>
      <c r="F140" s="44">
        <v>1060.01</v>
      </c>
      <c r="G140" s="44">
        <f>F140-42</f>
        <v>1018.01</v>
      </c>
      <c r="H140" s="44">
        <f>E140*G140</f>
        <v>60622.4955</v>
      </c>
      <c r="I140" s="45">
        <v>78274.59</v>
      </c>
      <c r="J140" s="46">
        <f>E140*I140</f>
        <v>4661251.8345</v>
      </c>
      <c r="K140" s="47" t="s">
        <v>346</v>
      </c>
      <c r="L140" s="110" t="s">
        <v>347</v>
      </c>
      <c r="M140" s="234"/>
      <c r="N140" s="206"/>
      <c r="O140" s="211"/>
      <c r="P140" s="211"/>
      <c r="Q140" s="211"/>
      <c r="R140" s="212"/>
    </row>
    <row r="141" s="1" customFormat="1" spans="1:18">
      <c r="A141" s="211">
        <f>A140+1</f>
        <v>128</v>
      </c>
      <c r="B141" s="229">
        <v>46130</v>
      </c>
      <c r="C141" s="207">
        <v>8612971</v>
      </c>
      <c r="D141" s="208">
        <v>51220614</v>
      </c>
      <c r="E141" s="209">
        <v>50.9</v>
      </c>
      <c r="F141" s="44">
        <v>1060.01</v>
      </c>
      <c r="G141" s="44">
        <f>F141-42</f>
        <v>1018.01</v>
      </c>
      <c r="H141" s="44">
        <f>E141*G141</f>
        <v>51816.709</v>
      </c>
      <c r="I141" s="45">
        <v>78274.59</v>
      </c>
      <c r="J141" s="46">
        <f>E141*I141</f>
        <v>3984176.631</v>
      </c>
      <c r="K141" s="47" t="s">
        <v>346</v>
      </c>
      <c r="L141" s="110" t="s">
        <v>347</v>
      </c>
      <c r="M141" s="234"/>
      <c r="N141" s="206"/>
      <c r="O141" s="211"/>
      <c r="P141" s="211"/>
      <c r="Q141" s="211"/>
      <c r="R141" s="212"/>
    </row>
    <row r="142" s="1" customFormat="1" spans="1:18">
      <c r="A142" s="211">
        <f>A141+1</f>
        <v>129</v>
      </c>
      <c r="B142" s="229">
        <v>46130</v>
      </c>
      <c r="C142" s="207">
        <v>8612970</v>
      </c>
      <c r="D142" s="208">
        <v>57134728</v>
      </c>
      <c r="E142" s="209">
        <v>59.4</v>
      </c>
      <c r="F142" s="44">
        <v>1060.01</v>
      </c>
      <c r="G142" s="44">
        <f>F142-42</f>
        <v>1018.01</v>
      </c>
      <c r="H142" s="44">
        <f>E142*G142</f>
        <v>60469.794</v>
      </c>
      <c r="I142" s="45">
        <v>78274.59</v>
      </c>
      <c r="J142" s="46">
        <f>E142*I142</f>
        <v>4649510.646</v>
      </c>
      <c r="K142" s="47" t="s">
        <v>346</v>
      </c>
      <c r="L142" s="110" t="s">
        <v>347</v>
      </c>
      <c r="M142" s="234"/>
      <c r="N142" s="206"/>
      <c r="O142" s="211"/>
      <c r="P142" s="211"/>
      <c r="Q142" s="211"/>
      <c r="R142" s="212"/>
    </row>
    <row r="143" s="1" customFormat="1" spans="1:18">
      <c r="A143" s="211">
        <f>A142+1</f>
        <v>130</v>
      </c>
      <c r="B143" s="229">
        <v>46130</v>
      </c>
      <c r="C143" s="207">
        <v>8612967</v>
      </c>
      <c r="D143" s="208">
        <v>57179343</v>
      </c>
      <c r="E143" s="209">
        <v>59.9</v>
      </c>
      <c r="F143" s="44">
        <v>1060.01</v>
      </c>
      <c r="G143" s="44">
        <f>F143-42</f>
        <v>1018.01</v>
      </c>
      <c r="H143" s="44">
        <f>E143*G143</f>
        <v>60978.799</v>
      </c>
      <c r="I143" s="45">
        <v>78274.59</v>
      </c>
      <c r="J143" s="46">
        <f>E143*I143</f>
        <v>4688647.941</v>
      </c>
      <c r="K143" s="47" t="s">
        <v>346</v>
      </c>
      <c r="L143" s="110" t="s">
        <v>347</v>
      </c>
      <c r="M143" s="234"/>
      <c r="N143" s="206"/>
      <c r="O143" s="211"/>
      <c r="P143" s="211"/>
      <c r="Q143" s="211"/>
      <c r="R143" s="212"/>
    </row>
    <row r="144" s="1" customFormat="1" spans="1:18">
      <c r="A144" s="211">
        <f>A143+1</f>
        <v>131</v>
      </c>
      <c r="B144" s="229">
        <v>46130</v>
      </c>
      <c r="C144" s="207">
        <v>8612967</v>
      </c>
      <c r="D144" s="208">
        <v>57203523</v>
      </c>
      <c r="E144" s="209">
        <v>59.75</v>
      </c>
      <c r="F144" s="44">
        <v>1060.01</v>
      </c>
      <c r="G144" s="44">
        <f>F144-42</f>
        <v>1018.01</v>
      </c>
      <c r="H144" s="44">
        <f>E144*G144</f>
        <v>60826.0975</v>
      </c>
      <c r="I144" s="45">
        <v>78274.59</v>
      </c>
      <c r="J144" s="46">
        <f>E144*I144</f>
        <v>4676906.7525</v>
      </c>
      <c r="K144" s="47" t="s">
        <v>346</v>
      </c>
      <c r="L144" s="110" t="s">
        <v>347</v>
      </c>
      <c r="M144" s="234"/>
      <c r="N144" s="206"/>
      <c r="O144" s="211"/>
      <c r="P144" s="211"/>
      <c r="Q144" s="211"/>
      <c r="R144" s="212"/>
    </row>
    <row r="145" s="1" customFormat="1" spans="1:18">
      <c r="A145" s="211">
        <f>A144+1</f>
        <v>132</v>
      </c>
      <c r="B145" s="229">
        <v>46130</v>
      </c>
      <c r="C145" s="207">
        <v>8612967</v>
      </c>
      <c r="D145" s="208">
        <v>57271512</v>
      </c>
      <c r="E145" s="209">
        <v>59.95</v>
      </c>
      <c r="F145" s="44">
        <v>1060.01</v>
      </c>
      <c r="G145" s="44">
        <f>F145-42</f>
        <v>1018.01</v>
      </c>
      <c r="H145" s="44">
        <f>E145*G145</f>
        <v>61029.6995</v>
      </c>
      <c r="I145" s="45">
        <v>78274.59</v>
      </c>
      <c r="J145" s="46">
        <f>E145*I145</f>
        <v>4692561.6705</v>
      </c>
      <c r="K145" s="47" t="s">
        <v>346</v>
      </c>
      <c r="L145" s="110" t="s">
        <v>347</v>
      </c>
      <c r="M145" s="234"/>
      <c r="N145" s="206"/>
      <c r="O145" s="211"/>
      <c r="P145" s="211"/>
      <c r="Q145" s="211"/>
      <c r="R145" s="212"/>
    </row>
    <row r="146" s="1" customFormat="1" spans="1:18">
      <c r="A146" s="211">
        <f>A145+1</f>
        <v>133</v>
      </c>
      <c r="B146" s="229">
        <v>46130</v>
      </c>
      <c r="C146" s="207">
        <v>8612967</v>
      </c>
      <c r="D146" s="208">
        <v>73076432</v>
      </c>
      <c r="E146" s="209">
        <v>60.05</v>
      </c>
      <c r="F146" s="44">
        <v>1060.01</v>
      </c>
      <c r="G146" s="44">
        <f>F146-42</f>
        <v>1018.01</v>
      </c>
      <c r="H146" s="44">
        <f>E146*G146</f>
        <v>61131.5005</v>
      </c>
      <c r="I146" s="45">
        <v>78274.59</v>
      </c>
      <c r="J146" s="46">
        <f>E146*I146</f>
        <v>4700389.1295</v>
      </c>
      <c r="K146" s="47" t="s">
        <v>346</v>
      </c>
      <c r="L146" s="110" t="s">
        <v>347</v>
      </c>
      <c r="M146" s="234"/>
      <c r="N146" s="206"/>
      <c r="O146" s="211"/>
      <c r="P146" s="211"/>
      <c r="Q146" s="211"/>
      <c r="R146" s="212"/>
    </row>
    <row r="147" s="1" customFormat="1" spans="1:18">
      <c r="A147" s="211">
        <f>A146+1</f>
        <v>134</v>
      </c>
      <c r="B147" s="229">
        <v>46130</v>
      </c>
      <c r="C147" s="207">
        <v>8612967</v>
      </c>
      <c r="D147" s="208">
        <v>73134975</v>
      </c>
      <c r="E147" s="209">
        <v>59.75</v>
      </c>
      <c r="F147" s="44">
        <v>1060.01</v>
      </c>
      <c r="G147" s="44">
        <f>F147-42</f>
        <v>1018.01</v>
      </c>
      <c r="H147" s="44">
        <f>E147*G147</f>
        <v>60826.0975</v>
      </c>
      <c r="I147" s="45">
        <v>78274.59</v>
      </c>
      <c r="J147" s="46">
        <f>E147*I147</f>
        <v>4676906.7525</v>
      </c>
      <c r="K147" s="47" t="s">
        <v>346</v>
      </c>
      <c r="L147" s="110" t="s">
        <v>347</v>
      </c>
      <c r="M147" s="234"/>
      <c r="N147" s="206"/>
      <c r="O147" s="211"/>
      <c r="P147" s="211"/>
      <c r="Q147" s="211"/>
      <c r="R147" s="212"/>
    </row>
    <row r="148" s="1" customFormat="1" spans="1:18">
      <c r="A148" s="211">
        <f>A147+1</f>
        <v>135</v>
      </c>
      <c r="B148" s="229">
        <v>46130</v>
      </c>
      <c r="C148" s="207">
        <v>8612971</v>
      </c>
      <c r="D148" s="208">
        <v>73171787</v>
      </c>
      <c r="E148" s="209">
        <v>59.8</v>
      </c>
      <c r="F148" s="44">
        <v>1060.01</v>
      </c>
      <c r="G148" s="44">
        <f>F148-42</f>
        <v>1018.01</v>
      </c>
      <c r="H148" s="44">
        <f>E148*G148</f>
        <v>60876.998</v>
      </c>
      <c r="I148" s="45">
        <v>78274.59</v>
      </c>
      <c r="J148" s="46">
        <f>E148*I148</f>
        <v>4680820.482</v>
      </c>
      <c r="K148" s="47" t="s">
        <v>346</v>
      </c>
      <c r="L148" s="110" t="s">
        <v>347</v>
      </c>
      <c r="M148" s="234"/>
      <c r="N148" s="206"/>
      <c r="O148" s="211"/>
      <c r="P148" s="211"/>
      <c r="Q148" s="211"/>
      <c r="R148" s="212"/>
    </row>
    <row r="149" s="1" customFormat="1" spans="1:18">
      <c r="A149" s="211">
        <f>A148+1</f>
        <v>136</v>
      </c>
      <c r="B149" s="229">
        <v>46130</v>
      </c>
      <c r="C149" s="207">
        <v>8612971</v>
      </c>
      <c r="D149" s="208">
        <v>73188310</v>
      </c>
      <c r="E149" s="209">
        <v>59.75</v>
      </c>
      <c r="F149" s="44">
        <v>1060.01</v>
      </c>
      <c r="G149" s="44">
        <f>F149-42</f>
        <v>1018.01</v>
      </c>
      <c r="H149" s="44">
        <f>E149*G149</f>
        <v>60826.0975</v>
      </c>
      <c r="I149" s="45">
        <v>78274.59</v>
      </c>
      <c r="J149" s="46">
        <f>E149*I149</f>
        <v>4676906.7525</v>
      </c>
      <c r="K149" s="47" t="s">
        <v>346</v>
      </c>
      <c r="L149" s="110" t="s">
        <v>347</v>
      </c>
      <c r="M149" s="234"/>
      <c r="N149" s="206"/>
      <c r="O149" s="211"/>
      <c r="P149" s="211"/>
      <c r="Q149" s="211"/>
      <c r="R149" s="212"/>
    </row>
    <row r="150" s="1" customFormat="1" spans="1:18">
      <c r="A150" s="211">
        <f>A149+1</f>
        <v>137</v>
      </c>
      <c r="B150" s="229">
        <v>46130</v>
      </c>
      <c r="C150" s="207">
        <v>8612967</v>
      </c>
      <c r="D150" s="208">
        <v>73196842</v>
      </c>
      <c r="E150" s="209">
        <v>59.8</v>
      </c>
      <c r="F150" s="44">
        <v>1060.01</v>
      </c>
      <c r="G150" s="44">
        <f>F150-42</f>
        <v>1018.01</v>
      </c>
      <c r="H150" s="44">
        <f>E150*G150</f>
        <v>60876.998</v>
      </c>
      <c r="I150" s="45">
        <v>78274.59</v>
      </c>
      <c r="J150" s="46">
        <f>E150*I150</f>
        <v>4680820.482</v>
      </c>
      <c r="K150" s="47" t="s">
        <v>346</v>
      </c>
      <c r="L150" s="110" t="s">
        <v>347</v>
      </c>
      <c r="M150" s="234"/>
      <c r="N150" s="206"/>
      <c r="O150" s="211"/>
      <c r="P150" s="211"/>
      <c r="Q150" s="211"/>
      <c r="R150" s="212"/>
    </row>
    <row r="151" s="1" customFormat="1" spans="1:18">
      <c r="A151" s="211">
        <f>A150+1</f>
        <v>138</v>
      </c>
      <c r="B151" s="229">
        <v>46130</v>
      </c>
      <c r="C151" s="207">
        <v>8612971</v>
      </c>
      <c r="D151" s="208">
        <v>73204679</v>
      </c>
      <c r="E151" s="209">
        <v>59.75</v>
      </c>
      <c r="F151" s="44">
        <v>1060.01</v>
      </c>
      <c r="G151" s="44">
        <f>F151-42</f>
        <v>1018.01</v>
      </c>
      <c r="H151" s="44">
        <f>E151*G151</f>
        <v>60826.0975</v>
      </c>
      <c r="I151" s="45">
        <v>78274.59</v>
      </c>
      <c r="J151" s="46">
        <f>E151*I151</f>
        <v>4676906.7525</v>
      </c>
      <c r="K151" s="47" t="s">
        <v>346</v>
      </c>
      <c r="L151" s="110" t="s">
        <v>347</v>
      </c>
      <c r="M151" s="234"/>
      <c r="N151" s="206"/>
      <c r="O151" s="211"/>
      <c r="P151" s="211"/>
      <c r="Q151" s="211"/>
      <c r="R151" s="212"/>
    </row>
    <row r="152" s="1" customFormat="1" spans="1:18">
      <c r="A152" s="211">
        <f>A151+1</f>
        <v>139</v>
      </c>
      <c r="B152" s="229">
        <v>46130</v>
      </c>
      <c r="C152" s="207">
        <v>8612971</v>
      </c>
      <c r="D152" s="208">
        <v>73214330</v>
      </c>
      <c r="E152" s="209">
        <v>59.8</v>
      </c>
      <c r="F152" s="44">
        <v>1060.01</v>
      </c>
      <c r="G152" s="44">
        <f>F152-42</f>
        <v>1018.01</v>
      </c>
      <c r="H152" s="44">
        <f>E152*G152</f>
        <v>60876.998</v>
      </c>
      <c r="I152" s="45">
        <v>78274.59</v>
      </c>
      <c r="J152" s="46">
        <f>E152*I152</f>
        <v>4680820.482</v>
      </c>
      <c r="K152" s="47" t="s">
        <v>346</v>
      </c>
      <c r="L152" s="110" t="s">
        <v>347</v>
      </c>
      <c r="M152" s="234"/>
      <c r="N152" s="206"/>
      <c r="O152" s="211"/>
      <c r="P152" s="211"/>
      <c r="Q152" s="211"/>
      <c r="R152" s="212"/>
    </row>
    <row r="153" s="1" customFormat="1" spans="1:18">
      <c r="A153" s="211">
        <f>A152+1</f>
        <v>140</v>
      </c>
      <c r="B153" s="229">
        <v>46130</v>
      </c>
      <c r="C153" s="207">
        <v>8612971</v>
      </c>
      <c r="D153" s="208">
        <v>73214348</v>
      </c>
      <c r="E153" s="209">
        <v>59.85</v>
      </c>
      <c r="F153" s="44">
        <v>1060.01</v>
      </c>
      <c r="G153" s="44">
        <f>F153-42</f>
        <v>1018.01</v>
      </c>
      <c r="H153" s="44">
        <f>E153*G153</f>
        <v>60927.8985</v>
      </c>
      <c r="I153" s="45">
        <v>78274.59</v>
      </c>
      <c r="J153" s="46">
        <f>E153*I153</f>
        <v>4684734.2115</v>
      </c>
      <c r="K153" s="47" t="s">
        <v>346</v>
      </c>
      <c r="L153" s="110" t="s">
        <v>347</v>
      </c>
      <c r="M153" s="234"/>
      <c r="N153" s="206"/>
      <c r="O153" s="211"/>
      <c r="P153" s="211"/>
      <c r="Q153" s="211"/>
      <c r="R153" s="212"/>
    </row>
    <row r="154" s="1" customFormat="1" spans="1:18">
      <c r="A154" s="211">
        <f>A153+1</f>
        <v>141</v>
      </c>
      <c r="B154" s="229">
        <v>46130</v>
      </c>
      <c r="C154" s="207">
        <v>8612967</v>
      </c>
      <c r="D154" s="208">
        <v>73994089</v>
      </c>
      <c r="E154" s="209">
        <v>60.35</v>
      </c>
      <c r="F154" s="44">
        <v>1060.01</v>
      </c>
      <c r="G154" s="44">
        <f>F154-42</f>
        <v>1018.01</v>
      </c>
      <c r="H154" s="44">
        <f>E154*G154</f>
        <v>61436.9035</v>
      </c>
      <c r="I154" s="45">
        <v>78274.59</v>
      </c>
      <c r="J154" s="46">
        <f>E154*I154</f>
        <v>4723871.5065</v>
      </c>
      <c r="K154" s="47" t="s">
        <v>346</v>
      </c>
      <c r="L154" s="110" t="s">
        <v>347</v>
      </c>
      <c r="M154" s="234"/>
      <c r="N154" s="206"/>
      <c r="O154" s="211"/>
      <c r="P154" s="211"/>
      <c r="Q154" s="211"/>
      <c r="R154" s="212"/>
    </row>
    <row r="155" s="1" customFormat="1" spans="1:18">
      <c r="A155" s="211">
        <f>A154+1</f>
        <v>142</v>
      </c>
      <c r="B155" s="229">
        <v>46130</v>
      </c>
      <c r="C155" s="207">
        <v>8612968</v>
      </c>
      <c r="D155" s="208">
        <v>75005835</v>
      </c>
      <c r="E155" s="209">
        <v>59.3</v>
      </c>
      <c r="F155" s="44">
        <v>1060.01</v>
      </c>
      <c r="G155" s="44">
        <f>F155-42</f>
        <v>1018.01</v>
      </c>
      <c r="H155" s="44">
        <f>E155*G155</f>
        <v>60367.993</v>
      </c>
      <c r="I155" s="45">
        <v>78274.59</v>
      </c>
      <c r="J155" s="46">
        <f>E155*I155</f>
        <v>4641683.187</v>
      </c>
      <c r="K155" s="47" t="s">
        <v>346</v>
      </c>
      <c r="L155" s="110" t="s">
        <v>347</v>
      </c>
      <c r="M155" s="234"/>
      <c r="N155" s="206"/>
      <c r="O155" s="211"/>
      <c r="P155" s="211"/>
      <c r="Q155" s="211"/>
      <c r="R155" s="212"/>
    </row>
    <row r="156" s="1" customFormat="1" spans="1:18">
      <c r="A156" s="211">
        <f>A155+1</f>
        <v>143</v>
      </c>
      <c r="B156" s="229">
        <v>46130</v>
      </c>
      <c r="C156" s="207">
        <v>8612971</v>
      </c>
      <c r="D156" s="208">
        <v>75114884</v>
      </c>
      <c r="E156" s="209">
        <v>59.8</v>
      </c>
      <c r="F156" s="44">
        <v>1060.01</v>
      </c>
      <c r="G156" s="44">
        <f>F156-42</f>
        <v>1018.01</v>
      </c>
      <c r="H156" s="44">
        <f>E156*G156</f>
        <v>60876.998</v>
      </c>
      <c r="I156" s="45">
        <v>78274.59</v>
      </c>
      <c r="J156" s="46">
        <f>E156*I156</f>
        <v>4680820.482</v>
      </c>
      <c r="K156" s="47" t="s">
        <v>346</v>
      </c>
      <c r="L156" s="110" t="s">
        <v>347</v>
      </c>
      <c r="M156" s="234"/>
      <c r="N156" s="206"/>
      <c r="O156" s="211"/>
      <c r="P156" s="211"/>
      <c r="Q156" s="211"/>
      <c r="R156" s="212"/>
    </row>
    <row r="157" s="1" customFormat="1" spans="1:18">
      <c r="A157" s="211">
        <f>A156+1</f>
        <v>144</v>
      </c>
      <c r="B157" s="229">
        <v>46130</v>
      </c>
      <c r="C157" s="207">
        <v>8612971</v>
      </c>
      <c r="D157" s="208">
        <v>75117168</v>
      </c>
      <c r="E157" s="209">
        <v>59.8</v>
      </c>
      <c r="F157" s="44">
        <v>1060.01</v>
      </c>
      <c r="G157" s="44">
        <f>F157-42</f>
        <v>1018.01</v>
      </c>
      <c r="H157" s="44">
        <f>E157*G157</f>
        <v>60876.998</v>
      </c>
      <c r="I157" s="45">
        <v>78274.59</v>
      </c>
      <c r="J157" s="46">
        <f>E157*I157</f>
        <v>4680820.482</v>
      </c>
      <c r="K157" s="47" t="s">
        <v>346</v>
      </c>
      <c r="L157" s="110" t="s">
        <v>347</v>
      </c>
      <c r="M157" s="234"/>
      <c r="N157" s="206"/>
      <c r="O157" s="211"/>
      <c r="P157" s="211"/>
      <c r="Q157" s="211"/>
      <c r="R157" s="212"/>
    </row>
    <row r="158" s="1" customFormat="1" spans="1:18">
      <c r="A158" s="211">
        <f>A157+1</f>
        <v>145</v>
      </c>
      <c r="B158" s="229">
        <v>46130</v>
      </c>
      <c r="C158" s="207">
        <v>8612967</v>
      </c>
      <c r="D158" s="208">
        <v>75207589</v>
      </c>
      <c r="E158" s="209">
        <v>60.35</v>
      </c>
      <c r="F158" s="44">
        <v>1060.01</v>
      </c>
      <c r="G158" s="44">
        <f>F158-42</f>
        <v>1018.01</v>
      </c>
      <c r="H158" s="44">
        <f>E158*G158</f>
        <v>61436.9035</v>
      </c>
      <c r="I158" s="45">
        <v>78274.59</v>
      </c>
      <c r="J158" s="46">
        <f>E158*I158</f>
        <v>4723871.5065</v>
      </c>
      <c r="K158" s="47" t="s">
        <v>346</v>
      </c>
      <c r="L158" s="110" t="s">
        <v>347</v>
      </c>
      <c r="M158" s="234"/>
      <c r="N158" s="206"/>
      <c r="O158" s="211"/>
      <c r="P158" s="211"/>
      <c r="Q158" s="211"/>
      <c r="R158" s="212"/>
    </row>
    <row r="159" s="1" customFormat="1" spans="1:18">
      <c r="A159" s="211">
        <f>A158+1</f>
        <v>146</v>
      </c>
      <c r="B159" s="229">
        <v>46130</v>
      </c>
      <c r="C159" s="207">
        <v>8612967</v>
      </c>
      <c r="D159" s="208">
        <v>75209759</v>
      </c>
      <c r="E159" s="209">
        <v>60.3</v>
      </c>
      <c r="F159" s="44">
        <v>1060.01</v>
      </c>
      <c r="G159" s="44">
        <f>F159-42</f>
        <v>1018.01</v>
      </c>
      <c r="H159" s="44">
        <f>E159*G159</f>
        <v>61386.003</v>
      </c>
      <c r="I159" s="45">
        <v>78274.59</v>
      </c>
      <c r="J159" s="46">
        <f>E159*I159</f>
        <v>4719957.777</v>
      </c>
      <c r="K159" s="47" t="s">
        <v>346</v>
      </c>
      <c r="L159" s="110" t="s">
        <v>347</v>
      </c>
      <c r="M159" s="234"/>
      <c r="N159" s="206"/>
      <c r="O159" s="211"/>
      <c r="P159" s="211"/>
      <c r="Q159" s="211"/>
      <c r="R159" s="212"/>
    </row>
    <row r="160" s="1" customFormat="1" spans="1:18">
      <c r="A160" s="211">
        <f>A159+1</f>
        <v>147</v>
      </c>
      <c r="B160" s="229">
        <v>46130</v>
      </c>
      <c r="C160" s="207">
        <v>8612967</v>
      </c>
      <c r="D160" s="208">
        <v>75232041</v>
      </c>
      <c r="E160" s="209">
        <v>60.5</v>
      </c>
      <c r="F160" s="44">
        <v>1060.01</v>
      </c>
      <c r="G160" s="44">
        <f>F160-42</f>
        <v>1018.01</v>
      </c>
      <c r="H160" s="44">
        <f>E160*G160</f>
        <v>61589.605</v>
      </c>
      <c r="I160" s="45">
        <v>78274.59</v>
      </c>
      <c r="J160" s="46">
        <f>E160*I160</f>
        <v>4735612.695</v>
      </c>
      <c r="K160" s="47" t="s">
        <v>346</v>
      </c>
      <c r="L160" s="110" t="s">
        <v>347</v>
      </c>
      <c r="M160" s="234"/>
      <c r="N160" s="206"/>
      <c r="O160" s="211"/>
      <c r="P160" s="211"/>
      <c r="Q160" s="211"/>
      <c r="R160" s="212"/>
    </row>
    <row r="161" s="1" customFormat="1" spans="1:21">
      <c r="A161" s="211">
        <f>A160+1</f>
        <v>148</v>
      </c>
      <c r="B161" s="229">
        <v>46130</v>
      </c>
      <c r="C161" s="207">
        <v>8612971</v>
      </c>
      <c r="D161" s="208">
        <v>75263442</v>
      </c>
      <c r="E161" s="209">
        <v>60.3</v>
      </c>
      <c r="F161" s="44">
        <v>1060.01</v>
      </c>
      <c r="G161" s="44">
        <f>F161-42</f>
        <v>1018.01</v>
      </c>
      <c r="H161" s="44">
        <f>E161*G161</f>
        <v>61386.003</v>
      </c>
      <c r="I161" s="45">
        <v>78274.59</v>
      </c>
      <c r="J161" s="46">
        <f>E161*I161</f>
        <v>4719957.777</v>
      </c>
      <c r="K161" s="47" t="s">
        <v>346</v>
      </c>
      <c r="L161" s="110" t="s">
        <v>347</v>
      </c>
      <c r="M161" s="234"/>
      <c r="N161" s="206"/>
      <c r="O161" s="211"/>
      <c r="P161" s="211"/>
      <c r="Q161" s="211"/>
      <c r="R161" s="212"/>
    </row>
    <row r="162" s="1" customFormat="1" spans="1:21">
      <c r="A162" s="211">
        <f>A161+1</f>
        <v>149</v>
      </c>
      <c r="B162" s="229">
        <v>46130</v>
      </c>
      <c r="C162" s="207">
        <v>8612967</v>
      </c>
      <c r="D162" s="208">
        <v>76074293</v>
      </c>
      <c r="E162" s="209">
        <v>60.35</v>
      </c>
      <c r="F162" s="44">
        <v>1060.01</v>
      </c>
      <c r="G162" s="44">
        <f>F162-42</f>
        <v>1018.01</v>
      </c>
      <c r="H162" s="44">
        <f>E162*G162</f>
        <v>61436.9035</v>
      </c>
      <c r="I162" s="45">
        <v>78274.59</v>
      </c>
      <c r="J162" s="46">
        <f>E162*I162</f>
        <v>4723871.5065</v>
      </c>
      <c r="K162" s="47" t="s">
        <v>346</v>
      </c>
      <c r="L162" s="110" t="s">
        <v>347</v>
      </c>
      <c r="M162" s="234"/>
      <c r="N162" s="206"/>
      <c r="O162" s="211"/>
      <c r="P162" s="211"/>
      <c r="Q162" s="211"/>
      <c r="R162" s="212"/>
    </row>
    <row r="163" s="1" customFormat="1" spans="1:21">
      <c r="A163" s="211">
        <f>A162+1</f>
        <v>150</v>
      </c>
      <c r="B163" s="229">
        <v>46130</v>
      </c>
      <c r="C163" s="207">
        <v>8612967</v>
      </c>
      <c r="D163" s="208">
        <v>76137397</v>
      </c>
      <c r="E163" s="209">
        <v>60.35</v>
      </c>
      <c r="F163" s="44">
        <v>1060.01</v>
      </c>
      <c r="G163" s="44">
        <f>F163-42</f>
        <v>1018.01</v>
      </c>
      <c r="H163" s="44">
        <f>E163*G163</f>
        <v>61436.9035</v>
      </c>
      <c r="I163" s="45">
        <v>78274.59</v>
      </c>
      <c r="J163" s="46">
        <f>E163*I163</f>
        <v>4723871.5065</v>
      </c>
      <c r="K163" s="47" t="s">
        <v>346</v>
      </c>
      <c r="L163" s="110" t="s">
        <v>347</v>
      </c>
      <c r="M163" s="234"/>
      <c r="N163" s="206"/>
      <c r="O163" s="211"/>
      <c r="P163" s="211"/>
      <c r="Q163" s="211"/>
      <c r="R163" s="212"/>
    </row>
    <row r="164" s="1" customFormat="1" ht="15.75" spans="1:21">
      <c r="A164" s="211">
        <f>A163+1</f>
        <v>151</v>
      </c>
      <c r="B164" s="229">
        <v>46130</v>
      </c>
      <c r="C164" s="214">
        <v>8612971</v>
      </c>
      <c r="D164" s="215">
        <v>76873397</v>
      </c>
      <c r="E164" s="237">
        <v>60.45</v>
      </c>
      <c r="F164" s="44">
        <v>1060.01</v>
      </c>
      <c r="G164" s="44">
        <f>F164-42</f>
        <v>1018.01</v>
      </c>
      <c r="H164" s="44">
        <f>E164*G164</f>
        <v>61538.7045</v>
      </c>
      <c r="I164" s="45">
        <v>78274.59</v>
      </c>
      <c r="J164" s="46">
        <f>E164*I164</f>
        <v>4731698.9655</v>
      </c>
      <c r="K164" s="47" t="s">
        <v>346</v>
      </c>
      <c r="L164" s="110" t="s">
        <v>347</v>
      </c>
      <c r="M164" s="238"/>
      <c r="N164" s="217"/>
      <c r="O164" s="218"/>
      <c r="P164" s="218"/>
      <c r="Q164" s="218"/>
      <c r="R164" s="219"/>
    </row>
    <row r="165" s="1" customFormat="1" ht="15.75" spans="1:21">
      <c r="A165" s="220"/>
      <c r="B165" s="221"/>
      <c r="C165" s="221"/>
      <c r="D165" s="221"/>
      <c r="E165" s="222">
        <f>SUM(E138:E164)</f>
        <v>1600</v>
      </c>
      <c r="F165" s="242"/>
      <c r="G165" s="242"/>
      <c r="H165" s="223">
        <f>SUM(H138:H164)</f>
        <v>1628816</v>
      </c>
      <c r="I165" s="224"/>
      <c r="J165" s="225">
        <f>SUM(J138:J164)</f>
        <v>125239344</v>
      </c>
      <c r="K165" s="221"/>
      <c r="L165" s="239"/>
      <c r="M165" s="240"/>
      <c r="N165" s="241"/>
      <c r="O165" s="221"/>
      <c r="P165" s="221"/>
      <c r="Q165" s="221"/>
      <c r="R165" s="226"/>
    </row>
    <row r="166" s="1" customFormat="1" spans="1:21">
      <c r="A166" s="228">
        <v>152</v>
      </c>
      <c r="B166" s="229">
        <v>46131</v>
      </c>
      <c r="C166" s="207">
        <v>8612976</v>
      </c>
      <c r="D166" s="208">
        <v>50723477</v>
      </c>
      <c r="E166" s="209">
        <v>50.1</v>
      </c>
      <c r="F166" s="44">
        <v>1060.01</v>
      </c>
      <c r="G166" s="44">
        <f>F166-42</f>
        <v>1018.01</v>
      </c>
      <c r="H166" s="44">
        <f>E166*G166</f>
        <v>51002.301</v>
      </c>
      <c r="I166" s="45">
        <v>78274.59</v>
      </c>
      <c r="J166" s="46">
        <f>E166*I166</f>
        <v>3921556.959</v>
      </c>
      <c r="K166" s="47" t="s">
        <v>346</v>
      </c>
      <c r="L166" s="110" t="s">
        <v>347</v>
      </c>
      <c r="M166" s="230"/>
      <c r="N166" s="231"/>
      <c r="O166" s="232"/>
      <c r="P166" s="232"/>
      <c r="Q166" s="232"/>
      <c r="R166" s="233"/>
    </row>
    <row r="167" s="1" customFormat="1" spans="1:21">
      <c r="A167" s="211">
        <f>A166+1</f>
        <v>153</v>
      </c>
      <c r="B167" s="229">
        <v>46131</v>
      </c>
      <c r="C167" s="207">
        <v>8612976</v>
      </c>
      <c r="D167" s="208">
        <v>54241997</v>
      </c>
      <c r="E167" s="209">
        <v>59.45</v>
      </c>
      <c r="F167" s="44">
        <v>1060.01</v>
      </c>
      <c r="G167" s="44">
        <f>F167-42</f>
        <v>1018.01</v>
      </c>
      <c r="H167" s="44">
        <f>E167*G167</f>
        <v>60520.6945</v>
      </c>
      <c r="I167" s="45">
        <v>78274.59</v>
      </c>
      <c r="J167" s="46">
        <f>E167*I167</f>
        <v>4653424.3755</v>
      </c>
      <c r="K167" s="47" t="s">
        <v>346</v>
      </c>
      <c r="L167" s="110" t="s">
        <v>347</v>
      </c>
      <c r="M167" s="234"/>
      <c r="N167" s="206"/>
      <c r="O167" s="211"/>
      <c r="P167" s="211"/>
      <c r="Q167" s="211"/>
      <c r="R167" s="212"/>
    </row>
    <row r="168" s="1" customFormat="1" spans="1:21">
      <c r="A168" s="211">
        <f>A167+1</f>
        <v>154</v>
      </c>
      <c r="B168" s="229">
        <v>46131</v>
      </c>
      <c r="C168" s="207">
        <v>8612976</v>
      </c>
      <c r="D168" s="208">
        <v>58644956</v>
      </c>
      <c r="E168" s="209">
        <v>50.35</v>
      </c>
      <c r="F168" s="44">
        <v>1060.01</v>
      </c>
      <c r="G168" s="44">
        <f>F168-42</f>
        <v>1018.01</v>
      </c>
      <c r="H168" s="44">
        <f>E168*G168</f>
        <v>51256.8035</v>
      </c>
      <c r="I168" s="45">
        <v>78274.59</v>
      </c>
      <c r="J168" s="46">
        <f>E168*I168</f>
        <v>3941125.6065</v>
      </c>
      <c r="K168" s="47" t="s">
        <v>346</v>
      </c>
      <c r="L168" s="110" t="s">
        <v>347</v>
      </c>
      <c r="M168" s="234"/>
      <c r="N168" s="206"/>
      <c r="O168" s="211"/>
      <c r="P168" s="211"/>
      <c r="Q168" s="211"/>
      <c r="R168" s="212"/>
    </row>
    <row r="169" s="1" customFormat="1" spans="1:21">
      <c r="A169" s="211">
        <f>A168+1</f>
        <v>155</v>
      </c>
      <c r="B169" s="229">
        <v>46131</v>
      </c>
      <c r="C169" s="207">
        <v>8612976</v>
      </c>
      <c r="D169" s="208">
        <v>73194185</v>
      </c>
      <c r="E169" s="209">
        <v>59.85</v>
      </c>
      <c r="F169" s="44">
        <v>1060.01</v>
      </c>
      <c r="G169" s="44">
        <f>F169-42</f>
        <v>1018.01</v>
      </c>
      <c r="H169" s="44">
        <f>E169*G169</f>
        <v>60927.8985</v>
      </c>
      <c r="I169" s="45">
        <v>78274.59</v>
      </c>
      <c r="J169" s="46">
        <f>E169*I169</f>
        <v>4684734.2115</v>
      </c>
      <c r="K169" s="47" t="s">
        <v>346</v>
      </c>
      <c r="L169" s="110" t="s">
        <v>347</v>
      </c>
      <c r="M169" s="234"/>
      <c r="N169" s="206"/>
      <c r="O169" s="211"/>
      <c r="P169" s="211"/>
      <c r="Q169" s="211"/>
      <c r="R169" s="212"/>
    </row>
    <row r="170" s="1" customFormat="1" spans="1:21">
      <c r="A170" s="211">
        <f>A169+1</f>
        <v>156</v>
      </c>
      <c r="B170" s="229">
        <v>46131</v>
      </c>
      <c r="C170" s="207">
        <v>8612976</v>
      </c>
      <c r="D170" s="208">
        <v>75108316</v>
      </c>
      <c r="E170" s="209">
        <v>59.9</v>
      </c>
      <c r="F170" s="44">
        <v>1060.01</v>
      </c>
      <c r="G170" s="44">
        <f>F170-42</f>
        <v>1018.01</v>
      </c>
      <c r="H170" s="44">
        <f>E170*G170</f>
        <v>60978.799</v>
      </c>
      <c r="I170" s="45">
        <v>78274.59</v>
      </c>
      <c r="J170" s="46">
        <f>E170*I170</f>
        <v>4688647.941</v>
      </c>
      <c r="K170" s="47" t="s">
        <v>346</v>
      </c>
      <c r="L170" s="110" t="s">
        <v>347</v>
      </c>
      <c r="M170" s="234"/>
      <c r="N170" s="206"/>
      <c r="O170" s="211"/>
      <c r="P170" s="211"/>
      <c r="Q170" s="211"/>
      <c r="R170" s="212"/>
    </row>
    <row r="171" s="1" customFormat="1" spans="1:21">
      <c r="A171" s="211">
        <f>A170+1</f>
        <v>157</v>
      </c>
      <c r="B171" s="229">
        <v>46131</v>
      </c>
      <c r="C171" s="207">
        <v>8612976</v>
      </c>
      <c r="D171" s="208">
        <v>75229971</v>
      </c>
      <c r="E171" s="209">
        <v>60.4</v>
      </c>
      <c r="F171" s="44">
        <v>1060.01</v>
      </c>
      <c r="G171" s="44">
        <f>F171-42</f>
        <v>1018.01</v>
      </c>
      <c r="H171" s="44">
        <f>E171*G171</f>
        <v>61487.804</v>
      </c>
      <c r="I171" s="45">
        <v>78274.59</v>
      </c>
      <c r="J171" s="46">
        <f>E171*I171</f>
        <v>4727785.236</v>
      </c>
      <c r="K171" s="47" t="s">
        <v>346</v>
      </c>
      <c r="L171" s="110" t="s">
        <v>347</v>
      </c>
      <c r="M171" s="234"/>
      <c r="N171" s="206"/>
      <c r="O171" s="211"/>
      <c r="P171" s="211"/>
      <c r="Q171" s="211"/>
      <c r="R171" s="212"/>
    </row>
    <row r="172" s="1" customFormat="1" spans="1:21">
      <c r="A172" s="211">
        <f>A171+1</f>
        <v>158</v>
      </c>
      <c r="B172" s="229">
        <v>46131</v>
      </c>
      <c r="C172" s="207">
        <v>8612976</v>
      </c>
      <c r="D172" s="208">
        <v>75235531</v>
      </c>
      <c r="E172" s="209">
        <v>60.15</v>
      </c>
      <c r="F172" s="44">
        <v>1060.01</v>
      </c>
      <c r="G172" s="44">
        <f>F172-42</f>
        <v>1018.01</v>
      </c>
      <c r="H172" s="44">
        <f>E172*G172</f>
        <v>61233.3015</v>
      </c>
      <c r="I172" s="45">
        <v>78274.59</v>
      </c>
      <c r="J172" s="46">
        <f>E172*I172</f>
        <v>4708216.5885</v>
      </c>
      <c r="K172" s="47" t="s">
        <v>346</v>
      </c>
      <c r="L172" s="110" t="s">
        <v>347</v>
      </c>
      <c r="M172" s="234"/>
      <c r="N172" s="206"/>
      <c r="O172" s="211"/>
      <c r="P172" s="211"/>
      <c r="Q172" s="211"/>
      <c r="R172" s="212"/>
    </row>
    <row r="173" s="1" customFormat="1" ht="15.75" spans="1:21">
      <c r="A173" s="211">
        <f>A172+1</f>
        <v>159</v>
      </c>
      <c r="B173" s="229">
        <v>46131</v>
      </c>
      <c r="C173" s="207">
        <v>8612976</v>
      </c>
      <c r="D173" s="208">
        <v>75298976</v>
      </c>
      <c r="E173" s="209">
        <v>60.35</v>
      </c>
      <c r="F173" s="44">
        <v>1060.01</v>
      </c>
      <c r="G173" s="44">
        <f>F173-42</f>
        <v>1018.01</v>
      </c>
      <c r="H173" s="44">
        <f>E173*G173</f>
        <v>61436.9035</v>
      </c>
      <c r="I173" s="45">
        <v>78274.59</v>
      </c>
      <c r="J173" s="46">
        <f>E173*I173</f>
        <v>4723871.5065</v>
      </c>
      <c r="K173" s="47" t="s">
        <v>346</v>
      </c>
      <c r="L173" s="110" t="s">
        <v>347</v>
      </c>
      <c r="M173" s="234"/>
      <c r="N173" s="206"/>
      <c r="O173" s="211"/>
      <c r="P173" s="211"/>
      <c r="Q173" s="211"/>
      <c r="R173" s="212"/>
    </row>
    <row r="174" s="1" customFormat="1" ht="15.75" spans="1:21">
      <c r="A174" s="211">
        <f>A173+1</f>
        <v>160</v>
      </c>
      <c r="B174" s="229">
        <v>46131</v>
      </c>
      <c r="C174" s="207">
        <v>8612976</v>
      </c>
      <c r="D174" s="208">
        <v>75298984</v>
      </c>
      <c r="E174" s="209">
        <v>60.2</v>
      </c>
      <c r="F174" s="44">
        <v>1060.01</v>
      </c>
      <c r="G174" s="44">
        <f>F174-42</f>
        <v>1018.01</v>
      </c>
      <c r="H174" s="44">
        <f>E174*G174</f>
        <v>61284.202</v>
      </c>
      <c r="I174" s="45">
        <v>78274.59</v>
      </c>
      <c r="J174" s="46">
        <f>E174*I174</f>
        <v>4712130.318</v>
      </c>
      <c r="K174" s="47" t="s">
        <v>346</v>
      </c>
      <c r="L174" s="110" t="s">
        <v>347</v>
      </c>
      <c r="M174" s="234"/>
      <c r="N174" s="206"/>
      <c r="O174" s="211"/>
      <c r="P174" s="211"/>
      <c r="Q174" s="211"/>
      <c r="R174" s="212"/>
      <c r="U174" s="243">
        <f>U16+U27+U35+U46+U55+U68+U112+U133+U161+U173+U90</f>
        <v>0</v>
      </c>
    </row>
    <row r="175" s="1" customFormat="1" spans="1:21">
      <c r="A175" s="211">
        <f>A174+1</f>
        <v>161</v>
      </c>
      <c r="B175" s="229">
        <v>46131</v>
      </c>
      <c r="C175" s="207">
        <v>8612976</v>
      </c>
      <c r="D175" s="208">
        <v>76296599</v>
      </c>
      <c r="E175" s="209">
        <v>60.2</v>
      </c>
      <c r="F175" s="44">
        <v>1060.01</v>
      </c>
      <c r="G175" s="44">
        <f>F175-42</f>
        <v>1018.01</v>
      </c>
      <c r="H175" s="44">
        <f>E175*G175</f>
        <v>61284.202</v>
      </c>
      <c r="I175" s="45">
        <v>78274.59</v>
      </c>
      <c r="J175" s="46">
        <f>E175*I175</f>
        <v>4712130.318</v>
      </c>
      <c r="K175" s="47" t="s">
        <v>346</v>
      </c>
      <c r="L175" s="110" t="s">
        <v>347</v>
      </c>
      <c r="M175" s="234"/>
      <c r="N175" s="206"/>
      <c r="O175" s="211"/>
      <c r="P175" s="211"/>
      <c r="Q175" s="211"/>
      <c r="R175" s="212"/>
    </row>
    <row r="176" s="1" customFormat="1" ht="15.75" spans="1:21">
      <c r="A176" s="211">
        <f>A175+1</f>
        <v>162</v>
      </c>
      <c r="B176" s="236">
        <v>46131</v>
      </c>
      <c r="C176" s="214">
        <v>8612976</v>
      </c>
      <c r="D176" s="215">
        <v>76393891</v>
      </c>
      <c r="E176" s="237">
        <v>60.25</v>
      </c>
      <c r="F176" s="44">
        <v>1060.01</v>
      </c>
      <c r="G176" s="44">
        <f>F176-42</f>
        <v>1018.01</v>
      </c>
      <c r="H176" s="44">
        <f>E176*G176</f>
        <v>61335.1025</v>
      </c>
      <c r="I176" s="45">
        <v>78274.59</v>
      </c>
      <c r="J176" s="46">
        <f>E176*I176</f>
        <v>4716044.0475</v>
      </c>
      <c r="K176" s="47" t="s">
        <v>346</v>
      </c>
      <c r="L176" s="110" t="s">
        <v>347</v>
      </c>
      <c r="M176" s="238"/>
      <c r="N176" s="217"/>
      <c r="O176" s="218"/>
      <c r="P176" s="218"/>
      <c r="Q176" s="218"/>
      <c r="R176" s="219"/>
    </row>
    <row r="177" s="1" customFormat="1" ht="15.75" spans="1:18">
      <c r="A177" s="244"/>
      <c r="B177" s="245"/>
      <c r="C177" s="245"/>
      <c r="D177" s="245"/>
      <c r="E177" s="246">
        <f>SUM(E166:E176)</f>
        <v>641.2</v>
      </c>
      <c r="F177" s="247"/>
      <c r="G177" s="247"/>
      <c r="H177" s="248">
        <f>SUM(H166:H176)</f>
        <v>652748.012</v>
      </c>
      <c r="I177" s="249"/>
      <c r="J177" s="250">
        <f>SUM(J166:J176)</f>
        <v>50189667.108</v>
      </c>
      <c r="K177" s="245"/>
      <c r="L177" s="251"/>
      <c r="M177" s="252"/>
      <c r="N177" s="253"/>
      <c r="O177" s="245"/>
      <c r="P177" s="245"/>
      <c r="Q177" s="245"/>
      <c r="R177" s="254"/>
    </row>
    <row r="178" ht="15.75" spans="1:18">
      <c r="A178" s="255"/>
      <c r="B178" s="256"/>
      <c r="C178" s="256"/>
      <c r="D178" s="256"/>
      <c r="E178" s="257">
        <f>E20+E31+E39+E50+E59+E116+E137+E165+E177+E72+E94</f>
        <v>9593.1</v>
      </c>
      <c r="F178" s="256"/>
      <c r="G178" s="256"/>
      <c r="H178" s="258">
        <f>H20+H31+H39+H50+H59+H116+H137+H165+H177+H72+H94</f>
        <v>9765871.88125</v>
      </c>
      <c r="I178" s="259"/>
      <c r="J178" s="243">
        <f>J20+J31+J39+J50+J59+J72+J116+J137+J165+J177+J94</f>
        <v>750895969.329</v>
      </c>
      <c r="K178" s="256"/>
      <c r="L178" s="260"/>
      <c r="M178" s="261"/>
      <c r="N178" s="255"/>
      <c r="O178" s="256"/>
      <c r="P178" s="256"/>
      <c r="Q178" s="256"/>
      <c r="R178" s="260"/>
    </row>
    <row r="180" ht="15.75"/>
    <row r="181" spans="1:18">
      <c r="B181" s="262" t="s">
        <v>161</v>
      </c>
      <c r="C181" s="263"/>
      <c r="D181" s="264"/>
      <c r="E181" s="265">
        <v>10000</v>
      </c>
    </row>
    <row r="182" spans="1:18">
      <c r="B182" s="266" t="s">
        <v>162</v>
      </c>
      <c r="C182" s="267"/>
      <c r="D182" s="268"/>
      <c r="E182" s="269">
        <f>E178</f>
        <v>9593.1</v>
      </c>
      <c r="I182" s="270"/>
    </row>
    <row r="183" ht="15.75" spans="1:18">
      <c r="B183" s="271" t="s">
        <v>163</v>
      </c>
      <c r="C183" s="272"/>
      <c r="D183" s="273"/>
      <c r="E183" s="274">
        <f>E181-E182</f>
        <v>406.900000000001</v>
      </c>
    </row>
  </sheetData>
  <mergeCells count="6">
    <mergeCell ref="A1:M1"/>
    <mergeCell ref="A2:M2"/>
    <mergeCell ref="A3:L3"/>
    <mergeCell ref="B181:D181"/>
    <mergeCell ref="B182:D182"/>
    <mergeCell ref="B183:D183"/>
  </mergeCells>
  <conditionalFormatting sqref="D95">
    <cfRule type="duplicateValues" dxfId="0" priority="1"/>
  </conditionalFormatting>
  <conditionalFormatting sqref="D4:D50">
    <cfRule type="duplicateValues" dxfId="0" priority="3"/>
  </conditionalFormatting>
  <conditionalFormatting sqref="D181:D183">
    <cfRule type="duplicateValues" dxfId="0" priority="2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2025</vt:lpstr>
      <vt:lpstr>2026</vt:lpstr>
      <vt:lpstr>Transport</vt:lpstr>
      <vt:lpstr>EXCHANGE</vt:lpstr>
      <vt:lpstr>Sheet1</vt:lpstr>
      <vt:lpstr>January</vt:lpstr>
      <vt:lpstr>March</vt:lpstr>
      <vt:lpstr>April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PARSA COMPUTER</cp:lastModifiedBy>
  <dcterms:created xsi:type="dcterms:W3CDTF">2006-09-16T00:00:00Z</dcterms:created>
  <dcterms:modified xsi:type="dcterms:W3CDTF">2026-08-02T11:01:37Z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E0415B0B958B4F3590B04F8562E48726_12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