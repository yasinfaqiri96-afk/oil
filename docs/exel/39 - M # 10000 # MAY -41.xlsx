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 folder\Contract\2026\BNK KHUMOR\"/>
    </mc:Choice>
  </mc:AlternateContent>
  <xr:revisionPtr revIDLastSave="0" documentId="13_ncr:1_{E747EE6F-CB6C-45E8-832D-6765B27EDE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4" i="1" l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A173" i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A154" i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I153" i="1"/>
  <c r="G153" i="1"/>
  <c r="A153" i="1"/>
  <c r="I152" i="1"/>
  <c r="G152" i="1"/>
  <c r="I150" i="1"/>
  <c r="G150" i="1"/>
  <c r="I149" i="1"/>
  <c r="G149" i="1"/>
  <c r="I148" i="1"/>
  <c r="G148" i="1"/>
  <c r="I147" i="1"/>
  <c r="G147" i="1"/>
  <c r="A147" i="1"/>
  <c r="A148" i="1" s="1"/>
  <c r="A149" i="1" s="1"/>
  <c r="A150" i="1" s="1"/>
  <c r="I146" i="1"/>
  <c r="G146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A128" i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I127" i="1"/>
  <c r="G127" i="1"/>
  <c r="A127" i="1"/>
  <c r="I126" i="1"/>
  <c r="G126" i="1"/>
  <c r="A126" i="1"/>
  <c r="I125" i="1"/>
  <c r="G125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I61" i="1"/>
  <c r="G61" i="1"/>
  <c r="A61" i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100" i="1" s="1"/>
  <c r="A101" i="1" s="1"/>
  <c r="A102" i="1" s="1"/>
  <c r="A103" i="1" s="1"/>
  <c r="A104" i="1" s="1"/>
  <c r="A105" i="1" s="1"/>
  <c r="A106" i="1" s="1"/>
  <c r="A107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I60" i="1"/>
  <c r="G60" i="1"/>
  <c r="A60" i="1"/>
  <c r="I59" i="1"/>
  <c r="G59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I41" i="1"/>
  <c r="G41" i="1"/>
  <c r="A41" i="1"/>
  <c r="I40" i="1"/>
  <c r="G40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A31" i="1"/>
  <c r="A32" i="1" s="1"/>
  <c r="A33" i="1" s="1"/>
  <c r="A34" i="1" s="1"/>
  <c r="A35" i="1" s="1"/>
  <c r="A36" i="1" s="1"/>
  <c r="A37" i="1" s="1"/>
  <c r="A38" i="1" s="1"/>
  <c r="I30" i="1"/>
  <c r="G30" i="1"/>
  <c r="I29" i="1"/>
  <c r="G29" i="1"/>
  <c r="I28" i="1"/>
  <c r="G28" i="1"/>
  <c r="I27" i="1"/>
  <c r="G27" i="1"/>
  <c r="A27" i="1"/>
  <c r="A28" i="1" s="1"/>
  <c r="A29" i="1" s="1"/>
  <c r="A30" i="1" s="1"/>
  <c r="I26" i="1"/>
  <c r="G26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I7" i="1"/>
  <c r="G7" i="1"/>
  <c r="A7" i="1"/>
  <c r="I6" i="1"/>
  <c r="G6" i="1"/>
  <c r="A6" i="1"/>
  <c r="I5" i="1"/>
  <c r="G5" i="1"/>
  <c r="F5" i="1"/>
  <c r="E189" i="1" l="1"/>
  <c r="E190" i="1" s="1"/>
</calcChain>
</file>

<file path=xl/sharedStrings.xml><?xml version="1.0" encoding="utf-8"?>
<sst xmlns="http://schemas.openxmlformats.org/spreadsheetml/2006/main" count="455" uniqueCount="60">
  <si>
    <t xml:space="preserve"> Contract BNK-KHM/9-4-12/140 dd 29.07.2022, between "BNK-FZCO" (UAE) and "KHUMOR" LLC (KYRGYZ REPUBLIC) </t>
  </si>
  <si>
    <r>
      <t>ADDENDUM № 39-M dd 30</t>
    </r>
    <r>
      <rPr>
        <b/>
        <sz val="11"/>
        <color rgb="FFFF0000"/>
        <rFont val="Times New Roman"/>
        <family val="1"/>
        <charset val="204"/>
      </rPr>
      <t>.</t>
    </r>
    <r>
      <rPr>
        <b/>
        <sz val="11"/>
        <rFont val="Times New Roman"/>
        <family val="1"/>
        <charset val="204"/>
      </rPr>
      <t xml:space="preserve">04.26 (DAP TRUSOVO) </t>
    </r>
  </si>
  <si>
    <t>-41$</t>
  </si>
  <si>
    <t>№</t>
  </si>
  <si>
    <t>Date</t>
  </si>
  <si>
    <t>RWB No</t>
  </si>
  <si>
    <t xml:space="preserve">Wagons No </t>
  </si>
  <si>
    <t>Loaded quantity (MT)</t>
  </si>
  <si>
    <t>Price in may 01.05.26-31.05.26 $</t>
  </si>
  <si>
    <t>Total</t>
  </si>
  <si>
    <t xml:space="preserve">Fix price in rub </t>
  </si>
  <si>
    <t>Consignee</t>
  </si>
  <si>
    <t>Destination</t>
  </si>
  <si>
    <t>Terminal Ilinka</t>
  </si>
  <si>
    <t>Trusowo</t>
  </si>
  <si>
    <t xml:space="preserve">09 05 26 </t>
  </si>
  <si>
    <t>40003600</t>
  </si>
  <si>
    <t>50592815</t>
  </si>
  <si>
    <t>71061055</t>
  </si>
  <si>
    <t>71061188</t>
  </si>
  <si>
    <t>75248211</t>
  </si>
  <si>
    <t>76953694</t>
  </si>
  <si>
    <t>40003736</t>
  </si>
  <si>
    <t>50175223</t>
  </si>
  <si>
    <t>53914727</t>
  </si>
  <si>
    <t>54082805</t>
  </si>
  <si>
    <t>54088083</t>
  </si>
  <si>
    <t>54088257</t>
  </si>
  <si>
    <t>57434094</t>
  </si>
  <si>
    <t>73034845</t>
  </si>
  <si>
    <t>73105108</t>
  </si>
  <si>
    <t>73107708</t>
  </si>
  <si>
    <t>73112161</t>
  </si>
  <si>
    <t>73112344</t>
  </si>
  <si>
    <t>73166670</t>
  </si>
  <si>
    <t>73167389</t>
  </si>
  <si>
    <t>73168205</t>
  </si>
  <si>
    <t>73172959</t>
  </si>
  <si>
    <t>73233025</t>
  </si>
  <si>
    <t>73912123</t>
  </si>
  <si>
    <t>75200303</t>
  </si>
  <si>
    <t>75230615</t>
  </si>
  <si>
    <t>75278507</t>
  </si>
  <si>
    <t>40003737</t>
  </si>
  <si>
    <t>51814168</t>
  </si>
  <si>
    <t>54629860</t>
  </si>
  <si>
    <t>58706763</t>
  </si>
  <si>
    <t>73010639</t>
  </si>
  <si>
    <t>73168270</t>
  </si>
  <si>
    <t>73168452</t>
  </si>
  <si>
    <t>73180010</t>
  </si>
  <si>
    <t>73230864</t>
  </si>
  <si>
    <t>73231839</t>
  </si>
  <si>
    <t>74903253</t>
  </si>
  <si>
    <t>75330068</t>
  </si>
  <si>
    <t>75332536</t>
  </si>
  <si>
    <t>75342816</t>
  </si>
  <si>
    <t>FULL TONNAGE</t>
  </si>
  <si>
    <t>LOADED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</si>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</sst>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.mm\.yy"/>
    <numFmt numFmtId="165" formatCode="0.000"/>
    <numFmt numFmtId="166" formatCode="[$$-C09]#,##0.00"/>
    <numFmt numFmtId="167" formatCode="[$$-C09]#,##0.000"/>
    <numFmt numFmtId="168" formatCode="#,##0.00\ &quot;₽&quot;"/>
    <numFmt numFmtId="169" formatCode="#,##0.000\ &quot;₽&quot;"/>
    <numFmt numFmtId="170" formatCode="#,##0.000"/>
    <numFmt numFmtId="171" formatCode="#,##0.00;[Red]#,##0.00"/>
    <numFmt numFmtId="172" formatCode="#,##0.000;[Red]#,##0.000"/>
  </numFmts>
  <fonts count="9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B4C6E7"/>
        <bgColor rgb="FF000000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 wrapText="1"/>
    </xf>
    <xf numFmtId="166" fontId="2" fillId="0" borderId="6" xfId="0" applyNumberFormat="1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 vertical="center"/>
    </xf>
    <xf numFmtId="169" fontId="2" fillId="0" borderId="6" xfId="0" applyNumberFormat="1" applyFont="1" applyBorder="1" applyAlignment="1">
      <alignment horizontal="center"/>
    </xf>
    <xf numFmtId="166" fontId="7" fillId="0" borderId="7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 wrapText="1"/>
    </xf>
    <xf numFmtId="168" fontId="2" fillId="0" borderId="9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70" fontId="1" fillId="2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7" fontId="1" fillId="2" borderId="11" xfId="0" applyNumberFormat="1" applyFont="1" applyFill="1" applyBorder="1" applyAlignment="1">
      <alignment horizontal="center"/>
    </xf>
    <xf numFmtId="169" fontId="1" fillId="2" borderId="11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70" fontId="2" fillId="0" borderId="6" xfId="0" applyNumberFormat="1" applyFont="1" applyBorder="1" applyAlignment="1">
      <alignment horizontal="center"/>
    </xf>
    <xf numFmtId="168" fontId="2" fillId="0" borderId="6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170" fontId="2" fillId="0" borderId="7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9" fontId="2" fillId="0" borderId="17" xfId="0" applyNumberFormat="1" applyFont="1" applyBorder="1" applyAlignment="1">
      <alignment horizontal="center"/>
    </xf>
    <xf numFmtId="166" fontId="7" fillId="0" borderId="9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169" fontId="2" fillId="0" borderId="9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 wrapText="1"/>
    </xf>
    <xf numFmtId="1" fontId="2" fillId="0" borderId="20" xfId="0" applyNumberFormat="1" applyFont="1" applyBorder="1" applyAlignment="1">
      <alignment horizontal="center"/>
    </xf>
    <xf numFmtId="165" fontId="2" fillId="0" borderId="20" xfId="0" applyNumberFormat="1" applyFont="1" applyBorder="1" applyAlignment="1">
      <alignment horizontal="center" wrapText="1"/>
    </xf>
    <xf numFmtId="1" fontId="2" fillId="0" borderId="21" xfId="0" applyNumberFormat="1" applyFont="1" applyBorder="1" applyAlignment="1">
      <alignment horizontal="center"/>
    </xf>
    <xf numFmtId="165" fontId="2" fillId="0" borderId="21" xfId="0" applyNumberFormat="1" applyFont="1" applyBorder="1" applyAlignment="1">
      <alignment horizontal="center" wrapText="1"/>
    </xf>
    <xf numFmtId="1" fontId="2" fillId="0" borderId="22" xfId="0" applyNumberFormat="1" applyFont="1" applyBorder="1" applyAlignment="1">
      <alignment horizontal="center"/>
    </xf>
    <xf numFmtId="165" fontId="2" fillId="0" borderId="22" xfId="0" applyNumberFormat="1" applyFont="1" applyBorder="1" applyAlignment="1">
      <alignment horizontal="center" wrapText="1"/>
    </xf>
    <xf numFmtId="0" fontId="2" fillId="0" borderId="23" xfId="0" applyFont="1" applyBorder="1" applyAlignment="1">
      <alignment horizontal="center"/>
    </xf>
    <xf numFmtId="14" fontId="2" fillId="0" borderId="24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 wrapText="1"/>
    </xf>
    <xf numFmtId="167" fontId="2" fillId="0" borderId="24" xfId="0" applyNumberFormat="1" applyFont="1" applyBorder="1" applyAlignment="1">
      <alignment horizontal="center"/>
    </xf>
    <xf numFmtId="168" fontId="2" fillId="0" borderId="24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/>
    </xf>
    <xf numFmtId="166" fontId="7" fillId="0" borderId="24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166" fontId="2" fillId="0" borderId="9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70" fontId="1" fillId="3" borderId="11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67" fontId="1" fillId="3" borderId="11" xfId="0" applyNumberFormat="1" applyFont="1" applyFill="1" applyBorder="1" applyAlignment="1">
      <alignment horizontal="center"/>
    </xf>
    <xf numFmtId="169" fontId="1" fillId="3" borderId="11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71" fontId="1" fillId="0" borderId="30" xfId="0" applyNumberFormat="1" applyFont="1" applyBorder="1" applyAlignment="1">
      <alignment horizontal="center" vertical="center"/>
    </xf>
    <xf numFmtId="172" fontId="1" fillId="0" borderId="34" xfId="0" applyNumberFormat="1" applyFont="1" applyBorder="1" applyAlignment="1">
      <alignment horizontal="center" vertical="center"/>
    </xf>
    <xf numFmtId="172" fontId="8" fillId="0" borderId="3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i%20Ahmad/Downloads/2026%20-%20Loading%20of%20Khumor%20-%20BNK%20(LAST)-1%20(13).xlsx" TargetMode="External"/><Relationship Id="rId1" Type="http://schemas.openxmlformats.org/officeDocument/2006/relationships/externalLinkPath" Target="/Users/Ali%20Ahmad/Downloads/2026%20-%20Loading%20of%20Khumor%20-%20BNK%20(LAST)-1%20(1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3-М"/>
      <sheetName val=" 34-M AI-92"/>
      <sheetName val="35-М Diesel DT-E-K5"/>
      <sheetName val="37-М AI-92 15000"/>
      <sheetName val="38-М "/>
      <sheetName val="39-М"/>
      <sheetName val="Platt's 2026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4">
          <cell r="Z34">
            <v>1127.1447368421052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1"/>
  <sheetViews>
    <sheetView tabSelected="1" topLeftCell="A175" workbookViewId="0">
      <selection activeCell="A186" sqref="A186:XFD186"/>
    </sheetView>
  </sheetViews>
  <sheetFormatPr defaultRowHeight="15" x14ac:dyDescent="0.25"/>
  <cols>
    <col min="2" max="2" width="14.42578125" customWidth="1"/>
    <col min="3" max="3" width="13" customWidth="1"/>
    <col min="4" max="4" width="13.7109375" customWidth="1"/>
    <col min="5" max="5" width="15" customWidth="1"/>
    <col min="7" max="7" width="17.5703125" customWidth="1"/>
    <col min="8" max="8" width="19.28515625" customWidth="1"/>
    <col min="9" max="9" width="18.28515625" customWidth="1"/>
  </cols>
  <sheetData>
    <row r="1" spans="1:11" x14ac:dyDescent="0.2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</row>
    <row r="2" spans="1:11" x14ac:dyDescent="0.2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1" ht="15.75" thickBot="1" x14ac:dyDescent="0.3">
      <c r="A3" s="1"/>
      <c r="B3" s="1"/>
      <c r="C3" s="1"/>
      <c r="D3" s="1"/>
      <c r="E3" s="1"/>
      <c r="F3" s="2" t="s">
        <v>2</v>
      </c>
      <c r="G3" s="1"/>
      <c r="H3" s="3"/>
      <c r="I3" s="3"/>
      <c r="J3" s="1"/>
      <c r="K3" s="1"/>
    </row>
    <row r="4" spans="1:11" ht="90.75" thickBot="1" x14ac:dyDescent="0.3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7" t="s">
        <v>8</v>
      </c>
      <c r="G4" s="7" t="s">
        <v>9</v>
      </c>
      <c r="H4" s="8" t="s">
        <v>10</v>
      </c>
      <c r="I4" s="8" t="s">
        <v>9</v>
      </c>
      <c r="J4" s="5" t="s">
        <v>11</v>
      </c>
      <c r="K4" s="9" t="s">
        <v>12</v>
      </c>
    </row>
    <row r="5" spans="1:11" ht="30" x14ac:dyDescent="0.25">
      <c r="A5" s="10">
        <v>1</v>
      </c>
      <c r="B5" s="11">
        <v>46149</v>
      </c>
      <c r="C5" s="12">
        <v>40001542</v>
      </c>
      <c r="D5" s="12">
        <v>50071216</v>
      </c>
      <c r="E5" s="13">
        <v>51.4</v>
      </c>
      <c r="F5" s="14">
        <f>'[1]Platt''s 2026'!Z34-41</f>
        <v>1086.1447368421052</v>
      </c>
      <c r="G5" s="15">
        <f>E5*F5</f>
        <v>55827.839473684209</v>
      </c>
      <c r="H5" s="16">
        <v>82601.11</v>
      </c>
      <c r="I5" s="17">
        <f>E5*H5</f>
        <v>4245697.0539999995</v>
      </c>
      <c r="J5" s="18" t="s">
        <v>13</v>
      </c>
      <c r="K5" s="19" t="s">
        <v>14</v>
      </c>
    </row>
    <row r="6" spans="1:11" ht="30" x14ac:dyDescent="0.25">
      <c r="A6" s="20">
        <f>A5+1</f>
        <v>2</v>
      </c>
      <c r="B6" s="11">
        <v>46149</v>
      </c>
      <c r="C6" s="12">
        <v>40001542</v>
      </c>
      <c r="D6" s="12">
        <v>50391234</v>
      </c>
      <c r="E6" s="13">
        <v>58.95</v>
      </c>
      <c r="F6" s="21">
        <v>1086.1400000000001</v>
      </c>
      <c r="G6" s="15">
        <f>E6*F6</f>
        <v>64027.953000000009</v>
      </c>
      <c r="H6" s="16">
        <v>82601.11</v>
      </c>
      <c r="I6" s="17">
        <f t="shared" ref="I6:I24" si="0">E6*H6</f>
        <v>4869335.4345000004</v>
      </c>
      <c r="J6" s="18" t="s">
        <v>13</v>
      </c>
      <c r="K6" s="19" t="s">
        <v>14</v>
      </c>
    </row>
    <row r="7" spans="1:11" ht="30" x14ac:dyDescent="0.25">
      <c r="A7" s="20">
        <f t="shared" ref="A7:A24" si="1">A6+1</f>
        <v>3</v>
      </c>
      <c r="B7" s="11">
        <v>46149</v>
      </c>
      <c r="C7" s="12">
        <v>40001542</v>
      </c>
      <c r="D7" s="12">
        <v>50768233</v>
      </c>
      <c r="E7" s="13">
        <v>50.15</v>
      </c>
      <c r="F7" s="21">
        <v>1086.1400000000001</v>
      </c>
      <c r="G7" s="15">
        <f t="shared" ref="G7:G24" si="2">E7*F7</f>
        <v>54469.921000000002</v>
      </c>
      <c r="H7" s="16">
        <v>82601.11</v>
      </c>
      <c r="I7" s="17">
        <f t="shared" si="0"/>
        <v>4142445.6664999998</v>
      </c>
      <c r="J7" s="18" t="s">
        <v>13</v>
      </c>
      <c r="K7" s="19" t="s">
        <v>14</v>
      </c>
    </row>
    <row r="8" spans="1:11" ht="30" x14ac:dyDescent="0.25">
      <c r="A8" s="20">
        <f t="shared" si="1"/>
        <v>4</v>
      </c>
      <c r="B8" s="11">
        <v>46149</v>
      </c>
      <c r="C8" s="12">
        <v>40001542</v>
      </c>
      <c r="D8" s="12">
        <v>50774322</v>
      </c>
      <c r="E8" s="13">
        <v>50.55</v>
      </c>
      <c r="F8" s="21">
        <v>1086.1400000000001</v>
      </c>
      <c r="G8" s="15">
        <f t="shared" si="2"/>
        <v>54904.377</v>
      </c>
      <c r="H8" s="16">
        <v>82601.11</v>
      </c>
      <c r="I8" s="17">
        <f t="shared" si="0"/>
        <v>4175486.1105</v>
      </c>
      <c r="J8" s="18" t="s">
        <v>13</v>
      </c>
      <c r="K8" s="19" t="s">
        <v>14</v>
      </c>
    </row>
    <row r="9" spans="1:11" ht="30" x14ac:dyDescent="0.25">
      <c r="A9" s="20">
        <f t="shared" si="1"/>
        <v>5</v>
      </c>
      <c r="B9" s="11">
        <v>46149</v>
      </c>
      <c r="C9" s="12">
        <v>40001542</v>
      </c>
      <c r="D9" s="12">
        <v>50778943</v>
      </c>
      <c r="E9" s="13">
        <v>50.45</v>
      </c>
      <c r="F9" s="21">
        <v>1086.1400000000001</v>
      </c>
      <c r="G9" s="15">
        <f t="shared" si="2"/>
        <v>54795.763000000006</v>
      </c>
      <c r="H9" s="16">
        <v>82601.11</v>
      </c>
      <c r="I9" s="17">
        <f t="shared" si="0"/>
        <v>4167225.9995000004</v>
      </c>
      <c r="J9" s="18" t="s">
        <v>13</v>
      </c>
      <c r="K9" s="19" t="s">
        <v>14</v>
      </c>
    </row>
    <row r="10" spans="1:11" ht="30" x14ac:dyDescent="0.25">
      <c r="A10" s="20">
        <f t="shared" si="1"/>
        <v>6</v>
      </c>
      <c r="B10" s="11">
        <v>46149</v>
      </c>
      <c r="C10" s="12">
        <v>40001542</v>
      </c>
      <c r="D10" s="12">
        <v>50786771</v>
      </c>
      <c r="E10" s="13">
        <v>50.15</v>
      </c>
      <c r="F10" s="21">
        <v>1086.1400000000001</v>
      </c>
      <c r="G10" s="15">
        <f t="shared" si="2"/>
        <v>54469.921000000002</v>
      </c>
      <c r="H10" s="16">
        <v>82601.11</v>
      </c>
      <c r="I10" s="17">
        <f t="shared" si="0"/>
        <v>4142445.6664999998</v>
      </c>
      <c r="J10" s="18" t="s">
        <v>13</v>
      </c>
      <c r="K10" s="19" t="s">
        <v>14</v>
      </c>
    </row>
    <row r="11" spans="1:11" ht="30" x14ac:dyDescent="0.25">
      <c r="A11" s="20">
        <f t="shared" si="1"/>
        <v>7</v>
      </c>
      <c r="B11" s="11">
        <v>46149</v>
      </c>
      <c r="C11" s="12">
        <v>40001542</v>
      </c>
      <c r="D11" s="12">
        <v>50960707</v>
      </c>
      <c r="E11" s="13">
        <v>59.1</v>
      </c>
      <c r="F11" s="21">
        <v>1086.1400000000001</v>
      </c>
      <c r="G11" s="15">
        <f t="shared" si="2"/>
        <v>64190.874000000011</v>
      </c>
      <c r="H11" s="16">
        <v>82601.11</v>
      </c>
      <c r="I11" s="17">
        <f t="shared" si="0"/>
        <v>4881725.6009999998</v>
      </c>
      <c r="J11" s="18" t="s">
        <v>13</v>
      </c>
      <c r="K11" s="19" t="s">
        <v>14</v>
      </c>
    </row>
    <row r="12" spans="1:11" ht="30" x14ac:dyDescent="0.25">
      <c r="A12" s="20">
        <f t="shared" si="1"/>
        <v>8</v>
      </c>
      <c r="B12" s="11">
        <v>46149</v>
      </c>
      <c r="C12" s="12">
        <v>40001542</v>
      </c>
      <c r="D12" s="12">
        <v>51217610</v>
      </c>
      <c r="E12" s="13">
        <v>50.8</v>
      </c>
      <c r="F12" s="21">
        <v>1086.1400000000001</v>
      </c>
      <c r="G12" s="15">
        <f t="shared" si="2"/>
        <v>55175.912000000004</v>
      </c>
      <c r="H12" s="16">
        <v>82601.11</v>
      </c>
      <c r="I12" s="17">
        <f t="shared" si="0"/>
        <v>4196136.3879999993</v>
      </c>
      <c r="J12" s="18" t="s">
        <v>13</v>
      </c>
      <c r="K12" s="19" t="s">
        <v>14</v>
      </c>
    </row>
    <row r="13" spans="1:11" ht="30" x14ac:dyDescent="0.25">
      <c r="A13" s="20">
        <f t="shared" si="1"/>
        <v>9</v>
      </c>
      <c r="B13" s="11">
        <v>46149</v>
      </c>
      <c r="C13" s="12">
        <v>40001542</v>
      </c>
      <c r="D13" s="12">
        <v>51231413</v>
      </c>
      <c r="E13" s="13">
        <v>50.75</v>
      </c>
      <c r="F13" s="21">
        <v>1086.1400000000001</v>
      </c>
      <c r="G13" s="15">
        <f t="shared" si="2"/>
        <v>55121.605000000003</v>
      </c>
      <c r="H13" s="16">
        <v>82601.11</v>
      </c>
      <c r="I13" s="17">
        <f t="shared" si="0"/>
        <v>4192006.3325</v>
      </c>
      <c r="J13" s="18" t="s">
        <v>13</v>
      </c>
      <c r="K13" s="19" t="s">
        <v>14</v>
      </c>
    </row>
    <row r="14" spans="1:11" ht="30" x14ac:dyDescent="0.25">
      <c r="A14" s="20">
        <f t="shared" si="1"/>
        <v>10</v>
      </c>
      <c r="B14" s="11">
        <v>46149</v>
      </c>
      <c r="C14" s="12">
        <v>40001542</v>
      </c>
      <c r="D14" s="12">
        <v>51289874</v>
      </c>
      <c r="E14" s="13">
        <v>50.2</v>
      </c>
      <c r="F14" s="21">
        <v>1086.1400000000001</v>
      </c>
      <c r="G14" s="15">
        <f t="shared" si="2"/>
        <v>54524.22800000001</v>
      </c>
      <c r="H14" s="16">
        <v>82601.11</v>
      </c>
      <c r="I14" s="17">
        <f t="shared" si="0"/>
        <v>4146575.7220000001</v>
      </c>
      <c r="J14" s="18" t="s">
        <v>13</v>
      </c>
      <c r="K14" s="19" t="s">
        <v>14</v>
      </c>
    </row>
    <row r="15" spans="1:11" ht="30" x14ac:dyDescent="0.25">
      <c r="A15" s="20">
        <f t="shared" si="1"/>
        <v>11</v>
      </c>
      <c r="B15" s="11">
        <v>46149</v>
      </c>
      <c r="C15" s="12">
        <v>40001542</v>
      </c>
      <c r="D15" s="12">
        <v>51487775</v>
      </c>
      <c r="E15" s="13">
        <v>58.85</v>
      </c>
      <c r="F15" s="21">
        <v>1086.1400000000001</v>
      </c>
      <c r="G15" s="15">
        <f t="shared" si="2"/>
        <v>63919.339000000007</v>
      </c>
      <c r="H15" s="16">
        <v>82601.11</v>
      </c>
      <c r="I15" s="17">
        <f t="shared" si="0"/>
        <v>4861075.3234999999</v>
      </c>
      <c r="J15" s="18" t="s">
        <v>13</v>
      </c>
      <c r="K15" s="19" t="s">
        <v>14</v>
      </c>
    </row>
    <row r="16" spans="1:11" ht="30" x14ac:dyDescent="0.25">
      <c r="A16" s="20">
        <f t="shared" si="1"/>
        <v>12</v>
      </c>
      <c r="B16" s="11">
        <v>46149</v>
      </c>
      <c r="C16" s="12">
        <v>40001542</v>
      </c>
      <c r="D16" s="12">
        <v>51630762</v>
      </c>
      <c r="E16" s="13">
        <v>49.85</v>
      </c>
      <c r="F16" s="21">
        <v>1086.1400000000001</v>
      </c>
      <c r="G16" s="15">
        <f t="shared" si="2"/>
        <v>54144.079000000005</v>
      </c>
      <c r="H16" s="16">
        <v>82601.11</v>
      </c>
      <c r="I16" s="17">
        <f t="shared" si="0"/>
        <v>4117665.3335000002</v>
      </c>
      <c r="J16" s="18" t="s">
        <v>13</v>
      </c>
      <c r="K16" s="19" t="s">
        <v>14</v>
      </c>
    </row>
    <row r="17" spans="1:11" ht="30" x14ac:dyDescent="0.25">
      <c r="A17" s="20">
        <f t="shared" si="1"/>
        <v>13</v>
      </c>
      <c r="B17" s="11">
        <v>46149</v>
      </c>
      <c r="C17" s="12">
        <v>40001542</v>
      </c>
      <c r="D17" s="12">
        <v>51812808</v>
      </c>
      <c r="E17" s="13">
        <v>59.05</v>
      </c>
      <c r="F17" s="21">
        <v>1086.1400000000001</v>
      </c>
      <c r="G17" s="15">
        <f t="shared" si="2"/>
        <v>64136.567000000003</v>
      </c>
      <c r="H17" s="16">
        <v>82601.11</v>
      </c>
      <c r="I17" s="17">
        <f t="shared" si="0"/>
        <v>4877595.5455</v>
      </c>
      <c r="J17" s="18" t="s">
        <v>13</v>
      </c>
      <c r="K17" s="19" t="s">
        <v>14</v>
      </c>
    </row>
    <row r="18" spans="1:11" ht="30" x14ac:dyDescent="0.25">
      <c r="A18" s="20">
        <f t="shared" si="1"/>
        <v>14</v>
      </c>
      <c r="B18" s="11">
        <v>46149</v>
      </c>
      <c r="C18" s="12">
        <v>40001542</v>
      </c>
      <c r="D18" s="12">
        <v>51813038</v>
      </c>
      <c r="E18" s="13">
        <v>59.15</v>
      </c>
      <c r="F18" s="21">
        <v>1086.1400000000001</v>
      </c>
      <c r="G18" s="15">
        <f t="shared" si="2"/>
        <v>64245.181000000004</v>
      </c>
      <c r="H18" s="16">
        <v>82601.11</v>
      </c>
      <c r="I18" s="17">
        <f t="shared" si="0"/>
        <v>4885855.6564999996</v>
      </c>
      <c r="J18" s="18" t="s">
        <v>13</v>
      </c>
      <c r="K18" s="19" t="s">
        <v>14</v>
      </c>
    </row>
    <row r="19" spans="1:11" ht="30" x14ac:dyDescent="0.25">
      <c r="A19" s="20">
        <f t="shared" si="1"/>
        <v>15</v>
      </c>
      <c r="B19" s="11">
        <v>46149</v>
      </c>
      <c r="C19" s="12">
        <v>40001542</v>
      </c>
      <c r="D19" s="12">
        <v>53887576</v>
      </c>
      <c r="E19" s="13">
        <v>59.15</v>
      </c>
      <c r="F19" s="21">
        <v>1086.1400000000001</v>
      </c>
      <c r="G19" s="15">
        <f t="shared" si="2"/>
        <v>64245.181000000004</v>
      </c>
      <c r="H19" s="16">
        <v>82601.11</v>
      </c>
      <c r="I19" s="17">
        <f t="shared" si="0"/>
        <v>4885855.6564999996</v>
      </c>
      <c r="J19" s="18" t="s">
        <v>13</v>
      </c>
      <c r="K19" s="19" t="s">
        <v>14</v>
      </c>
    </row>
    <row r="20" spans="1:11" ht="30" x14ac:dyDescent="0.25">
      <c r="A20" s="20">
        <f t="shared" si="1"/>
        <v>16</v>
      </c>
      <c r="B20" s="11">
        <v>46149</v>
      </c>
      <c r="C20" s="12">
        <v>40001542</v>
      </c>
      <c r="D20" s="12">
        <v>53945978</v>
      </c>
      <c r="E20" s="13">
        <v>49.8</v>
      </c>
      <c r="F20" s="21">
        <v>1086.1400000000001</v>
      </c>
      <c r="G20" s="15">
        <f t="shared" si="2"/>
        <v>54089.772000000004</v>
      </c>
      <c r="H20" s="16">
        <v>82601.11</v>
      </c>
      <c r="I20" s="17">
        <f t="shared" si="0"/>
        <v>4113535.2779999999</v>
      </c>
      <c r="J20" s="18" t="s">
        <v>13</v>
      </c>
      <c r="K20" s="19" t="s">
        <v>14</v>
      </c>
    </row>
    <row r="21" spans="1:11" ht="30" x14ac:dyDescent="0.25">
      <c r="A21" s="20">
        <f t="shared" si="1"/>
        <v>17</v>
      </c>
      <c r="B21" s="11">
        <v>46149</v>
      </c>
      <c r="C21" s="12">
        <v>40001542</v>
      </c>
      <c r="D21" s="12">
        <v>54258231</v>
      </c>
      <c r="E21" s="13">
        <v>58.8</v>
      </c>
      <c r="F21" s="21">
        <v>1086.1400000000001</v>
      </c>
      <c r="G21" s="15">
        <f t="shared" si="2"/>
        <v>63865.031999999999</v>
      </c>
      <c r="H21" s="16">
        <v>82601.11</v>
      </c>
      <c r="I21" s="17">
        <f t="shared" si="0"/>
        <v>4856945.2680000002</v>
      </c>
      <c r="J21" s="18" t="s">
        <v>13</v>
      </c>
      <c r="K21" s="19" t="s">
        <v>14</v>
      </c>
    </row>
    <row r="22" spans="1:11" ht="30" x14ac:dyDescent="0.25">
      <c r="A22" s="20">
        <f t="shared" si="1"/>
        <v>18</v>
      </c>
      <c r="B22" s="11">
        <v>46149</v>
      </c>
      <c r="C22" s="12">
        <v>40001542</v>
      </c>
      <c r="D22" s="12">
        <v>54677646</v>
      </c>
      <c r="E22" s="13">
        <v>58.9</v>
      </c>
      <c r="F22" s="21">
        <v>1086.1400000000001</v>
      </c>
      <c r="G22" s="15">
        <f t="shared" si="2"/>
        <v>63973.646000000008</v>
      </c>
      <c r="H22" s="16">
        <v>82601.11</v>
      </c>
      <c r="I22" s="17">
        <f t="shared" si="0"/>
        <v>4865205.3789999997</v>
      </c>
      <c r="J22" s="18" t="s">
        <v>13</v>
      </c>
      <c r="K22" s="19" t="s">
        <v>14</v>
      </c>
    </row>
    <row r="23" spans="1:11" ht="30" x14ac:dyDescent="0.25">
      <c r="A23" s="20">
        <f t="shared" si="1"/>
        <v>19</v>
      </c>
      <c r="B23" s="11">
        <v>46149</v>
      </c>
      <c r="C23" s="12">
        <v>40001542</v>
      </c>
      <c r="D23" s="12">
        <v>57214421</v>
      </c>
      <c r="E23" s="13">
        <v>59.05</v>
      </c>
      <c r="F23" s="21">
        <v>1086.1400000000001</v>
      </c>
      <c r="G23" s="15">
        <f t="shared" si="2"/>
        <v>64136.567000000003</v>
      </c>
      <c r="H23" s="16">
        <v>82601.11</v>
      </c>
      <c r="I23" s="17">
        <f t="shared" si="0"/>
        <v>4877595.5455</v>
      </c>
      <c r="J23" s="18" t="s">
        <v>13</v>
      </c>
      <c r="K23" s="19" t="s">
        <v>14</v>
      </c>
    </row>
    <row r="24" spans="1:11" ht="30.75" thickBot="1" x14ac:dyDescent="0.3">
      <c r="A24" s="20">
        <f t="shared" si="1"/>
        <v>20</v>
      </c>
      <c r="B24" s="11">
        <v>46149</v>
      </c>
      <c r="C24" s="22">
        <v>40001542</v>
      </c>
      <c r="D24" s="22">
        <v>73131427</v>
      </c>
      <c r="E24" s="23">
        <v>59.35</v>
      </c>
      <c r="F24" s="21">
        <v>1086.1400000000001</v>
      </c>
      <c r="G24" s="15">
        <f t="shared" si="2"/>
        <v>64462.409000000007</v>
      </c>
      <c r="H24" s="24">
        <v>82601.11</v>
      </c>
      <c r="I24" s="17">
        <f t="shared" si="0"/>
        <v>4902375.8785000006</v>
      </c>
      <c r="J24" s="18" t="s">
        <v>13</v>
      </c>
      <c r="K24" s="19" t="s">
        <v>14</v>
      </c>
    </row>
    <row r="25" spans="1:11" ht="15.75" thickBot="1" x14ac:dyDescent="0.3">
      <c r="A25" s="25"/>
      <c r="B25" s="26"/>
      <c r="C25" s="26"/>
      <c r="D25" s="26"/>
      <c r="E25" s="27"/>
      <c r="F25" s="28"/>
      <c r="G25" s="29"/>
      <c r="H25" s="28"/>
      <c r="I25" s="30"/>
      <c r="J25" s="26"/>
      <c r="K25" s="31"/>
    </row>
    <row r="26" spans="1:11" ht="30" x14ac:dyDescent="0.25">
      <c r="A26" s="10">
        <v>21</v>
      </c>
      <c r="B26" s="11">
        <v>46150</v>
      </c>
      <c r="C26" s="32">
        <v>40001614</v>
      </c>
      <c r="D26" s="32">
        <v>73765687</v>
      </c>
      <c r="E26" s="33">
        <v>59.35</v>
      </c>
      <c r="F26" s="21">
        <v>1086.1400000000001</v>
      </c>
      <c r="G26" s="15">
        <f t="shared" ref="G26:G38" si="3">E26*F26</f>
        <v>64462.409000000007</v>
      </c>
      <c r="H26" s="34">
        <v>82601.11</v>
      </c>
      <c r="I26" s="17">
        <f t="shared" ref="I26:I38" si="4">E26*H26</f>
        <v>4902375.8785000006</v>
      </c>
      <c r="J26" s="35" t="s">
        <v>13</v>
      </c>
      <c r="K26" s="36" t="s">
        <v>14</v>
      </c>
    </row>
    <row r="27" spans="1:11" ht="30" x14ac:dyDescent="0.25">
      <c r="A27" s="37">
        <f>A26+1</f>
        <v>22</v>
      </c>
      <c r="B27" s="38">
        <v>46150</v>
      </c>
      <c r="C27" s="20">
        <v>40001614</v>
      </c>
      <c r="D27" s="20">
        <v>50411693</v>
      </c>
      <c r="E27" s="39">
        <v>59.4</v>
      </c>
      <c r="F27" s="21">
        <v>1086.1400000000001</v>
      </c>
      <c r="G27" s="15">
        <f t="shared" si="3"/>
        <v>64516.716000000008</v>
      </c>
      <c r="H27" s="16">
        <v>82601.11</v>
      </c>
      <c r="I27" s="17">
        <f t="shared" si="4"/>
        <v>4906505.9340000004</v>
      </c>
      <c r="J27" s="18" t="s">
        <v>13</v>
      </c>
      <c r="K27" s="40" t="s">
        <v>14</v>
      </c>
    </row>
    <row r="28" spans="1:11" ht="30" x14ac:dyDescent="0.25">
      <c r="A28" s="37">
        <f t="shared" ref="A28:A38" si="5">A27+1</f>
        <v>23</v>
      </c>
      <c r="B28" s="38">
        <v>46150</v>
      </c>
      <c r="C28" s="20">
        <v>40001614</v>
      </c>
      <c r="D28" s="20">
        <v>75852699</v>
      </c>
      <c r="E28" s="39">
        <v>59.95</v>
      </c>
      <c r="F28" s="21">
        <v>1086.1400000000001</v>
      </c>
      <c r="G28" s="15">
        <f t="shared" si="3"/>
        <v>65114.093000000008</v>
      </c>
      <c r="H28" s="16">
        <v>82601.11</v>
      </c>
      <c r="I28" s="17">
        <f t="shared" si="4"/>
        <v>4951936.5444999998</v>
      </c>
      <c r="J28" s="18" t="s">
        <v>13</v>
      </c>
      <c r="K28" s="40" t="s">
        <v>14</v>
      </c>
    </row>
    <row r="29" spans="1:11" ht="30" x14ac:dyDescent="0.25">
      <c r="A29" s="37">
        <f t="shared" si="5"/>
        <v>24</v>
      </c>
      <c r="B29" s="38">
        <v>46150</v>
      </c>
      <c r="C29" s="20">
        <v>40001614</v>
      </c>
      <c r="D29" s="20">
        <v>75008144</v>
      </c>
      <c r="E29" s="39">
        <v>59.25</v>
      </c>
      <c r="F29" s="21">
        <v>1086.1400000000001</v>
      </c>
      <c r="G29" s="15">
        <f t="shared" si="3"/>
        <v>64353.795000000006</v>
      </c>
      <c r="H29" s="16">
        <v>82601.11</v>
      </c>
      <c r="I29" s="17">
        <f t="shared" si="4"/>
        <v>4894115.7675000001</v>
      </c>
      <c r="J29" s="18" t="s">
        <v>13</v>
      </c>
      <c r="K29" s="40" t="s">
        <v>14</v>
      </c>
    </row>
    <row r="30" spans="1:11" ht="30" x14ac:dyDescent="0.25">
      <c r="A30" s="37">
        <f t="shared" si="5"/>
        <v>25</v>
      </c>
      <c r="B30" s="38">
        <v>46150</v>
      </c>
      <c r="C30" s="20">
        <v>40001614</v>
      </c>
      <c r="D30" s="20">
        <v>75207852</v>
      </c>
      <c r="E30" s="39">
        <v>60.1</v>
      </c>
      <c r="F30" s="21">
        <v>1086.1400000000001</v>
      </c>
      <c r="G30" s="15">
        <f t="shared" si="3"/>
        <v>65277.01400000001</v>
      </c>
      <c r="H30" s="16">
        <v>82601.11</v>
      </c>
      <c r="I30" s="17">
        <f t="shared" si="4"/>
        <v>4964326.7110000001</v>
      </c>
      <c r="J30" s="18" t="s">
        <v>13</v>
      </c>
      <c r="K30" s="40" t="s">
        <v>14</v>
      </c>
    </row>
    <row r="31" spans="1:11" ht="30" x14ac:dyDescent="0.25">
      <c r="A31" s="37">
        <f t="shared" si="5"/>
        <v>26</v>
      </c>
      <c r="B31" s="38">
        <v>46150</v>
      </c>
      <c r="C31" s="20">
        <v>40001614</v>
      </c>
      <c r="D31" s="20">
        <v>76307594</v>
      </c>
      <c r="E31" s="39">
        <v>59.9</v>
      </c>
      <c r="F31" s="21">
        <v>1086.1400000000001</v>
      </c>
      <c r="G31" s="15">
        <f t="shared" si="3"/>
        <v>65059.786000000007</v>
      </c>
      <c r="H31" s="16">
        <v>82601.11</v>
      </c>
      <c r="I31" s="17">
        <f t="shared" si="4"/>
        <v>4947806.4890000001</v>
      </c>
      <c r="J31" s="18" t="s">
        <v>13</v>
      </c>
      <c r="K31" s="40" t="s">
        <v>14</v>
      </c>
    </row>
    <row r="32" spans="1:11" ht="30" x14ac:dyDescent="0.25">
      <c r="A32" s="37">
        <f t="shared" si="5"/>
        <v>27</v>
      </c>
      <c r="B32" s="38">
        <v>46150</v>
      </c>
      <c r="C32" s="20">
        <v>40001614</v>
      </c>
      <c r="D32" s="20">
        <v>50438233</v>
      </c>
      <c r="E32" s="39">
        <v>59.45</v>
      </c>
      <c r="F32" s="21">
        <v>1086.1400000000001</v>
      </c>
      <c r="G32" s="15">
        <f t="shared" si="3"/>
        <v>64571.023000000008</v>
      </c>
      <c r="H32" s="16">
        <v>82601.11</v>
      </c>
      <c r="I32" s="17">
        <f t="shared" si="4"/>
        <v>4910635.9895000001</v>
      </c>
      <c r="J32" s="18" t="s">
        <v>13</v>
      </c>
      <c r="K32" s="40" t="s">
        <v>14</v>
      </c>
    </row>
    <row r="33" spans="1:11" ht="30" x14ac:dyDescent="0.25">
      <c r="A33" s="37">
        <f t="shared" si="5"/>
        <v>28</v>
      </c>
      <c r="B33" s="38">
        <v>46150</v>
      </c>
      <c r="C33" s="20">
        <v>40001614</v>
      </c>
      <c r="D33" s="20">
        <v>51551216</v>
      </c>
      <c r="E33" s="39">
        <v>49.8</v>
      </c>
      <c r="F33" s="21">
        <v>1086.1400000000001</v>
      </c>
      <c r="G33" s="15">
        <f t="shared" si="3"/>
        <v>54089.772000000004</v>
      </c>
      <c r="H33" s="16">
        <v>82601.11</v>
      </c>
      <c r="I33" s="17">
        <f t="shared" si="4"/>
        <v>4113535.2779999999</v>
      </c>
      <c r="J33" s="18" t="s">
        <v>13</v>
      </c>
      <c r="K33" s="40" t="s">
        <v>14</v>
      </c>
    </row>
    <row r="34" spans="1:11" ht="30" x14ac:dyDescent="0.25">
      <c r="A34" s="37">
        <f t="shared" si="5"/>
        <v>29</v>
      </c>
      <c r="B34" s="38">
        <v>46150</v>
      </c>
      <c r="C34" s="20">
        <v>40001614</v>
      </c>
      <c r="D34" s="20">
        <v>57201899</v>
      </c>
      <c r="E34" s="39">
        <v>59.35</v>
      </c>
      <c r="F34" s="21">
        <v>1086.1400000000001</v>
      </c>
      <c r="G34" s="15">
        <f t="shared" si="3"/>
        <v>64462.409000000007</v>
      </c>
      <c r="H34" s="16">
        <v>82601.11</v>
      </c>
      <c r="I34" s="17">
        <f t="shared" si="4"/>
        <v>4902375.8785000006</v>
      </c>
      <c r="J34" s="18" t="s">
        <v>13</v>
      </c>
      <c r="K34" s="40" t="s">
        <v>14</v>
      </c>
    </row>
    <row r="35" spans="1:11" ht="30" x14ac:dyDescent="0.25">
      <c r="A35" s="37">
        <f t="shared" si="5"/>
        <v>30</v>
      </c>
      <c r="B35" s="38">
        <v>46150</v>
      </c>
      <c r="C35" s="20">
        <v>40001614</v>
      </c>
      <c r="D35" s="20">
        <v>57028649</v>
      </c>
      <c r="E35" s="39">
        <v>58.85</v>
      </c>
      <c r="F35" s="21">
        <v>1086.1400000000001</v>
      </c>
      <c r="G35" s="15">
        <f t="shared" si="3"/>
        <v>63919.339000000007</v>
      </c>
      <c r="H35" s="16">
        <v>82601.11</v>
      </c>
      <c r="I35" s="17">
        <f t="shared" si="4"/>
        <v>4861075.3234999999</v>
      </c>
      <c r="J35" s="18" t="s">
        <v>13</v>
      </c>
      <c r="K35" s="40" t="s">
        <v>14</v>
      </c>
    </row>
    <row r="36" spans="1:11" ht="30" x14ac:dyDescent="0.25">
      <c r="A36" s="37">
        <f t="shared" si="5"/>
        <v>31</v>
      </c>
      <c r="B36" s="38">
        <v>46150</v>
      </c>
      <c r="C36" s="20">
        <v>40001614</v>
      </c>
      <c r="D36" s="20">
        <v>51228310</v>
      </c>
      <c r="E36" s="39">
        <v>59</v>
      </c>
      <c r="F36" s="21">
        <v>1086.1400000000001</v>
      </c>
      <c r="G36" s="15">
        <f t="shared" si="3"/>
        <v>64082.260000000009</v>
      </c>
      <c r="H36" s="16">
        <v>82601.11</v>
      </c>
      <c r="I36" s="17">
        <f t="shared" si="4"/>
        <v>4873465.49</v>
      </c>
      <c r="J36" s="18" t="s">
        <v>13</v>
      </c>
      <c r="K36" s="40" t="s">
        <v>14</v>
      </c>
    </row>
    <row r="37" spans="1:11" ht="30" x14ac:dyDescent="0.25">
      <c r="A37" s="37">
        <f t="shared" si="5"/>
        <v>32</v>
      </c>
      <c r="B37" s="38">
        <v>46150</v>
      </c>
      <c r="C37" s="20">
        <v>40001614</v>
      </c>
      <c r="D37" s="20">
        <v>55551824</v>
      </c>
      <c r="E37" s="39">
        <v>59.45</v>
      </c>
      <c r="F37" s="21">
        <v>1086.1400000000001</v>
      </c>
      <c r="G37" s="15">
        <f t="shared" si="3"/>
        <v>64571.023000000008</v>
      </c>
      <c r="H37" s="16">
        <v>82601.11</v>
      </c>
      <c r="I37" s="17">
        <f t="shared" si="4"/>
        <v>4910635.9895000001</v>
      </c>
      <c r="J37" s="18" t="s">
        <v>13</v>
      </c>
      <c r="K37" s="40" t="s">
        <v>14</v>
      </c>
    </row>
    <row r="38" spans="1:11" ht="30.75" thickBot="1" x14ac:dyDescent="0.3">
      <c r="A38" s="41">
        <f t="shared" si="5"/>
        <v>33</v>
      </c>
      <c r="B38" s="42">
        <v>46150</v>
      </c>
      <c r="C38" s="43">
        <v>40001614</v>
      </c>
      <c r="D38" s="43">
        <v>75113159</v>
      </c>
      <c r="E38" s="44">
        <v>59.35</v>
      </c>
      <c r="F38" s="21">
        <v>1086.1400000000001</v>
      </c>
      <c r="G38" s="45">
        <f t="shared" si="3"/>
        <v>64462.409000000007</v>
      </c>
      <c r="H38" s="24">
        <v>82601.11</v>
      </c>
      <c r="I38" s="46">
        <f t="shared" si="4"/>
        <v>4902375.8785000006</v>
      </c>
      <c r="J38" s="47" t="s">
        <v>13</v>
      </c>
      <c r="K38" s="48" t="s">
        <v>14</v>
      </c>
    </row>
    <row r="39" spans="1:11" ht="15.75" thickBot="1" x14ac:dyDescent="0.3">
      <c r="A39" s="25"/>
      <c r="B39" s="26"/>
      <c r="C39" s="26"/>
      <c r="D39" s="26"/>
      <c r="E39" s="27"/>
      <c r="F39" s="28"/>
      <c r="G39" s="29"/>
      <c r="H39" s="28"/>
      <c r="I39" s="30"/>
      <c r="J39" s="26"/>
      <c r="K39" s="31"/>
    </row>
    <row r="40" spans="1:11" ht="30" x14ac:dyDescent="0.25">
      <c r="A40" s="10">
        <v>34</v>
      </c>
      <c r="B40" s="32" t="s">
        <v>15</v>
      </c>
      <c r="C40" s="32">
        <v>40001709</v>
      </c>
      <c r="D40" s="32">
        <v>54095757</v>
      </c>
      <c r="E40" s="33">
        <v>58.8</v>
      </c>
      <c r="F40" s="21">
        <v>1086.1400000000001</v>
      </c>
      <c r="G40" s="15">
        <f t="shared" ref="G40:G57" si="6">E40*F40</f>
        <v>63865.031999999999</v>
      </c>
      <c r="H40" s="34">
        <v>82601.11</v>
      </c>
      <c r="I40" s="17">
        <f t="shared" ref="I40:I57" si="7">E40*H40</f>
        <v>4856945.2680000002</v>
      </c>
      <c r="J40" s="35" t="s">
        <v>13</v>
      </c>
      <c r="K40" s="36" t="s">
        <v>14</v>
      </c>
    </row>
    <row r="41" spans="1:11" ht="30" x14ac:dyDescent="0.25">
      <c r="A41" s="37">
        <f>A40+1</f>
        <v>35</v>
      </c>
      <c r="B41" s="20" t="s">
        <v>15</v>
      </c>
      <c r="C41" s="20">
        <v>40001709</v>
      </c>
      <c r="D41" s="20">
        <v>57431595</v>
      </c>
      <c r="E41" s="39">
        <v>58.8</v>
      </c>
      <c r="F41" s="21">
        <v>1086.1400000000001</v>
      </c>
      <c r="G41" s="15">
        <f t="shared" si="6"/>
        <v>63865.031999999999</v>
      </c>
      <c r="H41" s="16">
        <v>82601.11</v>
      </c>
      <c r="I41" s="17">
        <f t="shared" si="7"/>
        <v>4856945.2680000002</v>
      </c>
      <c r="J41" s="18" t="s">
        <v>13</v>
      </c>
      <c r="K41" s="40" t="s">
        <v>14</v>
      </c>
    </row>
    <row r="42" spans="1:11" ht="30" x14ac:dyDescent="0.25">
      <c r="A42" s="37">
        <f t="shared" ref="A42:A57" si="8">A41+1</f>
        <v>36</v>
      </c>
      <c r="B42" s="20" t="s">
        <v>15</v>
      </c>
      <c r="C42" s="20">
        <v>40001709</v>
      </c>
      <c r="D42" s="20">
        <v>51622850</v>
      </c>
      <c r="E42" s="39">
        <v>58.55</v>
      </c>
      <c r="F42" s="21">
        <v>1086.1400000000001</v>
      </c>
      <c r="G42" s="15">
        <f t="shared" si="6"/>
        <v>63593.497000000003</v>
      </c>
      <c r="H42" s="16">
        <v>82601.11</v>
      </c>
      <c r="I42" s="17">
        <f t="shared" si="7"/>
        <v>4836294.9904999994</v>
      </c>
      <c r="J42" s="18" t="s">
        <v>13</v>
      </c>
      <c r="K42" s="40" t="s">
        <v>14</v>
      </c>
    </row>
    <row r="43" spans="1:11" ht="30" x14ac:dyDescent="0.25">
      <c r="A43" s="37">
        <f t="shared" si="8"/>
        <v>37</v>
      </c>
      <c r="B43" s="20" t="s">
        <v>15</v>
      </c>
      <c r="C43" s="20">
        <v>40001709</v>
      </c>
      <c r="D43" s="20">
        <v>51622801</v>
      </c>
      <c r="E43" s="39">
        <v>58.6</v>
      </c>
      <c r="F43" s="21">
        <v>1086.1400000000001</v>
      </c>
      <c r="G43" s="15">
        <f t="shared" si="6"/>
        <v>63647.804000000011</v>
      </c>
      <c r="H43" s="16">
        <v>82601.11</v>
      </c>
      <c r="I43" s="17">
        <f t="shared" si="7"/>
        <v>4840425.0460000001</v>
      </c>
      <c r="J43" s="18" t="s">
        <v>13</v>
      </c>
      <c r="K43" s="40" t="s">
        <v>14</v>
      </c>
    </row>
    <row r="44" spans="1:11" ht="30" x14ac:dyDescent="0.25">
      <c r="A44" s="37">
        <f t="shared" si="8"/>
        <v>38</v>
      </c>
      <c r="B44" s="20" t="s">
        <v>15</v>
      </c>
      <c r="C44" s="20">
        <v>40001709</v>
      </c>
      <c r="D44" s="20">
        <v>73144529</v>
      </c>
      <c r="E44" s="39">
        <v>59.3</v>
      </c>
      <c r="F44" s="21">
        <v>1086.1400000000001</v>
      </c>
      <c r="G44" s="15">
        <f t="shared" si="6"/>
        <v>64408.102000000006</v>
      </c>
      <c r="H44" s="16">
        <v>82601.11</v>
      </c>
      <c r="I44" s="17">
        <f t="shared" si="7"/>
        <v>4898245.8229999999</v>
      </c>
      <c r="J44" s="18" t="s">
        <v>13</v>
      </c>
      <c r="K44" s="40" t="s">
        <v>14</v>
      </c>
    </row>
    <row r="45" spans="1:11" ht="30" x14ac:dyDescent="0.25">
      <c r="A45" s="37">
        <f t="shared" si="8"/>
        <v>39</v>
      </c>
      <c r="B45" s="20" t="s">
        <v>15</v>
      </c>
      <c r="C45" s="20">
        <v>40001709</v>
      </c>
      <c r="D45" s="20">
        <v>73228728</v>
      </c>
      <c r="E45" s="39">
        <v>59.3</v>
      </c>
      <c r="F45" s="21">
        <v>1086.1400000000001</v>
      </c>
      <c r="G45" s="15">
        <f t="shared" si="6"/>
        <v>64408.102000000006</v>
      </c>
      <c r="H45" s="16">
        <v>82601.11</v>
      </c>
      <c r="I45" s="17">
        <f t="shared" si="7"/>
        <v>4898245.8229999999</v>
      </c>
      <c r="J45" s="18" t="s">
        <v>13</v>
      </c>
      <c r="K45" s="40" t="s">
        <v>14</v>
      </c>
    </row>
    <row r="46" spans="1:11" ht="30" x14ac:dyDescent="0.25">
      <c r="A46" s="37">
        <f t="shared" si="8"/>
        <v>40</v>
      </c>
      <c r="B46" s="20" t="s">
        <v>15</v>
      </c>
      <c r="C46" s="20">
        <v>40001709</v>
      </c>
      <c r="D46" s="20">
        <v>73157679</v>
      </c>
      <c r="E46" s="39">
        <v>59.3</v>
      </c>
      <c r="F46" s="21">
        <v>1086.1400000000001</v>
      </c>
      <c r="G46" s="15">
        <f t="shared" si="6"/>
        <v>64408.102000000006</v>
      </c>
      <c r="H46" s="16">
        <v>82601.11</v>
      </c>
      <c r="I46" s="17">
        <f t="shared" si="7"/>
        <v>4898245.8229999999</v>
      </c>
      <c r="J46" s="18" t="s">
        <v>13</v>
      </c>
      <c r="K46" s="40" t="s">
        <v>14</v>
      </c>
    </row>
    <row r="47" spans="1:11" ht="30" x14ac:dyDescent="0.25">
      <c r="A47" s="37">
        <f t="shared" si="8"/>
        <v>41</v>
      </c>
      <c r="B47" s="20" t="s">
        <v>15</v>
      </c>
      <c r="C47" s="20">
        <v>40001709</v>
      </c>
      <c r="D47" s="20">
        <v>73038879</v>
      </c>
      <c r="E47" s="39">
        <v>59.3</v>
      </c>
      <c r="F47" s="21">
        <v>1086.1400000000001</v>
      </c>
      <c r="G47" s="15">
        <f t="shared" si="6"/>
        <v>64408.102000000006</v>
      </c>
      <c r="H47" s="16">
        <v>82601.11</v>
      </c>
      <c r="I47" s="17">
        <f t="shared" si="7"/>
        <v>4898245.8229999999</v>
      </c>
      <c r="J47" s="18" t="s">
        <v>13</v>
      </c>
      <c r="K47" s="40" t="s">
        <v>14</v>
      </c>
    </row>
    <row r="48" spans="1:11" ht="30" x14ac:dyDescent="0.25">
      <c r="A48" s="37">
        <f t="shared" si="8"/>
        <v>42</v>
      </c>
      <c r="B48" s="20" t="s">
        <v>15</v>
      </c>
      <c r="C48" s="20">
        <v>40001709</v>
      </c>
      <c r="D48" s="20">
        <v>73000309</v>
      </c>
      <c r="E48" s="39">
        <v>59.45</v>
      </c>
      <c r="F48" s="21">
        <v>1086.1400000000001</v>
      </c>
      <c r="G48" s="15">
        <f t="shared" si="6"/>
        <v>64571.023000000008</v>
      </c>
      <c r="H48" s="16">
        <v>82601.11</v>
      </c>
      <c r="I48" s="17">
        <f t="shared" si="7"/>
        <v>4910635.9895000001</v>
      </c>
      <c r="J48" s="18" t="s">
        <v>13</v>
      </c>
      <c r="K48" s="40" t="s">
        <v>14</v>
      </c>
    </row>
    <row r="49" spans="1:11" ht="30" x14ac:dyDescent="0.25">
      <c r="A49" s="37">
        <f t="shared" si="8"/>
        <v>43</v>
      </c>
      <c r="B49" s="20" t="s">
        <v>15</v>
      </c>
      <c r="C49" s="20">
        <v>40001709</v>
      </c>
      <c r="D49" s="20">
        <v>73237182</v>
      </c>
      <c r="E49" s="39">
        <v>59.25</v>
      </c>
      <c r="F49" s="21">
        <v>1086.1400000000001</v>
      </c>
      <c r="G49" s="15">
        <f t="shared" si="6"/>
        <v>64353.795000000006</v>
      </c>
      <c r="H49" s="16">
        <v>82601.11</v>
      </c>
      <c r="I49" s="17">
        <f t="shared" si="7"/>
        <v>4894115.7675000001</v>
      </c>
      <c r="J49" s="18" t="s">
        <v>13</v>
      </c>
      <c r="K49" s="40" t="s">
        <v>14</v>
      </c>
    </row>
    <row r="50" spans="1:11" ht="30" x14ac:dyDescent="0.25">
      <c r="A50" s="37">
        <f t="shared" si="8"/>
        <v>44</v>
      </c>
      <c r="B50" s="20" t="s">
        <v>15</v>
      </c>
      <c r="C50" s="20">
        <v>40001709</v>
      </c>
      <c r="D50" s="20">
        <v>57527426</v>
      </c>
      <c r="E50" s="39">
        <v>59.35</v>
      </c>
      <c r="F50" s="21">
        <v>1086.1400000000001</v>
      </c>
      <c r="G50" s="15">
        <f t="shared" si="6"/>
        <v>64462.409000000007</v>
      </c>
      <c r="H50" s="16">
        <v>82601.11</v>
      </c>
      <c r="I50" s="17">
        <f t="shared" si="7"/>
        <v>4902375.8785000006</v>
      </c>
      <c r="J50" s="18" t="s">
        <v>13</v>
      </c>
      <c r="K50" s="40" t="s">
        <v>14</v>
      </c>
    </row>
    <row r="51" spans="1:11" ht="30" x14ac:dyDescent="0.25">
      <c r="A51" s="37">
        <f t="shared" si="8"/>
        <v>45</v>
      </c>
      <c r="B51" s="20" t="s">
        <v>15</v>
      </c>
      <c r="C51" s="20">
        <v>40001709</v>
      </c>
      <c r="D51" s="20">
        <v>57016156</v>
      </c>
      <c r="E51" s="39">
        <v>58.9</v>
      </c>
      <c r="F51" s="21">
        <v>1086.1400000000001</v>
      </c>
      <c r="G51" s="15">
        <f t="shared" si="6"/>
        <v>63973.646000000008</v>
      </c>
      <c r="H51" s="16">
        <v>82601.11</v>
      </c>
      <c r="I51" s="17">
        <f t="shared" si="7"/>
        <v>4865205.3789999997</v>
      </c>
      <c r="J51" s="18" t="s">
        <v>13</v>
      </c>
      <c r="K51" s="40" t="s">
        <v>14</v>
      </c>
    </row>
    <row r="52" spans="1:11" ht="30" x14ac:dyDescent="0.25">
      <c r="A52" s="37">
        <f t="shared" si="8"/>
        <v>46</v>
      </c>
      <c r="B52" s="20" t="s">
        <v>15</v>
      </c>
      <c r="C52" s="20">
        <v>40001709</v>
      </c>
      <c r="D52" s="20">
        <v>73231037</v>
      </c>
      <c r="E52" s="39">
        <v>59.35</v>
      </c>
      <c r="F52" s="21">
        <v>1086.1400000000001</v>
      </c>
      <c r="G52" s="15">
        <f t="shared" si="6"/>
        <v>64462.409000000007</v>
      </c>
      <c r="H52" s="16">
        <v>82601.11</v>
      </c>
      <c r="I52" s="17">
        <f t="shared" si="7"/>
        <v>4902375.8785000006</v>
      </c>
      <c r="J52" s="18" t="s">
        <v>13</v>
      </c>
      <c r="K52" s="40" t="s">
        <v>14</v>
      </c>
    </row>
    <row r="53" spans="1:11" ht="30" x14ac:dyDescent="0.25">
      <c r="A53" s="37">
        <f t="shared" si="8"/>
        <v>47</v>
      </c>
      <c r="B53" s="20" t="s">
        <v>15</v>
      </c>
      <c r="C53" s="20">
        <v>40001709</v>
      </c>
      <c r="D53" s="20">
        <v>73159048</v>
      </c>
      <c r="E53" s="39">
        <v>59.35</v>
      </c>
      <c r="F53" s="21">
        <v>1086.1400000000001</v>
      </c>
      <c r="G53" s="15">
        <f t="shared" si="6"/>
        <v>64462.409000000007</v>
      </c>
      <c r="H53" s="16">
        <v>82601.11</v>
      </c>
      <c r="I53" s="17">
        <f t="shared" si="7"/>
        <v>4902375.8785000006</v>
      </c>
      <c r="J53" s="18" t="s">
        <v>13</v>
      </c>
      <c r="K53" s="40" t="s">
        <v>14</v>
      </c>
    </row>
    <row r="54" spans="1:11" ht="30" x14ac:dyDescent="0.25">
      <c r="A54" s="37">
        <f t="shared" si="8"/>
        <v>48</v>
      </c>
      <c r="B54" s="20" t="s">
        <v>15</v>
      </c>
      <c r="C54" s="20">
        <v>40001709</v>
      </c>
      <c r="D54" s="20">
        <v>75205484</v>
      </c>
      <c r="E54" s="39">
        <v>59.85</v>
      </c>
      <c r="F54" s="21">
        <v>1086.1400000000001</v>
      </c>
      <c r="G54" s="15">
        <f t="shared" si="6"/>
        <v>65005.479000000007</v>
      </c>
      <c r="H54" s="16">
        <v>82601.11</v>
      </c>
      <c r="I54" s="17">
        <f t="shared" si="7"/>
        <v>4943676.4335000003</v>
      </c>
      <c r="J54" s="18" t="s">
        <v>13</v>
      </c>
      <c r="K54" s="40" t="s">
        <v>14</v>
      </c>
    </row>
    <row r="55" spans="1:11" ht="30" x14ac:dyDescent="0.25">
      <c r="A55" s="37">
        <f t="shared" si="8"/>
        <v>49</v>
      </c>
      <c r="B55" s="20" t="s">
        <v>15</v>
      </c>
      <c r="C55" s="20">
        <v>40001709</v>
      </c>
      <c r="D55" s="20">
        <v>51519825</v>
      </c>
      <c r="E55" s="39">
        <v>50.35</v>
      </c>
      <c r="F55" s="21">
        <v>1086.1400000000001</v>
      </c>
      <c r="G55" s="15">
        <f t="shared" si="6"/>
        <v>54687.149000000005</v>
      </c>
      <c r="H55" s="16">
        <v>82601.11</v>
      </c>
      <c r="I55" s="17">
        <f t="shared" si="7"/>
        <v>4158965.8885000004</v>
      </c>
      <c r="J55" s="18" t="s">
        <v>13</v>
      </c>
      <c r="K55" s="40" t="s">
        <v>14</v>
      </c>
    </row>
    <row r="56" spans="1:11" ht="30" x14ac:dyDescent="0.25">
      <c r="A56" s="37">
        <f t="shared" si="8"/>
        <v>50</v>
      </c>
      <c r="B56" s="20" t="s">
        <v>15</v>
      </c>
      <c r="C56" s="20">
        <v>40001709</v>
      </c>
      <c r="D56" s="20">
        <v>73237422</v>
      </c>
      <c r="E56" s="39">
        <v>59.3</v>
      </c>
      <c r="F56" s="21">
        <v>1086.1400000000001</v>
      </c>
      <c r="G56" s="15">
        <f t="shared" si="6"/>
        <v>64408.102000000006</v>
      </c>
      <c r="H56" s="16">
        <v>82601.11</v>
      </c>
      <c r="I56" s="17">
        <f t="shared" si="7"/>
        <v>4898245.8229999999</v>
      </c>
      <c r="J56" s="18" t="s">
        <v>13</v>
      </c>
      <c r="K56" s="40" t="s">
        <v>14</v>
      </c>
    </row>
    <row r="57" spans="1:11" ht="30.75" thickBot="1" x14ac:dyDescent="0.3">
      <c r="A57" s="41">
        <f t="shared" si="8"/>
        <v>51</v>
      </c>
      <c r="B57" s="43" t="s">
        <v>15</v>
      </c>
      <c r="C57" s="43">
        <v>40001709</v>
      </c>
      <c r="D57" s="43">
        <v>50034628</v>
      </c>
      <c r="E57" s="44">
        <v>58.8</v>
      </c>
      <c r="F57" s="21">
        <v>1086.1400000000001</v>
      </c>
      <c r="G57" s="45">
        <f t="shared" si="6"/>
        <v>63865.031999999999</v>
      </c>
      <c r="H57" s="24">
        <v>82601.11</v>
      </c>
      <c r="I57" s="46">
        <f t="shared" si="7"/>
        <v>4856945.2680000002</v>
      </c>
      <c r="J57" s="47" t="s">
        <v>13</v>
      </c>
      <c r="K57" s="48" t="s">
        <v>14</v>
      </c>
    </row>
    <row r="58" spans="1:11" ht="15.75" thickBot="1" x14ac:dyDescent="0.3">
      <c r="A58" s="25"/>
      <c r="B58" s="26"/>
      <c r="C58" s="26"/>
      <c r="D58" s="26"/>
      <c r="E58" s="27"/>
      <c r="F58" s="28"/>
      <c r="G58" s="29"/>
      <c r="H58" s="28"/>
      <c r="I58" s="30"/>
      <c r="J58" s="26"/>
      <c r="K58" s="49"/>
    </row>
    <row r="59" spans="1:11" ht="30" x14ac:dyDescent="0.25">
      <c r="A59" s="32">
        <v>52</v>
      </c>
      <c r="B59" s="11">
        <v>46152</v>
      </c>
      <c r="C59" s="32">
        <v>40001739</v>
      </c>
      <c r="D59" s="32">
        <v>75110064</v>
      </c>
      <c r="E59" s="33">
        <v>59.45</v>
      </c>
      <c r="F59" s="21">
        <v>1086.1400000000001</v>
      </c>
      <c r="G59" s="15">
        <f t="shared" ref="G59:G98" si="9">E59*F59</f>
        <v>64571.023000000008</v>
      </c>
      <c r="H59" s="34">
        <v>82601.11</v>
      </c>
      <c r="I59" s="17">
        <f t="shared" ref="I59:I98" si="10">E59*H59</f>
        <v>4910635.9895000001</v>
      </c>
      <c r="J59" s="35" t="s">
        <v>13</v>
      </c>
      <c r="K59" s="36" t="s">
        <v>14</v>
      </c>
    </row>
    <row r="60" spans="1:11" ht="30" x14ac:dyDescent="0.25">
      <c r="A60" s="10">
        <f>A59+1</f>
        <v>53</v>
      </c>
      <c r="B60" s="50">
        <v>46152</v>
      </c>
      <c r="C60" s="32">
        <v>40001740</v>
      </c>
      <c r="D60" s="32">
        <v>57129678</v>
      </c>
      <c r="E60" s="33">
        <v>59.15</v>
      </c>
      <c r="F60" s="21">
        <v>1086.1400000000001</v>
      </c>
      <c r="G60" s="15">
        <f t="shared" si="9"/>
        <v>64245.181000000004</v>
      </c>
      <c r="H60" s="34">
        <v>82601.11</v>
      </c>
      <c r="I60" s="17">
        <f t="shared" si="10"/>
        <v>4885855.6564999996</v>
      </c>
      <c r="J60" s="35" t="s">
        <v>13</v>
      </c>
      <c r="K60" s="36" t="s">
        <v>14</v>
      </c>
    </row>
    <row r="61" spans="1:11" ht="30" x14ac:dyDescent="0.25">
      <c r="A61" s="37">
        <f>A60+1</f>
        <v>54</v>
      </c>
      <c r="B61" s="38">
        <v>46152</v>
      </c>
      <c r="C61" s="20">
        <v>40001741</v>
      </c>
      <c r="D61" s="20">
        <v>57106288</v>
      </c>
      <c r="E61" s="39">
        <v>59</v>
      </c>
      <c r="F61" s="21">
        <v>1086.1400000000001</v>
      </c>
      <c r="G61" s="15">
        <f t="shared" si="9"/>
        <v>64082.260000000009</v>
      </c>
      <c r="H61" s="16">
        <v>82601.11</v>
      </c>
      <c r="I61" s="17">
        <f t="shared" si="10"/>
        <v>4873465.49</v>
      </c>
      <c r="J61" s="18" t="s">
        <v>13</v>
      </c>
      <c r="K61" s="40" t="s">
        <v>14</v>
      </c>
    </row>
    <row r="62" spans="1:11" ht="30" x14ac:dyDescent="0.25">
      <c r="A62" s="37">
        <f t="shared" ref="A62:A79" si="11">A61+1</f>
        <v>55</v>
      </c>
      <c r="B62" s="38">
        <v>46152</v>
      </c>
      <c r="C62" s="20">
        <v>40001810</v>
      </c>
      <c r="D62" s="20">
        <v>73064677</v>
      </c>
      <c r="E62" s="39">
        <v>59.65</v>
      </c>
      <c r="F62" s="21">
        <v>1086.1400000000001</v>
      </c>
      <c r="G62" s="15">
        <f t="shared" si="9"/>
        <v>64788.251000000004</v>
      </c>
      <c r="H62" s="16">
        <v>82601.11</v>
      </c>
      <c r="I62" s="17">
        <f t="shared" si="10"/>
        <v>4927156.2115000002</v>
      </c>
      <c r="J62" s="18" t="s">
        <v>13</v>
      </c>
      <c r="K62" s="40" t="s">
        <v>14</v>
      </c>
    </row>
    <row r="63" spans="1:11" ht="30" x14ac:dyDescent="0.25">
      <c r="A63" s="37">
        <f t="shared" si="11"/>
        <v>56</v>
      </c>
      <c r="B63" s="38">
        <v>46152</v>
      </c>
      <c r="C63" s="20">
        <v>40001811</v>
      </c>
      <c r="D63" s="20">
        <v>54092564</v>
      </c>
      <c r="E63" s="39">
        <v>59</v>
      </c>
      <c r="F63" s="21">
        <v>1086.1400000000001</v>
      </c>
      <c r="G63" s="15">
        <f t="shared" si="9"/>
        <v>64082.260000000009</v>
      </c>
      <c r="H63" s="16">
        <v>82601.11</v>
      </c>
      <c r="I63" s="17">
        <f t="shared" si="10"/>
        <v>4873465.49</v>
      </c>
      <c r="J63" s="18" t="s">
        <v>13</v>
      </c>
      <c r="K63" s="40" t="s">
        <v>14</v>
      </c>
    </row>
    <row r="64" spans="1:11" ht="30" x14ac:dyDescent="0.25">
      <c r="A64" s="37">
        <f t="shared" si="11"/>
        <v>57</v>
      </c>
      <c r="B64" s="38">
        <v>46152</v>
      </c>
      <c r="C64" s="20">
        <v>40001812</v>
      </c>
      <c r="D64" s="20">
        <v>73223208</v>
      </c>
      <c r="E64" s="39">
        <v>59.5</v>
      </c>
      <c r="F64" s="21">
        <v>1086.1400000000001</v>
      </c>
      <c r="G64" s="15">
        <f t="shared" si="9"/>
        <v>64625.330000000009</v>
      </c>
      <c r="H64" s="16">
        <v>82601.11</v>
      </c>
      <c r="I64" s="17">
        <f t="shared" si="10"/>
        <v>4914766.0449999999</v>
      </c>
      <c r="J64" s="18" t="s">
        <v>13</v>
      </c>
      <c r="K64" s="40" t="s">
        <v>14</v>
      </c>
    </row>
    <row r="65" spans="1:11" ht="30" x14ac:dyDescent="0.25">
      <c r="A65" s="37">
        <f t="shared" si="11"/>
        <v>58</v>
      </c>
      <c r="B65" s="38">
        <v>46152</v>
      </c>
      <c r="C65" s="20">
        <v>40001813</v>
      </c>
      <c r="D65" s="20">
        <v>73054603</v>
      </c>
      <c r="E65" s="39">
        <v>59.55</v>
      </c>
      <c r="F65" s="21">
        <v>1086.1400000000001</v>
      </c>
      <c r="G65" s="15">
        <f t="shared" si="9"/>
        <v>64679.637000000002</v>
      </c>
      <c r="H65" s="16">
        <v>82601.11</v>
      </c>
      <c r="I65" s="17">
        <f t="shared" si="10"/>
        <v>4918896.1004999997</v>
      </c>
      <c r="J65" s="18" t="s">
        <v>13</v>
      </c>
      <c r="K65" s="40" t="s">
        <v>14</v>
      </c>
    </row>
    <row r="66" spans="1:11" ht="30" x14ac:dyDescent="0.25">
      <c r="A66" s="37">
        <f t="shared" si="11"/>
        <v>59</v>
      </c>
      <c r="B66" s="38">
        <v>46152</v>
      </c>
      <c r="C66" s="20">
        <v>40001814</v>
      </c>
      <c r="D66" s="20">
        <v>75332551</v>
      </c>
      <c r="E66" s="39">
        <v>59.85</v>
      </c>
      <c r="F66" s="21">
        <v>1086.1400000000001</v>
      </c>
      <c r="G66" s="15">
        <f t="shared" si="9"/>
        <v>65005.479000000007</v>
      </c>
      <c r="H66" s="16">
        <v>82601.11</v>
      </c>
      <c r="I66" s="17">
        <f t="shared" si="10"/>
        <v>4943676.4335000003</v>
      </c>
      <c r="J66" s="18" t="s">
        <v>13</v>
      </c>
      <c r="K66" s="40" t="s">
        <v>14</v>
      </c>
    </row>
    <row r="67" spans="1:11" ht="30" x14ac:dyDescent="0.25">
      <c r="A67" s="37">
        <f t="shared" si="11"/>
        <v>60</v>
      </c>
      <c r="B67" s="38">
        <v>46152</v>
      </c>
      <c r="C67" s="20">
        <v>40001814</v>
      </c>
      <c r="D67" s="20">
        <v>50914118</v>
      </c>
      <c r="E67" s="39">
        <v>59.15</v>
      </c>
      <c r="F67" s="21">
        <v>1086.1400000000001</v>
      </c>
      <c r="G67" s="15">
        <f t="shared" si="9"/>
        <v>64245.181000000004</v>
      </c>
      <c r="H67" s="16">
        <v>82601.11</v>
      </c>
      <c r="I67" s="17">
        <f t="shared" si="10"/>
        <v>4885855.6564999996</v>
      </c>
      <c r="J67" s="18" t="s">
        <v>13</v>
      </c>
      <c r="K67" s="40" t="s">
        <v>14</v>
      </c>
    </row>
    <row r="68" spans="1:11" ht="30" x14ac:dyDescent="0.25">
      <c r="A68" s="37">
        <f t="shared" si="11"/>
        <v>61</v>
      </c>
      <c r="B68" s="38">
        <v>46152</v>
      </c>
      <c r="C68" s="20">
        <v>40001814</v>
      </c>
      <c r="D68" s="20">
        <v>51498236</v>
      </c>
      <c r="E68" s="39">
        <v>49.7</v>
      </c>
      <c r="F68" s="21">
        <v>1086.1400000000001</v>
      </c>
      <c r="G68" s="15">
        <f t="shared" si="9"/>
        <v>53981.15800000001</v>
      </c>
      <c r="H68" s="16">
        <v>82601.11</v>
      </c>
      <c r="I68" s="17">
        <f t="shared" si="10"/>
        <v>4105275.1670000004</v>
      </c>
      <c r="J68" s="18" t="s">
        <v>13</v>
      </c>
      <c r="K68" s="40" t="s">
        <v>14</v>
      </c>
    </row>
    <row r="69" spans="1:11" ht="30" x14ac:dyDescent="0.25">
      <c r="A69" s="37">
        <f t="shared" si="11"/>
        <v>62</v>
      </c>
      <c r="B69" s="38">
        <v>46152</v>
      </c>
      <c r="C69" s="20">
        <v>40001814</v>
      </c>
      <c r="D69" s="20">
        <v>73218018</v>
      </c>
      <c r="E69" s="39">
        <v>59.7</v>
      </c>
      <c r="F69" s="21">
        <v>1086.1400000000001</v>
      </c>
      <c r="G69" s="15">
        <f t="shared" si="9"/>
        <v>64842.558000000012</v>
      </c>
      <c r="H69" s="16">
        <v>82601.11</v>
      </c>
      <c r="I69" s="17">
        <f t="shared" si="10"/>
        <v>4931286.267</v>
      </c>
      <c r="J69" s="18" t="s">
        <v>13</v>
      </c>
      <c r="K69" s="40" t="s">
        <v>14</v>
      </c>
    </row>
    <row r="70" spans="1:11" ht="30" x14ac:dyDescent="0.25">
      <c r="A70" s="37">
        <f t="shared" si="11"/>
        <v>63</v>
      </c>
      <c r="B70" s="38">
        <v>46152</v>
      </c>
      <c r="C70" s="20">
        <v>40001814</v>
      </c>
      <c r="D70" s="20">
        <v>73242448</v>
      </c>
      <c r="E70" s="39">
        <v>59.4</v>
      </c>
      <c r="F70" s="21">
        <v>1086.1400000000001</v>
      </c>
      <c r="G70" s="15">
        <f t="shared" si="9"/>
        <v>64516.716000000008</v>
      </c>
      <c r="H70" s="16">
        <v>82601.11</v>
      </c>
      <c r="I70" s="17">
        <f t="shared" si="10"/>
        <v>4906505.9340000004</v>
      </c>
      <c r="J70" s="18" t="s">
        <v>13</v>
      </c>
      <c r="K70" s="40" t="s">
        <v>14</v>
      </c>
    </row>
    <row r="71" spans="1:11" ht="30" x14ac:dyDescent="0.25">
      <c r="A71" s="37">
        <f t="shared" si="11"/>
        <v>64</v>
      </c>
      <c r="B71" s="38">
        <v>46152</v>
      </c>
      <c r="C71" s="20">
        <v>40001814</v>
      </c>
      <c r="D71" s="20">
        <v>73179806</v>
      </c>
      <c r="E71" s="39">
        <v>59.65</v>
      </c>
      <c r="F71" s="21">
        <v>1086.1400000000001</v>
      </c>
      <c r="G71" s="15">
        <f t="shared" si="9"/>
        <v>64788.251000000004</v>
      </c>
      <c r="H71" s="16">
        <v>82601.11</v>
      </c>
      <c r="I71" s="17">
        <f t="shared" si="10"/>
        <v>4927156.2115000002</v>
      </c>
      <c r="J71" s="18" t="s">
        <v>13</v>
      </c>
      <c r="K71" s="40" t="s">
        <v>14</v>
      </c>
    </row>
    <row r="72" spans="1:11" ht="30" x14ac:dyDescent="0.25">
      <c r="A72" s="37">
        <f t="shared" si="11"/>
        <v>65</v>
      </c>
      <c r="B72" s="38">
        <v>46152</v>
      </c>
      <c r="C72" s="20">
        <v>40001814</v>
      </c>
      <c r="D72" s="20">
        <v>73101610</v>
      </c>
      <c r="E72" s="39">
        <v>59.4</v>
      </c>
      <c r="F72" s="21">
        <v>1086.1400000000001</v>
      </c>
      <c r="G72" s="15">
        <f t="shared" si="9"/>
        <v>64516.716000000008</v>
      </c>
      <c r="H72" s="16">
        <v>82601.11</v>
      </c>
      <c r="I72" s="17">
        <f t="shared" si="10"/>
        <v>4906505.9340000004</v>
      </c>
      <c r="J72" s="18" t="s">
        <v>13</v>
      </c>
      <c r="K72" s="40" t="s">
        <v>14</v>
      </c>
    </row>
    <row r="73" spans="1:11" ht="30" x14ac:dyDescent="0.25">
      <c r="A73" s="41">
        <f t="shared" si="11"/>
        <v>66</v>
      </c>
      <c r="B73" s="42">
        <v>46152</v>
      </c>
      <c r="C73" s="43">
        <v>40001814</v>
      </c>
      <c r="D73" s="43">
        <v>73095770</v>
      </c>
      <c r="E73" s="44">
        <v>59.6</v>
      </c>
      <c r="F73" s="21">
        <v>1086.1400000000001</v>
      </c>
      <c r="G73" s="45">
        <f t="shared" si="9"/>
        <v>64733.94400000001</v>
      </c>
      <c r="H73" s="24">
        <v>82601.11</v>
      </c>
      <c r="I73" s="46">
        <f t="shared" si="10"/>
        <v>4923026.1560000004</v>
      </c>
      <c r="J73" s="47" t="s">
        <v>13</v>
      </c>
      <c r="K73" s="48" t="s">
        <v>14</v>
      </c>
    </row>
    <row r="74" spans="1:11" ht="30" x14ac:dyDescent="0.25">
      <c r="A74" s="41">
        <f t="shared" si="11"/>
        <v>67</v>
      </c>
      <c r="B74" s="42">
        <v>46152</v>
      </c>
      <c r="C74" s="20">
        <v>40001815</v>
      </c>
      <c r="D74" s="20">
        <v>75179580</v>
      </c>
      <c r="E74" s="51">
        <v>60.85</v>
      </c>
      <c r="F74" s="21">
        <v>1086.1400000000001</v>
      </c>
      <c r="G74" s="52">
        <f t="shared" si="9"/>
        <v>66091.619000000006</v>
      </c>
      <c r="H74" s="16">
        <v>82601.11</v>
      </c>
      <c r="I74" s="53">
        <f t="shared" si="10"/>
        <v>5026277.5435000006</v>
      </c>
      <c r="J74" s="18" t="s">
        <v>13</v>
      </c>
      <c r="K74" s="40" t="s">
        <v>14</v>
      </c>
    </row>
    <row r="75" spans="1:11" ht="30" x14ac:dyDescent="0.25">
      <c r="A75" s="41">
        <f t="shared" si="11"/>
        <v>68</v>
      </c>
      <c r="B75" s="42">
        <v>46152</v>
      </c>
      <c r="C75" s="20">
        <v>40001815</v>
      </c>
      <c r="D75" s="20">
        <v>54243753</v>
      </c>
      <c r="E75" s="39">
        <v>59.35</v>
      </c>
      <c r="F75" s="21">
        <v>1086.1400000000001</v>
      </c>
      <c r="G75" s="52">
        <f t="shared" si="9"/>
        <v>64462.409000000007</v>
      </c>
      <c r="H75" s="16">
        <v>82601.11</v>
      </c>
      <c r="I75" s="53">
        <f t="shared" si="10"/>
        <v>4902375.8785000006</v>
      </c>
      <c r="J75" s="18" t="s">
        <v>13</v>
      </c>
      <c r="K75" s="40" t="s">
        <v>14</v>
      </c>
    </row>
    <row r="76" spans="1:11" ht="30" x14ac:dyDescent="0.25">
      <c r="A76" s="41">
        <f t="shared" si="11"/>
        <v>69</v>
      </c>
      <c r="B76" s="42">
        <v>46152</v>
      </c>
      <c r="C76" s="20">
        <v>40001815</v>
      </c>
      <c r="D76" s="20">
        <v>51404457</v>
      </c>
      <c r="E76" s="39">
        <v>58.9</v>
      </c>
      <c r="F76" s="21">
        <v>1086.1400000000001</v>
      </c>
      <c r="G76" s="52">
        <f t="shared" si="9"/>
        <v>63973.646000000008</v>
      </c>
      <c r="H76" s="16">
        <v>82601.11</v>
      </c>
      <c r="I76" s="53">
        <f t="shared" si="10"/>
        <v>4865205.3789999997</v>
      </c>
      <c r="J76" s="18" t="s">
        <v>13</v>
      </c>
      <c r="K76" s="40" t="s">
        <v>14</v>
      </c>
    </row>
    <row r="77" spans="1:11" ht="30" x14ac:dyDescent="0.25">
      <c r="A77" s="41">
        <f t="shared" si="11"/>
        <v>70</v>
      </c>
      <c r="B77" s="42">
        <v>46152</v>
      </c>
      <c r="C77" s="20">
        <v>40001815</v>
      </c>
      <c r="D77" s="20">
        <v>73920654</v>
      </c>
      <c r="E77" s="39">
        <v>58.9</v>
      </c>
      <c r="F77" s="21">
        <v>1086.1400000000001</v>
      </c>
      <c r="G77" s="52">
        <f t="shared" si="9"/>
        <v>63973.646000000008</v>
      </c>
      <c r="H77" s="16">
        <v>82601.11</v>
      </c>
      <c r="I77" s="53">
        <f t="shared" si="10"/>
        <v>4865205.3789999997</v>
      </c>
      <c r="J77" s="18" t="s">
        <v>13</v>
      </c>
      <c r="K77" s="40" t="s">
        <v>14</v>
      </c>
    </row>
    <row r="78" spans="1:11" ht="30" x14ac:dyDescent="0.25">
      <c r="A78" s="41">
        <f t="shared" si="11"/>
        <v>71</v>
      </c>
      <c r="B78" s="42">
        <v>46152</v>
      </c>
      <c r="C78" s="20">
        <v>40001815</v>
      </c>
      <c r="D78" s="20">
        <v>50576792</v>
      </c>
      <c r="E78" s="39">
        <v>59.05</v>
      </c>
      <c r="F78" s="21">
        <v>1086.1400000000001</v>
      </c>
      <c r="G78" s="52">
        <f t="shared" si="9"/>
        <v>64136.567000000003</v>
      </c>
      <c r="H78" s="16">
        <v>82601.11</v>
      </c>
      <c r="I78" s="53">
        <f t="shared" si="10"/>
        <v>4877595.5455</v>
      </c>
      <c r="J78" s="18" t="s">
        <v>13</v>
      </c>
      <c r="K78" s="40" t="s">
        <v>14</v>
      </c>
    </row>
    <row r="79" spans="1:11" ht="30" x14ac:dyDescent="0.25">
      <c r="A79" s="37">
        <f t="shared" si="11"/>
        <v>72</v>
      </c>
      <c r="B79" s="38">
        <v>46152</v>
      </c>
      <c r="C79" s="20">
        <v>40001815</v>
      </c>
      <c r="D79" s="20">
        <v>50770213</v>
      </c>
      <c r="E79" s="39">
        <v>50.05</v>
      </c>
      <c r="F79" s="21">
        <v>1086.1400000000001</v>
      </c>
      <c r="G79" s="52">
        <f t="shared" si="9"/>
        <v>54361.307000000001</v>
      </c>
      <c r="H79" s="16">
        <v>82601.11</v>
      </c>
      <c r="I79" s="53">
        <f t="shared" si="10"/>
        <v>4134185.5554999998</v>
      </c>
      <c r="J79" s="18" t="s">
        <v>13</v>
      </c>
      <c r="K79" s="40" t="s">
        <v>14</v>
      </c>
    </row>
    <row r="80" spans="1:11" ht="30" x14ac:dyDescent="0.25">
      <c r="A80" s="32">
        <f>A79+1</f>
        <v>73</v>
      </c>
      <c r="B80" s="11">
        <v>46152</v>
      </c>
      <c r="C80" s="32">
        <v>40001818</v>
      </c>
      <c r="D80" s="32">
        <v>53970901</v>
      </c>
      <c r="E80" s="33">
        <v>50</v>
      </c>
      <c r="F80" s="21">
        <v>1086.1400000000001</v>
      </c>
      <c r="G80" s="52">
        <f t="shared" si="9"/>
        <v>54307.000000000007</v>
      </c>
      <c r="H80" s="16">
        <v>82601.11</v>
      </c>
      <c r="I80" s="53">
        <f t="shared" si="10"/>
        <v>4130055.5</v>
      </c>
      <c r="J80" s="18" t="s">
        <v>13</v>
      </c>
      <c r="K80" s="40" t="s">
        <v>14</v>
      </c>
    </row>
    <row r="81" spans="1:11" ht="30" x14ac:dyDescent="0.25">
      <c r="A81" s="20">
        <f>A80+1</f>
        <v>74</v>
      </c>
      <c r="B81" s="11">
        <v>46152</v>
      </c>
      <c r="C81" s="32">
        <v>40001818</v>
      </c>
      <c r="D81" s="20">
        <v>51459469</v>
      </c>
      <c r="E81" s="39">
        <v>58.85</v>
      </c>
      <c r="F81" s="21">
        <v>1086.1400000000001</v>
      </c>
      <c r="G81" s="52">
        <f t="shared" si="9"/>
        <v>63919.339000000007</v>
      </c>
      <c r="H81" s="16">
        <v>82601.11</v>
      </c>
      <c r="I81" s="53">
        <f t="shared" si="10"/>
        <v>4861075.3234999999</v>
      </c>
      <c r="J81" s="18" t="s">
        <v>13</v>
      </c>
      <c r="K81" s="40" t="s">
        <v>14</v>
      </c>
    </row>
    <row r="82" spans="1:11" ht="30" x14ac:dyDescent="0.25">
      <c r="A82" s="20">
        <f t="shared" ref="A82:A98" si="12">A81+1</f>
        <v>75</v>
      </c>
      <c r="B82" s="11">
        <v>46152</v>
      </c>
      <c r="C82" s="32">
        <v>40001818</v>
      </c>
      <c r="D82" s="20">
        <v>75071209</v>
      </c>
      <c r="E82" s="39">
        <v>59.55</v>
      </c>
      <c r="F82" s="21">
        <v>1086.1400000000001</v>
      </c>
      <c r="G82" s="52">
        <f t="shared" si="9"/>
        <v>64679.637000000002</v>
      </c>
      <c r="H82" s="16">
        <v>82601.11</v>
      </c>
      <c r="I82" s="53">
        <f t="shared" si="10"/>
        <v>4918896.1004999997</v>
      </c>
      <c r="J82" s="18" t="s">
        <v>13</v>
      </c>
      <c r="K82" s="40" t="s">
        <v>14</v>
      </c>
    </row>
    <row r="83" spans="1:11" ht="30" x14ac:dyDescent="0.25">
      <c r="A83" s="20">
        <f t="shared" si="12"/>
        <v>76</v>
      </c>
      <c r="B83" s="11">
        <v>46152</v>
      </c>
      <c r="C83" s="32">
        <v>40001818</v>
      </c>
      <c r="D83" s="20">
        <v>53856910</v>
      </c>
      <c r="E83" s="39">
        <v>59.55</v>
      </c>
      <c r="F83" s="21">
        <v>1086.1400000000001</v>
      </c>
      <c r="G83" s="52">
        <f t="shared" si="9"/>
        <v>64679.637000000002</v>
      </c>
      <c r="H83" s="16">
        <v>82601.11</v>
      </c>
      <c r="I83" s="53">
        <f t="shared" si="10"/>
        <v>4918896.1004999997</v>
      </c>
      <c r="J83" s="18" t="s">
        <v>13</v>
      </c>
      <c r="K83" s="40" t="s">
        <v>14</v>
      </c>
    </row>
    <row r="84" spans="1:11" ht="30" x14ac:dyDescent="0.25">
      <c r="A84" s="20">
        <f t="shared" si="12"/>
        <v>77</v>
      </c>
      <c r="B84" s="11">
        <v>46152</v>
      </c>
      <c r="C84" s="32">
        <v>40001818</v>
      </c>
      <c r="D84" s="20">
        <v>73213332</v>
      </c>
      <c r="E84" s="39">
        <v>59.65</v>
      </c>
      <c r="F84" s="21">
        <v>1086.1400000000001</v>
      </c>
      <c r="G84" s="52">
        <f t="shared" si="9"/>
        <v>64788.251000000004</v>
      </c>
      <c r="H84" s="16">
        <v>82601.11</v>
      </c>
      <c r="I84" s="53">
        <f t="shared" si="10"/>
        <v>4927156.2115000002</v>
      </c>
      <c r="J84" s="18" t="s">
        <v>13</v>
      </c>
      <c r="K84" s="40" t="s">
        <v>14</v>
      </c>
    </row>
    <row r="85" spans="1:11" ht="30" x14ac:dyDescent="0.25">
      <c r="A85" s="20">
        <f t="shared" si="12"/>
        <v>78</v>
      </c>
      <c r="B85" s="11">
        <v>46152</v>
      </c>
      <c r="C85" s="32">
        <v>40001818</v>
      </c>
      <c r="D85" s="20">
        <v>53985693</v>
      </c>
      <c r="E85" s="39">
        <v>50</v>
      </c>
      <c r="F85" s="21">
        <v>1086.1400000000001</v>
      </c>
      <c r="G85" s="52">
        <f t="shared" si="9"/>
        <v>54307.000000000007</v>
      </c>
      <c r="H85" s="16">
        <v>82601.11</v>
      </c>
      <c r="I85" s="53">
        <f t="shared" si="10"/>
        <v>4130055.5</v>
      </c>
      <c r="J85" s="18" t="s">
        <v>13</v>
      </c>
      <c r="K85" s="40" t="s">
        <v>14</v>
      </c>
    </row>
    <row r="86" spans="1:11" ht="30" x14ac:dyDescent="0.25">
      <c r="A86" s="20">
        <f t="shared" si="12"/>
        <v>79</v>
      </c>
      <c r="B86" s="11">
        <v>46152</v>
      </c>
      <c r="C86" s="32">
        <v>40001818</v>
      </c>
      <c r="D86" s="20">
        <v>73086522</v>
      </c>
      <c r="E86" s="39">
        <v>59.6</v>
      </c>
      <c r="F86" s="21">
        <v>1086.1400000000001</v>
      </c>
      <c r="G86" s="52">
        <f t="shared" si="9"/>
        <v>64733.94400000001</v>
      </c>
      <c r="H86" s="16">
        <v>82601.11</v>
      </c>
      <c r="I86" s="53">
        <f t="shared" si="10"/>
        <v>4923026.1560000004</v>
      </c>
      <c r="J86" s="18" t="s">
        <v>13</v>
      </c>
      <c r="K86" s="40" t="s">
        <v>14</v>
      </c>
    </row>
    <row r="87" spans="1:11" ht="30" x14ac:dyDescent="0.25">
      <c r="A87" s="20">
        <f t="shared" si="12"/>
        <v>80</v>
      </c>
      <c r="B87" s="11">
        <v>46152</v>
      </c>
      <c r="C87" s="32">
        <v>40001818</v>
      </c>
      <c r="D87" s="20">
        <v>74909680</v>
      </c>
      <c r="E87" s="39">
        <v>59.85</v>
      </c>
      <c r="F87" s="21">
        <v>1086.1400000000001</v>
      </c>
      <c r="G87" s="52">
        <f t="shared" si="9"/>
        <v>65005.479000000007</v>
      </c>
      <c r="H87" s="16">
        <v>82601.11</v>
      </c>
      <c r="I87" s="53">
        <f t="shared" si="10"/>
        <v>4943676.4335000003</v>
      </c>
      <c r="J87" s="18" t="s">
        <v>13</v>
      </c>
      <c r="K87" s="40" t="s">
        <v>14</v>
      </c>
    </row>
    <row r="88" spans="1:11" ht="30" x14ac:dyDescent="0.25">
      <c r="A88" s="20">
        <f t="shared" si="12"/>
        <v>81</v>
      </c>
      <c r="B88" s="11">
        <v>46152</v>
      </c>
      <c r="C88" s="32">
        <v>40001818</v>
      </c>
      <c r="D88" s="20">
        <v>51344463</v>
      </c>
      <c r="E88" s="39">
        <v>50.3</v>
      </c>
      <c r="F88" s="21">
        <v>1086.1400000000001</v>
      </c>
      <c r="G88" s="52">
        <f t="shared" si="9"/>
        <v>54632.842000000004</v>
      </c>
      <c r="H88" s="16">
        <v>82601.11</v>
      </c>
      <c r="I88" s="53">
        <f t="shared" si="10"/>
        <v>4154835.8329999996</v>
      </c>
      <c r="J88" s="18" t="s">
        <v>13</v>
      </c>
      <c r="K88" s="40" t="s">
        <v>14</v>
      </c>
    </row>
    <row r="89" spans="1:11" ht="30" x14ac:dyDescent="0.25">
      <c r="A89" s="20">
        <f t="shared" si="12"/>
        <v>82</v>
      </c>
      <c r="B89" s="11">
        <v>46152</v>
      </c>
      <c r="C89" s="32">
        <v>40001818</v>
      </c>
      <c r="D89" s="20">
        <v>76828490</v>
      </c>
      <c r="E89" s="39">
        <v>60.1</v>
      </c>
      <c r="F89" s="21">
        <v>1086.1400000000001</v>
      </c>
      <c r="G89" s="52">
        <f t="shared" si="9"/>
        <v>65277.01400000001</v>
      </c>
      <c r="H89" s="16">
        <v>82601.11</v>
      </c>
      <c r="I89" s="53">
        <f t="shared" si="10"/>
        <v>4964326.7110000001</v>
      </c>
      <c r="J89" s="18" t="s">
        <v>13</v>
      </c>
      <c r="K89" s="40" t="s">
        <v>14</v>
      </c>
    </row>
    <row r="90" spans="1:11" ht="30" x14ac:dyDescent="0.25">
      <c r="A90" s="20">
        <f t="shared" si="12"/>
        <v>83</v>
      </c>
      <c r="B90" s="11">
        <v>46152</v>
      </c>
      <c r="C90" s="32">
        <v>40001818</v>
      </c>
      <c r="D90" s="20">
        <v>75131177</v>
      </c>
      <c r="E90" s="39">
        <v>60.2</v>
      </c>
      <c r="F90" s="21">
        <v>1086.1400000000001</v>
      </c>
      <c r="G90" s="52">
        <f t="shared" si="9"/>
        <v>65385.628000000012</v>
      </c>
      <c r="H90" s="16">
        <v>82601.11</v>
      </c>
      <c r="I90" s="53">
        <f t="shared" si="10"/>
        <v>4972586.8220000006</v>
      </c>
      <c r="J90" s="18" t="s">
        <v>13</v>
      </c>
      <c r="K90" s="40" t="s">
        <v>14</v>
      </c>
    </row>
    <row r="91" spans="1:11" ht="30" x14ac:dyDescent="0.25">
      <c r="A91" s="20">
        <f t="shared" si="12"/>
        <v>84</v>
      </c>
      <c r="B91" s="11">
        <v>46152</v>
      </c>
      <c r="C91" s="32">
        <v>40001818</v>
      </c>
      <c r="D91" s="20">
        <v>75104141</v>
      </c>
      <c r="E91" s="39">
        <v>59.45</v>
      </c>
      <c r="F91" s="21">
        <v>1086.1400000000001</v>
      </c>
      <c r="G91" s="52">
        <f t="shared" si="9"/>
        <v>64571.023000000008</v>
      </c>
      <c r="H91" s="16">
        <v>82601.11</v>
      </c>
      <c r="I91" s="53">
        <f t="shared" si="10"/>
        <v>4910635.9895000001</v>
      </c>
      <c r="J91" s="18" t="s">
        <v>13</v>
      </c>
      <c r="K91" s="40" t="s">
        <v>14</v>
      </c>
    </row>
    <row r="92" spans="1:11" ht="30" x14ac:dyDescent="0.25">
      <c r="A92" s="20">
        <f t="shared" si="12"/>
        <v>85</v>
      </c>
      <c r="B92" s="11">
        <v>46152</v>
      </c>
      <c r="C92" s="32">
        <v>40001818</v>
      </c>
      <c r="D92" s="20">
        <v>75015164</v>
      </c>
      <c r="E92" s="39">
        <v>59.1</v>
      </c>
      <c r="F92" s="21">
        <v>1086.1400000000001</v>
      </c>
      <c r="G92" s="52">
        <f t="shared" si="9"/>
        <v>64190.874000000011</v>
      </c>
      <c r="H92" s="16">
        <v>82601.11</v>
      </c>
      <c r="I92" s="53">
        <f t="shared" si="10"/>
        <v>4881725.6009999998</v>
      </c>
      <c r="J92" s="18" t="s">
        <v>13</v>
      </c>
      <c r="K92" s="40" t="s">
        <v>14</v>
      </c>
    </row>
    <row r="93" spans="1:11" ht="30" x14ac:dyDescent="0.25">
      <c r="A93" s="20">
        <f t="shared" si="12"/>
        <v>86</v>
      </c>
      <c r="B93" s="11">
        <v>46152</v>
      </c>
      <c r="C93" s="32">
        <v>40001818</v>
      </c>
      <c r="D93" s="20">
        <v>51705556</v>
      </c>
      <c r="E93" s="39">
        <v>51.45</v>
      </c>
      <c r="F93" s="21">
        <v>1086.1400000000001</v>
      </c>
      <c r="G93" s="52">
        <f t="shared" si="9"/>
        <v>55881.903000000006</v>
      </c>
      <c r="H93" s="16">
        <v>82601.11</v>
      </c>
      <c r="I93" s="53">
        <f t="shared" si="10"/>
        <v>4249827.1095000003</v>
      </c>
      <c r="J93" s="18" t="s">
        <v>13</v>
      </c>
      <c r="K93" s="40" t="s">
        <v>14</v>
      </c>
    </row>
    <row r="94" spans="1:11" ht="30" x14ac:dyDescent="0.25">
      <c r="A94" s="20">
        <f t="shared" si="12"/>
        <v>87</v>
      </c>
      <c r="B94" s="11">
        <v>46152</v>
      </c>
      <c r="C94" s="32">
        <v>40001818</v>
      </c>
      <c r="D94" s="20">
        <v>73098428</v>
      </c>
      <c r="E94" s="39">
        <v>59.65</v>
      </c>
      <c r="F94" s="21">
        <v>1086.1400000000001</v>
      </c>
      <c r="G94" s="52">
        <f t="shared" si="9"/>
        <v>64788.251000000004</v>
      </c>
      <c r="H94" s="16">
        <v>82601.11</v>
      </c>
      <c r="I94" s="53">
        <f t="shared" si="10"/>
        <v>4927156.2115000002</v>
      </c>
      <c r="J94" s="18" t="s">
        <v>13</v>
      </c>
      <c r="K94" s="40" t="s">
        <v>14</v>
      </c>
    </row>
    <row r="95" spans="1:11" ht="30" x14ac:dyDescent="0.25">
      <c r="A95" s="20">
        <f t="shared" si="12"/>
        <v>88</v>
      </c>
      <c r="B95" s="11">
        <v>46152</v>
      </c>
      <c r="C95" s="32">
        <v>40001818</v>
      </c>
      <c r="D95" s="12">
        <v>75062232</v>
      </c>
      <c r="E95" s="51">
        <v>59.5</v>
      </c>
      <c r="F95" s="21">
        <v>1086.1400000000001</v>
      </c>
      <c r="G95" s="52">
        <f t="shared" si="9"/>
        <v>64625.330000000009</v>
      </c>
      <c r="H95" s="16">
        <v>82601.11</v>
      </c>
      <c r="I95" s="53">
        <f t="shared" si="10"/>
        <v>4914766.0449999999</v>
      </c>
      <c r="J95" s="18" t="s">
        <v>13</v>
      </c>
      <c r="K95" s="40" t="s">
        <v>14</v>
      </c>
    </row>
    <row r="96" spans="1:11" ht="30" x14ac:dyDescent="0.25">
      <c r="A96" s="20">
        <f t="shared" si="12"/>
        <v>89</v>
      </c>
      <c r="B96" s="11">
        <v>46152</v>
      </c>
      <c r="C96" s="32">
        <v>40001818</v>
      </c>
      <c r="D96" s="20">
        <v>52090099</v>
      </c>
      <c r="E96" s="39">
        <v>59.65</v>
      </c>
      <c r="F96" s="21">
        <v>1086.1400000000001</v>
      </c>
      <c r="G96" s="52">
        <f t="shared" si="9"/>
        <v>64788.251000000004</v>
      </c>
      <c r="H96" s="16">
        <v>82601.11</v>
      </c>
      <c r="I96" s="53">
        <f t="shared" si="10"/>
        <v>4927156.2115000002</v>
      </c>
      <c r="J96" s="18" t="s">
        <v>13</v>
      </c>
      <c r="K96" s="40" t="s">
        <v>14</v>
      </c>
    </row>
    <row r="97" spans="1:11" ht="30" x14ac:dyDescent="0.25">
      <c r="A97" s="20">
        <f t="shared" si="12"/>
        <v>90</v>
      </c>
      <c r="B97" s="11">
        <v>46152</v>
      </c>
      <c r="C97" s="32">
        <v>40001818</v>
      </c>
      <c r="D97" s="20">
        <v>53944740</v>
      </c>
      <c r="E97" s="39">
        <v>50</v>
      </c>
      <c r="F97" s="21">
        <v>1086.1400000000001</v>
      </c>
      <c r="G97" s="52">
        <f t="shared" si="9"/>
        <v>54307.000000000007</v>
      </c>
      <c r="H97" s="16">
        <v>82601.11</v>
      </c>
      <c r="I97" s="53">
        <f t="shared" si="10"/>
        <v>4130055.5</v>
      </c>
      <c r="J97" s="18" t="s">
        <v>13</v>
      </c>
      <c r="K97" s="40" t="s">
        <v>14</v>
      </c>
    </row>
    <row r="98" spans="1:11" ht="30.75" thickBot="1" x14ac:dyDescent="0.3">
      <c r="A98" s="43">
        <f t="shared" si="12"/>
        <v>91</v>
      </c>
      <c r="B98" s="50">
        <v>46152</v>
      </c>
      <c r="C98" s="54">
        <v>40001818</v>
      </c>
      <c r="D98" s="43">
        <v>73214736</v>
      </c>
      <c r="E98" s="44">
        <v>59.6</v>
      </c>
      <c r="F98" s="21">
        <v>1086.1400000000001</v>
      </c>
      <c r="G98" s="55">
        <f t="shared" si="9"/>
        <v>64733.94400000001</v>
      </c>
      <c r="H98" s="24">
        <v>82601.11</v>
      </c>
      <c r="I98" s="56">
        <f t="shared" si="10"/>
        <v>4923026.1560000004</v>
      </c>
      <c r="J98" s="47" t="s">
        <v>13</v>
      </c>
      <c r="K98" s="48" t="s">
        <v>14</v>
      </c>
    </row>
    <row r="99" spans="1:11" ht="15.75" thickBot="1" x14ac:dyDescent="0.3">
      <c r="A99" s="25"/>
      <c r="B99" s="26"/>
      <c r="C99" s="26"/>
      <c r="D99" s="26"/>
      <c r="E99" s="27"/>
      <c r="F99" s="28"/>
      <c r="G99" s="29"/>
      <c r="H99" s="28"/>
      <c r="I99" s="30"/>
      <c r="J99" s="26"/>
      <c r="K99" s="31"/>
    </row>
    <row r="100" spans="1:11" ht="30" x14ac:dyDescent="0.25">
      <c r="A100" s="10">
        <f>A98+1</f>
        <v>92</v>
      </c>
      <c r="B100" s="11">
        <v>46157</v>
      </c>
      <c r="C100" s="57">
        <v>40002242</v>
      </c>
      <c r="D100" s="57">
        <v>50434166</v>
      </c>
      <c r="E100" s="58">
        <v>51.25</v>
      </c>
      <c r="F100" s="21">
        <v>1086.1400000000001</v>
      </c>
      <c r="G100" s="15">
        <f t="shared" ref="G100:G107" si="13">E100*F100</f>
        <v>55664.675000000003</v>
      </c>
      <c r="H100" s="34">
        <v>82601.11</v>
      </c>
      <c r="I100" s="17">
        <f t="shared" ref="I100:I107" si="14">E100*H100</f>
        <v>4233306.8875000002</v>
      </c>
      <c r="J100" s="35" t="s">
        <v>13</v>
      </c>
      <c r="K100" s="36" t="s">
        <v>14</v>
      </c>
    </row>
    <row r="101" spans="1:11" ht="30" x14ac:dyDescent="0.25">
      <c r="A101" s="37">
        <f>A100+1</f>
        <v>93</v>
      </c>
      <c r="B101" s="38">
        <v>46157</v>
      </c>
      <c r="C101" s="12">
        <v>40002242</v>
      </c>
      <c r="D101" s="12">
        <v>51142453</v>
      </c>
      <c r="E101" s="13">
        <v>50.7</v>
      </c>
      <c r="F101" s="21">
        <v>1086.1400000000001</v>
      </c>
      <c r="G101" s="52">
        <f t="shared" si="13"/>
        <v>55067.29800000001</v>
      </c>
      <c r="H101" s="16">
        <v>82601.11</v>
      </c>
      <c r="I101" s="53">
        <f t="shared" si="14"/>
        <v>4187876.2770000002</v>
      </c>
      <c r="J101" s="18" t="s">
        <v>13</v>
      </c>
      <c r="K101" s="40" t="s">
        <v>14</v>
      </c>
    </row>
    <row r="102" spans="1:11" ht="30" x14ac:dyDescent="0.25">
      <c r="A102" s="37">
        <f t="shared" ref="A102:A107" si="15">A101+1</f>
        <v>94</v>
      </c>
      <c r="B102" s="38">
        <v>46157</v>
      </c>
      <c r="C102" s="12">
        <v>40002242</v>
      </c>
      <c r="D102" s="12">
        <v>54712708</v>
      </c>
      <c r="E102" s="13">
        <v>59.4</v>
      </c>
      <c r="F102" s="21">
        <v>1086.1400000000001</v>
      </c>
      <c r="G102" s="52">
        <f t="shared" si="13"/>
        <v>64516.716000000008</v>
      </c>
      <c r="H102" s="16">
        <v>82601.11</v>
      </c>
      <c r="I102" s="53">
        <f t="shared" si="14"/>
        <v>4906505.9340000004</v>
      </c>
      <c r="J102" s="18" t="s">
        <v>13</v>
      </c>
      <c r="K102" s="40" t="s">
        <v>14</v>
      </c>
    </row>
    <row r="103" spans="1:11" ht="30" x14ac:dyDescent="0.25">
      <c r="A103" s="37">
        <f t="shared" si="15"/>
        <v>95</v>
      </c>
      <c r="B103" s="38">
        <v>46157</v>
      </c>
      <c r="C103" s="12">
        <v>40002242</v>
      </c>
      <c r="D103" s="12">
        <v>73186652</v>
      </c>
      <c r="E103" s="13">
        <v>59.5</v>
      </c>
      <c r="F103" s="21">
        <v>1086.1400000000001</v>
      </c>
      <c r="G103" s="52">
        <f t="shared" si="13"/>
        <v>64625.330000000009</v>
      </c>
      <c r="H103" s="16">
        <v>82601.11</v>
      </c>
      <c r="I103" s="53">
        <f t="shared" si="14"/>
        <v>4914766.0449999999</v>
      </c>
      <c r="J103" s="18" t="s">
        <v>13</v>
      </c>
      <c r="K103" s="40" t="s">
        <v>14</v>
      </c>
    </row>
    <row r="104" spans="1:11" ht="30" x14ac:dyDescent="0.25">
      <c r="A104" s="37">
        <f t="shared" si="15"/>
        <v>96</v>
      </c>
      <c r="B104" s="38">
        <v>46157</v>
      </c>
      <c r="C104" s="12">
        <v>40002242</v>
      </c>
      <c r="D104" s="12">
        <v>73197212</v>
      </c>
      <c r="E104" s="13">
        <v>59.6</v>
      </c>
      <c r="F104" s="21">
        <v>1086.1400000000001</v>
      </c>
      <c r="G104" s="52">
        <f t="shared" si="13"/>
        <v>64733.94400000001</v>
      </c>
      <c r="H104" s="16">
        <v>82601.11</v>
      </c>
      <c r="I104" s="53">
        <f t="shared" si="14"/>
        <v>4923026.1560000004</v>
      </c>
      <c r="J104" s="18" t="s">
        <v>13</v>
      </c>
      <c r="K104" s="40" t="s">
        <v>14</v>
      </c>
    </row>
    <row r="105" spans="1:11" ht="30" x14ac:dyDescent="0.25">
      <c r="A105" s="37">
        <f t="shared" si="15"/>
        <v>97</v>
      </c>
      <c r="B105" s="38">
        <v>46157</v>
      </c>
      <c r="C105" s="12">
        <v>40002242</v>
      </c>
      <c r="D105" s="12">
        <v>75110650</v>
      </c>
      <c r="E105" s="13">
        <v>59.35</v>
      </c>
      <c r="F105" s="21">
        <v>1086.1400000000001</v>
      </c>
      <c r="G105" s="52">
        <f t="shared" si="13"/>
        <v>64462.409000000007</v>
      </c>
      <c r="H105" s="16">
        <v>82601.11</v>
      </c>
      <c r="I105" s="53">
        <f t="shared" si="14"/>
        <v>4902375.8785000006</v>
      </c>
      <c r="J105" s="18" t="s">
        <v>13</v>
      </c>
      <c r="K105" s="40" t="s">
        <v>14</v>
      </c>
    </row>
    <row r="106" spans="1:11" ht="30" x14ac:dyDescent="0.25">
      <c r="A106" s="37">
        <f t="shared" si="15"/>
        <v>98</v>
      </c>
      <c r="B106" s="38">
        <v>46157</v>
      </c>
      <c r="C106" s="12">
        <v>40002242</v>
      </c>
      <c r="D106" s="12">
        <v>75216929</v>
      </c>
      <c r="E106" s="13">
        <v>59.95</v>
      </c>
      <c r="F106" s="21">
        <v>1086.1400000000001</v>
      </c>
      <c r="G106" s="52">
        <f t="shared" si="13"/>
        <v>65114.093000000008</v>
      </c>
      <c r="H106" s="16">
        <v>82601.11</v>
      </c>
      <c r="I106" s="53">
        <f t="shared" si="14"/>
        <v>4951936.5444999998</v>
      </c>
      <c r="J106" s="18" t="s">
        <v>13</v>
      </c>
      <c r="K106" s="40" t="s">
        <v>14</v>
      </c>
    </row>
    <row r="107" spans="1:11" ht="30.75" thickBot="1" x14ac:dyDescent="0.3">
      <c r="A107" s="41">
        <f t="shared" si="15"/>
        <v>99</v>
      </c>
      <c r="B107" s="42">
        <v>46157</v>
      </c>
      <c r="C107" s="22">
        <v>40002242</v>
      </c>
      <c r="D107" s="22">
        <v>75290882</v>
      </c>
      <c r="E107" s="23">
        <v>59.95</v>
      </c>
      <c r="F107" s="21">
        <v>1086.1400000000001</v>
      </c>
      <c r="G107" s="55">
        <f t="shared" si="13"/>
        <v>65114.093000000008</v>
      </c>
      <c r="H107" s="24">
        <v>82601.11</v>
      </c>
      <c r="I107" s="56">
        <f t="shared" si="14"/>
        <v>4951936.5444999998</v>
      </c>
      <c r="J107" s="47" t="s">
        <v>13</v>
      </c>
      <c r="K107" s="48" t="s">
        <v>14</v>
      </c>
    </row>
    <row r="108" spans="1:11" ht="15.75" thickBot="1" x14ac:dyDescent="0.3">
      <c r="A108" s="25"/>
      <c r="B108" s="26"/>
      <c r="C108" s="26"/>
      <c r="D108" s="26"/>
      <c r="E108" s="27"/>
      <c r="F108" s="28"/>
      <c r="G108" s="29"/>
      <c r="H108" s="28"/>
      <c r="I108" s="30"/>
      <c r="J108" s="26"/>
      <c r="K108" s="31"/>
    </row>
    <row r="109" spans="1:11" ht="30" x14ac:dyDescent="0.25">
      <c r="A109" s="10">
        <f>A107+1</f>
        <v>100</v>
      </c>
      <c r="B109" s="11">
        <v>46163</v>
      </c>
      <c r="C109" s="59">
        <v>40003013</v>
      </c>
      <c r="D109" s="59">
        <v>50913524</v>
      </c>
      <c r="E109" s="60">
        <v>59.05</v>
      </c>
      <c r="F109" s="21">
        <v>1086.1400000000001</v>
      </c>
      <c r="G109" s="15">
        <f t="shared" ref="G109:G123" si="16">E109*F109</f>
        <v>64136.567000000003</v>
      </c>
      <c r="H109" s="34">
        <v>82601.11</v>
      </c>
      <c r="I109" s="17">
        <f t="shared" ref="I109:I123" si="17">E109*H109</f>
        <v>4877595.5455</v>
      </c>
      <c r="J109" s="35" t="s">
        <v>13</v>
      </c>
      <c r="K109" s="36" t="s">
        <v>14</v>
      </c>
    </row>
    <row r="110" spans="1:11" ht="30" x14ac:dyDescent="0.25">
      <c r="A110" s="37">
        <f>A109+1</f>
        <v>101</v>
      </c>
      <c r="B110" s="38">
        <v>46163</v>
      </c>
      <c r="C110" s="61">
        <v>40003013</v>
      </c>
      <c r="D110" s="61">
        <v>54717392</v>
      </c>
      <c r="E110" s="62">
        <v>58.9</v>
      </c>
      <c r="F110" s="21">
        <v>1086.1400000000001</v>
      </c>
      <c r="G110" s="52">
        <f t="shared" si="16"/>
        <v>63973.646000000008</v>
      </c>
      <c r="H110" s="16">
        <v>82601.11</v>
      </c>
      <c r="I110" s="53">
        <f t="shared" si="17"/>
        <v>4865205.3789999997</v>
      </c>
      <c r="J110" s="18" t="s">
        <v>13</v>
      </c>
      <c r="K110" s="40" t="s">
        <v>14</v>
      </c>
    </row>
    <row r="111" spans="1:11" ht="30" x14ac:dyDescent="0.25">
      <c r="A111" s="37">
        <f t="shared" ref="A111:A123" si="18">A110+1</f>
        <v>102</v>
      </c>
      <c r="B111" s="38">
        <v>46163</v>
      </c>
      <c r="C111" s="61">
        <v>40003013</v>
      </c>
      <c r="D111" s="61">
        <v>54746367</v>
      </c>
      <c r="E111" s="62">
        <v>58.95</v>
      </c>
      <c r="F111" s="21">
        <v>1086.1400000000001</v>
      </c>
      <c r="G111" s="52">
        <f t="shared" si="16"/>
        <v>64027.953000000009</v>
      </c>
      <c r="H111" s="16">
        <v>82601.11</v>
      </c>
      <c r="I111" s="53">
        <f t="shared" si="17"/>
        <v>4869335.4345000004</v>
      </c>
      <c r="J111" s="18" t="s">
        <v>13</v>
      </c>
      <c r="K111" s="40" t="s">
        <v>14</v>
      </c>
    </row>
    <row r="112" spans="1:11" ht="30" x14ac:dyDescent="0.25">
      <c r="A112" s="37">
        <f t="shared" si="18"/>
        <v>103</v>
      </c>
      <c r="B112" s="38">
        <v>46163</v>
      </c>
      <c r="C112" s="61">
        <v>40003013</v>
      </c>
      <c r="D112" s="61">
        <v>73009631</v>
      </c>
      <c r="E112" s="62">
        <v>59.35</v>
      </c>
      <c r="F112" s="21">
        <v>1086.1400000000001</v>
      </c>
      <c r="G112" s="52">
        <f t="shared" si="16"/>
        <v>64462.409000000007</v>
      </c>
      <c r="H112" s="16">
        <v>82601.11</v>
      </c>
      <c r="I112" s="53">
        <f t="shared" si="17"/>
        <v>4902375.8785000006</v>
      </c>
      <c r="J112" s="18" t="s">
        <v>13</v>
      </c>
      <c r="K112" s="40" t="s">
        <v>14</v>
      </c>
    </row>
    <row r="113" spans="1:11" ht="30" x14ac:dyDescent="0.25">
      <c r="A113" s="37">
        <f t="shared" si="18"/>
        <v>104</v>
      </c>
      <c r="B113" s="38">
        <v>46163</v>
      </c>
      <c r="C113" s="61">
        <v>40003013</v>
      </c>
      <c r="D113" s="61">
        <v>73049934</v>
      </c>
      <c r="E113" s="62">
        <v>59.6</v>
      </c>
      <c r="F113" s="21">
        <v>1086.1400000000001</v>
      </c>
      <c r="G113" s="52">
        <f t="shared" si="16"/>
        <v>64733.94400000001</v>
      </c>
      <c r="H113" s="16">
        <v>82601.11</v>
      </c>
      <c r="I113" s="53">
        <f t="shared" si="17"/>
        <v>4923026.1560000004</v>
      </c>
      <c r="J113" s="18" t="s">
        <v>13</v>
      </c>
      <c r="K113" s="40" t="s">
        <v>14</v>
      </c>
    </row>
    <row r="114" spans="1:11" ht="30" x14ac:dyDescent="0.25">
      <c r="A114" s="37">
        <f t="shared" si="18"/>
        <v>105</v>
      </c>
      <c r="B114" s="38">
        <v>46163</v>
      </c>
      <c r="C114" s="61">
        <v>40003013</v>
      </c>
      <c r="D114" s="61">
        <v>73102048</v>
      </c>
      <c r="E114" s="62">
        <v>59.35</v>
      </c>
      <c r="F114" s="21">
        <v>1086.1400000000001</v>
      </c>
      <c r="G114" s="52">
        <f t="shared" si="16"/>
        <v>64462.409000000007</v>
      </c>
      <c r="H114" s="16">
        <v>82601.11</v>
      </c>
      <c r="I114" s="53">
        <f t="shared" si="17"/>
        <v>4902375.8785000006</v>
      </c>
      <c r="J114" s="18" t="s">
        <v>13</v>
      </c>
      <c r="K114" s="40" t="s">
        <v>14</v>
      </c>
    </row>
    <row r="115" spans="1:11" ht="30" x14ac:dyDescent="0.25">
      <c r="A115" s="37">
        <f t="shared" si="18"/>
        <v>106</v>
      </c>
      <c r="B115" s="38">
        <v>46163</v>
      </c>
      <c r="C115" s="61">
        <v>40003013</v>
      </c>
      <c r="D115" s="61">
        <v>73102907</v>
      </c>
      <c r="E115" s="62">
        <v>59.3</v>
      </c>
      <c r="F115" s="21">
        <v>1086.1400000000001</v>
      </c>
      <c r="G115" s="52">
        <f t="shared" si="16"/>
        <v>64408.102000000006</v>
      </c>
      <c r="H115" s="16">
        <v>82601.11</v>
      </c>
      <c r="I115" s="53">
        <f t="shared" si="17"/>
        <v>4898245.8229999999</v>
      </c>
      <c r="J115" s="18" t="s">
        <v>13</v>
      </c>
      <c r="K115" s="40" t="s">
        <v>14</v>
      </c>
    </row>
    <row r="116" spans="1:11" ht="30" x14ac:dyDescent="0.25">
      <c r="A116" s="37">
        <f t="shared" si="18"/>
        <v>107</v>
      </c>
      <c r="B116" s="38">
        <v>46163</v>
      </c>
      <c r="C116" s="61">
        <v>40003013</v>
      </c>
      <c r="D116" s="61">
        <v>73118515</v>
      </c>
      <c r="E116" s="62">
        <v>59.6</v>
      </c>
      <c r="F116" s="21">
        <v>1086.1400000000001</v>
      </c>
      <c r="G116" s="52">
        <f t="shared" si="16"/>
        <v>64733.94400000001</v>
      </c>
      <c r="H116" s="16">
        <v>82601.11</v>
      </c>
      <c r="I116" s="53">
        <f t="shared" si="17"/>
        <v>4923026.1560000004</v>
      </c>
      <c r="J116" s="18" t="s">
        <v>13</v>
      </c>
      <c r="K116" s="40" t="s">
        <v>14</v>
      </c>
    </row>
    <row r="117" spans="1:11" ht="30" x14ac:dyDescent="0.25">
      <c r="A117" s="37">
        <f t="shared" si="18"/>
        <v>108</v>
      </c>
      <c r="B117" s="38">
        <v>46163</v>
      </c>
      <c r="C117" s="61">
        <v>40003013</v>
      </c>
      <c r="D117" s="61">
        <v>73133571</v>
      </c>
      <c r="E117" s="62">
        <v>59.4</v>
      </c>
      <c r="F117" s="21">
        <v>1086.1400000000001</v>
      </c>
      <c r="G117" s="52">
        <f t="shared" si="16"/>
        <v>64516.716000000008</v>
      </c>
      <c r="H117" s="16">
        <v>82601.11</v>
      </c>
      <c r="I117" s="53">
        <f t="shared" si="17"/>
        <v>4906505.9340000004</v>
      </c>
      <c r="J117" s="18" t="s">
        <v>13</v>
      </c>
      <c r="K117" s="40" t="s">
        <v>14</v>
      </c>
    </row>
    <row r="118" spans="1:11" ht="30" x14ac:dyDescent="0.25">
      <c r="A118" s="37">
        <f t="shared" si="18"/>
        <v>109</v>
      </c>
      <c r="B118" s="38">
        <v>46163</v>
      </c>
      <c r="C118" s="61">
        <v>40003013</v>
      </c>
      <c r="D118" s="61">
        <v>73168833</v>
      </c>
      <c r="E118" s="62">
        <v>59.4</v>
      </c>
      <c r="F118" s="21">
        <v>1086.1400000000001</v>
      </c>
      <c r="G118" s="52">
        <f t="shared" si="16"/>
        <v>64516.716000000008</v>
      </c>
      <c r="H118" s="16">
        <v>82601.11</v>
      </c>
      <c r="I118" s="53">
        <f t="shared" si="17"/>
        <v>4906505.9340000004</v>
      </c>
      <c r="J118" s="18" t="s">
        <v>13</v>
      </c>
      <c r="K118" s="40" t="s">
        <v>14</v>
      </c>
    </row>
    <row r="119" spans="1:11" ht="30" x14ac:dyDescent="0.25">
      <c r="A119" s="37">
        <f t="shared" si="18"/>
        <v>110</v>
      </c>
      <c r="B119" s="38">
        <v>46163</v>
      </c>
      <c r="C119" s="61">
        <v>40003013</v>
      </c>
      <c r="D119" s="61">
        <v>73229882</v>
      </c>
      <c r="E119" s="62">
        <v>59.5</v>
      </c>
      <c r="F119" s="21">
        <v>1086.1400000000001</v>
      </c>
      <c r="G119" s="52">
        <f t="shared" si="16"/>
        <v>64625.330000000009</v>
      </c>
      <c r="H119" s="16">
        <v>82601.11</v>
      </c>
      <c r="I119" s="53">
        <f t="shared" si="17"/>
        <v>4914766.0449999999</v>
      </c>
      <c r="J119" s="18" t="s">
        <v>13</v>
      </c>
      <c r="K119" s="40" t="s">
        <v>14</v>
      </c>
    </row>
    <row r="120" spans="1:11" ht="30" x14ac:dyDescent="0.25">
      <c r="A120" s="37">
        <f t="shared" si="18"/>
        <v>111</v>
      </c>
      <c r="B120" s="38">
        <v>46163</v>
      </c>
      <c r="C120" s="61">
        <v>40003013</v>
      </c>
      <c r="D120" s="61">
        <v>73236978</v>
      </c>
      <c r="E120" s="62">
        <v>59.6</v>
      </c>
      <c r="F120" s="21">
        <v>1086.1400000000001</v>
      </c>
      <c r="G120" s="52">
        <f t="shared" si="16"/>
        <v>64733.94400000001</v>
      </c>
      <c r="H120" s="16">
        <v>82601.11</v>
      </c>
      <c r="I120" s="53">
        <f t="shared" si="17"/>
        <v>4923026.1560000004</v>
      </c>
      <c r="J120" s="18" t="s">
        <v>13</v>
      </c>
      <c r="K120" s="40" t="s">
        <v>14</v>
      </c>
    </row>
    <row r="121" spans="1:11" ht="30" x14ac:dyDescent="0.25">
      <c r="A121" s="37">
        <f t="shared" si="18"/>
        <v>112</v>
      </c>
      <c r="B121" s="38">
        <v>46163</v>
      </c>
      <c r="C121" s="61">
        <v>40003013</v>
      </c>
      <c r="D121" s="61">
        <v>73240533</v>
      </c>
      <c r="E121" s="62">
        <v>59.3</v>
      </c>
      <c r="F121" s="21">
        <v>1086.1400000000001</v>
      </c>
      <c r="G121" s="52">
        <f t="shared" si="16"/>
        <v>64408.102000000006</v>
      </c>
      <c r="H121" s="16">
        <v>82601.11</v>
      </c>
      <c r="I121" s="53">
        <f t="shared" si="17"/>
        <v>4898245.8229999999</v>
      </c>
      <c r="J121" s="18" t="s">
        <v>13</v>
      </c>
      <c r="K121" s="40" t="s">
        <v>14</v>
      </c>
    </row>
    <row r="122" spans="1:11" ht="30" x14ac:dyDescent="0.25">
      <c r="A122" s="37">
        <f t="shared" si="18"/>
        <v>113</v>
      </c>
      <c r="B122" s="38">
        <v>46163</v>
      </c>
      <c r="C122" s="61">
        <v>40003013</v>
      </c>
      <c r="D122" s="61">
        <v>73241630</v>
      </c>
      <c r="E122" s="62">
        <v>59.7</v>
      </c>
      <c r="F122" s="21">
        <v>1086.1400000000001</v>
      </c>
      <c r="G122" s="52">
        <f t="shared" si="16"/>
        <v>64842.558000000012</v>
      </c>
      <c r="H122" s="16">
        <v>82601.11</v>
      </c>
      <c r="I122" s="53">
        <f t="shared" si="17"/>
        <v>4931286.267</v>
      </c>
      <c r="J122" s="18" t="s">
        <v>13</v>
      </c>
      <c r="K122" s="40" t="s">
        <v>14</v>
      </c>
    </row>
    <row r="123" spans="1:11" ht="30.75" thickBot="1" x14ac:dyDescent="0.3">
      <c r="A123" s="41">
        <f t="shared" si="18"/>
        <v>114</v>
      </c>
      <c r="B123" s="42">
        <v>46163</v>
      </c>
      <c r="C123" s="63">
        <v>40003013</v>
      </c>
      <c r="D123" s="63">
        <v>74985227</v>
      </c>
      <c r="E123" s="64">
        <v>59.2</v>
      </c>
      <c r="F123" s="21">
        <v>1086.1400000000001</v>
      </c>
      <c r="G123" s="55">
        <f t="shared" si="16"/>
        <v>64299.488000000012</v>
      </c>
      <c r="H123" s="24">
        <v>82601.11</v>
      </c>
      <c r="I123" s="56">
        <f t="shared" si="17"/>
        <v>4889985.7120000003</v>
      </c>
      <c r="J123" s="47" t="s">
        <v>13</v>
      </c>
      <c r="K123" s="48" t="s">
        <v>14</v>
      </c>
    </row>
    <row r="124" spans="1:11" ht="15.75" thickBot="1" x14ac:dyDescent="0.3">
      <c r="A124" s="25"/>
      <c r="B124" s="26"/>
      <c r="C124" s="26"/>
      <c r="D124" s="26"/>
      <c r="E124" s="27"/>
      <c r="F124" s="28"/>
      <c r="G124" s="29"/>
      <c r="H124" s="28"/>
      <c r="I124" s="30"/>
      <c r="J124" s="26"/>
      <c r="K124" s="31"/>
    </row>
    <row r="125" spans="1:11" ht="30" x14ac:dyDescent="0.25">
      <c r="A125" s="65">
        <v>115</v>
      </c>
      <c r="B125" s="66">
        <v>46167</v>
      </c>
      <c r="C125" s="67">
        <v>40003434</v>
      </c>
      <c r="D125" s="67">
        <v>50217793</v>
      </c>
      <c r="E125" s="68">
        <v>58.75</v>
      </c>
      <c r="F125" s="21">
        <v>1086.1400000000001</v>
      </c>
      <c r="G125" s="69">
        <f t="shared" ref="G125:G144" si="19">E125*F125</f>
        <v>63810.725000000006</v>
      </c>
      <c r="H125" s="70">
        <v>82601.11</v>
      </c>
      <c r="I125" s="71">
        <f t="shared" ref="I125:I144" si="20">E125*H125</f>
        <v>4852815.2125000004</v>
      </c>
      <c r="J125" s="72" t="s">
        <v>13</v>
      </c>
      <c r="K125" s="73" t="s">
        <v>14</v>
      </c>
    </row>
    <row r="126" spans="1:11" ht="30" x14ac:dyDescent="0.25">
      <c r="A126" s="37">
        <f>A125+1</f>
        <v>116</v>
      </c>
      <c r="B126" s="38">
        <v>46167</v>
      </c>
      <c r="C126" s="61">
        <v>40003434</v>
      </c>
      <c r="D126" s="61">
        <v>54072236</v>
      </c>
      <c r="E126" s="62">
        <v>58.8</v>
      </c>
      <c r="F126" s="21">
        <v>1086.1400000000001</v>
      </c>
      <c r="G126" s="52">
        <f t="shared" si="19"/>
        <v>63865.031999999999</v>
      </c>
      <c r="H126" s="16">
        <v>82601.11</v>
      </c>
      <c r="I126" s="53">
        <f t="shared" si="20"/>
        <v>4856945.2680000002</v>
      </c>
      <c r="J126" s="18" t="s">
        <v>13</v>
      </c>
      <c r="K126" s="40" t="s">
        <v>14</v>
      </c>
    </row>
    <row r="127" spans="1:11" ht="30" x14ac:dyDescent="0.25">
      <c r="A127" s="37">
        <f t="shared" ref="A127:A144" si="21">A126+1</f>
        <v>117</v>
      </c>
      <c r="B127" s="38">
        <v>46167</v>
      </c>
      <c r="C127" s="61">
        <v>40003434</v>
      </c>
      <c r="D127" s="61">
        <v>73001810</v>
      </c>
      <c r="E127" s="62">
        <v>58.4</v>
      </c>
      <c r="F127" s="21">
        <v>1086.1400000000001</v>
      </c>
      <c r="G127" s="52">
        <f t="shared" si="19"/>
        <v>63430.576000000001</v>
      </c>
      <c r="H127" s="16">
        <v>82601.11</v>
      </c>
      <c r="I127" s="53">
        <f t="shared" si="20"/>
        <v>4823904.824</v>
      </c>
      <c r="J127" s="18" t="s">
        <v>13</v>
      </c>
      <c r="K127" s="40" t="s">
        <v>14</v>
      </c>
    </row>
    <row r="128" spans="1:11" ht="30" x14ac:dyDescent="0.25">
      <c r="A128" s="37">
        <f t="shared" si="21"/>
        <v>118</v>
      </c>
      <c r="B128" s="38">
        <v>46167</v>
      </c>
      <c r="C128" s="61">
        <v>40003434</v>
      </c>
      <c r="D128" s="61">
        <v>73004251</v>
      </c>
      <c r="E128" s="62">
        <v>58.35</v>
      </c>
      <c r="F128" s="21">
        <v>1086.1400000000001</v>
      </c>
      <c r="G128" s="52">
        <f t="shared" si="19"/>
        <v>63376.269000000008</v>
      </c>
      <c r="H128" s="16">
        <v>82601.11</v>
      </c>
      <c r="I128" s="53">
        <f t="shared" si="20"/>
        <v>4819774.7685000002</v>
      </c>
      <c r="J128" s="18" t="s">
        <v>13</v>
      </c>
      <c r="K128" s="40" t="s">
        <v>14</v>
      </c>
    </row>
    <row r="129" spans="1:11" ht="30" x14ac:dyDescent="0.25">
      <c r="A129" s="37">
        <f t="shared" si="21"/>
        <v>119</v>
      </c>
      <c r="B129" s="38">
        <v>46167</v>
      </c>
      <c r="C129" s="61">
        <v>40003434</v>
      </c>
      <c r="D129" s="61">
        <v>73062887</v>
      </c>
      <c r="E129" s="62">
        <v>58.4</v>
      </c>
      <c r="F129" s="21">
        <v>1086.1400000000001</v>
      </c>
      <c r="G129" s="52">
        <f t="shared" si="19"/>
        <v>63430.576000000001</v>
      </c>
      <c r="H129" s="16">
        <v>82601.11</v>
      </c>
      <c r="I129" s="53">
        <f t="shared" si="20"/>
        <v>4823904.824</v>
      </c>
      <c r="J129" s="18" t="s">
        <v>13</v>
      </c>
      <c r="K129" s="40" t="s">
        <v>14</v>
      </c>
    </row>
    <row r="130" spans="1:11" ht="30" x14ac:dyDescent="0.25">
      <c r="A130" s="37">
        <f t="shared" si="21"/>
        <v>120</v>
      </c>
      <c r="B130" s="38">
        <v>46167</v>
      </c>
      <c r="C130" s="61">
        <v>40003434</v>
      </c>
      <c r="D130" s="61">
        <v>73080731</v>
      </c>
      <c r="E130" s="62">
        <v>58.5</v>
      </c>
      <c r="F130" s="21">
        <v>1086.1400000000001</v>
      </c>
      <c r="G130" s="52">
        <f t="shared" si="19"/>
        <v>63539.19</v>
      </c>
      <c r="H130" s="16">
        <v>82601.11</v>
      </c>
      <c r="I130" s="53">
        <f t="shared" si="20"/>
        <v>4832164.9349999996</v>
      </c>
      <c r="J130" s="18" t="s">
        <v>13</v>
      </c>
      <c r="K130" s="40" t="s">
        <v>14</v>
      </c>
    </row>
    <row r="131" spans="1:11" ht="30" x14ac:dyDescent="0.25">
      <c r="A131" s="37">
        <f t="shared" si="21"/>
        <v>121</v>
      </c>
      <c r="B131" s="38">
        <v>46167</v>
      </c>
      <c r="C131" s="61">
        <v>40003434</v>
      </c>
      <c r="D131" s="61">
        <v>73118036</v>
      </c>
      <c r="E131" s="62">
        <v>58.4</v>
      </c>
      <c r="F131" s="21">
        <v>1086.1400000000001</v>
      </c>
      <c r="G131" s="52">
        <f t="shared" si="19"/>
        <v>63430.576000000001</v>
      </c>
      <c r="H131" s="16">
        <v>82601.11</v>
      </c>
      <c r="I131" s="53">
        <f t="shared" si="20"/>
        <v>4823904.824</v>
      </c>
      <c r="J131" s="18" t="s">
        <v>13</v>
      </c>
      <c r="K131" s="40" t="s">
        <v>14</v>
      </c>
    </row>
    <row r="132" spans="1:11" ht="30" x14ac:dyDescent="0.25">
      <c r="A132" s="37">
        <f t="shared" si="21"/>
        <v>122</v>
      </c>
      <c r="B132" s="38">
        <v>46167</v>
      </c>
      <c r="C132" s="61">
        <v>40003434</v>
      </c>
      <c r="D132" s="61">
        <v>73121105</v>
      </c>
      <c r="E132" s="62">
        <v>58.55</v>
      </c>
      <c r="F132" s="21">
        <v>1086.1400000000001</v>
      </c>
      <c r="G132" s="52">
        <f t="shared" si="19"/>
        <v>63593.497000000003</v>
      </c>
      <c r="H132" s="16">
        <v>82601.11</v>
      </c>
      <c r="I132" s="53">
        <f t="shared" si="20"/>
        <v>4836294.9904999994</v>
      </c>
      <c r="J132" s="18" t="s">
        <v>13</v>
      </c>
      <c r="K132" s="40" t="s">
        <v>14</v>
      </c>
    </row>
    <row r="133" spans="1:11" ht="30" x14ac:dyDescent="0.25">
      <c r="A133" s="37">
        <f t="shared" si="21"/>
        <v>123</v>
      </c>
      <c r="B133" s="38">
        <v>46167</v>
      </c>
      <c r="C133" s="61">
        <v>40003434</v>
      </c>
      <c r="D133" s="61">
        <v>73122558</v>
      </c>
      <c r="E133" s="62">
        <v>58.65</v>
      </c>
      <c r="F133" s="21">
        <v>1086.1400000000001</v>
      </c>
      <c r="G133" s="52">
        <f t="shared" si="19"/>
        <v>63702.111000000004</v>
      </c>
      <c r="H133" s="16">
        <v>82601.11</v>
      </c>
      <c r="I133" s="53">
        <f t="shared" si="20"/>
        <v>4844555.1014999999</v>
      </c>
      <c r="J133" s="18" t="s">
        <v>13</v>
      </c>
      <c r="K133" s="40" t="s">
        <v>14</v>
      </c>
    </row>
    <row r="134" spans="1:11" ht="30" x14ac:dyDescent="0.25">
      <c r="A134" s="37">
        <f t="shared" si="21"/>
        <v>124</v>
      </c>
      <c r="B134" s="38">
        <v>46167</v>
      </c>
      <c r="C134" s="61">
        <v>40003434</v>
      </c>
      <c r="D134" s="61">
        <v>73133878</v>
      </c>
      <c r="E134" s="62">
        <v>58.45</v>
      </c>
      <c r="F134" s="21">
        <v>1086.1400000000001</v>
      </c>
      <c r="G134" s="52">
        <f t="shared" si="19"/>
        <v>63484.883000000009</v>
      </c>
      <c r="H134" s="16">
        <v>82601.11</v>
      </c>
      <c r="I134" s="53">
        <f t="shared" si="20"/>
        <v>4828034.8794999998</v>
      </c>
      <c r="J134" s="18" t="s">
        <v>13</v>
      </c>
      <c r="K134" s="40" t="s">
        <v>14</v>
      </c>
    </row>
    <row r="135" spans="1:11" ht="30" x14ac:dyDescent="0.25">
      <c r="A135" s="37">
        <f t="shared" si="21"/>
        <v>125</v>
      </c>
      <c r="B135" s="38">
        <v>46167</v>
      </c>
      <c r="C135" s="61">
        <v>40003434</v>
      </c>
      <c r="D135" s="61">
        <v>73145054</v>
      </c>
      <c r="E135" s="62">
        <v>58.45</v>
      </c>
      <c r="F135" s="21">
        <v>1086.1400000000001</v>
      </c>
      <c r="G135" s="52">
        <f t="shared" si="19"/>
        <v>63484.883000000009</v>
      </c>
      <c r="H135" s="16">
        <v>82601.11</v>
      </c>
      <c r="I135" s="53">
        <f t="shared" si="20"/>
        <v>4828034.8794999998</v>
      </c>
      <c r="J135" s="18" t="s">
        <v>13</v>
      </c>
      <c r="K135" s="40" t="s">
        <v>14</v>
      </c>
    </row>
    <row r="136" spans="1:11" ht="30" x14ac:dyDescent="0.25">
      <c r="A136" s="37">
        <f t="shared" si="21"/>
        <v>126</v>
      </c>
      <c r="B136" s="38">
        <v>46167</v>
      </c>
      <c r="C136" s="61">
        <v>40003434</v>
      </c>
      <c r="D136" s="61">
        <v>73162059</v>
      </c>
      <c r="E136" s="62">
        <v>58.4</v>
      </c>
      <c r="F136" s="21">
        <v>1086.1400000000001</v>
      </c>
      <c r="G136" s="52">
        <f t="shared" si="19"/>
        <v>63430.576000000001</v>
      </c>
      <c r="H136" s="16">
        <v>82601.11</v>
      </c>
      <c r="I136" s="53">
        <f t="shared" si="20"/>
        <v>4823904.824</v>
      </c>
      <c r="J136" s="18" t="s">
        <v>13</v>
      </c>
      <c r="K136" s="40" t="s">
        <v>14</v>
      </c>
    </row>
    <row r="137" spans="1:11" ht="30" x14ac:dyDescent="0.25">
      <c r="A137" s="37">
        <f t="shared" si="21"/>
        <v>127</v>
      </c>
      <c r="B137" s="38">
        <v>46167</v>
      </c>
      <c r="C137" s="61">
        <v>40003434</v>
      </c>
      <c r="D137" s="61">
        <v>73183261</v>
      </c>
      <c r="E137" s="62">
        <v>58.2</v>
      </c>
      <c r="F137" s="21">
        <v>1086.1400000000001</v>
      </c>
      <c r="G137" s="52">
        <f t="shared" si="19"/>
        <v>63213.348000000005</v>
      </c>
      <c r="H137" s="16">
        <v>82601.11</v>
      </c>
      <c r="I137" s="53">
        <f t="shared" si="20"/>
        <v>4807384.602</v>
      </c>
      <c r="J137" s="18" t="s">
        <v>13</v>
      </c>
      <c r="K137" s="40" t="s">
        <v>14</v>
      </c>
    </row>
    <row r="138" spans="1:11" ht="30" x14ac:dyDescent="0.25">
      <c r="A138" s="37">
        <f t="shared" si="21"/>
        <v>128</v>
      </c>
      <c r="B138" s="38">
        <v>46167</v>
      </c>
      <c r="C138" s="61">
        <v>40003434</v>
      </c>
      <c r="D138" s="61">
        <v>73217556</v>
      </c>
      <c r="E138" s="62">
        <v>58.25</v>
      </c>
      <c r="F138" s="21">
        <v>1086.1400000000001</v>
      </c>
      <c r="G138" s="52">
        <f t="shared" si="19"/>
        <v>63267.655000000006</v>
      </c>
      <c r="H138" s="16">
        <v>82601.11</v>
      </c>
      <c r="I138" s="53">
        <f t="shared" si="20"/>
        <v>4811514.6574999997</v>
      </c>
      <c r="J138" s="18" t="s">
        <v>13</v>
      </c>
      <c r="K138" s="40" t="s">
        <v>14</v>
      </c>
    </row>
    <row r="139" spans="1:11" ht="30" x14ac:dyDescent="0.25">
      <c r="A139" s="37">
        <f t="shared" si="21"/>
        <v>129</v>
      </c>
      <c r="B139" s="38">
        <v>46167</v>
      </c>
      <c r="C139" s="61">
        <v>40003434</v>
      </c>
      <c r="D139" s="61">
        <v>73219164</v>
      </c>
      <c r="E139" s="62">
        <v>58.4</v>
      </c>
      <c r="F139" s="21">
        <v>1086.1400000000001</v>
      </c>
      <c r="G139" s="52">
        <f t="shared" si="19"/>
        <v>63430.576000000001</v>
      </c>
      <c r="H139" s="16">
        <v>82601.11</v>
      </c>
      <c r="I139" s="53">
        <f t="shared" si="20"/>
        <v>4823904.824</v>
      </c>
      <c r="J139" s="18" t="s">
        <v>13</v>
      </c>
      <c r="K139" s="40" t="s">
        <v>14</v>
      </c>
    </row>
    <row r="140" spans="1:11" ht="30" x14ac:dyDescent="0.25">
      <c r="A140" s="37">
        <f t="shared" si="21"/>
        <v>130</v>
      </c>
      <c r="B140" s="38">
        <v>46167</v>
      </c>
      <c r="C140" s="61">
        <v>40003434</v>
      </c>
      <c r="D140" s="61">
        <v>73240152</v>
      </c>
      <c r="E140" s="62">
        <v>58.45</v>
      </c>
      <c r="F140" s="21">
        <v>1086.1400000000001</v>
      </c>
      <c r="G140" s="52">
        <f t="shared" si="19"/>
        <v>63484.883000000009</v>
      </c>
      <c r="H140" s="16">
        <v>82601.11</v>
      </c>
      <c r="I140" s="53">
        <f t="shared" si="20"/>
        <v>4828034.8794999998</v>
      </c>
      <c r="J140" s="18" t="s">
        <v>13</v>
      </c>
      <c r="K140" s="40" t="s">
        <v>14</v>
      </c>
    </row>
    <row r="141" spans="1:11" ht="30" x14ac:dyDescent="0.25">
      <c r="A141" s="37">
        <f t="shared" si="21"/>
        <v>131</v>
      </c>
      <c r="B141" s="38">
        <v>46167</v>
      </c>
      <c r="C141" s="61">
        <v>40003434</v>
      </c>
      <c r="D141" s="61">
        <v>73240251</v>
      </c>
      <c r="E141" s="62">
        <v>58.25</v>
      </c>
      <c r="F141" s="21">
        <v>1086.1400000000001</v>
      </c>
      <c r="G141" s="52">
        <f t="shared" si="19"/>
        <v>63267.655000000006</v>
      </c>
      <c r="H141" s="16">
        <v>82601.11</v>
      </c>
      <c r="I141" s="53">
        <f t="shared" si="20"/>
        <v>4811514.6574999997</v>
      </c>
      <c r="J141" s="18" t="s">
        <v>13</v>
      </c>
      <c r="K141" s="40" t="s">
        <v>14</v>
      </c>
    </row>
    <row r="142" spans="1:11" ht="30" x14ac:dyDescent="0.25">
      <c r="A142" s="37">
        <f t="shared" si="21"/>
        <v>132</v>
      </c>
      <c r="B142" s="38">
        <v>46167</v>
      </c>
      <c r="C142" s="61">
        <v>40003434</v>
      </c>
      <c r="D142" s="61">
        <v>75223933</v>
      </c>
      <c r="E142" s="62">
        <v>58.65</v>
      </c>
      <c r="F142" s="21">
        <v>1086.1400000000001</v>
      </c>
      <c r="G142" s="52">
        <f t="shared" si="19"/>
        <v>63702.111000000004</v>
      </c>
      <c r="H142" s="16">
        <v>82601.11</v>
      </c>
      <c r="I142" s="53">
        <f t="shared" si="20"/>
        <v>4844555.1014999999</v>
      </c>
      <c r="J142" s="18" t="s">
        <v>13</v>
      </c>
      <c r="K142" s="40" t="s">
        <v>14</v>
      </c>
    </row>
    <row r="143" spans="1:11" ht="30" x14ac:dyDescent="0.25">
      <c r="A143" s="37">
        <f t="shared" si="21"/>
        <v>133</v>
      </c>
      <c r="B143" s="38">
        <v>46167</v>
      </c>
      <c r="C143" s="61">
        <v>40003434</v>
      </c>
      <c r="D143" s="61">
        <v>75319053</v>
      </c>
      <c r="E143" s="62">
        <v>58.8</v>
      </c>
      <c r="F143" s="21">
        <v>1086.1400000000001</v>
      </c>
      <c r="G143" s="52">
        <f t="shared" si="19"/>
        <v>63865.031999999999</v>
      </c>
      <c r="H143" s="16">
        <v>82601.11</v>
      </c>
      <c r="I143" s="53">
        <f t="shared" si="20"/>
        <v>4856945.2680000002</v>
      </c>
      <c r="J143" s="18" t="s">
        <v>13</v>
      </c>
      <c r="K143" s="40" t="s">
        <v>14</v>
      </c>
    </row>
    <row r="144" spans="1:11" ht="30.75" thickBot="1" x14ac:dyDescent="0.3">
      <c r="A144" s="41">
        <f t="shared" si="21"/>
        <v>134</v>
      </c>
      <c r="B144" s="42">
        <v>46167</v>
      </c>
      <c r="C144" s="63">
        <v>40003434</v>
      </c>
      <c r="D144" s="63">
        <v>76982792</v>
      </c>
      <c r="E144" s="64">
        <v>58.7</v>
      </c>
      <c r="F144" s="74">
        <v>1086.1400000000001</v>
      </c>
      <c r="G144" s="55">
        <f t="shared" si="19"/>
        <v>63756.418000000012</v>
      </c>
      <c r="H144" s="24">
        <v>82601.11</v>
      </c>
      <c r="I144" s="56">
        <f t="shared" si="20"/>
        <v>4848685.1570000006</v>
      </c>
      <c r="J144" s="47" t="s">
        <v>13</v>
      </c>
      <c r="K144" s="48" t="s">
        <v>14</v>
      </c>
    </row>
    <row r="145" spans="1:11" ht="15.75" thickBot="1" x14ac:dyDescent="0.3">
      <c r="A145" s="25"/>
      <c r="B145" s="26"/>
      <c r="C145" s="26"/>
      <c r="D145" s="26"/>
      <c r="E145" s="27"/>
      <c r="F145" s="28"/>
      <c r="G145" s="29"/>
      <c r="H145" s="28"/>
      <c r="I145" s="30"/>
      <c r="J145" s="26"/>
      <c r="K145" s="49"/>
    </row>
    <row r="146" spans="1:11" ht="30" x14ac:dyDescent="0.25">
      <c r="A146" s="10">
        <v>135</v>
      </c>
      <c r="B146" s="50">
        <v>46169</v>
      </c>
      <c r="C146" s="75" t="s">
        <v>16</v>
      </c>
      <c r="D146" s="76" t="s">
        <v>17</v>
      </c>
      <c r="E146" s="77">
        <v>58.85</v>
      </c>
      <c r="F146" s="14">
        <v>1086.1400000000001</v>
      </c>
      <c r="G146" s="15">
        <f t="shared" ref="G146:G150" si="22">E146*F146</f>
        <v>63919.339000000007</v>
      </c>
      <c r="H146" s="34">
        <v>82601.11</v>
      </c>
      <c r="I146" s="17">
        <f t="shared" ref="I146:I150" si="23">E146*H146</f>
        <v>4861075.3234999999</v>
      </c>
      <c r="J146" s="35" t="s">
        <v>13</v>
      </c>
      <c r="K146" s="36" t="s">
        <v>14</v>
      </c>
    </row>
    <row r="147" spans="1:11" ht="30" x14ac:dyDescent="0.25">
      <c r="A147" s="37">
        <f>A146+1</f>
        <v>136</v>
      </c>
      <c r="B147" s="38">
        <v>46169</v>
      </c>
      <c r="C147" s="78" t="s">
        <v>16</v>
      </c>
      <c r="D147" s="78" t="s">
        <v>18</v>
      </c>
      <c r="E147" s="79">
        <v>59.95</v>
      </c>
      <c r="F147" s="21">
        <v>1086.1400000000001</v>
      </c>
      <c r="G147" s="52">
        <f t="shared" si="22"/>
        <v>65114.093000000008</v>
      </c>
      <c r="H147" s="16">
        <v>82601.11</v>
      </c>
      <c r="I147" s="53">
        <f t="shared" si="23"/>
        <v>4951936.5444999998</v>
      </c>
      <c r="J147" s="18" t="s">
        <v>13</v>
      </c>
      <c r="K147" s="40" t="s">
        <v>14</v>
      </c>
    </row>
    <row r="148" spans="1:11" ht="30" x14ac:dyDescent="0.25">
      <c r="A148" s="37">
        <f t="shared" ref="A148:A150" si="24">A147+1</f>
        <v>137</v>
      </c>
      <c r="B148" s="38">
        <v>46169</v>
      </c>
      <c r="C148" s="78" t="s">
        <v>16</v>
      </c>
      <c r="D148" s="78" t="s">
        <v>19</v>
      </c>
      <c r="E148" s="79">
        <v>60.3</v>
      </c>
      <c r="F148" s="21">
        <v>1086.1400000000001</v>
      </c>
      <c r="G148" s="52">
        <f t="shared" si="22"/>
        <v>65494.242000000006</v>
      </c>
      <c r="H148" s="16">
        <v>82601.11</v>
      </c>
      <c r="I148" s="53">
        <f t="shared" si="23"/>
        <v>4980846.9330000002</v>
      </c>
      <c r="J148" s="18" t="s">
        <v>13</v>
      </c>
      <c r="K148" s="40" t="s">
        <v>14</v>
      </c>
    </row>
    <row r="149" spans="1:11" ht="30" x14ac:dyDescent="0.25">
      <c r="A149" s="37">
        <f t="shared" si="24"/>
        <v>138</v>
      </c>
      <c r="B149" s="38">
        <v>46169</v>
      </c>
      <c r="C149" s="78" t="s">
        <v>16</v>
      </c>
      <c r="D149" s="78" t="s">
        <v>20</v>
      </c>
      <c r="E149" s="79">
        <v>60.25</v>
      </c>
      <c r="F149" s="21">
        <v>1086.1400000000001</v>
      </c>
      <c r="G149" s="52">
        <f t="shared" si="22"/>
        <v>65439.935000000005</v>
      </c>
      <c r="H149" s="16">
        <v>82601.11</v>
      </c>
      <c r="I149" s="53">
        <f t="shared" si="23"/>
        <v>4976716.8775000004</v>
      </c>
      <c r="J149" s="18" t="s">
        <v>13</v>
      </c>
      <c r="K149" s="40" t="s">
        <v>14</v>
      </c>
    </row>
    <row r="150" spans="1:11" ht="30.75" thickBot="1" x14ac:dyDescent="0.3">
      <c r="A150" s="41">
        <f t="shared" si="24"/>
        <v>139</v>
      </c>
      <c r="B150" s="42">
        <v>46169</v>
      </c>
      <c r="C150" s="80" t="s">
        <v>16</v>
      </c>
      <c r="D150" s="80" t="s">
        <v>21</v>
      </c>
      <c r="E150" s="81">
        <v>60.25</v>
      </c>
      <c r="F150" s="21">
        <v>1086.1400000000001</v>
      </c>
      <c r="G150" s="55">
        <f t="shared" si="22"/>
        <v>65439.935000000005</v>
      </c>
      <c r="H150" s="24">
        <v>82601.11</v>
      </c>
      <c r="I150" s="56">
        <f t="shared" si="23"/>
        <v>4976716.8775000004</v>
      </c>
      <c r="J150" s="47" t="s">
        <v>13</v>
      </c>
      <c r="K150" s="48" t="s">
        <v>14</v>
      </c>
    </row>
    <row r="151" spans="1:11" ht="15.75" thickBot="1" x14ac:dyDescent="0.3">
      <c r="A151" s="25"/>
      <c r="B151" s="26"/>
      <c r="C151" s="26"/>
      <c r="D151" s="26"/>
      <c r="E151" s="27"/>
      <c r="F151" s="28"/>
      <c r="G151" s="29"/>
      <c r="H151" s="28"/>
      <c r="I151" s="30"/>
      <c r="J151" s="26"/>
      <c r="K151" s="49"/>
    </row>
    <row r="152" spans="1:11" ht="30" x14ac:dyDescent="0.25">
      <c r="A152" s="32">
        <v>140</v>
      </c>
      <c r="B152" s="11">
        <v>46170</v>
      </c>
      <c r="C152" s="75" t="s">
        <v>22</v>
      </c>
      <c r="D152" s="76" t="s">
        <v>23</v>
      </c>
      <c r="E152" s="77">
        <v>58.5</v>
      </c>
      <c r="F152" s="21">
        <v>1086.1400000000001</v>
      </c>
      <c r="G152" s="15">
        <f t="shared" ref="G152:G184" si="25">E152*F152</f>
        <v>63539.19</v>
      </c>
      <c r="H152" s="34">
        <v>82601.11</v>
      </c>
      <c r="I152" s="17">
        <f t="shared" ref="I152:I184" si="26">E152*H152</f>
        <v>4832164.9349999996</v>
      </c>
      <c r="J152" s="35" t="s">
        <v>13</v>
      </c>
      <c r="K152" s="36" t="s">
        <v>14</v>
      </c>
    </row>
    <row r="153" spans="1:11" ht="30" x14ac:dyDescent="0.25">
      <c r="A153" s="20">
        <f>A152+1</f>
        <v>141</v>
      </c>
      <c r="B153" s="38">
        <v>46170</v>
      </c>
      <c r="C153" s="78" t="s">
        <v>22</v>
      </c>
      <c r="D153" s="78" t="s">
        <v>24</v>
      </c>
      <c r="E153" s="79">
        <v>50.4</v>
      </c>
      <c r="F153" s="21">
        <v>1086.1400000000001</v>
      </c>
      <c r="G153" s="52">
        <f t="shared" si="25"/>
        <v>54741.456000000006</v>
      </c>
      <c r="H153" s="16">
        <v>82601.11</v>
      </c>
      <c r="I153" s="53">
        <f t="shared" si="26"/>
        <v>4163095.9440000001</v>
      </c>
      <c r="J153" s="18" t="s">
        <v>13</v>
      </c>
      <c r="K153" s="40" t="s">
        <v>14</v>
      </c>
    </row>
    <row r="154" spans="1:11" ht="30" x14ac:dyDescent="0.25">
      <c r="A154" s="20">
        <f t="shared" ref="A154:A171" si="27">A153+1</f>
        <v>142</v>
      </c>
      <c r="B154" s="38">
        <v>46170</v>
      </c>
      <c r="C154" s="78" t="s">
        <v>22</v>
      </c>
      <c r="D154" s="78" t="s">
        <v>25</v>
      </c>
      <c r="E154" s="79">
        <v>58.9</v>
      </c>
      <c r="F154" s="21">
        <v>1086.1400000000001</v>
      </c>
      <c r="G154" s="52">
        <f t="shared" si="25"/>
        <v>63973.646000000008</v>
      </c>
      <c r="H154" s="16">
        <v>82601.11</v>
      </c>
      <c r="I154" s="53">
        <f t="shared" si="26"/>
        <v>4865205.3789999997</v>
      </c>
      <c r="J154" s="18" t="s">
        <v>13</v>
      </c>
      <c r="K154" s="40" t="s">
        <v>14</v>
      </c>
    </row>
    <row r="155" spans="1:11" ht="30" x14ac:dyDescent="0.25">
      <c r="A155" s="20">
        <f t="shared" si="27"/>
        <v>143</v>
      </c>
      <c r="B155" s="38">
        <v>46170</v>
      </c>
      <c r="C155" s="78" t="s">
        <v>22</v>
      </c>
      <c r="D155" s="78" t="s">
        <v>26</v>
      </c>
      <c r="E155" s="79">
        <v>58.4</v>
      </c>
      <c r="F155" s="21">
        <v>1086.1400000000001</v>
      </c>
      <c r="G155" s="52">
        <f t="shared" si="25"/>
        <v>63430.576000000001</v>
      </c>
      <c r="H155" s="16">
        <v>82601.11</v>
      </c>
      <c r="I155" s="53">
        <f t="shared" si="26"/>
        <v>4823904.824</v>
      </c>
      <c r="J155" s="18" t="s">
        <v>13</v>
      </c>
      <c r="K155" s="40" t="s">
        <v>14</v>
      </c>
    </row>
    <row r="156" spans="1:11" ht="30" x14ac:dyDescent="0.25">
      <c r="A156" s="20">
        <f t="shared" si="27"/>
        <v>144</v>
      </c>
      <c r="B156" s="38">
        <v>46170</v>
      </c>
      <c r="C156" s="78" t="s">
        <v>22</v>
      </c>
      <c r="D156" s="78" t="s">
        <v>27</v>
      </c>
      <c r="E156" s="79">
        <v>58.3</v>
      </c>
      <c r="F156" s="21">
        <v>1086.1400000000001</v>
      </c>
      <c r="G156" s="52">
        <f t="shared" si="25"/>
        <v>63321.962</v>
      </c>
      <c r="H156" s="16">
        <v>82601.11</v>
      </c>
      <c r="I156" s="53">
        <f t="shared" si="26"/>
        <v>4815644.7129999995</v>
      </c>
      <c r="J156" s="18" t="s">
        <v>13</v>
      </c>
      <c r="K156" s="40" t="s">
        <v>14</v>
      </c>
    </row>
    <row r="157" spans="1:11" ht="30" x14ac:dyDescent="0.25">
      <c r="A157" s="20">
        <f t="shared" si="27"/>
        <v>145</v>
      </c>
      <c r="B157" s="38">
        <v>46170</v>
      </c>
      <c r="C157" s="78" t="s">
        <v>22</v>
      </c>
      <c r="D157" s="78" t="s">
        <v>28</v>
      </c>
      <c r="E157" s="79">
        <v>58.4</v>
      </c>
      <c r="F157" s="21">
        <v>1086.1400000000001</v>
      </c>
      <c r="G157" s="52">
        <f t="shared" si="25"/>
        <v>63430.576000000001</v>
      </c>
      <c r="H157" s="16">
        <v>82601.11</v>
      </c>
      <c r="I157" s="53">
        <f t="shared" si="26"/>
        <v>4823904.824</v>
      </c>
      <c r="J157" s="18" t="s">
        <v>13</v>
      </c>
      <c r="K157" s="40" t="s">
        <v>14</v>
      </c>
    </row>
    <row r="158" spans="1:11" ht="30" x14ac:dyDescent="0.25">
      <c r="A158" s="20">
        <f t="shared" si="27"/>
        <v>146</v>
      </c>
      <c r="B158" s="38">
        <v>46170</v>
      </c>
      <c r="C158" s="78" t="s">
        <v>22</v>
      </c>
      <c r="D158" s="78" t="s">
        <v>29</v>
      </c>
      <c r="E158" s="79">
        <v>58.95</v>
      </c>
      <c r="F158" s="21">
        <v>1086.1400000000001</v>
      </c>
      <c r="G158" s="52">
        <f t="shared" si="25"/>
        <v>64027.953000000009</v>
      </c>
      <c r="H158" s="16">
        <v>82601.11</v>
      </c>
      <c r="I158" s="53">
        <f t="shared" si="26"/>
        <v>4869335.4345000004</v>
      </c>
      <c r="J158" s="18" t="s">
        <v>13</v>
      </c>
      <c r="K158" s="40" t="s">
        <v>14</v>
      </c>
    </row>
    <row r="159" spans="1:11" ht="30" x14ac:dyDescent="0.25">
      <c r="A159" s="20">
        <f t="shared" si="27"/>
        <v>147</v>
      </c>
      <c r="B159" s="38">
        <v>46170</v>
      </c>
      <c r="C159" s="78" t="s">
        <v>22</v>
      </c>
      <c r="D159" s="78" t="s">
        <v>30</v>
      </c>
      <c r="E159" s="79">
        <v>58.9</v>
      </c>
      <c r="F159" s="21">
        <v>1086.1400000000001</v>
      </c>
      <c r="G159" s="52">
        <f t="shared" si="25"/>
        <v>63973.646000000008</v>
      </c>
      <c r="H159" s="16">
        <v>82601.11</v>
      </c>
      <c r="I159" s="53">
        <f t="shared" si="26"/>
        <v>4865205.3789999997</v>
      </c>
      <c r="J159" s="18" t="s">
        <v>13</v>
      </c>
      <c r="K159" s="40" t="s">
        <v>14</v>
      </c>
    </row>
    <row r="160" spans="1:11" ht="30" x14ac:dyDescent="0.25">
      <c r="A160" s="20">
        <f t="shared" si="27"/>
        <v>148</v>
      </c>
      <c r="B160" s="38">
        <v>46170</v>
      </c>
      <c r="C160" s="78" t="s">
        <v>22</v>
      </c>
      <c r="D160" s="78" t="s">
        <v>31</v>
      </c>
      <c r="E160" s="79">
        <v>59</v>
      </c>
      <c r="F160" s="21">
        <v>1086.1400000000001</v>
      </c>
      <c r="G160" s="52">
        <f t="shared" si="25"/>
        <v>64082.260000000009</v>
      </c>
      <c r="H160" s="16">
        <v>82601.11</v>
      </c>
      <c r="I160" s="53">
        <f t="shared" si="26"/>
        <v>4873465.49</v>
      </c>
      <c r="J160" s="18" t="s">
        <v>13</v>
      </c>
      <c r="K160" s="40" t="s">
        <v>14</v>
      </c>
    </row>
    <row r="161" spans="1:11" ht="30" x14ac:dyDescent="0.25">
      <c r="A161" s="20">
        <f t="shared" si="27"/>
        <v>149</v>
      </c>
      <c r="B161" s="38">
        <v>46170</v>
      </c>
      <c r="C161" s="78" t="s">
        <v>22</v>
      </c>
      <c r="D161" s="78" t="s">
        <v>32</v>
      </c>
      <c r="E161" s="79">
        <v>59</v>
      </c>
      <c r="F161" s="21">
        <v>1086.1400000000001</v>
      </c>
      <c r="G161" s="52">
        <f t="shared" si="25"/>
        <v>64082.260000000009</v>
      </c>
      <c r="H161" s="16">
        <v>82601.11</v>
      </c>
      <c r="I161" s="53">
        <f t="shared" si="26"/>
        <v>4873465.49</v>
      </c>
      <c r="J161" s="18" t="s">
        <v>13</v>
      </c>
      <c r="K161" s="40" t="s">
        <v>14</v>
      </c>
    </row>
    <row r="162" spans="1:11" ht="30" x14ac:dyDescent="0.25">
      <c r="A162" s="20">
        <f t="shared" si="27"/>
        <v>150</v>
      </c>
      <c r="B162" s="38">
        <v>46170</v>
      </c>
      <c r="C162" s="78" t="s">
        <v>22</v>
      </c>
      <c r="D162" s="78" t="s">
        <v>33</v>
      </c>
      <c r="E162" s="79">
        <v>58.95</v>
      </c>
      <c r="F162" s="21">
        <v>1086.1400000000001</v>
      </c>
      <c r="G162" s="52">
        <f t="shared" si="25"/>
        <v>64027.953000000009</v>
      </c>
      <c r="H162" s="16">
        <v>82601.11</v>
      </c>
      <c r="I162" s="53">
        <f t="shared" si="26"/>
        <v>4869335.4345000004</v>
      </c>
      <c r="J162" s="18" t="s">
        <v>13</v>
      </c>
      <c r="K162" s="40" t="s">
        <v>14</v>
      </c>
    </row>
    <row r="163" spans="1:11" ht="30" x14ac:dyDescent="0.25">
      <c r="A163" s="20">
        <f t="shared" si="27"/>
        <v>151</v>
      </c>
      <c r="B163" s="38">
        <v>46170</v>
      </c>
      <c r="C163" s="78" t="s">
        <v>22</v>
      </c>
      <c r="D163" s="78" t="s">
        <v>34</v>
      </c>
      <c r="E163" s="79">
        <v>58.9</v>
      </c>
      <c r="F163" s="21">
        <v>1086.1400000000001</v>
      </c>
      <c r="G163" s="52">
        <f t="shared" si="25"/>
        <v>63973.646000000008</v>
      </c>
      <c r="H163" s="16">
        <v>82601.11</v>
      </c>
      <c r="I163" s="53">
        <f t="shared" si="26"/>
        <v>4865205.3789999997</v>
      </c>
      <c r="J163" s="18" t="s">
        <v>13</v>
      </c>
      <c r="K163" s="40" t="s">
        <v>14</v>
      </c>
    </row>
    <row r="164" spans="1:11" ht="30" x14ac:dyDescent="0.25">
      <c r="A164" s="20">
        <f t="shared" si="27"/>
        <v>152</v>
      </c>
      <c r="B164" s="38">
        <v>46170</v>
      </c>
      <c r="C164" s="78" t="s">
        <v>22</v>
      </c>
      <c r="D164" s="78" t="s">
        <v>35</v>
      </c>
      <c r="E164" s="79">
        <v>58.95</v>
      </c>
      <c r="F164" s="21">
        <v>1086.1400000000001</v>
      </c>
      <c r="G164" s="52">
        <f t="shared" si="25"/>
        <v>64027.953000000009</v>
      </c>
      <c r="H164" s="16">
        <v>82601.11</v>
      </c>
      <c r="I164" s="53">
        <f t="shared" si="26"/>
        <v>4869335.4345000004</v>
      </c>
      <c r="J164" s="18" t="s">
        <v>13</v>
      </c>
      <c r="K164" s="40" t="s">
        <v>14</v>
      </c>
    </row>
    <row r="165" spans="1:11" ht="30" x14ac:dyDescent="0.25">
      <c r="A165" s="20">
        <f t="shared" si="27"/>
        <v>153</v>
      </c>
      <c r="B165" s="38">
        <v>46170</v>
      </c>
      <c r="C165" s="78" t="s">
        <v>22</v>
      </c>
      <c r="D165" s="78" t="s">
        <v>36</v>
      </c>
      <c r="E165" s="79">
        <v>58.95</v>
      </c>
      <c r="F165" s="21">
        <v>1086.1400000000001</v>
      </c>
      <c r="G165" s="52">
        <f t="shared" si="25"/>
        <v>64027.953000000009</v>
      </c>
      <c r="H165" s="16">
        <v>82601.11</v>
      </c>
      <c r="I165" s="53">
        <f t="shared" si="26"/>
        <v>4869335.4345000004</v>
      </c>
      <c r="J165" s="18" t="s">
        <v>13</v>
      </c>
      <c r="K165" s="40" t="s">
        <v>14</v>
      </c>
    </row>
    <row r="166" spans="1:11" ht="30" x14ac:dyDescent="0.25">
      <c r="A166" s="20">
        <f t="shared" si="27"/>
        <v>154</v>
      </c>
      <c r="B166" s="38">
        <v>46170</v>
      </c>
      <c r="C166" s="78" t="s">
        <v>22</v>
      </c>
      <c r="D166" s="78" t="s">
        <v>37</v>
      </c>
      <c r="E166" s="79">
        <v>58.9</v>
      </c>
      <c r="F166" s="21">
        <v>1086.1400000000001</v>
      </c>
      <c r="G166" s="52">
        <f t="shared" si="25"/>
        <v>63973.646000000008</v>
      </c>
      <c r="H166" s="16">
        <v>82601.11</v>
      </c>
      <c r="I166" s="53">
        <f t="shared" si="26"/>
        <v>4865205.3789999997</v>
      </c>
      <c r="J166" s="18" t="s">
        <v>13</v>
      </c>
      <c r="K166" s="40" t="s">
        <v>14</v>
      </c>
    </row>
    <row r="167" spans="1:11" ht="30" x14ac:dyDescent="0.25">
      <c r="A167" s="20">
        <f t="shared" si="27"/>
        <v>155</v>
      </c>
      <c r="B167" s="38">
        <v>46170</v>
      </c>
      <c r="C167" s="78" t="s">
        <v>22</v>
      </c>
      <c r="D167" s="78" t="s">
        <v>38</v>
      </c>
      <c r="E167" s="79">
        <v>59.1</v>
      </c>
      <c r="F167" s="21">
        <v>1086.1400000000001</v>
      </c>
      <c r="G167" s="52">
        <f t="shared" si="25"/>
        <v>64190.874000000011</v>
      </c>
      <c r="H167" s="16">
        <v>82601.11</v>
      </c>
      <c r="I167" s="53">
        <f t="shared" si="26"/>
        <v>4881725.6009999998</v>
      </c>
      <c r="J167" s="18" t="s">
        <v>13</v>
      </c>
      <c r="K167" s="40" t="s">
        <v>14</v>
      </c>
    </row>
    <row r="168" spans="1:11" ht="30" x14ac:dyDescent="0.25">
      <c r="A168" s="20">
        <f t="shared" si="27"/>
        <v>156</v>
      </c>
      <c r="B168" s="38">
        <v>46170</v>
      </c>
      <c r="C168" s="78" t="s">
        <v>22</v>
      </c>
      <c r="D168" s="78" t="s">
        <v>39</v>
      </c>
      <c r="E168" s="79">
        <v>58.85</v>
      </c>
      <c r="F168" s="21">
        <v>1086.1400000000001</v>
      </c>
      <c r="G168" s="52">
        <f t="shared" si="25"/>
        <v>63919.339000000007</v>
      </c>
      <c r="H168" s="16">
        <v>82601.11</v>
      </c>
      <c r="I168" s="53">
        <f t="shared" si="26"/>
        <v>4861075.3234999999</v>
      </c>
      <c r="J168" s="18" t="s">
        <v>13</v>
      </c>
      <c r="K168" s="40" t="s">
        <v>14</v>
      </c>
    </row>
    <row r="169" spans="1:11" ht="30" x14ac:dyDescent="0.25">
      <c r="A169" s="20">
        <f t="shared" si="27"/>
        <v>157</v>
      </c>
      <c r="B169" s="38">
        <v>46170</v>
      </c>
      <c r="C169" s="78" t="s">
        <v>22</v>
      </c>
      <c r="D169" s="78" t="s">
        <v>40</v>
      </c>
      <c r="E169" s="79">
        <v>59.5</v>
      </c>
      <c r="F169" s="21">
        <v>1086.1400000000001</v>
      </c>
      <c r="G169" s="52">
        <f t="shared" si="25"/>
        <v>64625.330000000009</v>
      </c>
      <c r="H169" s="16">
        <v>82601.11</v>
      </c>
      <c r="I169" s="53">
        <f t="shared" si="26"/>
        <v>4914766.0449999999</v>
      </c>
      <c r="J169" s="18" t="s">
        <v>13</v>
      </c>
      <c r="K169" s="40" t="s">
        <v>14</v>
      </c>
    </row>
    <row r="170" spans="1:11" ht="30" x14ac:dyDescent="0.25">
      <c r="A170" s="20">
        <f t="shared" si="27"/>
        <v>158</v>
      </c>
      <c r="B170" s="38">
        <v>46170</v>
      </c>
      <c r="C170" s="78" t="s">
        <v>22</v>
      </c>
      <c r="D170" s="78" t="s">
        <v>41</v>
      </c>
      <c r="E170" s="79">
        <v>59.55</v>
      </c>
      <c r="F170" s="21">
        <v>1086.1400000000001</v>
      </c>
      <c r="G170" s="52">
        <f t="shared" si="25"/>
        <v>64679.637000000002</v>
      </c>
      <c r="H170" s="16">
        <v>82601.11</v>
      </c>
      <c r="I170" s="53">
        <f t="shared" si="26"/>
        <v>4918896.1004999997</v>
      </c>
      <c r="J170" s="18" t="s">
        <v>13</v>
      </c>
      <c r="K170" s="40" t="s">
        <v>14</v>
      </c>
    </row>
    <row r="171" spans="1:11" ht="30" x14ac:dyDescent="0.25">
      <c r="A171" s="20">
        <f t="shared" si="27"/>
        <v>159</v>
      </c>
      <c r="B171" s="38">
        <v>46170</v>
      </c>
      <c r="C171" s="78" t="s">
        <v>22</v>
      </c>
      <c r="D171" s="78" t="s">
        <v>42</v>
      </c>
      <c r="E171" s="79">
        <v>59.5</v>
      </c>
      <c r="F171" s="21">
        <v>1086.1400000000001</v>
      </c>
      <c r="G171" s="52">
        <f t="shared" si="25"/>
        <v>64625.330000000009</v>
      </c>
      <c r="H171" s="16">
        <v>82601.11</v>
      </c>
      <c r="I171" s="53">
        <f t="shared" si="26"/>
        <v>4914766.0449999999</v>
      </c>
      <c r="J171" s="18" t="s">
        <v>13</v>
      </c>
      <c r="K171" s="40" t="s">
        <v>14</v>
      </c>
    </row>
    <row r="172" spans="1:11" ht="30" x14ac:dyDescent="0.25">
      <c r="A172" s="10">
        <v>160</v>
      </c>
      <c r="B172" s="50">
        <v>46170</v>
      </c>
      <c r="C172" s="75" t="s">
        <v>43</v>
      </c>
      <c r="D172" s="76" t="s">
        <v>44</v>
      </c>
      <c r="E172" s="77">
        <v>58.4</v>
      </c>
      <c r="F172" s="14">
        <v>1086.1400000000001</v>
      </c>
      <c r="G172" s="15">
        <f t="shared" si="25"/>
        <v>63430.576000000001</v>
      </c>
      <c r="H172" s="34">
        <v>82601.11</v>
      </c>
      <c r="I172" s="17">
        <f t="shared" si="26"/>
        <v>4823904.824</v>
      </c>
      <c r="J172" s="35" t="s">
        <v>13</v>
      </c>
      <c r="K172" s="36" t="s">
        <v>14</v>
      </c>
    </row>
    <row r="173" spans="1:11" ht="30" x14ac:dyDescent="0.25">
      <c r="A173" s="37">
        <f>A172+1</f>
        <v>161</v>
      </c>
      <c r="B173" s="38">
        <v>46170</v>
      </c>
      <c r="C173" s="78" t="s">
        <v>43</v>
      </c>
      <c r="D173" s="78" t="s">
        <v>45</v>
      </c>
      <c r="E173" s="79">
        <v>58.6</v>
      </c>
      <c r="F173" s="21">
        <v>1086.1400000000001</v>
      </c>
      <c r="G173" s="52">
        <f t="shared" si="25"/>
        <v>63647.804000000011</v>
      </c>
      <c r="H173" s="16">
        <v>82601.11</v>
      </c>
      <c r="I173" s="53">
        <f t="shared" si="26"/>
        <v>4840425.0460000001</v>
      </c>
      <c r="J173" s="18" t="s">
        <v>13</v>
      </c>
      <c r="K173" s="40" t="s">
        <v>14</v>
      </c>
    </row>
    <row r="174" spans="1:11" ht="30" x14ac:dyDescent="0.25">
      <c r="A174" s="37">
        <f t="shared" ref="A174:A184" si="28">A173+1</f>
        <v>162</v>
      </c>
      <c r="B174" s="38">
        <v>46170</v>
      </c>
      <c r="C174" s="78" t="s">
        <v>43</v>
      </c>
      <c r="D174" s="78" t="s">
        <v>46</v>
      </c>
      <c r="E174" s="79">
        <v>58.5</v>
      </c>
      <c r="F174" s="21">
        <v>1086.1400000000001</v>
      </c>
      <c r="G174" s="52">
        <f t="shared" si="25"/>
        <v>63539.19</v>
      </c>
      <c r="H174" s="16">
        <v>82601.11</v>
      </c>
      <c r="I174" s="53">
        <f t="shared" si="26"/>
        <v>4832164.9349999996</v>
      </c>
      <c r="J174" s="18" t="s">
        <v>13</v>
      </c>
      <c r="K174" s="40" t="s">
        <v>14</v>
      </c>
    </row>
    <row r="175" spans="1:11" ht="30" x14ac:dyDescent="0.25">
      <c r="A175" s="37">
        <f t="shared" si="28"/>
        <v>163</v>
      </c>
      <c r="B175" s="38">
        <v>46170</v>
      </c>
      <c r="C175" s="78" t="s">
        <v>43</v>
      </c>
      <c r="D175" s="78" t="s">
        <v>47</v>
      </c>
      <c r="E175" s="79">
        <v>58.95</v>
      </c>
      <c r="F175" s="21">
        <v>1086.1400000000001</v>
      </c>
      <c r="G175" s="52">
        <f t="shared" si="25"/>
        <v>64027.953000000009</v>
      </c>
      <c r="H175" s="16">
        <v>82601.11</v>
      </c>
      <c r="I175" s="53">
        <f t="shared" si="26"/>
        <v>4869335.4345000004</v>
      </c>
      <c r="J175" s="18" t="s">
        <v>13</v>
      </c>
      <c r="K175" s="40" t="s">
        <v>14</v>
      </c>
    </row>
    <row r="176" spans="1:11" ht="30" x14ac:dyDescent="0.25">
      <c r="A176" s="37">
        <f t="shared" si="28"/>
        <v>164</v>
      </c>
      <c r="B176" s="38">
        <v>46170</v>
      </c>
      <c r="C176" s="78" t="s">
        <v>43</v>
      </c>
      <c r="D176" s="78" t="s">
        <v>48</v>
      </c>
      <c r="E176" s="79">
        <v>58.95</v>
      </c>
      <c r="F176" s="21">
        <v>1086.1400000000001</v>
      </c>
      <c r="G176" s="52">
        <f t="shared" si="25"/>
        <v>64027.953000000009</v>
      </c>
      <c r="H176" s="16">
        <v>82601.11</v>
      </c>
      <c r="I176" s="53">
        <f t="shared" si="26"/>
        <v>4869335.4345000004</v>
      </c>
      <c r="J176" s="18" t="s">
        <v>13</v>
      </c>
      <c r="K176" s="40" t="s">
        <v>14</v>
      </c>
    </row>
    <row r="177" spans="1:11" ht="30" x14ac:dyDescent="0.25">
      <c r="A177" s="37">
        <f t="shared" si="28"/>
        <v>165</v>
      </c>
      <c r="B177" s="38">
        <v>46170</v>
      </c>
      <c r="C177" s="78" t="s">
        <v>43</v>
      </c>
      <c r="D177" s="78" t="s">
        <v>49</v>
      </c>
      <c r="E177" s="79">
        <v>58.9</v>
      </c>
      <c r="F177" s="21">
        <v>1086.1400000000001</v>
      </c>
      <c r="G177" s="52">
        <f t="shared" si="25"/>
        <v>63973.646000000008</v>
      </c>
      <c r="H177" s="16">
        <v>82601.11</v>
      </c>
      <c r="I177" s="53">
        <f t="shared" si="26"/>
        <v>4865205.3789999997</v>
      </c>
      <c r="J177" s="18" t="s">
        <v>13</v>
      </c>
      <c r="K177" s="40" t="s">
        <v>14</v>
      </c>
    </row>
    <row r="178" spans="1:11" ht="30" x14ac:dyDescent="0.25">
      <c r="A178" s="37">
        <f t="shared" si="28"/>
        <v>166</v>
      </c>
      <c r="B178" s="38">
        <v>46170</v>
      </c>
      <c r="C178" s="78" t="s">
        <v>43</v>
      </c>
      <c r="D178" s="78" t="s">
        <v>50</v>
      </c>
      <c r="E178" s="79">
        <v>59.15</v>
      </c>
      <c r="F178" s="21">
        <v>1086.1400000000001</v>
      </c>
      <c r="G178" s="52">
        <f t="shared" si="25"/>
        <v>64245.181000000004</v>
      </c>
      <c r="H178" s="16">
        <v>82601.11</v>
      </c>
      <c r="I178" s="53">
        <f t="shared" si="26"/>
        <v>4885855.6564999996</v>
      </c>
      <c r="J178" s="18" t="s">
        <v>13</v>
      </c>
      <c r="K178" s="40" t="s">
        <v>14</v>
      </c>
    </row>
    <row r="179" spans="1:11" ht="30" x14ac:dyDescent="0.25">
      <c r="A179" s="37">
        <f t="shared" si="28"/>
        <v>167</v>
      </c>
      <c r="B179" s="38">
        <v>46170</v>
      </c>
      <c r="C179" s="78" t="s">
        <v>43</v>
      </c>
      <c r="D179" s="78" t="s">
        <v>51</v>
      </c>
      <c r="E179" s="79">
        <v>58.95</v>
      </c>
      <c r="F179" s="21">
        <v>1086.1400000000001</v>
      </c>
      <c r="G179" s="52">
        <f t="shared" si="25"/>
        <v>64027.953000000009</v>
      </c>
      <c r="H179" s="16">
        <v>82601.11</v>
      </c>
      <c r="I179" s="53">
        <f t="shared" si="26"/>
        <v>4869335.4345000004</v>
      </c>
      <c r="J179" s="18" t="s">
        <v>13</v>
      </c>
      <c r="K179" s="40" t="s">
        <v>14</v>
      </c>
    </row>
    <row r="180" spans="1:11" ht="30" x14ac:dyDescent="0.25">
      <c r="A180" s="37">
        <f t="shared" si="28"/>
        <v>168</v>
      </c>
      <c r="B180" s="38">
        <v>46170</v>
      </c>
      <c r="C180" s="78" t="s">
        <v>43</v>
      </c>
      <c r="D180" s="78" t="s">
        <v>52</v>
      </c>
      <c r="E180" s="79">
        <v>58.85</v>
      </c>
      <c r="F180" s="21">
        <v>1086.1400000000001</v>
      </c>
      <c r="G180" s="52">
        <f t="shared" si="25"/>
        <v>63919.339000000007</v>
      </c>
      <c r="H180" s="16">
        <v>82601.11</v>
      </c>
      <c r="I180" s="53">
        <f t="shared" si="26"/>
        <v>4861075.3234999999</v>
      </c>
      <c r="J180" s="18" t="s">
        <v>13</v>
      </c>
      <c r="K180" s="40" t="s">
        <v>14</v>
      </c>
    </row>
    <row r="181" spans="1:11" ht="30" x14ac:dyDescent="0.25">
      <c r="A181" s="37">
        <f t="shared" si="28"/>
        <v>169</v>
      </c>
      <c r="B181" s="38">
        <v>46170</v>
      </c>
      <c r="C181" s="78" t="s">
        <v>43</v>
      </c>
      <c r="D181" s="78" t="s">
        <v>53</v>
      </c>
      <c r="E181" s="79">
        <v>59.5</v>
      </c>
      <c r="F181" s="21">
        <v>1086.1400000000001</v>
      </c>
      <c r="G181" s="52">
        <f t="shared" si="25"/>
        <v>64625.330000000009</v>
      </c>
      <c r="H181" s="16">
        <v>82601.11</v>
      </c>
      <c r="I181" s="53">
        <f t="shared" si="26"/>
        <v>4914766.0449999999</v>
      </c>
      <c r="J181" s="18" t="s">
        <v>13</v>
      </c>
      <c r="K181" s="40" t="s">
        <v>14</v>
      </c>
    </row>
    <row r="182" spans="1:11" ht="30" x14ac:dyDescent="0.25">
      <c r="A182" s="37">
        <f t="shared" si="28"/>
        <v>170</v>
      </c>
      <c r="B182" s="38">
        <v>46170</v>
      </c>
      <c r="C182" s="78" t="s">
        <v>43</v>
      </c>
      <c r="D182" s="78" t="s">
        <v>54</v>
      </c>
      <c r="E182" s="79">
        <v>59.35</v>
      </c>
      <c r="F182" s="21">
        <v>1086.1400000000001</v>
      </c>
      <c r="G182" s="52">
        <f t="shared" si="25"/>
        <v>64462.409000000007</v>
      </c>
      <c r="H182" s="16">
        <v>82601.11</v>
      </c>
      <c r="I182" s="53">
        <f t="shared" si="26"/>
        <v>4902375.8785000006</v>
      </c>
      <c r="J182" s="18" t="s">
        <v>13</v>
      </c>
      <c r="K182" s="40" t="s">
        <v>14</v>
      </c>
    </row>
    <row r="183" spans="1:11" ht="30" x14ac:dyDescent="0.25">
      <c r="A183" s="37">
        <f t="shared" si="28"/>
        <v>171</v>
      </c>
      <c r="B183" s="38">
        <v>46170</v>
      </c>
      <c r="C183" s="78" t="s">
        <v>43</v>
      </c>
      <c r="D183" s="78" t="s">
        <v>55</v>
      </c>
      <c r="E183" s="79">
        <v>59.55</v>
      </c>
      <c r="F183" s="21">
        <v>1086.1400000000001</v>
      </c>
      <c r="G183" s="52">
        <f t="shared" si="25"/>
        <v>64679.637000000002</v>
      </c>
      <c r="H183" s="16">
        <v>82601.11</v>
      </c>
      <c r="I183" s="53">
        <f t="shared" si="26"/>
        <v>4918896.1004999997</v>
      </c>
      <c r="J183" s="18" t="s">
        <v>13</v>
      </c>
      <c r="K183" s="40" t="s">
        <v>14</v>
      </c>
    </row>
    <row r="184" spans="1:11" ht="30.75" thickBot="1" x14ac:dyDescent="0.3">
      <c r="A184" s="41">
        <f t="shared" si="28"/>
        <v>172</v>
      </c>
      <c r="B184" s="42">
        <v>46170</v>
      </c>
      <c r="C184" s="80" t="s">
        <v>43</v>
      </c>
      <c r="D184" s="80" t="s">
        <v>56</v>
      </c>
      <c r="E184" s="81">
        <v>59.7</v>
      </c>
      <c r="F184" s="74">
        <v>1086.1400000000001</v>
      </c>
      <c r="G184" s="55">
        <f t="shared" si="25"/>
        <v>64842.558000000012</v>
      </c>
      <c r="H184" s="24">
        <v>82601.11</v>
      </c>
      <c r="I184" s="56">
        <f t="shared" si="26"/>
        <v>4931286.267</v>
      </c>
      <c r="J184" s="47" t="s">
        <v>13</v>
      </c>
      <c r="K184" s="48" t="s">
        <v>14</v>
      </c>
    </row>
    <row r="185" spans="1:11" ht="15.75" thickBot="1" x14ac:dyDescent="0.3">
      <c r="A185" s="25"/>
      <c r="B185" s="26"/>
      <c r="C185" s="26"/>
      <c r="D185" s="26"/>
      <c r="E185" s="27"/>
      <c r="F185" s="28"/>
      <c r="G185" s="29"/>
      <c r="H185" s="28"/>
      <c r="I185" s="30"/>
      <c r="J185" s="26"/>
      <c r="K185" s="31"/>
    </row>
    <row r="186" spans="1:11" ht="15.75" thickBot="1" x14ac:dyDescent="0.3">
      <c r="A186" s="82"/>
      <c r="B186" s="83"/>
      <c r="C186" s="83"/>
      <c r="D186" s="83"/>
      <c r="E186" s="84"/>
      <c r="F186" s="85"/>
      <c r="G186" s="86"/>
      <c r="H186" s="85"/>
      <c r="I186" s="87"/>
      <c r="J186" s="83"/>
      <c r="K186" s="88"/>
    </row>
    <row r="187" spans="1:11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25">
      <c r="A188" s="1"/>
      <c r="B188" s="94" t="s">
        <v>57</v>
      </c>
      <c r="C188" s="95"/>
      <c r="D188" s="96"/>
      <c r="E188" s="89">
        <v>10000</v>
      </c>
      <c r="F188" s="1"/>
      <c r="G188" s="1"/>
      <c r="H188" s="1"/>
      <c r="I188" s="1"/>
      <c r="J188" s="1"/>
      <c r="K188" s="1"/>
    </row>
    <row r="189" spans="1:11" x14ac:dyDescent="0.25">
      <c r="A189" s="1"/>
      <c r="B189" s="97" t="s">
        <v>58</v>
      </c>
      <c r="C189" s="98"/>
      <c r="D189" s="99"/>
      <c r="E189" s="90">
        <f>E186</f>
        <v>0</v>
      </c>
      <c r="F189" s="1"/>
      <c r="G189" s="1"/>
      <c r="H189" s="1"/>
      <c r="I189" s="1"/>
      <c r="J189" s="1"/>
      <c r="K189" s="1"/>
    </row>
    <row r="190" spans="1:11" ht="15.75" thickBot="1" x14ac:dyDescent="0.3">
      <c r="A190" s="1"/>
      <c r="B190" s="100" t="s">
        <v>59</v>
      </c>
      <c r="C190" s="101"/>
      <c r="D190" s="102"/>
      <c r="E190" s="91">
        <f>E188-E189</f>
        <v>10000</v>
      </c>
      <c r="F190" s="1"/>
      <c r="G190" s="1"/>
      <c r="H190" s="1"/>
      <c r="I190" s="1"/>
      <c r="J190" s="1"/>
      <c r="K190" s="1"/>
    </row>
    <row r="191" spans="1:1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</sheetData>
  <mergeCells count="5">
    <mergeCell ref="A1:K1"/>
    <mergeCell ref="A2:K2"/>
    <mergeCell ref="B188:D188"/>
    <mergeCell ref="B189:D189"/>
    <mergeCell ref="B190:D1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Seddiqi</dc:creator>
  <cp:lastModifiedBy>Sayed Neman Alemi</cp:lastModifiedBy>
  <dcterms:created xsi:type="dcterms:W3CDTF">2015-06-05T18:17:20Z</dcterms:created>
  <dcterms:modified xsi:type="dcterms:W3CDTF">2026-08-02T07:05:19Z</dcterms:modified>
</cp:coreProperties>
</file>