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22260" windowHeight="12648"/>
  </bookViews>
  <sheets>
    <sheet name="5000 MT 570$" sheetId="2" r:id="rId1"/>
  </sheets>
  <definedNames>
    <definedName name="_xlnm._FilterDatabase" localSheetId="0" hidden="1">'5000 MT 570$'!$A$3:$I$93</definedName>
  </definedNames>
  <calcPr calcId="152511" refMode="R1C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93" i="2" l="1"/>
  <c r="E93" i="2" l="1"/>
  <c r="G4" i="2" l="1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A91" i="2"/>
  <c r="A92" i="2" s="1"/>
  <c r="A89" i="2"/>
  <c r="A81" i="2"/>
  <c r="A82" i="2" s="1"/>
  <c r="A83" i="2" s="1"/>
  <c r="A84" i="2" s="1"/>
  <c r="A85" i="2" s="1"/>
  <c r="A86" i="2" s="1"/>
  <c r="A87" i="2" s="1"/>
  <c r="A75" i="2"/>
  <c r="A76" i="2" s="1"/>
  <c r="A77" i="2" s="1"/>
  <c r="A78" i="2" s="1"/>
  <c r="A65" i="2"/>
  <c r="A66" i="2" s="1"/>
  <c r="A67" i="2" s="1"/>
  <c r="A68" i="2" s="1"/>
  <c r="A69" i="2" s="1"/>
  <c r="A70" i="2" s="1"/>
  <c r="A71" i="2" s="1"/>
  <c r="A72" i="2" s="1"/>
  <c r="A54" i="2"/>
  <c r="A55" i="2" s="1"/>
  <c r="A56" i="2" s="1"/>
  <c r="A57" i="2" s="1"/>
  <c r="A58" i="2" s="1"/>
  <c r="A59" i="2" s="1"/>
  <c r="A60" i="2" s="1"/>
  <c r="A61" i="2" s="1"/>
  <c r="A62" i="2" s="1"/>
  <c r="A63" i="2" s="1"/>
  <c r="A44" i="2"/>
  <c r="A45" i="2" s="1"/>
  <c r="A46" i="2" s="1"/>
  <c r="A47" i="2" s="1"/>
  <c r="A48" i="2" s="1"/>
  <c r="A49" i="2" s="1"/>
  <c r="A50" i="2" s="1"/>
  <c r="A51" i="2" s="1"/>
  <c r="A52" i="2" s="1"/>
  <c r="A36" i="2"/>
  <c r="A37" i="2" s="1"/>
  <c r="A38" i="2" s="1"/>
  <c r="A39" i="2" s="1"/>
  <c r="A40" i="2" s="1"/>
  <c r="A41" i="2" s="1"/>
  <c r="A42" i="2" s="1"/>
  <c r="A23" i="2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5" i="2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</calcChain>
</file>

<file path=xl/sharedStrings.xml><?xml version="1.0" encoding="utf-8"?>
<sst xmlns="http://schemas.openxmlformats.org/spreadsheetml/2006/main" count="278" uniqueCount="27">
  <si>
    <t>Trusowo</t>
  </si>
  <si>
    <t>Terminal Ilinka</t>
  </si>
  <si>
    <t>Destination</t>
  </si>
  <si>
    <t>Consignee</t>
  </si>
  <si>
    <t>Total</t>
  </si>
  <si>
    <t>Loaded quantity (MT)</t>
  </si>
  <si>
    <t xml:space="preserve">Wagons No </t>
  </si>
  <si>
    <t>RWB No</t>
  </si>
  <si>
    <t>Date</t>
  </si>
  <si>
    <t>№</t>
  </si>
  <si>
    <t xml:space="preserve"> Contract PTG-SOL-25-MOZ dd 23.05.2025, between "PETROGAZ TRADING" (UAE) and "SOLVEX" FZE (UAE) </t>
  </si>
  <si>
    <t>Additional Agreement  № 6 dd 14.01.26 (SPT TRUSOVO) 10000 mt</t>
  </si>
  <si>
    <t>570$</t>
  </si>
  <si>
    <t>08610077
П.к №  72</t>
  </si>
  <si>
    <r>
      <rPr>
        <sz val="11"/>
        <rFont val="Times New Roman"/>
        <family val="1"/>
        <charset val="204"/>
      </rPr>
      <t>08610077
П.к №  72</t>
    </r>
  </si>
  <si>
    <r>
      <rPr>
        <sz val="11"/>
        <rFont val="Times New Roman"/>
        <family val="1"/>
        <charset val="204"/>
      </rPr>
      <t>08610086
П.к №  72</t>
    </r>
  </si>
  <si>
    <t>08610206</t>
  </si>
  <si>
    <r>
      <rPr>
        <sz val="11"/>
        <rFont val="Times New Roman"/>
        <family val="1"/>
        <charset val="204"/>
      </rPr>
      <t>08610250
П.к №  79</t>
    </r>
  </si>
  <si>
    <r>
      <rPr>
        <sz val="11"/>
        <rFont val="Times New Roman"/>
        <family val="1"/>
        <charset val="204"/>
      </rPr>
      <t>08610251
П.к №  92</t>
    </r>
  </si>
  <si>
    <t>08610252</t>
  </si>
  <si>
    <t>08610269</t>
  </si>
  <si>
    <t>08610274</t>
  </si>
  <si>
    <t>08610275</t>
  </si>
  <si>
    <t>08610276</t>
  </si>
  <si>
    <t>08610277</t>
  </si>
  <si>
    <t>08610296</t>
  </si>
  <si>
    <t>08610300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</si>
</sst>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#,##0.000"/>
    <numFmt numFmtId="165" formatCode="0.000"/>
    <numFmt numFmtId="166" formatCode="[$$-C09]#,##0.00"/>
    <numFmt numFmtId="167" formatCode="dd\.mm\.yy;@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  <charset val="204"/>
    </font>
    <font>
      <b/>
      <i/>
      <sz val="11"/>
      <color rgb="FFFF0000"/>
      <name val="Times New Roman"/>
      <family val="1"/>
      <charset val="204"/>
    </font>
    <font>
      <b/>
      <sz val="1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i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color rgb="FF000000"/>
      <name val="Times New Roman"/>
      <family val="1"/>
      <charset val="204"/>
    </font>
    <font>
      <b/>
      <i/>
      <sz val="11"/>
      <name val="Times New Roman"/>
      <family val="1"/>
      <charset val="204"/>
    </font>
    <font>
      <b/>
      <i/>
      <sz val="11"/>
      <color rgb="FF660066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121">
    <xf numFmtId="0" fontId="0" fillId="0" borderId="0" xfId="0"/>
    <xf numFmtId="0" fontId="1" fillId="0" borderId="0" xfId="0" applyFont="1" applyAlignment="1">
      <alignment horizontal="center"/>
    </xf>
    <xf numFmtId="0" fontId="1" fillId="0" borderId="11" xfId="0" applyFont="1" applyFill="1" applyBorder="1" applyAlignment="1">
      <alignment horizontal="center"/>
    </xf>
    <xf numFmtId="0" fontId="1" fillId="0" borderId="12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 vertical="top" wrapText="1"/>
    </xf>
    <xf numFmtId="166" fontId="5" fillId="2" borderId="11" xfId="0" applyNumberFormat="1" applyFont="1" applyFill="1" applyBorder="1" applyAlignment="1">
      <alignment horizontal="center" vertical="top" wrapText="1"/>
    </xf>
    <xf numFmtId="166" fontId="6" fillId="0" borderId="11" xfId="0" applyNumberFormat="1" applyFont="1" applyFill="1" applyBorder="1" applyAlignment="1">
      <alignment horizontal="center" vertical="top"/>
    </xf>
    <xf numFmtId="14" fontId="1" fillId="0" borderId="11" xfId="0" applyNumberFormat="1" applyFont="1" applyFill="1" applyBorder="1" applyAlignment="1">
      <alignment horizontal="center"/>
    </xf>
    <xf numFmtId="0" fontId="1" fillId="0" borderId="13" xfId="0" applyFont="1" applyFill="1" applyBorder="1" applyAlignment="1">
      <alignment horizontal="center"/>
    </xf>
    <xf numFmtId="0" fontId="1" fillId="0" borderId="14" xfId="0" applyFont="1" applyFill="1" applyBorder="1" applyAlignment="1">
      <alignment horizontal="center"/>
    </xf>
    <xf numFmtId="0" fontId="5" fillId="2" borderId="15" xfId="0" applyFont="1" applyFill="1" applyBorder="1" applyAlignment="1">
      <alignment horizontal="center" vertical="top" wrapText="1"/>
    </xf>
    <xf numFmtId="166" fontId="5" fillId="2" borderId="16" xfId="0" applyNumberFormat="1" applyFont="1" applyFill="1" applyBorder="1" applyAlignment="1">
      <alignment horizontal="center" vertical="top" wrapText="1"/>
    </xf>
    <xf numFmtId="166" fontId="6" fillId="0" borderId="16" xfId="0" applyNumberFormat="1" applyFont="1" applyFill="1" applyBorder="1" applyAlignment="1">
      <alignment horizontal="center" vertical="top"/>
    </xf>
    <xf numFmtId="14" fontId="1" fillId="0" borderId="13" xfId="0" applyNumberFormat="1" applyFont="1" applyFill="1" applyBorder="1" applyAlignment="1">
      <alignment horizontal="center"/>
    </xf>
    <xf numFmtId="0" fontId="1" fillId="0" borderId="17" xfId="0" applyFont="1" applyFill="1" applyBorder="1" applyAlignment="1">
      <alignment horizontal="center"/>
    </xf>
    <xf numFmtId="0" fontId="1" fillId="0" borderId="18" xfId="0" applyFont="1" applyFill="1" applyBorder="1" applyAlignment="1">
      <alignment horizontal="center"/>
    </xf>
    <xf numFmtId="0" fontId="5" fillId="2" borderId="19" xfId="0" applyFont="1" applyFill="1" applyBorder="1" applyAlignment="1">
      <alignment horizontal="center" vertical="top" wrapText="1"/>
    </xf>
    <xf numFmtId="166" fontId="5" fillId="2" borderId="20" xfId="0" applyNumberFormat="1" applyFont="1" applyFill="1" applyBorder="1" applyAlignment="1">
      <alignment horizontal="center" vertical="top" wrapText="1"/>
    </xf>
    <xf numFmtId="166" fontId="6" fillId="0" borderId="20" xfId="0" applyNumberFormat="1" applyFont="1" applyFill="1" applyBorder="1" applyAlignment="1">
      <alignment horizontal="center" vertical="top"/>
    </xf>
    <xf numFmtId="14" fontId="1" fillId="0" borderId="17" xfId="0" applyNumberFormat="1" applyFont="1" applyFill="1" applyBorder="1" applyAlignment="1">
      <alignment horizontal="center"/>
    </xf>
    <xf numFmtId="165" fontId="1" fillId="0" borderId="13" xfId="0" applyNumberFormat="1" applyFont="1" applyFill="1" applyBorder="1" applyAlignment="1">
      <alignment horizontal="center"/>
    </xf>
    <xf numFmtId="0" fontId="1" fillId="0" borderId="16" xfId="0" applyFont="1" applyFill="1" applyBorder="1" applyAlignment="1">
      <alignment horizontal="center"/>
    </xf>
    <xf numFmtId="14" fontId="1" fillId="0" borderId="16" xfId="0" applyNumberFormat="1" applyFont="1" applyFill="1" applyBorder="1" applyAlignment="1">
      <alignment horizontal="center"/>
    </xf>
    <xf numFmtId="165" fontId="1" fillId="0" borderId="21" xfId="0" applyNumberFormat="1" applyFont="1" applyFill="1" applyBorder="1" applyAlignment="1">
      <alignment horizontal="center"/>
    </xf>
    <xf numFmtId="0" fontId="1" fillId="0" borderId="21" xfId="0" applyFont="1" applyFill="1" applyBorder="1" applyAlignment="1">
      <alignment horizontal="center"/>
    </xf>
    <xf numFmtId="14" fontId="1" fillId="0" borderId="21" xfId="0" applyNumberFormat="1" applyFont="1" applyFill="1" applyBorder="1" applyAlignment="1">
      <alignment horizontal="center"/>
    </xf>
    <xf numFmtId="0" fontId="1" fillId="0" borderId="24" xfId="0" applyFont="1" applyFill="1" applyBorder="1" applyAlignment="1">
      <alignment horizontal="center"/>
    </xf>
    <xf numFmtId="14" fontId="1" fillId="0" borderId="25" xfId="0" applyNumberFormat="1" applyFont="1" applyFill="1" applyBorder="1" applyAlignment="1">
      <alignment horizontal="center"/>
    </xf>
    <xf numFmtId="165" fontId="1" fillId="0" borderId="25" xfId="0" applyNumberFormat="1" applyFont="1" applyFill="1" applyBorder="1" applyAlignment="1">
      <alignment horizontal="center"/>
    </xf>
    <xf numFmtId="0" fontId="1" fillId="0" borderId="25" xfId="0" applyFont="1" applyFill="1" applyBorder="1" applyAlignment="1">
      <alignment horizontal="center"/>
    </xf>
    <xf numFmtId="165" fontId="1" fillId="0" borderId="11" xfId="0" applyNumberFormat="1" applyFont="1" applyFill="1" applyBorder="1" applyAlignment="1">
      <alignment horizontal="center"/>
    </xf>
    <xf numFmtId="165" fontId="1" fillId="0" borderId="17" xfId="0" applyNumberFormat="1" applyFont="1" applyFill="1" applyBorder="1" applyAlignment="1">
      <alignment horizontal="center"/>
    </xf>
    <xf numFmtId="165" fontId="1" fillId="0" borderId="6" xfId="0" applyNumberFormat="1" applyFont="1" applyFill="1" applyBorder="1" applyAlignment="1">
      <alignment horizontal="center"/>
    </xf>
    <xf numFmtId="0" fontId="1" fillId="0" borderId="6" xfId="0" applyFont="1" applyFill="1" applyBorder="1" applyAlignment="1">
      <alignment horizontal="center"/>
    </xf>
    <xf numFmtId="14" fontId="1" fillId="0" borderId="6" xfId="0" applyNumberFormat="1" applyFont="1" applyFill="1" applyBorder="1" applyAlignment="1">
      <alignment horizontal="center"/>
    </xf>
    <xf numFmtId="0" fontId="1" fillId="0" borderId="7" xfId="0" applyFont="1" applyFill="1" applyBorder="1" applyAlignment="1">
      <alignment horizontal="center"/>
    </xf>
    <xf numFmtId="0" fontId="5" fillId="2" borderId="5" xfId="0" applyFont="1" applyFill="1" applyBorder="1" applyAlignment="1">
      <alignment horizontal="center" vertical="top" wrapText="1"/>
    </xf>
    <xf numFmtId="166" fontId="5" fillId="2" borderId="6" xfId="0" applyNumberFormat="1" applyFont="1" applyFill="1" applyBorder="1" applyAlignment="1">
      <alignment horizontal="center" vertical="top" wrapText="1"/>
    </xf>
    <xf numFmtId="166" fontId="6" fillId="0" borderId="6" xfId="0" applyNumberFormat="1" applyFont="1" applyFill="1" applyBorder="1" applyAlignment="1">
      <alignment horizontal="center" vertical="top"/>
    </xf>
    <xf numFmtId="165" fontId="1" fillId="0" borderId="16" xfId="0" applyNumberFormat="1" applyFont="1" applyFill="1" applyBorder="1" applyAlignment="1">
      <alignment horizontal="center"/>
    </xf>
    <xf numFmtId="14" fontId="1" fillId="0" borderId="9" xfId="0" applyNumberFormat="1" applyFont="1" applyFill="1" applyBorder="1" applyAlignment="1">
      <alignment horizontal="center"/>
    </xf>
    <xf numFmtId="0" fontId="5" fillId="2" borderId="2" xfId="0" applyFont="1" applyFill="1" applyBorder="1" applyAlignment="1">
      <alignment horizontal="center" vertical="top" wrapText="1"/>
    </xf>
    <xf numFmtId="166" fontId="5" fillId="2" borderId="13" xfId="0" applyNumberFormat="1" applyFont="1" applyFill="1" applyBorder="1" applyAlignment="1">
      <alignment horizontal="center" vertical="top" wrapText="1"/>
    </xf>
    <xf numFmtId="166" fontId="6" fillId="0" borderId="13" xfId="0" applyNumberFormat="1" applyFont="1" applyFill="1" applyBorder="1" applyAlignment="1">
      <alignment horizontal="center" vertical="top"/>
    </xf>
    <xf numFmtId="0" fontId="5" fillId="2" borderId="4" xfId="0" applyFont="1" applyFill="1" applyBorder="1" applyAlignment="1">
      <alignment horizontal="center" vertical="top" wrapText="1"/>
    </xf>
    <xf numFmtId="166" fontId="5" fillId="2" borderId="17" xfId="0" applyNumberFormat="1" applyFont="1" applyFill="1" applyBorder="1" applyAlignment="1">
      <alignment horizontal="center" vertical="top" wrapText="1"/>
    </xf>
    <xf numFmtId="166" fontId="6" fillId="0" borderId="17" xfId="0" applyNumberFormat="1" applyFont="1" applyFill="1" applyBorder="1" applyAlignment="1">
      <alignment horizontal="center" vertical="top"/>
    </xf>
    <xf numFmtId="0" fontId="5" fillId="2" borderId="26" xfId="0" applyFont="1" applyFill="1" applyBorder="1" applyAlignment="1">
      <alignment horizontal="center" vertical="top" wrapText="1"/>
    </xf>
    <xf numFmtId="166" fontId="5" fillId="2" borderId="25" xfId="0" applyNumberFormat="1" applyFont="1" applyFill="1" applyBorder="1" applyAlignment="1">
      <alignment horizontal="center" vertical="top" wrapText="1"/>
    </xf>
    <xf numFmtId="166" fontId="6" fillId="0" borderId="25" xfId="0" applyNumberFormat="1" applyFont="1" applyFill="1" applyBorder="1" applyAlignment="1">
      <alignment horizontal="center" vertical="top"/>
    </xf>
    <xf numFmtId="0" fontId="1" fillId="0" borderId="12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3" fillId="0" borderId="22" xfId="0" applyFont="1" applyBorder="1" applyAlignment="1">
      <alignment horizontal="center" vertical="center" wrapText="1"/>
    </xf>
    <xf numFmtId="167" fontId="3" fillId="0" borderId="20" xfId="0" applyNumberFormat="1" applyFont="1" applyBorder="1" applyAlignment="1">
      <alignment horizontal="center" vertical="center" wrapText="1"/>
    </xf>
    <xf numFmtId="49" fontId="8" fillId="0" borderId="20" xfId="0" applyNumberFormat="1" applyFont="1" applyBorder="1" applyAlignment="1">
      <alignment horizontal="center" vertical="center" wrapText="1"/>
    </xf>
    <xf numFmtId="167" fontId="8" fillId="0" borderId="20" xfId="0" applyNumberFormat="1" applyFont="1" applyFill="1" applyBorder="1" applyAlignment="1">
      <alignment horizontal="center" vertical="center" wrapText="1"/>
    </xf>
    <xf numFmtId="165" fontId="8" fillId="0" borderId="20" xfId="0" applyNumberFormat="1" applyFont="1" applyBorder="1" applyAlignment="1">
      <alignment horizontal="center" vertical="center" wrapText="1"/>
    </xf>
    <xf numFmtId="49" fontId="2" fillId="0" borderId="30" xfId="0" applyNumberFormat="1" applyFont="1" applyBorder="1" applyAlignment="1">
      <alignment horizontal="center" vertical="center" wrapText="1"/>
    </xf>
    <xf numFmtId="167" fontId="9" fillId="0" borderId="30" xfId="0" applyNumberFormat="1" applyFont="1" applyBorder="1" applyAlignment="1">
      <alignment horizontal="center" vertical="center" wrapText="1"/>
    </xf>
    <xf numFmtId="167" fontId="8" fillId="0" borderId="20" xfId="0" applyNumberFormat="1" applyFont="1" applyBorder="1" applyAlignment="1">
      <alignment horizontal="center" vertical="center" wrapText="1"/>
    </xf>
    <xf numFmtId="167" fontId="8" fillId="0" borderId="19" xfId="0" applyNumberFormat="1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/>
    </xf>
    <xf numFmtId="14" fontId="1" fillId="0" borderId="17" xfId="0" applyNumberFormat="1" applyFont="1" applyBorder="1" applyAlignment="1">
      <alignment horizontal="center"/>
    </xf>
    <xf numFmtId="0" fontId="6" fillId="0" borderId="27" xfId="0" applyFont="1" applyBorder="1" applyAlignment="1">
      <alignment horizontal="center" vertical="top" wrapText="1"/>
    </xf>
    <xf numFmtId="1" fontId="7" fillId="0" borderId="17" xfId="0" applyNumberFormat="1" applyFont="1" applyBorder="1" applyAlignment="1">
      <alignment horizontal="center" vertical="top" shrinkToFit="1"/>
    </xf>
    <xf numFmtId="165" fontId="7" fillId="0" borderId="17" xfId="0" applyNumberFormat="1" applyFont="1" applyBorder="1" applyAlignment="1">
      <alignment horizontal="center" vertical="top" shrinkToFit="1"/>
    </xf>
    <xf numFmtId="14" fontId="1" fillId="0" borderId="13" xfId="0" applyNumberFormat="1" applyFont="1" applyBorder="1" applyAlignment="1">
      <alignment horizontal="center"/>
    </xf>
    <xf numFmtId="0" fontId="1" fillId="0" borderId="13" xfId="0" applyFont="1" applyBorder="1" applyAlignment="1">
      <alignment horizontal="center" vertical="top" wrapText="1"/>
    </xf>
    <xf numFmtId="1" fontId="7" fillId="0" borderId="13" xfId="0" applyNumberFormat="1" applyFont="1" applyBorder="1" applyAlignment="1">
      <alignment horizontal="center" vertical="top" shrinkToFit="1"/>
    </xf>
    <xf numFmtId="165" fontId="7" fillId="0" borderId="13" xfId="0" applyNumberFormat="1" applyFont="1" applyBorder="1" applyAlignment="1">
      <alignment horizontal="center" vertical="top" shrinkToFit="1"/>
    </xf>
    <xf numFmtId="14" fontId="1" fillId="0" borderId="11" xfId="0" applyNumberFormat="1" applyFont="1" applyBorder="1" applyAlignment="1">
      <alignment horizontal="center"/>
    </xf>
    <xf numFmtId="0" fontId="1" fillId="0" borderId="29" xfId="0" applyFont="1" applyBorder="1" applyAlignment="1">
      <alignment horizontal="center" vertical="top" wrapText="1"/>
    </xf>
    <xf numFmtId="1" fontId="7" fillId="0" borderId="11" xfId="0" applyNumberFormat="1" applyFont="1" applyBorder="1" applyAlignment="1">
      <alignment horizontal="center" vertical="top" shrinkToFit="1"/>
    </xf>
    <xf numFmtId="165" fontId="7" fillId="0" borderId="11" xfId="0" applyNumberFormat="1" applyFont="1" applyBorder="1" applyAlignment="1">
      <alignment horizontal="center" vertical="top" shrinkToFit="1"/>
    </xf>
    <xf numFmtId="166" fontId="6" fillId="0" borderId="9" xfId="0" applyNumberFormat="1" applyFont="1" applyFill="1" applyBorder="1" applyAlignment="1">
      <alignment horizontal="center" vertical="top"/>
    </xf>
    <xf numFmtId="166" fontId="5" fillId="2" borderId="9" xfId="0" applyNumberFormat="1" applyFont="1" applyFill="1" applyBorder="1" applyAlignment="1">
      <alignment horizontal="center" vertical="top" wrapText="1"/>
    </xf>
    <xf numFmtId="0" fontId="5" fillId="2" borderId="8" xfId="0" applyFont="1" applyFill="1" applyBorder="1" applyAlignment="1">
      <alignment horizontal="center" vertical="top" wrapText="1"/>
    </xf>
    <xf numFmtId="0" fontId="1" fillId="0" borderId="27" xfId="0" applyFont="1" applyBorder="1" applyAlignment="1">
      <alignment horizontal="center" vertical="top" wrapText="1"/>
    </xf>
    <xf numFmtId="14" fontId="1" fillId="0" borderId="31" xfId="0" applyNumberFormat="1" applyFont="1" applyBorder="1" applyAlignment="1">
      <alignment horizontal="center"/>
    </xf>
    <xf numFmtId="1" fontId="7" fillId="0" borderId="3" xfId="0" applyNumberFormat="1" applyFont="1" applyBorder="1" applyAlignment="1">
      <alignment horizontal="center" vertical="top" shrinkToFit="1"/>
    </xf>
    <xf numFmtId="14" fontId="1" fillId="0" borderId="32" xfId="0" applyNumberFormat="1" applyFont="1" applyBorder="1" applyAlignment="1">
      <alignment horizontal="center"/>
    </xf>
    <xf numFmtId="0" fontId="1" fillId="0" borderId="16" xfId="0" applyFont="1" applyBorder="1" applyAlignment="1">
      <alignment horizontal="center" vertical="top" wrapText="1"/>
    </xf>
    <xf numFmtId="1" fontId="7" fillId="0" borderId="33" xfId="0" applyNumberFormat="1" applyFont="1" applyBorder="1" applyAlignment="1">
      <alignment horizontal="center" vertical="top" shrinkToFit="1"/>
    </xf>
    <xf numFmtId="165" fontId="7" fillId="0" borderId="16" xfId="0" applyNumberFormat="1" applyFont="1" applyBorder="1" applyAlignment="1">
      <alignment horizontal="center" vertical="top" shrinkToFit="1"/>
    </xf>
    <xf numFmtId="49" fontId="1" fillId="0" borderId="25" xfId="0" applyNumberFormat="1" applyFont="1" applyFill="1" applyBorder="1" applyAlignment="1">
      <alignment horizontal="center"/>
    </xf>
    <xf numFmtId="1" fontId="7" fillId="0" borderId="25" xfId="0" applyNumberFormat="1" applyFont="1" applyBorder="1" applyAlignment="1">
      <alignment horizontal="center" vertical="top" shrinkToFit="1"/>
    </xf>
    <xf numFmtId="165" fontId="7" fillId="0" borderId="25" xfId="0" applyNumberFormat="1" applyFont="1" applyBorder="1" applyAlignment="1">
      <alignment horizontal="center" vertical="top" shrinkToFit="1"/>
    </xf>
    <xf numFmtId="49" fontId="1" fillId="0" borderId="13" xfId="0" applyNumberFormat="1" applyFont="1" applyFill="1" applyBorder="1" applyAlignment="1">
      <alignment horizontal="center"/>
    </xf>
    <xf numFmtId="49" fontId="1" fillId="0" borderId="11" xfId="0" applyNumberFormat="1" applyFont="1" applyFill="1" applyBorder="1" applyAlignment="1">
      <alignment horizontal="center"/>
    </xf>
    <xf numFmtId="0" fontId="1" fillId="0" borderId="25" xfId="0" applyFont="1" applyBorder="1" applyAlignment="1">
      <alignment horizontal="center" vertical="top" wrapText="1"/>
    </xf>
    <xf numFmtId="165" fontId="7" fillId="0" borderId="0" xfId="0" applyNumberFormat="1" applyFont="1" applyAlignment="1">
      <alignment horizontal="center" vertical="top" shrinkToFit="1"/>
    </xf>
    <xf numFmtId="1" fontId="7" fillId="0" borderId="16" xfId="0" applyNumberFormat="1" applyFont="1" applyBorder="1" applyAlignment="1">
      <alignment horizontal="center" vertical="top" shrinkToFit="1"/>
    </xf>
    <xf numFmtId="49" fontId="1" fillId="0" borderId="17" xfId="0" applyNumberFormat="1" applyFont="1" applyBorder="1" applyAlignment="1">
      <alignment horizontal="center"/>
    </xf>
    <xf numFmtId="49" fontId="1" fillId="0" borderId="13" xfId="0" applyNumberFormat="1" applyFont="1" applyBorder="1" applyAlignment="1">
      <alignment horizontal="center"/>
    </xf>
    <xf numFmtId="49" fontId="1" fillId="0" borderId="11" xfId="0" applyNumberFormat="1" applyFont="1" applyBorder="1" applyAlignment="1">
      <alignment horizontal="center"/>
    </xf>
    <xf numFmtId="1" fontId="7" fillId="0" borderId="11" xfId="0" applyNumberFormat="1" applyFont="1" applyFill="1" applyBorder="1" applyAlignment="1">
      <alignment horizontal="center" vertical="top" shrinkToFit="1"/>
    </xf>
    <xf numFmtId="49" fontId="7" fillId="0" borderId="17" xfId="0" applyNumberFormat="1" applyFont="1" applyFill="1" applyBorder="1" applyAlignment="1">
      <alignment horizontal="center" vertical="top" shrinkToFit="1"/>
    </xf>
    <xf numFmtId="1" fontId="7" fillId="0" borderId="27" xfId="0" applyNumberFormat="1" applyFont="1" applyFill="1" applyBorder="1" applyAlignment="1">
      <alignment horizontal="center" vertical="top" shrinkToFit="1"/>
    </xf>
    <xf numFmtId="165" fontId="7" fillId="0" borderId="17" xfId="0" applyNumberFormat="1" applyFont="1" applyFill="1" applyBorder="1" applyAlignment="1">
      <alignment horizontal="center" vertical="top" shrinkToFit="1"/>
    </xf>
    <xf numFmtId="49" fontId="7" fillId="0" borderId="13" xfId="0" applyNumberFormat="1" applyFont="1" applyFill="1" applyBorder="1" applyAlignment="1">
      <alignment horizontal="center" vertical="top" shrinkToFit="1"/>
    </xf>
    <xf numFmtId="1" fontId="7" fillId="0" borderId="28" xfId="0" applyNumberFormat="1" applyFont="1" applyFill="1" applyBorder="1" applyAlignment="1">
      <alignment horizontal="center" vertical="top" shrinkToFit="1"/>
    </xf>
    <xf numFmtId="165" fontId="7" fillId="0" borderId="13" xfId="0" applyNumberFormat="1" applyFont="1" applyFill="1" applyBorder="1" applyAlignment="1">
      <alignment horizontal="center" vertical="top" shrinkToFit="1"/>
    </xf>
    <xf numFmtId="49" fontId="7" fillId="0" borderId="11" xfId="0" applyNumberFormat="1" applyFont="1" applyFill="1" applyBorder="1" applyAlignment="1">
      <alignment horizontal="center" vertical="top" shrinkToFit="1"/>
    </xf>
    <xf numFmtId="1" fontId="7" fillId="0" borderId="34" xfId="0" applyNumberFormat="1" applyFont="1" applyFill="1" applyBorder="1" applyAlignment="1">
      <alignment horizontal="center" vertical="top" shrinkToFit="1"/>
    </xf>
    <xf numFmtId="165" fontId="7" fillId="0" borderId="11" xfId="0" applyNumberFormat="1" applyFont="1" applyFill="1" applyBorder="1" applyAlignment="1">
      <alignment horizontal="center" vertical="top" shrinkToFit="1"/>
    </xf>
    <xf numFmtId="49" fontId="7" fillId="0" borderId="6" xfId="0" applyNumberFormat="1" applyFont="1" applyFill="1" applyBorder="1" applyAlignment="1">
      <alignment horizontal="center" vertical="top" shrinkToFit="1"/>
    </xf>
    <xf numFmtId="0" fontId="1" fillId="0" borderId="25" xfId="0" applyFont="1" applyBorder="1" applyAlignment="1">
      <alignment horizontal="center"/>
    </xf>
    <xf numFmtId="49" fontId="1" fillId="0" borderId="25" xfId="0" applyNumberFormat="1" applyFont="1" applyBorder="1" applyAlignment="1">
      <alignment horizontal="center"/>
    </xf>
    <xf numFmtId="165" fontId="1" fillId="0" borderId="25" xfId="0" applyNumberFormat="1" applyFont="1" applyBorder="1" applyAlignment="1">
      <alignment horizontal="center"/>
    </xf>
    <xf numFmtId="165" fontId="1" fillId="0" borderId="13" xfId="0" applyNumberFormat="1" applyFont="1" applyBorder="1" applyAlignment="1">
      <alignment horizontal="center"/>
    </xf>
    <xf numFmtId="49" fontId="7" fillId="0" borderId="21" xfId="0" applyNumberFormat="1" applyFont="1" applyFill="1" applyBorder="1" applyAlignment="1">
      <alignment horizontal="center" vertical="top" shrinkToFit="1"/>
    </xf>
    <xf numFmtId="49" fontId="7" fillId="0" borderId="25" xfId="0" applyNumberFormat="1" applyFont="1" applyFill="1" applyBorder="1" applyAlignment="1">
      <alignment horizontal="center" vertical="top" shrinkToFit="1"/>
    </xf>
    <xf numFmtId="49" fontId="7" fillId="0" borderId="9" xfId="0" applyNumberFormat="1" applyFont="1" applyFill="1" applyBorder="1" applyAlignment="1">
      <alignment horizontal="center" vertical="top" shrinkToFit="1"/>
    </xf>
    <xf numFmtId="0" fontId="1" fillId="3" borderId="10" xfId="0" applyFont="1" applyFill="1" applyBorder="1" applyAlignment="1">
      <alignment horizontal="center"/>
    </xf>
    <xf numFmtId="0" fontId="1" fillId="3" borderId="9" xfId="0" applyFont="1" applyFill="1" applyBorder="1" applyAlignment="1">
      <alignment horizontal="center"/>
    </xf>
    <xf numFmtId="164" fontId="4" fillId="3" borderId="9" xfId="0" applyNumberFormat="1" applyFont="1" applyFill="1" applyBorder="1" applyAlignment="1">
      <alignment horizontal="center"/>
    </xf>
    <xf numFmtId="0" fontId="1" fillId="3" borderId="35" xfId="0" applyFont="1" applyFill="1" applyBorder="1" applyAlignment="1">
      <alignment horizontal="center"/>
    </xf>
    <xf numFmtId="0" fontId="3" fillId="0" borderId="0" xfId="0" applyFont="1" applyBorder="1" applyAlignment="1">
      <alignment horizontal="center" vertical="top" wrapText="1"/>
    </xf>
    <xf numFmtId="0" fontId="3" fillId="0" borderId="29" xfId="0" applyFont="1" applyBorder="1" applyAlignment="1">
      <alignment horizontal="center" vertical="top" wrapText="1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3"/>
  <sheetViews>
    <sheetView tabSelected="1" topLeftCell="A64" workbookViewId="0">
      <selection activeCell="L82" sqref="L82"/>
    </sheetView>
  </sheetViews>
  <sheetFormatPr defaultColWidth="9.109375" defaultRowHeight="13.8" x14ac:dyDescent="0.25"/>
  <cols>
    <col min="1" max="1" width="9.109375" style="1"/>
    <col min="2" max="2" width="12" style="1" customWidth="1"/>
    <col min="3" max="3" width="10.33203125" style="1" customWidth="1"/>
    <col min="4" max="4" width="9.109375" style="1"/>
    <col min="5" max="5" width="11.109375" style="1" customWidth="1"/>
    <col min="6" max="6" width="9.5546875" style="1" bestFit="1" customWidth="1"/>
    <col min="7" max="7" width="13.88671875" style="1" customWidth="1"/>
    <col min="8" max="8" width="18.6640625" style="1" customWidth="1"/>
    <col min="9" max="9" width="11.5546875" style="1" customWidth="1"/>
    <col min="10" max="16384" width="9.109375" style="1"/>
  </cols>
  <sheetData>
    <row r="1" spans="1:9" x14ac:dyDescent="0.25">
      <c r="A1" s="119" t="s">
        <v>10</v>
      </c>
      <c r="B1" s="119"/>
      <c r="C1" s="119"/>
      <c r="D1" s="119"/>
      <c r="E1" s="119"/>
      <c r="F1" s="119"/>
      <c r="G1" s="119"/>
      <c r="H1" s="119"/>
      <c r="I1" s="119"/>
    </row>
    <row r="2" spans="1:9" ht="14.4" thickBot="1" x14ac:dyDescent="0.3">
      <c r="A2" s="120" t="s">
        <v>11</v>
      </c>
      <c r="B2" s="120"/>
      <c r="C2" s="120"/>
      <c r="D2" s="120"/>
      <c r="E2" s="120"/>
      <c r="F2" s="120"/>
      <c r="G2" s="120"/>
      <c r="H2" s="120"/>
      <c r="I2" s="120"/>
    </row>
    <row r="3" spans="1:9" ht="43.8" thickBot="1" x14ac:dyDescent="0.3">
      <c r="A3" s="54" t="s">
        <v>9</v>
      </c>
      <c r="B3" s="55" t="s">
        <v>8</v>
      </c>
      <c r="C3" s="56" t="s">
        <v>7</v>
      </c>
      <c r="D3" s="57" t="s">
        <v>6</v>
      </c>
      <c r="E3" s="58" t="s">
        <v>5</v>
      </c>
      <c r="F3" s="59" t="s">
        <v>12</v>
      </c>
      <c r="G3" s="60" t="s">
        <v>4</v>
      </c>
      <c r="H3" s="61" t="s">
        <v>3</v>
      </c>
      <c r="I3" s="62" t="s">
        <v>2</v>
      </c>
    </row>
    <row r="4" spans="1:9" ht="13.5" customHeight="1" x14ac:dyDescent="0.25">
      <c r="A4" s="63">
        <v>1</v>
      </c>
      <c r="B4" s="64">
        <v>46041</v>
      </c>
      <c r="C4" s="65" t="s">
        <v>13</v>
      </c>
      <c r="D4" s="66">
        <v>73149734</v>
      </c>
      <c r="E4" s="67">
        <v>61.5</v>
      </c>
      <c r="F4" s="18">
        <v>570</v>
      </c>
      <c r="G4" s="18">
        <f>E4*F4</f>
        <v>35055</v>
      </c>
      <c r="H4" s="17" t="s">
        <v>1</v>
      </c>
      <c r="I4" s="16" t="s">
        <v>0</v>
      </c>
    </row>
    <row r="5" spans="1:9" ht="15" customHeight="1" x14ac:dyDescent="0.25">
      <c r="A5" s="53">
        <f>A4+1</f>
        <v>2</v>
      </c>
      <c r="B5" s="68">
        <v>46041</v>
      </c>
      <c r="C5" s="69" t="s">
        <v>14</v>
      </c>
      <c r="D5" s="70">
        <v>54703244</v>
      </c>
      <c r="E5" s="71">
        <v>61.4</v>
      </c>
      <c r="F5" s="43">
        <v>570</v>
      </c>
      <c r="G5" s="43">
        <f t="shared" ref="G5:G21" si="0">E5*F5</f>
        <v>34998</v>
      </c>
      <c r="H5" s="42" t="s">
        <v>1</v>
      </c>
      <c r="I5" s="41" t="s">
        <v>0</v>
      </c>
    </row>
    <row r="6" spans="1:9" ht="15" customHeight="1" x14ac:dyDescent="0.25">
      <c r="A6" s="53">
        <f t="shared" ref="A6:A21" si="1">A5+1</f>
        <v>3</v>
      </c>
      <c r="B6" s="68">
        <v>46041</v>
      </c>
      <c r="C6" s="69" t="s">
        <v>14</v>
      </c>
      <c r="D6" s="70">
        <v>51459485</v>
      </c>
      <c r="E6" s="71">
        <v>60.8</v>
      </c>
      <c r="F6" s="43">
        <v>570</v>
      </c>
      <c r="G6" s="43">
        <f t="shared" si="0"/>
        <v>34656</v>
      </c>
      <c r="H6" s="42" t="s">
        <v>1</v>
      </c>
      <c r="I6" s="41" t="s">
        <v>0</v>
      </c>
    </row>
    <row r="7" spans="1:9" ht="15" customHeight="1" x14ac:dyDescent="0.25">
      <c r="A7" s="53">
        <f t="shared" si="1"/>
        <v>4</v>
      </c>
      <c r="B7" s="68">
        <v>46041</v>
      </c>
      <c r="C7" s="69" t="s">
        <v>14</v>
      </c>
      <c r="D7" s="70">
        <v>51378172</v>
      </c>
      <c r="E7" s="71">
        <v>52.4</v>
      </c>
      <c r="F7" s="43">
        <v>570</v>
      </c>
      <c r="G7" s="43">
        <f t="shared" si="0"/>
        <v>29868</v>
      </c>
      <c r="H7" s="42" t="s">
        <v>1</v>
      </c>
      <c r="I7" s="41" t="s">
        <v>0</v>
      </c>
    </row>
    <row r="8" spans="1:9" ht="15" customHeight="1" x14ac:dyDescent="0.25">
      <c r="A8" s="53">
        <f t="shared" si="1"/>
        <v>5</v>
      </c>
      <c r="B8" s="68">
        <v>46041</v>
      </c>
      <c r="C8" s="69" t="s">
        <v>14</v>
      </c>
      <c r="D8" s="70">
        <v>73213787</v>
      </c>
      <c r="E8" s="71">
        <v>61.5</v>
      </c>
      <c r="F8" s="43">
        <v>570</v>
      </c>
      <c r="G8" s="43">
        <f t="shared" si="0"/>
        <v>35055</v>
      </c>
      <c r="H8" s="42" t="s">
        <v>1</v>
      </c>
      <c r="I8" s="41" t="s">
        <v>0</v>
      </c>
    </row>
    <row r="9" spans="1:9" ht="15" customHeight="1" x14ac:dyDescent="0.25">
      <c r="A9" s="53">
        <f t="shared" si="1"/>
        <v>6</v>
      </c>
      <c r="B9" s="68">
        <v>46041</v>
      </c>
      <c r="C9" s="69" t="s">
        <v>14</v>
      </c>
      <c r="D9" s="70">
        <v>54241930</v>
      </c>
      <c r="E9" s="71">
        <v>61</v>
      </c>
      <c r="F9" s="43">
        <v>570</v>
      </c>
      <c r="G9" s="43">
        <f t="shared" si="0"/>
        <v>34770</v>
      </c>
      <c r="H9" s="42" t="s">
        <v>1</v>
      </c>
      <c r="I9" s="41" t="s">
        <v>0</v>
      </c>
    </row>
    <row r="10" spans="1:9" ht="15" customHeight="1" x14ac:dyDescent="0.25">
      <c r="A10" s="53">
        <f t="shared" si="1"/>
        <v>7</v>
      </c>
      <c r="B10" s="68">
        <v>46041</v>
      </c>
      <c r="C10" s="69" t="s">
        <v>14</v>
      </c>
      <c r="D10" s="70">
        <v>51920346</v>
      </c>
      <c r="E10" s="71">
        <v>59.9</v>
      </c>
      <c r="F10" s="43">
        <v>570</v>
      </c>
      <c r="G10" s="43">
        <f t="shared" si="0"/>
        <v>34143</v>
      </c>
      <c r="H10" s="42" t="s">
        <v>1</v>
      </c>
      <c r="I10" s="41" t="s">
        <v>0</v>
      </c>
    </row>
    <row r="11" spans="1:9" ht="15" customHeight="1" x14ac:dyDescent="0.25">
      <c r="A11" s="53">
        <f t="shared" si="1"/>
        <v>8</v>
      </c>
      <c r="B11" s="68">
        <v>46041</v>
      </c>
      <c r="C11" s="69" t="s">
        <v>14</v>
      </c>
      <c r="D11" s="70">
        <v>73142150</v>
      </c>
      <c r="E11" s="71">
        <v>61.55</v>
      </c>
      <c r="F11" s="43">
        <v>570</v>
      </c>
      <c r="G11" s="43">
        <f t="shared" si="0"/>
        <v>35083.5</v>
      </c>
      <c r="H11" s="42" t="s">
        <v>1</v>
      </c>
      <c r="I11" s="41" t="s">
        <v>0</v>
      </c>
    </row>
    <row r="12" spans="1:9" ht="15" customHeight="1" x14ac:dyDescent="0.25">
      <c r="A12" s="53">
        <f t="shared" si="1"/>
        <v>9</v>
      </c>
      <c r="B12" s="68">
        <v>46041</v>
      </c>
      <c r="C12" s="69" t="s">
        <v>14</v>
      </c>
      <c r="D12" s="70">
        <v>54026687</v>
      </c>
      <c r="E12" s="71">
        <v>60.95</v>
      </c>
      <c r="F12" s="43">
        <v>570</v>
      </c>
      <c r="G12" s="43">
        <f t="shared" si="0"/>
        <v>34741.5</v>
      </c>
      <c r="H12" s="42" t="s">
        <v>1</v>
      </c>
      <c r="I12" s="41" t="s">
        <v>0</v>
      </c>
    </row>
    <row r="13" spans="1:9" ht="15" customHeight="1" x14ac:dyDescent="0.25">
      <c r="A13" s="53">
        <f t="shared" si="1"/>
        <v>10</v>
      </c>
      <c r="B13" s="68">
        <v>46041</v>
      </c>
      <c r="C13" s="69" t="s">
        <v>14</v>
      </c>
      <c r="D13" s="70">
        <v>51198059</v>
      </c>
      <c r="E13" s="71">
        <v>60.9</v>
      </c>
      <c r="F13" s="43">
        <v>570</v>
      </c>
      <c r="G13" s="43">
        <f t="shared" si="0"/>
        <v>34713</v>
      </c>
      <c r="H13" s="42" t="s">
        <v>1</v>
      </c>
      <c r="I13" s="41" t="s">
        <v>0</v>
      </c>
    </row>
    <row r="14" spans="1:9" ht="15" customHeight="1" x14ac:dyDescent="0.25">
      <c r="A14" s="53">
        <f t="shared" si="1"/>
        <v>11</v>
      </c>
      <c r="B14" s="68">
        <v>46041</v>
      </c>
      <c r="C14" s="69" t="s">
        <v>14</v>
      </c>
      <c r="D14" s="70">
        <v>51181477</v>
      </c>
      <c r="E14" s="71">
        <v>61.2</v>
      </c>
      <c r="F14" s="43">
        <v>570</v>
      </c>
      <c r="G14" s="43">
        <f t="shared" si="0"/>
        <v>34884</v>
      </c>
      <c r="H14" s="42" t="s">
        <v>1</v>
      </c>
      <c r="I14" s="41" t="s">
        <v>0</v>
      </c>
    </row>
    <row r="15" spans="1:9" ht="15" customHeight="1" x14ac:dyDescent="0.25">
      <c r="A15" s="53">
        <f t="shared" si="1"/>
        <v>12</v>
      </c>
      <c r="B15" s="68">
        <v>46041</v>
      </c>
      <c r="C15" s="69" t="s">
        <v>14</v>
      </c>
      <c r="D15" s="70">
        <v>73099483</v>
      </c>
      <c r="E15" s="71">
        <v>61.55</v>
      </c>
      <c r="F15" s="43">
        <v>570</v>
      </c>
      <c r="G15" s="43">
        <f t="shared" si="0"/>
        <v>35083.5</v>
      </c>
      <c r="H15" s="42" t="s">
        <v>1</v>
      </c>
      <c r="I15" s="41" t="s">
        <v>0</v>
      </c>
    </row>
    <row r="16" spans="1:9" ht="15" customHeight="1" x14ac:dyDescent="0.25">
      <c r="A16" s="53">
        <f t="shared" si="1"/>
        <v>13</v>
      </c>
      <c r="B16" s="68">
        <v>46041</v>
      </c>
      <c r="C16" s="69" t="s">
        <v>14</v>
      </c>
      <c r="D16" s="70">
        <v>50737014</v>
      </c>
      <c r="E16" s="71">
        <v>52.25</v>
      </c>
      <c r="F16" s="43">
        <v>570</v>
      </c>
      <c r="G16" s="43">
        <f t="shared" si="0"/>
        <v>29782.5</v>
      </c>
      <c r="H16" s="42" t="s">
        <v>1</v>
      </c>
      <c r="I16" s="41" t="s">
        <v>0</v>
      </c>
    </row>
    <row r="17" spans="1:9" ht="15" customHeight="1" x14ac:dyDescent="0.25">
      <c r="A17" s="53">
        <f t="shared" si="1"/>
        <v>14</v>
      </c>
      <c r="B17" s="68">
        <v>46041</v>
      </c>
      <c r="C17" s="69" t="s">
        <v>14</v>
      </c>
      <c r="D17" s="70">
        <v>75008938</v>
      </c>
      <c r="E17" s="71">
        <v>61.4</v>
      </c>
      <c r="F17" s="43">
        <v>570</v>
      </c>
      <c r="G17" s="43">
        <f t="shared" si="0"/>
        <v>34998</v>
      </c>
      <c r="H17" s="42" t="s">
        <v>1</v>
      </c>
      <c r="I17" s="41" t="s">
        <v>0</v>
      </c>
    </row>
    <row r="18" spans="1:9" ht="15" customHeight="1" x14ac:dyDescent="0.25">
      <c r="A18" s="53">
        <f t="shared" si="1"/>
        <v>15</v>
      </c>
      <c r="B18" s="68">
        <v>46041</v>
      </c>
      <c r="C18" s="69" t="s">
        <v>14</v>
      </c>
      <c r="D18" s="70">
        <v>73213738</v>
      </c>
      <c r="E18" s="71">
        <v>61.7</v>
      </c>
      <c r="F18" s="43">
        <v>570</v>
      </c>
      <c r="G18" s="43">
        <f t="shared" si="0"/>
        <v>35169</v>
      </c>
      <c r="H18" s="42" t="s">
        <v>1</v>
      </c>
      <c r="I18" s="41" t="s">
        <v>0</v>
      </c>
    </row>
    <row r="19" spans="1:9" ht="15" customHeight="1" x14ac:dyDescent="0.25">
      <c r="A19" s="53">
        <f t="shared" si="1"/>
        <v>16</v>
      </c>
      <c r="B19" s="68">
        <v>46041</v>
      </c>
      <c r="C19" s="69" t="s">
        <v>14</v>
      </c>
      <c r="D19" s="70">
        <v>51394518</v>
      </c>
      <c r="E19" s="71">
        <v>60.85</v>
      </c>
      <c r="F19" s="43">
        <v>570</v>
      </c>
      <c r="G19" s="43">
        <f t="shared" si="0"/>
        <v>34684.5</v>
      </c>
      <c r="H19" s="42" t="s">
        <v>1</v>
      </c>
      <c r="I19" s="41" t="s">
        <v>0</v>
      </c>
    </row>
    <row r="20" spans="1:9" ht="15" customHeight="1" x14ac:dyDescent="0.25">
      <c r="A20" s="53">
        <f t="shared" si="1"/>
        <v>17</v>
      </c>
      <c r="B20" s="68">
        <v>46041</v>
      </c>
      <c r="C20" s="69" t="s">
        <v>14</v>
      </c>
      <c r="D20" s="70">
        <v>75271536</v>
      </c>
      <c r="E20" s="71">
        <v>62.25</v>
      </c>
      <c r="F20" s="43">
        <v>570</v>
      </c>
      <c r="G20" s="43">
        <f t="shared" si="0"/>
        <v>35482.5</v>
      </c>
      <c r="H20" s="42" t="s">
        <v>1</v>
      </c>
      <c r="I20" s="41" t="s">
        <v>0</v>
      </c>
    </row>
    <row r="21" spans="1:9" ht="15" customHeight="1" thickBot="1" x14ac:dyDescent="0.3">
      <c r="A21" s="50">
        <f t="shared" si="1"/>
        <v>18</v>
      </c>
      <c r="B21" s="72">
        <v>46041</v>
      </c>
      <c r="C21" s="73" t="s">
        <v>14</v>
      </c>
      <c r="D21" s="74">
        <v>73133654</v>
      </c>
      <c r="E21" s="75">
        <v>61.55</v>
      </c>
      <c r="F21" s="76">
        <v>570</v>
      </c>
      <c r="G21" s="76">
        <f t="shared" si="0"/>
        <v>35083.5</v>
      </c>
      <c r="H21" s="77" t="s">
        <v>1</v>
      </c>
      <c r="I21" s="78" t="s">
        <v>0</v>
      </c>
    </row>
    <row r="22" spans="1:9" ht="15" customHeight="1" x14ac:dyDescent="0.25">
      <c r="A22" s="63">
        <v>19</v>
      </c>
      <c r="B22" s="64">
        <v>46042</v>
      </c>
      <c r="C22" s="79" t="s">
        <v>15</v>
      </c>
      <c r="D22" s="66">
        <v>50030956</v>
      </c>
      <c r="E22" s="67">
        <v>59.85</v>
      </c>
      <c r="F22" s="43">
        <v>570</v>
      </c>
      <c r="G22" s="43">
        <f t="shared" ref="G22:G34" si="2">E22*F22</f>
        <v>34114.5</v>
      </c>
      <c r="H22" s="42" t="s">
        <v>1</v>
      </c>
      <c r="I22" s="41" t="s">
        <v>0</v>
      </c>
    </row>
    <row r="23" spans="1:9" ht="15" customHeight="1" x14ac:dyDescent="0.25">
      <c r="A23" s="53">
        <f>A22+1</f>
        <v>20</v>
      </c>
      <c r="B23" s="80">
        <v>46042</v>
      </c>
      <c r="C23" s="69" t="s">
        <v>15</v>
      </c>
      <c r="D23" s="81">
        <v>76667898</v>
      </c>
      <c r="E23" s="71">
        <v>62.05</v>
      </c>
      <c r="F23" s="43">
        <v>570</v>
      </c>
      <c r="G23" s="43">
        <f t="shared" si="2"/>
        <v>35368.5</v>
      </c>
      <c r="H23" s="42" t="s">
        <v>1</v>
      </c>
      <c r="I23" s="41" t="s">
        <v>0</v>
      </c>
    </row>
    <row r="24" spans="1:9" ht="15" customHeight="1" x14ac:dyDescent="0.25">
      <c r="A24" s="53">
        <f t="shared" ref="A24:A34" si="3">A23+1</f>
        <v>21</v>
      </c>
      <c r="B24" s="80">
        <v>46042</v>
      </c>
      <c r="C24" s="69" t="s">
        <v>15</v>
      </c>
      <c r="D24" s="81">
        <v>75483396</v>
      </c>
      <c r="E24" s="71">
        <v>61.85</v>
      </c>
      <c r="F24" s="43">
        <v>570</v>
      </c>
      <c r="G24" s="43">
        <f t="shared" si="2"/>
        <v>35254.5</v>
      </c>
      <c r="H24" s="42" t="s">
        <v>1</v>
      </c>
      <c r="I24" s="41" t="s">
        <v>0</v>
      </c>
    </row>
    <row r="25" spans="1:9" ht="15" customHeight="1" x14ac:dyDescent="0.25">
      <c r="A25" s="53">
        <f t="shared" si="3"/>
        <v>22</v>
      </c>
      <c r="B25" s="80">
        <v>46042</v>
      </c>
      <c r="C25" s="69" t="s">
        <v>15</v>
      </c>
      <c r="D25" s="81">
        <v>75538892</v>
      </c>
      <c r="E25" s="71">
        <v>62.05</v>
      </c>
      <c r="F25" s="43">
        <v>570</v>
      </c>
      <c r="G25" s="43">
        <f t="shared" si="2"/>
        <v>35368.5</v>
      </c>
      <c r="H25" s="42" t="s">
        <v>1</v>
      </c>
      <c r="I25" s="41" t="s">
        <v>0</v>
      </c>
    </row>
    <row r="26" spans="1:9" ht="15" customHeight="1" x14ac:dyDescent="0.25">
      <c r="A26" s="53">
        <f t="shared" si="3"/>
        <v>23</v>
      </c>
      <c r="B26" s="80">
        <v>46042</v>
      </c>
      <c r="C26" s="69" t="s">
        <v>15</v>
      </c>
      <c r="D26" s="81">
        <v>73924359</v>
      </c>
      <c r="E26" s="71">
        <v>61.7</v>
      </c>
      <c r="F26" s="43">
        <v>570</v>
      </c>
      <c r="G26" s="43">
        <f t="shared" si="2"/>
        <v>35169</v>
      </c>
      <c r="H26" s="42" t="s">
        <v>1</v>
      </c>
      <c r="I26" s="41" t="s">
        <v>0</v>
      </c>
    </row>
    <row r="27" spans="1:9" ht="15" customHeight="1" x14ac:dyDescent="0.25">
      <c r="A27" s="53">
        <f t="shared" si="3"/>
        <v>24</v>
      </c>
      <c r="B27" s="80">
        <v>46042</v>
      </c>
      <c r="C27" s="69" t="s">
        <v>15</v>
      </c>
      <c r="D27" s="81">
        <v>73143208</v>
      </c>
      <c r="E27" s="71">
        <v>61.45</v>
      </c>
      <c r="F27" s="43">
        <v>570</v>
      </c>
      <c r="G27" s="43">
        <f t="shared" si="2"/>
        <v>35026.5</v>
      </c>
      <c r="H27" s="42" t="s">
        <v>1</v>
      </c>
      <c r="I27" s="41" t="s">
        <v>0</v>
      </c>
    </row>
    <row r="28" spans="1:9" ht="15" customHeight="1" x14ac:dyDescent="0.25">
      <c r="A28" s="53">
        <f t="shared" si="3"/>
        <v>25</v>
      </c>
      <c r="B28" s="80">
        <v>46042</v>
      </c>
      <c r="C28" s="69" t="s">
        <v>15</v>
      </c>
      <c r="D28" s="81">
        <v>73910416</v>
      </c>
      <c r="E28" s="71">
        <v>61.8</v>
      </c>
      <c r="F28" s="43">
        <v>570</v>
      </c>
      <c r="G28" s="43">
        <f t="shared" si="2"/>
        <v>35226</v>
      </c>
      <c r="H28" s="42" t="s">
        <v>1</v>
      </c>
      <c r="I28" s="41" t="s">
        <v>0</v>
      </c>
    </row>
    <row r="29" spans="1:9" ht="15" customHeight="1" x14ac:dyDescent="0.25">
      <c r="A29" s="53">
        <f t="shared" si="3"/>
        <v>26</v>
      </c>
      <c r="B29" s="80">
        <v>46042</v>
      </c>
      <c r="C29" s="69" t="s">
        <v>15</v>
      </c>
      <c r="D29" s="81">
        <v>51633949</v>
      </c>
      <c r="E29" s="71">
        <v>51.9</v>
      </c>
      <c r="F29" s="43">
        <v>570</v>
      </c>
      <c r="G29" s="43">
        <f t="shared" si="2"/>
        <v>29583</v>
      </c>
      <c r="H29" s="42" t="s">
        <v>1</v>
      </c>
      <c r="I29" s="41" t="s">
        <v>0</v>
      </c>
    </row>
    <row r="30" spans="1:9" ht="15" customHeight="1" x14ac:dyDescent="0.25">
      <c r="A30" s="53">
        <f t="shared" si="3"/>
        <v>27</v>
      </c>
      <c r="B30" s="80">
        <v>46042</v>
      </c>
      <c r="C30" s="69" t="s">
        <v>15</v>
      </c>
      <c r="D30" s="81">
        <v>51456705</v>
      </c>
      <c r="E30" s="71">
        <v>60.85</v>
      </c>
      <c r="F30" s="43">
        <v>570</v>
      </c>
      <c r="G30" s="43">
        <f t="shared" si="2"/>
        <v>34684.5</v>
      </c>
      <c r="H30" s="42" t="s">
        <v>1</v>
      </c>
      <c r="I30" s="41" t="s">
        <v>0</v>
      </c>
    </row>
    <row r="31" spans="1:9" ht="15" customHeight="1" x14ac:dyDescent="0.25">
      <c r="A31" s="53">
        <f t="shared" si="3"/>
        <v>28</v>
      </c>
      <c r="B31" s="80">
        <v>46042</v>
      </c>
      <c r="C31" s="69" t="s">
        <v>15</v>
      </c>
      <c r="D31" s="81">
        <v>53975074</v>
      </c>
      <c r="E31" s="71">
        <v>51.75</v>
      </c>
      <c r="F31" s="43">
        <v>570</v>
      </c>
      <c r="G31" s="43">
        <f t="shared" si="2"/>
        <v>29497.5</v>
      </c>
      <c r="H31" s="42" t="s">
        <v>1</v>
      </c>
      <c r="I31" s="41" t="s">
        <v>0</v>
      </c>
    </row>
    <row r="32" spans="1:9" ht="15" customHeight="1" x14ac:dyDescent="0.25">
      <c r="A32" s="53">
        <f t="shared" si="3"/>
        <v>29</v>
      </c>
      <c r="B32" s="80">
        <v>46042</v>
      </c>
      <c r="C32" s="69" t="s">
        <v>15</v>
      </c>
      <c r="D32" s="81">
        <v>74901463</v>
      </c>
      <c r="E32" s="71">
        <v>62.1</v>
      </c>
      <c r="F32" s="43">
        <v>570</v>
      </c>
      <c r="G32" s="43">
        <f t="shared" si="2"/>
        <v>35397</v>
      </c>
      <c r="H32" s="42" t="s">
        <v>1</v>
      </c>
      <c r="I32" s="41" t="s">
        <v>0</v>
      </c>
    </row>
    <row r="33" spans="1:9" ht="15" customHeight="1" x14ac:dyDescent="0.25">
      <c r="A33" s="53">
        <f t="shared" si="3"/>
        <v>30</v>
      </c>
      <c r="B33" s="80">
        <v>46042</v>
      </c>
      <c r="C33" s="69" t="s">
        <v>15</v>
      </c>
      <c r="D33" s="81">
        <v>76136399</v>
      </c>
      <c r="E33" s="71">
        <v>62</v>
      </c>
      <c r="F33" s="43">
        <v>570</v>
      </c>
      <c r="G33" s="43">
        <f t="shared" si="2"/>
        <v>35340</v>
      </c>
      <c r="H33" s="42" t="s">
        <v>1</v>
      </c>
      <c r="I33" s="41" t="s">
        <v>0</v>
      </c>
    </row>
    <row r="34" spans="1:9" ht="15" customHeight="1" x14ac:dyDescent="0.25">
      <c r="A34" s="51">
        <f t="shared" si="3"/>
        <v>31</v>
      </c>
      <c r="B34" s="82">
        <v>46042</v>
      </c>
      <c r="C34" s="83" t="s">
        <v>15</v>
      </c>
      <c r="D34" s="84">
        <v>76354190</v>
      </c>
      <c r="E34" s="85">
        <v>62.05</v>
      </c>
      <c r="F34" s="43">
        <v>570</v>
      </c>
      <c r="G34" s="43">
        <f t="shared" si="2"/>
        <v>35368.5</v>
      </c>
      <c r="H34" s="42" t="s">
        <v>1</v>
      </c>
      <c r="I34" s="41" t="s">
        <v>0</v>
      </c>
    </row>
    <row r="35" spans="1:9" ht="16.5" customHeight="1" x14ac:dyDescent="0.25">
      <c r="A35" s="26">
        <v>32</v>
      </c>
      <c r="B35" s="25">
        <v>46043</v>
      </c>
      <c r="C35" s="86" t="s">
        <v>16</v>
      </c>
      <c r="D35" s="87">
        <v>57967408</v>
      </c>
      <c r="E35" s="88">
        <v>60.85</v>
      </c>
      <c r="F35" s="49">
        <v>570</v>
      </c>
      <c r="G35" s="49">
        <f t="shared" ref="G35:G42" si="4">E35*F35</f>
        <v>34684.5</v>
      </c>
      <c r="H35" s="48" t="s">
        <v>1</v>
      </c>
      <c r="I35" s="47" t="s">
        <v>0</v>
      </c>
    </row>
    <row r="36" spans="1:9" ht="16.5" customHeight="1" x14ac:dyDescent="0.25">
      <c r="A36" s="9">
        <f>A35+1</f>
        <v>33</v>
      </c>
      <c r="B36" s="13">
        <v>46043</v>
      </c>
      <c r="C36" s="89" t="s">
        <v>16</v>
      </c>
      <c r="D36" s="70">
        <v>54068135</v>
      </c>
      <c r="E36" s="71">
        <v>60.85</v>
      </c>
      <c r="F36" s="43">
        <v>570</v>
      </c>
      <c r="G36" s="43">
        <f t="shared" si="4"/>
        <v>34684.5</v>
      </c>
      <c r="H36" s="42" t="s">
        <v>1</v>
      </c>
      <c r="I36" s="41" t="s">
        <v>0</v>
      </c>
    </row>
    <row r="37" spans="1:9" ht="16.5" customHeight="1" x14ac:dyDescent="0.25">
      <c r="A37" s="9">
        <f t="shared" ref="A37:A42" si="5">A36+1</f>
        <v>34</v>
      </c>
      <c r="B37" s="13">
        <v>46043</v>
      </c>
      <c r="C37" s="89" t="s">
        <v>16</v>
      </c>
      <c r="D37" s="70">
        <v>53871976</v>
      </c>
      <c r="E37" s="71">
        <v>60.9</v>
      </c>
      <c r="F37" s="43">
        <v>570</v>
      </c>
      <c r="G37" s="43">
        <f t="shared" si="4"/>
        <v>34713</v>
      </c>
      <c r="H37" s="42" t="s">
        <v>1</v>
      </c>
      <c r="I37" s="41" t="s">
        <v>0</v>
      </c>
    </row>
    <row r="38" spans="1:9" ht="16.5" customHeight="1" x14ac:dyDescent="0.25">
      <c r="A38" s="9">
        <f t="shared" si="5"/>
        <v>35</v>
      </c>
      <c r="B38" s="13">
        <v>46043</v>
      </c>
      <c r="C38" s="89" t="s">
        <v>16</v>
      </c>
      <c r="D38" s="70">
        <v>57385312</v>
      </c>
      <c r="E38" s="71">
        <v>60.8</v>
      </c>
      <c r="F38" s="43">
        <v>570</v>
      </c>
      <c r="G38" s="43">
        <f t="shared" si="4"/>
        <v>34656</v>
      </c>
      <c r="H38" s="42" t="s">
        <v>1</v>
      </c>
      <c r="I38" s="41" t="s">
        <v>0</v>
      </c>
    </row>
    <row r="39" spans="1:9" ht="16.5" customHeight="1" x14ac:dyDescent="0.25">
      <c r="A39" s="9">
        <f t="shared" si="5"/>
        <v>36</v>
      </c>
      <c r="B39" s="13">
        <v>46043</v>
      </c>
      <c r="C39" s="89" t="s">
        <v>16</v>
      </c>
      <c r="D39" s="70">
        <v>50975663</v>
      </c>
      <c r="E39" s="71">
        <v>60.75</v>
      </c>
      <c r="F39" s="43">
        <v>570</v>
      </c>
      <c r="G39" s="43">
        <f t="shared" si="4"/>
        <v>34627.5</v>
      </c>
      <c r="H39" s="42" t="s">
        <v>1</v>
      </c>
      <c r="I39" s="41" t="s">
        <v>0</v>
      </c>
    </row>
    <row r="40" spans="1:9" ht="16.5" customHeight="1" x14ac:dyDescent="0.25">
      <c r="A40" s="9">
        <f t="shared" si="5"/>
        <v>37</v>
      </c>
      <c r="B40" s="13">
        <v>46043</v>
      </c>
      <c r="C40" s="89" t="s">
        <v>16</v>
      </c>
      <c r="D40" s="70">
        <v>54641246</v>
      </c>
      <c r="E40" s="71">
        <v>60.7</v>
      </c>
      <c r="F40" s="43">
        <v>570</v>
      </c>
      <c r="G40" s="43">
        <f t="shared" si="4"/>
        <v>34599</v>
      </c>
      <c r="H40" s="42" t="s">
        <v>1</v>
      </c>
      <c r="I40" s="41" t="s">
        <v>0</v>
      </c>
    </row>
    <row r="41" spans="1:9" ht="16.5" customHeight="1" x14ac:dyDescent="0.25">
      <c r="A41" s="9">
        <f t="shared" si="5"/>
        <v>38</v>
      </c>
      <c r="B41" s="13">
        <v>46043</v>
      </c>
      <c r="C41" s="89" t="s">
        <v>16</v>
      </c>
      <c r="D41" s="70">
        <v>50975242</v>
      </c>
      <c r="E41" s="71">
        <v>60.85</v>
      </c>
      <c r="F41" s="43">
        <v>570</v>
      </c>
      <c r="G41" s="43">
        <f t="shared" si="4"/>
        <v>34684.5</v>
      </c>
      <c r="H41" s="42" t="s">
        <v>1</v>
      </c>
      <c r="I41" s="41" t="s">
        <v>0</v>
      </c>
    </row>
    <row r="42" spans="1:9" ht="16.5" customHeight="1" thickBot="1" x14ac:dyDescent="0.3">
      <c r="A42" s="3">
        <f t="shared" si="5"/>
        <v>39</v>
      </c>
      <c r="B42" s="27">
        <v>46043</v>
      </c>
      <c r="C42" s="90" t="s">
        <v>16</v>
      </c>
      <c r="D42" s="74">
        <v>53873477</v>
      </c>
      <c r="E42" s="75">
        <v>60.75</v>
      </c>
      <c r="F42" s="43">
        <v>570</v>
      </c>
      <c r="G42" s="43">
        <f t="shared" si="4"/>
        <v>34627.5</v>
      </c>
      <c r="H42" s="42" t="s">
        <v>1</v>
      </c>
      <c r="I42" s="41" t="s">
        <v>0</v>
      </c>
    </row>
    <row r="43" spans="1:9" ht="15" customHeight="1" x14ac:dyDescent="0.25">
      <c r="A43" s="29">
        <v>40</v>
      </c>
      <c r="B43" s="27">
        <v>46044</v>
      </c>
      <c r="C43" s="91" t="s">
        <v>17</v>
      </c>
      <c r="D43" s="87">
        <v>51258523</v>
      </c>
      <c r="E43" s="92">
        <v>60.8</v>
      </c>
      <c r="F43" s="49">
        <v>570</v>
      </c>
      <c r="G43" s="49">
        <f t="shared" ref="G43:G52" si="6">E43*F43</f>
        <v>34656</v>
      </c>
      <c r="H43" s="48" t="s">
        <v>1</v>
      </c>
      <c r="I43" s="47" t="s">
        <v>0</v>
      </c>
    </row>
    <row r="44" spans="1:9" ht="15" customHeight="1" x14ac:dyDescent="0.25">
      <c r="A44" s="8">
        <f>A43+1</f>
        <v>41</v>
      </c>
      <c r="B44" s="13">
        <v>46044</v>
      </c>
      <c r="C44" s="69" t="s">
        <v>17</v>
      </c>
      <c r="D44" s="70">
        <v>50699883</v>
      </c>
      <c r="E44" s="71">
        <v>60.8</v>
      </c>
      <c r="F44" s="43">
        <v>570</v>
      </c>
      <c r="G44" s="43">
        <f t="shared" si="6"/>
        <v>34656</v>
      </c>
      <c r="H44" s="42" t="s">
        <v>1</v>
      </c>
      <c r="I44" s="41" t="s">
        <v>0</v>
      </c>
    </row>
    <row r="45" spans="1:9" ht="15" customHeight="1" x14ac:dyDescent="0.25">
      <c r="A45" s="8">
        <f t="shared" ref="A45:A52" si="7">A44+1</f>
        <v>42</v>
      </c>
      <c r="B45" s="13">
        <v>46044</v>
      </c>
      <c r="C45" s="69" t="s">
        <v>17</v>
      </c>
      <c r="D45" s="70">
        <v>74940578</v>
      </c>
      <c r="E45" s="71">
        <v>61.5</v>
      </c>
      <c r="F45" s="43">
        <v>570</v>
      </c>
      <c r="G45" s="43">
        <f t="shared" si="6"/>
        <v>35055</v>
      </c>
      <c r="H45" s="42" t="s">
        <v>1</v>
      </c>
      <c r="I45" s="41" t="s">
        <v>0</v>
      </c>
    </row>
    <row r="46" spans="1:9" ht="15" customHeight="1" x14ac:dyDescent="0.25">
      <c r="A46" s="8">
        <f t="shared" si="7"/>
        <v>43</v>
      </c>
      <c r="B46" s="13">
        <v>46044</v>
      </c>
      <c r="C46" s="69" t="s">
        <v>17</v>
      </c>
      <c r="D46" s="70">
        <v>57650194</v>
      </c>
      <c r="E46" s="71">
        <v>60.85</v>
      </c>
      <c r="F46" s="43">
        <v>570</v>
      </c>
      <c r="G46" s="43">
        <f t="shared" si="6"/>
        <v>34684.5</v>
      </c>
      <c r="H46" s="42" t="s">
        <v>1</v>
      </c>
      <c r="I46" s="41" t="s">
        <v>0</v>
      </c>
    </row>
    <row r="47" spans="1:9" ht="15" customHeight="1" x14ac:dyDescent="0.25">
      <c r="A47" s="8">
        <f t="shared" si="7"/>
        <v>44</v>
      </c>
      <c r="B47" s="13">
        <v>46044</v>
      </c>
      <c r="C47" s="69" t="s">
        <v>18</v>
      </c>
      <c r="D47" s="70">
        <v>73156408</v>
      </c>
      <c r="E47" s="71">
        <v>61.45</v>
      </c>
      <c r="F47" s="43">
        <v>570</v>
      </c>
      <c r="G47" s="43">
        <f t="shared" si="6"/>
        <v>35026.5</v>
      </c>
      <c r="H47" s="42" t="s">
        <v>1</v>
      </c>
      <c r="I47" s="41" t="s">
        <v>0</v>
      </c>
    </row>
    <row r="48" spans="1:9" ht="15" customHeight="1" x14ac:dyDescent="0.25">
      <c r="A48" s="8">
        <f t="shared" si="7"/>
        <v>45</v>
      </c>
      <c r="B48" s="13">
        <v>46044</v>
      </c>
      <c r="C48" s="69" t="s">
        <v>18</v>
      </c>
      <c r="D48" s="70">
        <v>53870762</v>
      </c>
      <c r="E48" s="71">
        <v>60.9</v>
      </c>
      <c r="F48" s="43">
        <v>570</v>
      </c>
      <c r="G48" s="43">
        <f t="shared" si="6"/>
        <v>34713</v>
      </c>
      <c r="H48" s="42" t="s">
        <v>1</v>
      </c>
      <c r="I48" s="41" t="s">
        <v>0</v>
      </c>
    </row>
    <row r="49" spans="1:9" ht="15" customHeight="1" x14ac:dyDescent="0.25">
      <c r="A49" s="8">
        <f t="shared" si="7"/>
        <v>46</v>
      </c>
      <c r="B49" s="13">
        <v>46044</v>
      </c>
      <c r="C49" s="69" t="s">
        <v>18</v>
      </c>
      <c r="D49" s="70">
        <v>74979972</v>
      </c>
      <c r="E49" s="71">
        <v>60.75</v>
      </c>
      <c r="F49" s="43">
        <v>570</v>
      </c>
      <c r="G49" s="43">
        <f t="shared" si="6"/>
        <v>34627.5</v>
      </c>
      <c r="H49" s="42" t="s">
        <v>1</v>
      </c>
      <c r="I49" s="41" t="s">
        <v>0</v>
      </c>
    </row>
    <row r="50" spans="1:9" ht="15" customHeight="1" x14ac:dyDescent="0.25">
      <c r="A50" s="8">
        <f t="shared" si="7"/>
        <v>47</v>
      </c>
      <c r="B50" s="13">
        <v>46044</v>
      </c>
      <c r="C50" s="69" t="s">
        <v>18</v>
      </c>
      <c r="D50" s="70">
        <v>74940511</v>
      </c>
      <c r="E50" s="71">
        <v>61.35</v>
      </c>
      <c r="F50" s="43">
        <v>570</v>
      </c>
      <c r="G50" s="43">
        <f t="shared" si="6"/>
        <v>34969.5</v>
      </c>
      <c r="H50" s="42" t="s">
        <v>1</v>
      </c>
      <c r="I50" s="41" t="s">
        <v>0</v>
      </c>
    </row>
    <row r="51" spans="1:9" ht="15" customHeight="1" x14ac:dyDescent="0.25">
      <c r="A51" s="8">
        <f t="shared" si="7"/>
        <v>48</v>
      </c>
      <c r="B51" s="13">
        <v>46044</v>
      </c>
      <c r="C51" s="69" t="s">
        <v>18</v>
      </c>
      <c r="D51" s="70">
        <v>57399529</v>
      </c>
      <c r="E51" s="71">
        <v>60.85</v>
      </c>
      <c r="F51" s="43">
        <v>570</v>
      </c>
      <c r="G51" s="43">
        <f t="shared" si="6"/>
        <v>34684.5</v>
      </c>
      <c r="H51" s="42" t="s">
        <v>1</v>
      </c>
      <c r="I51" s="41" t="s">
        <v>0</v>
      </c>
    </row>
    <row r="52" spans="1:9" ht="15" customHeight="1" thickBot="1" x14ac:dyDescent="0.3">
      <c r="A52" s="21">
        <f t="shared" si="7"/>
        <v>49</v>
      </c>
      <c r="B52" s="22">
        <v>46044</v>
      </c>
      <c r="C52" s="83" t="s">
        <v>18</v>
      </c>
      <c r="D52" s="93">
        <v>50215367</v>
      </c>
      <c r="E52" s="92">
        <v>60.85</v>
      </c>
      <c r="F52" s="12">
        <v>570</v>
      </c>
      <c r="G52" s="12">
        <f t="shared" si="6"/>
        <v>34684.5</v>
      </c>
      <c r="H52" s="11" t="s">
        <v>1</v>
      </c>
      <c r="I52" s="10" t="s">
        <v>0</v>
      </c>
    </row>
    <row r="53" spans="1:9" x14ac:dyDescent="0.25">
      <c r="A53" s="15">
        <v>50</v>
      </c>
      <c r="B53" s="19">
        <v>46044</v>
      </c>
      <c r="C53" s="94" t="s">
        <v>19</v>
      </c>
      <c r="D53" s="66">
        <v>53873618</v>
      </c>
      <c r="E53" s="67">
        <v>60.85</v>
      </c>
      <c r="F53" s="46">
        <v>570</v>
      </c>
      <c r="G53" s="46">
        <f t="shared" ref="G53:G63" si="8">E53*F53</f>
        <v>34684.5</v>
      </c>
      <c r="H53" s="45" t="s">
        <v>1</v>
      </c>
      <c r="I53" s="44" t="s">
        <v>0</v>
      </c>
    </row>
    <row r="54" spans="1:9" x14ac:dyDescent="0.25">
      <c r="A54" s="9">
        <f>A53+1</f>
        <v>51</v>
      </c>
      <c r="B54" s="13">
        <v>46044</v>
      </c>
      <c r="C54" s="95" t="s">
        <v>19</v>
      </c>
      <c r="D54" s="70">
        <v>53873105</v>
      </c>
      <c r="E54" s="71">
        <v>60.9</v>
      </c>
      <c r="F54" s="43">
        <v>570</v>
      </c>
      <c r="G54" s="43">
        <f t="shared" si="8"/>
        <v>34713</v>
      </c>
      <c r="H54" s="42" t="s">
        <v>1</v>
      </c>
      <c r="I54" s="41" t="s">
        <v>0</v>
      </c>
    </row>
    <row r="55" spans="1:9" x14ac:dyDescent="0.25">
      <c r="A55" s="9">
        <f t="shared" ref="A55:A63" si="9">A54+1</f>
        <v>52</v>
      </c>
      <c r="B55" s="13">
        <v>46044</v>
      </c>
      <c r="C55" s="95" t="s">
        <v>19</v>
      </c>
      <c r="D55" s="70">
        <v>50214998</v>
      </c>
      <c r="E55" s="71">
        <v>60.7</v>
      </c>
      <c r="F55" s="43">
        <v>570</v>
      </c>
      <c r="G55" s="43">
        <f t="shared" si="8"/>
        <v>34599</v>
      </c>
      <c r="H55" s="42" t="s">
        <v>1</v>
      </c>
      <c r="I55" s="41" t="s">
        <v>0</v>
      </c>
    </row>
    <row r="56" spans="1:9" x14ac:dyDescent="0.25">
      <c r="A56" s="9">
        <f t="shared" si="9"/>
        <v>53</v>
      </c>
      <c r="B56" s="13">
        <v>46044</v>
      </c>
      <c r="C56" s="95" t="s">
        <v>19</v>
      </c>
      <c r="D56" s="70">
        <v>57643892</v>
      </c>
      <c r="E56" s="71">
        <v>60.85</v>
      </c>
      <c r="F56" s="43">
        <v>570</v>
      </c>
      <c r="G56" s="43">
        <f t="shared" si="8"/>
        <v>34684.5</v>
      </c>
      <c r="H56" s="42" t="s">
        <v>1</v>
      </c>
      <c r="I56" s="41" t="s">
        <v>0</v>
      </c>
    </row>
    <row r="57" spans="1:9" x14ac:dyDescent="0.25">
      <c r="A57" s="9">
        <f t="shared" si="9"/>
        <v>54</v>
      </c>
      <c r="B57" s="13">
        <v>46044</v>
      </c>
      <c r="C57" s="95" t="s">
        <v>19</v>
      </c>
      <c r="D57" s="70">
        <v>57094260</v>
      </c>
      <c r="E57" s="71">
        <v>60.9</v>
      </c>
      <c r="F57" s="43">
        <v>570</v>
      </c>
      <c r="G57" s="43">
        <f t="shared" si="8"/>
        <v>34713</v>
      </c>
      <c r="H57" s="42" t="s">
        <v>1</v>
      </c>
      <c r="I57" s="41" t="s">
        <v>0</v>
      </c>
    </row>
    <row r="58" spans="1:9" x14ac:dyDescent="0.25">
      <c r="A58" s="9">
        <f t="shared" si="9"/>
        <v>55</v>
      </c>
      <c r="B58" s="13">
        <v>46044</v>
      </c>
      <c r="C58" s="95" t="s">
        <v>19</v>
      </c>
      <c r="D58" s="70">
        <v>57504599</v>
      </c>
      <c r="E58" s="71">
        <v>60.8</v>
      </c>
      <c r="F58" s="43">
        <v>570</v>
      </c>
      <c r="G58" s="43">
        <f t="shared" si="8"/>
        <v>34656</v>
      </c>
      <c r="H58" s="42" t="s">
        <v>1</v>
      </c>
      <c r="I58" s="41" t="s">
        <v>0</v>
      </c>
    </row>
    <row r="59" spans="1:9" x14ac:dyDescent="0.25">
      <c r="A59" s="9">
        <f t="shared" si="9"/>
        <v>56</v>
      </c>
      <c r="B59" s="13">
        <v>46044</v>
      </c>
      <c r="C59" s="95" t="s">
        <v>19</v>
      </c>
      <c r="D59" s="70">
        <v>50653179</v>
      </c>
      <c r="E59" s="71">
        <v>60.8</v>
      </c>
      <c r="F59" s="43">
        <v>570</v>
      </c>
      <c r="G59" s="43">
        <f t="shared" si="8"/>
        <v>34656</v>
      </c>
      <c r="H59" s="42" t="s">
        <v>1</v>
      </c>
      <c r="I59" s="41" t="s">
        <v>0</v>
      </c>
    </row>
    <row r="60" spans="1:9" x14ac:dyDescent="0.25">
      <c r="A60" s="9">
        <f t="shared" si="9"/>
        <v>57</v>
      </c>
      <c r="B60" s="13">
        <v>46044</v>
      </c>
      <c r="C60" s="95" t="s">
        <v>19</v>
      </c>
      <c r="D60" s="70">
        <v>53871075</v>
      </c>
      <c r="E60" s="71">
        <v>60.7</v>
      </c>
      <c r="F60" s="43">
        <v>570</v>
      </c>
      <c r="G60" s="43">
        <f t="shared" si="8"/>
        <v>34599</v>
      </c>
      <c r="H60" s="42" t="s">
        <v>1</v>
      </c>
      <c r="I60" s="41" t="s">
        <v>0</v>
      </c>
    </row>
    <row r="61" spans="1:9" x14ac:dyDescent="0.25">
      <c r="A61" s="9">
        <f t="shared" si="9"/>
        <v>58</v>
      </c>
      <c r="B61" s="13">
        <v>46044</v>
      </c>
      <c r="C61" s="95" t="s">
        <v>19</v>
      </c>
      <c r="D61" s="70">
        <v>51847267</v>
      </c>
      <c r="E61" s="71">
        <v>60.9</v>
      </c>
      <c r="F61" s="43">
        <v>570</v>
      </c>
      <c r="G61" s="43">
        <f t="shared" si="8"/>
        <v>34713</v>
      </c>
      <c r="H61" s="42" t="s">
        <v>1</v>
      </c>
      <c r="I61" s="41" t="s">
        <v>0</v>
      </c>
    </row>
    <row r="62" spans="1:9" x14ac:dyDescent="0.25">
      <c r="A62" s="9">
        <f t="shared" si="9"/>
        <v>59</v>
      </c>
      <c r="B62" s="13">
        <v>46044</v>
      </c>
      <c r="C62" s="95" t="s">
        <v>19</v>
      </c>
      <c r="D62" s="70">
        <v>75004366</v>
      </c>
      <c r="E62" s="71">
        <v>60.75</v>
      </c>
      <c r="F62" s="43">
        <v>570</v>
      </c>
      <c r="G62" s="43">
        <f t="shared" si="8"/>
        <v>34627.5</v>
      </c>
      <c r="H62" s="42" t="s">
        <v>1</v>
      </c>
      <c r="I62" s="41" t="s">
        <v>0</v>
      </c>
    </row>
    <row r="63" spans="1:9" ht="14.4" thickBot="1" x14ac:dyDescent="0.3">
      <c r="A63" s="3">
        <f t="shared" si="9"/>
        <v>60</v>
      </c>
      <c r="B63" s="7">
        <v>46044</v>
      </c>
      <c r="C63" s="96" t="s">
        <v>19</v>
      </c>
      <c r="D63" s="97">
        <v>56909575</v>
      </c>
      <c r="E63" s="75">
        <v>61.2</v>
      </c>
      <c r="F63" s="6">
        <v>570</v>
      </c>
      <c r="G63" s="6">
        <f t="shared" si="8"/>
        <v>34884</v>
      </c>
      <c r="H63" s="5" t="s">
        <v>1</v>
      </c>
      <c r="I63" s="4" t="s">
        <v>0</v>
      </c>
    </row>
    <row r="64" spans="1:9" x14ac:dyDescent="0.25">
      <c r="A64" s="15">
        <v>61</v>
      </c>
      <c r="B64" s="19">
        <v>46045</v>
      </c>
      <c r="C64" s="98" t="s">
        <v>20</v>
      </c>
      <c r="D64" s="99">
        <v>75033266</v>
      </c>
      <c r="E64" s="100">
        <v>61.85</v>
      </c>
      <c r="F64" s="46">
        <v>570</v>
      </c>
      <c r="G64" s="46">
        <f t="shared" ref="G64:G72" si="10">E64*F64</f>
        <v>35254.5</v>
      </c>
      <c r="H64" s="45" t="s">
        <v>1</v>
      </c>
      <c r="I64" s="44" t="s">
        <v>0</v>
      </c>
    </row>
    <row r="65" spans="1:9" x14ac:dyDescent="0.25">
      <c r="A65" s="9">
        <f>A64+1</f>
        <v>62</v>
      </c>
      <c r="B65" s="13">
        <v>46045</v>
      </c>
      <c r="C65" s="101" t="s">
        <v>20</v>
      </c>
      <c r="D65" s="102">
        <v>50771955</v>
      </c>
      <c r="E65" s="103">
        <v>52.2</v>
      </c>
      <c r="F65" s="43">
        <v>570</v>
      </c>
      <c r="G65" s="43">
        <f t="shared" si="10"/>
        <v>29754</v>
      </c>
      <c r="H65" s="42" t="s">
        <v>1</v>
      </c>
      <c r="I65" s="41" t="s">
        <v>0</v>
      </c>
    </row>
    <row r="66" spans="1:9" x14ac:dyDescent="0.25">
      <c r="A66" s="9">
        <f t="shared" ref="A66:A72" si="11">A65+1</f>
        <v>63</v>
      </c>
      <c r="B66" s="13">
        <v>46045</v>
      </c>
      <c r="C66" s="101" t="s">
        <v>20</v>
      </c>
      <c r="D66" s="102">
        <v>70552773</v>
      </c>
      <c r="E66" s="103">
        <v>52.65</v>
      </c>
      <c r="F66" s="43">
        <v>570</v>
      </c>
      <c r="G66" s="43">
        <f t="shared" si="10"/>
        <v>30010.5</v>
      </c>
      <c r="H66" s="42" t="s">
        <v>1</v>
      </c>
      <c r="I66" s="41" t="s">
        <v>0</v>
      </c>
    </row>
    <row r="67" spans="1:9" x14ac:dyDescent="0.25">
      <c r="A67" s="9">
        <f t="shared" si="11"/>
        <v>64</v>
      </c>
      <c r="B67" s="13">
        <v>46045</v>
      </c>
      <c r="C67" s="101" t="s">
        <v>20</v>
      </c>
      <c r="D67" s="102">
        <v>74244435</v>
      </c>
      <c r="E67" s="103">
        <v>52.6</v>
      </c>
      <c r="F67" s="43">
        <v>570</v>
      </c>
      <c r="G67" s="43">
        <f t="shared" si="10"/>
        <v>29982</v>
      </c>
      <c r="H67" s="42" t="s">
        <v>1</v>
      </c>
      <c r="I67" s="41" t="s">
        <v>0</v>
      </c>
    </row>
    <row r="68" spans="1:9" x14ac:dyDescent="0.25">
      <c r="A68" s="9">
        <f t="shared" si="11"/>
        <v>65</v>
      </c>
      <c r="B68" s="13">
        <v>46045</v>
      </c>
      <c r="C68" s="101" t="s">
        <v>20</v>
      </c>
      <c r="D68" s="102">
        <v>50721687</v>
      </c>
      <c r="E68" s="103">
        <v>52.45</v>
      </c>
      <c r="F68" s="43">
        <v>570</v>
      </c>
      <c r="G68" s="43">
        <f t="shared" si="10"/>
        <v>29896.5</v>
      </c>
      <c r="H68" s="42" t="s">
        <v>1</v>
      </c>
      <c r="I68" s="41" t="s">
        <v>0</v>
      </c>
    </row>
    <row r="69" spans="1:9" x14ac:dyDescent="0.25">
      <c r="A69" s="9">
        <f t="shared" si="11"/>
        <v>66</v>
      </c>
      <c r="B69" s="13">
        <v>46045</v>
      </c>
      <c r="C69" s="101" t="s">
        <v>20</v>
      </c>
      <c r="D69" s="102">
        <v>54027016</v>
      </c>
      <c r="E69" s="103">
        <v>61.15</v>
      </c>
      <c r="F69" s="43">
        <v>570</v>
      </c>
      <c r="G69" s="43">
        <f t="shared" si="10"/>
        <v>34855.5</v>
      </c>
      <c r="H69" s="42" t="s">
        <v>1</v>
      </c>
      <c r="I69" s="41" t="s">
        <v>0</v>
      </c>
    </row>
    <row r="70" spans="1:9" x14ac:dyDescent="0.25">
      <c r="A70" s="9">
        <f t="shared" si="11"/>
        <v>67</v>
      </c>
      <c r="B70" s="13">
        <v>46045</v>
      </c>
      <c r="C70" s="101" t="s">
        <v>20</v>
      </c>
      <c r="D70" s="102">
        <v>54718267</v>
      </c>
      <c r="E70" s="103">
        <v>61.2</v>
      </c>
      <c r="F70" s="43">
        <v>570</v>
      </c>
      <c r="G70" s="43">
        <f t="shared" si="10"/>
        <v>34884</v>
      </c>
      <c r="H70" s="42" t="s">
        <v>1</v>
      </c>
      <c r="I70" s="41" t="s">
        <v>0</v>
      </c>
    </row>
    <row r="71" spans="1:9" x14ac:dyDescent="0.25">
      <c r="A71" s="9">
        <f t="shared" si="11"/>
        <v>68</v>
      </c>
      <c r="B71" s="13">
        <v>46045</v>
      </c>
      <c r="C71" s="101" t="s">
        <v>20</v>
      </c>
      <c r="D71" s="102">
        <v>57520496</v>
      </c>
      <c r="E71" s="103">
        <v>61.1</v>
      </c>
      <c r="F71" s="43">
        <v>570</v>
      </c>
      <c r="G71" s="43">
        <f t="shared" si="10"/>
        <v>34827</v>
      </c>
      <c r="H71" s="42" t="s">
        <v>1</v>
      </c>
      <c r="I71" s="41" t="s">
        <v>0</v>
      </c>
    </row>
    <row r="72" spans="1:9" ht="14.4" thickBot="1" x14ac:dyDescent="0.3">
      <c r="A72" s="3">
        <f t="shared" si="11"/>
        <v>69</v>
      </c>
      <c r="B72" s="7">
        <v>46045</v>
      </c>
      <c r="C72" s="104" t="s">
        <v>20</v>
      </c>
      <c r="D72" s="105">
        <v>53872503</v>
      </c>
      <c r="E72" s="106">
        <v>61</v>
      </c>
      <c r="F72" s="6">
        <v>570</v>
      </c>
      <c r="G72" s="6">
        <f t="shared" si="10"/>
        <v>34770</v>
      </c>
      <c r="H72" s="5" t="s">
        <v>1</v>
      </c>
      <c r="I72" s="4" t="s">
        <v>0</v>
      </c>
    </row>
    <row r="73" spans="1:9" ht="14.4" thickBot="1" x14ac:dyDescent="0.3">
      <c r="A73" s="35">
        <v>70</v>
      </c>
      <c r="B73" s="34">
        <v>46045</v>
      </c>
      <c r="C73" s="107" t="s">
        <v>21</v>
      </c>
      <c r="D73" s="33">
        <v>54027719</v>
      </c>
      <c r="E73" s="32">
        <v>61.15</v>
      </c>
      <c r="F73" s="38">
        <v>570</v>
      </c>
      <c r="G73" s="38">
        <f t="shared" ref="G73" si="12">E73*F73</f>
        <v>34855.5</v>
      </c>
      <c r="H73" s="37" t="s">
        <v>1</v>
      </c>
      <c r="I73" s="36" t="s">
        <v>0</v>
      </c>
    </row>
    <row r="74" spans="1:9" x14ac:dyDescent="0.25">
      <c r="A74" s="108">
        <v>71</v>
      </c>
      <c r="B74" s="13">
        <v>46045</v>
      </c>
      <c r="C74" s="109" t="s">
        <v>22</v>
      </c>
      <c r="D74" s="108">
        <v>75180687</v>
      </c>
      <c r="E74" s="110">
        <v>62.85</v>
      </c>
      <c r="F74" s="43">
        <v>570</v>
      </c>
      <c r="G74" s="43">
        <f t="shared" ref="G74:G78" si="13">E74*F74</f>
        <v>35824.5</v>
      </c>
      <c r="H74" s="42" t="s">
        <v>1</v>
      </c>
      <c r="I74" s="41" t="s">
        <v>0</v>
      </c>
    </row>
    <row r="75" spans="1:9" x14ac:dyDescent="0.25">
      <c r="A75" s="8">
        <f>A74+1</f>
        <v>72</v>
      </c>
      <c r="B75" s="13">
        <v>46045</v>
      </c>
      <c r="C75" s="109" t="s">
        <v>22</v>
      </c>
      <c r="D75" s="8">
        <v>58645706</v>
      </c>
      <c r="E75" s="20">
        <v>61.15</v>
      </c>
      <c r="F75" s="43">
        <v>570</v>
      </c>
      <c r="G75" s="43">
        <f t="shared" si="13"/>
        <v>34855.5</v>
      </c>
      <c r="H75" s="42" t="s">
        <v>1</v>
      </c>
      <c r="I75" s="41" t="s">
        <v>0</v>
      </c>
    </row>
    <row r="76" spans="1:9" x14ac:dyDescent="0.25">
      <c r="A76" s="8">
        <f t="shared" ref="A76:A78" si="14">A75+1</f>
        <v>73</v>
      </c>
      <c r="B76" s="13">
        <v>46045</v>
      </c>
      <c r="C76" s="109" t="s">
        <v>22</v>
      </c>
      <c r="D76" s="52">
        <v>50778158</v>
      </c>
      <c r="E76" s="111">
        <v>52.65</v>
      </c>
      <c r="F76" s="43">
        <v>570</v>
      </c>
      <c r="G76" s="43">
        <f t="shared" si="13"/>
        <v>30010.5</v>
      </c>
      <c r="H76" s="42" t="s">
        <v>1</v>
      </c>
      <c r="I76" s="41" t="s">
        <v>0</v>
      </c>
    </row>
    <row r="77" spans="1:9" x14ac:dyDescent="0.25">
      <c r="A77" s="8">
        <f t="shared" si="14"/>
        <v>74</v>
      </c>
      <c r="B77" s="13">
        <v>46045</v>
      </c>
      <c r="C77" s="109" t="s">
        <v>22</v>
      </c>
      <c r="D77" s="8">
        <v>74999970</v>
      </c>
      <c r="E77" s="20">
        <v>61.05</v>
      </c>
      <c r="F77" s="43">
        <v>570</v>
      </c>
      <c r="G77" s="43">
        <f t="shared" si="13"/>
        <v>34798.5</v>
      </c>
      <c r="H77" s="42" t="s">
        <v>1</v>
      </c>
      <c r="I77" s="41" t="s">
        <v>0</v>
      </c>
    </row>
    <row r="78" spans="1:9" x14ac:dyDescent="0.25">
      <c r="A78" s="8">
        <f t="shared" si="14"/>
        <v>75</v>
      </c>
      <c r="B78" s="13">
        <v>46045</v>
      </c>
      <c r="C78" s="109" t="s">
        <v>22</v>
      </c>
      <c r="D78" s="21">
        <v>54719240</v>
      </c>
      <c r="E78" s="39">
        <v>61</v>
      </c>
      <c r="F78" s="43">
        <v>570</v>
      </c>
      <c r="G78" s="43">
        <f t="shared" si="13"/>
        <v>34770</v>
      </c>
      <c r="H78" s="42" t="s">
        <v>1</v>
      </c>
      <c r="I78" s="41" t="s">
        <v>0</v>
      </c>
    </row>
    <row r="79" spans="1:9" x14ac:dyDescent="0.25">
      <c r="A79" s="24">
        <v>76</v>
      </c>
      <c r="B79" s="22">
        <v>46045</v>
      </c>
      <c r="C79" s="112" t="s">
        <v>23</v>
      </c>
      <c r="D79" s="24">
        <v>74944836</v>
      </c>
      <c r="E79" s="23">
        <v>61.45</v>
      </c>
      <c r="F79" s="12">
        <v>570</v>
      </c>
      <c r="G79" s="12">
        <f t="shared" ref="G79" si="15">E79*F79</f>
        <v>35026.5</v>
      </c>
      <c r="H79" s="11" t="s">
        <v>1</v>
      </c>
      <c r="I79" s="10" t="s">
        <v>0</v>
      </c>
    </row>
    <row r="80" spans="1:9" x14ac:dyDescent="0.25">
      <c r="A80" s="29">
        <v>77</v>
      </c>
      <c r="B80" s="13">
        <v>46045</v>
      </c>
      <c r="C80" s="113" t="s">
        <v>24</v>
      </c>
      <c r="D80" s="29">
        <v>51730042</v>
      </c>
      <c r="E80" s="28">
        <v>53.15</v>
      </c>
      <c r="F80" s="43">
        <v>570</v>
      </c>
      <c r="G80" s="43">
        <f t="shared" ref="G80:G87" si="16">E80*F80</f>
        <v>30295.5</v>
      </c>
      <c r="H80" s="42" t="s">
        <v>1</v>
      </c>
      <c r="I80" s="41" t="s">
        <v>0</v>
      </c>
    </row>
    <row r="81" spans="1:9" x14ac:dyDescent="0.25">
      <c r="A81" s="8">
        <f>A80+1</f>
        <v>78</v>
      </c>
      <c r="B81" s="13">
        <v>46045</v>
      </c>
      <c r="C81" s="113" t="s">
        <v>24</v>
      </c>
      <c r="D81" s="8">
        <v>73504284</v>
      </c>
      <c r="E81" s="20">
        <v>61.45</v>
      </c>
      <c r="F81" s="43">
        <v>570</v>
      </c>
      <c r="G81" s="43">
        <f t="shared" si="16"/>
        <v>35026.5</v>
      </c>
      <c r="H81" s="42" t="s">
        <v>1</v>
      </c>
      <c r="I81" s="41" t="s">
        <v>0</v>
      </c>
    </row>
    <row r="82" spans="1:9" x14ac:dyDescent="0.25">
      <c r="A82" s="8">
        <f t="shared" ref="A82:A87" si="17">A81+1</f>
        <v>79</v>
      </c>
      <c r="B82" s="13">
        <v>46045</v>
      </c>
      <c r="C82" s="113" t="s">
        <v>24</v>
      </c>
      <c r="D82" s="8">
        <v>73954349</v>
      </c>
      <c r="E82" s="20">
        <v>61.85</v>
      </c>
      <c r="F82" s="43">
        <v>570</v>
      </c>
      <c r="G82" s="43">
        <f t="shared" si="16"/>
        <v>35254.5</v>
      </c>
      <c r="H82" s="42" t="s">
        <v>1</v>
      </c>
      <c r="I82" s="41" t="s">
        <v>0</v>
      </c>
    </row>
    <row r="83" spans="1:9" x14ac:dyDescent="0.25">
      <c r="A83" s="8">
        <f t="shared" si="17"/>
        <v>80</v>
      </c>
      <c r="B83" s="13">
        <v>46045</v>
      </c>
      <c r="C83" s="113" t="s">
        <v>24</v>
      </c>
      <c r="D83" s="8">
        <v>73151573</v>
      </c>
      <c r="E83" s="20">
        <v>61.45</v>
      </c>
      <c r="F83" s="43">
        <v>570</v>
      </c>
      <c r="G83" s="43">
        <f t="shared" si="16"/>
        <v>35026.5</v>
      </c>
      <c r="H83" s="42" t="s">
        <v>1</v>
      </c>
      <c r="I83" s="41" t="s">
        <v>0</v>
      </c>
    </row>
    <row r="84" spans="1:9" x14ac:dyDescent="0.25">
      <c r="A84" s="8">
        <f t="shared" si="17"/>
        <v>81</v>
      </c>
      <c r="B84" s="13">
        <v>46045</v>
      </c>
      <c r="C84" s="113" t="s">
        <v>24</v>
      </c>
      <c r="D84" s="8">
        <v>74916180</v>
      </c>
      <c r="E84" s="20">
        <v>60.95</v>
      </c>
      <c r="F84" s="43">
        <v>570</v>
      </c>
      <c r="G84" s="43">
        <f t="shared" si="16"/>
        <v>34741.5</v>
      </c>
      <c r="H84" s="42" t="s">
        <v>1</v>
      </c>
      <c r="I84" s="41" t="s">
        <v>0</v>
      </c>
    </row>
    <row r="85" spans="1:9" x14ac:dyDescent="0.25">
      <c r="A85" s="8">
        <f t="shared" si="17"/>
        <v>82</v>
      </c>
      <c r="B85" s="13">
        <v>46045</v>
      </c>
      <c r="C85" s="113" t="s">
        <v>24</v>
      </c>
      <c r="D85" s="8">
        <v>74934845</v>
      </c>
      <c r="E85" s="20">
        <v>62.8</v>
      </c>
      <c r="F85" s="43">
        <v>570</v>
      </c>
      <c r="G85" s="43">
        <f t="shared" si="16"/>
        <v>35796</v>
      </c>
      <c r="H85" s="42" t="s">
        <v>1</v>
      </c>
      <c r="I85" s="41" t="s">
        <v>0</v>
      </c>
    </row>
    <row r="86" spans="1:9" x14ac:dyDescent="0.25">
      <c r="A86" s="8">
        <f t="shared" si="17"/>
        <v>83</v>
      </c>
      <c r="B86" s="13">
        <v>46045</v>
      </c>
      <c r="C86" s="113" t="s">
        <v>24</v>
      </c>
      <c r="D86" s="8">
        <v>75738294</v>
      </c>
      <c r="E86" s="20">
        <v>62</v>
      </c>
      <c r="F86" s="43">
        <v>570</v>
      </c>
      <c r="G86" s="43">
        <f t="shared" si="16"/>
        <v>35340</v>
      </c>
      <c r="H86" s="42" t="s">
        <v>1</v>
      </c>
      <c r="I86" s="41" t="s">
        <v>0</v>
      </c>
    </row>
    <row r="87" spans="1:9" x14ac:dyDescent="0.25">
      <c r="A87" s="8">
        <f t="shared" si="17"/>
        <v>84</v>
      </c>
      <c r="B87" s="13">
        <v>46045</v>
      </c>
      <c r="C87" s="113" t="s">
        <v>24</v>
      </c>
      <c r="D87" s="21">
        <v>51879286</v>
      </c>
      <c r="E87" s="39">
        <v>61.45</v>
      </c>
      <c r="F87" s="43">
        <v>570</v>
      </c>
      <c r="G87" s="43">
        <f t="shared" si="16"/>
        <v>35026.5</v>
      </c>
      <c r="H87" s="42" t="s">
        <v>1</v>
      </c>
      <c r="I87" s="41" t="s">
        <v>0</v>
      </c>
    </row>
    <row r="88" spans="1:9" x14ac:dyDescent="0.25">
      <c r="A88" s="29">
        <v>85</v>
      </c>
      <c r="B88" s="27">
        <v>46046</v>
      </c>
      <c r="C88" s="113" t="s">
        <v>25</v>
      </c>
      <c r="D88" s="29">
        <v>75004820</v>
      </c>
      <c r="E88" s="28">
        <v>61</v>
      </c>
      <c r="F88" s="43">
        <v>570</v>
      </c>
      <c r="G88" s="43">
        <f t="shared" ref="G88:G89" si="18">E88*F88</f>
        <v>34770</v>
      </c>
      <c r="H88" s="42" t="s">
        <v>1</v>
      </c>
      <c r="I88" s="41" t="s">
        <v>0</v>
      </c>
    </row>
    <row r="89" spans="1:9" ht="14.4" thickBot="1" x14ac:dyDescent="0.3">
      <c r="A89" s="21">
        <f>A88+1</f>
        <v>86</v>
      </c>
      <c r="B89" s="25">
        <v>46046</v>
      </c>
      <c r="C89" s="112" t="s">
        <v>25</v>
      </c>
      <c r="D89" s="21">
        <v>54244124</v>
      </c>
      <c r="E89" s="39">
        <v>61.55</v>
      </c>
      <c r="F89" s="43">
        <v>570</v>
      </c>
      <c r="G89" s="43">
        <f t="shared" si="18"/>
        <v>35083.5</v>
      </c>
      <c r="H89" s="42" t="s">
        <v>1</v>
      </c>
      <c r="I89" s="41" t="s">
        <v>0</v>
      </c>
    </row>
    <row r="90" spans="1:9" x14ac:dyDescent="0.25">
      <c r="A90" s="15">
        <v>87</v>
      </c>
      <c r="B90" s="19">
        <v>46046</v>
      </c>
      <c r="C90" s="98" t="s">
        <v>26</v>
      </c>
      <c r="D90" s="14">
        <v>58344698</v>
      </c>
      <c r="E90" s="31">
        <v>60.9</v>
      </c>
      <c r="F90" s="43">
        <v>570</v>
      </c>
      <c r="G90" s="43">
        <f t="shared" ref="G90:G92" si="19">E90*F90</f>
        <v>34713</v>
      </c>
      <c r="H90" s="42" t="s">
        <v>1</v>
      </c>
      <c r="I90" s="41" t="s">
        <v>0</v>
      </c>
    </row>
    <row r="91" spans="1:9" x14ac:dyDescent="0.25">
      <c r="A91" s="9">
        <f>A90+1</f>
        <v>88</v>
      </c>
      <c r="B91" s="27">
        <v>46046</v>
      </c>
      <c r="C91" s="113" t="s">
        <v>26</v>
      </c>
      <c r="D91" s="8">
        <v>53887352</v>
      </c>
      <c r="E91" s="20">
        <v>61.25</v>
      </c>
      <c r="F91" s="43">
        <v>570</v>
      </c>
      <c r="G91" s="43">
        <f t="shared" si="19"/>
        <v>34912.5</v>
      </c>
      <c r="H91" s="42" t="s">
        <v>1</v>
      </c>
      <c r="I91" s="41" t="s">
        <v>0</v>
      </c>
    </row>
    <row r="92" spans="1:9" ht="14.4" thickBot="1" x14ac:dyDescent="0.3">
      <c r="A92" s="3">
        <f>A91+1</f>
        <v>89</v>
      </c>
      <c r="B92" s="40">
        <v>46046</v>
      </c>
      <c r="C92" s="114" t="s">
        <v>26</v>
      </c>
      <c r="D92" s="2">
        <v>53887543</v>
      </c>
      <c r="E92" s="30">
        <v>61.05</v>
      </c>
      <c r="F92" s="43">
        <v>570</v>
      </c>
      <c r="G92" s="43">
        <f t="shared" si="19"/>
        <v>34798.5</v>
      </c>
      <c r="H92" s="42" t="s">
        <v>1</v>
      </c>
      <c r="I92" s="41" t="s">
        <v>0</v>
      </c>
    </row>
    <row r="93" spans="1:9" ht="14.4" thickBot="1" x14ac:dyDescent="0.3">
      <c r="A93" s="115"/>
      <c r="B93" s="116"/>
      <c r="C93" s="116"/>
      <c r="D93" s="116"/>
      <c r="E93" s="117">
        <f>SUM(E4:E92)</f>
        <v>5360.2999999999975</v>
      </c>
      <c r="F93" s="117"/>
      <c r="G93" s="117">
        <f t="shared" ref="F93:G93" si="20">SUM(G4:G92)</f>
        <v>3055371</v>
      </c>
      <c r="H93" s="116"/>
      <c r="I93" s="118"/>
    </row>
  </sheetData>
  <autoFilter ref="A3:I93"/>
  <mergeCells count="2">
    <mergeCell ref="A1:I1"/>
    <mergeCell ref="A2:I2"/>
  </mergeCells>
  <conditionalFormatting sqref="D3">
    <cfRule type="duplicateValues" dxfId="0" priority="2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5000 MT 570$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2026-04-15T11:04:58Z</dcterms:modified>
</cp:coreProperties>
</file>