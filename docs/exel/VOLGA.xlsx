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hidePivotFieldList="1" defaultThemeVersion="124226"/>
  <bookViews>
    <workbookView xWindow="240" yWindow="168" windowWidth="14808" windowHeight="7956"/>
  </bookViews>
  <sheets>
    <sheet name="بیلانس" sheetId="10" r:id="rId1"/>
    <sheet name="Loading Report" sheetId="14" r:id="rId2"/>
    <sheet name="کرایه موتر ها" sheetId="15" r:id="rId3"/>
    <sheet name="فروشات هرات" sheetId="16" r:id="rId4"/>
    <sheet name="فروشات آقینه" sheetId="17" r:id="rId5"/>
    <sheet name="مصارف محصولی" sheetId="18" r:id="rId6"/>
  </sheets>
  <definedNames>
    <definedName name="_xlnm._FilterDatabase" localSheetId="1" hidden="1">'Loading Report'!$A$2:$XEH$24</definedName>
    <definedName name="_xlnm._FilterDatabase" localSheetId="2" hidden="1">'کرایه موتر ها'!$A$2:$P$129</definedName>
    <definedName name="_xlnm._FilterDatabase" localSheetId="5" hidden="1">'مصارف محصولی'!$A$2:$N$129</definedName>
    <definedName name="_xlnm.Print_Area" localSheetId="1">'Loading Report'!$A$1:$G$27</definedName>
    <definedName name="_xlnm.Print_Area" localSheetId="0">بیلانس!$A$1:$J$24</definedName>
    <definedName name="_xlnm.Print_Area" localSheetId="2">'کرایه موتر ها'!$A$1:$F$15</definedName>
    <definedName name="_xlnm.Print_Area" localSheetId="5">'مصارف محصولی'!$A$1:$F$15</definedName>
  </definedNames>
  <calcPr calcId="152511"/>
</workbook>
</file>

<file path=xl/calcChain.xml><?xml version="1.0" encoding="utf-8"?>
<calcChain xmlns="http://schemas.openxmlformats.org/spreadsheetml/2006/main">
  <c r="N3" i="18" l="1"/>
  <c r="P129" i="15"/>
  <c r="H21" i="10" l="1"/>
  <c r="J5" i="10"/>
  <c r="J7" i="10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H18" i="10"/>
  <c r="H129" i="18"/>
  <c r="I129" i="18"/>
  <c r="J129" i="18"/>
  <c r="K129" i="18"/>
  <c r="L129" i="18"/>
  <c r="M129" i="18"/>
  <c r="N129" i="18"/>
  <c r="G129" i="18"/>
  <c r="J4" i="18"/>
  <c r="J5" i="18"/>
  <c r="J6" i="18"/>
  <c r="J7" i="18"/>
  <c r="J8" i="18"/>
  <c r="J9" i="18"/>
  <c r="M9" i="18" s="1"/>
  <c r="N9" i="18" s="1"/>
  <c r="J10" i="18"/>
  <c r="J11" i="18"/>
  <c r="J12" i="18"/>
  <c r="J13" i="18"/>
  <c r="J14" i="18"/>
  <c r="M14" i="18" s="1"/>
  <c r="N14" i="18" s="1"/>
  <c r="J15" i="18"/>
  <c r="J16" i="18"/>
  <c r="J17" i="18"/>
  <c r="M17" i="18" s="1"/>
  <c r="N17" i="18" s="1"/>
  <c r="J18" i="18"/>
  <c r="J19" i="18"/>
  <c r="J20" i="18"/>
  <c r="J21" i="18"/>
  <c r="M21" i="18" s="1"/>
  <c r="N21" i="18" s="1"/>
  <c r="J22" i="18"/>
  <c r="M22" i="18" s="1"/>
  <c r="N22" i="18" s="1"/>
  <c r="J23" i="18"/>
  <c r="J24" i="18"/>
  <c r="J25" i="18"/>
  <c r="M25" i="18" s="1"/>
  <c r="N25" i="18" s="1"/>
  <c r="J26" i="18"/>
  <c r="J27" i="18"/>
  <c r="J28" i="18"/>
  <c r="J29" i="18"/>
  <c r="J30" i="18"/>
  <c r="J31" i="18"/>
  <c r="J32" i="18"/>
  <c r="J33" i="18"/>
  <c r="M33" i="18" s="1"/>
  <c r="N33" i="18" s="1"/>
  <c r="J34" i="18"/>
  <c r="J35" i="18"/>
  <c r="J36" i="18"/>
  <c r="J37" i="18"/>
  <c r="J38" i="18"/>
  <c r="J39" i="18"/>
  <c r="J40" i="18"/>
  <c r="J41" i="18"/>
  <c r="M41" i="18" s="1"/>
  <c r="N41" i="18" s="1"/>
  <c r="J42" i="18"/>
  <c r="J43" i="18"/>
  <c r="J44" i="18"/>
  <c r="J45" i="18"/>
  <c r="J46" i="18"/>
  <c r="J47" i="18"/>
  <c r="J48" i="18"/>
  <c r="J49" i="18"/>
  <c r="M49" i="18" s="1"/>
  <c r="N49" i="18" s="1"/>
  <c r="J50" i="18"/>
  <c r="J51" i="18"/>
  <c r="J52" i="18"/>
  <c r="J53" i="18"/>
  <c r="J54" i="18"/>
  <c r="J55" i="18"/>
  <c r="J56" i="18"/>
  <c r="J57" i="18"/>
  <c r="M57" i="18" s="1"/>
  <c r="N57" i="18" s="1"/>
  <c r="J58" i="18"/>
  <c r="J59" i="18"/>
  <c r="J60" i="18"/>
  <c r="J61" i="18"/>
  <c r="M61" i="18" s="1"/>
  <c r="N61" i="18" s="1"/>
  <c r="J62" i="18"/>
  <c r="J63" i="18"/>
  <c r="J64" i="18"/>
  <c r="J65" i="18"/>
  <c r="M65" i="18" s="1"/>
  <c r="N65" i="18" s="1"/>
  <c r="J66" i="18"/>
  <c r="J67" i="18"/>
  <c r="J68" i="18"/>
  <c r="J69" i="18"/>
  <c r="J70" i="18"/>
  <c r="J71" i="18"/>
  <c r="J72" i="18"/>
  <c r="J73" i="18"/>
  <c r="M73" i="18" s="1"/>
  <c r="N73" i="18" s="1"/>
  <c r="J74" i="18"/>
  <c r="J75" i="18"/>
  <c r="J76" i="18"/>
  <c r="J77" i="18"/>
  <c r="J78" i="18"/>
  <c r="M78" i="18" s="1"/>
  <c r="N78" i="18" s="1"/>
  <c r="J79" i="18"/>
  <c r="J80" i="18"/>
  <c r="J81" i="18"/>
  <c r="M81" i="18" s="1"/>
  <c r="N81" i="18" s="1"/>
  <c r="J82" i="18"/>
  <c r="J83" i="18"/>
  <c r="J84" i="18"/>
  <c r="J85" i="18"/>
  <c r="M85" i="18" s="1"/>
  <c r="N85" i="18" s="1"/>
  <c r="J86" i="18"/>
  <c r="M86" i="18" s="1"/>
  <c r="N86" i="18" s="1"/>
  <c r="J87" i="18"/>
  <c r="J88" i="18"/>
  <c r="J89" i="18"/>
  <c r="M89" i="18" s="1"/>
  <c r="N89" i="18" s="1"/>
  <c r="J90" i="18"/>
  <c r="J91" i="18"/>
  <c r="J92" i="18"/>
  <c r="J93" i="18"/>
  <c r="J94" i="18"/>
  <c r="J95" i="18"/>
  <c r="J96" i="18"/>
  <c r="J97" i="18"/>
  <c r="M97" i="18" s="1"/>
  <c r="N97" i="18" s="1"/>
  <c r="J98" i="18"/>
  <c r="J99" i="18"/>
  <c r="J100" i="18"/>
  <c r="J101" i="18"/>
  <c r="J102" i="18"/>
  <c r="J103" i="18"/>
  <c r="J104" i="18"/>
  <c r="J105" i="18"/>
  <c r="M105" i="18" s="1"/>
  <c r="N105" i="18" s="1"/>
  <c r="J106" i="18"/>
  <c r="J107" i="18"/>
  <c r="J108" i="18"/>
  <c r="J109" i="18"/>
  <c r="J110" i="18"/>
  <c r="J111" i="18"/>
  <c r="J112" i="18"/>
  <c r="J113" i="18"/>
  <c r="M113" i="18" s="1"/>
  <c r="N113" i="18" s="1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M125" i="18" s="1"/>
  <c r="N125" i="18" s="1"/>
  <c r="J126" i="18"/>
  <c r="J127" i="18"/>
  <c r="J128" i="18"/>
  <c r="J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M29" i="18" s="1"/>
  <c r="N29" i="18" s="1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M46" i="18" s="1"/>
  <c r="N46" i="18" s="1"/>
  <c r="H47" i="18"/>
  <c r="H48" i="18"/>
  <c r="H49" i="18"/>
  <c r="H50" i="18"/>
  <c r="H51" i="18"/>
  <c r="H52" i="18"/>
  <c r="H53" i="18"/>
  <c r="M53" i="18" s="1"/>
  <c r="N53" i="18" s="1"/>
  <c r="H54" i="18"/>
  <c r="M54" i="18" s="1"/>
  <c r="N54" i="18" s="1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M93" i="18" s="1"/>
  <c r="N93" i="18" s="1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M110" i="18" s="1"/>
  <c r="N110" i="18" s="1"/>
  <c r="H111" i="18"/>
  <c r="H112" i="18"/>
  <c r="H113" i="18"/>
  <c r="H114" i="18"/>
  <c r="H115" i="18"/>
  <c r="H116" i="18"/>
  <c r="H117" i="18"/>
  <c r="M117" i="18" s="1"/>
  <c r="N117" i="18" s="1"/>
  <c r="H118" i="18"/>
  <c r="M118" i="18" s="1"/>
  <c r="N118" i="18" s="1"/>
  <c r="H119" i="18"/>
  <c r="H120" i="18"/>
  <c r="H121" i="18"/>
  <c r="H122" i="18"/>
  <c r="H123" i="18"/>
  <c r="H124" i="18"/>
  <c r="H125" i="18"/>
  <c r="H126" i="18"/>
  <c r="H127" i="18"/>
  <c r="H128" i="18"/>
  <c r="H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3" i="18"/>
  <c r="M112" i="18" l="1"/>
  <c r="N112" i="18" s="1"/>
  <c r="M96" i="18"/>
  <c r="N96" i="18" s="1"/>
  <c r="M72" i="18"/>
  <c r="N72" i="18" s="1"/>
  <c r="M56" i="18"/>
  <c r="N56" i="18" s="1"/>
  <c r="M32" i="18"/>
  <c r="N32" i="18" s="1"/>
  <c r="M16" i="18"/>
  <c r="N16" i="18" s="1"/>
  <c r="M69" i="18"/>
  <c r="N69" i="18" s="1"/>
  <c r="M37" i="18"/>
  <c r="N37" i="18" s="1"/>
  <c r="M123" i="18"/>
  <c r="N123" i="18" s="1"/>
  <c r="M99" i="18"/>
  <c r="N99" i="18" s="1"/>
  <c r="M75" i="18"/>
  <c r="N75" i="18" s="1"/>
  <c r="M51" i="18"/>
  <c r="N51" i="18" s="1"/>
  <c r="M27" i="18"/>
  <c r="N27" i="18" s="1"/>
  <c r="M11" i="18"/>
  <c r="N11" i="18" s="1"/>
  <c r="M121" i="18"/>
  <c r="N121" i="18" s="1"/>
  <c r="M119" i="18"/>
  <c r="N119" i="18" s="1"/>
  <c r="M95" i="18"/>
  <c r="N95" i="18" s="1"/>
  <c r="M71" i="18"/>
  <c r="N71" i="18" s="1"/>
  <c r="M47" i="18"/>
  <c r="N47" i="18" s="1"/>
  <c r="M23" i="18"/>
  <c r="N23" i="18" s="1"/>
  <c r="M124" i="18"/>
  <c r="N124" i="18" s="1"/>
  <c r="M108" i="18"/>
  <c r="N108" i="18" s="1"/>
  <c r="M92" i="18"/>
  <c r="N92" i="18" s="1"/>
  <c r="M76" i="18"/>
  <c r="N76" i="18" s="1"/>
  <c r="M60" i="18"/>
  <c r="N60" i="18" s="1"/>
  <c r="M36" i="18"/>
  <c r="N36" i="18" s="1"/>
  <c r="M20" i="18"/>
  <c r="N20" i="18" s="1"/>
  <c r="M122" i="18"/>
  <c r="N122" i="18" s="1"/>
  <c r="M106" i="18"/>
  <c r="N106" i="18" s="1"/>
  <c r="M90" i="18"/>
  <c r="N90" i="18" s="1"/>
  <c r="M66" i="18"/>
  <c r="N66" i="18" s="1"/>
  <c r="M50" i="18"/>
  <c r="N50" i="18" s="1"/>
  <c r="M34" i="18"/>
  <c r="N34" i="18" s="1"/>
  <c r="M18" i="18"/>
  <c r="N18" i="18" s="1"/>
  <c r="M102" i="18"/>
  <c r="N102" i="18" s="1"/>
  <c r="M62" i="18"/>
  <c r="N62" i="18" s="1"/>
  <c r="M38" i="18"/>
  <c r="N38" i="18" s="1"/>
  <c r="M128" i="18"/>
  <c r="N128" i="18" s="1"/>
  <c r="M120" i="18"/>
  <c r="N120" i="18" s="1"/>
  <c r="M104" i="18"/>
  <c r="N104" i="18" s="1"/>
  <c r="M88" i="18"/>
  <c r="N88" i="18" s="1"/>
  <c r="M80" i="18"/>
  <c r="N80" i="18" s="1"/>
  <c r="M64" i="18"/>
  <c r="N64" i="18" s="1"/>
  <c r="M48" i="18"/>
  <c r="N48" i="18" s="1"/>
  <c r="M40" i="18"/>
  <c r="N40" i="18" s="1"/>
  <c r="M24" i="18"/>
  <c r="N24" i="18" s="1"/>
  <c r="M8" i="18"/>
  <c r="N8" i="18" s="1"/>
  <c r="M109" i="18"/>
  <c r="N109" i="18" s="1"/>
  <c r="M101" i="18"/>
  <c r="N101" i="18" s="1"/>
  <c r="M77" i="18"/>
  <c r="N77" i="18" s="1"/>
  <c r="M45" i="18"/>
  <c r="N45" i="18" s="1"/>
  <c r="M13" i="18"/>
  <c r="N13" i="18" s="1"/>
  <c r="M5" i="18"/>
  <c r="N5" i="18" s="1"/>
  <c r="M115" i="18"/>
  <c r="N115" i="18" s="1"/>
  <c r="M107" i="18"/>
  <c r="N107" i="18" s="1"/>
  <c r="M91" i="18"/>
  <c r="N91" i="18" s="1"/>
  <c r="M83" i="18"/>
  <c r="N83" i="18" s="1"/>
  <c r="M67" i="18"/>
  <c r="N67" i="18" s="1"/>
  <c r="M59" i="18"/>
  <c r="N59" i="18" s="1"/>
  <c r="M43" i="18"/>
  <c r="N43" i="18" s="1"/>
  <c r="M35" i="18"/>
  <c r="N35" i="18" s="1"/>
  <c r="M19" i="18"/>
  <c r="N19" i="18" s="1"/>
  <c r="M3" i="18"/>
  <c r="M127" i="18"/>
  <c r="N127" i="18" s="1"/>
  <c r="M111" i="18"/>
  <c r="N111" i="18" s="1"/>
  <c r="M103" i="18"/>
  <c r="N103" i="18" s="1"/>
  <c r="M87" i="18"/>
  <c r="N87" i="18" s="1"/>
  <c r="M79" i="18"/>
  <c r="N79" i="18" s="1"/>
  <c r="M63" i="18"/>
  <c r="N63" i="18" s="1"/>
  <c r="M55" i="18"/>
  <c r="N55" i="18" s="1"/>
  <c r="M39" i="18"/>
  <c r="N39" i="18" s="1"/>
  <c r="M31" i="18"/>
  <c r="N31" i="18" s="1"/>
  <c r="M15" i="18"/>
  <c r="N15" i="18" s="1"/>
  <c r="M7" i="18"/>
  <c r="N7" i="18" s="1"/>
  <c r="M116" i="18"/>
  <c r="N116" i="18" s="1"/>
  <c r="M100" i="18"/>
  <c r="N100" i="18" s="1"/>
  <c r="M84" i="18"/>
  <c r="N84" i="18" s="1"/>
  <c r="M68" i="18"/>
  <c r="N68" i="18" s="1"/>
  <c r="M52" i="18"/>
  <c r="N52" i="18" s="1"/>
  <c r="M44" i="18"/>
  <c r="N44" i="18" s="1"/>
  <c r="M28" i="18"/>
  <c r="N28" i="18" s="1"/>
  <c r="M12" i="18"/>
  <c r="N12" i="18" s="1"/>
  <c r="M114" i="18"/>
  <c r="N114" i="18" s="1"/>
  <c r="M98" i="18"/>
  <c r="N98" i="18" s="1"/>
  <c r="M82" i="18"/>
  <c r="N82" i="18" s="1"/>
  <c r="M74" i="18"/>
  <c r="N74" i="18" s="1"/>
  <c r="M58" i="18"/>
  <c r="N58" i="18" s="1"/>
  <c r="M42" i="18"/>
  <c r="N42" i="18" s="1"/>
  <c r="M26" i="18"/>
  <c r="N26" i="18" s="1"/>
  <c r="M10" i="18"/>
  <c r="N10" i="18" s="1"/>
  <c r="M126" i="18"/>
  <c r="N126" i="18" s="1"/>
  <c r="M94" i="18"/>
  <c r="N94" i="18" s="1"/>
  <c r="M70" i="18"/>
  <c r="N70" i="18" s="1"/>
  <c r="M30" i="18"/>
  <c r="N30" i="18" s="1"/>
  <c r="M6" i="18"/>
  <c r="N6" i="18" s="1"/>
  <c r="M4" i="18"/>
  <c r="N4" i="18" s="1"/>
  <c r="A4" i="18" l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E16" i="10"/>
  <c r="H16" i="10" s="1"/>
  <c r="I5" i="17" l="1"/>
  <c r="I6" i="17"/>
  <c r="I7" i="17"/>
  <c r="I4" i="17"/>
  <c r="G10" i="17" l="1"/>
  <c r="J21" i="16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9" i="16"/>
  <c r="I10" i="17" l="1"/>
  <c r="J4" i="17"/>
  <c r="J5" i="17" s="1"/>
  <c r="J6" i="17" s="1"/>
  <c r="J7" i="17" s="1"/>
  <c r="G144" i="16" l="1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144" i="16" l="1"/>
  <c r="J4" i="16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H15" i="10" l="1"/>
  <c r="H14" i="10"/>
  <c r="I93" i="15"/>
  <c r="J93" i="15" s="1"/>
  <c r="L93" i="15" s="1"/>
  <c r="N93" i="15" s="1"/>
  <c r="I91" i="15"/>
  <c r="J91" i="15" s="1"/>
  <c r="L91" i="15" s="1"/>
  <c r="N91" i="15" s="1"/>
  <c r="I89" i="15"/>
  <c r="J89" i="15" s="1"/>
  <c r="L89" i="15" s="1"/>
  <c r="N89" i="15" s="1"/>
  <c r="I25" i="15"/>
  <c r="J25" i="15" s="1"/>
  <c r="L25" i="15" s="1"/>
  <c r="N25" i="15" s="1"/>
  <c r="I23" i="15"/>
  <c r="J23" i="15" s="1"/>
  <c r="L23" i="15" s="1"/>
  <c r="N23" i="15" s="1"/>
  <c r="I22" i="15"/>
  <c r="J22" i="15" s="1"/>
  <c r="L22" i="15" s="1"/>
  <c r="N22" i="15" s="1"/>
  <c r="I20" i="15"/>
  <c r="J20" i="15" s="1"/>
  <c r="L20" i="15" s="1"/>
  <c r="N20" i="15" s="1"/>
  <c r="I17" i="15"/>
  <c r="J17" i="15" s="1"/>
  <c r="L17" i="15" s="1"/>
  <c r="N17" i="15" s="1"/>
  <c r="I19" i="15"/>
  <c r="J19" i="15" s="1"/>
  <c r="L19" i="15" s="1"/>
  <c r="N19" i="15" s="1"/>
  <c r="J4" i="15"/>
  <c r="L4" i="15" s="1"/>
  <c r="N4" i="15" s="1"/>
  <c r="J5" i="15"/>
  <c r="J6" i="15"/>
  <c r="J7" i="15"/>
  <c r="J8" i="15"/>
  <c r="L8" i="15" s="1"/>
  <c r="N8" i="15" s="1"/>
  <c r="J9" i="15"/>
  <c r="J10" i="15"/>
  <c r="L10" i="15" s="1"/>
  <c r="N10" i="15" s="1"/>
  <c r="J31" i="15"/>
  <c r="J32" i="15"/>
  <c r="J33" i="15"/>
  <c r="J34" i="15"/>
  <c r="L34" i="15" s="1"/>
  <c r="N34" i="15" s="1"/>
  <c r="J35" i="15"/>
  <c r="L35" i="15" s="1"/>
  <c r="N35" i="15" s="1"/>
  <c r="J36" i="15"/>
  <c r="L36" i="15" s="1"/>
  <c r="N36" i="15" s="1"/>
  <c r="J37" i="15"/>
  <c r="L37" i="15" s="1"/>
  <c r="N37" i="15" s="1"/>
  <c r="J38" i="15"/>
  <c r="J39" i="15"/>
  <c r="J40" i="15"/>
  <c r="J41" i="15"/>
  <c r="L41" i="15" s="1"/>
  <c r="N41" i="15" s="1"/>
  <c r="J42" i="15"/>
  <c r="L42" i="15" s="1"/>
  <c r="N42" i="15" s="1"/>
  <c r="J43" i="15"/>
  <c r="L43" i="15" s="1"/>
  <c r="N43" i="15" s="1"/>
  <c r="J44" i="15"/>
  <c r="L44" i="15" s="1"/>
  <c r="N44" i="15" s="1"/>
  <c r="J45" i="15"/>
  <c r="L45" i="15" s="1"/>
  <c r="N45" i="15" s="1"/>
  <c r="J46" i="15"/>
  <c r="L46" i="15" s="1"/>
  <c r="N46" i="15" s="1"/>
  <c r="J47" i="15"/>
  <c r="L47" i="15" s="1"/>
  <c r="N47" i="15" s="1"/>
  <c r="J48" i="15"/>
  <c r="L48" i="15" s="1"/>
  <c r="N48" i="15" s="1"/>
  <c r="J49" i="15"/>
  <c r="L49" i="15" s="1"/>
  <c r="N49" i="15" s="1"/>
  <c r="J50" i="15"/>
  <c r="L50" i="15" s="1"/>
  <c r="N50" i="15" s="1"/>
  <c r="J51" i="15"/>
  <c r="L51" i="15" s="1"/>
  <c r="N51" i="15" s="1"/>
  <c r="J52" i="15"/>
  <c r="L52" i="15" s="1"/>
  <c r="N52" i="15" s="1"/>
  <c r="J53" i="15"/>
  <c r="J54" i="15"/>
  <c r="J55" i="15"/>
  <c r="L55" i="15" s="1"/>
  <c r="N55" i="15" s="1"/>
  <c r="J56" i="15"/>
  <c r="L56" i="15" s="1"/>
  <c r="N56" i="15" s="1"/>
  <c r="J57" i="15"/>
  <c r="L57" i="15" s="1"/>
  <c r="N57" i="15" s="1"/>
  <c r="J58" i="15"/>
  <c r="L58" i="15" s="1"/>
  <c r="N58" i="15" s="1"/>
  <c r="J59" i="15"/>
  <c r="L59" i="15" s="1"/>
  <c r="N59" i="15" s="1"/>
  <c r="J60" i="15"/>
  <c r="L60" i="15" s="1"/>
  <c r="N60" i="15" s="1"/>
  <c r="J61" i="15"/>
  <c r="J62" i="15"/>
  <c r="J63" i="15"/>
  <c r="L63" i="15" s="1"/>
  <c r="N63" i="15" s="1"/>
  <c r="J64" i="15"/>
  <c r="L64" i="15" s="1"/>
  <c r="N64" i="15" s="1"/>
  <c r="J65" i="15"/>
  <c r="L65" i="15" s="1"/>
  <c r="N65" i="15" s="1"/>
  <c r="J66" i="15"/>
  <c r="L66" i="15" s="1"/>
  <c r="N66" i="15" s="1"/>
  <c r="J67" i="15"/>
  <c r="L67" i="15" s="1"/>
  <c r="N67" i="15" s="1"/>
  <c r="J68" i="15"/>
  <c r="J69" i="15"/>
  <c r="J70" i="15"/>
  <c r="L70" i="15" s="1"/>
  <c r="N70" i="15" s="1"/>
  <c r="J71" i="15"/>
  <c r="L71" i="15" s="1"/>
  <c r="N71" i="15" s="1"/>
  <c r="J72" i="15"/>
  <c r="L72" i="15" s="1"/>
  <c r="N72" i="15" s="1"/>
  <c r="J73" i="15"/>
  <c r="L73" i="15" s="1"/>
  <c r="N73" i="15" s="1"/>
  <c r="J74" i="15"/>
  <c r="L74" i="15" s="1"/>
  <c r="N74" i="15" s="1"/>
  <c r="J75" i="15"/>
  <c r="L75" i="15" s="1"/>
  <c r="N75" i="15" s="1"/>
  <c r="J76" i="15"/>
  <c r="L76" i="15" s="1"/>
  <c r="N76" i="15" s="1"/>
  <c r="J77" i="15"/>
  <c r="J78" i="15"/>
  <c r="L78" i="15" s="1"/>
  <c r="N78" i="15" s="1"/>
  <c r="J79" i="15"/>
  <c r="J80" i="15"/>
  <c r="L80" i="15" s="1"/>
  <c r="N80" i="15" s="1"/>
  <c r="J81" i="15"/>
  <c r="L81" i="15" s="1"/>
  <c r="N81" i="15" s="1"/>
  <c r="J82" i="15"/>
  <c r="L82" i="15" s="1"/>
  <c r="N82" i="15" s="1"/>
  <c r="J83" i="15"/>
  <c r="L83" i="15" s="1"/>
  <c r="N83" i="15" s="1"/>
  <c r="J84" i="15"/>
  <c r="L84" i="15" s="1"/>
  <c r="N84" i="15" s="1"/>
  <c r="J85" i="15"/>
  <c r="J86" i="15"/>
  <c r="L86" i="15" s="1"/>
  <c r="N86" i="15" s="1"/>
  <c r="J87" i="15"/>
  <c r="L87" i="15" s="1"/>
  <c r="N87" i="15" s="1"/>
  <c r="J118" i="15"/>
  <c r="L118" i="15" s="1"/>
  <c r="N118" i="15" s="1"/>
  <c r="J119" i="15"/>
  <c r="J120" i="15"/>
  <c r="J121" i="15"/>
  <c r="J122" i="15"/>
  <c r="L122" i="15" s="1"/>
  <c r="N122" i="15" s="1"/>
  <c r="J123" i="15"/>
  <c r="L123" i="15" s="1"/>
  <c r="N123" i="15" s="1"/>
  <c r="J124" i="15"/>
  <c r="L124" i="15" s="1"/>
  <c r="N124" i="15" s="1"/>
  <c r="J125" i="15"/>
  <c r="L125" i="15" s="1"/>
  <c r="N125" i="15" s="1"/>
  <c r="J126" i="15"/>
  <c r="L126" i="15" s="1"/>
  <c r="N126" i="15" s="1"/>
  <c r="J127" i="15"/>
  <c r="L127" i="15" s="1"/>
  <c r="N127" i="15" s="1"/>
  <c r="J128" i="15"/>
  <c r="L128" i="15" s="1"/>
  <c r="N128" i="15" s="1"/>
  <c r="J3" i="15"/>
  <c r="L3" i="15" s="1"/>
  <c r="N3" i="15" s="1"/>
  <c r="I117" i="15"/>
  <c r="J117" i="15" s="1"/>
  <c r="L117" i="15" s="1"/>
  <c r="N117" i="15" s="1"/>
  <c r="I116" i="15"/>
  <c r="J116" i="15" s="1"/>
  <c r="L116" i="15" s="1"/>
  <c r="N116" i="15" s="1"/>
  <c r="I114" i="15"/>
  <c r="J114" i="15" s="1"/>
  <c r="L114" i="15" s="1"/>
  <c r="N114" i="15" s="1"/>
  <c r="I112" i="15"/>
  <c r="J112" i="15" s="1"/>
  <c r="L112" i="15" s="1"/>
  <c r="N112" i="15" s="1"/>
  <c r="I110" i="15"/>
  <c r="J110" i="15" s="1"/>
  <c r="L110" i="15" s="1"/>
  <c r="N110" i="15" s="1"/>
  <c r="I111" i="15"/>
  <c r="J111" i="15" s="1"/>
  <c r="L111" i="15" s="1"/>
  <c r="N111" i="15" s="1"/>
  <c r="I113" i="15"/>
  <c r="J113" i="15" s="1"/>
  <c r="L113" i="15" s="1"/>
  <c r="N113" i="15" s="1"/>
  <c r="I115" i="15"/>
  <c r="J115" i="15" s="1"/>
  <c r="L115" i="15" s="1"/>
  <c r="N115" i="15" s="1"/>
  <c r="I109" i="15"/>
  <c r="J109" i="15" s="1"/>
  <c r="L109" i="15" s="1"/>
  <c r="N109" i="15" s="1"/>
  <c r="I106" i="15"/>
  <c r="J106" i="15" s="1"/>
  <c r="L106" i="15" s="1"/>
  <c r="N106" i="15" s="1"/>
  <c r="I104" i="15"/>
  <c r="J104" i="15" s="1"/>
  <c r="L104" i="15" s="1"/>
  <c r="N104" i="15" s="1"/>
  <c r="I103" i="15"/>
  <c r="J103" i="15" s="1"/>
  <c r="I102" i="15"/>
  <c r="J102" i="15" s="1"/>
  <c r="I101" i="15"/>
  <c r="J101" i="15" s="1"/>
  <c r="I105" i="15"/>
  <c r="J105" i="15" s="1"/>
  <c r="I107" i="15"/>
  <c r="J107" i="15" s="1"/>
  <c r="I108" i="15"/>
  <c r="J108" i="15" s="1"/>
  <c r="I100" i="15"/>
  <c r="J100" i="15" s="1"/>
  <c r="I99" i="15"/>
  <c r="J99" i="15" s="1"/>
  <c r="L99" i="15" s="1"/>
  <c r="N99" i="15" s="1"/>
  <c r="I97" i="15"/>
  <c r="J97" i="15" s="1"/>
  <c r="L97" i="15" s="1"/>
  <c r="N97" i="15" s="1"/>
  <c r="I96" i="15"/>
  <c r="J96" i="15" s="1"/>
  <c r="L96" i="15" s="1"/>
  <c r="N96" i="15" s="1"/>
  <c r="I98" i="15"/>
  <c r="J98" i="15" s="1"/>
  <c r="L98" i="15" s="1"/>
  <c r="N98" i="15" s="1"/>
  <c r="I95" i="15"/>
  <c r="J95" i="15" s="1"/>
  <c r="L95" i="15" s="1"/>
  <c r="N95" i="15" s="1"/>
  <c r="I90" i="15"/>
  <c r="J90" i="15" s="1"/>
  <c r="L90" i="15" s="1"/>
  <c r="N90" i="15" s="1"/>
  <c r="I92" i="15"/>
  <c r="J92" i="15" s="1"/>
  <c r="L92" i="15" s="1"/>
  <c r="N92" i="15" s="1"/>
  <c r="I94" i="15"/>
  <c r="J94" i="15" s="1"/>
  <c r="L94" i="15" s="1"/>
  <c r="N94" i="15" s="1"/>
  <c r="I88" i="15"/>
  <c r="J88" i="15" s="1"/>
  <c r="L88" i="15" s="1"/>
  <c r="N88" i="15" s="1"/>
  <c r="I28" i="15"/>
  <c r="J28" i="15" s="1"/>
  <c r="I29" i="15"/>
  <c r="J29" i="15" s="1"/>
  <c r="I30" i="15"/>
  <c r="J30" i="15" s="1"/>
  <c r="I27" i="15"/>
  <c r="J27" i="15" s="1"/>
  <c r="I24" i="15"/>
  <c r="J24" i="15" s="1"/>
  <c r="L24" i="15" s="1"/>
  <c r="N24" i="15" s="1"/>
  <c r="I26" i="15"/>
  <c r="J26" i="15" s="1"/>
  <c r="L26" i="15" s="1"/>
  <c r="N26" i="15" s="1"/>
  <c r="I15" i="15"/>
  <c r="J15" i="15" s="1"/>
  <c r="L15" i="15" s="1"/>
  <c r="N15" i="15" s="1"/>
  <c r="I16" i="15"/>
  <c r="J16" i="15" s="1"/>
  <c r="L16" i="15" s="1"/>
  <c r="N16" i="15" s="1"/>
  <c r="I18" i="15"/>
  <c r="J18" i="15" s="1"/>
  <c r="L18" i="15" s="1"/>
  <c r="N18" i="15" s="1"/>
  <c r="I21" i="15"/>
  <c r="J21" i="15" s="1"/>
  <c r="L21" i="15" s="1"/>
  <c r="N21" i="15" s="1"/>
  <c r="I14" i="15"/>
  <c r="J14" i="15" s="1"/>
  <c r="L14" i="15" s="1"/>
  <c r="N14" i="15" s="1"/>
  <c r="I12" i="15"/>
  <c r="J12" i="15" s="1"/>
  <c r="L12" i="15" s="1"/>
  <c r="N12" i="15" s="1"/>
  <c r="I13" i="15"/>
  <c r="J13" i="15" s="1"/>
  <c r="L13" i="15" s="1"/>
  <c r="N13" i="15" s="1"/>
  <c r="I11" i="15"/>
  <c r="H128" i="15"/>
  <c r="H127" i="15"/>
  <c r="H126" i="15"/>
  <c r="H125" i="15"/>
  <c r="P125" i="15" s="1"/>
  <c r="H124" i="15"/>
  <c r="H123" i="15"/>
  <c r="H122" i="15"/>
  <c r="H121" i="15"/>
  <c r="P121" i="15" s="1"/>
  <c r="H120" i="15"/>
  <c r="P120" i="15" s="1"/>
  <c r="H119" i="15"/>
  <c r="P119" i="15" s="1"/>
  <c r="H118" i="15"/>
  <c r="H117" i="15"/>
  <c r="H116" i="15"/>
  <c r="H115" i="15"/>
  <c r="H114" i="15"/>
  <c r="H113" i="15"/>
  <c r="P113" i="15" s="1"/>
  <c r="H112" i="15"/>
  <c r="H111" i="15"/>
  <c r="H110" i="15"/>
  <c r="H109" i="15"/>
  <c r="H108" i="15"/>
  <c r="P108" i="15" s="1"/>
  <c r="H107" i="15"/>
  <c r="P107" i="15" s="1"/>
  <c r="H106" i="15"/>
  <c r="H105" i="15"/>
  <c r="P105" i="15" s="1"/>
  <c r="H104" i="15"/>
  <c r="H103" i="15"/>
  <c r="P103" i="15" s="1"/>
  <c r="H102" i="15"/>
  <c r="P102" i="15" s="1"/>
  <c r="H101" i="15"/>
  <c r="P101" i="15" s="1"/>
  <c r="H100" i="15"/>
  <c r="P100" i="15" s="1"/>
  <c r="H99" i="15"/>
  <c r="H98" i="15"/>
  <c r="H97" i="15"/>
  <c r="H96" i="15"/>
  <c r="H95" i="15"/>
  <c r="H94" i="15"/>
  <c r="H93" i="15"/>
  <c r="P93" i="15" s="1"/>
  <c r="H92" i="15"/>
  <c r="H91" i="15"/>
  <c r="H90" i="15"/>
  <c r="P90" i="15" s="1"/>
  <c r="H89" i="15"/>
  <c r="P89" i="15" s="1"/>
  <c r="H88" i="15"/>
  <c r="H87" i="15"/>
  <c r="H86" i="15"/>
  <c r="H85" i="15"/>
  <c r="P85" i="15" s="1"/>
  <c r="H84" i="15"/>
  <c r="H83" i="15"/>
  <c r="H82" i="15"/>
  <c r="P82" i="15" s="1"/>
  <c r="H81" i="15"/>
  <c r="P81" i="15" s="1"/>
  <c r="H80" i="15"/>
  <c r="H79" i="15"/>
  <c r="P79" i="15" s="1"/>
  <c r="H78" i="15"/>
  <c r="H77" i="15"/>
  <c r="P77" i="15" s="1"/>
  <c r="H76" i="15"/>
  <c r="H75" i="15"/>
  <c r="H74" i="15"/>
  <c r="P74" i="15" s="1"/>
  <c r="H73" i="15"/>
  <c r="P73" i="15" s="1"/>
  <c r="H72" i="15"/>
  <c r="H71" i="15"/>
  <c r="H70" i="15"/>
  <c r="H69" i="15"/>
  <c r="P69" i="15" s="1"/>
  <c r="H68" i="15"/>
  <c r="P68" i="15" s="1"/>
  <c r="H67" i="15"/>
  <c r="H66" i="15"/>
  <c r="P66" i="15" s="1"/>
  <c r="H65" i="15"/>
  <c r="P65" i="15" s="1"/>
  <c r="H64" i="15"/>
  <c r="H63" i="15"/>
  <c r="H62" i="15"/>
  <c r="P62" i="15" s="1"/>
  <c r="H61" i="15"/>
  <c r="P61" i="15" s="1"/>
  <c r="H60" i="15"/>
  <c r="H59" i="15"/>
  <c r="H58" i="15"/>
  <c r="P58" i="15" s="1"/>
  <c r="H57" i="15"/>
  <c r="P57" i="15" s="1"/>
  <c r="H56" i="15"/>
  <c r="H55" i="15"/>
  <c r="H54" i="15"/>
  <c r="P54" i="15" s="1"/>
  <c r="H53" i="15"/>
  <c r="P53" i="15" s="1"/>
  <c r="H52" i="15"/>
  <c r="H51" i="15"/>
  <c r="H50" i="15"/>
  <c r="P50" i="15" s="1"/>
  <c r="H49" i="15"/>
  <c r="P49" i="15" s="1"/>
  <c r="H48" i="15"/>
  <c r="H47" i="15"/>
  <c r="H46" i="15"/>
  <c r="P46" i="15" s="1"/>
  <c r="H45" i="15"/>
  <c r="P45" i="15" s="1"/>
  <c r="H44" i="15"/>
  <c r="H43" i="15"/>
  <c r="H42" i="15"/>
  <c r="P42" i="15" s="1"/>
  <c r="H41" i="15"/>
  <c r="P41" i="15" s="1"/>
  <c r="H40" i="15"/>
  <c r="P40" i="15" s="1"/>
  <c r="H39" i="15"/>
  <c r="P39" i="15" s="1"/>
  <c r="H38" i="15"/>
  <c r="P38" i="15" s="1"/>
  <c r="H37" i="15"/>
  <c r="P37" i="15" s="1"/>
  <c r="H36" i="15"/>
  <c r="H35" i="15"/>
  <c r="H34" i="15"/>
  <c r="P34" i="15" s="1"/>
  <c r="H33" i="15"/>
  <c r="P33" i="15" s="1"/>
  <c r="H32" i="15"/>
  <c r="P32" i="15" s="1"/>
  <c r="H31" i="15"/>
  <c r="P31" i="15" s="1"/>
  <c r="H30" i="15"/>
  <c r="P30" i="15" s="1"/>
  <c r="H29" i="15"/>
  <c r="P29" i="15" s="1"/>
  <c r="H28" i="15"/>
  <c r="P28" i="15" s="1"/>
  <c r="H27" i="15"/>
  <c r="P27" i="15" s="1"/>
  <c r="H26" i="15"/>
  <c r="H25" i="15"/>
  <c r="H24" i="15"/>
  <c r="H23" i="15"/>
  <c r="H22" i="15"/>
  <c r="H21" i="15"/>
  <c r="P21" i="15" s="1"/>
  <c r="H20" i="15"/>
  <c r="H19" i="15"/>
  <c r="H18" i="15"/>
  <c r="H17" i="15"/>
  <c r="H16" i="15"/>
  <c r="H15" i="15"/>
  <c r="P15" i="15" s="1"/>
  <c r="H14" i="15"/>
  <c r="H13" i="15"/>
  <c r="H12" i="15"/>
  <c r="H11" i="15"/>
  <c r="H10" i="15"/>
  <c r="H9" i="15"/>
  <c r="P9" i="15" s="1"/>
  <c r="H8" i="15"/>
  <c r="H7" i="15"/>
  <c r="P7" i="15" s="1"/>
  <c r="H6" i="15"/>
  <c r="P6" i="15" s="1"/>
  <c r="H5" i="15"/>
  <c r="P5" i="15" s="1"/>
  <c r="H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H3" i="15"/>
  <c r="P3" i="15" s="1"/>
  <c r="E149" i="14"/>
  <c r="L148" i="14"/>
  <c r="I148" i="14"/>
  <c r="L147" i="14"/>
  <c r="I147" i="14"/>
  <c r="L146" i="14"/>
  <c r="I146" i="14"/>
  <c r="L145" i="14"/>
  <c r="I145" i="14"/>
  <c r="L144" i="14"/>
  <c r="I144" i="14"/>
  <c r="L143" i="14"/>
  <c r="I143" i="14"/>
  <c r="L142" i="14"/>
  <c r="I142" i="14"/>
  <c r="L141" i="14"/>
  <c r="L149" i="14" s="1"/>
  <c r="I141" i="14"/>
  <c r="I149" i="14" s="1"/>
  <c r="A141" i="14"/>
  <c r="A142" i="14" s="1"/>
  <c r="A143" i="14" s="1"/>
  <c r="A144" i="14" s="1"/>
  <c r="A145" i="14" s="1"/>
  <c r="A146" i="14" s="1"/>
  <c r="A147" i="14" s="1"/>
  <c r="A148" i="14" s="1"/>
  <c r="L140" i="14"/>
  <c r="I140" i="14"/>
  <c r="E139" i="14"/>
  <c r="L138" i="14"/>
  <c r="I138" i="14"/>
  <c r="L137" i="14"/>
  <c r="I137" i="14"/>
  <c r="L136" i="14"/>
  <c r="I136" i="14"/>
  <c r="L135" i="14"/>
  <c r="I135" i="14"/>
  <c r="L134" i="14"/>
  <c r="I134" i="14"/>
  <c r="L133" i="14"/>
  <c r="I133" i="14"/>
  <c r="L132" i="14"/>
  <c r="I132" i="14"/>
  <c r="L131" i="14"/>
  <c r="I131" i="14"/>
  <c r="L130" i="14"/>
  <c r="I130" i="14"/>
  <c r="L129" i="14"/>
  <c r="I129" i="14"/>
  <c r="L128" i="14"/>
  <c r="I128" i="14"/>
  <c r="L127" i="14"/>
  <c r="I127" i="14"/>
  <c r="L126" i="14"/>
  <c r="I126" i="14"/>
  <c r="A126" i="14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L125" i="14"/>
  <c r="I125" i="14"/>
  <c r="E124" i="14"/>
  <c r="L123" i="14"/>
  <c r="I123" i="14"/>
  <c r="L122" i="14"/>
  <c r="I122" i="14"/>
  <c r="L121" i="14"/>
  <c r="I121" i="14"/>
  <c r="L120" i="14"/>
  <c r="I120" i="14"/>
  <c r="L119" i="14"/>
  <c r="I119" i="14"/>
  <c r="L118" i="14"/>
  <c r="I118" i="14"/>
  <c r="L117" i="14"/>
  <c r="I117" i="14"/>
  <c r="L116" i="14"/>
  <c r="I116" i="14"/>
  <c r="L115" i="14"/>
  <c r="I115" i="14"/>
  <c r="L114" i="14"/>
  <c r="I114" i="14"/>
  <c r="L113" i="14"/>
  <c r="I113" i="14"/>
  <c r="L112" i="14"/>
  <c r="I112" i="14"/>
  <c r="L111" i="14"/>
  <c r="I111" i="14"/>
  <c r="L110" i="14"/>
  <c r="I110" i="14"/>
  <c r="L109" i="14"/>
  <c r="I109" i="14"/>
  <c r="L108" i="14"/>
  <c r="I108" i="14"/>
  <c r="A108" i="14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L107" i="14"/>
  <c r="I107" i="14"/>
  <c r="E106" i="14"/>
  <c r="L105" i="14"/>
  <c r="I105" i="14"/>
  <c r="L104" i="14"/>
  <c r="I104" i="14"/>
  <c r="I106" i="14" s="1"/>
  <c r="E103" i="14"/>
  <c r="L102" i="14"/>
  <c r="I102" i="14"/>
  <c r="L101" i="14"/>
  <c r="I101" i="14"/>
  <c r="L100" i="14"/>
  <c r="I100" i="14"/>
  <c r="L99" i="14"/>
  <c r="I99" i="14"/>
  <c r="L98" i="14"/>
  <c r="I98" i="14"/>
  <c r="L97" i="14"/>
  <c r="I97" i="14"/>
  <c r="L96" i="14"/>
  <c r="I96" i="14"/>
  <c r="L95" i="14"/>
  <c r="I95" i="14"/>
  <c r="L94" i="14"/>
  <c r="I94" i="14"/>
  <c r="L93" i="14"/>
  <c r="I93" i="14"/>
  <c r="L92" i="14"/>
  <c r="I92" i="14"/>
  <c r="L91" i="14"/>
  <c r="I91" i="14"/>
  <c r="L90" i="14"/>
  <c r="I90" i="14"/>
  <c r="L89" i="14"/>
  <c r="I89" i="14"/>
  <c r="L88" i="14"/>
  <c r="I88" i="14"/>
  <c r="L87" i="14"/>
  <c r="I87" i="14"/>
  <c r="L86" i="14"/>
  <c r="I86" i="14"/>
  <c r="L85" i="14"/>
  <c r="I85" i="14"/>
  <c r="L84" i="14"/>
  <c r="I84" i="14"/>
  <c r="L83" i="14"/>
  <c r="I83" i="14"/>
  <c r="L82" i="14"/>
  <c r="I82" i="14"/>
  <c r="A82" i="14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L81" i="14"/>
  <c r="I81" i="14"/>
  <c r="E80" i="14"/>
  <c r="L79" i="14"/>
  <c r="I79" i="14"/>
  <c r="L78" i="14"/>
  <c r="I78" i="14"/>
  <c r="L77" i="14"/>
  <c r="I77" i="14"/>
  <c r="L76" i="14"/>
  <c r="I76" i="14"/>
  <c r="L75" i="14"/>
  <c r="I75" i="14"/>
  <c r="L74" i="14"/>
  <c r="I74" i="14"/>
  <c r="L73" i="14"/>
  <c r="I73" i="14"/>
  <c r="L72" i="14"/>
  <c r="I72" i="14"/>
  <c r="L71" i="14"/>
  <c r="I71" i="14"/>
  <c r="L70" i="14"/>
  <c r="I70" i="14"/>
  <c r="L69" i="14"/>
  <c r="I69" i="14"/>
  <c r="L68" i="14"/>
  <c r="I68" i="14"/>
  <c r="L67" i="14"/>
  <c r="I67" i="14"/>
  <c r="A67" i="14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L66" i="14"/>
  <c r="I66" i="14"/>
  <c r="E65" i="14"/>
  <c r="L64" i="14"/>
  <c r="I64" i="14"/>
  <c r="L63" i="14"/>
  <c r="I63" i="14"/>
  <c r="L62" i="14"/>
  <c r="I62" i="14"/>
  <c r="L61" i="14"/>
  <c r="I61" i="14"/>
  <c r="L60" i="14"/>
  <c r="I60" i="14"/>
  <c r="L59" i="14"/>
  <c r="I59" i="14"/>
  <c r="L58" i="14"/>
  <c r="I58" i="14"/>
  <c r="L57" i="14"/>
  <c r="I57" i="14"/>
  <c r="L56" i="14"/>
  <c r="I56" i="14"/>
  <c r="L55" i="14"/>
  <c r="I55" i="14"/>
  <c r="L54" i="14"/>
  <c r="I54" i="14"/>
  <c r="L53" i="14"/>
  <c r="I53" i="14"/>
  <c r="L52" i="14"/>
  <c r="I52" i="14"/>
  <c r="L51" i="14"/>
  <c r="I51" i="14"/>
  <c r="L50" i="14"/>
  <c r="I50" i="14"/>
  <c r="A50" i="14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L49" i="14"/>
  <c r="I49" i="14"/>
  <c r="E48" i="14"/>
  <c r="L47" i="14"/>
  <c r="I47" i="14"/>
  <c r="L46" i="14"/>
  <c r="I46" i="14"/>
  <c r="L45" i="14"/>
  <c r="I45" i="14"/>
  <c r="L44" i="14"/>
  <c r="I44" i="14"/>
  <c r="L43" i="14"/>
  <c r="I43" i="14"/>
  <c r="L42" i="14"/>
  <c r="I42" i="14"/>
  <c r="L41" i="14"/>
  <c r="I41" i="14"/>
  <c r="L40" i="14"/>
  <c r="I40" i="14"/>
  <c r="L39" i="14"/>
  <c r="I39" i="14"/>
  <c r="L38" i="14"/>
  <c r="I38" i="14"/>
  <c r="L37" i="14"/>
  <c r="I37" i="14"/>
  <c r="L36" i="14"/>
  <c r="I36" i="14"/>
  <c r="A36" i="14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L35" i="14"/>
  <c r="I35" i="14"/>
  <c r="E34" i="14"/>
  <c r="L33" i="14"/>
  <c r="I33" i="14"/>
  <c r="L32" i="14"/>
  <c r="I32" i="14"/>
  <c r="L31" i="14"/>
  <c r="I31" i="14"/>
  <c r="L30" i="14"/>
  <c r="I30" i="14"/>
  <c r="L29" i="14"/>
  <c r="I29" i="14"/>
  <c r="L28" i="14"/>
  <c r="I28" i="14"/>
  <c r="L27" i="14"/>
  <c r="I27" i="14"/>
  <c r="L26" i="14"/>
  <c r="I26" i="14"/>
  <c r="L25" i="14"/>
  <c r="I25" i="14"/>
  <c r="L24" i="14"/>
  <c r="I24" i="14"/>
  <c r="L23" i="14"/>
  <c r="I23" i="14"/>
  <c r="L22" i="14"/>
  <c r="I22" i="14"/>
  <c r="L21" i="14"/>
  <c r="I21" i="14"/>
  <c r="L20" i="14"/>
  <c r="I20" i="14"/>
  <c r="L19" i="14"/>
  <c r="I19" i="14"/>
  <c r="L18" i="14"/>
  <c r="I18" i="14"/>
  <c r="L17" i="14"/>
  <c r="I17" i="14"/>
  <c r="L16" i="14"/>
  <c r="I16" i="14"/>
  <c r="A16" i="14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L15" i="14"/>
  <c r="I15" i="14"/>
  <c r="C8" i="14"/>
  <c r="P12" i="15" l="1"/>
  <c r="P22" i="15"/>
  <c r="P111" i="15"/>
  <c r="P127" i="15"/>
  <c r="P8" i="15"/>
  <c r="P128" i="15"/>
  <c r="P47" i="15"/>
  <c r="P63" i="15"/>
  <c r="P16" i="15"/>
  <c r="P48" i="15"/>
  <c r="P72" i="15"/>
  <c r="P96" i="15"/>
  <c r="J11" i="15"/>
  <c r="L11" i="15" s="1"/>
  <c r="N11" i="15" s="1"/>
  <c r="P11" i="15" s="1"/>
  <c r="I129" i="15"/>
  <c r="P10" i="15"/>
  <c r="P18" i="15"/>
  <c r="P26" i="15"/>
  <c r="P98" i="15"/>
  <c r="P106" i="15"/>
  <c r="P114" i="15"/>
  <c r="P122" i="15"/>
  <c r="P55" i="15"/>
  <c r="P71" i="15"/>
  <c r="P88" i="15"/>
  <c r="P112" i="15"/>
  <c r="P97" i="15"/>
  <c r="P19" i="15"/>
  <c r="P91" i="15"/>
  <c r="P104" i="15"/>
  <c r="P4" i="15"/>
  <c r="P36" i="15"/>
  <c r="P44" i="15"/>
  <c r="P52" i="15"/>
  <c r="P60" i="15"/>
  <c r="P76" i="15"/>
  <c r="P84" i="15"/>
  <c r="P92" i="15"/>
  <c r="P116" i="15"/>
  <c r="P124" i="15"/>
  <c r="P35" i="15"/>
  <c r="P43" i="15"/>
  <c r="P51" i="15"/>
  <c r="P59" i="15"/>
  <c r="P67" i="15"/>
  <c r="P75" i="15"/>
  <c r="P83" i="15"/>
  <c r="P99" i="15"/>
  <c r="P115" i="15"/>
  <c r="P123" i="15"/>
  <c r="P20" i="15"/>
  <c r="P13" i="15"/>
  <c r="P109" i="15"/>
  <c r="P117" i="15"/>
  <c r="P14" i="15"/>
  <c r="P70" i="15"/>
  <c r="P78" i="15"/>
  <c r="P86" i="15"/>
  <c r="P94" i="15"/>
  <c r="P110" i="15"/>
  <c r="P118" i="15"/>
  <c r="P23" i="15"/>
  <c r="P87" i="15"/>
  <c r="P24" i="15"/>
  <c r="P56" i="15"/>
  <c r="P64" i="15"/>
  <c r="P17" i="15"/>
  <c r="P126" i="15"/>
  <c r="P95" i="15"/>
  <c r="P80" i="15"/>
  <c r="P25" i="15"/>
  <c r="L80" i="14"/>
  <c r="I34" i="14"/>
  <c r="L106" i="14"/>
  <c r="L124" i="14"/>
  <c r="I48" i="14"/>
  <c r="I150" i="14" s="1"/>
  <c r="L34" i="14"/>
  <c r="I124" i="14"/>
  <c r="I65" i="14"/>
  <c r="I139" i="14"/>
  <c r="L65" i="14"/>
  <c r="L103" i="14"/>
  <c r="L139" i="14"/>
  <c r="L48" i="14"/>
  <c r="I103" i="14"/>
  <c r="I80" i="14"/>
  <c r="E150" i="14"/>
  <c r="C10" i="14" s="1"/>
  <c r="C11" i="14" s="1"/>
  <c r="H6" i="10"/>
  <c r="H5" i="10"/>
  <c r="E7" i="10"/>
  <c r="J6" i="10" l="1"/>
  <c r="H7" i="10"/>
  <c r="E8" i="10"/>
  <c r="L150" i="14"/>
  <c r="E10" i="10" l="1"/>
  <c r="H8" i="10"/>
  <c r="I24" i="10"/>
  <c r="H10" i="10" l="1"/>
  <c r="E11" i="10"/>
  <c r="H11" i="10" s="1"/>
  <c r="H24" i="10" l="1"/>
</calcChain>
</file>

<file path=xl/sharedStrings.xml><?xml version="1.0" encoding="utf-8"?>
<sst xmlns="http://schemas.openxmlformats.org/spreadsheetml/2006/main" count="1555" uniqueCount="337">
  <si>
    <t>شماره</t>
  </si>
  <si>
    <t xml:space="preserve">تاریخ </t>
  </si>
  <si>
    <t>تفصیلات داد و ستود</t>
  </si>
  <si>
    <t xml:space="preserve">مقدار تن </t>
  </si>
  <si>
    <t xml:space="preserve">فی تن به $ </t>
  </si>
  <si>
    <t>بیلانس</t>
  </si>
  <si>
    <t>Date</t>
  </si>
  <si>
    <t>مصارف</t>
  </si>
  <si>
    <t>عواید</t>
  </si>
  <si>
    <t>Consignee</t>
  </si>
  <si>
    <t>خرید پطرول از شرکت PETROGAS</t>
  </si>
  <si>
    <t>خرید پطرول از شرکت BNK- SOLVEX</t>
  </si>
  <si>
    <t>کرایه مخازن الینکا</t>
  </si>
  <si>
    <t>SOGDIANA</t>
  </si>
  <si>
    <t>Perevalka ost</t>
  </si>
  <si>
    <t>Date of report</t>
  </si>
  <si>
    <t>Vessel</t>
  </si>
  <si>
    <t>"Volga"</t>
  </si>
  <si>
    <t>Location</t>
  </si>
  <si>
    <t>Turkmenistan, Okarem</t>
  </si>
  <si>
    <t>Product</t>
  </si>
  <si>
    <t>AI-92-K5</t>
  </si>
  <si>
    <t>Bill of Lading (mt)</t>
  </si>
  <si>
    <t>Outturn (mt)</t>
  </si>
  <si>
    <t>Difference (mt)</t>
  </si>
  <si>
    <t>Trucks departed</t>
  </si>
  <si>
    <t>Loaded (mt)</t>
  </si>
  <si>
    <t>Rest of tonnage</t>
  </si>
  <si>
    <t>№</t>
  </si>
  <si>
    <t>CMR</t>
  </si>
  <si>
    <t>Trucks</t>
  </si>
  <si>
    <t>Loaded quantity (MT)</t>
  </si>
  <si>
    <t>Belong to</t>
  </si>
  <si>
    <t>Transshipment/Rental ($)</t>
  </si>
  <si>
    <t>Total</t>
  </si>
  <si>
    <t>BS5144LB/LB2886TR</t>
  </si>
  <si>
    <t>Herat, Afghanistan</t>
  </si>
  <si>
    <t>"Soha Safa Petroleum Co"</t>
  </si>
  <si>
    <t>ED7199LB/LB5069TR</t>
  </si>
  <si>
    <t>AW2477LB/LB2933TR</t>
  </si>
  <si>
    <t>BS4959LB/LB4695TR</t>
  </si>
  <si>
    <t>BA7241LB/LBB6742TR</t>
  </si>
  <si>
    <t>DE6876BN/BN7875TR</t>
  </si>
  <si>
    <t>BK1143BN/BN8069TR</t>
  </si>
  <si>
    <t>ED6445LB/LB3516TR</t>
  </si>
  <si>
    <t>ED5182LB/LB6453TR</t>
  </si>
  <si>
    <t>BM4767LB/LB8783TR</t>
  </si>
  <si>
    <t>BY5654LB/LB8016TR</t>
  </si>
  <si>
    <t>BS1042LB/LB8549TR</t>
  </si>
  <si>
    <t>1672BNF/2624TBN</t>
  </si>
  <si>
    <t>9613BND/2610TBN</t>
  </si>
  <si>
    <t>5H01412/5HT1287</t>
  </si>
  <si>
    <t>BY7828LB/LB7840TR</t>
  </si>
  <si>
    <t>6420LBB/2185TLB</t>
  </si>
  <si>
    <t>BI1459LB/LB6414TR</t>
  </si>
  <si>
    <t>BS3241LB/LB6039TR</t>
  </si>
  <si>
    <t>DA8494BN/BN7998TR</t>
  </si>
  <si>
    <t>DA2997BN/BN8045TR</t>
  </si>
  <si>
    <t>AT3890BN/BN7143TR</t>
  </si>
  <si>
    <t>BK8140BN/BN8083TR</t>
  </si>
  <si>
    <t>7433MRE/1858TMR</t>
  </si>
  <si>
    <t>5480MRE/2419TMR</t>
  </si>
  <si>
    <t>4647MRE/2668TMR</t>
  </si>
  <si>
    <t>5390MRE/3529TMR</t>
  </si>
  <si>
    <t>8520MRE/1850TMR</t>
  </si>
  <si>
    <t>9054MRE/2610TMR</t>
  </si>
  <si>
    <t>2219MRF/2712TMR</t>
  </si>
  <si>
    <t>1617MRF/2764TMR</t>
  </si>
  <si>
    <t>BH6962BN/BN8021TR</t>
  </si>
  <si>
    <t>EA2897LB/LB2987TR</t>
  </si>
  <si>
    <t>AW2139LB/LB8853TR</t>
  </si>
  <si>
    <t>DA8438LB/LB6339TR</t>
  </si>
  <si>
    <t>EA2240LB/LB7372TR</t>
  </si>
  <si>
    <t>ED6715LB/LB8719TR</t>
  </si>
  <si>
    <t>1690MRF/3425TMR</t>
  </si>
  <si>
    <t>ED3122LB/LB9051TR</t>
  </si>
  <si>
    <t>EA9677LB/LB8143TR</t>
  </si>
  <si>
    <t>ED5218LB/LB7271TR</t>
  </si>
  <si>
    <t>8525MRE/2893TMR</t>
  </si>
  <si>
    <t>ED4023LB/LB9069TR</t>
  </si>
  <si>
    <t>BP3788LB/LB9429TR</t>
  </si>
  <si>
    <t>5354MRE/2519TMR</t>
  </si>
  <si>
    <t>BU1246LB/LB6880TR</t>
  </si>
  <si>
    <t>7973LBB/3730TLB</t>
  </si>
  <si>
    <t>9678MRE/311TMR</t>
  </si>
  <si>
    <t>ED8221LB/LB9440TR</t>
  </si>
  <si>
    <t>BI7099LB/LB6992TR</t>
  </si>
  <si>
    <t>EA9768LB/LB9477TR</t>
  </si>
  <si>
    <t>ED3024LB/LB8775TR</t>
  </si>
  <si>
    <t>7840MRE/2767TMR</t>
  </si>
  <si>
    <t>8051LBB/3119TLB</t>
  </si>
  <si>
    <t>BA1215LB/LB5447</t>
  </si>
  <si>
    <t>BY7226LB/LB9478TR</t>
  </si>
  <si>
    <t>BK4393BN/BN7916TR</t>
  </si>
  <si>
    <t>BM3172LB/LB8756TR</t>
  </si>
  <si>
    <t>1660MRF/3137TMR</t>
  </si>
  <si>
    <t>ED2791LB/LB7626TR</t>
  </si>
  <si>
    <t>DB9029MR/MR6720TR</t>
  </si>
  <si>
    <t>2218MRF/MR4595TR</t>
  </si>
  <si>
    <t>BF5271LB/LB6043TR</t>
  </si>
  <si>
    <t>ED6712LB/LB8745TR</t>
  </si>
  <si>
    <t>6876MRE/3575TMR</t>
  </si>
  <si>
    <t>BF8214LB/LB8099TR</t>
  </si>
  <si>
    <t>BA8556LB/LB5877TR</t>
  </si>
  <si>
    <t>2545BNF/2645TBN</t>
  </si>
  <si>
    <t>2729BNF/2656TBN</t>
  </si>
  <si>
    <t>7838LBB/3031TLB</t>
  </si>
  <si>
    <t>5945AGF/3258TAG</t>
  </si>
  <si>
    <t>5944AGF/3254TAG</t>
  </si>
  <si>
    <t>2190MRF/3648TMR</t>
  </si>
  <si>
    <t>1558MRF/3647TMR</t>
  </si>
  <si>
    <t>BA5286LB/LB3943TR</t>
  </si>
  <si>
    <t>ED1522LB/LB9130TR</t>
  </si>
  <si>
    <t>BA4728LB/LB3748TR</t>
  </si>
  <si>
    <t>AF5712LB/LB8069TR</t>
  </si>
  <si>
    <t>AW8758LB/LB8556TR</t>
  </si>
  <si>
    <t>BS3786LB/LB5161TR</t>
  </si>
  <si>
    <t>ED1885LB/LB8665TR</t>
  </si>
  <si>
    <t>BY1247LB/LB8741TR</t>
  </si>
  <si>
    <t>BP3783LB/LB5583TR</t>
  </si>
  <si>
    <t>BS2189LB/LB9433TR</t>
  </si>
  <si>
    <t>7970LBB/2985TLB</t>
  </si>
  <si>
    <t>Akina, Afghanistan</t>
  </si>
  <si>
    <t>AW2445LB/LB3068TR</t>
  </si>
  <si>
    <t>7880LBB/3683TLB</t>
  </si>
  <si>
    <t>7379LBB/3188TLB</t>
  </si>
  <si>
    <t>8711MRE/2892TMR</t>
  </si>
  <si>
    <t>8237LBB/3475TLB</t>
  </si>
  <si>
    <t>BA9424BN/BN5052TR</t>
  </si>
  <si>
    <t>1H06267/1HT2240</t>
  </si>
  <si>
    <t>1H12083/1HT2302</t>
  </si>
  <si>
    <t>ED7493LB/LB6063TR</t>
  </si>
  <si>
    <t>BY1880LB/LB6613TR</t>
  </si>
  <si>
    <t>7872LBB/3140TLB</t>
  </si>
  <si>
    <t>6828MRE/1224TMR</t>
  </si>
  <si>
    <t>6870LBB/3127TLB</t>
  </si>
  <si>
    <t>BJ8595MR/MR3836TR</t>
  </si>
  <si>
    <t>7378LBB/204TLB</t>
  </si>
  <si>
    <t>BY8144LB/LB9048TR</t>
  </si>
  <si>
    <t>BP6220LB/LB2190TR</t>
  </si>
  <si>
    <t>BM2423LB/LB6763TR</t>
  </si>
  <si>
    <t>8328LBB/3382TLB</t>
  </si>
  <si>
    <t>5589LBB/1285TLB</t>
  </si>
  <si>
    <t>8095LBB/2601TLB</t>
  </si>
  <si>
    <t>BP7260LB/3369TLB</t>
  </si>
  <si>
    <t>7646LBB/3307TLB</t>
  </si>
  <si>
    <t>7904LBB/3424TLB</t>
  </si>
  <si>
    <t>7873LBB/1232TLB</t>
  </si>
  <si>
    <t>BI8949LB/LB5962TR</t>
  </si>
  <si>
    <t>BF6067LB/LB5442TR</t>
  </si>
  <si>
    <t>AW1295LB/LB5088TR</t>
  </si>
  <si>
    <t>8011LBB/3429TLB</t>
  </si>
  <si>
    <t>7419LBB/3158TLB</t>
  </si>
  <si>
    <t>7669LBE/3542TLB</t>
  </si>
  <si>
    <t>3025LBE/3548TLB</t>
  </si>
  <si>
    <t>7467LBB/3089TLB</t>
  </si>
  <si>
    <t>ED7387LB/LB3107TLB</t>
  </si>
  <si>
    <t>8334LBB/LB2577TR</t>
  </si>
  <si>
    <t>EA5028LBLB6051TR</t>
  </si>
  <si>
    <t>7282LBB/2176TLB</t>
  </si>
  <si>
    <t>7086AGH/5822TAG</t>
  </si>
  <si>
    <t>7144LBB/LB8546TR</t>
  </si>
  <si>
    <t>8990AGH/2683TAG</t>
  </si>
  <si>
    <t>1H04571/1HT2285</t>
  </si>
  <si>
    <t>تاریخ</t>
  </si>
  <si>
    <t>سیمیر</t>
  </si>
  <si>
    <t>نمبر موتر</t>
  </si>
  <si>
    <t>وزن سیمیر</t>
  </si>
  <si>
    <t>مقصد</t>
  </si>
  <si>
    <t>فی تن کرایه</t>
  </si>
  <si>
    <t>وزن تخلیه</t>
  </si>
  <si>
    <t>کمبودی</t>
  </si>
  <si>
    <t>حواکت</t>
  </si>
  <si>
    <t>مجرای کمبودی</t>
  </si>
  <si>
    <t>کمبود قابل مجرا</t>
  </si>
  <si>
    <t>فی تن</t>
  </si>
  <si>
    <t>کرایه پرداختی</t>
  </si>
  <si>
    <t>مجموع</t>
  </si>
  <si>
    <t>لیست کرایه موترها</t>
  </si>
  <si>
    <t>کرایه موترها از اکریم به بندر آقینه</t>
  </si>
  <si>
    <t>کرایه موترها از اکریم به هرات</t>
  </si>
  <si>
    <t>کرایه مخازن اکریم</t>
  </si>
  <si>
    <t>Rent of Stock</t>
  </si>
  <si>
    <t>خرید سیمیر 125</t>
  </si>
  <si>
    <t>فروشات در هرات</t>
  </si>
  <si>
    <t>سریال نمبر تکت</t>
  </si>
  <si>
    <t>دریور</t>
  </si>
  <si>
    <t>وزن فروش</t>
  </si>
  <si>
    <t>فی فروش</t>
  </si>
  <si>
    <t>قیمت فروش</t>
  </si>
  <si>
    <t>22/11/1404</t>
  </si>
  <si>
    <t>فروش برای عزیز احمد سلطان حسین</t>
  </si>
  <si>
    <t>سلطان احمد</t>
  </si>
  <si>
    <t>ظاهر</t>
  </si>
  <si>
    <t>بصیراحمد</t>
  </si>
  <si>
    <t>رامش</t>
  </si>
  <si>
    <t>فروش برای عزیز احمد سلطان حسین خاور</t>
  </si>
  <si>
    <t>اسحاق</t>
  </si>
  <si>
    <t>23/11/1404</t>
  </si>
  <si>
    <t>فروش برای سید شعیب سادات بوزر</t>
  </si>
  <si>
    <t>فروش برای سید شعیب سادات</t>
  </si>
  <si>
    <t>فیض احمد</t>
  </si>
  <si>
    <t>غلام غوث</t>
  </si>
  <si>
    <t>فروش برای مرتضی مهدی زاده</t>
  </si>
  <si>
    <t>پیرمحمد</t>
  </si>
  <si>
    <t>رامین</t>
  </si>
  <si>
    <t>عبدالطیف</t>
  </si>
  <si>
    <t>وکیل احمد</t>
  </si>
  <si>
    <t>صفی الله</t>
  </si>
  <si>
    <t>فروش برای الیاس الکوزی</t>
  </si>
  <si>
    <t>فروش برای الیاس الکوزی بوزر</t>
  </si>
  <si>
    <t>عبدالواسع</t>
  </si>
  <si>
    <t>نسیم</t>
  </si>
  <si>
    <t>آغا گل</t>
  </si>
  <si>
    <t>خیبر</t>
  </si>
  <si>
    <t>جلیل احمد</t>
  </si>
  <si>
    <t>فروش برای فرهاد رحیمی</t>
  </si>
  <si>
    <t>دین محمد</t>
  </si>
  <si>
    <t>غلام سخی</t>
  </si>
  <si>
    <t>عبدالغفور</t>
  </si>
  <si>
    <t>میرگل</t>
  </si>
  <si>
    <t xml:space="preserve">فروش برای الیاس الکوزی </t>
  </si>
  <si>
    <t>امرالدین</t>
  </si>
  <si>
    <t>رسول</t>
  </si>
  <si>
    <t>24/11/1404</t>
  </si>
  <si>
    <t xml:space="preserve">فروش برای حاجی عالم یوسفی ذریعه حبیب الرحمن رحمانی </t>
  </si>
  <si>
    <t>محمد اعظم</t>
  </si>
  <si>
    <t>نعمت الله</t>
  </si>
  <si>
    <t>سمیع الله</t>
  </si>
  <si>
    <t>اسماعیل</t>
  </si>
  <si>
    <t>روی</t>
  </si>
  <si>
    <t xml:space="preserve">فروش برای نعیم الله غزنی </t>
  </si>
  <si>
    <t>عبدالواحد</t>
  </si>
  <si>
    <t>فیروز احمد</t>
  </si>
  <si>
    <t xml:space="preserve">فروش برای فرهاد رحیمی </t>
  </si>
  <si>
    <t>عباس</t>
  </si>
  <si>
    <t>فریداحمد</t>
  </si>
  <si>
    <t>فروش برای فرهاد رحیمی بوزر الباقی به حساب مرتضی مهدی زاده</t>
  </si>
  <si>
    <t>میراحمد</t>
  </si>
  <si>
    <t>عبدالحمید</t>
  </si>
  <si>
    <t>شعیب</t>
  </si>
  <si>
    <t>عبدالوهاب</t>
  </si>
  <si>
    <t>انور</t>
  </si>
  <si>
    <t>نذیراحمد</t>
  </si>
  <si>
    <t>فرید احمد</t>
  </si>
  <si>
    <t>عبدالمجید</t>
  </si>
  <si>
    <t>امان الله</t>
  </si>
  <si>
    <t>خلیفه امان الله</t>
  </si>
  <si>
    <t>فریدون</t>
  </si>
  <si>
    <t>خداداد</t>
  </si>
  <si>
    <t>عبدالناصر</t>
  </si>
  <si>
    <t>شیرآغا</t>
  </si>
  <si>
    <t>عبدالمنان</t>
  </si>
  <si>
    <t>جاوید</t>
  </si>
  <si>
    <t>محمد انور</t>
  </si>
  <si>
    <t>ننگیالی</t>
  </si>
  <si>
    <t>زمری</t>
  </si>
  <si>
    <t>25/11/1404</t>
  </si>
  <si>
    <t>ناصر</t>
  </si>
  <si>
    <t>کبیر احمد</t>
  </si>
  <si>
    <t>فروش برای مرتضی مهدی زاده بوزر</t>
  </si>
  <si>
    <t>محمد کریم</t>
  </si>
  <si>
    <t>عبدالرحیم</t>
  </si>
  <si>
    <t>28/11/1404</t>
  </si>
  <si>
    <t>ویس</t>
  </si>
  <si>
    <t>نصیراحمد</t>
  </si>
  <si>
    <t>میلاد</t>
  </si>
  <si>
    <t>29/11/1404</t>
  </si>
  <si>
    <t>عبدالصبور</t>
  </si>
  <si>
    <t>30/11/1404</t>
  </si>
  <si>
    <t xml:space="preserve">فروش برای حاجی عالم یوسفی </t>
  </si>
  <si>
    <t>حمیدالله</t>
  </si>
  <si>
    <t xml:space="preserve">غلام سخی </t>
  </si>
  <si>
    <t>3/12/1404</t>
  </si>
  <si>
    <t>فروش برای حاجی عالم یوسفی</t>
  </si>
  <si>
    <t>رفیع</t>
  </si>
  <si>
    <t>1/12/1404</t>
  </si>
  <si>
    <t>حکمت الله</t>
  </si>
  <si>
    <t>حبیب</t>
  </si>
  <si>
    <t>2/12/1404</t>
  </si>
  <si>
    <t>مسعود</t>
  </si>
  <si>
    <t>میرویس</t>
  </si>
  <si>
    <t>محمد نبی</t>
  </si>
  <si>
    <t>5/12/1404</t>
  </si>
  <si>
    <t>نجیب الله</t>
  </si>
  <si>
    <t>حامد</t>
  </si>
  <si>
    <t>6/12/1404</t>
  </si>
  <si>
    <t>عزت</t>
  </si>
  <si>
    <t>عصمت الله</t>
  </si>
  <si>
    <t>عنایت</t>
  </si>
  <si>
    <t>عادل شاه</t>
  </si>
  <si>
    <t>بسم الله</t>
  </si>
  <si>
    <t>فروش برای فواد یوسفی</t>
  </si>
  <si>
    <t>نقیب الله</t>
  </si>
  <si>
    <t>عبدالرئوف</t>
  </si>
  <si>
    <t>فروش برای سید شیرآغا سادات</t>
  </si>
  <si>
    <t>فروش برای سید شیر آغا سادات</t>
  </si>
  <si>
    <t>7/12/1404</t>
  </si>
  <si>
    <t>امین الله</t>
  </si>
  <si>
    <t>عبدالله</t>
  </si>
  <si>
    <t>10/12/1404</t>
  </si>
  <si>
    <t>فروش برای سید شیراغا سادات</t>
  </si>
  <si>
    <t>کریم الله</t>
  </si>
  <si>
    <t>عزیزاحمد</t>
  </si>
  <si>
    <t>فروش برای ارسلان وزیری</t>
  </si>
  <si>
    <t>میده گل</t>
  </si>
  <si>
    <t>11/12/1404</t>
  </si>
  <si>
    <t>فروش برای عبدالغفار یوسفی</t>
  </si>
  <si>
    <t>عبدالستار</t>
  </si>
  <si>
    <t>محب الله</t>
  </si>
  <si>
    <t>وارده</t>
  </si>
  <si>
    <t>فروشات در آقینه</t>
  </si>
  <si>
    <t>21/10/1404</t>
  </si>
  <si>
    <t xml:space="preserve">فروش برای صادق سمنگانی </t>
  </si>
  <si>
    <t>عبدالرحمن</t>
  </si>
  <si>
    <t>لعل محمد</t>
  </si>
  <si>
    <t>عبدالحکیم</t>
  </si>
  <si>
    <t>محمد نعیم</t>
  </si>
  <si>
    <t>مصارف CASPINFLOT فی تن 35 روبل</t>
  </si>
  <si>
    <t xml:space="preserve">مصارف SURVEYOR </t>
  </si>
  <si>
    <t>مصارف محصولی</t>
  </si>
  <si>
    <t>لیست محصولی موترها</t>
  </si>
  <si>
    <t>مصارف فواید عامه</t>
  </si>
  <si>
    <t>نورم استندرد</t>
  </si>
  <si>
    <t>کمیشن بارچلانی</t>
  </si>
  <si>
    <t>یوزبلاغ</t>
  </si>
  <si>
    <t>حق الخدمه مواد نفت و کمیشن 20 پول</t>
  </si>
  <si>
    <t>مجموع افغانی</t>
  </si>
  <si>
    <t>مصارف محصولی به دالر</t>
  </si>
  <si>
    <t>مخازن اعتماد نفت</t>
  </si>
  <si>
    <t>کشتی VOLGA از روسیه به افغانستان از مسیر ترکمنستان (بندر اکریم)</t>
  </si>
  <si>
    <t>کرایه مخازن هرات - شرکت اعتماد نفت</t>
  </si>
  <si>
    <t>مفاد قرارداد</t>
  </si>
  <si>
    <t>کرایه کشتی  از شرکت MT GROUP</t>
  </si>
  <si>
    <t>دیمیرج کشتی از شرکت MT GROUP</t>
  </si>
  <si>
    <t>مصارف ( انوایس ) پورت اکریم</t>
  </si>
  <si>
    <t>فروش از مخازن  شرکت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</si>
</sst>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_(&quot;$&quot;* #,##0.000_);_(&quot;$&quot;* \(#,##0.000\);_(&quot;$&quot;* &quot;-&quot;??_);_(@_)"/>
    <numFmt numFmtId="168" formatCode="[$$-C09]#,##0.00"/>
    <numFmt numFmtId="169" formatCode="[$$-C09]#,##0.000"/>
    <numFmt numFmtId="170" formatCode="General_)"/>
    <numFmt numFmtId="171" formatCode="#,##0.000"/>
    <numFmt numFmtId="172" formatCode="[$$-409]#,##0.00"/>
    <numFmt numFmtId="173" formatCode="dd\.mm\.yy;@"/>
    <numFmt numFmtId="174" formatCode="dd\.mm\.yyyy;@"/>
    <numFmt numFmtId="175" formatCode="_(&quot;$&quot;* #,##0.0_);_(&quot;$&quot;* \(#,##0.0\);_(&quot;$&quot;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6"/>
      <color rgb="FFFF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B Yagut"/>
      <charset val="178"/>
    </font>
    <font>
      <sz val="10"/>
      <name val="Arial"/>
      <family val="2"/>
    </font>
    <font>
      <sz val="10"/>
      <color rgb="FF993366"/>
      <name val="Arial"/>
      <family val="2"/>
    </font>
    <font>
      <b/>
      <sz val="10"/>
      <color indexed="61"/>
      <name val="Arial"/>
      <family val="2"/>
    </font>
    <font>
      <sz val="10"/>
      <color indexed="6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color theme="5" tint="-0.249977111117893"/>
      <name val="Times New Roman"/>
      <family val="1"/>
      <charset val="204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rgb="FF7030A0"/>
      <name val="Arial"/>
      <family val="2"/>
    </font>
    <font>
      <b/>
      <sz val="9"/>
      <color indexed="14"/>
      <name val="Arial"/>
      <family val="2"/>
    </font>
    <font>
      <b/>
      <sz val="9"/>
      <color indexed="61"/>
      <name val="Arial"/>
      <family val="2"/>
    </font>
    <font>
      <b/>
      <sz val="10"/>
      <color rgb="FF963634"/>
      <name val="Arial"/>
      <family val="2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name val="Tahoma"/>
      <family val="2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name val="Courier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b/>
      <sz val="24"/>
      <color rgb="FFFF0000"/>
      <name val="Arial"/>
      <family val="2"/>
    </font>
    <font>
      <sz val="11"/>
      <color rgb="FF000000"/>
      <name val="Calibri"/>
      <family val="2"/>
    </font>
    <font>
      <b/>
      <sz val="9"/>
      <color rgb="FFFF00FF"/>
      <name val="Arial"/>
      <family val="2"/>
    </font>
    <font>
      <b/>
      <sz val="11"/>
      <color rgb="FF7030A0"/>
      <name val="Arial"/>
      <family val="2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170" fontId="29" fillId="0" borderId="0"/>
  </cellStyleXfs>
  <cellXfs count="345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center"/>
    </xf>
    <xf numFmtId="0" fontId="0" fillId="2" borderId="0" xfId="0" applyFill="1" applyBorder="1"/>
    <xf numFmtId="0" fontId="8" fillId="2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2" fillId="2" borderId="0" xfId="0" applyFont="1" applyFill="1"/>
    <xf numFmtId="164" fontId="8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 vertical="top"/>
    </xf>
    <xf numFmtId="165" fontId="8" fillId="2" borderId="0" xfId="0" applyNumberFormat="1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0" fontId="0" fillId="0" borderId="0" xfId="0" applyFill="1"/>
    <xf numFmtId="0" fontId="8" fillId="0" borderId="0" xfId="0" applyFont="1" applyFill="1"/>
    <xf numFmtId="0" fontId="13" fillId="0" borderId="0" xfId="0" applyFont="1" applyFill="1"/>
    <xf numFmtId="0" fontId="2" fillId="0" borderId="0" xfId="0" applyFont="1" applyFill="1"/>
    <xf numFmtId="164" fontId="8" fillId="0" borderId="0" xfId="0" applyNumberFormat="1" applyFont="1" applyFill="1" applyAlignment="1">
      <alignment horizontal="center"/>
    </xf>
    <xf numFmtId="164" fontId="11" fillId="0" borderId="0" xfId="0" applyNumberFormat="1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 vertical="top"/>
    </xf>
    <xf numFmtId="165" fontId="8" fillId="0" borderId="0" xfId="0" applyNumberFormat="1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right" vertical="center"/>
    </xf>
    <xf numFmtId="0" fontId="3" fillId="0" borderId="9" xfId="0" applyFont="1" applyFill="1" applyBorder="1" applyAlignment="1">
      <alignment horizontal="center" vertical="center"/>
    </xf>
    <xf numFmtId="166" fontId="3" fillId="0" borderId="9" xfId="1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 applyProtection="1">
      <alignment horizontal="center" vertical="center" shrinkToFit="1"/>
      <protection locked="0"/>
    </xf>
    <xf numFmtId="14" fontId="12" fillId="2" borderId="9" xfId="0" applyNumberFormat="1" applyFont="1" applyFill="1" applyBorder="1" applyAlignment="1">
      <alignment horizontal="center" vertical="center"/>
    </xf>
    <xf numFmtId="164" fontId="14" fillId="2" borderId="9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10" fillId="2" borderId="6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center" vertical="center"/>
    </xf>
    <xf numFmtId="1" fontId="8" fillId="0" borderId="6" xfId="0" applyNumberFormat="1" applyFont="1" applyFill="1" applyBorder="1" applyAlignment="1">
      <alignment horizontal="center" vertical="center"/>
    </xf>
    <xf numFmtId="166" fontId="17" fillId="0" borderId="9" xfId="1" applyNumberFormat="1" applyFont="1" applyFill="1" applyBorder="1" applyAlignment="1">
      <alignment horizontal="center" vertical="center"/>
    </xf>
    <xf numFmtId="166" fontId="18" fillId="0" borderId="9" xfId="1" applyNumberFormat="1" applyFont="1" applyFill="1" applyBorder="1" applyAlignment="1">
      <alignment horizontal="center" vertical="center"/>
    </xf>
    <xf numFmtId="166" fontId="19" fillId="0" borderId="11" xfId="1" applyNumberFormat="1" applyFont="1" applyFill="1" applyBorder="1" applyAlignment="1">
      <alignment horizontal="center" vertical="center"/>
    </xf>
    <xf numFmtId="164" fontId="20" fillId="0" borderId="9" xfId="0" applyNumberFormat="1" applyFont="1" applyFill="1" applyBorder="1" applyAlignment="1">
      <alignment horizontal="center" vertical="center"/>
    </xf>
    <xf numFmtId="44" fontId="21" fillId="0" borderId="9" xfId="1" applyNumberFormat="1" applyFont="1" applyFill="1" applyBorder="1" applyAlignment="1">
      <alignment horizontal="center" vertical="center"/>
    </xf>
    <xf numFmtId="167" fontId="21" fillId="0" borderId="9" xfId="1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3" borderId="6" xfId="0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/>
    </xf>
    <xf numFmtId="164" fontId="9" fillId="3" borderId="0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 vertical="top"/>
    </xf>
    <xf numFmtId="165" fontId="2" fillId="3" borderId="0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right" vertical="center" wrapText="1"/>
    </xf>
    <xf numFmtId="164" fontId="20" fillId="0" borderId="8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shrinkToFit="1"/>
    </xf>
    <xf numFmtId="0" fontId="6" fillId="2" borderId="0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164" fontId="20" fillId="0" borderId="4" xfId="0" applyNumberFormat="1" applyFont="1" applyFill="1" applyBorder="1" applyAlignment="1">
      <alignment horizontal="center" vertical="center"/>
    </xf>
    <xf numFmtId="44" fontId="21" fillId="2" borderId="4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/>
    </xf>
    <xf numFmtId="166" fontId="17" fillId="0" borderId="4" xfId="1" applyNumberFormat="1" applyFont="1" applyFill="1" applyBorder="1" applyAlignment="1">
      <alignment horizontal="center" vertical="center"/>
    </xf>
    <xf numFmtId="166" fontId="18" fillId="0" borderId="4" xfId="1" applyNumberFormat="1" applyFont="1" applyFill="1" applyBorder="1" applyAlignment="1">
      <alignment horizontal="center" vertical="center"/>
    </xf>
    <xf numFmtId="166" fontId="19" fillId="0" borderId="5" xfId="1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shrinkToFit="1"/>
    </xf>
    <xf numFmtId="0" fontId="6" fillId="4" borderId="0" xfId="0" applyFont="1" applyFill="1" applyBorder="1" applyAlignment="1">
      <alignment horizontal="center" vertical="center"/>
    </xf>
    <xf numFmtId="164" fontId="6" fillId="4" borderId="0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1" fontId="6" fillId="4" borderId="0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Border="1" applyAlignment="1">
      <alignment horizontal="center" vertical="center"/>
    </xf>
    <xf numFmtId="166" fontId="17" fillId="2" borderId="0" xfId="1" applyNumberFormat="1" applyFont="1" applyFill="1" applyBorder="1" applyAlignment="1">
      <alignment horizontal="center"/>
    </xf>
    <xf numFmtId="166" fontId="18" fillId="2" borderId="0" xfId="1" applyNumberFormat="1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center" wrapText="1"/>
    </xf>
    <xf numFmtId="2" fontId="0" fillId="2" borderId="0" xfId="0" applyNumberFormat="1" applyFill="1" applyBorder="1"/>
    <xf numFmtId="2" fontId="0" fillId="2" borderId="0" xfId="0" applyNumberFormat="1" applyFill="1"/>
    <xf numFmtId="2" fontId="0" fillId="0" borderId="0" xfId="0" applyNumberFormat="1" applyFill="1"/>
    <xf numFmtId="49" fontId="23" fillId="0" borderId="0" xfId="0" applyNumberFormat="1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vertical="center" wrapText="1"/>
    </xf>
    <xf numFmtId="164" fontId="25" fillId="0" borderId="0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172" fontId="27" fillId="0" borderId="37" xfId="0" applyNumberFormat="1" applyFont="1" applyFill="1" applyBorder="1" applyAlignment="1">
      <alignment horizontal="center" vertical="center"/>
    </xf>
    <xf numFmtId="172" fontId="27" fillId="0" borderId="49" xfId="0" applyNumberFormat="1" applyFont="1" applyFill="1" applyBorder="1" applyAlignment="1">
      <alignment horizontal="center" vertical="center"/>
    </xf>
    <xf numFmtId="172" fontId="27" fillId="0" borderId="45" xfId="0" applyNumberFormat="1" applyFont="1" applyFill="1" applyBorder="1" applyAlignment="1">
      <alignment horizontal="center" vertical="center"/>
    </xf>
    <xf numFmtId="172" fontId="27" fillId="0" borderId="51" xfId="0" applyNumberFormat="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14" fontId="25" fillId="0" borderId="8" xfId="0" applyNumberFormat="1" applyFont="1" applyFill="1" applyBorder="1" applyAlignment="1">
      <alignment horizontal="center" vertical="center"/>
    </xf>
    <xf numFmtId="164" fontId="25" fillId="0" borderId="8" xfId="0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/>
    </xf>
    <xf numFmtId="168" fontId="25" fillId="0" borderId="8" xfId="0" applyNumberFormat="1" applyFont="1" applyFill="1" applyBorder="1" applyAlignment="1">
      <alignment horizontal="center" vertical="center"/>
    </xf>
    <xf numFmtId="168" fontId="25" fillId="0" borderId="46" xfId="0" applyNumberFormat="1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172" fontId="25" fillId="0" borderId="2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14" fontId="25" fillId="0" borderId="9" xfId="0" applyNumberFormat="1" applyFont="1" applyFill="1" applyBorder="1" applyAlignment="1">
      <alignment horizontal="center" vertical="center"/>
    </xf>
    <xf numFmtId="164" fontId="25" fillId="0" borderId="9" xfId="0" applyNumberFormat="1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center" vertical="center"/>
    </xf>
    <xf numFmtId="164" fontId="25" fillId="0" borderId="16" xfId="0" applyNumberFormat="1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164" fontId="31" fillId="5" borderId="14" xfId="0" applyNumberFormat="1" applyFont="1" applyFill="1" applyBorder="1" applyAlignment="1">
      <alignment horizontal="center" vertical="center"/>
    </xf>
    <xf numFmtId="168" fontId="31" fillId="5" borderId="47" xfId="0" applyNumberFormat="1" applyFont="1" applyFill="1" applyBorder="1" applyAlignment="1">
      <alignment horizontal="center" vertical="center"/>
    </xf>
    <xf numFmtId="0" fontId="31" fillId="5" borderId="38" xfId="0" applyFont="1" applyFill="1" applyBorder="1" applyAlignment="1">
      <alignment horizontal="center" vertical="center"/>
    </xf>
    <xf numFmtId="0" fontId="31" fillId="5" borderId="39" xfId="0" applyFont="1" applyFill="1" applyBorder="1" applyAlignment="1">
      <alignment horizontal="center" vertical="center"/>
    </xf>
    <xf numFmtId="172" fontId="31" fillId="5" borderId="15" xfId="0" applyNumberFormat="1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164" fontId="31" fillId="5" borderId="42" xfId="0" applyNumberFormat="1" applyFont="1" applyFill="1" applyBorder="1" applyAlignment="1">
      <alignment horizontal="center" vertical="center"/>
    </xf>
    <xf numFmtId="168" fontId="31" fillId="5" borderId="48" xfId="0" applyNumberFormat="1" applyFont="1" applyFill="1" applyBorder="1" applyAlignment="1">
      <alignment horizontal="center" vertical="center"/>
    </xf>
    <xf numFmtId="0" fontId="31" fillId="5" borderId="43" xfId="0" applyFont="1" applyFill="1" applyBorder="1" applyAlignment="1">
      <alignment horizontal="center" vertical="center"/>
    </xf>
    <xf numFmtId="172" fontId="31" fillId="5" borderId="24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164" fontId="25" fillId="0" borderId="4" xfId="0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168" fontId="25" fillId="0" borderId="4" xfId="0" applyNumberFormat="1" applyFont="1" applyFill="1" applyBorder="1" applyAlignment="1">
      <alignment horizontal="center" vertical="center"/>
    </xf>
    <xf numFmtId="168" fontId="25" fillId="0" borderId="25" xfId="0" applyNumberFormat="1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172" fontId="25" fillId="0" borderId="5" xfId="0" applyNumberFormat="1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14" fontId="25" fillId="0" borderId="6" xfId="0" applyNumberFormat="1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164" fontId="25" fillId="0" borderId="6" xfId="0" applyNumberFormat="1" applyFont="1" applyFill="1" applyBorder="1" applyAlignment="1">
      <alignment horizontal="center" vertical="center"/>
    </xf>
    <xf numFmtId="0" fontId="25" fillId="0" borderId="40" xfId="0" applyFont="1" applyFill="1" applyBorder="1" applyAlignment="1">
      <alignment horizontal="center" vertical="center"/>
    </xf>
    <xf numFmtId="0" fontId="27" fillId="0" borderId="40" xfId="0" applyFont="1" applyFill="1" applyBorder="1" applyAlignment="1">
      <alignment horizontal="center" vertical="center"/>
    </xf>
    <xf numFmtId="168" fontId="25" fillId="0" borderId="40" xfId="0" applyNumberFormat="1" applyFont="1" applyFill="1" applyBorder="1" applyAlignment="1">
      <alignment horizontal="center" vertical="center"/>
    </xf>
    <xf numFmtId="168" fontId="25" fillId="0" borderId="41" xfId="0" applyNumberFormat="1" applyFont="1" applyFill="1" applyBorder="1" applyAlignment="1">
      <alignment horizontal="center" vertical="center"/>
    </xf>
    <xf numFmtId="0" fontId="25" fillId="0" borderId="35" xfId="0" applyFont="1" applyFill="1" applyBorder="1" applyAlignment="1">
      <alignment horizontal="center" vertical="center"/>
    </xf>
    <xf numFmtId="172" fontId="25" fillId="0" borderId="36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4" fontId="25" fillId="0" borderId="40" xfId="0" applyNumberFormat="1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25" fillId="5" borderId="19" xfId="0" applyFont="1" applyFill="1" applyBorder="1" applyAlignment="1">
      <alignment horizontal="center" vertical="center"/>
    </xf>
    <xf numFmtId="164" fontId="31" fillId="5" borderId="19" xfId="0" applyNumberFormat="1" applyFont="1" applyFill="1" applyBorder="1" applyAlignment="1">
      <alignment horizontal="center" vertical="center"/>
    </xf>
    <xf numFmtId="168" fontId="31" fillId="5" borderId="50" xfId="0" applyNumberFormat="1" applyFont="1" applyFill="1" applyBorder="1" applyAlignment="1">
      <alignment horizontal="center" vertical="center"/>
    </xf>
    <xf numFmtId="0" fontId="31" fillId="5" borderId="35" xfId="0" applyFont="1" applyFill="1" applyBorder="1" applyAlignment="1">
      <alignment horizontal="center" vertical="center"/>
    </xf>
    <xf numFmtId="0" fontId="31" fillId="5" borderId="51" xfId="0" applyFont="1" applyFill="1" applyBorder="1" applyAlignment="1">
      <alignment horizontal="center" vertical="center"/>
    </xf>
    <xf numFmtId="172" fontId="31" fillId="5" borderId="52" xfId="0" applyNumberFormat="1" applyFont="1" applyFill="1" applyBorder="1" applyAlignment="1">
      <alignment horizontal="center" vertical="center"/>
    </xf>
    <xf numFmtId="0" fontId="25" fillId="0" borderId="53" xfId="0" applyFont="1" applyFill="1" applyBorder="1" applyAlignment="1">
      <alignment horizontal="center" vertical="center"/>
    </xf>
    <xf numFmtId="14" fontId="25" fillId="0" borderId="19" xfId="0" applyNumberFormat="1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horizontal="center" vertical="center"/>
    </xf>
    <xf numFmtId="164" fontId="25" fillId="0" borderId="19" xfId="0" applyNumberFormat="1" applyFont="1" applyFill="1" applyBorder="1" applyAlignment="1">
      <alignment horizontal="center" vertical="center"/>
    </xf>
    <xf numFmtId="0" fontId="27" fillId="0" borderId="19" xfId="0" applyFont="1" applyFill="1" applyBorder="1" applyAlignment="1">
      <alignment horizontal="center" vertical="center"/>
    </xf>
    <xf numFmtId="168" fontId="25" fillId="0" borderId="19" xfId="0" applyNumberFormat="1" applyFont="1" applyFill="1" applyBorder="1" applyAlignment="1">
      <alignment horizontal="center" vertical="center"/>
    </xf>
    <xf numFmtId="168" fontId="25" fillId="0" borderId="50" xfId="0" applyNumberFormat="1" applyFont="1" applyFill="1" applyBorder="1" applyAlignment="1">
      <alignment horizontal="center" vertical="center"/>
    </xf>
    <xf numFmtId="0" fontId="25" fillId="0" borderId="54" xfId="0" applyFont="1" applyFill="1" applyBorder="1" applyAlignment="1">
      <alignment horizontal="center" vertical="center"/>
    </xf>
    <xf numFmtId="172" fontId="25" fillId="0" borderId="52" xfId="0" applyNumberFormat="1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171" fontId="31" fillId="7" borderId="14" xfId="0" applyNumberFormat="1" applyFont="1" applyFill="1" applyBorder="1" applyAlignment="1">
      <alignment horizontal="center" vertical="center"/>
    </xf>
    <xf numFmtId="168" fontId="31" fillId="7" borderId="47" xfId="0" applyNumberFormat="1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/>
    </xf>
    <xf numFmtId="172" fontId="31" fillId="7" borderId="15" xfId="0" applyNumberFormat="1" applyFont="1" applyFill="1" applyBorder="1" applyAlignment="1">
      <alignment horizontal="center" vertical="center"/>
    </xf>
    <xf numFmtId="164" fontId="24" fillId="0" borderId="0" xfId="0" applyNumberFormat="1" applyFont="1" applyFill="1" applyBorder="1" applyAlignment="1">
      <alignment horizontal="center" vertical="center"/>
    </xf>
    <xf numFmtId="169" fontId="28" fillId="0" borderId="0" xfId="0" applyNumberFormat="1" applyFont="1" applyFill="1" applyBorder="1" applyAlignment="1">
      <alignment horizontal="center" vertical="center"/>
    </xf>
    <xf numFmtId="168" fontId="24" fillId="0" borderId="0" xfId="0" applyNumberFormat="1" applyFont="1" applyFill="1" applyBorder="1" applyAlignment="1">
      <alignment horizontal="center" vertical="center"/>
    </xf>
    <xf numFmtId="164" fontId="25" fillId="0" borderId="0" xfId="0" applyNumberFormat="1" applyFont="1" applyFill="1" applyBorder="1" applyAlignment="1">
      <alignment horizontal="center" vertical="center"/>
    </xf>
    <xf numFmtId="173" fontId="30" fillId="6" borderId="42" xfId="0" applyNumberFormat="1" applyFont="1" applyFill="1" applyBorder="1" applyAlignment="1">
      <alignment horizontal="center" vertical="center" wrapText="1"/>
    </xf>
    <xf numFmtId="164" fontId="30" fillId="6" borderId="42" xfId="0" applyNumberFormat="1" applyFont="1" applyFill="1" applyBorder="1" applyAlignment="1">
      <alignment horizontal="center" vertical="center" wrapText="1"/>
    </xf>
    <xf numFmtId="174" fontId="30" fillId="6" borderId="42" xfId="0" applyNumberFormat="1" applyFont="1" applyFill="1" applyBorder="1" applyAlignment="1">
      <alignment horizontal="center" vertical="center" wrapText="1"/>
    </xf>
    <xf numFmtId="174" fontId="30" fillId="6" borderId="43" xfId="0" applyNumberFormat="1" applyFont="1" applyFill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center" vertical="center"/>
    </xf>
    <xf numFmtId="0" fontId="30" fillId="6" borderId="22" xfId="0" applyFont="1" applyFill="1" applyBorder="1" applyAlignment="1">
      <alignment horizontal="center" vertical="center"/>
    </xf>
    <xf numFmtId="0" fontId="30" fillId="6" borderId="23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44" fontId="25" fillId="0" borderId="0" xfId="1" applyFont="1" applyFill="1" applyBorder="1" applyAlignment="1">
      <alignment horizontal="center"/>
    </xf>
    <xf numFmtId="44" fontId="30" fillId="6" borderId="1" xfId="1" applyFont="1" applyFill="1" applyBorder="1" applyAlignment="1">
      <alignment horizontal="center" vertical="center"/>
    </xf>
    <xf numFmtId="0" fontId="30" fillId="6" borderId="23" xfId="0" applyFont="1" applyFill="1" applyBorder="1" applyAlignment="1">
      <alignment horizontal="center" vertical="center" wrapText="1"/>
    </xf>
    <xf numFmtId="49" fontId="30" fillId="6" borderId="42" xfId="0" applyNumberFormat="1" applyFont="1" applyFill="1" applyBorder="1" applyAlignment="1">
      <alignment horizontal="center" vertical="center" wrapText="1"/>
    </xf>
    <xf numFmtId="0" fontId="25" fillId="7" borderId="32" xfId="0" applyFont="1" applyFill="1" applyBorder="1" applyAlignment="1">
      <alignment horizontal="center" vertical="center"/>
    </xf>
    <xf numFmtId="0" fontId="25" fillId="7" borderId="40" xfId="0" applyFont="1" applyFill="1" applyBorder="1" applyAlignment="1">
      <alignment horizontal="center" vertical="center"/>
    </xf>
    <xf numFmtId="171" fontId="31" fillId="7" borderId="40" xfId="0" applyNumberFormat="1" applyFont="1" applyFill="1" applyBorder="1" applyAlignment="1">
      <alignment horizontal="center" vertical="center"/>
    </xf>
    <xf numFmtId="168" fontId="31" fillId="7" borderId="41" xfId="0" applyNumberFormat="1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44" fontId="31" fillId="7" borderId="55" xfId="1" applyFont="1" applyFill="1" applyBorder="1" applyAlignment="1">
      <alignment horizontal="center" vertical="center"/>
    </xf>
    <xf numFmtId="172" fontId="31" fillId="7" borderId="36" xfId="0" applyNumberFormat="1" applyFont="1" applyFill="1" applyBorder="1" applyAlignment="1">
      <alignment horizontal="center" vertical="center"/>
    </xf>
    <xf numFmtId="168" fontId="25" fillId="0" borderId="9" xfId="0" applyNumberFormat="1" applyFont="1" applyFill="1" applyBorder="1" applyAlignment="1">
      <alignment horizontal="center" vertical="center"/>
    </xf>
    <xf numFmtId="164" fontId="27" fillId="0" borderId="9" xfId="0" applyNumberFormat="1" applyFont="1" applyFill="1" applyBorder="1" applyAlignment="1">
      <alignment horizontal="center" vertical="center"/>
    </xf>
    <xf numFmtId="164" fontId="27" fillId="2" borderId="9" xfId="0" applyNumberFormat="1" applyFont="1" applyFill="1" applyBorder="1" applyAlignment="1">
      <alignment horizontal="center" vertical="center"/>
    </xf>
    <xf numFmtId="44" fontId="27" fillId="2" borderId="9" xfId="1" applyFont="1" applyFill="1" applyBorder="1" applyAlignment="1">
      <alignment horizontal="center" vertical="center"/>
    </xf>
    <xf numFmtId="44" fontId="27" fillId="0" borderId="9" xfId="1" applyFont="1" applyFill="1" applyBorder="1" applyAlignment="1">
      <alignment horizontal="center" vertical="center"/>
    </xf>
    <xf numFmtId="164" fontId="27" fillId="0" borderId="4" xfId="0" applyNumberFormat="1" applyFont="1" applyFill="1" applyBorder="1" applyAlignment="1">
      <alignment horizontal="center" vertical="center"/>
    </xf>
    <xf numFmtId="164" fontId="27" fillId="2" borderId="4" xfId="0" applyNumberFormat="1" applyFont="1" applyFill="1" applyBorder="1" applyAlignment="1">
      <alignment horizontal="center" vertical="center"/>
    </xf>
    <xf numFmtId="44" fontId="27" fillId="2" borderId="4" xfId="1" applyFont="1" applyFill="1" applyBorder="1" applyAlignment="1">
      <alignment horizontal="center" vertical="center"/>
    </xf>
    <xf numFmtId="44" fontId="27" fillId="0" borderId="4" xfId="1" applyFont="1" applyFill="1" applyBorder="1" applyAlignment="1">
      <alignment horizontal="center" vertical="center"/>
    </xf>
    <xf numFmtId="172" fontId="25" fillId="0" borderId="11" xfId="0" applyNumberFormat="1" applyFont="1" applyFill="1" applyBorder="1" applyAlignment="1">
      <alignment horizontal="center" vertical="center"/>
    </xf>
    <xf numFmtId="168" fontId="25" fillId="0" borderId="6" xfId="0" applyNumberFormat="1" applyFont="1" applyFill="1" applyBorder="1" applyAlignment="1">
      <alignment horizontal="center" vertical="center"/>
    </xf>
    <xf numFmtId="164" fontId="27" fillId="0" borderId="6" xfId="0" applyNumberFormat="1" applyFont="1" applyFill="1" applyBorder="1" applyAlignment="1">
      <alignment horizontal="center" vertical="center"/>
    </xf>
    <xf numFmtId="164" fontId="27" fillId="2" borderId="6" xfId="0" applyNumberFormat="1" applyFont="1" applyFill="1" applyBorder="1" applyAlignment="1">
      <alignment horizontal="center" vertical="center"/>
    </xf>
    <xf numFmtId="44" fontId="27" fillId="2" borderId="6" xfId="1" applyFont="1" applyFill="1" applyBorder="1" applyAlignment="1">
      <alignment horizontal="center" vertical="center"/>
    </xf>
    <xf numFmtId="44" fontId="27" fillId="0" borderId="6" xfId="1" applyFont="1" applyFill="1" applyBorder="1" applyAlignment="1">
      <alignment horizontal="center" vertical="center"/>
    </xf>
    <xf numFmtId="172" fontId="25" fillId="0" borderId="7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right" vertical="center" wrapText="1"/>
    </xf>
    <xf numFmtId="0" fontId="3" fillId="0" borderId="16" xfId="0" applyFont="1" applyFill="1" applyBorder="1" applyAlignment="1">
      <alignment horizontal="right" vertical="center"/>
    </xf>
    <xf numFmtId="164" fontId="20" fillId="0" borderId="16" xfId="0" applyNumberFormat="1" applyFont="1" applyFill="1" applyBorder="1" applyAlignment="1">
      <alignment horizontal="center" vertical="center"/>
    </xf>
    <xf numFmtId="167" fontId="21" fillId="0" borderId="16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17" fillId="0" borderId="16" xfId="1" applyNumberFormat="1" applyFont="1" applyFill="1" applyBorder="1" applyAlignment="1">
      <alignment horizontal="center" vertical="center"/>
    </xf>
    <xf numFmtId="166" fontId="18" fillId="0" borderId="16" xfId="1" applyNumberFormat="1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vertical="center"/>
    </xf>
    <xf numFmtId="0" fontId="34" fillId="3" borderId="0" xfId="0" applyFont="1" applyFill="1" applyBorder="1"/>
    <xf numFmtId="164" fontId="34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center" vertical="center"/>
    </xf>
    <xf numFmtId="0" fontId="34" fillId="0" borderId="0" xfId="0" applyFont="1" applyFill="1" applyBorder="1"/>
    <xf numFmtId="0" fontId="2" fillId="3" borderId="12" xfId="0" applyFont="1" applyFill="1" applyBorder="1"/>
    <xf numFmtId="0" fontId="12" fillId="3" borderId="6" xfId="0" applyFont="1" applyFill="1" applyBorder="1" applyAlignment="1">
      <alignment horizontal="center"/>
    </xf>
    <xf numFmtId="0" fontId="13" fillId="3" borderId="6" xfId="0" applyFont="1" applyFill="1" applyBorder="1"/>
    <xf numFmtId="164" fontId="35" fillId="3" borderId="6" xfId="0" applyNumberFormat="1" applyFont="1" applyFill="1" applyBorder="1" applyAlignment="1">
      <alignment horizontal="center" vertical="center"/>
    </xf>
    <xf numFmtId="166" fontId="22" fillId="3" borderId="6" xfId="1" applyNumberFormat="1" applyFont="1" applyFill="1" applyBorder="1" applyAlignment="1">
      <alignment horizontal="center" vertical="center"/>
    </xf>
    <xf numFmtId="166" fontId="16" fillId="3" borderId="6" xfId="1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0" fontId="13" fillId="3" borderId="0" xfId="0" applyFont="1" applyFill="1" applyBorder="1"/>
    <xf numFmtId="0" fontId="2" fillId="0" borderId="0" xfId="0" applyFont="1" applyFill="1" applyBorder="1"/>
    <xf numFmtId="0" fontId="13" fillId="0" borderId="0" xfId="0" applyFont="1" applyFill="1" applyBorder="1"/>
    <xf numFmtId="164" fontId="2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top"/>
    </xf>
    <xf numFmtId="165" fontId="2" fillId="0" borderId="0" xfId="0" applyNumberFormat="1" applyFont="1" applyFill="1" applyBorder="1" applyAlignment="1">
      <alignment horizontal="center" vertical="center"/>
    </xf>
    <xf numFmtId="164" fontId="31" fillId="7" borderId="35" xfId="0" applyNumberFormat="1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shrinkToFit="1"/>
    </xf>
    <xf numFmtId="0" fontId="6" fillId="8" borderId="42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164" fontId="6" fillId="8" borderId="42" xfId="0" applyNumberFormat="1" applyFont="1" applyFill="1" applyBorder="1" applyAlignment="1">
      <alignment horizontal="center" vertical="center"/>
    </xf>
    <xf numFmtId="1" fontId="6" fillId="8" borderId="42" xfId="0" applyNumberFormat="1" applyFont="1" applyFill="1" applyBorder="1" applyAlignment="1">
      <alignment horizontal="center" vertical="center"/>
    </xf>
    <xf numFmtId="165" fontId="6" fillId="8" borderId="24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right" vertical="center"/>
    </xf>
    <xf numFmtId="164" fontId="35" fillId="3" borderId="9" xfId="0" applyNumberFormat="1" applyFont="1" applyFill="1" applyBorder="1" applyAlignment="1">
      <alignment horizontal="center" vertical="center"/>
    </xf>
    <xf numFmtId="166" fontId="22" fillId="3" borderId="9" xfId="1" applyNumberFormat="1" applyFont="1" applyFill="1" applyBorder="1" applyAlignment="1">
      <alignment horizontal="center" vertical="center"/>
    </xf>
    <xf numFmtId="166" fontId="16" fillId="3" borderId="9" xfId="1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164" fontId="35" fillId="3" borderId="4" xfId="0" applyNumberFormat="1" applyFont="1" applyFill="1" applyBorder="1" applyAlignment="1">
      <alignment horizontal="center" vertical="center"/>
    </xf>
    <xf numFmtId="166" fontId="22" fillId="3" borderId="4" xfId="1" applyNumberFormat="1" applyFont="1" applyFill="1" applyBorder="1" applyAlignment="1">
      <alignment horizontal="center" vertical="center"/>
    </xf>
    <xf numFmtId="166" fontId="16" fillId="3" borderId="4" xfId="1" applyNumberFormat="1" applyFont="1" applyFill="1" applyBorder="1" applyAlignment="1">
      <alignment horizontal="center" vertical="center"/>
    </xf>
    <xf numFmtId="166" fontId="36" fillId="3" borderId="5" xfId="1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6" fontId="36" fillId="3" borderId="11" xfId="1" applyNumberFormat="1" applyFont="1" applyFill="1" applyBorder="1" applyAlignment="1">
      <alignment horizontal="center" vertical="center"/>
    </xf>
    <xf numFmtId="164" fontId="35" fillId="3" borderId="0" xfId="0" applyNumberFormat="1" applyFont="1" applyFill="1" applyBorder="1" applyAlignment="1">
      <alignment horizontal="center" vertical="center"/>
    </xf>
    <xf numFmtId="166" fontId="16" fillId="3" borderId="0" xfId="1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" fontId="25" fillId="0" borderId="4" xfId="0" applyNumberFormat="1" applyFont="1" applyFill="1" applyBorder="1" applyAlignment="1">
      <alignment horizontal="center" vertical="center"/>
    </xf>
    <xf numFmtId="1" fontId="27" fillId="0" borderId="4" xfId="0" applyNumberFormat="1" applyFont="1" applyFill="1" applyBorder="1" applyAlignment="1">
      <alignment horizontal="center" vertical="center"/>
    </xf>
    <xf numFmtId="1" fontId="27" fillId="2" borderId="4" xfId="0" applyNumberFormat="1" applyFont="1" applyFill="1" applyBorder="1" applyAlignment="1">
      <alignment horizontal="center" vertical="center"/>
    </xf>
    <xf numFmtId="1" fontId="27" fillId="2" borderId="4" xfId="1" applyNumberFormat="1" applyFont="1" applyFill="1" applyBorder="1" applyAlignment="1">
      <alignment horizontal="center" vertical="center"/>
    </xf>
    <xf numFmtId="1" fontId="25" fillId="0" borderId="9" xfId="0" applyNumberFormat="1" applyFont="1" applyFill="1" applyBorder="1" applyAlignment="1">
      <alignment horizontal="center" vertical="center"/>
    </xf>
    <xf numFmtId="1" fontId="27" fillId="0" borderId="9" xfId="0" applyNumberFormat="1" applyFont="1" applyFill="1" applyBorder="1" applyAlignment="1">
      <alignment horizontal="center" vertical="center"/>
    </xf>
    <xf numFmtId="1" fontId="27" fillId="2" borderId="9" xfId="0" applyNumberFormat="1" applyFont="1" applyFill="1" applyBorder="1" applyAlignment="1">
      <alignment horizontal="center" vertical="center"/>
    </xf>
    <xf numFmtId="1" fontId="27" fillId="2" borderId="9" xfId="1" applyNumberFormat="1" applyFont="1" applyFill="1" applyBorder="1" applyAlignment="1">
      <alignment horizontal="center" vertical="center"/>
    </xf>
    <xf numFmtId="44" fontId="27" fillId="0" borderId="5" xfId="1" applyFont="1" applyFill="1" applyBorder="1" applyAlignment="1">
      <alignment horizontal="center" vertical="center"/>
    </xf>
    <xf numFmtId="44" fontId="27" fillId="0" borderId="11" xfId="1" applyFont="1" applyFill="1" applyBorder="1" applyAlignment="1">
      <alignment horizontal="center" vertical="center"/>
    </xf>
    <xf numFmtId="14" fontId="25" fillId="0" borderId="16" xfId="0" applyNumberFormat="1" applyFont="1" applyFill="1" applyBorder="1" applyAlignment="1">
      <alignment horizontal="center" vertical="center"/>
    </xf>
    <xf numFmtId="1" fontId="25" fillId="0" borderId="16" xfId="0" applyNumberFormat="1" applyFont="1" applyFill="1" applyBorder="1" applyAlignment="1">
      <alignment horizontal="center" vertical="center"/>
    </xf>
    <xf numFmtId="1" fontId="27" fillId="0" borderId="16" xfId="0" applyNumberFormat="1" applyFont="1" applyFill="1" applyBorder="1" applyAlignment="1">
      <alignment horizontal="center" vertical="center"/>
    </xf>
    <xf numFmtId="1" fontId="27" fillId="2" borderId="16" xfId="0" applyNumberFormat="1" applyFont="1" applyFill="1" applyBorder="1" applyAlignment="1">
      <alignment horizontal="center" vertical="center"/>
    </xf>
    <xf numFmtId="1" fontId="27" fillId="2" borderId="16" xfId="1" applyNumberFormat="1" applyFont="1" applyFill="1" applyBorder="1" applyAlignment="1">
      <alignment horizontal="center" vertical="center"/>
    </xf>
    <xf numFmtId="44" fontId="27" fillId="0" borderId="56" xfId="1" applyFont="1" applyFill="1" applyBorder="1" applyAlignment="1">
      <alignment horizontal="center" vertical="center"/>
    </xf>
    <xf numFmtId="1" fontId="31" fillId="7" borderId="14" xfId="0" applyNumberFormat="1" applyFont="1" applyFill="1" applyBorder="1" applyAlignment="1">
      <alignment horizontal="center" vertical="center"/>
    </xf>
    <xf numFmtId="44" fontId="31" fillId="7" borderId="15" xfId="1" applyFont="1" applyFill="1" applyBorder="1" applyAlignment="1">
      <alignment horizontal="center" vertical="center"/>
    </xf>
    <xf numFmtId="175" fontId="21" fillId="0" borderId="16" xfId="1" applyNumberFormat="1" applyFont="1" applyFill="1" applyBorder="1" applyAlignment="1">
      <alignment horizontal="center" vertical="center"/>
    </xf>
    <xf numFmtId="166" fontId="21" fillId="0" borderId="16" xfId="1" applyNumberFormat="1" applyFont="1" applyFill="1" applyBorder="1" applyAlignment="1">
      <alignment horizontal="center" vertical="center"/>
    </xf>
    <xf numFmtId="14" fontId="12" fillId="0" borderId="4" xfId="0" applyNumberFormat="1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0" fontId="30" fillId="6" borderId="23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174" fontId="30" fillId="6" borderId="42" xfId="0" applyNumberFormat="1" applyFont="1" applyFill="1" applyBorder="1" applyAlignment="1">
      <alignment horizontal="center" vertical="center" wrapText="1"/>
    </xf>
    <xf numFmtId="174" fontId="30" fillId="6" borderId="40" xfId="0" applyNumberFormat="1" applyFont="1" applyFill="1" applyBorder="1" applyAlignment="1">
      <alignment horizontal="center" vertical="center" wrapText="1"/>
    </xf>
    <xf numFmtId="174" fontId="30" fillId="6" borderId="4" xfId="0" applyNumberFormat="1" applyFont="1" applyFill="1" applyBorder="1" applyAlignment="1">
      <alignment horizontal="center" vertical="center" wrapText="1"/>
    </xf>
    <xf numFmtId="174" fontId="30" fillId="6" borderId="6" xfId="0" applyNumberFormat="1" applyFont="1" applyFill="1" applyBorder="1" applyAlignment="1">
      <alignment horizontal="center" vertical="center" wrapText="1"/>
    </xf>
    <xf numFmtId="174" fontId="30" fillId="6" borderId="43" xfId="0" applyNumberFormat="1" applyFont="1" applyFill="1" applyBorder="1" applyAlignment="1">
      <alignment horizontal="center" vertical="center" wrapText="1"/>
    </xf>
    <xf numFmtId="174" fontId="30" fillId="6" borderId="45" xfId="0" applyNumberFormat="1" applyFont="1" applyFill="1" applyBorder="1" applyAlignment="1">
      <alignment horizontal="center" vertical="center" wrapText="1"/>
    </xf>
    <xf numFmtId="0" fontId="30" fillId="6" borderId="22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173" fontId="30" fillId="6" borderId="4" xfId="0" applyNumberFormat="1" applyFont="1" applyFill="1" applyBorder="1" applyAlignment="1">
      <alignment horizontal="center" vertical="center" wrapText="1"/>
    </xf>
    <xf numFmtId="173" fontId="30" fillId="6" borderId="6" xfId="0" applyNumberFormat="1" applyFont="1" applyFill="1" applyBorder="1" applyAlignment="1">
      <alignment horizontal="center" vertical="center" wrapText="1"/>
    </xf>
    <xf numFmtId="49" fontId="30" fillId="6" borderId="4" xfId="0" applyNumberFormat="1" applyFont="1" applyFill="1" applyBorder="1" applyAlignment="1">
      <alignment horizontal="center" vertical="center" wrapText="1"/>
    </xf>
    <xf numFmtId="49" fontId="30" fillId="6" borderId="6" xfId="0" applyNumberFormat="1" applyFont="1" applyFill="1" applyBorder="1" applyAlignment="1">
      <alignment horizontal="center" vertical="center" wrapText="1"/>
    </xf>
    <xf numFmtId="173" fontId="30" fillId="6" borderId="42" xfId="0" applyNumberFormat="1" applyFont="1" applyFill="1" applyBorder="1" applyAlignment="1">
      <alignment horizontal="center" vertical="center" wrapText="1"/>
    </xf>
    <xf numFmtId="173" fontId="30" fillId="6" borderId="40" xfId="0" applyNumberFormat="1" applyFont="1" applyFill="1" applyBorder="1" applyAlignment="1">
      <alignment horizontal="center" vertical="center" wrapText="1"/>
    </xf>
    <xf numFmtId="164" fontId="30" fillId="6" borderId="42" xfId="0" applyNumberFormat="1" applyFont="1" applyFill="1" applyBorder="1" applyAlignment="1">
      <alignment horizontal="center" vertical="center" wrapText="1"/>
    </xf>
    <xf numFmtId="164" fontId="30" fillId="6" borderId="40" xfId="0" applyNumberFormat="1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3" fontId="23" fillId="0" borderId="28" xfId="0" applyNumberFormat="1" applyFont="1" applyFill="1" applyBorder="1" applyAlignment="1">
      <alignment horizontal="center" vertical="center"/>
    </xf>
    <xf numFmtId="3" fontId="23" fillId="0" borderId="29" xfId="0" applyNumberFormat="1" applyFont="1" applyFill="1" applyBorder="1" applyAlignment="1">
      <alignment horizontal="center" vertical="center"/>
    </xf>
    <xf numFmtId="171" fontId="23" fillId="0" borderId="28" xfId="0" applyNumberFormat="1" applyFont="1" applyFill="1" applyBorder="1" applyAlignment="1">
      <alignment horizontal="center" vertical="center"/>
    </xf>
    <xf numFmtId="171" fontId="23" fillId="0" borderId="29" xfId="0" applyNumberFormat="1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center" vertical="center"/>
    </xf>
    <xf numFmtId="0" fontId="23" fillId="0" borderId="40" xfId="0" applyFont="1" applyFill="1" applyBorder="1" applyAlignment="1">
      <alignment horizontal="center" vertical="center"/>
    </xf>
    <xf numFmtId="171" fontId="23" fillId="0" borderId="41" xfId="0" applyNumberFormat="1" applyFont="1" applyFill="1" applyBorder="1" applyAlignment="1">
      <alignment horizontal="center" vertical="center"/>
    </xf>
    <xf numFmtId="171" fontId="23" fillId="0" borderId="2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/>
    </xf>
    <xf numFmtId="0" fontId="23" fillId="0" borderId="3" xfId="2" applyFont="1" applyFill="1" applyBorder="1" applyAlignment="1">
      <alignment horizontal="center" vertical="center"/>
    </xf>
    <xf numFmtId="0" fontId="23" fillId="0" borderId="4" xfId="2" applyFont="1" applyFill="1" applyBorder="1" applyAlignment="1">
      <alignment horizontal="center" vertical="center"/>
    </xf>
    <xf numFmtId="14" fontId="23" fillId="0" borderId="25" xfId="2" applyNumberFormat="1" applyFont="1" applyFill="1" applyBorder="1" applyAlignment="1">
      <alignment horizontal="center" vertical="center"/>
    </xf>
    <xf numFmtId="14" fontId="23" fillId="0" borderId="26" xfId="2" applyNumberFormat="1" applyFont="1" applyFill="1" applyBorder="1" applyAlignment="1">
      <alignment horizontal="center" vertical="center"/>
    </xf>
    <xf numFmtId="0" fontId="23" fillId="0" borderId="10" xfId="2" applyFont="1" applyFill="1" applyBorder="1" applyAlignment="1">
      <alignment horizontal="center" vertical="center"/>
    </xf>
    <xf numFmtId="0" fontId="23" fillId="0" borderId="9" xfId="2" applyFont="1" applyFill="1" applyBorder="1" applyAlignment="1">
      <alignment horizontal="center" vertical="center"/>
    </xf>
    <xf numFmtId="0" fontId="28" fillId="0" borderId="28" xfId="2" applyFont="1" applyFill="1" applyBorder="1" applyAlignment="1">
      <alignment horizontal="center" vertical="center"/>
    </xf>
    <xf numFmtId="0" fontId="28" fillId="0" borderId="29" xfId="2" applyFont="1" applyFill="1" applyBorder="1" applyAlignment="1">
      <alignment horizontal="center" vertical="center"/>
    </xf>
    <xf numFmtId="0" fontId="23" fillId="0" borderId="28" xfId="2" applyFont="1" applyFill="1" applyBorder="1" applyAlignment="1">
      <alignment horizontal="center" vertical="center"/>
    </xf>
    <xf numFmtId="0" fontId="23" fillId="0" borderId="29" xfId="2" applyFont="1" applyFill="1" applyBorder="1" applyAlignment="1">
      <alignment horizontal="center" vertical="center"/>
    </xf>
    <xf numFmtId="171" fontId="23" fillId="0" borderId="28" xfId="3" applyNumberFormat="1" applyFont="1" applyFill="1" applyBorder="1" applyAlignment="1">
      <alignment horizontal="center" vertical="center"/>
    </xf>
    <xf numFmtId="171" fontId="23" fillId="0" borderId="29" xfId="3" applyNumberFormat="1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_Book2" xfId="2"/>
    <cellStyle name="Обычный 2" xf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53341</xdr:colOff>
      <xdr:row>1</xdr:row>
      <xdr:rowOff>0</xdr:rowOff>
    </xdr:from>
    <xdr:to>
      <xdr:col>2</xdr:col>
      <xdr:colOff>2590800</xdr:colOff>
      <xdr:row>1</xdr:row>
      <xdr:rowOff>15240</xdr:rowOff>
    </xdr:to>
    <xdr:sp macro="" textlink="">
      <xdr:nvSpPr>
        <xdr:cNvPr id="3" name="TextBox 2"/>
        <xdr:cNvSpPr txBox="1"/>
      </xdr:nvSpPr>
      <xdr:spPr>
        <a:xfrm>
          <a:off x="10160165100" y="312420"/>
          <a:ext cx="4168139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400" b="1">
              <a:solidFill>
                <a:schemeClr val="tx2">
                  <a:lumMod val="40000"/>
                  <a:lumOff val="60000"/>
                </a:schemeClr>
              </a:solidFill>
            </a:rPr>
            <a:t>  </a:t>
          </a:r>
          <a:endParaRPr lang="en-US" sz="1400" b="1">
            <a:solidFill>
              <a:srgbClr val="7030A0"/>
            </a:solidFill>
          </a:endParaRPr>
        </a:p>
        <a:p>
          <a:pPr algn="r" rtl="1"/>
          <a:r>
            <a:rPr lang="fa-IR" sz="1200" b="1" i="1">
              <a:solidFill>
                <a:srgbClr val="7030A0"/>
              </a:solidFill>
            </a:rPr>
            <a:t>  </a:t>
          </a:r>
          <a:r>
            <a:rPr lang="en-US" sz="1200" b="1" i="1">
              <a:solidFill>
                <a:srgbClr val="7030A0"/>
              </a:solidFill>
            </a:rPr>
            <a:t>  </a:t>
          </a:r>
          <a:r>
            <a:rPr lang="fa-IR" sz="1400" b="1" i="1">
              <a:solidFill>
                <a:srgbClr val="7030A0"/>
              </a:solidFill>
              <a:latin typeface="Engravers MT" panose="02090707080505020304" pitchFamily="18" charset="0"/>
            </a:rPr>
            <a:t>گروپ کمپنی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های</a:t>
          </a:r>
          <a:r>
            <a:rPr lang="en-US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فواد صدیقی لمیتد</a:t>
          </a:r>
          <a:endParaRPr lang="en-US" sz="14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2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000" b="1" baseline="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r" rtl="1"/>
          <a:r>
            <a:rPr lang="en-US" sz="900" b="1" i="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10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Fawad Saddiqi Group of Companies </a:t>
          </a:r>
          <a:r>
            <a:rPr lang="en-US" sz="105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  </a:t>
          </a:r>
          <a:endParaRPr lang="en-US" sz="1100" b="1" i="1">
            <a:solidFill>
              <a:srgbClr val="FF0000"/>
            </a:solidFill>
            <a:latin typeface="Bell MT" pitchFamily="18" charset="0"/>
            <a:ea typeface="+mn-ea"/>
            <a:cs typeface="W_sharq" panose="00000400000000000000" pitchFamily="2" charset="0"/>
          </a:endParaRPr>
        </a:p>
        <a:p>
          <a:pPr algn="r" rtl="1"/>
          <a:r>
            <a:rPr lang="en-US" sz="1100" b="1" baseline="0">
              <a:solidFill>
                <a:srgbClr val="FF0000"/>
              </a:solidFill>
            </a:rPr>
            <a:t>           </a:t>
          </a:r>
          <a:endParaRPr lang="en-US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297180</xdr:colOff>
      <xdr:row>0</xdr:row>
      <xdr:rowOff>28575</xdr:rowOff>
    </xdr:from>
    <xdr:to>
      <xdr:col>4</xdr:col>
      <xdr:colOff>594360</xdr:colOff>
      <xdr:row>0</xdr:row>
      <xdr:rowOff>137160</xdr:rowOff>
    </xdr:to>
    <xdr:sp macro="" textlink="">
      <xdr:nvSpPr>
        <xdr:cNvPr id="5" name="WordArt 131"/>
        <xdr:cNvSpPr>
          <a:spLocks noChangeArrowheads="1" noChangeShapeType="1" noTextEdit="1"/>
        </xdr:cNvSpPr>
      </xdr:nvSpPr>
      <xdr:spPr bwMode="auto">
        <a:xfrm>
          <a:off x="10159105920" y="28575"/>
          <a:ext cx="297180" cy="10858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7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8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6</a:t>
          </a:r>
          <a:endParaRPr kumimoji="0" lang="en-US" sz="3600" b="1" i="0" u="none" strike="noStrike" kern="10" cap="none" spc="0" normalizeH="0" baseline="0" noProof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uLnTx/>
            <a:uFillTx/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rightToLeft="1" tabSelected="1" topLeftCell="A15" zoomScaleNormal="100" workbookViewId="0">
      <selection activeCell="B25" sqref="B25"/>
    </sheetView>
  </sheetViews>
  <sheetFormatPr defaultRowHeight="14.4"/>
  <cols>
    <col min="1" max="1" width="5.33203125" style="20" customWidth="1"/>
    <col min="2" max="2" width="9.44140625" style="18" customWidth="1"/>
    <col min="3" max="3" width="44.88671875" style="21" customWidth="1"/>
    <col min="4" max="4" width="8.5546875" style="22" customWidth="1"/>
    <col min="5" max="5" width="11.33203125" style="23" bestFit="1" customWidth="1"/>
    <col min="6" max="6" width="12" style="24" customWidth="1"/>
    <col min="7" max="7" width="12" style="23" customWidth="1"/>
    <col min="8" max="8" width="13.5546875" style="25" customWidth="1"/>
    <col min="9" max="9" width="15.109375" style="26" bestFit="1" customWidth="1"/>
    <col min="10" max="10" width="14.33203125" style="27" bestFit="1" customWidth="1"/>
    <col min="11" max="11" width="3.109375" style="19" customWidth="1"/>
    <col min="12" max="12" width="6.44140625" style="19" customWidth="1"/>
    <col min="13" max="254" width="8.88671875" style="19"/>
    <col min="255" max="255" width="5.5546875" style="19" bestFit="1" customWidth="1"/>
    <col min="256" max="256" width="9.33203125" style="19" customWidth="1"/>
    <col min="257" max="257" width="24.6640625" style="19" customWidth="1"/>
    <col min="258" max="258" width="11" style="19" bestFit="1" customWidth="1"/>
    <col min="259" max="259" width="7.5546875" style="19" bestFit="1" customWidth="1"/>
    <col min="260" max="260" width="13.5546875" style="19" customWidth="1"/>
    <col min="261" max="261" width="11.33203125" style="19" bestFit="1" customWidth="1"/>
    <col min="262" max="262" width="12" style="19" customWidth="1"/>
    <col min="263" max="263" width="15.44140625" style="19" bestFit="1" customWidth="1"/>
    <col min="264" max="265" width="15.109375" style="19" bestFit="1" customWidth="1"/>
    <col min="266" max="266" width="14.33203125" style="19" bestFit="1" customWidth="1"/>
    <col min="267" max="267" width="3.109375" style="19" customWidth="1"/>
    <col min="268" max="268" width="6.44140625" style="19" customWidth="1"/>
    <col min="269" max="510" width="8.88671875" style="19"/>
    <col min="511" max="511" width="5.5546875" style="19" bestFit="1" customWidth="1"/>
    <col min="512" max="512" width="9.33203125" style="19" customWidth="1"/>
    <col min="513" max="513" width="24.6640625" style="19" customWidth="1"/>
    <col min="514" max="514" width="11" style="19" bestFit="1" customWidth="1"/>
    <col min="515" max="515" width="7.5546875" style="19" bestFit="1" customWidth="1"/>
    <col min="516" max="516" width="13.5546875" style="19" customWidth="1"/>
    <col min="517" max="517" width="11.33203125" style="19" bestFit="1" customWidth="1"/>
    <col min="518" max="518" width="12" style="19" customWidth="1"/>
    <col min="519" max="519" width="15.44140625" style="19" bestFit="1" customWidth="1"/>
    <col min="520" max="521" width="15.109375" style="19" bestFit="1" customWidth="1"/>
    <col min="522" max="522" width="14.33203125" style="19" bestFit="1" customWidth="1"/>
    <col min="523" max="523" width="3.109375" style="19" customWidth="1"/>
    <col min="524" max="524" width="6.44140625" style="19" customWidth="1"/>
    <col min="525" max="766" width="8.88671875" style="19"/>
    <col min="767" max="767" width="5.5546875" style="19" bestFit="1" customWidth="1"/>
    <col min="768" max="768" width="9.33203125" style="19" customWidth="1"/>
    <col min="769" max="769" width="24.6640625" style="19" customWidth="1"/>
    <col min="770" max="770" width="11" style="19" bestFit="1" customWidth="1"/>
    <col min="771" max="771" width="7.5546875" style="19" bestFit="1" customWidth="1"/>
    <col min="772" max="772" width="13.5546875" style="19" customWidth="1"/>
    <col min="773" max="773" width="11.33203125" style="19" bestFit="1" customWidth="1"/>
    <col min="774" max="774" width="12" style="19" customWidth="1"/>
    <col min="775" max="775" width="15.44140625" style="19" bestFit="1" customWidth="1"/>
    <col min="776" max="777" width="15.109375" style="19" bestFit="1" customWidth="1"/>
    <col min="778" max="778" width="14.33203125" style="19" bestFit="1" customWidth="1"/>
    <col min="779" max="779" width="3.109375" style="19" customWidth="1"/>
    <col min="780" max="780" width="6.44140625" style="19" customWidth="1"/>
    <col min="781" max="1022" width="8.88671875" style="19"/>
    <col min="1023" max="1023" width="5.5546875" style="19" bestFit="1" customWidth="1"/>
    <col min="1024" max="1024" width="9.33203125" style="19" customWidth="1"/>
    <col min="1025" max="1025" width="24.6640625" style="19" customWidth="1"/>
    <col min="1026" max="1026" width="11" style="19" bestFit="1" customWidth="1"/>
    <col min="1027" max="1027" width="7.5546875" style="19" bestFit="1" customWidth="1"/>
    <col min="1028" max="1028" width="13.5546875" style="19" customWidth="1"/>
    <col min="1029" max="1029" width="11.33203125" style="19" bestFit="1" customWidth="1"/>
    <col min="1030" max="1030" width="12" style="19" customWidth="1"/>
    <col min="1031" max="1031" width="15.44140625" style="19" bestFit="1" customWidth="1"/>
    <col min="1032" max="1033" width="15.109375" style="19" bestFit="1" customWidth="1"/>
    <col min="1034" max="1034" width="14.33203125" style="19" bestFit="1" customWidth="1"/>
    <col min="1035" max="1035" width="3.109375" style="19" customWidth="1"/>
    <col min="1036" max="1036" width="6.44140625" style="19" customWidth="1"/>
    <col min="1037" max="1278" width="8.88671875" style="19"/>
    <col min="1279" max="1279" width="5.5546875" style="19" bestFit="1" customWidth="1"/>
    <col min="1280" max="1280" width="9.33203125" style="19" customWidth="1"/>
    <col min="1281" max="1281" width="24.6640625" style="19" customWidth="1"/>
    <col min="1282" max="1282" width="11" style="19" bestFit="1" customWidth="1"/>
    <col min="1283" max="1283" width="7.5546875" style="19" bestFit="1" customWidth="1"/>
    <col min="1284" max="1284" width="13.5546875" style="19" customWidth="1"/>
    <col min="1285" max="1285" width="11.33203125" style="19" bestFit="1" customWidth="1"/>
    <col min="1286" max="1286" width="12" style="19" customWidth="1"/>
    <col min="1287" max="1287" width="15.44140625" style="19" bestFit="1" customWidth="1"/>
    <col min="1288" max="1289" width="15.109375" style="19" bestFit="1" customWidth="1"/>
    <col min="1290" max="1290" width="14.33203125" style="19" bestFit="1" customWidth="1"/>
    <col min="1291" max="1291" width="3.109375" style="19" customWidth="1"/>
    <col min="1292" max="1292" width="6.44140625" style="19" customWidth="1"/>
    <col min="1293" max="1534" width="8.88671875" style="19"/>
    <col min="1535" max="1535" width="5.5546875" style="19" bestFit="1" customWidth="1"/>
    <col min="1536" max="1536" width="9.33203125" style="19" customWidth="1"/>
    <col min="1537" max="1537" width="24.6640625" style="19" customWidth="1"/>
    <col min="1538" max="1538" width="11" style="19" bestFit="1" customWidth="1"/>
    <col min="1539" max="1539" width="7.5546875" style="19" bestFit="1" customWidth="1"/>
    <col min="1540" max="1540" width="13.5546875" style="19" customWidth="1"/>
    <col min="1541" max="1541" width="11.33203125" style="19" bestFit="1" customWidth="1"/>
    <col min="1542" max="1542" width="12" style="19" customWidth="1"/>
    <col min="1543" max="1543" width="15.44140625" style="19" bestFit="1" customWidth="1"/>
    <col min="1544" max="1545" width="15.109375" style="19" bestFit="1" customWidth="1"/>
    <col min="1546" max="1546" width="14.33203125" style="19" bestFit="1" customWidth="1"/>
    <col min="1547" max="1547" width="3.109375" style="19" customWidth="1"/>
    <col min="1548" max="1548" width="6.44140625" style="19" customWidth="1"/>
    <col min="1549" max="1790" width="8.88671875" style="19"/>
    <col min="1791" max="1791" width="5.5546875" style="19" bestFit="1" customWidth="1"/>
    <col min="1792" max="1792" width="9.33203125" style="19" customWidth="1"/>
    <col min="1793" max="1793" width="24.6640625" style="19" customWidth="1"/>
    <col min="1794" max="1794" width="11" style="19" bestFit="1" customWidth="1"/>
    <col min="1795" max="1795" width="7.5546875" style="19" bestFit="1" customWidth="1"/>
    <col min="1796" max="1796" width="13.5546875" style="19" customWidth="1"/>
    <col min="1797" max="1797" width="11.33203125" style="19" bestFit="1" customWidth="1"/>
    <col min="1798" max="1798" width="12" style="19" customWidth="1"/>
    <col min="1799" max="1799" width="15.44140625" style="19" bestFit="1" customWidth="1"/>
    <col min="1800" max="1801" width="15.109375" style="19" bestFit="1" customWidth="1"/>
    <col min="1802" max="1802" width="14.33203125" style="19" bestFit="1" customWidth="1"/>
    <col min="1803" max="1803" width="3.109375" style="19" customWidth="1"/>
    <col min="1804" max="1804" width="6.44140625" style="19" customWidth="1"/>
    <col min="1805" max="2046" width="8.88671875" style="19"/>
    <col min="2047" max="2047" width="5.5546875" style="19" bestFit="1" customWidth="1"/>
    <col min="2048" max="2048" width="9.33203125" style="19" customWidth="1"/>
    <col min="2049" max="2049" width="24.6640625" style="19" customWidth="1"/>
    <col min="2050" max="2050" width="11" style="19" bestFit="1" customWidth="1"/>
    <col min="2051" max="2051" width="7.5546875" style="19" bestFit="1" customWidth="1"/>
    <col min="2052" max="2052" width="13.5546875" style="19" customWidth="1"/>
    <col min="2053" max="2053" width="11.33203125" style="19" bestFit="1" customWidth="1"/>
    <col min="2054" max="2054" width="12" style="19" customWidth="1"/>
    <col min="2055" max="2055" width="15.44140625" style="19" bestFit="1" customWidth="1"/>
    <col min="2056" max="2057" width="15.109375" style="19" bestFit="1" customWidth="1"/>
    <col min="2058" max="2058" width="14.33203125" style="19" bestFit="1" customWidth="1"/>
    <col min="2059" max="2059" width="3.109375" style="19" customWidth="1"/>
    <col min="2060" max="2060" width="6.44140625" style="19" customWidth="1"/>
    <col min="2061" max="2302" width="8.88671875" style="19"/>
    <col min="2303" max="2303" width="5.5546875" style="19" bestFit="1" customWidth="1"/>
    <col min="2304" max="2304" width="9.33203125" style="19" customWidth="1"/>
    <col min="2305" max="2305" width="24.6640625" style="19" customWidth="1"/>
    <col min="2306" max="2306" width="11" style="19" bestFit="1" customWidth="1"/>
    <col min="2307" max="2307" width="7.5546875" style="19" bestFit="1" customWidth="1"/>
    <col min="2308" max="2308" width="13.5546875" style="19" customWidth="1"/>
    <col min="2309" max="2309" width="11.33203125" style="19" bestFit="1" customWidth="1"/>
    <col min="2310" max="2310" width="12" style="19" customWidth="1"/>
    <col min="2311" max="2311" width="15.44140625" style="19" bestFit="1" customWidth="1"/>
    <col min="2312" max="2313" width="15.109375" style="19" bestFit="1" customWidth="1"/>
    <col min="2314" max="2314" width="14.33203125" style="19" bestFit="1" customWidth="1"/>
    <col min="2315" max="2315" width="3.109375" style="19" customWidth="1"/>
    <col min="2316" max="2316" width="6.44140625" style="19" customWidth="1"/>
    <col min="2317" max="2558" width="8.88671875" style="19"/>
    <col min="2559" max="2559" width="5.5546875" style="19" bestFit="1" customWidth="1"/>
    <col min="2560" max="2560" width="9.33203125" style="19" customWidth="1"/>
    <col min="2561" max="2561" width="24.6640625" style="19" customWidth="1"/>
    <col min="2562" max="2562" width="11" style="19" bestFit="1" customWidth="1"/>
    <col min="2563" max="2563" width="7.5546875" style="19" bestFit="1" customWidth="1"/>
    <col min="2564" max="2564" width="13.5546875" style="19" customWidth="1"/>
    <col min="2565" max="2565" width="11.33203125" style="19" bestFit="1" customWidth="1"/>
    <col min="2566" max="2566" width="12" style="19" customWidth="1"/>
    <col min="2567" max="2567" width="15.44140625" style="19" bestFit="1" customWidth="1"/>
    <col min="2568" max="2569" width="15.109375" style="19" bestFit="1" customWidth="1"/>
    <col min="2570" max="2570" width="14.33203125" style="19" bestFit="1" customWidth="1"/>
    <col min="2571" max="2571" width="3.109375" style="19" customWidth="1"/>
    <col min="2572" max="2572" width="6.44140625" style="19" customWidth="1"/>
    <col min="2573" max="2814" width="8.88671875" style="19"/>
    <col min="2815" max="2815" width="5.5546875" style="19" bestFit="1" customWidth="1"/>
    <col min="2816" max="2816" width="9.33203125" style="19" customWidth="1"/>
    <col min="2817" max="2817" width="24.6640625" style="19" customWidth="1"/>
    <col min="2818" max="2818" width="11" style="19" bestFit="1" customWidth="1"/>
    <col min="2819" max="2819" width="7.5546875" style="19" bestFit="1" customWidth="1"/>
    <col min="2820" max="2820" width="13.5546875" style="19" customWidth="1"/>
    <col min="2821" max="2821" width="11.33203125" style="19" bestFit="1" customWidth="1"/>
    <col min="2822" max="2822" width="12" style="19" customWidth="1"/>
    <col min="2823" max="2823" width="15.44140625" style="19" bestFit="1" customWidth="1"/>
    <col min="2824" max="2825" width="15.109375" style="19" bestFit="1" customWidth="1"/>
    <col min="2826" max="2826" width="14.33203125" style="19" bestFit="1" customWidth="1"/>
    <col min="2827" max="2827" width="3.109375" style="19" customWidth="1"/>
    <col min="2828" max="2828" width="6.44140625" style="19" customWidth="1"/>
    <col min="2829" max="3070" width="8.88671875" style="19"/>
    <col min="3071" max="3071" width="5.5546875" style="19" bestFit="1" customWidth="1"/>
    <col min="3072" max="3072" width="9.33203125" style="19" customWidth="1"/>
    <col min="3073" max="3073" width="24.6640625" style="19" customWidth="1"/>
    <col min="3074" max="3074" width="11" style="19" bestFit="1" customWidth="1"/>
    <col min="3075" max="3075" width="7.5546875" style="19" bestFit="1" customWidth="1"/>
    <col min="3076" max="3076" width="13.5546875" style="19" customWidth="1"/>
    <col min="3077" max="3077" width="11.33203125" style="19" bestFit="1" customWidth="1"/>
    <col min="3078" max="3078" width="12" style="19" customWidth="1"/>
    <col min="3079" max="3079" width="15.44140625" style="19" bestFit="1" customWidth="1"/>
    <col min="3080" max="3081" width="15.109375" style="19" bestFit="1" customWidth="1"/>
    <col min="3082" max="3082" width="14.33203125" style="19" bestFit="1" customWidth="1"/>
    <col min="3083" max="3083" width="3.109375" style="19" customWidth="1"/>
    <col min="3084" max="3084" width="6.44140625" style="19" customWidth="1"/>
    <col min="3085" max="3326" width="8.88671875" style="19"/>
    <col min="3327" max="3327" width="5.5546875" style="19" bestFit="1" customWidth="1"/>
    <col min="3328" max="3328" width="9.33203125" style="19" customWidth="1"/>
    <col min="3329" max="3329" width="24.6640625" style="19" customWidth="1"/>
    <col min="3330" max="3330" width="11" style="19" bestFit="1" customWidth="1"/>
    <col min="3331" max="3331" width="7.5546875" style="19" bestFit="1" customWidth="1"/>
    <col min="3332" max="3332" width="13.5546875" style="19" customWidth="1"/>
    <col min="3333" max="3333" width="11.33203125" style="19" bestFit="1" customWidth="1"/>
    <col min="3334" max="3334" width="12" style="19" customWidth="1"/>
    <col min="3335" max="3335" width="15.44140625" style="19" bestFit="1" customWidth="1"/>
    <col min="3336" max="3337" width="15.109375" style="19" bestFit="1" customWidth="1"/>
    <col min="3338" max="3338" width="14.33203125" style="19" bestFit="1" customWidth="1"/>
    <col min="3339" max="3339" width="3.109375" style="19" customWidth="1"/>
    <col min="3340" max="3340" width="6.44140625" style="19" customWidth="1"/>
    <col min="3341" max="3582" width="8.88671875" style="19"/>
    <col min="3583" max="3583" width="5.5546875" style="19" bestFit="1" customWidth="1"/>
    <col min="3584" max="3584" width="9.33203125" style="19" customWidth="1"/>
    <col min="3585" max="3585" width="24.6640625" style="19" customWidth="1"/>
    <col min="3586" max="3586" width="11" style="19" bestFit="1" customWidth="1"/>
    <col min="3587" max="3587" width="7.5546875" style="19" bestFit="1" customWidth="1"/>
    <col min="3588" max="3588" width="13.5546875" style="19" customWidth="1"/>
    <col min="3589" max="3589" width="11.33203125" style="19" bestFit="1" customWidth="1"/>
    <col min="3590" max="3590" width="12" style="19" customWidth="1"/>
    <col min="3591" max="3591" width="15.44140625" style="19" bestFit="1" customWidth="1"/>
    <col min="3592" max="3593" width="15.109375" style="19" bestFit="1" customWidth="1"/>
    <col min="3594" max="3594" width="14.33203125" style="19" bestFit="1" customWidth="1"/>
    <col min="3595" max="3595" width="3.109375" style="19" customWidth="1"/>
    <col min="3596" max="3596" width="6.44140625" style="19" customWidth="1"/>
    <col min="3597" max="3838" width="8.88671875" style="19"/>
    <col min="3839" max="3839" width="5.5546875" style="19" bestFit="1" customWidth="1"/>
    <col min="3840" max="3840" width="9.33203125" style="19" customWidth="1"/>
    <col min="3841" max="3841" width="24.6640625" style="19" customWidth="1"/>
    <col min="3842" max="3842" width="11" style="19" bestFit="1" customWidth="1"/>
    <col min="3843" max="3843" width="7.5546875" style="19" bestFit="1" customWidth="1"/>
    <col min="3844" max="3844" width="13.5546875" style="19" customWidth="1"/>
    <col min="3845" max="3845" width="11.33203125" style="19" bestFit="1" customWidth="1"/>
    <col min="3846" max="3846" width="12" style="19" customWidth="1"/>
    <col min="3847" max="3847" width="15.44140625" style="19" bestFit="1" customWidth="1"/>
    <col min="3848" max="3849" width="15.109375" style="19" bestFit="1" customWidth="1"/>
    <col min="3850" max="3850" width="14.33203125" style="19" bestFit="1" customWidth="1"/>
    <col min="3851" max="3851" width="3.109375" style="19" customWidth="1"/>
    <col min="3852" max="3852" width="6.44140625" style="19" customWidth="1"/>
    <col min="3853" max="4094" width="8.88671875" style="19"/>
    <col min="4095" max="4095" width="5.5546875" style="19" bestFit="1" customWidth="1"/>
    <col min="4096" max="4096" width="9.33203125" style="19" customWidth="1"/>
    <col min="4097" max="4097" width="24.6640625" style="19" customWidth="1"/>
    <col min="4098" max="4098" width="11" style="19" bestFit="1" customWidth="1"/>
    <col min="4099" max="4099" width="7.5546875" style="19" bestFit="1" customWidth="1"/>
    <col min="4100" max="4100" width="13.5546875" style="19" customWidth="1"/>
    <col min="4101" max="4101" width="11.33203125" style="19" bestFit="1" customWidth="1"/>
    <col min="4102" max="4102" width="12" style="19" customWidth="1"/>
    <col min="4103" max="4103" width="15.44140625" style="19" bestFit="1" customWidth="1"/>
    <col min="4104" max="4105" width="15.109375" style="19" bestFit="1" customWidth="1"/>
    <col min="4106" max="4106" width="14.33203125" style="19" bestFit="1" customWidth="1"/>
    <col min="4107" max="4107" width="3.109375" style="19" customWidth="1"/>
    <col min="4108" max="4108" width="6.44140625" style="19" customWidth="1"/>
    <col min="4109" max="4350" width="8.88671875" style="19"/>
    <col min="4351" max="4351" width="5.5546875" style="19" bestFit="1" customWidth="1"/>
    <col min="4352" max="4352" width="9.33203125" style="19" customWidth="1"/>
    <col min="4353" max="4353" width="24.6640625" style="19" customWidth="1"/>
    <col min="4354" max="4354" width="11" style="19" bestFit="1" customWidth="1"/>
    <col min="4355" max="4355" width="7.5546875" style="19" bestFit="1" customWidth="1"/>
    <col min="4356" max="4356" width="13.5546875" style="19" customWidth="1"/>
    <col min="4357" max="4357" width="11.33203125" style="19" bestFit="1" customWidth="1"/>
    <col min="4358" max="4358" width="12" style="19" customWidth="1"/>
    <col min="4359" max="4359" width="15.44140625" style="19" bestFit="1" customWidth="1"/>
    <col min="4360" max="4361" width="15.109375" style="19" bestFit="1" customWidth="1"/>
    <col min="4362" max="4362" width="14.33203125" style="19" bestFit="1" customWidth="1"/>
    <col min="4363" max="4363" width="3.109375" style="19" customWidth="1"/>
    <col min="4364" max="4364" width="6.44140625" style="19" customWidth="1"/>
    <col min="4365" max="4606" width="8.88671875" style="19"/>
    <col min="4607" max="4607" width="5.5546875" style="19" bestFit="1" customWidth="1"/>
    <col min="4608" max="4608" width="9.33203125" style="19" customWidth="1"/>
    <col min="4609" max="4609" width="24.6640625" style="19" customWidth="1"/>
    <col min="4610" max="4610" width="11" style="19" bestFit="1" customWidth="1"/>
    <col min="4611" max="4611" width="7.5546875" style="19" bestFit="1" customWidth="1"/>
    <col min="4612" max="4612" width="13.5546875" style="19" customWidth="1"/>
    <col min="4613" max="4613" width="11.33203125" style="19" bestFit="1" customWidth="1"/>
    <col min="4614" max="4614" width="12" style="19" customWidth="1"/>
    <col min="4615" max="4615" width="15.44140625" style="19" bestFit="1" customWidth="1"/>
    <col min="4616" max="4617" width="15.109375" style="19" bestFit="1" customWidth="1"/>
    <col min="4618" max="4618" width="14.33203125" style="19" bestFit="1" customWidth="1"/>
    <col min="4619" max="4619" width="3.109375" style="19" customWidth="1"/>
    <col min="4620" max="4620" width="6.44140625" style="19" customWidth="1"/>
    <col min="4621" max="4862" width="8.88671875" style="19"/>
    <col min="4863" max="4863" width="5.5546875" style="19" bestFit="1" customWidth="1"/>
    <col min="4864" max="4864" width="9.33203125" style="19" customWidth="1"/>
    <col min="4865" max="4865" width="24.6640625" style="19" customWidth="1"/>
    <col min="4866" max="4866" width="11" style="19" bestFit="1" customWidth="1"/>
    <col min="4867" max="4867" width="7.5546875" style="19" bestFit="1" customWidth="1"/>
    <col min="4868" max="4868" width="13.5546875" style="19" customWidth="1"/>
    <col min="4869" max="4869" width="11.33203125" style="19" bestFit="1" customWidth="1"/>
    <col min="4870" max="4870" width="12" style="19" customWidth="1"/>
    <col min="4871" max="4871" width="15.44140625" style="19" bestFit="1" customWidth="1"/>
    <col min="4872" max="4873" width="15.109375" style="19" bestFit="1" customWidth="1"/>
    <col min="4874" max="4874" width="14.33203125" style="19" bestFit="1" customWidth="1"/>
    <col min="4875" max="4875" width="3.109375" style="19" customWidth="1"/>
    <col min="4876" max="4876" width="6.44140625" style="19" customWidth="1"/>
    <col min="4877" max="5118" width="8.88671875" style="19"/>
    <col min="5119" max="5119" width="5.5546875" style="19" bestFit="1" customWidth="1"/>
    <col min="5120" max="5120" width="9.33203125" style="19" customWidth="1"/>
    <col min="5121" max="5121" width="24.6640625" style="19" customWidth="1"/>
    <col min="5122" max="5122" width="11" style="19" bestFit="1" customWidth="1"/>
    <col min="5123" max="5123" width="7.5546875" style="19" bestFit="1" customWidth="1"/>
    <col min="5124" max="5124" width="13.5546875" style="19" customWidth="1"/>
    <col min="5125" max="5125" width="11.33203125" style="19" bestFit="1" customWidth="1"/>
    <col min="5126" max="5126" width="12" style="19" customWidth="1"/>
    <col min="5127" max="5127" width="15.44140625" style="19" bestFit="1" customWidth="1"/>
    <col min="5128" max="5129" width="15.109375" style="19" bestFit="1" customWidth="1"/>
    <col min="5130" max="5130" width="14.33203125" style="19" bestFit="1" customWidth="1"/>
    <col min="5131" max="5131" width="3.109375" style="19" customWidth="1"/>
    <col min="5132" max="5132" width="6.44140625" style="19" customWidth="1"/>
    <col min="5133" max="5374" width="8.88671875" style="19"/>
    <col min="5375" max="5375" width="5.5546875" style="19" bestFit="1" customWidth="1"/>
    <col min="5376" max="5376" width="9.33203125" style="19" customWidth="1"/>
    <col min="5377" max="5377" width="24.6640625" style="19" customWidth="1"/>
    <col min="5378" max="5378" width="11" style="19" bestFit="1" customWidth="1"/>
    <col min="5379" max="5379" width="7.5546875" style="19" bestFit="1" customWidth="1"/>
    <col min="5380" max="5380" width="13.5546875" style="19" customWidth="1"/>
    <col min="5381" max="5381" width="11.33203125" style="19" bestFit="1" customWidth="1"/>
    <col min="5382" max="5382" width="12" style="19" customWidth="1"/>
    <col min="5383" max="5383" width="15.44140625" style="19" bestFit="1" customWidth="1"/>
    <col min="5384" max="5385" width="15.109375" style="19" bestFit="1" customWidth="1"/>
    <col min="5386" max="5386" width="14.33203125" style="19" bestFit="1" customWidth="1"/>
    <col min="5387" max="5387" width="3.109375" style="19" customWidth="1"/>
    <col min="5388" max="5388" width="6.44140625" style="19" customWidth="1"/>
    <col min="5389" max="5630" width="8.88671875" style="19"/>
    <col min="5631" max="5631" width="5.5546875" style="19" bestFit="1" customWidth="1"/>
    <col min="5632" max="5632" width="9.33203125" style="19" customWidth="1"/>
    <col min="5633" max="5633" width="24.6640625" style="19" customWidth="1"/>
    <col min="5634" max="5634" width="11" style="19" bestFit="1" customWidth="1"/>
    <col min="5635" max="5635" width="7.5546875" style="19" bestFit="1" customWidth="1"/>
    <col min="5636" max="5636" width="13.5546875" style="19" customWidth="1"/>
    <col min="5637" max="5637" width="11.33203125" style="19" bestFit="1" customWidth="1"/>
    <col min="5638" max="5638" width="12" style="19" customWidth="1"/>
    <col min="5639" max="5639" width="15.44140625" style="19" bestFit="1" customWidth="1"/>
    <col min="5640" max="5641" width="15.109375" style="19" bestFit="1" customWidth="1"/>
    <col min="5642" max="5642" width="14.33203125" style="19" bestFit="1" customWidth="1"/>
    <col min="5643" max="5643" width="3.109375" style="19" customWidth="1"/>
    <col min="5644" max="5644" width="6.44140625" style="19" customWidth="1"/>
    <col min="5645" max="5886" width="8.88671875" style="19"/>
    <col min="5887" max="5887" width="5.5546875" style="19" bestFit="1" customWidth="1"/>
    <col min="5888" max="5888" width="9.33203125" style="19" customWidth="1"/>
    <col min="5889" max="5889" width="24.6640625" style="19" customWidth="1"/>
    <col min="5890" max="5890" width="11" style="19" bestFit="1" customWidth="1"/>
    <col min="5891" max="5891" width="7.5546875" style="19" bestFit="1" customWidth="1"/>
    <col min="5892" max="5892" width="13.5546875" style="19" customWidth="1"/>
    <col min="5893" max="5893" width="11.33203125" style="19" bestFit="1" customWidth="1"/>
    <col min="5894" max="5894" width="12" style="19" customWidth="1"/>
    <col min="5895" max="5895" width="15.44140625" style="19" bestFit="1" customWidth="1"/>
    <col min="5896" max="5897" width="15.109375" style="19" bestFit="1" customWidth="1"/>
    <col min="5898" max="5898" width="14.33203125" style="19" bestFit="1" customWidth="1"/>
    <col min="5899" max="5899" width="3.109375" style="19" customWidth="1"/>
    <col min="5900" max="5900" width="6.44140625" style="19" customWidth="1"/>
    <col min="5901" max="6142" width="8.88671875" style="19"/>
    <col min="6143" max="6143" width="5.5546875" style="19" bestFit="1" customWidth="1"/>
    <col min="6144" max="6144" width="9.33203125" style="19" customWidth="1"/>
    <col min="6145" max="6145" width="24.6640625" style="19" customWidth="1"/>
    <col min="6146" max="6146" width="11" style="19" bestFit="1" customWidth="1"/>
    <col min="6147" max="6147" width="7.5546875" style="19" bestFit="1" customWidth="1"/>
    <col min="6148" max="6148" width="13.5546875" style="19" customWidth="1"/>
    <col min="6149" max="6149" width="11.33203125" style="19" bestFit="1" customWidth="1"/>
    <col min="6150" max="6150" width="12" style="19" customWidth="1"/>
    <col min="6151" max="6151" width="15.44140625" style="19" bestFit="1" customWidth="1"/>
    <col min="6152" max="6153" width="15.109375" style="19" bestFit="1" customWidth="1"/>
    <col min="6154" max="6154" width="14.33203125" style="19" bestFit="1" customWidth="1"/>
    <col min="6155" max="6155" width="3.109375" style="19" customWidth="1"/>
    <col min="6156" max="6156" width="6.44140625" style="19" customWidth="1"/>
    <col min="6157" max="6398" width="8.88671875" style="19"/>
    <col min="6399" max="6399" width="5.5546875" style="19" bestFit="1" customWidth="1"/>
    <col min="6400" max="6400" width="9.33203125" style="19" customWidth="1"/>
    <col min="6401" max="6401" width="24.6640625" style="19" customWidth="1"/>
    <col min="6402" max="6402" width="11" style="19" bestFit="1" customWidth="1"/>
    <col min="6403" max="6403" width="7.5546875" style="19" bestFit="1" customWidth="1"/>
    <col min="6404" max="6404" width="13.5546875" style="19" customWidth="1"/>
    <col min="6405" max="6405" width="11.33203125" style="19" bestFit="1" customWidth="1"/>
    <col min="6406" max="6406" width="12" style="19" customWidth="1"/>
    <col min="6407" max="6407" width="15.44140625" style="19" bestFit="1" customWidth="1"/>
    <col min="6408" max="6409" width="15.109375" style="19" bestFit="1" customWidth="1"/>
    <col min="6410" max="6410" width="14.33203125" style="19" bestFit="1" customWidth="1"/>
    <col min="6411" max="6411" width="3.109375" style="19" customWidth="1"/>
    <col min="6412" max="6412" width="6.44140625" style="19" customWidth="1"/>
    <col min="6413" max="6654" width="8.88671875" style="19"/>
    <col min="6655" max="6655" width="5.5546875" style="19" bestFit="1" customWidth="1"/>
    <col min="6656" max="6656" width="9.33203125" style="19" customWidth="1"/>
    <col min="6657" max="6657" width="24.6640625" style="19" customWidth="1"/>
    <col min="6658" max="6658" width="11" style="19" bestFit="1" customWidth="1"/>
    <col min="6659" max="6659" width="7.5546875" style="19" bestFit="1" customWidth="1"/>
    <col min="6660" max="6660" width="13.5546875" style="19" customWidth="1"/>
    <col min="6661" max="6661" width="11.33203125" style="19" bestFit="1" customWidth="1"/>
    <col min="6662" max="6662" width="12" style="19" customWidth="1"/>
    <col min="6663" max="6663" width="15.44140625" style="19" bestFit="1" customWidth="1"/>
    <col min="6664" max="6665" width="15.109375" style="19" bestFit="1" customWidth="1"/>
    <col min="6666" max="6666" width="14.33203125" style="19" bestFit="1" customWidth="1"/>
    <col min="6667" max="6667" width="3.109375" style="19" customWidth="1"/>
    <col min="6668" max="6668" width="6.44140625" style="19" customWidth="1"/>
    <col min="6669" max="6910" width="8.88671875" style="19"/>
    <col min="6911" max="6911" width="5.5546875" style="19" bestFit="1" customWidth="1"/>
    <col min="6912" max="6912" width="9.33203125" style="19" customWidth="1"/>
    <col min="6913" max="6913" width="24.6640625" style="19" customWidth="1"/>
    <col min="6914" max="6914" width="11" style="19" bestFit="1" customWidth="1"/>
    <col min="6915" max="6915" width="7.5546875" style="19" bestFit="1" customWidth="1"/>
    <col min="6916" max="6916" width="13.5546875" style="19" customWidth="1"/>
    <col min="6917" max="6917" width="11.33203125" style="19" bestFit="1" customWidth="1"/>
    <col min="6918" max="6918" width="12" style="19" customWidth="1"/>
    <col min="6919" max="6919" width="15.44140625" style="19" bestFit="1" customWidth="1"/>
    <col min="6920" max="6921" width="15.109375" style="19" bestFit="1" customWidth="1"/>
    <col min="6922" max="6922" width="14.33203125" style="19" bestFit="1" customWidth="1"/>
    <col min="6923" max="6923" width="3.109375" style="19" customWidth="1"/>
    <col min="6924" max="6924" width="6.44140625" style="19" customWidth="1"/>
    <col min="6925" max="7166" width="8.88671875" style="19"/>
    <col min="7167" max="7167" width="5.5546875" style="19" bestFit="1" customWidth="1"/>
    <col min="7168" max="7168" width="9.33203125" style="19" customWidth="1"/>
    <col min="7169" max="7169" width="24.6640625" style="19" customWidth="1"/>
    <col min="7170" max="7170" width="11" style="19" bestFit="1" customWidth="1"/>
    <col min="7171" max="7171" width="7.5546875" style="19" bestFit="1" customWidth="1"/>
    <col min="7172" max="7172" width="13.5546875" style="19" customWidth="1"/>
    <col min="7173" max="7173" width="11.33203125" style="19" bestFit="1" customWidth="1"/>
    <col min="7174" max="7174" width="12" style="19" customWidth="1"/>
    <col min="7175" max="7175" width="15.44140625" style="19" bestFit="1" customWidth="1"/>
    <col min="7176" max="7177" width="15.109375" style="19" bestFit="1" customWidth="1"/>
    <col min="7178" max="7178" width="14.33203125" style="19" bestFit="1" customWidth="1"/>
    <col min="7179" max="7179" width="3.109375" style="19" customWidth="1"/>
    <col min="7180" max="7180" width="6.44140625" style="19" customWidth="1"/>
    <col min="7181" max="7422" width="8.88671875" style="19"/>
    <col min="7423" max="7423" width="5.5546875" style="19" bestFit="1" customWidth="1"/>
    <col min="7424" max="7424" width="9.33203125" style="19" customWidth="1"/>
    <col min="7425" max="7425" width="24.6640625" style="19" customWidth="1"/>
    <col min="7426" max="7426" width="11" style="19" bestFit="1" customWidth="1"/>
    <col min="7427" max="7427" width="7.5546875" style="19" bestFit="1" customWidth="1"/>
    <col min="7428" max="7428" width="13.5546875" style="19" customWidth="1"/>
    <col min="7429" max="7429" width="11.33203125" style="19" bestFit="1" customWidth="1"/>
    <col min="7430" max="7430" width="12" style="19" customWidth="1"/>
    <col min="7431" max="7431" width="15.44140625" style="19" bestFit="1" customWidth="1"/>
    <col min="7432" max="7433" width="15.109375" style="19" bestFit="1" customWidth="1"/>
    <col min="7434" max="7434" width="14.33203125" style="19" bestFit="1" customWidth="1"/>
    <col min="7435" max="7435" width="3.109375" style="19" customWidth="1"/>
    <col min="7436" max="7436" width="6.44140625" style="19" customWidth="1"/>
    <col min="7437" max="7678" width="8.88671875" style="19"/>
    <col min="7679" max="7679" width="5.5546875" style="19" bestFit="1" customWidth="1"/>
    <col min="7680" max="7680" width="9.33203125" style="19" customWidth="1"/>
    <col min="7681" max="7681" width="24.6640625" style="19" customWidth="1"/>
    <col min="7682" max="7682" width="11" style="19" bestFit="1" customWidth="1"/>
    <col min="7683" max="7683" width="7.5546875" style="19" bestFit="1" customWidth="1"/>
    <col min="7684" max="7684" width="13.5546875" style="19" customWidth="1"/>
    <col min="7685" max="7685" width="11.33203125" style="19" bestFit="1" customWidth="1"/>
    <col min="7686" max="7686" width="12" style="19" customWidth="1"/>
    <col min="7687" max="7687" width="15.44140625" style="19" bestFit="1" customWidth="1"/>
    <col min="7688" max="7689" width="15.109375" style="19" bestFit="1" customWidth="1"/>
    <col min="7690" max="7690" width="14.33203125" style="19" bestFit="1" customWidth="1"/>
    <col min="7691" max="7691" width="3.109375" style="19" customWidth="1"/>
    <col min="7692" max="7692" width="6.44140625" style="19" customWidth="1"/>
    <col min="7693" max="7934" width="8.88671875" style="19"/>
    <col min="7935" max="7935" width="5.5546875" style="19" bestFit="1" customWidth="1"/>
    <col min="7936" max="7936" width="9.33203125" style="19" customWidth="1"/>
    <col min="7937" max="7937" width="24.6640625" style="19" customWidth="1"/>
    <col min="7938" max="7938" width="11" style="19" bestFit="1" customWidth="1"/>
    <col min="7939" max="7939" width="7.5546875" style="19" bestFit="1" customWidth="1"/>
    <col min="7940" max="7940" width="13.5546875" style="19" customWidth="1"/>
    <col min="7941" max="7941" width="11.33203125" style="19" bestFit="1" customWidth="1"/>
    <col min="7942" max="7942" width="12" style="19" customWidth="1"/>
    <col min="7943" max="7943" width="15.44140625" style="19" bestFit="1" customWidth="1"/>
    <col min="7944" max="7945" width="15.109375" style="19" bestFit="1" customWidth="1"/>
    <col min="7946" max="7946" width="14.33203125" style="19" bestFit="1" customWidth="1"/>
    <col min="7947" max="7947" width="3.109375" style="19" customWidth="1"/>
    <col min="7948" max="7948" width="6.44140625" style="19" customWidth="1"/>
    <col min="7949" max="8190" width="8.88671875" style="19"/>
    <col min="8191" max="8191" width="5.5546875" style="19" bestFit="1" customWidth="1"/>
    <col min="8192" max="8192" width="9.33203125" style="19" customWidth="1"/>
    <col min="8193" max="8193" width="24.6640625" style="19" customWidth="1"/>
    <col min="8194" max="8194" width="11" style="19" bestFit="1" customWidth="1"/>
    <col min="8195" max="8195" width="7.5546875" style="19" bestFit="1" customWidth="1"/>
    <col min="8196" max="8196" width="13.5546875" style="19" customWidth="1"/>
    <col min="8197" max="8197" width="11.33203125" style="19" bestFit="1" customWidth="1"/>
    <col min="8198" max="8198" width="12" style="19" customWidth="1"/>
    <col min="8199" max="8199" width="15.44140625" style="19" bestFit="1" customWidth="1"/>
    <col min="8200" max="8201" width="15.109375" style="19" bestFit="1" customWidth="1"/>
    <col min="8202" max="8202" width="14.33203125" style="19" bestFit="1" customWidth="1"/>
    <col min="8203" max="8203" width="3.109375" style="19" customWidth="1"/>
    <col min="8204" max="8204" width="6.44140625" style="19" customWidth="1"/>
    <col min="8205" max="8446" width="8.88671875" style="19"/>
    <col min="8447" max="8447" width="5.5546875" style="19" bestFit="1" customWidth="1"/>
    <col min="8448" max="8448" width="9.33203125" style="19" customWidth="1"/>
    <col min="8449" max="8449" width="24.6640625" style="19" customWidth="1"/>
    <col min="8450" max="8450" width="11" style="19" bestFit="1" customWidth="1"/>
    <col min="8451" max="8451" width="7.5546875" style="19" bestFit="1" customWidth="1"/>
    <col min="8452" max="8452" width="13.5546875" style="19" customWidth="1"/>
    <col min="8453" max="8453" width="11.33203125" style="19" bestFit="1" customWidth="1"/>
    <col min="8454" max="8454" width="12" style="19" customWidth="1"/>
    <col min="8455" max="8455" width="15.44140625" style="19" bestFit="1" customWidth="1"/>
    <col min="8456" max="8457" width="15.109375" style="19" bestFit="1" customWidth="1"/>
    <col min="8458" max="8458" width="14.33203125" style="19" bestFit="1" customWidth="1"/>
    <col min="8459" max="8459" width="3.109375" style="19" customWidth="1"/>
    <col min="8460" max="8460" width="6.44140625" style="19" customWidth="1"/>
    <col min="8461" max="8702" width="8.88671875" style="19"/>
    <col min="8703" max="8703" width="5.5546875" style="19" bestFit="1" customWidth="1"/>
    <col min="8704" max="8704" width="9.33203125" style="19" customWidth="1"/>
    <col min="8705" max="8705" width="24.6640625" style="19" customWidth="1"/>
    <col min="8706" max="8706" width="11" style="19" bestFit="1" customWidth="1"/>
    <col min="8707" max="8707" width="7.5546875" style="19" bestFit="1" customWidth="1"/>
    <col min="8708" max="8708" width="13.5546875" style="19" customWidth="1"/>
    <col min="8709" max="8709" width="11.33203125" style="19" bestFit="1" customWidth="1"/>
    <col min="8710" max="8710" width="12" style="19" customWidth="1"/>
    <col min="8711" max="8711" width="15.44140625" style="19" bestFit="1" customWidth="1"/>
    <col min="8712" max="8713" width="15.109375" style="19" bestFit="1" customWidth="1"/>
    <col min="8714" max="8714" width="14.33203125" style="19" bestFit="1" customWidth="1"/>
    <col min="8715" max="8715" width="3.109375" style="19" customWidth="1"/>
    <col min="8716" max="8716" width="6.44140625" style="19" customWidth="1"/>
    <col min="8717" max="8958" width="8.88671875" style="19"/>
    <col min="8959" max="8959" width="5.5546875" style="19" bestFit="1" customWidth="1"/>
    <col min="8960" max="8960" width="9.33203125" style="19" customWidth="1"/>
    <col min="8961" max="8961" width="24.6640625" style="19" customWidth="1"/>
    <col min="8962" max="8962" width="11" style="19" bestFit="1" customWidth="1"/>
    <col min="8963" max="8963" width="7.5546875" style="19" bestFit="1" customWidth="1"/>
    <col min="8964" max="8964" width="13.5546875" style="19" customWidth="1"/>
    <col min="8965" max="8965" width="11.33203125" style="19" bestFit="1" customWidth="1"/>
    <col min="8966" max="8966" width="12" style="19" customWidth="1"/>
    <col min="8967" max="8967" width="15.44140625" style="19" bestFit="1" customWidth="1"/>
    <col min="8968" max="8969" width="15.109375" style="19" bestFit="1" customWidth="1"/>
    <col min="8970" max="8970" width="14.33203125" style="19" bestFit="1" customWidth="1"/>
    <col min="8971" max="8971" width="3.109375" style="19" customWidth="1"/>
    <col min="8972" max="8972" width="6.44140625" style="19" customWidth="1"/>
    <col min="8973" max="9214" width="8.88671875" style="19"/>
    <col min="9215" max="9215" width="5.5546875" style="19" bestFit="1" customWidth="1"/>
    <col min="9216" max="9216" width="9.33203125" style="19" customWidth="1"/>
    <col min="9217" max="9217" width="24.6640625" style="19" customWidth="1"/>
    <col min="9218" max="9218" width="11" style="19" bestFit="1" customWidth="1"/>
    <col min="9219" max="9219" width="7.5546875" style="19" bestFit="1" customWidth="1"/>
    <col min="9220" max="9220" width="13.5546875" style="19" customWidth="1"/>
    <col min="9221" max="9221" width="11.33203125" style="19" bestFit="1" customWidth="1"/>
    <col min="9222" max="9222" width="12" style="19" customWidth="1"/>
    <col min="9223" max="9223" width="15.44140625" style="19" bestFit="1" customWidth="1"/>
    <col min="9224" max="9225" width="15.109375" style="19" bestFit="1" customWidth="1"/>
    <col min="9226" max="9226" width="14.33203125" style="19" bestFit="1" customWidth="1"/>
    <col min="9227" max="9227" width="3.109375" style="19" customWidth="1"/>
    <col min="9228" max="9228" width="6.44140625" style="19" customWidth="1"/>
    <col min="9229" max="9470" width="8.88671875" style="19"/>
    <col min="9471" max="9471" width="5.5546875" style="19" bestFit="1" customWidth="1"/>
    <col min="9472" max="9472" width="9.33203125" style="19" customWidth="1"/>
    <col min="9473" max="9473" width="24.6640625" style="19" customWidth="1"/>
    <col min="9474" max="9474" width="11" style="19" bestFit="1" customWidth="1"/>
    <col min="9475" max="9475" width="7.5546875" style="19" bestFit="1" customWidth="1"/>
    <col min="9476" max="9476" width="13.5546875" style="19" customWidth="1"/>
    <col min="9477" max="9477" width="11.33203125" style="19" bestFit="1" customWidth="1"/>
    <col min="9478" max="9478" width="12" style="19" customWidth="1"/>
    <col min="9479" max="9479" width="15.44140625" style="19" bestFit="1" customWidth="1"/>
    <col min="9480" max="9481" width="15.109375" style="19" bestFit="1" customWidth="1"/>
    <col min="9482" max="9482" width="14.33203125" style="19" bestFit="1" customWidth="1"/>
    <col min="9483" max="9483" width="3.109375" style="19" customWidth="1"/>
    <col min="9484" max="9484" width="6.44140625" style="19" customWidth="1"/>
    <col min="9485" max="9726" width="8.88671875" style="19"/>
    <col min="9727" max="9727" width="5.5546875" style="19" bestFit="1" customWidth="1"/>
    <col min="9728" max="9728" width="9.33203125" style="19" customWidth="1"/>
    <col min="9729" max="9729" width="24.6640625" style="19" customWidth="1"/>
    <col min="9730" max="9730" width="11" style="19" bestFit="1" customWidth="1"/>
    <col min="9731" max="9731" width="7.5546875" style="19" bestFit="1" customWidth="1"/>
    <col min="9732" max="9732" width="13.5546875" style="19" customWidth="1"/>
    <col min="9733" max="9733" width="11.33203125" style="19" bestFit="1" customWidth="1"/>
    <col min="9734" max="9734" width="12" style="19" customWidth="1"/>
    <col min="9735" max="9735" width="15.44140625" style="19" bestFit="1" customWidth="1"/>
    <col min="9736" max="9737" width="15.109375" style="19" bestFit="1" customWidth="1"/>
    <col min="9738" max="9738" width="14.33203125" style="19" bestFit="1" customWidth="1"/>
    <col min="9739" max="9739" width="3.109375" style="19" customWidth="1"/>
    <col min="9740" max="9740" width="6.44140625" style="19" customWidth="1"/>
    <col min="9741" max="9982" width="8.88671875" style="19"/>
    <col min="9983" max="9983" width="5.5546875" style="19" bestFit="1" customWidth="1"/>
    <col min="9984" max="9984" width="9.33203125" style="19" customWidth="1"/>
    <col min="9985" max="9985" width="24.6640625" style="19" customWidth="1"/>
    <col min="9986" max="9986" width="11" style="19" bestFit="1" customWidth="1"/>
    <col min="9987" max="9987" width="7.5546875" style="19" bestFit="1" customWidth="1"/>
    <col min="9988" max="9988" width="13.5546875" style="19" customWidth="1"/>
    <col min="9989" max="9989" width="11.33203125" style="19" bestFit="1" customWidth="1"/>
    <col min="9990" max="9990" width="12" style="19" customWidth="1"/>
    <col min="9991" max="9991" width="15.44140625" style="19" bestFit="1" customWidth="1"/>
    <col min="9992" max="9993" width="15.109375" style="19" bestFit="1" customWidth="1"/>
    <col min="9994" max="9994" width="14.33203125" style="19" bestFit="1" customWidth="1"/>
    <col min="9995" max="9995" width="3.109375" style="19" customWidth="1"/>
    <col min="9996" max="9996" width="6.44140625" style="19" customWidth="1"/>
    <col min="9997" max="10238" width="8.88671875" style="19"/>
    <col min="10239" max="10239" width="5.5546875" style="19" bestFit="1" customWidth="1"/>
    <col min="10240" max="10240" width="9.33203125" style="19" customWidth="1"/>
    <col min="10241" max="10241" width="24.6640625" style="19" customWidth="1"/>
    <col min="10242" max="10242" width="11" style="19" bestFit="1" customWidth="1"/>
    <col min="10243" max="10243" width="7.5546875" style="19" bestFit="1" customWidth="1"/>
    <col min="10244" max="10244" width="13.5546875" style="19" customWidth="1"/>
    <col min="10245" max="10245" width="11.33203125" style="19" bestFit="1" customWidth="1"/>
    <col min="10246" max="10246" width="12" style="19" customWidth="1"/>
    <col min="10247" max="10247" width="15.44140625" style="19" bestFit="1" customWidth="1"/>
    <col min="10248" max="10249" width="15.109375" style="19" bestFit="1" customWidth="1"/>
    <col min="10250" max="10250" width="14.33203125" style="19" bestFit="1" customWidth="1"/>
    <col min="10251" max="10251" width="3.109375" style="19" customWidth="1"/>
    <col min="10252" max="10252" width="6.44140625" style="19" customWidth="1"/>
    <col min="10253" max="10494" width="8.88671875" style="19"/>
    <col min="10495" max="10495" width="5.5546875" style="19" bestFit="1" customWidth="1"/>
    <col min="10496" max="10496" width="9.33203125" style="19" customWidth="1"/>
    <col min="10497" max="10497" width="24.6640625" style="19" customWidth="1"/>
    <col min="10498" max="10498" width="11" style="19" bestFit="1" customWidth="1"/>
    <col min="10499" max="10499" width="7.5546875" style="19" bestFit="1" customWidth="1"/>
    <col min="10500" max="10500" width="13.5546875" style="19" customWidth="1"/>
    <col min="10501" max="10501" width="11.33203125" style="19" bestFit="1" customWidth="1"/>
    <col min="10502" max="10502" width="12" style="19" customWidth="1"/>
    <col min="10503" max="10503" width="15.44140625" style="19" bestFit="1" customWidth="1"/>
    <col min="10504" max="10505" width="15.109375" style="19" bestFit="1" customWidth="1"/>
    <col min="10506" max="10506" width="14.33203125" style="19" bestFit="1" customWidth="1"/>
    <col min="10507" max="10507" width="3.109375" style="19" customWidth="1"/>
    <col min="10508" max="10508" width="6.44140625" style="19" customWidth="1"/>
    <col min="10509" max="10750" width="8.88671875" style="19"/>
    <col min="10751" max="10751" width="5.5546875" style="19" bestFit="1" customWidth="1"/>
    <col min="10752" max="10752" width="9.33203125" style="19" customWidth="1"/>
    <col min="10753" max="10753" width="24.6640625" style="19" customWidth="1"/>
    <col min="10754" max="10754" width="11" style="19" bestFit="1" customWidth="1"/>
    <col min="10755" max="10755" width="7.5546875" style="19" bestFit="1" customWidth="1"/>
    <col min="10756" max="10756" width="13.5546875" style="19" customWidth="1"/>
    <col min="10757" max="10757" width="11.33203125" style="19" bestFit="1" customWidth="1"/>
    <col min="10758" max="10758" width="12" style="19" customWidth="1"/>
    <col min="10759" max="10759" width="15.44140625" style="19" bestFit="1" customWidth="1"/>
    <col min="10760" max="10761" width="15.109375" style="19" bestFit="1" customWidth="1"/>
    <col min="10762" max="10762" width="14.33203125" style="19" bestFit="1" customWidth="1"/>
    <col min="10763" max="10763" width="3.109375" style="19" customWidth="1"/>
    <col min="10764" max="10764" width="6.44140625" style="19" customWidth="1"/>
    <col min="10765" max="11006" width="8.88671875" style="19"/>
    <col min="11007" max="11007" width="5.5546875" style="19" bestFit="1" customWidth="1"/>
    <col min="11008" max="11008" width="9.33203125" style="19" customWidth="1"/>
    <col min="11009" max="11009" width="24.6640625" style="19" customWidth="1"/>
    <col min="11010" max="11010" width="11" style="19" bestFit="1" customWidth="1"/>
    <col min="11011" max="11011" width="7.5546875" style="19" bestFit="1" customWidth="1"/>
    <col min="11012" max="11012" width="13.5546875" style="19" customWidth="1"/>
    <col min="11013" max="11013" width="11.33203125" style="19" bestFit="1" customWidth="1"/>
    <col min="11014" max="11014" width="12" style="19" customWidth="1"/>
    <col min="11015" max="11015" width="15.44140625" style="19" bestFit="1" customWidth="1"/>
    <col min="11016" max="11017" width="15.109375" style="19" bestFit="1" customWidth="1"/>
    <col min="11018" max="11018" width="14.33203125" style="19" bestFit="1" customWidth="1"/>
    <col min="11019" max="11019" width="3.109375" style="19" customWidth="1"/>
    <col min="11020" max="11020" width="6.44140625" style="19" customWidth="1"/>
    <col min="11021" max="11262" width="8.88671875" style="19"/>
    <col min="11263" max="11263" width="5.5546875" style="19" bestFit="1" customWidth="1"/>
    <col min="11264" max="11264" width="9.33203125" style="19" customWidth="1"/>
    <col min="11265" max="11265" width="24.6640625" style="19" customWidth="1"/>
    <col min="11266" max="11266" width="11" style="19" bestFit="1" customWidth="1"/>
    <col min="11267" max="11267" width="7.5546875" style="19" bestFit="1" customWidth="1"/>
    <col min="11268" max="11268" width="13.5546875" style="19" customWidth="1"/>
    <col min="11269" max="11269" width="11.33203125" style="19" bestFit="1" customWidth="1"/>
    <col min="11270" max="11270" width="12" style="19" customWidth="1"/>
    <col min="11271" max="11271" width="15.44140625" style="19" bestFit="1" customWidth="1"/>
    <col min="11272" max="11273" width="15.109375" style="19" bestFit="1" customWidth="1"/>
    <col min="11274" max="11274" width="14.33203125" style="19" bestFit="1" customWidth="1"/>
    <col min="11275" max="11275" width="3.109375" style="19" customWidth="1"/>
    <col min="11276" max="11276" width="6.44140625" style="19" customWidth="1"/>
    <col min="11277" max="11518" width="8.88671875" style="19"/>
    <col min="11519" max="11519" width="5.5546875" style="19" bestFit="1" customWidth="1"/>
    <col min="11520" max="11520" width="9.33203125" style="19" customWidth="1"/>
    <col min="11521" max="11521" width="24.6640625" style="19" customWidth="1"/>
    <col min="11522" max="11522" width="11" style="19" bestFit="1" customWidth="1"/>
    <col min="11523" max="11523" width="7.5546875" style="19" bestFit="1" customWidth="1"/>
    <col min="11524" max="11524" width="13.5546875" style="19" customWidth="1"/>
    <col min="11525" max="11525" width="11.33203125" style="19" bestFit="1" customWidth="1"/>
    <col min="11526" max="11526" width="12" style="19" customWidth="1"/>
    <col min="11527" max="11527" width="15.44140625" style="19" bestFit="1" customWidth="1"/>
    <col min="11528" max="11529" width="15.109375" style="19" bestFit="1" customWidth="1"/>
    <col min="11530" max="11530" width="14.33203125" style="19" bestFit="1" customWidth="1"/>
    <col min="11531" max="11531" width="3.109375" style="19" customWidth="1"/>
    <col min="11532" max="11532" width="6.44140625" style="19" customWidth="1"/>
    <col min="11533" max="11774" width="8.88671875" style="19"/>
    <col min="11775" max="11775" width="5.5546875" style="19" bestFit="1" customWidth="1"/>
    <col min="11776" max="11776" width="9.33203125" style="19" customWidth="1"/>
    <col min="11777" max="11777" width="24.6640625" style="19" customWidth="1"/>
    <col min="11778" max="11778" width="11" style="19" bestFit="1" customWidth="1"/>
    <col min="11779" max="11779" width="7.5546875" style="19" bestFit="1" customWidth="1"/>
    <col min="11780" max="11780" width="13.5546875" style="19" customWidth="1"/>
    <col min="11781" max="11781" width="11.33203125" style="19" bestFit="1" customWidth="1"/>
    <col min="11782" max="11782" width="12" style="19" customWidth="1"/>
    <col min="11783" max="11783" width="15.44140625" style="19" bestFit="1" customWidth="1"/>
    <col min="11784" max="11785" width="15.109375" style="19" bestFit="1" customWidth="1"/>
    <col min="11786" max="11786" width="14.33203125" style="19" bestFit="1" customWidth="1"/>
    <col min="11787" max="11787" width="3.109375" style="19" customWidth="1"/>
    <col min="11788" max="11788" width="6.44140625" style="19" customWidth="1"/>
    <col min="11789" max="12030" width="8.88671875" style="19"/>
    <col min="12031" max="12031" width="5.5546875" style="19" bestFit="1" customWidth="1"/>
    <col min="12032" max="12032" width="9.33203125" style="19" customWidth="1"/>
    <col min="12033" max="12033" width="24.6640625" style="19" customWidth="1"/>
    <col min="12034" max="12034" width="11" style="19" bestFit="1" customWidth="1"/>
    <col min="12035" max="12035" width="7.5546875" style="19" bestFit="1" customWidth="1"/>
    <col min="12036" max="12036" width="13.5546875" style="19" customWidth="1"/>
    <col min="12037" max="12037" width="11.33203125" style="19" bestFit="1" customWidth="1"/>
    <col min="12038" max="12038" width="12" style="19" customWidth="1"/>
    <col min="12039" max="12039" width="15.44140625" style="19" bestFit="1" customWidth="1"/>
    <col min="12040" max="12041" width="15.109375" style="19" bestFit="1" customWidth="1"/>
    <col min="12042" max="12042" width="14.33203125" style="19" bestFit="1" customWidth="1"/>
    <col min="12043" max="12043" width="3.109375" style="19" customWidth="1"/>
    <col min="12044" max="12044" width="6.44140625" style="19" customWidth="1"/>
    <col min="12045" max="12286" width="8.88671875" style="19"/>
    <col min="12287" max="12287" width="5.5546875" style="19" bestFit="1" customWidth="1"/>
    <col min="12288" max="12288" width="9.33203125" style="19" customWidth="1"/>
    <col min="12289" max="12289" width="24.6640625" style="19" customWidth="1"/>
    <col min="12290" max="12290" width="11" style="19" bestFit="1" customWidth="1"/>
    <col min="12291" max="12291" width="7.5546875" style="19" bestFit="1" customWidth="1"/>
    <col min="12292" max="12292" width="13.5546875" style="19" customWidth="1"/>
    <col min="12293" max="12293" width="11.33203125" style="19" bestFit="1" customWidth="1"/>
    <col min="12294" max="12294" width="12" style="19" customWidth="1"/>
    <col min="12295" max="12295" width="15.44140625" style="19" bestFit="1" customWidth="1"/>
    <col min="12296" max="12297" width="15.109375" style="19" bestFit="1" customWidth="1"/>
    <col min="12298" max="12298" width="14.33203125" style="19" bestFit="1" customWidth="1"/>
    <col min="12299" max="12299" width="3.109375" style="19" customWidth="1"/>
    <col min="12300" max="12300" width="6.44140625" style="19" customWidth="1"/>
    <col min="12301" max="12542" width="8.88671875" style="19"/>
    <col min="12543" max="12543" width="5.5546875" style="19" bestFit="1" customWidth="1"/>
    <col min="12544" max="12544" width="9.33203125" style="19" customWidth="1"/>
    <col min="12545" max="12545" width="24.6640625" style="19" customWidth="1"/>
    <col min="12546" max="12546" width="11" style="19" bestFit="1" customWidth="1"/>
    <col min="12547" max="12547" width="7.5546875" style="19" bestFit="1" customWidth="1"/>
    <col min="12548" max="12548" width="13.5546875" style="19" customWidth="1"/>
    <col min="12549" max="12549" width="11.33203125" style="19" bestFit="1" customWidth="1"/>
    <col min="12550" max="12550" width="12" style="19" customWidth="1"/>
    <col min="12551" max="12551" width="15.44140625" style="19" bestFit="1" customWidth="1"/>
    <col min="12552" max="12553" width="15.109375" style="19" bestFit="1" customWidth="1"/>
    <col min="12554" max="12554" width="14.33203125" style="19" bestFit="1" customWidth="1"/>
    <col min="12555" max="12555" width="3.109375" style="19" customWidth="1"/>
    <col min="12556" max="12556" width="6.44140625" style="19" customWidth="1"/>
    <col min="12557" max="12798" width="8.88671875" style="19"/>
    <col min="12799" max="12799" width="5.5546875" style="19" bestFit="1" customWidth="1"/>
    <col min="12800" max="12800" width="9.33203125" style="19" customWidth="1"/>
    <col min="12801" max="12801" width="24.6640625" style="19" customWidth="1"/>
    <col min="12802" max="12802" width="11" style="19" bestFit="1" customWidth="1"/>
    <col min="12803" max="12803" width="7.5546875" style="19" bestFit="1" customWidth="1"/>
    <col min="12804" max="12804" width="13.5546875" style="19" customWidth="1"/>
    <col min="12805" max="12805" width="11.33203125" style="19" bestFit="1" customWidth="1"/>
    <col min="12806" max="12806" width="12" style="19" customWidth="1"/>
    <col min="12807" max="12807" width="15.44140625" style="19" bestFit="1" customWidth="1"/>
    <col min="12808" max="12809" width="15.109375" style="19" bestFit="1" customWidth="1"/>
    <col min="12810" max="12810" width="14.33203125" style="19" bestFit="1" customWidth="1"/>
    <col min="12811" max="12811" width="3.109375" style="19" customWidth="1"/>
    <col min="12812" max="12812" width="6.44140625" style="19" customWidth="1"/>
    <col min="12813" max="13054" width="8.88671875" style="19"/>
    <col min="13055" max="13055" width="5.5546875" style="19" bestFit="1" customWidth="1"/>
    <col min="13056" max="13056" width="9.33203125" style="19" customWidth="1"/>
    <col min="13057" max="13057" width="24.6640625" style="19" customWidth="1"/>
    <col min="13058" max="13058" width="11" style="19" bestFit="1" customWidth="1"/>
    <col min="13059" max="13059" width="7.5546875" style="19" bestFit="1" customWidth="1"/>
    <col min="13060" max="13060" width="13.5546875" style="19" customWidth="1"/>
    <col min="13061" max="13061" width="11.33203125" style="19" bestFit="1" customWidth="1"/>
    <col min="13062" max="13062" width="12" style="19" customWidth="1"/>
    <col min="13063" max="13063" width="15.44140625" style="19" bestFit="1" customWidth="1"/>
    <col min="13064" max="13065" width="15.109375" style="19" bestFit="1" customWidth="1"/>
    <col min="13066" max="13066" width="14.33203125" style="19" bestFit="1" customWidth="1"/>
    <col min="13067" max="13067" width="3.109375" style="19" customWidth="1"/>
    <col min="13068" max="13068" width="6.44140625" style="19" customWidth="1"/>
    <col min="13069" max="13310" width="8.88671875" style="19"/>
    <col min="13311" max="13311" width="5.5546875" style="19" bestFit="1" customWidth="1"/>
    <col min="13312" max="13312" width="9.33203125" style="19" customWidth="1"/>
    <col min="13313" max="13313" width="24.6640625" style="19" customWidth="1"/>
    <col min="13314" max="13314" width="11" style="19" bestFit="1" customWidth="1"/>
    <col min="13315" max="13315" width="7.5546875" style="19" bestFit="1" customWidth="1"/>
    <col min="13316" max="13316" width="13.5546875" style="19" customWidth="1"/>
    <col min="13317" max="13317" width="11.33203125" style="19" bestFit="1" customWidth="1"/>
    <col min="13318" max="13318" width="12" style="19" customWidth="1"/>
    <col min="13319" max="13319" width="15.44140625" style="19" bestFit="1" customWidth="1"/>
    <col min="13320" max="13321" width="15.109375" style="19" bestFit="1" customWidth="1"/>
    <col min="13322" max="13322" width="14.33203125" style="19" bestFit="1" customWidth="1"/>
    <col min="13323" max="13323" width="3.109375" style="19" customWidth="1"/>
    <col min="13324" max="13324" width="6.44140625" style="19" customWidth="1"/>
    <col min="13325" max="13566" width="8.88671875" style="19"/>
    <col min="13567" max="13567" width="5.5546875" style="19" bestFit="1" customWidth="1"/>
    <col min="13568" max="13568" width="9.33203125" style="19" customWidth="1"/>
    <col min="13569" max="13569" width="24.6640625" style="19" customWidth="1"/>
    <col min="13570" max="13570" width="11" style="19" bestFit="1" customWidth="1"/>
    <col min="13571" max="13571" width="7.5546875" style="19" bestFit="1" customWidth="1"/>
    <col min="13572" max="13572" width="13.5546875" style="19" customWidth="1"/>
    <col min="13573" max="13573" width="11.33203125" style="19" bestFit="1" customWidth="1"/>
    <col min="13574" max="13574" width="12" style="19" customWidth="1"/>
    <col min="13575" max="13575" width="15.44140625" style="19" bestFit="1" customWidth="1"/>
    <col min="13576" max="13577" width="15.109375" style="19" bestFit="1" customWidth="1"/>
    <col min="13578" max="13578" width="14.33203125" style="19" bestFit="1" customWidth="1"/>
    <col min="13579" max="13579" width="3.109375" style="19" customWidth="1"/>
    <col min="13580" max="13580" width="6.44140625" style="19" customWidth="1"/>
    <col min="13581" max="13822" width="8.88671875" style="19"/>
    <col min="13823" max="13823" width="5.5546875" style="19" bestFit="1" customWidth="1"/>
    <col min="13824" max="13824" width="9.33203125" style="19" customWidth="1"/>
    <col min="13825" max="13825" width="24.6640625" style="19" customWidth="1"/>
    <col min="13826" max="13826" width="11" style="19" bestFit="1" customWidth="1"/>
    <col min="13827" max="13827" width="7.5546875" style="19" bestFit="1" customWidth="1"/>
    <col min="13828" max="13828" width="13.5546875" style="19" customWidth="1"/>
    <col min="13829" max="13829" width="11.33203125" style="19" bestFit="1" customWidth="1"/>
    <col min="13830" max="13830" width="12" style="19" customWidth="1"/>
    <col min="13831" max="13831" width="15.44140625" style="19" bestFit="1" customWidth="1"/>
    <col min="13832" max="13833" width="15.109375" style="19" bestFit="1" customWidth="1"/>
    <col min="13834" max="13834" width="14.33203125" style="19" bestFit="1" customWidth="1"/>
    <col min="13835" max="13835" width="3.109375" style="19" customWidth="1"/>
    <col min="13836" max="13836" width="6.44140625" style="19" customWidth="1"/>
    <col min="13837" max="14078" width="8.88671875" style="19"/>
    <col min="14079" max="14079" width="5.5546875" style="19" bestFit="1" customWidth="1"/>
    <col min="14080" max="14080" width="9.33203125" style="19" customWidth="1"/>
    <col min="14081" max="14081" width="24.6640625" style="19" customWidth="1"/>
    <col min="14082" max="14082" width="11" style="19" bestFit="1" customWidth="1"/>
    <col min="14083" max="14083" width="7.5546875" style="19" bestFit="1" customWidth="1"/>
    <col min="14084" max="14084" width="13.5546875" style="19" customWidth="1"/>
    <col min="14085" max="14085" width="11.33203125" style="19" bestFit="1" customWidth="1"/>
    <col min="14086" max="14086" width="12" style="19" customWidth="1"/>
    <col min="14087" max="14087" width="15.44140625" style="19" bestFit="1" customWidth="1"/>
    <col min="14088" max="14089" width="15.109375" style="19" bestFit="1" customWidth="1"/>
    <col min="14090" max="14090" width="14.33203125" style="19" bestFit="1" customWidth="1"/>
    <col min="14091" max="14091" width="3.109375" style="19" customWidth="1"/>
    <col min="14092" max="14092" width="6.44140625" style="19" customWidth="1"/>
    <col min="14093" max="14334" width="8.88671875" style="19"/>
    <col min="14335" max="14335" width="5.5546875" style="19" bestFit="1" customWidth="1"/>
    <col min="14336" max="14336" width="9.33203125" style="19" customWidth="1"/>
    <col min="14337" max="14337" width="24.6640625" style="19" customWidth="1"/>
    <col min="14338" max="14338" width="11" style="19" bestFit="1" customWidth="1"/>
    <col min="14339" max="14339" width="7.5546875" style="19" bestFit="1" customWidth="1"/>
    <col min="14340" max="14340" width="13.5546875" style="19" customWidth="1"/>
    <col min="14341" max="14341" width="11.33203125" style="19" bestFit="1" customWidth="1"/>
    <col min="14342" max="14342" width="12" style="19" customWidth="1"/>
    <col min="14343" max="14343" width="15.44140625" style="19" bestFit="1" customWidth="1"/>
    <col min="14344" max="14345" width="15.109375" style="19" bestFit="1" customWidth="1"/>
    <col min="14346" max="14346" width="14.33203125" style="19" bestFit="1" customWidth="1"/>
    <col min="14347" max="14347" width="3.109375" style="19" customWidth="1"/>
    <col min="14348" max="14348" width="6.44140625" style="19" customWidth="1"/>
    <col min="14349" max="14590" width="8.88671875" style="19"/>
    <col min="14591" max="14591" width="5.5546875" style="19" bestFit="1" customWidth="1"/>
    <col min="14592" max="14592" width="9.33203125" style="19" customWidth="1"/>
    <col min="14593" max="14593" width="24.6640625" style="19" customWidth="1"/>
    <col min="14594" max="14594" width="11" style="19" bestFit="1" customWidth="1"/>
    <col min="14595" max="14595" width="7.5546875" style="19" bestFit="1" customWidth="1"/>
    <col min="14596" max="14596" width="13.5546875" style="19" customWidth="1"/>
    <col min="14597" max="14597" width="11.33203125" style="19" bestFit="1" customWidth="1"/>
    <col min="14598" max="14598" width="12" style="19" customWidth="1"/>
    <col min="14599" max="14599" width="15.44140625" style="19" bestFit="1" customWidth="1"/>
    <col min="14600" max="14601" width="15.109375" style="19" bestFit="1" customWidth="1"/>
    <col min="14602" max="14602" width="14.33203125" style="19" bestFit="1" customWidth="1"/>
    <col min="14603" max="14603" width="3.109375" style="19" customWidth="1"/>
    <col min="14604" max="14604" width="6.44140625" style="19" customWidth="1"/>
    <col min="14605" max="14846" width="8.88671875" style="19"/>
    <col min="14847" max="14847" width="5.5546875" style="19" bestFit="1" customWidth="1"/>
    <col min="14848" max="14848" width="9.33203125" style="19" customWidth="1"/>
    <col min="14849" max="14849" width="24.6640625" style="19" customWidth="1"/>
    <col min="14850" max="14850" width="11" style="19" bestFit="1" customWidth="1"/>
    <col min="14851" max="14851" width="7.5546875" style="19" bestFit="1" customWidth="1"/>
    <col min="14852" max="14852" width="13.5546875" style="19" customWidth="1"/>
    <col min="14853" max="14853" width="11.33203125" style="19" bestFit="1" customWidth="1"/>
    <col min="14854" max="14854" width="12" style="19" customWidth="1"/>
    <col min="14855" max="14855" width="15.44140625" style="19" bestFit="1" customWidth="1"/>
    <col min="14856" max="14857" width="15.109375" style="19" bestFit="1" customWidth="1"/>
    <col min="14858" max="14858" width="14.33203125" style="19" bestFit="1" customWidth="1"/>
    <col min="14859" max="14859" width="3.109375" style="19" customWidth="1"/>
    <col min="14860" max="14860" width="6.44140625" style="19" customWidth="1"/>
    <col min="14861" max="15102" width="8.88671875" style="19"/>
    <col min="15103" max="15103" width="5.5546875" style="19" bestFit="1" customWidth="1"/>
    <col min="15104" max="15104" width="9.33203125" style="19" customWidth="1"/>
    <col min="15105" max="15105" width="24.6640625" style="19" customWidth="1"/>
    <col min="15106" max="15106" width="11" style="19" bestFit="1" customWidth="1"/>
    <col min="15107" max="15107" width="7.5546875" style="19" bestFit="1" customWidth="1"/>
    <col min="15108" max="15108" width="13.5546875" style="19" customWidth="1"/>
    <col min="15109" max="15109" width="11.33203125" style="19" bestFit="1" customWidth="1"/>
    <col min="15110" max="15110" width="12" style="19" customWidth="1"/>
    <col min="15111" max="15111" width="15.44140625" style="19" bestFit="1" customWidth="1"/>
    <col min="15112" max="15113" width="15.109375" style="19" bestFit="1" customWidth="1"/>
    <col min="15114" max="15114" width="14.33203125" style="19" bestFit="1" customWidth="1"/>
    <col min="15115" max="15115" width="3.109375" style="19" customWidth="1"/>
    <col min="15116" max="15116" width="6.44140625" style="19" customWidth="1"/>
    <col min="15117" max="15358" width="8.88671875" style="19"/>
    <col min="15359" max="15359" width="5.5546875" style="19" bestFit="1" customWidth="1"/>
    <col min="15360" max="15360" width="9.33203125" style="19" customWidth="1"/>
    <col min="15361" max="15361" width="24.6640625" style="19" customWidth="1"/>
    <col min="15362" max="15362" width="11" style="19" bestFit="1" customWidth="1"/>
    <col min="15363" max="15363" width="7.5546875" style="19" bestFit="1" customWidth="1"/>
    <col min="15364" max="15364" width="13.5546875" style="19" customWidth="1"/>
    <col min="15365" max="15365" width="11.33203125" style="19" bestFit="1" customWidth="1"/>
    <col min="15366" max="15366" width="12" style="19" customWidth="1"/>
    <col min="15367" max="15367" width="15.44140625" style="19" bestFit="1" customWidth="1"/>
    <col min="15368" max="15369" width="15.109375" style="19" bestFit="1" customWidth="1"/>
    <col min="15370" max="15370" width="14.33203125" style="19" bestFit="1" customWidth="1"/>
    <col min="15371" max="15371" width="3.109375" style="19" customWidth="1"/>
    <col min="15372" max="15372" width="6.44140625" style="19" customWidth="1"/>
    <col min="15373" max="15614" width="8.88671875" style="19"/>
    <col min="15615" max="15615" width="5.5546875" style="19" bestFit="1" customWidth="1"/>
    <col min="15616" max="15616" width="9.33203125" style="19" customWidth="1"/>
    <col min="15617" max="15617" width="24.6640625" style="19" customWidth="1"/>
    <col min="15618" max="15618" width="11" style="19" bestFit="1" customWidth="1"/>
    <col min="15619" max="15619" width="7.5546875" style="19" bestFit="1" customWidth="1"/>
    <col min="15620" max="15620" width="13.5546875" style="19" customWidth="1"/>
    <col min="15621" max="15621" width="11.33203125" style="19" bestFit="1" customWidth="1"/>
    <col min="15622" max="15622" width="12" style="19" customWidth="1"/>
    <col min="15623" max="15623" width="15.44140625" style="19" bestFit="1" customWidth="1"/>
    <col min="15624" max="15625" width="15.109375" style="19" bestFit="1" customWidth="1"/>
    <col min="15626" max="15626" width="14.33203125" style="19" bestFit="1" customWidth="1"/>
    <col min="15627" max="15627" width="3.109375" style="19" customWidth="1"/>
    <col min="15628" max="15628" width="6.44140625" style="19" customWidth="1"/>
    <col min="15629" max="15870" width="8.88671875" style="19"/>
    <col min="15871" max="15871" width="5.5546875" style="19" bestFit="1" customWidth="1"/>
    <col min="15872" max="15872" width="9.33203125" style="19" customWidth="1"/>
    <col min="15873" max="15873" width="24.6640625" style="19" customWidth="1"/>
    <col min="15874" max="15874" width="11" style="19" bestFit="1" customWidth="1"/>
    <col min="15875" max="15875" width="7.5546875" style="19" bestFit="1" customWidth="1"/>
    <col min="15876" max="15876" width="13.5546875" style="19" customWidth="1"/>
    <col min="15877" max="15877" width="11.33203125" style="19" bestFit="1" customWidth="1"/>
    <col min="15878" max="15878" width="12" style="19" customWidth="1"/>
    <col min="15879" max="15879" width="15.44140625" style="19" bestFit="1" customWidth="1"/>
    <col min="15880" max="15881" width="15.109375" style="19" bestFit="1" customWidth="1"/>
    <col min="15882" max="15882" width="14.33203125" style="19" bestFit="1" customWidth="1"/>
    <col min="15883" max="15883" width="3.109375" style="19" customWidth="1"/>
    <col min="15884" max="15884" width="6.44140625" style="19" customWidth="1"/>
    <col min="15885" max="16126" width="8.88671875" style="19"/>
    <col min="16127" max="16127" width="5.5546875" style="19" bestFit="1" customWidth="1"/>
    <col min="16128" max="16128" width="9.33203125" style="19" customWidth="1"/>
    <col min="16129" max="16129" width="24.6640625" style="19" customWidth="1"/>
    <col min="16130" max="16130" width="11" style="19" bestFit="1" customWidth="1"/>
    <col min="16131" max="16131" width="7.5546875" style="19" bestFit="1" customWidth="1"/>
    <col min="16132" max="16132" width="13.5546875" style="19" customWidth="1"/>
    <col min="16133" max="16133" width="11.33203125" style="19" bestFit="1" customWidth="1"/>
    <col min="16134" max="16134" width="12" style="19" customWidth="1"/>
    <col min="16135" max="16135" width="15.44140625" style="19" bestFit="1" customWidth="1"/>
    <col min="16136" max="16137" width="15.109375" style="19" bestFit="1" customWidth="1"/>
    <col min="16138" max="16138" width="14.33203125" style="19" bestFit="1" customWidth="1"/>
    <col min="16139" max="16139" width="3.109375" style="19" customWidth="1"/>
    <col min="16140" max="16140" width="6.44140625" style="19" customWidth="1"/>
    <col min="16141" max="16384" width="8.88671875" style="19"/>
  </cols>
  <sheetData>
    <row r="1" spans="1:21" ht="24.75" customHeight="1">
      <c r="A1" s="61"/>
      <c r="B1" s="61"/>
      <c r="C1" s="61"/>
      <c r="D1" s="61"/>
      <c r="E1" s="61"/>
      <c r="F1" s="61"/>
      <c r="G1" s="61"/>
      <c r="H1" s="61"/>
      <c r="I1" s="62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3" customFormat="1" ht="59.4" customHeight="1">
      <c r="A2" s="292" t="s">
        <v>330</v>
      </c>
      <c r="B2" s="292"/>
      <c r="C2" s="292"/>
      <c r="D2" s="292"/>
      <c r="E2" s="292"/>
      <c r="F2" s="292"/>
      <c r="G2" s="292"/>
      <c r="H2" s="292"/>
      <c r="I2" s="292"/>
      <c r="J2" s="292"/>
      <c r="K2" s="2"/>
      <c r="L2" s="4"/>
      <c r="M2" s="40"/>
      <c r="N2" s="4"/>
      <c r="O2" s="4"/>
      <c r="P2" s="4"/>
      <c r="Q2" s="4"/>
      <c r="R2" s="4"/>
      <c r="S2" s="2"/>
      <c r="T2" s="2"/>
    </row>
    <row r="3" spans="1:21" ht="27.6" customHeight="1">
      <c r="A3" s="79" t="s">
        <v>0</v>
      </c>
      <c r="B3" s="80" t="s">
        <v>1</v>
      </c>
      <c r="C3" s="80" t="s">
        <v>2</v>
      </c>
      <c r="D3" s="87"/>
      <c r="E3" s="81" t="s">
        <v>3</v>
      </c>
      <c r="F3" s="80" t="s">
        <v>4</v>
      </c>
      <c r="G3" s="81"/>
      <c r="H3" s="82" t="s">
        <v>7</v>
      </c>
      <c r="I3" s="83" t="s">
        <v>8</v>
      </c>
      <c r="J3" s="84" t="s">
        <v>5</v>
      </c>
      <c r="K3" s="5"/>
      <c r="L3" s="4"/>
      <c r="M3" s="4"/>
      <c r="N3" s="4"/>
      <c r="O3" s="4"/>
      <c r="P3" s="4"/>
      <c r="Q3" s="4"/>
      <c r="R3" s="4"/>
      <c r="S3" s="6"/>
      <c r="T3" s="6"/>
      <c r="U3" s="1"/>
    </row>
    <row r="4" spans="1:21" ht="5.4" customHeight="1" thickBot="1">
      <c r="A4" s="65"/>
      <c r="B4" s="66"/>
      <c r="C4" s="66"/>
      <c r="D4" s="66"/>
      <c r="E4" s="64"/>
      <c r="F4" s="66"/>
      <c r="G4" s="64"/>
      <c r="H4" s="67"/>
      <c r="I4" s="68"/>
      <c r="J4" s="69"/>
      <c r="K4" s="5"/>
      <c r="L4" s="4"/>
      <c r="M4" s="4"/>
      <c r="N4" s="4"/>
      <c r="O4" s="4"/>
      <c r="P4" s="4"/>
      <c r="Q4" s="4"/>
      <c r="R4" s="4"/>
      <c r="S4" s="6"/>
      <c r="T4" s="6"/>
      <c r="U4" s="1"/>
    </row>
    <row r="5" spans="1:21" ht="40.049999999999997" customHeight="1">
      <c r="A5" s="70">
        <v>1</v>
      </c>
      <c r="B5" s="291">
        <v>46327</v>
      </c>
      <c r="C5" s="71" t="s">
        <v>11</v>
      </c>
      <c r="D5" s="72"/>
      <c r="E5" s="73">
        <v>2350</v>
      </c>
      <c r="F5" s="74">
        <v>600.73</v>
      </c>
      <c r="G5" s="75"/>
      <c r="H5" s="76">
        <f>E5*F5</f>
        <v>1411715.5</v>
      </c>
      <c r="I5" s="77"/>
      <c r="J5" s="78">
        <f>H5-I5</f>
        <v>1411715.5</v>
      </c>
      <c r="K5" s="1"/>
      <c r="L5" s="6"/>
      <c r="M5" s="6"/>
      <c r="N5" s="6"/>
      <c r="O5" s="6"/>
      <c r="P5" s="6"/>
      <c r="Q5" s="6"/>
      <c r="R5" s="6"/>
      <c r="S5" s="6"/>
      <c r="T5" s="6"/>
      <c r="U5" s="1"/>
    </row>
    <row r="6" spans="1:21" ht="40.049999999999997" customHeight="1">
      <c r="A6" s="28">
        <v>2</v>
      </c>
      <c r="B6" s="38">
        <v>46327</v>
      </c>
      <c r="C6" s="32" t="s">
        <v>10</v>
      </c>
      <c r="D6" s="39"/>
      <c r="E6" s="60">
        <v>1556.5309999999999</v>
      </c>
      <c r="F6" s="50">
        <v>570</v>
      </c>
      <c r="G6" s="34"/>
      <c r="H6" s="46">
        <f t="shared" ref="H6:H8" si="0">E6*F6</f>
        <v>887222.66999999993</v>
      </c>
      <c r="I6" s="47"/>
      <c r="J6" s="48">
        <f>H6-I6+J5</f>
        <v>2298938.17</v>
      </c>
      <c r="K6" s="1"/>
      <c r="L6" s="6"/>
      <c r="M6" s="6"/>
      <c r="N6" s="6"/>
      <c r="O6" s="6"/>
      <c r="P6" s="6"/>
      <c r="Q6" s="6"/>
      <c r="R6" s="6"/>
      <c r="S6" s="6"/>
      <c r="T6" s="6"/>
      <c r="U6" s="1"/>
    </row>
    <row r="7" spans="1:21" ht="40.049999999999997" customHeight="1">
      <c r="A7" s="28">
        <v>3</v>
      </c>
      <c r="B7" s="38"/>
      <c r="C7" s="32" t="s">
        <v>12</v>
      </c>
      <c r="D7" s="39"/>
      <c r="E7" s="60">
        <f>E5+E6</f>
        <v>3906.5309999999999</v>
      </c>
      <c r="F7" s="50">
        <v>20</v>
      </c>
      <c r="G7" s="34"/>
      <c r="H7" s="46">
        <f t="shared" si="0"/>
        <v>78130.62</v>
      </c>
      <c r="I7" s="47"/>
      <c r="J7" s="48">
        <f t="shared" ref="J7:J21" si="1">H7-I7+J6</f>
        <v>2377068.79</v>
      </c>
      <c r="K7" s="1"/>
      <c r="L7" s="6"/>
      <c r="M7" s="6"/>
      <c r="N7" s="6"/>
      <c r="O7" s="6"/>
      <c r="P7" s="6"/>
      <c r="Q7" s="6"/>
      <c r="R7" s="6"/>
      <c r="S7" s="6"/>
      <c r="T7" s="6"/>
      <c r="U7" s="1"/>
    </row>
    <row r="8" spans="1:21" ht="40.049999999999997" customHeight="1">
      <c r="A8" s="28">
        <v>4</v>
      </c>
      <c r="B8" s="38"/>
      <c r="C8" s="32" t="s">
        <v>333</v>
      </c>
      <c r="D8" s="39"/>
      <c r="E8" s="49">
        <f>E7</f>
        <v>3906.5309999999999</v>
      </c>
      <c r="F8" s="50">
        <v>45</v>
      </c>
      <c r="G8" s="34"/>
      <c r="H8" s="46">
        <f t="shared" si="0"/>
        <v>175793.89499999999</v>
      </c>
      <c r="I8" s="47"/>
      <c r="J8" s="48">
        <f t="shared" si="1"/>
        <v>2552862.6850000001</v>
      </c>
      <c r="K8" s="1"/>
      <c r="L8" s="6"/>
      <c r="M8" s="88"/>
      <c r="N8" s="6"/>
      <c r="O8" s="6"/>
      <c r="P8" s="6"/>
      <c r="Q8" s="6"/>
      <c r="R8" s="6"/>
      <c r="S8" s="6"/>
      <c r="T8" s="6"/>
      <c r="U8" s="1"/>
    </row>
    <row r="9" spans="1:21" ht="40.049999999999997" customHeight="1">
      <c r="A9" s="28">
        <v>5</v>
      </c>
      <c r="B9" s="38"/>
      <c r="C9" s="32" t="s">
        <v>334</v>
      </c>
      <c r="D9" s="39"/>
      <c r="E9" s="49"/>
      <c r="F9" s="50"/>
      <c r="G9" s="34"/>
      <c r="H9" s="46">
        <v>76500</v>
      </c>
      <c r="I9" s="47"/>
      <c r="J9" s="48">
        <f t="shared" si="1"/>
        <v>2629362.6850000001</v>
      </c>
      <c r="K9" s="1"/>
      <c r="L9" s="6"/>
      <c r="M9" s="88"/>
      <c r="N9" s="6"/>
      <c r="O9" s="6"/>
      <c r="P9" s="6"/>
      <c r="Q9" s="6"/>
      <c r="R9" s="6"/>
      <c r="S9" s="6"/>
      <c r="T9" s="6"/>
      <c r="U9" s="1"/>
    </row>
    <row r="10" spans="1:21" ht="40.049999999999997" customHeight="1">
      <c r="A10" s="28">
        <v>6</v>
      </c>
      <c r="B10" s="38"/>
      <c r="C10" s="32" t="s">
        <v>318</v>
      </c>
      <c r="D10" s="39"/>
      <c r="E10" s="49">
        <f>E8</f>
        <v>3906.5309999999999</v>
      </c>
      <c r="F10" s="50">
        <v>0.44741756970446156</v>
      </c>
      <c r="G10" s="34"/>
      <c r="H10" s="46">
        <f>E10*F10</f>
        <v>1747.8506059951399</v>
      </c>
      <c r="I10" s="47"/>
      <c r="J10" s="48">
        <f t="shared" si="1"/>
        <v>2631110.535605995</v>
      </c>
      <c r="K10" s="1"/>
      <c r="L10" s="6"/>
      <c r="M10" s="88"/>
      <c r="N10" s="6"/>
      <c r="O10" s="6"/>
      <c r="P10" s="6"/>
      <c r="Q10" s="6"/>
      <c r="R10" s="6"/>
      <c r="S10" s="6"/>
      <c r="T10" s="6"/>
      <c r="U10" s="1"/>
    </row>
    <row r="11" spans="1:21" ht="40.049999999999997" customHeight="1">
      <c r="A11" s="28">
        <v>7</v>
      </c>
      <c r="B11" s="38"/>
      <c r="C11" s="32" t="s">
        <v>319</v>
      </c>
      <c r="D11" s="39"/>
      <c r="E11" s="49">
        <f>E10</f>
        <v>3906.5309999999999</v>
      </c>
      <c r="F11" s="50">
        <v>0.4</v>
      </c>
      <c r="G11" s="34"/>
      <c r="H11" s="46">
        <f>E11*F11</f>
        <v>1562.6124</v>
      </c>
      <c r="I11" s="47"/>
      <c r="J11" s="48">
        <f t="shared" si="1"/>
        <v>2632673.148005995</v>
      </c>
      <c r="K11" s="1"/>
      <c r="L11" s="6"/>
      <c r="M11" s="88"/>
      <c r="N11" s="6"/>
      <c r="O11" s="6"/>
      <c r="P11" s="6"/>
      <c r="Q11" s="6"/>
      <c r="R11" s="6"/>
      <c r="S11" s="6"/>
      <c r="T11" s="6"/>
      <c r="U11" s="1"/>
    </row>
    <row r="12" spans="1:21" ht="40.049999999999997" customHeight="1">
      <c r="A12" s="28">
        <v>8</v>
      </c>
      <c r="B12" s="38"/>
      <c r="C12" s="32" t="s">
        <v>335</v>
      </c>
      <c r="D12" s="39"/>
      <c r="E12" s="49"/>
      <c r="F12" s="50"/>
      <c r="G12" s="34"/>
      <c r="H12" s="46">
        <v>9920.4196000000011</v>
      </c>
      <c r="I12" s="47"/>
      <c r="J12" s="48">
        <f t="shared" si="1"/>
        <v>2642593.5676059951</v>
      </c>
      <c r="K12" s="1"/>
      <c r="L12" s="6"/>
      <c r="M12" s="88"/>
      <c r="N12" s="6"/>
      <c r="O12" s="6"/>
      <c r="P12" s="6"/>
      <c r="Q12" s="6"/>
      <c r="R12" s="6"/>
      <c r="S12" s="6"/>
      <c r="T12" s="6"/>
      <c r="U12" s="1"/>
    </row>
    <row r="13" spans="1:21" ht="40.049999999999997" customHeight="1">
      <c r="A13" s="28">
        <v>9</v>
      </c>
      <c r="B13" s="38"/>
      <c r="C13" s="59" t="s">
        <v>179</v>
      </c>
      <c r="D13" s="33"/>
      <c r="E13" s="49"/>
      <c r="F13" s="50"/>
      <c r="G13" s="34"/>
      <c r="H13" s="46">
        <v>3575.8</v>
      </c>
      <c r="I13" s="47"/>
      <c r="J13" s="48">
        <f t="shared" si="1"/>
        <v>2646169.3676059949</v>
      </c>
      <c r="K13" s="1"/>
      <c r="L13" s="6"/>
      <c r="M13" s="89"/>
      <c r="N13" s="6"/>
      <c r="O13" s="6"/>
      <c r="P13" s="6"/>
      <c r="Q13" s="6"/>
      <c r="R13" s="6"/>
      <c r="S13" s="4"/>
      <c r="T13" s="6"/>
      <c r="U13" s="1"/>
    </row>
    <row r="14" spans="1:21" ht="40.049999999999997" customHeight="1">
      <c r="A14" s="28">
        <v>10</v>
      </c>
      <c r="B14" s="17"/>
      <c r="C14" s="59" t="s">
        <v>180</v>
      </c>
      <c r="D14" s="35"/>
      <c r="E14" s="49"/>
      <c r="F14" s="51"/>
      <c r="G14" s="34"/>
      <c r="H14" s="46">
        <f>204071.8-H13</f>
        <v>200496</v>
      </c>
      <c r="I14" s="47"/>
      <c r="J14" s="48">
        <f t="shared" si="1"/>
        <v>2846665.3676059949</v>
      </c>
      <c r="K14" s="1"/>
      <c r="L14" s="6"/>
      <c r="M14" s="89"/>
      <c r="N14" s="6"/>
      <c r="O14" s="6"/>
      <c r="P14" s="6"/>
      <c r="Q14" s="6"/>
      <c r="R14" s="6"/>
      <c r="S14" s="6"/>
      <c r="T14" s="6"/>
      <c r="U14" s="1"/>
    </row>
    <row r="15" spans="1:21" ht="40.049999999999997" customHeight="1">
      <c r="A15" s="28">
        <v>11</v>
      </c>
      <c r="B15" s="215"/>
      <c r="C15" s="216" t="s">
        <v>181</v>
      </c>
      <c r="D15" s="217"/>
      <c r="E15" s="218">
        <v>3882.4399999999996</v>
      </c>
      <c r="F15" s="289">
        <v>25</v>
      </c>
      <c r="G15" s="220"/>
      <c r="H15" s="221">
        <f>E15*F15</f>
        <v>97060.999999999985</v>
      </c>
      <c r="I15" s="222"/>
      <c r="J15" s="48">
        <f t="shared" si="1"/>
        <v>2943726.3676059949</v>
      </c>
      <c r="K15" s="1"/>
      <c r="L15" s="6"/>
      <c r="M15" s="89"/>
      <c r="N15" s="6"/>
      <c r="O15" s="6"/>
      <c r="P15" s="6"/>
      <c r="Q15" s="6"/>
      <c r="R15" s="6"/>
      <c r="S15" s="6"/>
      <c r="T15" s="6"/>
      <c r="U15" s="1"/>
    </row>
    <row r="16" spans="1:21" ht="40.049999999999997" customHeight="1">
      <c r="A16" s="28">
        <v>12</v>
      </c>
      <c r="B16" s="215"/>
      <c r="C16" s="216" t="s">
        <v>183</v>
      </c>
      <c r="D16" s="270">
        <v>126</v>
      </c>
      <c r="E16" s="218">
        <f>1160/19.5</f>
        <v>59.487179487179489</v>
      </c>
      <c r="F16" s="219"/>
      <c r="G16" s="220"/>
      <c r="H16" s="221">
        <f>D16*E16</f>
        <v>7495.3846153846152</v>
      </c>
      <c r="I16" s="222"/>
      <c r="J16" s="48">
        <f t="shared" si="1"/>
        <v>2951221.7522213794</v>
      </c>
      <c r="K16" s="1"/>
      <c r="L16" s="6"/>
      <c r="M16" s="89"/>
      <c r="N16" s="6"/>
      <c r="O16" s="6"/>
      <c r="P16" s="6"/>
      <c r="Q16" s="6"/>
      <c r="R16" s="6"/>
      <c r="S16" s="6"/>
      <c r="T16" s="6"/>
      <c r="U16" s="1"/>
    </row>
    <row r="17" spans="1:21" ht="40.049999999999997" customHeight="1">
      <c r="A17" s="28">
        <v>13</v>
      </c>
      <c r="B17" s="215"/>
      <c r="C17" s="216" t="s">
        <v>320</v>
      </c>
      <c r="D17" s="217"/>
      <c r="E17" s="218"/>
      <c r="F17" s="219"/>
      <c r="G17" s="220"/>
      <c r="H17" s="221">
        <v>549554.55208253965</v>
      </c>
      <c r="I17" s="222"/>
      <c r="J17" s="48">
        <f t="shared" si="1"/>
        <v>3500776.304303919</v>
      </c>
      <c r="K17" s="1"/>
      <c r="L17" s="6"/>
      <c r="M17" s="89"/>
      <c r="N17" s="6"/>
      <c r="O17" s="6"/>
      <c r="P17" s="6"/>
      <c r="Q17" s="6"/>
      <c r="R17" s="6"/>
      <c r="S17" s="6"/>
      <c r="T17" s="6"/>
      <c r="U17" s="1"/>
    </row>
    <row r="18" spans="1:21" ht="40.049999999999997" customHeight="1">
      <c r="A18" s="28">
        <v>14</v>
      </c>
      <c r="B18" s="215"/>
      <c r="C18" s="216" t="s">
        <v>331</v>
      </c>
      <c r="D18" s="217"/>
      <c r="E18" s="218">
        <v>3196.48</v>
      </c>
      <c r="F18" s="290">
        <v>4</v>
      </c>
      <c r="G18" s="220"/>
      <c r="H18" s="221">
        <f>E18*F18</f>
        <v>12785.92</v>
      </c>
      <c r="I18" s="222"/>
      <c r="J18" s="48">
        <f t="shared" si="1"/>
        <v>3513562.2243039189</v>
      </c>
      <c r="K18" s="1"/>
      <c r="L18" s="6"/>
      <c r="M18" s="89"/>
      <c r="N18" s="6"/>
      <c r="O18" s="6"/>
      <c r="P18" s="6"/>
      <c r="Q18" s="6"/>
      <c r="R18" s="6"/>
      <c r="S18" s="6"/>
      <c r="T18" s="6"/>
      <c r="U18" s="1"/>
    </row>
    <row r="19" spans="1:21" ht="40.049999999999997" customHeight="1">
      <c r="A19" s="28">
        <v>15</v>
      </c>
      <c r="B19" s="215"/>
      <c r="C19" s="216" t="s">
        <v>184</v>
      </c>
      <c r="D19" s="217"/>
      <c r="E19" s="218">
        <v>3786.48</v>
      </c>
      <c r="F19" s="219"/>
      <c r="G19" s="220"/>
      <c r="H19" s="221"/>
      <c r="I19" s="222">
        <v>3482405.0700000003</v>
      </c>
      <c r="J19" s="48">
        <f t="shared" si="1"/>
        <v>31157.154303918593</v>
      </c>
      <c r="K19" s="1"/>
      <c r="L19" s="6"/>
      <c r="M19" s="89"/>
      <c r="N19" s="6"/>
      <c r="O19" s="6"/>
      <c r="P19" s="6"/>
      <c r="Q19" s="6"/>
      <c r="R19" s="6"/>
      <c r="S19" s="6"/>
      <c r="T19" s="6"/>
      <c r="U19" s="1"/>
    </row>
    <row r="20" spans="1:21" ht="40.049999999999997" customHeight="1">
      <c r="A20" s="28">
        <v>16</v>
      </c>
      <c r="B20" s="215"/>
      <c r="C20" s="216" t="s">
        <v>311</v>
      </c>
      <c r="D20" s="217"/>
      <c r="E20" s="218">
        <v>58.97</v>
      </c>
      <c r="F20" s="219"/>
      <c r="G20" s="220"/>
      <c r="H20" s="221"/>
      <c r="I20" s="222">
        <v>61615.259999999995</v>
      </c>
      <c r="J20" s="48">
        <f t="shared" si="1"/>
        <v>-30458.105696081402</v>
      </c>
      <c r="K20" s="1"/>
      <c r="L20" s="6"/>
      <c r="M20" s="89"/>
      <c r="N20" s="6"/>
      <c r="O20" s="6"/>
      <c r="P20" s="6"/>
      <c r="Q20" s="6"/>
      <c r="R20" s="6"/>
      <c r="S20" s="6"/>
      <c r="T20" s="6"/>
      <c r="U20" s="1"/>
    </row>
    <row r="21" spans="1:21" ht="40.049999999999997" customHeight="1">
      <c r="A21" s="28">
        <v>17</v>
      </c>
      <c r="B21" s="215"/>
      <c r="C21" s="216" t="s">
        <v>332</v>
      </c>
      <c r="D21" s="217"/>
      <c r="E21" s="218"/>
      <c r="F21" s="219"/>
      <c r="G21" s="220"/>
      <c r="H21" s="221">
        <f>J20-J20-J20</f>
        <v>30458.105696081402</v>
      </c>
      <c r="I21" s="222"/>
      <c r="J21" s="48">
        <f t="shared" si="1"/>
        <v>0</v>
      </c>
      <c r="K21" s="1"/>
      <c r="L21" s="6"/>
      <c r="M21" s="89"/>
      <c r="N21" s="6"/>
      <c r="O21" s="6"/>
      <c r="P21" s="6"/>
      <c r="Q21" s="6"/>
      <c r="R21" s="6"/>
      <c r="S21" s="6"/>
      <c r="T21" s="6"/>
      <c r="U21" s="1"/>
    </row>
    <row r="22" spans="1:21" ht="40.049999999999997" customHeight="1" thickBot="1">
      <c r="A22" s="29"/>
      <c r="B22" s="30"/>
      <c r="C22" s="36"/>
      <c r="D22" s="41"/>
      <c r="E22" s="42"/>
      <c r="F22" s="43"/>
      <c r="G22" s="37"/>
      <c r="H22" s="44"/>
      <c r="I22" s="45"/>
      <c r="J22" s="31"/>
      <c r="K22" s="1"/>
      <c r="L22" s="1"/>
      <c r="M22" s="90"/>
      <c r="N22" s="1"/>
      <c r="O22" s="1"/>
      <c r="P22" s="1"/>
      <c r="Q22" s="1"/>
      <c r="R22" s="1"/>
      <c r="S22" s="1"/>
      <c r="T22" s="1"/>
      <c r="U22" s="1"/>
    </row>
    <row r="23" spans="1:21">
      <c r="A23" s="7"/>
      <c r="B23" s="8"/>
      <c r="C23" s="9"/>
      <c r="D23" s="10"/>
      <c r="E23" s="11"/>
      <c r="F23" s="12"/>
      <c r="G23" s="11"/>
      <c r="H23" s="13"/>
      <c r="I23" s="14"/>
      <c r="J23" s="15"/>
      <c r="K23" s="1"/>
      <c r="L23" s="1"/>
      <c r="M23" s="90"/>
      <c r="N23" s="1"/>
      <c r="O23" s="1"/>
      <c r="P23" s="1"/>
      <c r="Q23" s="1"/>
      <c r="R23" s="1"/>
      <c r="S23" s="1"/>
      <c r="T23" s="1"/>
      <c r="U23" s="1"/>
    </row>
    <row r="24" spans="1:21">
      <c r="A24" s="7"/>
      <c r="B24" s="8"/>
      <c r="C24" s="9"/>
      <c r="D24" s="10"/>
      <c r="E24" s="11"/>
      <c r="F24" s="12"/>
      <c r="G24" s="11"/>
      <c r="H24" s="85">
        <f>SUM(H5:H14)</f>
        <v>2846665.3676059949</v>
      </c>
      <c r="I24" s="86">
        <f>SUM(I5:I14)</f>
        <v>0</v>
      </c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7"/>
      <c r="B25" s="8"/>
      <c r="C25" s="9"/>
      <c r="D25" s="10"/>
      <c r="E25" s="11"/>
      <c r="F25" s="12"/>
      <c r="G25" s="11"/>
      <c r="H25" s="13"/>
      <c r="I25" s="14"/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7"/>
      <c r="B26" s="8"/>
      <c r="C26" s="9"/>
      <c r="D26" s="10"/>
      <c r="E26" s="11"/>
      <c r="F26" s="12"/>
      <c r="G26" s="11"/>
      <c r="H26" s="13"/>
      <c r="I26" s="14"/>
      <c r="J26" s="1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7"/>
      <c r="B27" s="8"/>
      <c r="C27" s="9"/>
      <c r="D27" s="10"/>
      <c r="E27" s="11"/>
      <c r="F27" s="12"/>
      <c r="G27" s="11"/>
      <c r="H27" s="13"/>
      <c r="I27" s="14"/>
      <c r="J27" s="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7"/>
      <c r="B28" s="8"/>
      <c r="C28" s="9"/>
      <c r="D28" s="10"/>
      <c r="E28" s="11"/>
      <c r="F28" s="12"/>
      <c r="G28" s="11"/>
      <c r="H28" s="13"/>
      <c r="I28" s="14"/>
      <c r="J28" s="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7"/>
      <c r="B29" s="8"/>
      <c r="C29" s="9"/>
      <c r="D29" s="10"/>
      <c r="E29" s="11"/>
      <c r="F29" s="12"/>
      <c r="G29" s="11"/>
      <c r="H29" s="13"/>
      <c r="I29" s="14"/>
      <c r="J29" s="1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7"/>
      <c r="B30" s="8"/>
      <c r="C30" s="9"/>
      <c r="D30" s="10"/>
      <c r="E30" s="11"/>
      <c r="F30" s="12"/>
      <c r="G30" s="11"/>
      <c r="H30" s="13"/>
      <c r="I30" s="14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7"/>
      <c r="B31" s="8"/>
      <c r="C31" s="9"/>
      <c r="D31" s="10"/>
      <c r="E31" s="11"/>
      <c r="F31" s="12"/>
      <c r="G31" s="11"/>
      <c r="H31" s="13"/>
      <c r="I31" s="14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7"/>
      <c r="B32" s="8"/>
      <c r="C32" s="9"/>
      <c r="D32" s="10"/>
      <c r="E32" s="11"/>
      <c r="F32" s="12"/>
      <c r="G32" s="11"/>
      <c r="H32" s="13"/>
      <c r="I32" s="14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7"/>
      <c r="B33" s="8"/>
      <c r="C33" s="9"/>
      <c r="D33" s="10"/>
      <c r="E33" s="11"/>
      <c r="F33" s="12"/>
      <c r="G33" s="11"/>
      <c r="H33" s="13"/>
      <c r="I33" s="14"/>
      <c r="J33" s="1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7"/>
      <c r="B34" s="8"/>
      <c r="C34" s="9"/>
      <c r="D34" s="10"/>
      <c r="E34" s="11"/>
      <c r="F34" s="12"/>
      <c r="G34" s="11"/>
      <c r="H34" s="13"/>
      <c r="I34" s="14"/>
      <c r="J34" s="1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7"/>
      <c r="B35" s="8"/>
      <c r="C35" s="9"/>
      <c r="D35" s="10"/>
      <c r="E35" s="11"/>
      <c r="F35" s="12"/>
      <c r="G35" s="11"/>
      <c r="H35" s="13"/>
      <c r="I35" s="14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7"/>
      <c r="B36" s="8"/>
      <c r="C36" s="9"/>
      <c r="D36" s="10"/>
      <c r="E36" s="11"/>
      <c r="F36" s="12"/>
      <c r="G36" s="11"/>
      <c r="H36" s="13"/>
      <c r="I36" s="14"/>
      <c r="J36" s="1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7"/>
      <c r="B37" s="8"/>
      <c r="C37" s="9"/>
      <c r="D37" s="10"/>
      <c r="E37" s="11"/>
      <c r="F37" s="12"/>
      <c r="G37" s="11"/>
      <c r="H37" s="13"/>
      <c r="I37" s="14"/>
      <c r="J37" s="1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7"/>
      <c r="B38" s="8"/>
      <c r="C38" s="9"/>
      <c r="D38" s="10"/>
      <c r="E38" s="11"/>
      <c r="F38" s="12"/>
      <c r="G38" s="11"/>
      <c r="H38" s="13"/>
      <c r="I38" s="14"/>
      <c r="J38" s="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7"/>
      <c r="B39" s="8"/>
      <c r="C39" s="9"/>
      <c r="D39" s="10"/>
      <c r="E39" s="11"/>
      <c r="F39" s="12"/>
      <c r="G39" s="11"/>
      <c r="H39" s="13"/>
      <c r="I39" s="14"/>
      <c r="J39" s="1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7"/>
      <c r="B40" s="8"/>
      <c r="C40" s="9"/>
      <c r="D40" s="10"/>
      <c r="E40" s="11"/>
      <c r="F40" s="12"/>
      <c r="G40" s="11"/>
      <c r="H40" s="13"/>
      <c r="I40" s="14"/>
      <c r="J40" s="1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7"/>
      <c r="B41" s="8"/>
      <c r="C41" s="9"/>
      <c r="D41" s="10"/>
      <c r="E41" s="11"/>
      <c r="F41" s="12"/>
      <c r="G41" s="11"/>
      <c r="H41" s="13"/>
      <c r="I41" s="14"/>
      <c r="J41" s="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7"/>
      <c r="B42" s="8"/>
      <c r="C42" s="9"/>
      <c r="D42" s="10"/>
      <c r="E42" s="11"/>
      <c r="F42" s="12"/>
      <c r="G42" s="11"/>
      <c r="H42" s="13"/>
      <c r="I42" s="14"/>
      <c r="J42" s="1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7"/>
      <c r="B43" s="8"/>
      <c r="C43" s="9"/>
      <c r="D43" s="10"/>
      <c r="E43" s="11"/>
      <c r="F43" s="12"/>
      <c r="G43" s="11"/>
      <c r="H43" s="13"/>
      <c r="I43" s="14"/>
      <c r="J43" s="1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7"/>
      <c r="B44" s="8"/>
      <c r="C44" s="9"/>
      <c r="D44" s="10"/>
      <c r="E44" s="11"/>
      <c r="F44" s="12"/>
      <c r="G44" s="11"/>
      <c r="H44" s="13"/>
      <c r="I44" s="14"/>
      <c r="J44" s="1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7"/>
      <c r="B45" s="8"/>
      <c r="C45" s="9"/>
      <c r="D45" s="10"/>
      <c r="E45" s="11"/>
      <c r="F45" s="12"/>
      <c r="G45" s="11"/>
      <c r="H45" s="13"/>
      <c r="I45" s="14"/>
      <c r="J45" s="1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7"/>
      <c r="B46" s="8"/>
      <c r="C46" s="9"/>
      <c r="D46" s="10"/>
      <c r="E46" s="11"/>
      <c r="F46" s="12"/>
      <c r="G46" s="11"/>
      <c r="H46" s="13"/>
      <c r="I46" s="14"/>
      <c r="J46" s="15"/>
    </row>
  </sheetData>
  <mergeCells count="1">
    <mergeCell ref="A2:J2"/>
  </mergeCells>
  <pageMargins left="0" right="0" top="0" bottom="0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opLeftCell="A27" zoomScale="80" zoomScaleNormal="80" workbookViewId="0">
      <selection activeCell="K20" sqref="K20"/>
    </sheetView>
  </sheetViews>
  <sheetFormatPr defaultColWidth="9.109375" defaultRowHeight="13.8"/>
  <cols>
    <col min="1" max="3" width="9.33203125" style="95" bestFit="1" customWidth="1"/>
    <col min="4" max="4" width="23" style="95" customWidth="1"/>
    <col min="5" max="5" width="17.44140625" style="95" customWidth="1"/>
    <col min="6" max="6" width="21.6640625" style="95" customWidth="1"/>
    <col min="7" max="7" width="23.5546875" style="95" customWidth="1"/>
    <col min="8" max="8" width="12.5546875" style="95" customWidth="1"/>
    <col min="9" max="9" width="13" style="95" customWidth="1"/>
    <col min="10" max="10" width="1" style="95" customWidth="1"/>
    <col min="11" max="11" width="13.21875" style="95" bestFit="1" customWidth="1"/>
    <col min="12" max="12" width="12.6640625" style="95" customWidth="1"/>
    <col min="13" max="13" width="9.33203125" style="95" bestFit="1" customWidth="1"/>
    <col min="14" max="14" width="19.109375" style="95" customWidth="1"/>
    <col min="15" max="16384" width="9.109375" style="95"/>
  </cols>
  <sheetData>
    <row r="1" spans="1:14" ht="50.4" customHeight="1" thickBot="1">
      <c r="A1" s="327" t="s">
        <v>13</v>
      </c>
      <c r="B1" s="328"/>
      <c r="C1" s="328"/>
      <c r="D1" s="329"/>
      <c r="E1" s="91"/>
      <c r="F1" s="92"/>
      <c r="G1" s="93"/>
      <c r="H1" s="93"/>
      <c r="I1" s="93"/>
      <c r="J1" s="93"/>
      <c r="K1" s="93"/>
      <c r="L1" s="93"/>
      <c r="M1" s="93"/>
      <c r="N1" s="94" t="s">
        <v>14</v>
      </c>
    </row>
    <row r="2" spans="1:14" s="111" customFormat="1" ht="25.05" customHeight="1">
      <c r="A2" s="330" t="s">
        <v>15</v>
      </c>
      <c r="B2" s="331"/>
      <c r="C2" s="332">
        <v>46062</v>
      </c>
      <c r="D2" s="333"/>
      <c r="E2" s="175"/>
      <c r="F2" s="98"/>
      <c r="G2" s="98"/>
      <c r="H2" s="98"/>
      <c r="I2" s="98"/>
      <c r="J2" s="98"/>
      <c r="K2" s="98"/>
      <c r="L2" s="98"/>
      <c r="M2" s="98"/>
      <c r="N2" s="176"/>
    </row>
    <row r="3" spans="1:14" s="111" customFormat="1" ht="25.05" customHeight="1">
      <c r="A3" s="334" t="s">
        <v>16</v>
      </c>
      <c r="B3" s="335"/>
      <c r="C3" s="336" t="s">
        <v>17</v>
      </c>
      <c r="D3" s="337"/>
      <c r="E3" s="175"/>
      <c r="F3" s="98"/>
      <c r="G3" s="98"/>
      <c r="H3" s="98"/>
      <c r="I3" s="98"/>
      <c r="J3" s="98"/>
      <c r="K3" s="98"/>
      <c r="L3" s="98"/>
      <c r="M3" s="98"/>
      <c r="N3" s="98"/>
    </row>
    <row r="4" spans="1:14" s="111" customFormat="1" ht="25.05" customHeight="1">
      <c r="A4" s="334" t="s">
        <v>18</v>
      </c>
      <c r="B4" s="335"/>
      <c r="C4" s="338" t="s">
        <v>19</v>
      </c>
      <c r="D4" s="339"/>
      <c r="E4" s="175"/>
      <c r="F4" s="98"/>
      <c r="G4" s="98"/>
      <c r="H4" s="98"/>
      <c r="I4" s="98"/>
      <c r="J4" s="98"/>
      <c r="K4" s="98"/>
      <c r="L4" s="98"/>
      <c r="M4" s="98"/>
      <c r="N4" s="98"/>
    </row>
    <row r="5" spans="1:14" s="111" customFormat="1" ht="25.05" customHeight="1">
      <c r="A5" s="334" t="s">
        <v>20</v>
      </c>
      <c r="B5" s="335"/>
      <c r="C5" s="338" t="s">
        <v>21</v>
      </c>
      <c r="D5" s="339"/>
      <c r="E5" s="175"/>
      <c r="F5" s="98"/>
      <c r="G5" s="98"/>
      <c r="H5" s="98"/>
      <c r="I5" s="98"/>
      <c r="J5" s="98"/>
      <c r="K5" s="98"/>
      <c r="L5" s="98"/>
      <c r="M5" s="98"/>
      <c r="N5" s="98"/>
    </row>
    <row r="6" spans="1:14" s="111" customFormat="1" ht="25.05" customHeight="1">
      <c r="A6" s="334" t="s">
        <v>22</v>
      </c>
      <c r="B6" s="335"/>
      <c r="C6" s="340">
        <v>3906.5309999999999</v>
      </c>
      <c r="D6" s="341"/>
      <c r="E6" s="175"/>
      <c r="F6" s="98"/>
      <c r="G6" s="98"/>
      <c r="H6" s="98"/>
      <c r="I6" s="98"/>
      <c r="J6" s="98"/>
      <c r="K6" s="98"/>
      <c r="L6" s="98"/>
      <c r="M6" s="98"/>
      <c r="N6" s="96"/>
    </row>
    <row r="7" spans="1:14" s="111" customFormat="1" ht="25.05" customHeight="1">
      <c r="A7" s="315" t="s">
        <v>23</v>
      </c>
      <c r="B7" s="316"/>
      <c r="C7" s="319">
        <v>3888.88</v>
      </c>
      <c r="D7" s="320"/>
      <c r="E7" s="175"/>
      <c r="F7" s="98"/>
      <c r="G7" s="98"/>
      <c r="H7" s="98"/>
      <c r="I7" s="98"/>
      <c r="J7" s="98"/>
      <c r="K7" s="98"/>
      <c r="L7" s="98"/>
      <c r="M7" s="98"/>
      <c r="N7" s="177"/>
    </row>
    <row r="8" spans="1:14" s="111" customFormat="1" ht="25.05" customHeight="1">
      <c r="A8" s="325" t="s">
        <v>24</v>
      </c>
      <c r="B8" s="326"/>
      <c r="C8" s="319">
        <f>C7-C6</f>
        <v>-17.65099999999984</v>
      </c>
      <c r="D8" s="320"/>
      <c r="E8" s="175"/>
      <c r="F8" s="98"/>
      <c r="G8" s="98"/>
      <c r="H8" s="98"/>
      <c r="I8" s="98"/>
      <c r="J8" s="98"/>
      <c r="K8" s="98"/>
      <c r="L8" s="98"/>
      <c r="M8" s="98"/>
      <c r="N8" s="98"/>
    </row>
    <row r="9" spans="1:14" s="111" customFormat="1" ht="25.05" customHeight="1">
      <c r="A9" s="315" t="s">
        <v>25</v>
      </c>
      <c r="B9" s="316"/>
      <c r="C9" s="317">
        <v>126</v>
      </c>
      <c r="D9" s="318"/>
      <c r="E9" s="175"/>
      <c r="F9" s="98"/>
      <c r="G9" s="98"/>
      <c r="H9" s="98"/>
      <c r="I9" s="98"/>
      <c r="J9" s="98"/>
      <c r="K9" s="98"/>
      <c r="L9" s="98"/>
      <c r="M9" s="98"/>
      <c r="N9" s="98"/>
    </row>
    <row r="10" spans="1:14" s="111" customFormat="1" ht="25.05" customHeight="1">
      <c r="A10" s="315" t="s">
        <v>26</v>
      </c>
      <c r="B10" s="316"/>
      <c r="C10" s="319">
        <f>E150</f>
        <v>3882.4399999999996</v>
      </c>
      <c r="D10" s="320"/>
      <c r="E10" s="175"/>
      <c r="F10" s="98"/>
      <c r="G10" s="98"/>
      <c r="H10" s="98"/>
      <c r="I10" s="98"/>
      <c r="J10" s="98"/>
      <c r="K10" s="98"/>
      <c r="L10" s="98"/>
      <c r="M10" s="98"/>
      <c r="N10" s="98"/>
    </row>
    <row r="11" spans="1:14" s="111" customFormat="1" ht="25.05" customHeight="1" thickBot="1">
      <c r="A11" s="321" t="s">
        <v>27</v>
      </c>
      <c r="B11" s="322"/>
      <c r="C11" s="323">
        <f>C7-C10</f>
        <v>6.4400000000005093</v>
      </c>
      <c r="D11" s="324"/>
      <c r="E11" s="178"/>
    </row>
    <row r="12" spans="1:14" ht="30" customHeight="1" thickBot="1">
      <c r="E12" s="97"/>
    </row>
    <row r="13" spans="1:14" ht="30" customHeight="1">
      <c r="A13" s="305" t="s">
        <v>28</v>
      </c>
      <c r="B13" s="307" t="s">
        <v>6</v>
      </c>
      <c r="C13" s="309" t="s">
        <v>29</v>
      </c>
      <c r="D13" s="311" t="s">
        <v>30</v>
      </c>
      <c r="E13" s="313" t="s">
        <v>31</v>
      </c>
      <c r="F13" s="297" t="s">
        <v>32</v>
      </c>
      <c r="G13" s="299" t="s">
        <v>9</v>
      </c>
      <c r="H13" s="301" t="s">
        <v>33</v>
      </c>
      <c r="I13" s="295" t="s">
        <v>34</v>
      </c>
      <c r="J13" s="303"/>
      <c r="K13" s="293" t="s">
        <v>182</v>
      </c>
      <c r="L13" s="295" t="s">
        <v>34</v>
      </c>
    </row>
    <row r="14" spans="1:14" ht="7.2" customHeight="1" thickBot="1">
      <c r="A14" s="306"/>
      <c r="B14" s="308"/>
      <c r="C14" s="310"/>
      <c r="D14" s="312"/>
      <c r="E14" s="314"/>
      <c r="F14" s="298"/>
      <c r="G14" s="300"/>
      <c r="H14" s="302"/>
      <c r="I14" s="296"/>
      <c r="J14" s="304"/>
      <c r="K14" s="294"/>
      <c r="L14" s="296"/>
    </row>
    <row r="15" spans="1:14" s="111" customFormat="1" ht="30" customHeight="1">
      <c r="A15" s="103">
        <v>1</v>
      </c>
      <c r="B15" s="104">
        <v>46056</v>
      </c>
      <c r="C15" s="103">
        <v>1384893</v>
      </c>
      <c r="D15" s="103" t="s">
        <v>35</v>
      </c>
      <c r="E15" s="105">
        <v>28.64</v>
      </c>
      <c r="F15" s="103" t="s">
        <v>36</v>
      </c>
      <c r="G15" s="106" t="s">
        <v>37</v>
      </c>
      <c r="H15" s="107">
        <v>55</v>
      </c>
      <c r="I15" s="108">
        <f t="shared" ref="I15:I33" si="0">E15*H15</f>
        <v>1575.2</v>
      </c>
      <c r="J15" s="109"/>
      <c r="K15" s="99">
        <v>25</v>
      </c>
      <c r="L15" s="110">
        <f t="shared" ref="L15:L33" si="1">E15*K15</f>
        <v>716</v>
      </c>
      <c r="M15" s="111">
        <v>60</v>
      </c>
    </row>
    <row r="16" spans="1:14" s="111" customFormat="1" ht="30" customHeight="1">
      <c r="A16" s="112">
        <f>A15+1</f>
        <v>2</v>
      </c>
      <c r="B16" s="113">
        <v>46056</v>
      </c>
      <c r="C16" s="112">
        <v>1384894</v>
      </c>
      <c r="D16" s="112" t="s">
        <v>38</v>
      </c>
      <c r="E16" s="114">
        <v>30.82</v>
      </c>
      <c r="F16" s="103" t="s">
        <v>36</v>
      </c>
      <c r="G16" s="106" t="s">
        <v>37</v>
      </c>
      <c r="H16" s="107">
        <v>55</v>
      </c>
      <c r="I16" s="108">
        <f t="shared" si="0"/>
        <v>1695.1</v>
      </c>
      <c r="J16" s="109"/>
      <c r="K16" s="99">
        <v>25</v>
      </c>
      <c r="L16" s="110">
        <f t="shared" si="1"/>
        <v>770.5</v>
      </c>
    </row>
    <row r="17" spans="1:12" s="111" customFormat="1" ht="30" customHeight="1">
      <c r="A17" s="112">
        <f t="shared" ref="A17:A33" si="2">A16+1</f>
        <v>3</v>
      </c>
      <c r="B17" s="113">
        <v>46056</v>
      </c>
      <c r="C17" s="112">
        <v>1384895</v>
      </c>
      <c r="D17" s="112" t="s">
        <v>39</v>
      </c>
      <c r="E17" s="114">
        <v>31.76</v>
      </c>
      <c r="F17" s="103" t="s">
        <v>36</v>
      </c>
      <c r="G17" s="106" t="s">
        <v>37</v>
      </c>
      <c r="H17" s="107">
        <v>55</v>
      </c>
      <c r="I17" s="108">
        <f t="shared" si="0"/>
        <v>1746.8000000000002</v>
      </c>
      <c r="J17" s="109"/>
      <c r="K17" s="99">
        <v>25</v>
      </c>
      <c r="L17" s="110">
        <f t="shared" si="1"/>
        <v>794</v>
      </c>
    </row>
    <row r="18" spans="1:12" s="111" customFormat="1" ht="30" customHeight="1">
      <c r="A18" s="112">
        <f t="shared" si="2"/>
        <v>4</v>
      </c>
      <c r="B18" s="113">
        <v>46056</v>
      </c>
      <c r="C18" s="112">
        <v>1384896</v>
      </c>
      <c r="D18" s="112" t="s">
        <v>40</v>
      </c>
      <c r="E18" s="114">
        <v>33</v>
      </c>
      <c r="F18" s="103" t="s">
        <v>36</v>
      </c>
      <c r="G18" s="106" t="s">
        <v>37</v>
      </c>
      <c r="H18" s="107">
        <v>55</v>
      </c>
      <c r="I18" s="108">
        <f t="shared" si="0"/>
        <v>1815</v>
      </c>
      <c r="J18" s="109"/>
      <c r="K18" s="99">
        <v>25</v>
      </c>
      <c r="L18" s="110">
        <f t="shared" si="1"/>
        <v>825</v>
      </c>
    </row>
    <row r="19" spans="1:12" s="111" customFormat="1" ht="30" customHeight="1">
      <c r="A19" s="112">
        <f t="shared" si="2"/>
        <v>5</v>
      </c>
      <c r="B19" s="113">
        <v>46056</v>
      </c>
      <c r="C19" s="112">
        <v>1384897</v>
      </c>
      <c r="D19" s="112" t="s">
        <v>41</v>
      </c>
      <c r="E19" s="114">
        <v>30.22</v>
      </c>
      <c r="F19" s="103" t="s">
        <v>36</v>
      </c>
      <c r="G19" s="106" t="s">
        <v>37</v>
      </c>
      <c r="H19" s="107">
        <v>55</v>
      </c>
      <c r="I19" s="108">
        <f t="shared" si="0"/>
        <v>1662.1</v>
      </c>
      <c r="J19" s="109"/>
      <c r="K19" s="99">
        <v>25</v>
      </c>
      <c r="L19" s="110">
        <f t="shared" si="1"/>
        <v>755.5</v>
      </c>
    </row>
    <row r="20" spans="1:12" s="111" customFormat="1" ht="30" customHeight="1">
      <c r="A20" s="112">
        <f t="shared" si="2"/>
        <v>6</v>
      </c>
      <c r="B20" s="113">
        <v>46056</v>
      </c>
      <c r="C20" s="112">
        <v>1384898</v>
      </c>
      <c r="D20" s="112" t="s">
        <v>42</v>
      </c>
      <c r="E20" s="114">
        <v>33.020000000000003</v>
      </c>
      <c r="F20" s="103" t="s">
        <v>36</v>
      </c>
      <c r="G20" s="106" t="s">
        <v>37</v>
      </c>
      <c r="H20" s="107">
        <v>55</v>
      </c>
      <c r="I20" s="108">
        <f t="shared" si="0"/>
        <v>1816.1000000000001</v>
      </c>
      <c r="J20" s="109"/>
      <c r="K20" s="99">
        <v>25</v>
      </c>
      <c r="L20" s="110">
        <f t="shared" si="1"/>
        <v>825.50000000000011</v>
      </c>
    </row>
    <row r="21" spans="1:12" s="111" customFormat="1" ht="30" customHeight="1">
      <c r="A21" s="112">
        <f t="shared" si="2"/>
        <v>7</v>
      </c>
      <c r="B21" s="113">
        <v>46056</v>
      </c>
      <c r="C21" s="112">
        <v>1384899</v>
      </c>
      <c r="D21" s="112" t="s">
        <v>43</v>
      </c>
      <c r="E21" s="114">
        <v>31.08</v>
      </c>
      <c r="F21" s="103" t="s">
        <v>36</v>
      </c>
      <c r="G21" s="106" t="s">
        <v>37</v>
      </c>
      <c r="H21" s="107">
        <v>55</v>
      </c>
      <c r="I21" s="108">
        <f t="shared" si="0"/>
        <v>1709.3999999999999</v>
      </c>
      <c r="J21" s="109"/>
      <c r="K21" s="99">
        <v>25</v>
      </c>
      <c r="L21" s="110">
        <f t="shared" si="1"/>
        <v>777</v>
      </c>
    </row>
    <row r="22" spans="1:12" s="111" customFormat="1" ht="30" customHeight="1">
      <c r="A22" s="112">
        <f t="shared" si="2"/>
        <v>8</v>
      </c>
      <c r="B22" s="113">
        <v>46056</v>
      </c>
      <c r="C22" s="112">
        <v>1384900</v>
      </c>
      <c r="D22" s="112" t="s">
        <v>44</v>
      </c>
      <c r="E22" s="114">
        <v>30.36</v>
      </c>
      <c r="F22" s="103" t="s">
        <v>36</v>
      </c>
      <c r="G22" s="106" t="s">
        <v>37</v>
      </c>
      <c r="H22" s="107">
        <v>55</v>
      </c>
      <c r="I22" s="108">
        <f t="shared" si="0"/>
        <v>1669.8</v>
      </c>
      <c r="J22" s="109"/>
      <c r="K22" s="99">
        <v>25</v>
      </c>
      <c r="L22" s="110">
        <f t="shared" si="1"/>
        <v>759</v>
      </c>
    </row>
    <row r="23" spans="1:12" s="111" customFormat="1" ht="30" customHeight="1">
      <c r="A23" s="112">
        <f t="shared" si="2"/>
        <v>9</v>
      </c>
      <c r="B23" s="113">
        <v>46056</v>
      </c>
      <c r="C23" s="112">
        <v>1383697</v>
      </c>
      <c r="D23" s="112" t="s">
        <v>45</v>
      </c>
      <c r="E23" s="114">
        <v>32.520000000000003</v>
      </c>
      <c r="F23" s="103" t="s">
        <v>36</v>
      </c>
      <c r="G23" s="106" t="s">
        <v>37</v>
      </c>
      <c r="H23" s="107">
        <v>55</v>
      </c>
      <c r="I23" s="108">
        <f t="shared" si="0"/>
        <v>1788.6000000000001</v>
      </c>
      <c r="J23" s="109"/>
      <c r="K23" s="99">
        <v>25</v>
      </c>
      <c r="L23" s="110">
        <f t="shared" si="1"/>
        <v>813.00000000000011</v>
      </c>
    </row>
    <row r="24" spans="1:12" s="111" customFormat="1" ht="30" customHeight="1">
      <c r="A24" s="112">
        <f t="shared" si="2"/>
        <v>10</v>
      </c>
      <c r="B24" s="113">
        <v>46056</v>
      </c>
      <c r="C24" s="112">
        <v>1383698</v>
      </c>
      <c r="D24" s="112" t="s">
        <v>46</v>
      </c>
      <c r="E24" s="114">
        <v>33.1</v>
      </c>
      <c r="F24" s="103" t="s">
        <v>36</v>
      </c>
      <c r="G24" s="106" t="s">
        <v>37</v>
      </c>
      <c r="H24" s="107">
        <v>55</v>
      </c>
      <c r="I24" s="108">
        <f t="shared" si="0"/>
        <v>1820.5</v>
      </c>
      <c r="J24" s="109"/>
      <c r="K24" s="99">
        <v>25</v>
      </c>
      <c r="L24" s="110">
        <f t="shared" si="1"/>
        <v>827.5</v>
      </c>
    </row>
    <row r="25" spans="1:12" s="111" customFormat="1" ht="30" customHeight="1">
      <c r="A25" s="112">
        <f t="shared" si="2"/>
        <v>11</v>
      </c>
      <c r="B25" s="113">
        <v>46056</v>
      </c>
      <c r="C25" s="112">
        <v>1383699</v>
      </c>
      <c r="D25" s="112" t="s">
        <v>47</v>
      </c>
      <c r="E25" s="114">
        <v>30.36</v>
      </c>
      <c r="F25" s="103" t="s">
        <v>36</v>
      </c>
      <c r="G25" s="106" t="s">
        <v>37</v>
      </c>
      <c r="H25" s="107">
        <v>55</v>
      </c>
      <c r="I25" s="108">
        <f t="shared" si="0"/>
        <v>1669.8</v>
      </c>
      <c r="J25" s="109"/>
      <c r="K25" s="99">
        <v>25</v>
      </c>
      <c r="L25" s="110">
        <f t="shared" si="1"/>
        <v>759</v>
      </c>
    </row>
    <row r="26" spans="1:12" s="111" customFormat="1" ht="30" customHeight="1">
      <c r="A26" s="112">
        <f t="shared" si="2"/>
        <v>12</v>
      </c>
      <c r="B26" s="113">
        <v>46056</v>
      </c>
      <c r="C26" s="112">
        <v>1383700</v>
      </c>
      <c r="D26" s="112" t="s">
        <v>48</v>
      </c>
      <c r="E26" s="114">
        <v>31.5</v>
      </c>
      <c r="F26" s="103" t="s">
        <v>36</v>
      </c>
      <c r="G26" s="106" t="s">
        <v>37</v>
      </c>
      <c r="H26" s="107">
        <v>55</v>
      </c>
      <c r="I26" s="108">
        <f t="shared" si="0"/>
        <v>1732.5</v>
      </c>
      <c r="J26" s="109"/>
      <c r="K26" s="99">
        <v>25</v>
      </c>
      <c r="L26" s="110">
        <f t="shared" si="1"/>
        <v>787.5</v>
      </c>
    </row>
    <row r="27" spans="1:12" s="111" customFormat="1" ht="30" customHeight="1">
      <c r="A27" s="112">
        <f t="shared" si="2"/>
        <v>13</v>
      </c>
      <c r="B27" s="113">
        <v>46056</v>
      </c>
      <c r="C27" s="112">
        <v>1376249</v>
      </c>
      <c r="D27" s="112" t="s">
        <v>49</v>
      </c>
      <c r="E27" s="114">
        <v>32.6</v>
      </c>
      <c r="F27" s="103" t="s">
        <v>36</v>
      </c>
      <c r="G27" s="106" t="s">
        <v>37</v>
      </c>
      <c r="H27" s="107">
        <v>55</v>
      </c>
      <c r="I27" s="108">
        <f t="shared" si="0"/>
        <v>1793</v>
      </c>
      <c r="J27" s="109"/>
      <c r="K27" s="99">
        <v>25</v>
      </c>
      <c r="L27" s="110">
        <f t="shared" si="1"/>
        <v>815</v>
      </c>
    </row>
    <row r="28" spans="1:12" s="111" customFormat="1" ht="30" customHeight="1">
      <c r="A28" s="112">
        <f t="shared" si="2"/>
        <v>14</v>
      </c>
      <c r="B28" s="113">
        <v>46056</v>
      </c>
      <c r="C28" s="112">
        <v>1376250</v>
      </c>
      <c r="D28" s="112" t="s">
        <v>50</v>
      </c>
      <c r="E28" s="114">
        <v>32.14</v>
      </c>
      <c r="F28" s="103" t="s">
        <v>36</v>
      </c>
      <c r="G28" s="106" t="s">
        <v>37</v>
      </c>
      <c r="H28" s="107">
        <v>55</v>
      </c>
      <c r="I28" s="108">
        <f t="shared" si="0"/>
        <v>1767.7</v>
      </c>
      <c r="J28" s="109"/>
      <c r="K28" s="99">
        <v>25</v>
      </c>
      <c r="L28" s="110">
        <f t="shared" si="1"/>
        <v>803.5</v>
      </c>
    </row>
    <row r="29" spans="1:12" s="111" customFormat="1" ht="30" customHeight="1">
      <c r="A29" s="112">
        <f t="shared" si="2"/>
        <v>15</v>
      </c>
      <c r="B29" s="113">
        <v>46056</v>
      </c>
      <c r="C29" s="112">
        <v>1289617</v>
      </c>
      <c r="D29" s="112" t="s">
        <v>51</v>
      </c>
      <c r="E29" s="114">
        <v>27.22</v>
      </c>
      <c r="F29" s="103" t="s">
        <v>36</v>
      </c>
      <c r="G29" s="106" t="s">
        <v>37</v>
      </c>
      <c r="H29" s="107">
        <v>55</v>
      </c>
      <c r="I29" s="108">
        <f t="shared" si="0"/>
        <v>1497.1</v>
      </c>
      <c r="J29" s="109"/>
      <c r="K29" s="99">
        <v>25</v>
      </c>
      <c r="L29" s="110">
        <f t="shared" si="1"/>
        <v>680.5</v>
      </c>
    </row>
    <row r="30" spans="1:12" s="111" customFormat="1" ht="30" customHeight="1">
      <c r="A30" s="112">
        <f t="shared" si="2"/>
        <v>16</v>
      </c>
      <c r="B30" s="113">
        <v>46056</v>
      </c>
      <c r="C30" s="115">
        <v>1383401</v>
      </c>
      <c r="D30" s="112" t="s">
        <v>52</v>
      </c>
      <c r="E30" s="114">
        <v>31.44</v>
      </c>
      <c r="F30" s="103" t="s">
        <v>36</v>
      </c>
      <c r="G30" s="106" t="s">
        <v>37</v>
      </c>
      <c r="H30" s="107">
        <v>55</v>
      </c>
      <c r="I30" s="108">
        <f t="shared" si="0"/>
        <v>1729.2</v>
      </c>
      <c r="J30" s="109"/>
      <c r="K30" s="99">
        <v>25</v>
      </c>
      <c r="L30" s="110">
        <f t="shared" si="1"/>
        <v>786</v>
      </c>
    </row>
    <row r="31" spans="1:12" s="111" customFormat="1" ht="30" customHeight="1">
      <c r="A31" s="112">
        <f t="shared" si="2"/>
        <v>17</v>
      </c>
      <c r="B31" s="113">
        <v>46056</v>
      </c>
      <c r="C31" s="115">
        <v>1383402</v>
      </c>
      <c r="D31" s="112" t="s">
        <v>53</v>
      </c>
      <c r="E31" s="114">
        <v>31.82</v>
      </c>
      <c r="F31" s="103" t="s">
        <v>36</v>
      </c>
      <c r="G31" s="106" t="s">
        <v>37</v>
      </c>
      <c r="H31" s="107">
        <v>55</v>
      </c>
      <c r="I31" s="108">
        <f t="shared" si="0"/>
        <v>1750.1</v>
      </c>
      <c r="J31" s="109"/>
      <c r="K31" s="99">
        <v>25</v>
      </c>
      <c r="L31" s="110">
        <f t="shared" si="1"/>
        <v>795.5</v>
      </c>
    </row>
    <row r="32" spans="1:12" s="111" customFormat="1" ht="30" customHeight="1">
      <c r="A32" s="112">
        <f t="shared" si="2"/>
        <v>18</v>
      </c>
      <c r="B32" s="113">
        <v>46056</v>
      </c>
      <c r="C32" s="115">
        <v>1383403</v>
      </c>
      <c r="D32" s="112" t="s">
        <v>54</v>
      </c>
      <c r="E32" s="114">
        <v>31.22</v>
      </c>
      <c r="F32" s="103" t="s">
        <v>36</v>
      </c>
      <c r="G32" s="106" t="s">
        <v>37</v>
      </c>
      <c r="H32" s="107">
        <v>55</v>
      </c>
      <c r="I32" s="108">
        <f t="shared" si="0"/>
        <v>1717.1</v>
      </c>
      <c r="J32" s="109"/>
      <c r="K32" s="99">
        <v>25</v>
      </c>
      <c r="L32" s="110">
        <f t="shared" si="1"/>
        <v>780.5</v>
      </c>
    </row>
    <row r="33" spans="1:13" s="111" customFormat="1" ht="30" customHeight="1" thickBot="1">
      <c r="A33" s="112">
        <f t="shared" si="2"/>
        <v>19</v>
      </c>
      <c r="B33" s="113">
        <v>46056</v>
      </c>
      <c r="C33" s="115">
        <v>1383404</v>
      </c>
      <c r="D33" s="115" t="s">
        <v>55</v>
      </c>
      <c r="E33" s="116">
        <v>30.74</v>
      </c>
      <c r="F33" s="103" t="s">
        <v>36</v>
      </c>
      <c r="G33" s="106" t="s">
        <v>37</v>
      </c>
      <c r="H33" s="107">
        <v>55</v>
      </c>
      <c r="I33" s="108">
        <f t="shared" si="0"/>
        <v>1690.6999999999998</v>
      </c>
      <c r="J33" s="109"/>
      <c r="K33" s="99">
        <v>25</v>
      </c>
      <c r="L33" s="110">
        <f t="shared" si="1"/>
        <v>768.5</v>
      </c>
    </row>
    <row r="34" spans="1:13" s="111" customFormat="1" ht="30" customHeight="1" thickBot="1">
      <c r="A34" s="117"/>
      <c r="B34" s="118"/>
      <c r="C34" s="118"/>
      <c r="D34" s="118"/>
      <c r="E34" s="119">
        <f>SUM(E15:E33)</f>
        <v>593.56000000000006</v>
      </c>
      <c r="F34" s="118"/>
      <c r="G34" s="118"/>
      <c r="H34" s="118"/>
      <c r="I34" s="120">
        <f>SUM(I15:I33)</f>
        <v>32645.799999999996</v>
      </c>
      <c r="J34" s="121"/>
      <c r="K34" s="122"/>
      <c r="L34" s="123">
        <f>SUM(L15:L33)</f>
        <v>14839</v>
      </c>
    </row>
    <row r="35" spans="1:13" s="111" customFormat="1" ht="30" customHeight="1">
      <c r="A35" s="103">
        <v>20</v>
      </c>
      <c r="B35" s="104">
        <v>46057</v>
      </c>
      <c r="C35" s="112">
        <v>1383405</v>
      </c>
      <c r="D35" s="103" t="s">
        <v>56</v>
      </c>
      <c r="E35" s="105">
        <v>31.6</v>
      </c>
      <c r="F35" s="103" t="s">
        <v>36</v>
      </c>
      <c r="G35" s="106" t="s">
        <v>37</v>
      </c>
      <c r="H35" s="107">
        <v>55</v>
      </c>
      <c r="I35" s="108">
        <f t="shared" ref="I35:I47" si="3">E35*H35</f>
        <v>1738</v>
      </c>
      <c r="J35" s="109"/>
      <c r="K35" s="99">
        <v>25</v>
      </c>
      <c r="L35" s="110">
        <f t="shared" ref="L35:L47" si="4">E35*K35</f>
        <v>790</v>
      </c>
      <c r="M35" s="111">
        <v>61</v>
      </c>
    </row>
    <row r="36" spans="1:13" s="111" customFormat="1" ht="30" customHeight="1">
      <c r="A36" s="112">
        <f>A35+1</f>
        <v>21</v>
      </c>
      <c r="B36" s="104">
        <v>46057</v>
      </c>
      <c r="C36" s="112">
        <v>1383406</v>
      </c>
      <c r="D36" s="112" t="s">
        <v>57</v>
      </c>
      <c r="E36" s="114">
        <v>31.72</v>
      </c>
      <c r="F36" s="103" t="s">
        <v>36</v>
      </c>
      <c r="G36" s="106" t="s">
        <v>37</v>
      </c>
      <c r="H36" s="107">
        <v>55</v>
      </c>
      <c r="I36" s="108">
        <f t="shared" si="3"/>
        <v>1744.6</v>
      </c>
      <c r="J36" s="109"/>
      <c r="K36" s="99">
        <v>25</v>
      </c>
      <c r="L36" s="110">
        <f t="shared" si="4"/>
        <v>793</v>
      </c>
    </row>
    <row r="37" spans="1:13" s="111" customFormat="1" ht="30" customHeight="1">
      <c r="A37" s="112">
        <f t="shared" ref="A37:A47" si="5">A36+1</f>
        <v>22</v>
      </c>
      <c r="B37" s="104">
        <v>46057</v>
      </c>
      <c r="C37" s="112">
        <v>1383407</v>
      </c>
      <c r="D37" s="112" t="s">
        <v>58</v>
      </c>
      <c r="E37" s="114">
        <v>33.299999999999997</v>
      </c>
      <c r="F37" s="103" t="s">
        <v>36</v>
      </c>
      <c r="G37" s="106" t="s">
        <v>37</v>
      </c>
      <c r="H37" s="107">
        <v>55</v>
      </c>
      <c r="I37" s="108">
        <f t="shared" si="3"/>
        <v>1831.4999999999998</v>
      </c>
      <c r="J37" s="109"/>
      <c r="K37" s="99">
        <v>25</v>
      </c>
      <c r="L37" s="110">
        <f t="shared" si="4"/>
        <v>832.49999999999989</v>
      </c>
    </row>
    <row r="38" spans="1:13" s="111" customFormat="1" ht="30" customHeight="1">
      <c r="A38" s="112">
        <f t="shared" si="5"/>
        <v>23</v>
      </c>
      <c r="B38" s="104">
        <v>46057</v>
      </c>
      <c r="C38" s="112">
        <v>1383408</v>
      </c>
      <c r="D38" s="112" t="s">
        <v>59</v>
      </c>
      <c r="E38" s="114">
        <v>31.72</v>
      </c>
      <c r="F38" s="103" t="s">
        <v>36</v>
      </c>
      <c r="G38" s="106" t="s">
        <v>37</v>
      </c>
      <c r="H38" s="107">
        <v>55</v>
      </c>
      <c r="I38" s="108">
        <f t="shared" si="3"/>
        <v>1744.6</v>
      </c>
      <c r="J38" s="109"/>
      <c r="K38" s="99">
        <v>25</v>
      </c>
      <c r="L38" s="110">
        <f t="shared" si="4"/>
        <v>793</v>
      </c>
    </row>
    <row r="39" spans="1:13" s="111" customFormat="1" ht="30" customHeight="1">
      <c r="A39" s="112">
        <f t="shared" si="5"/>
        <v>24</v>
      </c>
      <c r="B39" s="104">
        <v>46057</v>
      </c>
      <c r="C39" s="112">
        <v>1383409</v>
      </c>
      <c r="D39" s="112" t="s">
        <v>60</v>
      </c>
      <c r="E39" s="114">
        <v>33.380000000000003</v>
      </c>
      <c r="F39" s="103" t="s">
        <v>36</v>
      </c>
      <c r="G39" s="106" t="s">
        <v>37</v>
      </c>
      <c r="H39" s="107">
        <v>55</v>
      </c>
      <c r="I39" s="108">
        <f t="shared" si="3"/>
        <v>1835.9</v>
      </c>
      <c r="J39" s="109"/>
      <c r="K39" s="99">
        <v>25</v>
      </c>
      <c r="L39" s="110">
        <f t="shared" si="4"/>
        <v>834.50000000000011</v>
      </c>
    </row>
    <row r="40" spans="1:13" s="111" customFormat="1" ht="30" customHeight="1">
      <c r="A40" s="112">
        <f t="shared" si="5"/>
        <v>25</v>
      </c>
      <c r="B40" s="104">
        <v>46057</v>
      </c>
      <c r="C40" s="112">
        <v>1383410</v>
      </c>
      <c r="D40" s="112" t="s">
        <v>61</v>
      </c>
      <c r="E40" s="114">
        <v>29.42</v>
      </c>
      <c r="F40" s="103" t="s">
        <v>36</v>
      </c>
      <c r="G40" s="106" t="s">
        <v>37</v>
      </c>
      <c r="H40" s="107">
        <v>55</v>
      </c>
      <c r="I40" s="108">
        <f t="shared" si="3"/>
        <v>1618.1000000000001</v>
      </c>
      <c r="J40" s="109"/>
      <c r="K40" s="99">
        <v>25</v>
      </c>
      <c r="L40" s="110">
        <f t="shared" si="4"/>
        <v>735.5</v>
      </c>
    </row>
    <row r="41" spans="1:13" s="111" customFormat="1" ht="30" customHeight="1">
      <c r="A41" s="112">
        <f t="shared" si="5"/>
        <v>26</v>
      </c>
      <c r="B41" s="104">
        <v>46057</v>
      </c>
      <c r="C41" s="112">
        <v>1383411</v>
      </c>
      <c r="D41" s="112" t="s">
        <v>62</v>
      </c>
      <c r="E41" s="114">
        <v>30.98</v>
      </c>
      <c r="F41" s="103" t="s">
        <v>36</v>
      </c>
      <c r="G41" s="106" t="s">
        <v>37</v>
      </c>
      <c r="H41" s="107">
        <v>55</v>
      </c>
      <c r="I41" s="108">
        <f t="shared" si="3"/>
        <v>1703.9</v>
      </c>
      <c r="J41" s="109"/>
      <c r="K41" s="99">
        <v>25</v>
      </c>
      <c r="L41" s="110">
        <f t="shared" si="4"/>
        <v>774.5</v>
      </c>
    </row>
    <row r="42" spans="1:13" s="111" customFormat="1" ht="30" customHeight="1">
      <c r="A42" s="112">
        <f t="shared" si="5"/>
        <v>27</v>
      </c>
      <c r="B42" s="104">
        <v>46057</v>
      </c>
      <c r="C42" s="112">
        <v>1383412</v>
      </c>
      <c r="D42" s="112" t="s">
        <v>63</v>
      </c>
      <c r="E42" s="114">
        <v>29.8</v>
      </c>
      <c r="F42" s="103" t="s">
        <v>36</v>
      </c>
      <c r="G42" s="106" t="s">
        <v>37</v>
      </c>
      <c r="H42" s="107">
        <v>55</v>
      </c>
      <c r="I42" s="108">
        <f t="shared" si="3"/>
        <v>1639</v>
      </c>
      <c r="J42" s="109"/>
      <c r="K42" s="99">
        <v>25</v>
      </c>
      <c r="L42" s="110">
        <f t="shared" si="4"/>
        <v>745</v>
      </c>
    </row>
    <row r="43" spans="1:13" s="111" customFormat="1" ht="30" customHeight="1">
      <c r="A43" s="112">
        <f t="shared" si="5"/>
        <v>28</v>
      </c>
      <c r="B43" s="104">
        <v>46057</v>
      </c>
      <c r="C43" s="112">
        <v>1383413</v>
      </c>
      <c r="D43" s="112" t="s">
        <v>64</v>
      </c>
      <c r="E43" s="114">
        <v>33.56</v>
      </c>
      <c r="F43" s="103" t="s">
        <v>36</v>
      </c>
      <c r="G43" s="106" t="s">
        <v>37</v>
      </c>
      <c r="H43" s="107">
        <v>55</v>
      </c>
      <c r="I43" s="108">
        <f t="shared" si="3"/>
        <v>1845.8000000000002</v>
      </c>
      <c r="J43" s="109"/>
      <c r="K43" s="99">
        <v>25</v>
      </c>
      <c r="L43" s="110">
        <f t="shared" si="4"/>
        <v>839</v>
      </c>
    </row>
    <row r="44" spans="1:13" s="111" customFormat="1" ht="30" customHeight="1">
      <c r="A44" s="112">
        <f t="shared" si="5"/>
        <v>29</v>
      </c>
      <c r="B44" s="104">
        <v>46057</v>
      </c>
      <c r="C44" s="112">
        <v>1383414</v>
      </c>
      <c r="D44" s="112" t="s">
        <v>65</v>
      </c>
      <c r="E44" s="114">
        <v>32.6</v>
      </c>
      <c r="F44" s="103" t="s">
        <v>36</v>
      </c>
      <c r="G44" s="106" t="s">
        <v>37</v>
      </c>
      <c r="H44" s="107">
        <v>55</v>
      </c>
      <c r="I44" s="108">
        <f t="shared" si="3"/>
        <v>1793</v>
      </c>
      <c r="J44" s="109"/>
      <c r="K44" s="99">
        <v>25</v>
      </c>
      <c r="L44" s="110">
        <f t="shared" si="4"/>
        <v>815</v>
      </c>
    </row>
    <row r="45" spans="1:13" s="111" customFormat="1" ht="30" customHeight="1">
      <c r="A45" s="112">
        <f t="shared" si="5"/>
        <v>30</v>
      </c>
      <c r="B45" s="104">
        <v>46057</v>
      </c>
      <c r="C45" s="112">
        <v>1383415</v>
      </c>
      <c r="D45" s="112" t="s">
        <v>66</v>
      </c>
      <c r="E45" s="114">
        <v>30.4</v>
      </c>
      <c r="F45" s="103" t="s">
        <v>36</v>
      </c>
      <c r="G45" s="106" t="s">
        <v>37</v>
      </c>
      <c r="H45" s="107">
        <v>55</v>
      </c>
      <c r="I45" s="108">
        <f t="shared" si="3"/>
        <v>1672</v>
      </c>
      <c r="J45" s="109"/>
      <c r="K45" s="99">
        <v>25</v>
      </c>
      <c r="L45" s="110">
        <f t="shared" si="4"/>
        <v>760</v>
      </c>
    </row>
    <row r="46" spans="1:13" s="111" customFormat="1" ht="30" customHeight="1">
      <c r="A46" s="112">
        <f t="shared" si="5"/>
        <v>31</v>
      </c>
      <c r="B46" s="104">
        <v>46057</v>
      </c>
      <c r="C46" s="115">
        <v>1383416</v>
      </c>
      <c r="D46" s="112" t="s">
        <v>67</v>
      </c>
      <c r="E46" s="114">
        <v>30.9</v>
      </c>
      <c r="F46" s="103" t="s">
        <v>36</v>
      </c>
      <c r="G46" s="106" t="s">
        <v>37</v>
      </c>
      <c r="H46" s="107">
        <v>55</v>
      </c>
      <c r="I46" s="108">
        <f t="shared" si="3"/>
        <v>1699.5</v>
      </c>
      <c r="J46" s="109"/>
      <c r="K46" s="99">
        <v>25</v>
      </c>
      <c r="L46" s="110">
        <f t="shared" si="4"/>
        <v>772.5</v>
      </c>
    </row>
    <row r="47" spans="1:13" s="111" customFormat="1" ht="30" customHeight="1" thickBot="1">
      <c r="A47" s="112">
        <f t="shared" si="5"/>
        <v>32</v>
      </c>
      <c r="B47" s="104">
        <v>46057</v>
      </c>
      <c r="C47" s="115">
        <v>1383417</v>
      </c>
      <c r="D47" s="115" t="s">
        <v>68</v>
      </c>
      <c r="E47" s="116">
        <v>31.34</v>
      </c>
      <c r="F47" s="103" t="s">
        <v>36</v>
      </c>
      <c r="G47" s="106" t="s">
        <v>37</v>
      </c>
      <c r="H47" s="107">
        <v>55</v>
      </c>
      <c r="I47" s="108">
        <f t="shared" si="3"/>
        <v>1723.7</v>
      </c>
      <c r="J47" s="109"/>
      <c r="K47" s="99">
        <v>25</v>
      </c>
      <c r="L47" s="110">
        <f t="shared" si="4"/>
        <v>783.5</v>
      </c>
    </row>
    <row r="48" spans="1:13" s="111" customFormat="1" ht="30" customHeight="1" thickBot="1">
      <c r="A48" s="117"/>
      <c r="B48" s="118"/>
      <c r="C48" s="118"/>
      <c r="D48" s="118"/>
      <c r="E48" s="119">
        <f>SUM(E35:E47)</f>
        <v>410.71999999999997</v>
      </c>
      <c r="F48" s="118"/>
      <c r="G48" s="118"/>
      <c r="H48" s="118"/>
      <c r="I48" s="120">
        <f>SUM(I35:I47)</f>
        <v>22589.599999999999</v>
      </c>
      <c r="J48" s="121"/>
      <c r="K48" s="122"/>
      <c r="L48" s="123">
        <f>SUM(L35:L47)</f>
        <v>10268</v>
      </c>
    </row>
    <row r="49" spans="1:13" s="111" customFormat="1" ht="30" customHeight="1">
      <c r="A49" s="103">
        <v>33</v>
      </c>
      <c r="B49" s="104">
        <v>46059</v>
      </c>
      <c r="C49" s="103">
        <v>1383351</v>
      </c>
      <c r="D49" s="103" t="s">
        <v>69</v>
      </c>
      <c r="E49" s="105">
        <v>30.58</v>
      </c>
      <c r="F49" s="103" t="s">
        <v>36</v>
      </c>
      <c r="G49" s="106" t="s">
        <v>37</v>
      </c>
      <c r="H49" s="107">
        <v>55</v>
      </c>
      <c r="I49" s="108">
        <f t="shared" ref="I49:I64" si="6">E49*H49</f>
        <v>1681.8999999999999</v>
      </c>
      <c r="J49" s="109"/>
      <c r="K49" s="99">
        <v>25</v>
      </c>
      <c r="L49" s="110">
        <f t="shared" ref="L49:L64" si="7">E49*K49</f>
        <v>764.5</v>
      </c>
      <c r="M49" s="111">
        <v>62</v>
      </c>
    </row>
    <row r="50" spans="1:13" s="111" customFormat="1" ht="30" customHeight="1">
      <c r="A50" s="112">
        <f>A49+1</f>
        <v>34</v>
      </c>
      <c r="B50" s="113">
        <v>46059</v>
      </c>
      <c r="C50" s="112">
        <v>1383352</v>
      </c>
      <c r="D50" s="112" t="s">
        <v>70</v>
      </c>
      <c r="E50" s="114">
        <v>29.58</v>
      </c>
      <c r="F50" s="103" t="s">
        <v>36</v>
      </c>
      <c r="G50" s="106" t="s">
        <v>37</v>
      </c>
      <c r="H50" s="107">
        <v>55</v>
      </c>
      <c r="I50" s="108">
        <f t="shared" si="6"/>
        <v>1626.8999999999999</v>
      </c>
      <c r="J50" s="109"/>
      <c r="K50" s="99">
        <v>25</v>
      </c>
      <c r="L50" s="110">
        <f t="shared" si="7"/>
        <v>739.5</v>
      </c>
    </row>
    <row r="51" spans="1:13" s="111" customFormat="1" ht="30" customHeight="1">
      <c r="A51" s="112">
        <f t="shared" ref="A51:A64" si="8">A50+1</f>
        <v>35</v>
      </c>
      <c r="B51" s="113">
        <v>46059</v>
      </c>
      <c r="C51" s="112">
        <v>1383353</v>
      </c>
      <c r="D51" s="112" t="s">
        <v>71</v>
      </c>
      <c r="E51" s="114">
        <v>30.1</v>
      </c>
      <c r="F51" s="103" t="s">
        <v>36</v>
      </c>
      <c r="G51" s="106" t="s">
        <v>37</v>
      </c>
      <c r="H51" s="107">
        <v>55</v>
      </c>
      <c r="I51" s="108">
        <f t="shared" si="6"/>
        <v>1655.5</v>
      </c>
      <c r="J51" s="109"/>
      <c r="K51" s="99">
        <v>25</v>
      </c>
      <c r="L51" s="110">
        <f t="shared" si="7"/>
        <v>752.5</v>
      </c>
    </row>
    <row r="52" spans="1:13" s="111" customFormat="1" ht="30" customHeight="1">
      <c r="A52" s="112">
        <f t="shared" si="8"/>
        <v>36</v>
      </c>
      <c r="B52" s="113">
        <v>46059</v>
      </c>
      <c r="C52" s="112">
        <v>1383354</v>
      </c>
      <c r="D52" s="112" t="s">
        <v>72</v>
      </c>
      <c r="E52" s="114">
        <v>31.2</v>
      </c>
      <c r="F52" s="103" t="s">
        <v>36</v>
      </c>
      <c r="G52" s="106" t="s">
        <v>37</v>
      </c>
      <c r="H52" s="107">
        <v>55</v>
      </c>
      <c r="I52" s="108">
        <f t="shared" si="6"/>
        <v>1716</v>
      </c>
      <c r="J52" s="109"/>
      <c r="K52" s="99">
        <v>25</v>
      </c>
      <c r="L52" s="110">
        <f t="shared" si="7"/>
        <v>780</v>
      </c>
    </row>
    <row r="53" spans="1:13" s="111" customFormat="1" ht="30" customHeight="1">
      <c r="A53" s="112">
        <f t="shared" si="8"/>
        <v>37</v>
      </c>
      <c r="B53" s="113">
        <v>46059</v>
      </c>
      <c r="C53" s="112">
        <v>1383355</v>
      </c>
      <c r="D53" s="112" t="s">
        <v>73</v>
      </c>
      <c r="E53" s="114">
        <v>31.26</v>
      </c>
      <c r="F53" s="103" t="s">
        <v>36</v>
      </c>
      <c r="G53" s="106" t="s">
        <v>37</v>
      </c>
      <c r="H53" s="107">
        <v>55</v>
      </c>
      <c r="I53" s="108">
        <f t="shared" si="6"/>
        <v>1719.3000000000002</v>
      </c>
      <c r="J53" s="109"/>
      <c r="K53" s="99">
        <v>25</v>
      </c>
      <c r="L53" s="110">
        <f t="shared" si="7"/>
        <v>781.5</v>
      </c>
    </row>
    <row r="54" spans="1:13" s="111" customFormat="1" ht="30" customHeight="1">
      <c r="A54" s="112">
        <f t="shared" si="8"/>
        <v>38</v>
      </c>
      <c r="B54" s="113">
        <v>46059</v>
      </c>
      <c r="C54" s="112">
        <v>1383356</v>
      </c>
      <c r="D54" s="112" t="s">
        <v>74</v>
      </c>
      <c r="E54" s="114">
        <v>28.52</v>
      </c>
      <c r="F54" s="103" t="s">
        <v>36</v>
      </c>
      <c r="G54" s="106" t="s">
        <v>37</v>
      </c>
      <c r="H54" s="107">
        <v>55</v>
      </c>
      <c r="I54" s="108">
        <f t="shared" si="6"/>
        <v>1568.6</v>
      </c>
      <c r="J54" s="109"/>
      <c r="K54" s="99">
        <v>25</v>
      </c>
      <c r="L54" s="110">
        <f t="shared" si="7"/>
        <v>713</v>
      </c>
    </row>
    <row r="55" spans="1:13" s="111" customFormat="1" ht="30" customHeight="1">
      <c r="A55" s="112">
        <f t="shared" si="8"/>
        <v>39</v>
      </c>
      <c r="B55" s="113">
        <v>46059</v>
      </c>
      <c r="C55" s="112">
        <v>1383357</v>
      </c>
      <c r="D55" s="112" t="s">
        <v>75</v>
      </c>
      <c r="E55" s="114">
        <v>30.66</v>
      </c>
      <c r="F55" s="103" t="s">
        <v>36</v>
      </c>
      <c r="G55" s="106" t="s">
        <v>37</v>
      </c>
      <c r="H55" s="107">
        <v>55</v>
      </c>
      <c r="I55" s="108">
        <f t="shared" si="6"/>
        <v>1686.3</v>
      </c>
      <c r="J55" s="109"/>
      <c r="K55" s="99">
        <v>25</v>
      </c>
      <c r="L55" s="110">
        <f t="shared" si="7"/>
        <v>766.5</v>
      </c>
    </row>
    <row r="56" spans="1:13" s="111" customFormat="1" ht="30" customHeight="1">
      <c r="A56" s="112">
        <f t="shared" si="8"/>
        <v>40</v>
      </c>
      <c r="B56" s="113">
        <v>46059</v>
      </c>
      <c r="C56" s="112">
        <v>1383358</v>
      </c>
      <c r="D56" s="112" t="s">
        <v>76</v>
      </c>
      <c r="E56" s="114">
        <v>31.38</v>
      </c>
      <c r="F56" s="103" t="s">
        <v>36</v>
      </c>
      <c r="G56" s="106" t="s">
        <v>37</v>
      </c>
      <c r="H56" s="107">
        <v>55</v>
      </c>
      <c r="I56" s="108">
        <f t="shared" si="6"/>
        <v>1725.8999999999999</v>
      </c>
      <c r="J56" s="109"/>
      <c r="K56" s="99">
        <v>25</v>
      </c>
      <c r="L56" s="110">
        <f t="shared" si="7"/>
        <v>784.5</v>
      </c>
    </row>
    <row r="57" spans="1:13" s="111" customFormat="1" ht="30" customHeight="1">
      <c r="A57" s="112">
        <f t="shared" si="8"/>
        <v>41</v>
      </c>
      <c r="B57" s="113">
        <v>46059</v>
      </c>
      <c r="C57" s="112">
        <v>1383359</v>
      </c>
      <c r="D57" s="112" t="s">
        <v>77</v>
      </c>
      <c r="E57" s="114">
        <v>31.76</v>
      </c>
      <c r="F57" s="103" t="s">
        <v>36</v>
      </c>
      <c r="G57" s="106" t="s">
        <v>37</v>
      </c>
      <c r="H57" s="107">
        <v>55</v>
      </c>
      <c r="I57" s="108">
        <f t="shared" si="6"/>
        <v>1746.8000000000002</v>
      </c>
      <c r="J57" s="109"/>
      <c r="K57" s="99">
        <v>25</v>
      </c>
      <c r="L57" s="110">
        <f t="shared" si="7"/>
        <v>794</v>
      </c>
    </row>
    <row r="58" spans="1:13" s="111" customFormat="1" ht="30" customHeight="1">
      <c r="A58" s="112">
        <f t="shared" si="8"/>
        <v>42</v>
      </c>
      <c r="B58" s="113">
        <v>46059</v>
      </c>
      <c r="C58" s="112">
        <v>1383360</v>
      </c>
      <c r="D58" s="112" t="s">
        <v>78</v>
      </c>
      <c r="E58" s="114">
        <v>30.2</v>
      </c>
      <c r="F58" s="103" t="s">
        <v>36</v>
      </c>
      <c r="G58" s="106" t="s">
        <v>37</v>
      </c>
      <c r="H58" s="107">
        <v>55</v>
      </c>
      <c r="I58" s="108">
        <f t="shared" si="6"/>
        <v>1661</v>
      </c>
      <c r="J58" s="109"/>
      <c r="K58" s="99">
        <v>25</v>
      </c>
      <c r="L58" s="110">
        <f t="shared" si="7"/>
        <v>755</v>
      </c>
    </row>
    <row r="59" spans="1:13" s="111" customFormat="1" ht="30" customHeight="1">
      <c r="A59" s="112">
        <f t="shared" si="8"/>
        <v>43</v>
      </c>
      <c r="B59" s="113">
        <v>46059</v>
      </c>
      <c r="C59" s="112">
        <v>1383361</v>
      </c>
      <c r="D59" s="112" t="s">
        <v>79</v>
      </c>
      <c r="E59" s="114">
        <v>30.4</v>
      </c>
      <c r="F59" s="103" t="s">
        <v>36</v>
      </c>
      <c r="G59" s="106" t="s">
        <v>37</v>
      </c>
      <c r="H59" s="107">
        <v>55</v>
      </c>
      <c r="I59" s="108">
        <f t="shared" si="6"/>
        <v>1672</v>
      </c>
      <c r="J59" s="109"/>
      <c r="K59" s="99">
        <v>25</v>
      </c>
      <c r="L59" s="110">
        <f t="shared" si="7"/>
        <v>760</v>
      </c>
    </row>
    <row r="60" spans="1:13" s="111" customFormat="1" ht="30" customHeight="1">
      <c r="A60" s="112">
        <f t="shared" si="8"/>
        <v>44</v>
      </c>
      <c r="B60" s="113">
        <v>46059</v>
      </c>
      <c r="C60" s="112">
        <v>1383362</v>
      </c>
      <c r="D60" s="112" t="s">
        <v>80</v>
      </c>
      <c r="E60" s="114">
        <v>31.44</v>
      </c>
      <c r="F60" s="103" t="s">
        <v>36</v>
      </c>
      <c r="G60" s="106" t="s">
        <v>37</v>
      </c>
      <c r="H60" s="107">
        <v>55</v>
      </c>
      <c r="I60" s="108">
        <f t="shared" si="6"/>
        <v>1729.2</v>
      </c>
      <c r="J60" s="109"/>
      <c r="K60" s="99">
        <v>25</v>
      </c>
      <c r="L60" s="110">
        <f t="shared" si="7"/>
        <v>786</v>
      </c>
    </row>
    <row r="61" spans="1:13" s="111" customFormat="1" ht="30" customHeight="1">
      <c r="A61" s="112">
        <f t="shared" si="8"/>
        <v>45</v>
      </c>
      <c r="B61" s="113">
        <v>46059</v>
      </c>
      <c r="C61" s="112">
        <v>1383363</v>
      </c>
      <c r="D61" s="112" t="s">
        <v>81</v>
      </c>
      <c r="E61" s="114">
        <v>30.24</v>
      </c>
      <c r="F61" s="103" t="s">
        <v>36</v>
      </c>
      <c r="G61" s="106" t="s">
        <v>37</v>
      </c>
      <c r="H61" s="107">
        <v>55</v>
      </c>
      <c r="I61" s="108">
        <f t="shared" si="6"/>
        <v>1663.1999999999998</v>
      </c>
      <c r="J61" s="109"/>
      <c r="K61" s="99">
        <v>25</v>
      </c>
      <c r="L61" s="110">
        <f t="shared" si="7"/>
        <v>756</v>
      </c>
    </row>
    <row r="62" spans="1:13" s="111" customFormat="1" ht="30" customHeight="1">
      <c r="A62" s="112">
        <f t="shared" si="8"/>
        <v>46</v>
      </c>
      <c r="B62" s="113">
        <v>46059</v>
      </c>
      <c r="C62" s="112">
        <v>1383364</v>
      </c>
      <c r="D62" s="112" t="s">
        <v>82</v>
      </c>
      <c r="E62" s="114">
        <v>32</v>
      </c>
      <c r="F62" s="103" t="s">
        <v>36</v>
      </c>
      <c r="G62" s="106" t="s">
        <v>37</v>
      </c>
      <c r="H62" s="107">
        <v>55</v>
      </c>
      <c r="I62" s="108">
        <f t="shared" si="6"/>
        <v>1760</v>
      </c>
      <c r="J62" s="109"/>
      <c r="K62" s="99">
        <v>25</v>
      </c>
      <c r="L62" s="110">
        <f t="shared" si="7"/>
        <v>800</v>
      </c>
    </row>
    <row r="63" spans="1:13" s="111" customFormat="1" ht="30" customHeight="1">
      <c r="A63" s="112">
        <f t="shared" si="8"/>
        <v>47</v>
      </c>
      <c r="B63" s="113">
        <v>46059</v>
      </c>
      <c r="C63" s="112">
        <v>1383365</v>
      </c>
      <c r="D63" s="112" t="s">
        <v>83</v>
      </c>
      <c r="E63" s="114">
        <v>33.479999999999997</v>
      </c>
      <c r="F63" s="103" t="s">
        <v>36</v>
      </c>
      <c r="G63" s="106" t="s">
        <v>37</v>
      </c>
      <c r="H63" s="107">
        <v>55</v>
      </c>
      <c r="I63" s="108">
        <f t="shared" si="6"/>
        <v>1841.3999999999999</v>
      </c>
      <c r="J63" s="109"/>
      <c r="K63" s="99">
        <v>25</v>
      </c>
      <c r="L63" s="110">
        <f t="shared" si="7"/>
        <v>836.99999999999989</v>
      </c>
    </row>
    <row r="64" spans="1:13" s="111" customFormat="1" ht="30" customHeight="1" thickBot="1">
      <c r="A64" s="112">
        <f t="shared" si="8"/>
        <v>48</v>
      </c>
      <c r="B64" s="113">
        <v>46059</v>
      </c>
      <c r="C64" s="115">
        <v>1383366</v>
      </c>
      <c r="D64" s="115" t="s">
        <v>84</v>
      </c>
      <c r="E64" s="116">
        <v>30.4</v>
      </c>
      <c r="F64" s="103" t="s">
        <v>36</v>
      </c>
      <c r="G64" s="106" t="s">
        <v>37</v>
      </c>
      <c r="H64" s="107">
        <v>55</v>
      </c>
      <c r="I64" s="108">
        <f t="shared" si="6"/>
        <v>1672</v>
      </c>
      <c r="J64" s="109"/>
      <c r="K64" s="99">
        <v>25</v>
      </c>
      <c r="L64" s="110">
        <f t="shared" si="7"/>
        <v>760</v>
      </c>
    </row>
    <row r="65" spans="1:13" s="111" customFormat="1" ht="30" customHeight="1" thickBot="1">
      <c r="A65" s="124"/>
      <c r="B65" s="125"/>
      <c r="C65" s="125"/>
      <c r="D65" s="125"/>
      <c r="E65" s="126">
        <f>SUM(E49:E64)</f>
        <v>493.2</v>
      </c>
      <c r="F65" s="125"/>
      <c r="G65" s="125"/>
      <c r="H65" s="125"/>
      <c r="I65" s="127">
        <f>SUM(I49:I64)</f>
        <v>27126</v>
      </c>
      <c r="J65" s="121"/>
      <c r="K65" s="128"/>
      <c r="L65" s="129">
        <f>SUM(L49:L64)</f>
        <v>12330</v>
      </c>
    </row>
    <row r="66" spans="1:13" s="111" customFormat="1" ht="30" customHeight="1">
      <c r="A66" s="130">
        <v>49</v>
      </c>
      <c r="B66" s="131">
        <v>46059</v>
      </c>
      <c r="C66" s="132">
        <v>1383367</v>
      </c>
      <c r="D66" s="132" t="s">
        <v>85</v>
      </c>
      <c r="E66" s="133">
        <v>25.54</v>
      </c>
      <c r="F66" s="132" t="s">
        <v>36</v>
      </c>
      <c r="G66" s="134" t="s">
        <v>37</v>
      </c>
      <c r="H66" s="135">
        <v>55</v>
      </c>
      <c r="I66" s="136">
        <f t="shared" ref="I66:I79" si="9">E66*H66</f>
        <v>1404.7</v>
      </c>
      <c r="J66" s="137"/>
      <c r="K66" s="100">
        <v>25</v>
      </c>
      <c r="L66" s="138">
        <f t="shared" ref="L66:L79" si="10">E66*K66</f>
        <v>638.5</v>
      </c>
      <c r="M66" s="111">
        <v>63</v>
      </c>
    </row>
    <row r="67" spans="1:13" s="111" customFormat="1" ht="30" customHeight="1">
      <c r="A67" s="139">
        <f>A66+1</f>
        <v>50</v>
      </c>
      <c r="B67" s="113">
        <v>46059</v>
      </c>
      <c r="C67" s="112">
        <v>1383368</v>
      </c>
      <c r="D67" s="112" t="s">
        <v>86</v>
      </c>
      <c r="E67" s="114">
        <v>31.94</v>
      </c>
      <c r="F67" s="103" t="s">
        <v>36</v>
      </c>
      <c r="G67" s="106" t="s">
        <v>37</v>
      </c>
      <c r="H67" s="107">
        <v>55</v>
      </c>
      <c r="I67" s="108">
        <f t="shared" si="9"/>
        <v>1756.7</v>
      </c>
      <c r="J67" s="109"/>
      <c r="K67" s="99">
        <v>25</v>
      </c>
      <c r="L67" s="110">
        <f t="shared" si="10"/>
        <v>798.5</v>
      </c>
    </row>
    <row r="68" spans="1:13" s="111" customFormat="1" ht="30" customHeight="1">
      <c r="A68" s="139">
        <f t="shared" ref="A68:A79" si="11">A67+1</f>
        <v>51</v>
      </c>
      <c r="B68" s="113">
        <v>46059</v>
      </c>
      <c r="C68" s="112">
        <v>1383369</v>
      </c>
      <c r="D68" s="112" t="s">
        <v>87</v>
      </c>
      <c r="E68" s="114">
        <v>33.08</v>
      </c>
      <c r="F68" s="103" t="s">
        <v>36</v>
      </c>
      <c r="G68" s="106" t="s">
        <v>37</v>
      </c>
      <c r="H68" s="107">
        <v>55</v>
      </c>
      <c r="I68" s="108">
        <f t="shared" si="9"/>
        <v>1819.3999999999999</v>
      </c>
      <c r="J68" s="109"/>
      <c r="K68" s="99">
        <v>25</v>
      </c>
      <c r="L68" s="110">
        <f t="shared" si="10"/>
        <v>827</v>
      </c>
    </row>
    <row r="69" spans="1:13" s="111" customFormat="1" ht="30" customHeight="1">
      <c r="A69" s="139">
        <f t="shared" si="11"/>
        <v>52</v>
      </c>
      <c r="B69" s="113">
        <v>46059</v>
      </c>
      <c r="C69" s="112">
        <v>1383370</v>
      </c>
      <c r="D69" s="112" t="s">
        <v>88</v>
      </c>
      <c r="E69" s="114">
        <v>29.08</v>
      </c>
      <c r="F69" s="103" t="s">
        <v>36</v>
      </c>
      <c r="G69" s="106" t="s">
        <v>37</v>
      </c>
      <c r="H69" s="107">
        <v>55</v>
      </c>
      <c r="I69" s="108">
        <f t="shared" si="9"/>
        <v>1599.3999999999999</v>
      </c>
      <c r="J69" s="109"/>
      <c r="K69" s="99">
        <v>25</v>
      </c>
      <c r="L69" s="110">
        <f t="shared" si="10"/>
        <v>727</v>
      </c>
    </row>
    <row r="70" spans="1:13" s="111" customFormat="1" ht="30" customHeight="1">
      <c r="A70" s="139">
        <f t="shared" si="11"/>
        <v>53</v>
      </c>
      <c r="B70" s="113">
        <v>46059</v>
      </c>
      <c r="C70" s="112">
        <v>1383371</v>
      </c>
      <c r="D70" s="112" t="s">
        <v>89</v>
      </c>
      <c r="E70" s="114">
        <v>29.52</v>
      </c>
      <c r="F70" s="103" t="s">
        <v>36</v>
      </c>
      <c r="G70" s="106" t="s">
        <v>37</v>
      </c>
      <c r="H70" s="107">
        <v>55</v>
      </c>
      <c r="I70" s="108">
        <f t="shared" si="9"/>
        <v>1623.6</v>
      </c>
      <c r="J70" s="109"/>
      <c r="K70" s="99">
        <v>25</v>
      </c>
      <c r="L70" s="110">
        <f t="shared" si="10"/>
        <v>738</v>
      </c>
    </row>
    <row r="71" spans="1:13" s="111" customFormat="1" ht="30" customHeight="1">
      <c r="A71" s="139">
        <f t="shared" si="11"/>
        <v>54</v>
      </c>
      <c r="B71" s="113">
        <v>46059</v>
      </c>
      <c r="C71" s="112">
        <v>1383372</v>
      </c>
      <c r="D71" s="112" t="s">
        <v>90</v>
      </c>
      <c r="E71" s="114">
        <v>32.54</v>
      </c>
      <c r="F71" s="103" t="s">
        <v>36</v>
      </c>
      <c r="G71" s="106" t="s">
        <v>37</v>
      </c>
      <c r="H71" s="107">
        <v>55</v>
      </c>
      <c r="I71" s="108">
        <f t="shared" si="9"/>
        <v>1789.7</v>
      </c>
      <c r="J71" s="109"/>
      <c r="K71" s="99">
        <v>25</v>
      </c>
      <c r="L71" s="110">
        <f t="shared" si="10"/>
        <v>813.5</v>
      </c>
    </row>
    <row r="72" spans="1:13" s="111" customFormat="1" ht="30" customHeight="1">
      <c r="A72" s="139">
        <f t="shared" si="11"/>
        <v>55</v>
      </c>
      <c r="B72" s="113">
        <v>46059</v>
      </c>
      <c r="C72" s="112">
        <v>1383373</v>
      </c>
      <c r="D72" s="112" t="s">
        <v>91</v>
      </c>
      <c r="E72" s="114">
        <v>32.24</v>
      </c>
      <c r="F72" s="103" t="s">
        <v>36</v>
      </c>
      <c r="G72" s="106" t="s">
        <v>37</v>
      </c>
      <c r="H72" s="107">
        <v>55</v>
      </c>
      <c r="I72" s="108">
        <f t="shared" si="9"/>
        <v>1773.2</v>
      </c>
      <c r="J72" s="109"/>
      <c r="K72" s="99">
        <v>25</v>
      </c>
      <c r="L72" s="110">
        <f t="shared" si="10"/>
        <v>806</v>
      </c>
    </row>
    <row r="73" spans="1:13" s="111" customFormat="1" ht="30" customHeight="1">
      <c r="A73" s="139">
        <f t="shared" si="11"/>
        <v>56</v>
      </c>
      <c r="B73" s="113">
        <v>46059</v>
      </c>
      <c r="C73" s="112">
        <v>1383374</v>
      </c>
      <c r="D73" s="112" t="s">
        <v>92</v>
      </c>
      <c r="E73" s="114">
        <v>31.66</v>
      </c>
      <c r="F73" s="103" t="s">
        <v>36</v>
      </c>
      <c r="G73" s="106" t="s">
        <v>37</v>
      </c>
      <c r="H73" s="107">
        <v>55</v>
      </c>
      <c r="I73" s="108">
        <f t="shared" si="9"/>
        <v>1741.3</v>
      </c>
      <c r="J73" s="109"/>
      <c r="K73" s="99">
        <v>25</v>
      </c>
      <c r="L73" s="110">
        <f t="shared" si="10"/>
        <v>791.5</v>
      </c>
    </row>
    <row r="74" spans="1:13" s="111" customFormat="1" ht="30" customHeight="1">
      <c r="A74" s="139">
        <f t="shared" si="11"/>
        <v>57</v>
      </c>
      <c r="B74" s="113">
        <v>46059</v>
      </c>
      <c r="C74" s="112">
        <v>1383375</v>
      </c>
      <c r="D74" s="112" t="s">
        <v>93</v>
      </c>
      <c r="E74" s="114">
        <v>34.42</v>
      </c>
      <c r="F74" s="103" t="s">
        <v>36</v>
      </c>
      <c r="G74" s="106" t="s">
        <v>37</v>
      </c>
      <c r="H74" s="107">
        <v>55</v>
      </c>
      <c r="I74" s="108">
        <f t="shared" si="9"/>
        <v>1893.1000000000001</v>
      </c>
      <c r="J74" s="109"/>
      <c r="K74" s="99">
        <v>25</v>
      </c>
      <c r="L74" s="110">
        <f t="shared" si="10"/>
        <v>860.5</v>
      </c>
    </row>
    <row r="75" spans="1:13" s="111" customFormat="1" ht="30" customHeight="1">
      <c r="A75" s="139">
        <f t="shared" si="11"/>
        <v>58</v>
      </c>
      <c r="B75" s="113">
        <v>46059</v>
      </c>
      <c r="C75" s="112">
        <v>1383376</v>
      </c>
      <c r="D75" s="112" t="s">
        <v>94</v>
      </c>
      <c r="E75" s="114">
        <v>31.78</v>
      </c>
      <c r="F75" s="103" t="s">
        <v>36</v>
      </c>
      <c r="G75" s="106" t="s">
        <v>37</v>
      </c>
      <c r="H75" s="107">
        <v>55</v>
      </c>
      <c r="I75" s="108">
        <f t="shared" si="9"/>
        <v>1747.9</v>
      </c>
      <c r="J75" s="109"/>
      <c r="K75" s="99">
        <v>25</v>
      </c>
      <c r="L75" s="110">
        <f t="shared" si="10"/>
        <v>794.5</v>
      </c>
    </row>
    <row r="76" spans="1:13" s="111" customFormat="1" ht="30" customHeight="1">
      <c r="A76" s="139">
        <f t="shared" si="11"/>
        <v>59</v>
      </c>
      <c r="B76" s="113">
        <v>46059</v>
      </c>
      <c r="C76" s="112">
        <v>1383377</v>
      </c>
      <c r="D76" s="112" t="s">
        <v>95</v>
      </c>
      <c r="E76" s="114">
        <v>30.04</v>
      </c>
      <c r="F76" s="103" t="s">
        <v>36</v>
      </c>
      <c r="G76" s="106" t="s">
        <v>37</v>
      </c>
      <c r="H76" s="107">
        <v>55</v>
      </c>
      <c r="I76" s="108">
        <f t="shared" si="9"/>
        <v>1652.2</v>
      </c>
      <c r="J76" s="109"/>
      <c r="K76" s="99">
        <v>25</v>
      </c>
      <c r="L76" s="110">
        <f t="shared" si="10"/>
        <v>751</v>
      </c>
    </row>
    <row r="77" spans="1:13" s="111" customFormat="1" ht="30" customHeight="1">
      <c r="A77" s="139">
        <f t="shared" si="11"/>
        <v>60</v>
      </c>
      <c r="B77" s="113">
        <v>46059</v>
      </c>
      <c r="C77" s="112">
        <v>1383378</v>
      </c>
      <c r="D77" s="112" t="s">
        <v>96</v>
      </c>
      <c r="E77" s="114">
        <v>30.18</v>
      </c>
      <c r="F77" s="103" t="s">
        <v>36</v>
      </c>
      <c r="G77" s="106" t="s">
        <v>37</v>
      </c>
      <c r="H77" s="107">
        <v>55</v>
      </c>
      <c r="I77" s="108">
        <f t="shared" si="9"/>
        <v>1659.9</v>
      </c>
      <c r="J77" s="109"/>
      <c r="K77" s="99">
        <v>25</v>
      </c>
      <c r="L77" s="110">
        <f t="shared" si="10"/>
        <v>754.5</v>
      </c>
    </row>
    <row r="78" spans="1:13" s="111" customFormat="1" ht="30" customHeight="1">
      <c r="A78" s="139">
        <f t="shared" si="11"/>
        <v>61</v>
      </c>
      <c r="B78" s="113">
        <v>46059</v>
      </c>
      <c r="C78" s="112">
        <v>1383379</v>
      </c>
      <c r="D78" s="112" t="s">
        <v>97</v>
      </c>
      <c r="E78" s="114">
        <v>26.38</v>
      </c>
      <c r="F78" s="103" t="s">
        <v>36</v>
      </c>
      <c r="G78" s="106" t="s">
        <v>37</v>
      </c>
      <c r="H78" s="107">
        <v>55</v>
      </c>
      <c r="I78" s="108">
        <f t="shared" si="9"/>
        <v>1450.8999999999999</v>
      </c>
      <c r="J78" s="109"/>
      <c r="K78" s="99">
        <v>25</v>
      </c>
      <c r="L78" s="110">
        <f t="shared" si="10"/>
        <v>659.5</v>
      </c>
    </row>
    <row r="79" spans="1:13" s="111" customFormat="1" ht="30" customHeight="1" thickBot="1">
      <c r="A79" s="140">
        <f t="shared" si="11"/>
        <v>62</v>
      </c>
      <c r="B79" s="141">
        <v>46059</v>
      </c>
      <c r="C79" s="142">
        <v>1383380</v>
      </c>
      <c r="D79" s="142" t="s">
        <v>98</v>
      </c>
      <c r="E79" s="143">
        <v>32.44</v>
      </c>
      <c r="F79" s="144" t="s">
        <v>36</v>
      </c>
      <c r="G79" s="145" t="s">
        <v>37</v>
      </c>
      <c r="H79" s="146">
        <v>55</v>
      </c>
      <c r="I79" s="147">
        <f t="shared" si="9"/>
        <v>1784.1999999999998</v>
      </c>
      <c r="J79" s="148"/>
      <c r="K79" s="101">
        <v>25</v>
      </c>
      <c r="L79" s="149">
        <f t="shared" si="10"/>
        <v>811</v>
      </c>
    </row>
    <row r="80" spans="1:13" s="111" customFormat="1" ht="30" customHeight="1" thickBot="1">
      <c r="A80" s="117"/>
      <c r="B80" s="118"/>
      <c r="C80" s="118"/>
      <c r="D80" s="118"/>
      <c r="E80" s="119">
        <f>SUM(E66:E79)</f>
        <v>430.84</v>
      </c>
      <c r="F80" s="118"/>
      <c r="G80" s="118"/>
      <c r="H80" s="118"/>
      <c r="I80" s="120">
        <f>SUM(I66:I79)</f>
        <v>23696.200000000004</v>
      </c>
      <c r="J80" s="121"/>
      <c r="K80" s="122"/>
      <c r="L80" s="123">
        <f>SUM(L66:L79)</f>
        <v>10771</v>
      </c>
    </row>
    <row r="81" spans="1:13" s="111" customFormat="1" ht="30" customHeight="1">
      <c r="A81" s="103">
        <v>63</v>
      </c>
      <c r="B81" s="104">
        <v>46060</v>
      </c>
      <c r="C81" s="103">
        <v>1383381</v>
      </c>
      <c r="D81" s="103" t="s">
        <v>99</v>
      </c>
      <c r="E81" s="105">
        <v>30.46</v>
      </c>
      <c r="F81" s="103" t="s">
        <v>36</v>
      </c>
      <c r="G81" s="106" t="s">
        <v>37</v>
      </c>
      <c r="H81" s="107">
        <v>55</v>
      </c>
      <c r="I81" s="108">
        <f t="shared" ref="I81:I102" si="12">E81*H81</f>
        <v>1675.3</v>
      </c>
      <c r="J81" s="109"/>
      <c r="K81" s="99">
        <v>25</v>
      </c>
      <c r="L81" s="110">
        <f t="shared" ref="L81:L102" si="13">E81*K81</f>
        <v>761.5</v>
      </c>
      <c r="M81" s="111">
        <v>64</v>
      </c>
    </row>
    <row r="82" spans="1:13" s="111" customFormat="1" ht="30" customHeight="1">
      <c r="A82" s="112">
        <f>A81+1</f>
        <v>64</v>
      </c>
      <c r="B82" s="104">
        <v>46060</v>
      </c>
      <c r="C82" s="112">
        <v>1383382</v>
      </c>
      <c r="D82" s="112" t="s">
        <v>100</v>
      </c>
      <c r="E82" s="114">
        <v>31.16</v>
      </c>
      <c r="F82" s="103" t="s">
        <v>36</v>
      </c>
      <c r="G82" s="106" t="s">
        <v>37</v>
      </c>
      <c r="H82" s="107">
        <v>55</v>
      </c>
      <c r="I82" s="108">
        <f t="shared" si="12"/>
        <v>1713.8</v>
      </c>
      <c r="J82" s="109"/>
      <c r="K82" s="99">
        <v>25</v>
      </c>
      <c r="L82" s="110">
        <f t="shared" si="13"/>
        <v>779</v>
      </c>
    </row>
    <row r="83" spans="1:13" s="111" customFormat="1" ht="30" customHeight="1">
      <c r="A83" s="112">
        <f t="shared" ref="A83:A102" si="14">A82+1</f>
        <v>65</v>
      </c>
      <c r="B83" s="104">
        <v>46060</v>
      </c>
      <c r="C83" s="112">
        <v>1383383</v>
      </c>
      <c r="D83" s="112" t="s">
        <v>101</v>
      </c>
      <c r="E83" s="114">
        <v>29.08</v>
      </c>
      <c r="F83" s="103" t="s">
        <v>36</v>
      </c>
      <c r="G83" s="106" t="s">
        <v>37</v>
      </c>
      <c r="H83" s="107">
        <v>55</v>
      </c>
      <c r="I83" s="108">
        <f t="shared" si="12"/>
        <v>1599.3999999999999</v>
      </c>
      <c r="J83" s="109"/>
      <c r="K83" s="99">
        <v>25</v>
      </c>
      <c r="L83" s="110">
        <f t="shared" si="13"/>
        <v>727</v>
      </c>
    </row>
    <row r="84" spans="1:13" s="111" customFormat="1" ht="30" customHeight="1">
      <c r="A84" s="112">
        <f t="shared" si="14"/>
        <v>66</v>
      </c>
      <c r="B84" s="104">
        <v>46060</v>
      </c>
      <c r="C84" s="112">
        <v>1383384</v>
      </c>
      <c r="D84" s="112" t="s">
        <v>102</v>
      </c>
      <c r="E84" s="114">
        <v>31.9</v>
      </c>
      <c r="F84" s="103" t="s">
        <v>36</v>
      </c>
      <c r="G84" s="106" t="s">
        <v>37</v>
      </c>
      <c r="H84" s="107">
        <v>55</v>
      </c>
      <c r="I84" s="108">
        <f t="shared" si="12"/>
        <v>1754.5</v>
      </c>
      <c r="J84" s="109"/>
      <c r="K84" s="99">
        <v>25</v>
      </c>
      <c r="L84" s="110">
        <f t="shared" si="13"/>
        <v>797.5</v>
      </c>
    </row>
    <row r="85" spans="1:13" s="111" customFormat="1" ht="30" customHeight="1">
      <c r="A85" s="112">
        <f t="shared" si="14"/>
        <v>67</v>
      </c>
      <c r="B85" s="104">
        <v>46060</v>
      </c>
      <c r="C85" s="112">
        <v>1383385</v>
      </c>
      <c r="D85" s="112" t="s">
        <v>103</v>
      </c>
      <c r="E85" s="114">
        <v>31.12</v>
      </c>
      <c r="F85" s="103" t="s">
        <v>36</v>
      </c>
      <c r="G85" s="106" t="s">
        <v>37</v>
      </c>
      <c r="H85" s="107">
        <v>55</v>
      </c>
      <c r="I85" s="108">
        <f t="shared" si="12"/>
        <v>1711.6000000000001</v>
      </c>
      <c r="J85" s="109"/>
      <c r="K85" s="99">
        <v>25</v>
      </c>
      <c r="L85" s="110">
        <f t="shared" si="13"/>
        <v>778</v>
      </c>
    </row>
    <row r="86" spans="1:13" s="111" customFormat="1" ht="30" customHeight="1">
      <c r="A86" s="112">
        <f t="shared" si="14"/>
        <v>68</v>
      </c>
      <c r="B86" s="104">
        <v>46060</v>
      </c>
      <c r="C86" s="112">
        <v>1383386</v>
      </c>
      <c r="D86" s="112" t="s">
        <v>104</v>
      </c>
      <c r="E86" s="114">
        <v>33.92</v>
      </c>
      <c r="F86" s="103" t="s">
        <v>36</v>
      </c>
      <c r="G86" s="106" t="s">
        <v>37</v>
      </c>
      <c r="H86" s="107">
        <v>55</v>
      </c>
      <c r="I86" s="108">
        <f t="shared" si="12"/>
        <v>1865.6000000000001</v>
      </c>
      <c r="J86" s="109"/>
      <c r="K86" s="99">
        <v>25</v>
      </c>
      <c r="L86" s="110">
        <f t="shared" si="13"/>
        <v>848</v>
      </c>
    </row>
    <row r="87" spans="1:13" s="111" customFormat="1" ht="30" customHeight="1">
      <c r="A87" s="112">
        <f t="shared" si="14"/>
        <v>69</v>
      </c>
      <c r="B87" s="104">
        <v>46060</v>
      </c>
      <c r="C87" s="112">
        <v>1383387</v>
      </c>
      <c r="D87" s="112" t="s">
        <v>105</v>
      </c>
      <c r="E87" s="114">
        <v>32.46</v>
      </c>
      <c r="F87" s="103" t="s">
        <v>36</v>
      </c>
      <c r="G87" s="106" t="s">
        <v>37</v>
      </c>
      <c r="H87" s="107">
        <v>55</v>
      </c>
      <c r="I87" s="108">
        <f t="shared" si="12"/>
        <v>1785.3</v>
      </c>
      <c r="J87" s="109"/>
      <c r="K87" s="99">
        <v>25</v>
      </c>
      <c r="L87" s="110">
        <f t="shared" si="13"/>
        <v>811.5</v>
      </c>
    </row>
    <row r="88" spans="1:13" s="111" customFormat="1" ht="30" customHeight="1">
      <c r="A88" s="112">
        <f t="shared" si="14"/>
        <v>70</v>
      </c>
      <c r="B88" s="104">
        <v>46060</v>
      </c>
      <c r="C88" s="112">
        <v>1383388</v>
      </c>
      <c r="D88" s="112" t="s">
        <v>106</v>
      </c>
      <c r="E88" s="114">
        <v>31.34</v>
      </c>
      <c r="F88" s="103" t="s">
        <v>36</v>
      </c>
      <c r="G88" s="106" t="s">
        <v>37</v>
      </c>
      <c r="H88" s="107">
        <v>55</v>
      </c>
      <c r="I88" s="108">
        <f t="shared" si="12"/>
        <v>1723.7</v>
      </c>
      <c r="J88" s="109"/>
      <c r="K88" s="99">
        <v>25</v>
      </c>
      <c r="L88" s="110">
        <f t="shared" si="13"/>
        <v>783.5</v>
      </c>
    </row>
    <row r="89" spans="1:13" s="111" customFormat="1" ht="30" customHeight="1">
      <c r="A89" s="112">
        <f t="shared" si="14"/>
        <v>71</v>
      </c>
      <c r="B89" s="104">
        <v>46060</v>
      </c>
      <c r="C89" s="112">
        <v>1383389</v>
      </c>
      <c r="D89" s="112" t="s">
        <v>107</v>
      </c>
      <c r="E89" s="114">
        <v>26.32</v>
      </c>
      <c r="F89" s="103" t="s">
        <v>36</v>
      </c>
      <c r="G89" s="106" t="s">
        <v>37</v>
      </c>
      <c r="H89" s="107">
        <v>55</v>
      </c>
      <c r="I89" s="108">
        <f t="shared" si="12"/>
        <v>1447.6</v>
      </c>
      <c r="J89" s="109"/>
      <c r="K89" s="99">
        <v>25</v>
      </c>
      <c r="L89" s="110">
        <f t="shared" si="13"/>
        <v>658</v>
      </c>
    </row>
    <row r="90" spans="1:13" s="111" customFormat="1" ht="30" customHeight="1">
      <c r="A90" s="112">
        <f t="shared" si="14"/>
        <v>72</v>
      </c>
      <c r="B90" s="104">
        <v>46060</v>
      </c>
      <c r="C90" s="112">
        <v>1383390</v>
      </c>
      <c r="D90" s="112" t="s">
        <v>108</v>
      </c>
      <c r="E90" s="114">
        <v>27.16</v>
      </c>
      <c r="F90" s="103" t="s">
        <v>36</v>
      </c>
      <c r="G90" s="106" t="s">
        <v>37</v>
      </c>
      <c r="H90" s="107">
        <v>55</v>
      </c>
      <c r="I90" s="108">
        <f t="shared" si="12"/>
        <v>1493.8</v>
      </c>
      <c r="J90" s="109"/>
      <c r="K90" s="99">
        <v>25</v>
      </c>
      <c r="L90" s="110">
        <f t="shared" si="13"/>
        <v>679</v>
      </c>
    </row>
    <row r="91" spans="1:13" s="111" customFormat="1" ht="30" customHeight="1">
      <c r="A91" s="112">
        <f t="shared" si="14"/>
        <v>73</v>
      </c>
      <c r="B91" s="104">
        <v>46060</v>
      </c>
      <c r="C91" s="112">
        <v>1383391</v>
      </c>
      <c r="D91" s="112" t="s">
        <v>109</v>
      </c>
      <c r="E91" s="114">
        <v>30.76</v>
      </c>
      <c r="F91" s="103" t="s">
        <v>36</v>
      </c>
      <c r="G91" s="106" t="s">
        <v>37</v>
      </c>
      <c r="H91" s="107">
        <v>55</v>
      </c>
      <c r="I91" s="108">
        <f t="shared" si="12"/>
        <v>1691.8000000000002</v>
      </c>
      <c r="J91" s="109"/>
      <c r="K91" s="99">
        <v>25</v>
      </c>
      <c r="L91" s="110">
        <f t="shared" si="13"/>
        <v>769</v>
      </c>
    </row>
    <row r="92" spans="1:13" s="111" customFormat="1" ht="30" customHeight="1">
      <c r="A92" s="112">
        <f t="shared" si="14"/>
        <v>74</v>
      </c>
      <c r="B92" s="104">
        <v>46060</v>
      </c>
      <c r="C92" s="112">
        <v>1383392</v>
      </c>
      <c r="D92" s="112" t="s">
        <v>110</v>
      </c>
      <c r="E92" s="114">
        <v>31.16</v>
      </c>
      <c r="F92" s="103" t="s">
        <v>36</v>
      </c>
      <c r="G92" s="106" t="s">
        <v>37</v>
      </c>
      <c r="H92" s="107">
        <v>55</v>
      </c>
      <c r="I92" s="108">
        <f t="shared" si="12"/>
        <v>1713.8</v>
      </c>
      <c r="J92" s="109"/>
      <c r="K92" s="99">
        <v>25</v>
      </c>
      <c r="L92" s="110">
        <f t="shared" si="13"/>
        <v>779</v>
      </c>
    </row>
    <row r="93" spans="1:13" s="111" customFormat="1" ht="30" customHeight="1">
      <c r="A93" s="112">
        <f t="shared" si="14"/>
        <v>75</v>
      </c>
      <c r="B93" s="104">
        <v>46060</v>
      </c>
      <c r="C93" s="112">
        <v>1383393</v>
      </c>
      <c r="D93" s="112" t="s">
        <v>111</v>
      </c>
      <c r="E93" s="114">
        <v>31</v>
      </c>
      <c r="F93" s="103" t="s">
        <v>36</v>
      </c>
      <c r="G93" s="106" t="s">
        <v>37</v>
      </c>
      <c r="H93" s="107">
        <v>55</v>
      </c>
      <c r="I93" s="108">
        <f t="shared" si="12"/>
        <v>1705</v>
      </c>
      <c r="J93" s="109"/>
      <c r="K93" s="99">
        <v>25</v>
      </c>
      <c r="L93" s="110">
        <f t="shared" si="13"/>
        <v>775</v>
      </c>
    </row>
    <row r="94" spans="1:13" s="111" customFormat="1" ht="30" customHeight="1">
      <c r="A94" s="112">
        <f t="shared" si="14"/>
        <v>76</v>
      </c>
      <c r="B94" s="104">
        <v>46060</v>
      </c>
      <c r="C94" s="112">
        <v>1383394</v>
      </c>
      <c r="D94" s="112" t="s">
        <v>112</v>
      </c>
      <c r="E94" s="114">
        <v>30.7</v>
      </c>
      <c r="F94" s="103" t="s">
        <v>36</v>
      </c>
      <c r="G94" s="106" t="s">
        <v>37</v>
      </c>
      <c r="H94" s="107">
        <v>55</v>
      </c>
      <c r="I94" s="108">
        <f t="shared" si="12"/>
        <v>1688.5</v>
      </c>
      <c r="J94" s="109"/>
      <c r="K94" s="99">
        <v>25</v>
      </c>
      <c r="L94" s="110">
        <f t="shared" si="13"/>
        <v>767.5</v>
      </c>
    </row>
    <row r="95" spans="1:13" s="111" customFormat="1" ht="30" customHeight="1">
      <c r="A95" s="112">
        <f t="shared" si="14"/>
        <v>77</v>
      </c>
      <c r="B95" s="104">
        <v>46060</v>
      </c>
      <c r="C95" s="112">
        <v>1383395</v>
      </c>
      <c r="D95" s="112" t="s">
        <v>113</v>
      </c>
      <c r="E95" s="114">
        <v>31.56</v>
      </c>
      <c r="F95" s="103" t="s">
        <v>36</v>
      </c>
      <c r="G95" s="106" t="s">
        <v>37</v>
      </c>
      <c r="H95" s="107">
        <v>55</v>
      </c>
      <c r="I95" s="108">
        <f t="shared" si="12"/>
        <v>1735.8</v>
      </c>
      <c r="J95" s="109"/>
      <c r="K95" s="99">
        <v>25</v>
      </c>
      <c r="L95" s="110">
        <f t="shared" si="13"/>
        <v>789</v>
      </c>
    </row>
    <row r="96" spans="1:13" s="111" customFormat="1" ht="30" customHeight="1">
      <c r="A96" s="112">
        <f t="shared" si="14"/>
        <v>78</v>
      </c>
      <c r="B96" s="104">
        <v>46060</v>
      </c>
      <c r="C96" s="112">
        <v>1383396</v>
      </c>
      <c r="D96" s="112" t="s">
        <v>114</v>
      </c>
      <c r="E96" s="114">
        <v>31.66</v>
      </c>
      <c r="F96" s="103" t="s">
        <v>36</v>
      </c>
      <c r="G96" s="106" t="s">
        <v>37</v>
      </c>
      <c r="H96" s="107">
        <v>55</v>
      </c>
      <c r="I96" s="108">
        <f t="shared" si="12"/>
        <v>1741.3</v>
      </c>
      <c r="J96" s="109"/>
      <c r="K96" s="99">
        <v>25</v>
      </c>
      <c r="L96" s="110">
        <f t="shared" si="13"/>
        <v>791.5</v>
      </c>
    </row>
    <row r="97" spans="1:13" s="111" customFormat="1" ht="30" customHeight="1">
      <c r="A97" s="112">
        <f t="shared" si="14"/>
        <v>79</v>
      </c>
      <c r="B97" s="104">
        <v>46060</v>
      </c>
      <c r="C97" s="112">
        <v>1383397</v>
      </c>
      <c r="D97" s="112" t="s">
        <v>115</v>
      </c>
      <c r="E97" s="114">
        <v>31.32</v>
      </c>
      <c r="F97" s="103" t="s">
        <v>36</v>
      </c>
      <c r="G97" s="106" t="s">
        <v>37</v>
      </c>
      <c r="H97" s="107">
        <v>55</v>
      </c>
      <c r="I97" s="108">
        <f t="shared" si="12"/>
        <v>1722.6</v>
      </c>
      <c r="J97" s="109"/>
      <c r="K97" s="99">
        <v>25</v>
      </c>
      <c r="L97" s="110">
        <f t="shared" si="13"/>
        <v>783</v>
      </c>
    </row>
    <row r="98" spans="1:13" s="111" customFormat="1" ht="30" customHeight="1">
      <c r="A98" s="112">
        <f t="shared" si="14"/>
        <v>80</v>
      </c>
      <c r="B98" s="104">
        <v>46060</v>
      </c>
      <c r="C98" s="112">
        <v>1383398</v>
      </c>
      <c r="D98" s="112" t="s">
        <v>116</v>
      </c>
      <c r="E98" s="114">
        <v>32</v>
      </c>
      <c r="F98" s="103" t="s">
        <v>36</v>
      </c>
      <c r="G98" s="106" t="s">
        <v>37</v>
      </c>
      <c r="H98" s="107">
        <v>55</v>
      </c>
      <c r="I98" s="108">
        <f t="shared" si="12"/>
        <v>1760</v>
      </c>
      <c r="J98" s="109"/>
      <c r="K98" s="99">
        <v>25</v>
      </c>
      <c r="L98" s="110">
        <f t="shared" si="13"/>
        <v>800</v>
      </c>
    </row>
    <row r="99" spans="1:13" s="111" customFormat="1" ht="30" customHeight="1">
      <c r="A99" s="112">
        <f t="shared" si="14"/>
        <v>81</v>
      </c>
      <c r="B99" s="104">
        <v>46060</v>
      </c>
      <c r="C99" s="112">
        <v>1383399</v>
      </c>
      <c r="D99" s="112" t="s">
        <v>117</v>
      </c>
      <c r="E99" s="114">
        <v>28.16</v>
      </c>
      <c r="F99" s="103" t="s">
        <v>36</v>
      </c>
      <c r="G99" s="106" t="s">
        <v>37</v>
      </c>
      <c r="H99" s="107">
        <v>55</v>
      </c>
      <c r="I99" s="108">
        <f t="shared" si="12"/>
        <v>1548.8</v>
      </c>
      <c r="J99" s="109"/>
      <c r="K99" s="99">
        <v>25</v>
      </c>
      <c r="L99" s="110">
        <f t="shared" si="13"/>
        <v>704</v>
      </c>
    </row>
    <row r="100" spans="1:13" s="111" customFormat="1" ht="30" customHeight="1">
      <c r="A100" s="112">
        <f t="shared" si="14"/>
        <v>82</v>
      </c>
      <c r="B100" s="104">
        <v>46060</v>
      </c>
      <c r="C100" s="112">
        <v>1383400</v>
      </c>
      <c r="D100" s="112" t="s">
        <v>118</v>
      </c>
      <c r="E100" s="114">
        <v>32.74</v>
      </c>
      <c r="F100" s="103" t="s">
        <v>36</v>
      </c>
      <c r="G100" s="106" t="s">
        <v>37</v>
      </c>
      <c r="H100" s="107">
        <v>55</v>
      </c>
      <c r="I100" s="108">
        <f t="shared" si="12"/>
        <v>1800.7</v>
      </c>
      <c r="J100" s="109"/>
      <c r="K100" s="99">
        <v>25</v>
      </c>
      <c r="L100" s="110">
        <f t="shared" si="13"/>
        <v>818.5</v>
      </c>
    </row>
    <row r="101" spans="1:13" s="111" customFormat="1" ht="30" customHeight="1">
      <c r="A101" s="112">
        <f t="shared" si="14"/>
        <v>83</v>
      </c>
      <c r="B101" s="104">
        <v>46060</v>
      </c>
      <c r="C101" s="112">
        <v>1383418</v>
      </c>
      <c r="D101" s="112" t="s">
        <v>119</v>
      </c>
      <c r="E101" s="114">
        <v>31.3</v>
      </c>
      <c r="F101" s="103" t="s">
        <v>36</v>
      </c>
      <c r="G101" s="106" t="s">
        <v>37</v>
      </c>
      <c r="H101" s="107">
        <v>55</v>
      </c>
      <c r="I101" s="108">
        <f t="shared" si="12"/>
        <v>1721.5</v>
      </c>
      <c r="J101" s="109"/>
      <c r="K101" s="99">
        <v>25</v>
      </c>
      <c r="L101" s="110">
        <f t="shared" si="13"/>
        <v>782.5</v>
      </c>
    </row>
    <row r="102" spans="1:13" s="111" customFormat="1" ht="30" customHeight="1" thickBot="1">
      <c r="A102" s="112">
        <f t="shared" si="14"/>
        <v>84</v>
      </c>
      <c r="B102" s="104">
        <v>46060</v>
      </c>
      <c r="C102" s="112">
        <v>1383419</v>
      </c>
      <c r="D102" s="115" t="s">
        <v>120</v>
      </c>
      <c r="E102" s="116">
        <v>31.74</v>
      </c>
      <c r="F102" s="103" t="s">
        <v>36</v>
      </c>
      <c r="G102" s="106" t="s">
        <v>37</v>
      </c>
      <c r="H102" s="107">
        <v>55</v>
      </c>
      <c r="I102" s="108">
        <f t="shared" si="12"/>
        <v>1745.6999999999998</v>
      </c>
      <c r="J102" s="109"/>
      <c r="K102" s="99">
        <v>25</v>
      </c>
      <c r="L102" s="110">
        <f t="shared" si="13"/>
        <v>793.5</v>
      </c>
    </row>
    <row r="103" spans="1:13" s="111" customFormat="1" ht="30" customHeight="1" thickBot="1">
      <c r="A103" s="124"/>
      <c r="B103" s="125"/>
      <c r="C103" s="125"/>
      <c r="D103" s="125"/>
      <c r="E103" s="126">
        <f>SUM(E81:E102)</f>
        <v>679.02</v>
      </c>
      <c r="F103" s="125"/>
      <c r="G103" s="125"/>
      <c r="H103" s="125"/>
      <c r="I103" s="127">
        <f>SUM(I81:I102)</f>
        <v>37346.099999999991</v>
      </c>
      <c r="J103" s="150"/>
      <c r="K103" s="128"/>
      <c r="L103" s="129">
        <f>SUM(L81:L102)</f>
        <v>16975.5</v>
      </c>
    </row>
    <row r="104" spans="1:13" s="111" customFormat="1" ht="30" customHeight="1">
      <c r="A104" s="130">
        <v>85</v>
      </c>
      <c r="B104" s="131">
        <v>46060</v>
      </c>
      <c r="C104" s="132">
        <v>1383420</v>
      </c>
      <c r="D104" s="132" t="s">
        <v>121</v>
      </c>
      <c r="E104" s="133">
        <v>31.4</v>
      </c>
      <c r="F104" s="132" t="s">
        <v>122</v>
      </c>
      <c r="G104" s="134" t="s">
        <v>37</v>
      </c>
      <c r="H104" s="135">
        <v>65</v>
      </c>
      <c r="I104" s="136">
        <f t="shared" ref="I104:I105" si="15">E104*H104</f>
        <v>2041</v>
      </c>
      <c r="J104" s="137"/>
      <c r="K104" s="100">
        <v>25</v>
      </c>
      <c r="L104" s="138">
        <f t="shared" ref="L104:L105" si="16">E104*K104</f>
        <v>785</v>
      </c>
    </row>
    <row r="105" spans="1:13" s="111" customFormat="1" ht="30" customHeight="1" thickBot="1">
      <c r="A105" s="140">
        <v>86</v>
      </c>
      <c r="B105" s="151">
        <v>46060</v>
      </c>
      <c r="C105" s="142">
        <v>1383421</v>
      </c>
      <c r="D105" s="142" t="s">
        <v>123</v>
      </c>
      <c r="E105" s="143">
        <v>28.62</v>
      </c>
      <c r="F105" s="144" t="s">
        <v>122</v>
      </c>
      <c r="G105" s="145" t="s">
        <v>37</v>
      </c>
      <c r="H105" s="146">
        <v>65</v>
      </c>
      <c r="I105" s="147">
        <f t="shared" si="15"/>
        <v>1860.3</v>
      </c>
      <c r="J105" s="148"/>
      <c r="K105" s="101">
        <v>25</v>
      </c>
      <c r="L105" s="149">
        <f t="shared" si="16"/>
        <v>715.5</v>
      </c>
    </row>
    <row r="106" spans="1:13" s="111" customFormat="1" ht="30" customHeight="1" thickBot="1">
      <c r="A106" s="152"/>
      <c r="B106" s="153"/>
      <c r="C106" s="153"/>
      <c r="D106" s="153"/>
      <c r="E106" s="154">
        <f>SUM(E104:E105)</f>
        <v>60.019999999999996</v>
      </c>
      <c r="F106" s="153"/>
      <c r="G106" s="153"/>
      <c r="H106" s="153"/>
      <c r="I106" s="155">
        <f>SUM(I104:I105)</f>
        <v>3901.3</v>
      </c>
      <c r="J106" s="156"/>
      <c r="K106" s="157"/>
      <c r="L106" s="158">
        <f>SUM(L104:L105)</f>
        <v>1500.5</v>
      </c>
    </row>
    <row r="107" spans="1:13" s="111" customFormat="1" ht="30" customHeight="1">
      <c r="A107" s="130">
        <v>87</v>
      </c>
      <c r="B107" s="131">
        <v>46060</v>
      </c>
      <c r="C107" s="132">
        <v>1383422</v>
      </c>
      <c r="D107" s="132" t="s">
        <v>124</v>
      </c>
      <c r="E107" s="133">
        <v>31.42</v>
      </c>
      <c r="F107" s="132" t="s">
        <v>36</v>
      </c>
      <c r="G107" s="134" t="s">
        <v>37</v>
      </c>
      <c r="H107" s="135">
        <v>55</v>
      </c>
      <c r="I107" s="136">
        <f t="shared" ref="I107:I123" si="17">E107*H107</f>
        <v>1728.1000000000001</v>
      </c>
      <c r="J107" s="137"/>
      <c r="K107" s="100">
        <v>25</v>
      </c>
      <c r="L107" s="138">
        <f t="shared" ref="L107:L123" si="18">E107*K107</f>
        <v>785.5</v>
      </c>
      <c r="M107" s="111">
        <v>66</v>
      </c>
    </row>
    <row r="108" spans="1:13" s="111" customFormat="1" ht="30" customHeight="1">
      <c r="A108" s="139">
        <f>A107+1</f>
        <v>88</v>
      </c>
      <c r="B108" s="104">
        <v>46060</v>
      </c>
      <c r="C108" s="103">
        <v>1383423</v>
      </c>
      <c r="D108" s="112" t="s">
        <v>125</v>
      </c>
      <c r="E108" s="114">
        <v>32.159999999999997</v>
      </c>
      <c r="F108" s="103" t="s">
        <v>36</v>
      </c>
      <c r="G108" s="106" t="s">
        <v>37</v>
      </c>
      <c r="H108" s="107">
        <v>55</v>
      </c>
      <c r="I108" s="108">
        <f t="shared" si="17"/>
        <v>1768.7999999999997</v>
      </c>
      <c r="J108" s="109"/>
      <c r="K108" s="99">
        <v>25</v>
      </c>
      <c r="L108" s="110">
        <f t="shared" si="18"/>
        <v>803.99999999999989</v>
      </c>
    </row>
    <row r="109" spans="1:13" s="111" customFormat="1" ht="30" customHeight="1">
      <c r="A109" s="139">
        <f t="shared" ref="A109:A123" si="19">A108+1</f>
        <v>89</v>
      </c>
      <c r="B109" s="104">
        <v>46060</v>
      </c>
      <c r="C109" s="103">
        <v>1383424</v>
      </c>
      <c r="D109" s="112" t="s">
        <v>126</v>
      </c>
      <c r="E109" s="114">
        <v>29.58</v>
      </c>
      <c r="F109" s="103" t="s">
        <v>36</v>
      </c>
      <c r="G109" s="106" t="s">
        <v>37</v>
      </c>
      <c r="H109" s="107">
        <v>55</v>
      </c>
      <c r="I109" s="108">
        <f t="shared" si="17"/>
        <v>1626.8999999999999</v>
      </c>
      <c r="J109" s="109"/>
      <c r="K109" s="99">
        <v>25</v>
      </c>
      <c r="L109" s="110">
        <f t="shared" si="18"/>
        <v>739.5</v>
      </c>
    </row>
    <row r="110" spans="1:13" s="111" customFormat="1" ht="30" customHeight="1">
      <c r="A110" s="139">
        <f t="shared" si="19"/>
        <v>90</v>
      </c>
      <c r="B110" s="104">
        <v>46060</v>
      </c>
      <c r="C110" s="103">
        <v>1383425</v>
      </c>
      <c r="D110" s="112" t="s">
        <v>127</v>
      </c>
      <c r="E110" s="114">
        <v>32.18</v>
      </c>
      <c r="F110" s="103" t="s">
        <v>36</v>
      </c>
      <c r="G110" s="106" t="s">
        <v>37</v>
      </c>
      <c r="H110" s="107">
        <v>55</v>
      </c>
      <c r="I110" s="108">
        <f t="shared" si="17"/>
        <v>1769.9</v>
      </c>
      <c r="J110" s="109"/>
      <c r="K110" s="99">
        <v>25</v>
      </c>
      <c r="L110" s="110">
        <f t="shared" si="18"/>
        <v>804.5</v>
      </c>
    </row>
    <row r="111" spans="1:13" s="111" customFormat="1" ht="30" customHeight="1">
      <c r="A111" s="139">
        <f t="shared" si="19"/>
        <v>91</v>
      </c>
      <c r="B111" s="104">
        <v>46060</v>
      </c>
      <c r="C111" s="112">
        <v>1383426</v>
      </c>
      <c r="D111" s="112" t="s">
        <v>128</v>
      </c>
      <c r="E111" s="114">
        <v>32.200000000000003</v>
      </c>
      <c r="F111" s="103" t="s">
        <v>36</v>
      </c>
      <c r="G111" s="106" t="s">
        <v>37</v>
      </c>
      <c r="H111" s="107">
        <v>55</v>
      </c>
      <c r="I111" s="108">
        <f t="shared" si="17"/>
        <v>1771.0000000000002</v>
      </c>
      <c r="J111" s="109"/>
      <c r="K111" s="99">
        <v>25</v>
      </c>
      <c r="L111" s="110">
        <f t="shared" si="18"/>
        <v>805.00000000000011</v>
      </c>
    </row>
    <row r="112" spans="1:13" s="111" customFormat="1" ht="30" customHeight="1">
      <c r="A112" s="139">
        <f t="shared" si="19"/>
        <v>92</v>
      </c>
      <c r="B112" s="104">
        <v>46060</v>
      </c>
      <c r="C112" s="103">
        <v>1383427</v>
      </c>
      <c r="D112" s="112" t="s">
        <v>129</v>
      </c>
      <c r="E112" s="114">
        <v>26.7</v>
      </c>
      <c r="F112" s="103" t="s">
        <v>36</v>
      </c>
      <c r="G112" s="106" t="s">
        <v>37</v>
      </c>
      <c r="H112" s="107">
        <v>55</v>
      </c>
      <c r="I112" s="108">
        <f t="shared" si="17"/>
        <v>1468.5</v>
      </c>
      <c r="J112" s="109"/>
      <c r="K112" s="99">
        <v>25</v>
      </c>
      <c r="L112" s="110">
        <f t="shared" si="18"/>
        <v>667.5</v>
      </c>
    </row>
    <row r="113" spans="1:13" s="111" customFormat="1" ht="30" customHeight="1">
      <c r="A113" s="139">
        <f t="shared" si="19"/>
        <v>93</v>
      </c>
      <c r="B113" s="104">
        <v>46060</v>
      </c>
      <c r="C113" s="112">
        <v>1383428</v>
      </c>
      <c r="D113" s="112" t="s">
        <v>130</v>
      </c>
      <c r="E113" s="114">
        <v>27.22</v>
      </c>
      <c r="F113" s="103" t="s">
        <v>36</v>
      </c>
      <c r="G113" s="106" t="s">
        <v>37</v>
      </c>
      <c r="H113" s="107">
        <v>55</v>
      </c>
      <c r="I113" s="108">
        <f t="shared" si="17"/>
        <v>1497.1</v>
      </c>
      <c r="J113" s="109"/>
      <c r="K113" s="99">
        <v>25</v>
      </c>
      <c r="L113" s="110">
        <f t="shared" si="18"/>
        <v>680.5</v>
      </c>
    </row>
    <row r="114" spans="1:13" s="111" customFormat="1" ht="30" customHeight="1">
      <c r="A114" s="139">
        <f t="shared" si="19"/>
        <v>94</v>
      </c>
      <c r="B114" s="104">
        <v>46060</v>
      </c>
      <c r="C114" s="103">
        <v>1383429</v>
      </c>
      <c r="D114" s="112" t="s">
        <v>131</v>
      </c>
      <c r="E114" s="114">
        <v>30.34</v>
      </c>
      <c r="F114" s="103" t="s">
        <v>36</v>
      </c>
      <c r="G114" s="106" t="s">
        <v>37</v>
      </c>
      <c r="H114" s="107">
        <v>55</v>
      </c>
      <c r="I114" s="108">
        <f t="shared" si="17"/>
        <v>1668.7</v>
      </c>
      <c r="J114" s="109"/>
      <c r="K114" s="99">
        <v>25</v>
      </c>
      <c r="L114" s="110">
        <f t="shared" si="18"/>
        <v>758.5</v>
      </c>
    </row>
    <row r="115" spans="1:13" s="111" customFormat="1" ht="30" customHeight="1">
      <c r="A115" s="139">
        <f t="shared" si="19"/>
        <v>95</v>
      </c>
      <c r="B115" s="104">
        <v>46060</v>
      </c>
      <c r="C115" s="112">
        <v>1383430</v>
      </c>
      <c r="D115" s="112" t="s">
        <v>132</v>
      </c>
      <c r="E115" s="114">
        <v>31.1</v>
      </c>
      <c r="F115" s="103" t="s">
        <v>36</v>
      </c>
      <c r="G115" s="106" t="s">
        <v>37</v>
      </c>
      <c r="H115" s="107">
        <v>55</v>
      </c>
      <c r="I115" s="108">
        <f t="shared" si="17"/>
        <v>1710.5</v>
      </c>
      <c r="J115" s="109"/>
      <c r="K115" s="99">
        <v>25</v>
      </c>
      <c r="L115" s="110">
        <f t="shared" si="18"/>
        <v>777.5</v>
      </c>
    </row>
    <row r="116" spans="1:13" s="111" customFormat="1" ht="30" customHeight="1">
      <c r="A116" s="139">
        <f t="shared" si="19"/>
        <v>96</v>
      </c>
      <c r="B116" s="104">
        <v>46060</v>
      </c>
      <c r="C116" s="103">
        <v>1383431</v>
      </c>
      <c r="D116" s="112" t="s">
        <v>133</v>
      </c>
      <c r="E116" s="114">
        <v>28.64</v>
      </c>
      <c r="F116" s="103" t="s">
        <v>36</v>
      </c>
      <c r="G116" s="106" t="s">
        <v>37</v>
      </c>
      <c r="H116" s="107">
        <v>55</v>
      </c>
      <c r="I116" s="108">
        <f t="shared" si="17"/>
        <v>1575.2</v>
      </c>
      <c r="J116" s="109"/>
      <c r="K116" s="99">
        <v>25</v>
      </c>
      <c r="L116" s="110">
        <f t="shared" si="18"/>
        <v>716</v>
      </c>
    </row>
    <row r="117" spans="1:13" s="111" customFormat="1" ht="30" customHeight="1">
      <c r="A117" s="139">
        <f t="shared" si="19"/>
        <v>97</v>
      </c>
      <c r="B117" s="104">
        <v>46060</v>
      </c>
      <c r="C117" s="112">
        <v>1383432</v>
      </c>
      <c r="D117" s="112" t="s">
        <v>134</v>
      </c>
      <c r="E117" s="114">
        <v>24.32</v>
      </c>
      <c r="F117" s="103" t="s">
        <v>36</v>
      </c>
      <c r="G117" s="106" t="s">
        <v>37</v>
      </c>
      <c r="H117" s="107">
        <v>55</v>
      </c>
      <c r="I117" s="108">
        <f t="shared" si="17"/>
        <v>1337.6</v>
      </c>
      <c r="J117" s="109"/>
      <c r="K117" s="99">
        <v>25</v>
      </c>
      <c r="L117" s="110">
        <f t="shared" si="18"/>
        <v>608</v>
      </c>
    </row>
    <row r="118" spans="1:13" s="111" customFormat="1" ht="30" customHeight="1">
      <c r="A118" s="139">
        <f t="shared" si="19"/>
        <v>98</v>
      </c>
      <c r="B118" s="104">
        <v>46060</v>
      </c>
      <c r="C118" s="112">
        <v>1383433</v>
      </c>
      <c r="D118" s="112" t="s">
        <v>135</v>
      </c>
      <c r="E118" s="114">
        <v>29.32</v>
      </c>
      <c r="F118" s="103" t="s">
        <v>36</v>
      </c>
      <c r="G118" s="106" t="s">
        <v>37</v>
      </c>
      <c r="H118" s="107">
        <v>55</v>
      </c>
      <c r="I118" s="108">
        <f t="shared" si="17"/>
        <v>1612.6</v>
      </c>
      <c r="J118" s="109"/>
      <c r="K118" s="99">
        <v>25</v>
      </c>
      <c r="L118" s="110">
        <f t="shared" si="18"/>
        <v>733</v>
      </c>
    </row>
    <row r="119" spans="1:13" s="111" customFormat="1" ht="30" customHeight="1">
      <c r="A119" s="139">
        <f t="shared" si="19"/>
        <v>99</v>
      </c>
      <c r="B119" s="104">
        <v>46060</v>
      </c>
      <c r="C119" s="112">
        <v>1383434</v>
      </c>
      <c r="D119" s="112" t="s">
        <v>136</v>
      </c>
      <c r="E119" s="114">
        <v>31.18</v>
      </c>
      <c r="F119" s="103" t="s">
        <v>36</v>
      </c>
      <c r="G119" s="106" t="s">
        <v>37</v>
      </c>
      <c r="H119" s="107">
        <v>55</v>
      </c>
      <c r="I119" s="108">
        <f t="shared" si="17"/>
        <v>1714.9</v>
      </c>
      <c r="J119" s="109"/>
      <c r="K119" s="99">
        <v>25</v>
      </c>
      <c r="L119" s="110">
        <f t="shared" si="18"/>
        <v>779.5</v>
      </c>
    </row>
    <row r="120" spans="1:13" s="111" customFormat="1" ht="30" customHeight="1">
      <c r="A120" s="139">
        <f t="shared" si="19"/>
        <v>100</v>
      </c>
      <c r="B120" s="104">
        <v>46060</v>
      </c>
      <c r="C120" s="112">
        <v>1383435</v>
      </c>
      <c r="D120" s="112" t="s">
        <v>137</v>
      </c>
      <c r="E120" s="114">
        <v>31.88</v>
      </c>
      <c r="F120" s="103" t="s">
        <v>36</v>
      </c>
      <c r="G120" s="106" t="s">
        <v>37</v>
      </c>
      <c r="H120" s="107">
        <v>55</v>
      </c>
      <c r="I120" s="108">
        <f t="shared" si="17"/>
        <v>1753.3999999999999</v>
      </c>
      <c r="J120" s="109"/>
      <c r="K120" s="99">
        <v>25</v>
      </c>
      <c r="L120" s="110">
        <f t="shared" si="18"/>
        <v>797</v>
      </c>
    </row>
    <row r="121" spans="1:13" s="111" customFormat="1" ht="30" customHeight="1">
      <c r="A121" s="139">
        <f t="shared" si="19"/>
        <v>101</v>
      </c>
      <c r="B121" s="104">
        <v>46060</v>
      </c>
      <c r="C121" s="112">
        <v>1383436</v>
      </c>
      <c r="D121" s="112" t="s">
        <v>138</v>
      </c>
      <c r="E121" s="114">
        <v>31.94</v>
      </c>
      <c r="F121" s="103" t="s">
        <v>36</v>
      </c>
      <c r="G121" s="106" t="s">
        <v>37</v>
      </c>
      <c r="H121" s="107">
        <v>55</v>
      </c>
      <c r="I121" s="108">
        <f t="shared" si="17"/>
        <v>1756.7</v>
      </c>
      <c r="J121" s="109"/>
      <c r="K121" s="99">
        <v>25</v>
      </c>
      <c r="L121" s="110">
        <f t="shared" si="18"/>
        <v>798.5</v>
      </c>
    </row>
    <row r="122" spans="1:13" s="111" customFormat="1" ht="30" customHeight="1">
      <c r="A122" s="139">
        <f t="shared" si="19"/>
        <v>102</v>
      </c>
      <c r="B122" s="104">
        <v>46060</v>
      </c>
      <c r="C122" s="112">
        <v>1383437</v>
      </c>
      <c r="D122" s="112" t="s">
        <v>139</v>
      </c>
      <c r="E122" s="114">
        <v>31.28</v>
      </c>
      <c r="F122" s="103" t="s">
        <v>36</v>
      </c>
      <c r="G122" s="106" t="s">
        <v>37</v>
      </c>
      <c r="H122" s="107">
        <v>55</v>
      </c>
      <c r="I122" s="108">
        <f t="shared" si="17"/>
        <v>1720.4</v>
      </c>
      <c r="J122" s="109"/>
      <c r="K122" s="99">
        <v>25</v>
      </c>
      <c r="L122" s="110">
        <f t="shared" si="18"/>
        <v>782</v>
      </c>
    </row>
    <row r="123" spans="1:13" s="111" customFormat="1" ht="30" customHeight="1" thickBot="1">
      <c r="A123" s="159">
        <f t="shared" si="19"/>
        <v>103</v>
      </c>
      <c r="B123" s="160">
        <v>46060</v>
      </c>
      <c r="C123" s="115">
        <v>1383438</v>
      </c>
      <c r="D123" s="161" t="s">
        <v>140</v>
      </c>
      <c r="E123" s="162">
        <v>29.72</v>
      </c>
      <c r="F123" s="161" t="s">
        <v>36</v>
      </c>
      <c r="G123" s="163" t="s">
        <v>37</v>
      </c>
      <c r="H123" s="164">
        <v>55</v>
      </c>
      <c r="I123" s="165">
        <f t="shared" si="17"/>
        <v>1634.6</v>
      </c>
      <c r="J123" s="166"/>
      <c r="K123" s="102">
        <v>25</v>
      </c>
      <c r="L123" s="167">
        <f t="shared" si="18"/>
        <v>743</v>
      </c>
    </row>
    <row r="124" spans="1:13" s="111" customFormat="1" ht="30" customHeight="1" thickBot="1">
      <c r="A124" s="117"/>
      <c r="B124" s="118"/>
      <c r="C124" s="118"/>
      <c r="D124" s="118"/>
      <c r="E124" s="119">
        <f>SUM(E107:E123)</f>
        <v>511.18000000000006</v>
      </c>
      <c r="F124" s="118"/>
      <c r="G124" s="118"/>
      <c r="H124" s="118"/>
      <c r="I124" s="120">
        <f>SUM(I107:I123)</f>
        <v>28114.9</v>
      </c>
      <c r="J124" s="121"/>
      <c r="K124" s="122"/>
      <c r="L124" s="123">
        <f>SUM(L107:L123)</f>
        <v>12779.5</v>
      </c>
    </row>
    <row r="125" spans="1:13" s="111" customFormat="1" ht="30" customHeight="1">
      <c r="A125" s="103">
        <v>104</v>
      </c>
      <c r="B125" s="104">
        <v>46060</v>
      </c>
      <c r="C125" s="103">
        <v>1383439</v>
      </c>
      <c r="D125" s="103" t="s">
        <v>141</v>
      </c>
      <c r="E125" s="105">
        <v>31.74</v>
      </c>
      <c r="F125" s="103" t="s">
        <v>36</v>
      </c>
      <c r="G125" s="106" t="s">
        <v>37</v>
      </c>
      <c r="H125" s="107">
        <v>55</v>
      </c>
      <c r="I125" s="108">
        <f t="shared" ref="I125:I138" si="20">E125*H125</f>
        <v>1745.6999999999998</v>
      </c>
      <c r="J125" s="109"/>
      <c r="K125" s="99">
        <v>25</v>
      </c>
      <c r="L125" s="110">
        <f t="shared" ref="L125:L138" si="21">E125*K125</f>
        <v>793.5</v>
      </c>
      <c r="M125" s="111">
        <v>67</v>
      </c>
    </row>
    <row r="126" spans="1:13" s="111" customFormat="1" ht="30" customHeight="1">
      <c r="A126" s="112">
        <f>A125+1</f>
        <v>105</v>
      </c>
      <c r="B126" s="104">
        <v>46060</v>
      </c>
      <c r="C126" s="103">
        <v>1383440</v>
      </c>
      <c r="D126" s="112" t="s">
        <v>142</v>
      </c>
      <c r="E126" s="114">
        <v>26.18</v>
      </c>
      <c r="F126" s="103" t="s">
        <v>36</v>
      </c>
      <c r="G126" s="106" t="s">
        <v>37</v>
      </c>
      <c r="H126" s="107">
        <v>55</v>
      </c>
      <c r="I126" s="108">
        <f t="shared" si="20"/>
        <v>1439.9</v>
      </c>
      <c r="J126" s="109"/>
      <c r="K126" s="99">
        <v>25</v>
      </c>
      <c r="L126" s="110">
        <f t="shared" si="21"/>
        <v>654.5</v>
      </c>
    </row>
    <row r="127" spans="1:13" s="111" customFormat="1" ht="30" customHeight="1">
      <c r="A127" s="112">
        <f t="shared" ref="A127:A138" si="22">A126+1</f>
        <v>106</v>
      </c>
      <c r="B127" s="104">
        <v>46060</v>
      </c>
      <c r="C127" s="103">
        <v>1383441</v>
      </c>
      <c r="D127" s="112" t="s">
        <v>143</v>
      </c>
      <c r="E127" s="114">
        <v>32.54</v>
      </c>
      <c r="F127" s="103" t="s">
        <v>36</v>
      </c>
      <c r="G127" s="106" t="s">
        <v>37</v>
      </c>
      <c r="H127" s="107">
        <v>55</v>
      </c>
      <c r="I127" s="108">
        <f t="shared" si="20"/>
        <v>1789.7</v>
      </c>
      <c r="J127" s="109"/>
      <c r="K127" s="99">
        <v>25</v>
      </c>
      <c r="L127" s="110">
        <f t="shared" si="21"/>
        <v>813.5</v>
      </c>
    </row>
    <row r="128" spans="1:13" s="111" customFormat="1" ht="30" customHeight="1">
      <c r="A128" s="112">
        <f t="shared" si="22"/>
        <v>107</v>
      </c>
      <c r="B128" s="104">
        <v>46060</v>
      </c>
      <c r="C128" s="112">
        <v>1383442</v>
      </c>
      <c r="D128" s="112" t="s">
        <v>144</v>
      </c>
      <c r="E128" s="114">
        <v>31.14</v>
      </c>
      <c r="F128" s="103" t="s">
        <v>36</v>
      </c>
      <c r="G128" s="106" t="s">
        <v>37</v>
      </c>
      <c r="H128" s="107">
        <v>55</v>
      </c>
      <c r="I128" s="108">
        <f t="shared" si="20"/>
        <v>1712.7</v>
      </c>
      <c r="J128" s="109"/>
      <c r="K128" s="99">
        <v>25</v>
      </c>
      <c r="L128" s="110">
        <f t="shared" si="21"/>
        <v>778.5</v>
      </c>
    </row>
    <row r="129" spans="1:13" s="111" customFormat="1" ht="30" customHeight="1">
      <c r="A129" s="112">
        <f t="shared" si="22"/>
        <v>108</v>
      </c>
      <c r="B129" s="104">
        <v>46060</v>
      </c>
      <c r="C129" s="112">
        <v>1383443</v>
      </c>
      <c r="D129" s="112" t="s">
        <v>145</v>
      </c>
      <c r="E129" s="114">
        <v>31.9</v>
      </c>
      <c r="F129" s="103" t="s">
        <v>36</v>
      </c>
      <c r="G129" s="106" t="s">
        <v>37</v>
      </c>
      <c r="H129" s="107">
        <v>55</v>
      </c>
      <c r="I129" s="108">
        <f t="shared" si="20"/>
        <v>1754.5</v>
      </c>
      <c r="J129" s="109"/>
      <c r="K129" s="99">
        <v>25</v>
      </c>
      <c r="L129" s="110">
        <f t="shared" si="21"/>
        <v>797.5</v>
      </c>
    </row>
    <row r="130" spans="1:13" s="111" customFormat="1" ht="30" customHeight="1">
      <c r="A130" s="112">
        <f t="shared" si="22"/>
        <v>109</v>
      </c>
      <c r="B130" s="104">
        <v>46060</v>
      </c>
      <c r="C130" s="112">
        <v>1383444</v>
      </c>
      <c r="D130" s="112" t="s">
        <v>146</v>
      </c>
      <c r="E130" s="114">
        <v>31.64</v>
      </c>
      <c r="F130" s="103" t="s">
        <v>36</v>
      </c>
      <c r="G130" s="106" t="s">
        <v>37</v>
      </c>
      <c r="H130" s="107">
        <v>55</v>
      </c>
      <c r="I130" s="108">
        <f t="shared" si="20"/>
        <v>1740.2</v>
      </c>
      <c r="J130" s="109"/>
      <c r="K130" s="99">
        <v>25</v>
      </c>
      <c r="L130" s="110">
        <f t="shared" si="21"/>
        <v>791</v>
      </c>
    </row>
    <row r="131" spans="1:13" s="111" customFormat="1" ht="30" customHeight="1">
      <c r="A131" s="112">
        <f t="shared" si="22"/>
        <v>110</v>
      </c>
      <c r="B131" s="104">
        <v>46060</v>
      </c>
      <c r="C131" s="112">
        <v>1383445</v>
      </c>
      <c r="D131" s="112" t="s">
        <v>147</v>
      </c>
      <c r="E131" s="114">
        <v>32.86</v>
      </c>
      <c r="F131" s="103" t="s">
        <v>36</v>
      </c>
      <c r="G131" s="106" t="s">
        <v>37</v>
      </c>
      <c r="H131" s="107">
        <v>55</v>
      </c>
      <c r="I131" s="108">
        <f t="shared" si="20"/>
        <v>1807.3</v>
      </c>
      <c r="J131" s="109"/>
      <c r="K131" s="99">
        <v>25</v>
      </c>
      <c r="L131" s="110">
        <f t="shared" si="21"/>
        <v>821.5</v>
      </c>
    </row>
    <row r="132" spans="1:13" s="111" customFormat="1" ht="30" customHeight="1">
      <c r="A132" s="112">
        <f t="shared" si="22"/>
        <v>111</v>
      </c>
      <c r="B132" s="104">
        <v>46060</v>
      </c>
      <c r="C132" s="112">
        <v>1383446</v>
      </c>
      <c r="D132" s="112" t="s">
        <v>148</v>
      </c>
      <c r="E132" s="114">
        <v>28.24</v>
      </c>
      <c r="F132" s="103" t="s">
        <v>36</v>
      </c>
      <c r="G132" s="106" t="s">
        <v>37</v>
      </c>
      <c r="H132" s="107">
        <v>55</v>
      </c>
      <c r="I132" s="108">
        <f t="shared" si="20"/>
        <v>1553.1999999999998</v>
      </c>
      <c r="J132" s="109"/>
      <c r="K132" s="99">
        <v>25</v>
      </c>
      <c r="L132" s="110">
        <f t="shared" si="21"/>
        <v>706</v>
      </c>
    </row>
    <row r="133" spans="1:13" s="111" customFormat="1" ht="30" customHeight="1">
      <c r="A133" s="112">
        <f t="shared" si="22"/>
        <v>112</v>
      </c>
      <c r="B133" s="104">
        <v>46060</v>
      </c>
      <c r="C133" s="112">
        <v>1383447</v>
      </c>
      <c r="D133" s="112" t="s">
        <v>149</v>
      </c>
      <c r="E133" s="114">
        <v>30.08</v>
      </c>
      <c r="F133" s="103" t="s">
        <v>36</v>
      </c>
      <c r="G133" s="106" t="s">
        <v>37</v>
      </c>
      <c r="H133" s="107">
        <v>55</v>
      </c>
      <c r="I133" s="108">
        <f t="shared" si="20"/>
        <v>1654.3999999999999</v>
      </c>
      <c r="J133" s="109"/>
      <c r="K133" s="99">
        <v>25</v>
      </c>
      <c r="L133" s="110">
        <f t="shared" si="21"/>
        <v>752</v>
      </c>
    </row>
    <row r="134" spans="1:13" s="111" customFormat="1" ht="30" customHeight="1">
      <c r="A134" s="112">
        <f t="shared" si="22"/>
        <v>113</v>
      </c>
      <c r="B134" s="104">
        <v>46060</v>
      </c>
      <c r="C134" s="112">
        <v>1383448</v>
      </c>
      <c r="D134" s="112" t="s">
        <v>150</v>
      </c>
      <c r="E134" s="114">
        <v>29.34</v>
      </c>
      <c r="F134" s="103" t="s">
        <v>36</v>
      </c>
      <c r="G134" s="106" t="s">
        <v>37</v>
      </c>
      <c r="H134" s="107">
        <v>55</v>
      </c>
      <c r="I134" s="108">
        <f t="shared" si="20"/>
        <v>1613.7</v>
      </c>
      <c r="J134" s="109"/>
      <c r="K134" s="99">
        <v>25</v>
      </c>
      <c r="L134" s="110">
        <f t="shared" si="21"/>
        <v>733.5</v>
      </c>
    </row>
    <row r="135" spans="1:13" s="111" customFormat="1" ht="30" customHeight="1">
      <c r="A135" s="112">
        <f t="shared" si="22"/>
        <v>114</v>
      </c>
      <c r="B135" s="104">
        <v>46060</v>
      </c>
      <c r="C135" s="112">
        <v>1383449</v>
      </c>
      <c r="D135" s="112" t="s">
        <v>151</v>
      </c>
      <c r="E135" s="114">
        <v>29.8</v>
      </c>
      <c r="F135" s="103" t="s">
        <v>36</v>
      </c>
      <c r="G135" s="106" t="s">
        <v>37</v>
      </c>
      <c r="H135" s="107">
        <v>55</v>
      </c>
      <c r="I135" s="108">
        <f t="shared" si="20"/>
        <v>1639</v>
      </c>
      <c r="J135" s="109"/>
      <c r="K135" s="99">
        <v>25</v>
      </c>
      <c r="L135" s="110">
        <f t="shared" si="21"/>
        <v>745</v>
      </c>
    </row>
    <row r="136" spans="1:13" s="111" customFormat="1" ht="30" customHeight="1">
      <c r="A136" s="112">
        <f t="shared" si="22"/>
        <v>115</v>
      </c>
      <c r="B136" s="104">
        <v>46060</v>
      </c>
      <c r="C136" s="112">
        <v>1383450</v>
      </c>
      <c r="D136" s="112" t="s">
        <v>152</v>
      </c>
      <c r="E136" s="114">
        <v>30.9</v>
      </c>
      <c r="F136" s="103" t="s">
        <v>36</v>
      </c>
      <c r="G136" s="106" t="s">
        <v>37</v>
      </c>
      <c r="H136" s="107">
        <v>55</v>
      </c>
      <c r="I136" s="108">
        <f t="shared" si="20"/>
        <v>1699.5</v>
      </c>
      <c r="J136" s="109"/>
      <c r="K136" s="99">
        <v>25</v>
      </c>
      <c r="L136" s="110">
        <f t="shared" si="21"/>
        <v>772.5</v>
      </c>
    </row>
    <row r="137" spans="1:13" s="111" customFormat="1" ht="30" customHeight="1">
      <c r="A137" s="112">
        <f t="shared" si="22"/>
        <v>116</v>
      </c>
      <c r="B137" s="104">
        <v>46060</v>
      </c>
      <c r="C137" s="112">
        <v>1383451</v>
      </c>
      <c r="D137" s="112" t="s">
        <v>153</v>
      </c>
      <c r="E137" s="114">
        <v>30.36</v>
      </c>
      <c r="F137" s="103" t="s">
        <v>36</v>
      </c>
      <c r="G137" s="106" t="s">
        <v>37</v>
      </c>
      <c r="H137" s="107">
        <v>55</v>
      </c>
      <c r="I137" s="108">
        <f t="shared" si="20"/>
        <v>1669.8</v>
      </c>
      <c r="J137" s="109"/>
      <c r="K137" s="99">
        <v>25</v>
      </c>
      <c r="L137" s="110">
        <f t="shared" si="21"/>
        <v>759</v>
      </c>
    </row>
    <row r="138" spans="1:13" s="111" customFormat="1" ht="30" customHeight="1" thickBot="1">
      <c r="A138" s="115">
        <f t="shared" si="22"/>
        <v>117</v>
      </c>
      <c r="B138" s="160">
        <v>46060</v>
      </c>
      <c r="C138" s="115">
        <v>1383452</v>
      </c>
      <c r="D138" s="115" t="s">
        <v>154</v>
      </c>
      <c r="E138" s="116">
        <v>30.56</v>
      </c>
      <c r="F138" s="161" t="s">
        <v>36</v>
      </c>
      <c r="G138" s="163" t="s">
        <v>37</v>
      </c>
      <c r="H138" s="164">
        <v>55</v>
      </c>
      <c r="I138" s="165">
        <f t="shared" si="20"/>
        <v>1680.8</v>
      </c>
      <c r="J138" s="166"/>
      <c r="K138" s="102">
        <v>25</v>
      </c>
      <c r="L138" s="167">
        <f t="shared" si="21"/>
        <v>764</v>
      </c>
    </row>
    <row r="139" spans="1:13" s="111" customFormat="1" ht="30" customHeight="1" thickBot="1">
      <c r="A139" s="117"/>
      <c r="B139" s="118"/>
      <c r="C139" s="118"/>
      <c r="D139" s="118"/>
      <c r="E139" s="119">
        <f>SUM(E125:E138)</f>
        <v>427.28</v>
      </c>
      <c r="F139" s="118"/>
      <c r="G139" s="118"/>
      <c r="H139" s="118"/>
      <c r="I139" s="120">
        <f>SUM(I125:I138)</f>
        <v>23500.399999999998</v>
      </c>
      <c r="J139" s="121"/>
      <c r="K139" s="122"/>
      <c r="L139" s="123">
        <f>SUM(L125:L138)</f>
        <v>10682</v>
      </c>
    </row>
    <row r="140" spans="1:13" s="111" customFormat="1" ht="30" customHeight="1">
      <c r="A140" s="112">
        <v>118</v>
      </c>
      <c r="B140" s="113">
        <v>46061</v>
      </c>
      <c r="C140" s="112">
        <v>1383453</v>
      </c>
      <c r="D140" s="112" t="s">
        <v>155</v>
      </c>
      <c r="E140" s="114">
        <v>27.96</v>
      </c>
      <c r="F140" s="103" t="s">
        <v>36</v>
      </c>
      <c r="G140" s="106" t="s">
        <v>37</v>
      </c>
      <c r="H140" s="107">
        <v>55</v>
      </c>
      <c r="I140" s="108">
        <f t="shared" ref="I140:I148" si="23">E140*H140</f>
        <v>1537.8</v>
      </c>
      <c r="J140" s="109"/>
      <c r="K140" s="99">
        <v>25</v>
      </c>
      <c r="L140" s="110">
        <f t="shared" ref="L140:L148" si="24">E140*K140</f>
        <v>699</v>
      </c>
      <c r="M140" s="111">
        <v>68</v>
      </c>
    </row>
    <row r="141" spans="1:13" s="111" customFormat="1" ht="30" customHeight="1">
      <c r="A141" s="112">
        <f>A140+1</f>
        <v>119</v>
      </c>
      <c r="B141" s="113">
        <v>46061</v>
      </c>
      <c r="C141" s="112">
        <v>1383454</v>
      </c>
      <c r="D141" s="112" t="s">
        <v>156</v>
      </c>
      <c r="E141" s="114">
        <v>31.8</v>
      </c>
      <c r="F141" s="103" t="s">
        <v>36</v>
      </c>
      <c r="G141" s="106" t="s">
        <v>37</v>
      </c>
      <c r="H141" s="107">
        <v>55</v>
      </c>
      <c r="I141" s="108">
        <f t="shared" si="23"/>
        <v>1749</v>
      </c>
      <c r="J141" s="109"/>
      <c r="K141" s="99">
        <v>25</v>
      </c>
      <c r="L141" s="110">
        <f t="shared" si="24"/>
        <v>795</v>
      </c>
    </row>
    <row r="142" spans="1:13" s="111" customFormat="1" ht="30" customHeight="1">
      <c r="A142" s="112">
        <f t="shared" ref="A142:A148" si="25">A141+1</f>
        <v>120</v>
      </c>
      <c r="B142" s="113">
        <v>46061</v>
      </c>
      <c r="C142" s="112">
        <v>1383455</v>
      </c>
      <c r="D142" s="112" t="s">
        <v>157</v>
      </c>
      <c r="E142" s="114">
        <v>31.98</v>
      </c>
      <c r="F142" s="103" t="s">
        <v>36</v>
      </c>
      <c r="G142" s="106" t="s">
        <v>37</v>
      </c>
      <c r="H142" s="107">
        <v>55</v>
      </c>
      <c r="I142" s="108">
        <f t="shared" si="23"/>
        <v>1758.9</v>
      </c>
      <c r="J142" s="109"/>
      <c r="K142" s="99">
        <v>25</v>
      </c>
      <c r="L142" s="110">
        <f t="shared" si="24"/>
        <v>799.5</v>
      </c>
    </row>
    <row r="143" spans="1:13" s="111" customFormat="1" ht="30" customHeight="1">
      <c r="A143" s="112">
        <f t="shared" si="25"/>
        <v>121</v>
      </c>
      <c r="B143" s="113">
        <v>46061</v>
      </c>
      <c r="C143" s="112">
        <v>1383456</v>
      </c>
      <c r="D143" s="112" t="s">
        <v>158</v>
      </c>
      <c r="E143" s="114">
        <v>33.46</v>
      </c>
      <c r="F143" s="103" t="s">
        <v>36</v>
      </c>
      <c r="G143" s="106" t="s">
        <v>37</v>
      </c>
      <c r="H143" s="107">
        <v>55</v>
      </c>
      <c r="I143" s="108">
        <f t="shared" si="23"/>
        <v>1840.3</v>
      </c>
      <c r="J143" s="109"/>
      <c r="K143" s="99">
        <v>25</v>
      </c>
      <c r="L143" s="110">
        <f t="shared" si="24"/>
        <v>836.5</v>
      </c>
    </row>
    <row r="144" spans="1:13" s="111" customFormat="1" ht="30" customHeight="1">
      <c r="A144" s="112">
        <f t="shared" si="25"/>
        <v>122</v>
      </c>
      <c r="B144" s="113">
        <v>46061</v>
      </c>
      <c r="C144" s="112">
        <v>1383457</v>
      </c>
      <c r="D144" s="112" t="s">
        <v>159</v>
      </c>
      <c r="E144" s="114">
        <v>32.479999999999997</v>
      </c>
      <c r="F144" s="103" t="s">
        <v>36</v>
      </c>
      <c r="G144" s="106" t="s">
        <v>37</v>
      </c>
      <c r="H144" s="107">
        <v>55</v>
      </c>
      <c r="I144" s="108">
        <f t="shared" si="23"/>
        <v>1786.3999999999999</v>
      </c>
      <c r="J144" s="109"/>
      <c r="K144" s="99">
        <v>25</v>
      </c>
      <c r="L144" s="110">
        <f t="shared" si="24"/>
        <v>811.99999999999989</v>
      </c>
    </row>
    <row r="145" spans="1:12" s="111" customFormat="1" ht="30" customHeight="1">
      <c r="A145" s="112">
        <f t="shared" si="25"/>
        <v>123</v>
      </c>
      <c r="B145" s="113">
        <v>46061</v>
      </c>
      <c r="C145" s="112">
        <v>1383458</v>
      </c>
      <c r="D145" s="112" t="s">
        <v>160</v>
      </c>
      <c r="E145" s="114">
        <v>30.48</v>
      </c>
      <c r="F145" s="103" t="s">
        <v>36</v>
      </c>
      <c r="G145" s="106" t="s">
        <v>37</v>
      </c>
      <c r="H145" s="107">
        <v>55</v>
      </c>
      <c r="I145" s="108">
        <f t="shared" si="23"/>
        <v>1676.4</v>
      </c>
      <c r="J145" s="109"/>
      <c r="K145" s="99">
        <v>25</v>
      </c>
      <c r="L145" s="110">
        <f t="shared" si="24"/>
        <v>762</v>
      </c>
    </row>
    <row r="146" spans="1:12" s="111" customFormat="1" ht="30" customHeight="1">
      <c r="A146" s="112">
        <f t="shared" si="25"/>
        <v>124</v>
      </c>
      <c r="B146" s="113">
        <v>46061</v>
      </c>
      <c r="C146" s="112">
        <v>1383459</v>
      </c>
      <c r="D146" s="112" t="s">
        <v>161</v>
      </c>
      <c r="E146" s="114">
        <v>30.28</v>
      </c>
      <c r="F146" s="103" t="s">
        <v>36</v>
      </c>
      <c r="G146" s="106" t="s">
        <v>37</v>
      </c>
      <c r="H146" s="107">
        <v>55</v>
      </c>
      <c r="I146" s="108">
        <f t="shared" si="23"/>
        <v>1665.4</v>
      </c>
      <c r="J146" s="109"/>
      <c r="K146" s="99">
        <v>25</v>
      </c>
      <c r="L146" s="110">
        <f t="shared" si="24"/>
        <v>757</v>
      </c>
    </row>
    <row r="147" spans="1:12" s="111" customFormat="1" ht="30" customHeight="1">
      <c r="A147" s="112">
        <f t="shared" si="25"/>
        <v>125</v>
      </c>
      <c r="B147" s="113">
        <v>46061</v>
      </c>
      <c r="C147" s="115">
        <v>1383460</v>
      </c>
      <c r="D147" s="112" t="s">
        <v>162</v>
      </c>
      <c r="E147" s="114">
        <v>32.4</v>
      </c>
      <c r="F147" s="103" t="s">
        <v>36</v>
      </c>
      <c r="G147" s="106" t="s">
        <v>37</v>
      </c>
      <c r="H147" s="107">
        <v>55</v>
      </c>
      <c r="I147" s="108">
        <f t="shared" si="23"/>
        <v>1782</v>
      </c>
      <c r="J147" s="109"/>
      <c r="K147" s="99">
        <v>25</v>
      </c>
      <c r="L147" s="110">
        <f t="shared" si="24"/>
        <v>810</v>
      </c>
    </row>
    <row r="148" spans="1:12" s="111" customFormat="1" ht="30" customHeight="1" thickBot="1">
      <c r="A148" s="112">
        <f t="shared" si="25"/>
        <v>126</v>
      </c>
      <c r="B148" s="113">
        <v>46061</v>
      </c>
      <c r="C148" s="115">
        <v>1383461</v>
      </c>
      <c r="D148" s="115" t="s">
        <v>163</v>
      </c>
      <c r="E148" s="116">
        <v>25.78</v>
      </c>
      <c r="F148" s="103" t="s">
        <v>36</v>
      </c>
      <c r="G148" s="106" t="s">
        <v>37</v>
      </c>
      <c r="H148" s="107">
        <v>55</v>
      </c>
      <c r="I148" s="108">
        <f t="shared" si="23"/>
        <v>1417.9</v>
      </c>
      <c r="J148" s="109"/>
      <c r="K148" s="99">
        <v>25</v>
      </c>
      <c r="L148" s="110">
        <f t="shared" si="24"/>
        <v>644.5</v>
      </c>
    </row>
    <row r="149" spans="1:12" s="111" customFormat="1" ht="30" customHeight="1" thickBot="1">
      <c r="A149" s="117"/>
      <c r="B149" s="118"/>
      <c r="C149" s="118"/>
      <c r="D149" s="118"/>
      <c r="E149" s="119">
        <f>SUM(E140:E148)</f>
        <v>276.62</v>
      </c>
      <c r="F149" s="118"/>
      <c r="G149" s="118"/>
      <c r="H149" s="118"/>
      <c r="I149" s="120">
        <f>SUM(I140:I148)</f>
        <v>15214.1</v>
      </c>
      <c r="J149" s="121"/>
      <c r="K149" s="122"/>
      <c r="L149" s="123">
        <f>SUM(L140:L148)</f>
        <v>6915.5</v>
      </c>
    </row>
    <row r="150" spans="1:12" s="111" customFormat="1" ht="30" customHeight="1" thickBot="1">
      <c r="A150" s="168"/>
      <c r="B150" s="169"/>
      <c r="C150" s="169"/>
      <c r="D150" s="169"/>
      <c r="E150" s="170">
        <f>E34+E48+E65+E80+E103+E106+E124+E139+E149</f>
        <v>3882.4399999999996</v>
      </c>
      <c r="F150" s="169"/>
      <c r="G150" s="169"/>
      <c r="H150" s="169"/>
      <c r="I150" s="171">
        <f>I34+I48+I65+I80+I103+I106+I124+I139+I149</f>
        <v>214134.39999999999</v>
      </c>
      <c r="J150" s="172"/>
      <c r="K150" s="173"/>
      <c r="L150" s="174">
        <f>L34+L48+L65+L80+L103+L106+L124+L139+L149</f>
        <v>97061</v>
      </c>
    </row>
  </sheetData>
  <autoFilter ref="A2:XEH24"/>
  <mergeCells count="33">
    <mergeCell ref="A7:B7"/>
    <mergeCell ref="C7:D7"/>
    <mergeCell ref="A8:B8"/>
    <mergeCell ref="C8:D8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9:B9"/>
    <mergeCell ref="C9:D9"/>
    <mergeCell ref="A10:B10"/>
    <mergeCell ref="C10:D10"/>
    <mergeCell ref="A11:B11"/>
    <mergeCell ref="C11:D11"/>
    <mergeCell ref="A13:A14"/>
    <mergeCell ref="B13:B14"/>
    <mergeCell ref="C13:C14"/>
    <mergeCell ref="D13:D14"/>
    <mergeCell ref="E13:E14"/>
    <mergeCell ref="K13:K14"/>
    <mergeCell ref="L13:L14"/>
    <mergeCell ref="F13:F14"/>
    <mergeCell ref="G13:G14"/>
    <mergeCell ref="H13:H14"/>
    <mergeCell ref="I13:I14"/>
    <mergeCell ref="J13:J14"/>
  </mergeCells>
  <conditionalFormatting sqref="D25:D1048576 D2 A1">
    <cfRule type="duplicateValues" dxfId="26" priority="3"/>
  </conditionalFormatting>
  <conditionalFormatting sqref="D3:D6 C2:C1048576">
    <cfRule type="duplicateValues" dxfId="25" priority="162"/>
  </conditionalFormatting>
  <conditionalFormatting sqref="D3:D6 C2:C1048576">
    <cfRule type="duplicateValues" dxfId="24" priority="167"/>
    <cfRule type="duplicateValues" dxfId="23" priority="168"/>
  </conditionalFormatting>
  <conditionalFormatting sqref="K1:K1048576 D1:D1048576">
    <cfRule type="duplicateValues" dxfId="22" priority="1"/>
    <cfRule type="duplicateValues" dxfId="21" priority="2"/>
  </conditionalFormatting>
  <conditionalFormatting sqref="D7:D24">
    <cfRule type="duplicateValues" dxfId="20" priority="171"/>
  </conditionalFormatting>
  <conditionalFormatting sqref="D7:D24">
    <cfRule type="duplicateValues" dxfId="19" priority="173"/>
    <cfRule type="duplicateValues" dxfId="18" priority="174"/>
  </conditionalFormatting>
  <pageMargins left="0.7" right="0.7" top="0.75" bottom="0.75" header="0.3" footer="0.3"/>
  <pageSetup paperSize="9" scale="9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9"/>
  <sheetViews>
    <sheetView rightToLeft="1" topLeftCell="A113" zoomScale="80" zoomScaleNormal="80" workbookViewId="0">
      <selection activeCell="P130" sqref="P130"/>
    </sheetView>
  </sheetViews>
  <sheetFormatPr defaultColWidth="9.109375" defaultRowHeight="13.8"/>
  <cols>
    <col min="1" max="3" width="9.33203125" style="95" bestFit="1" customWidth="1"/>
    <col min="4" max="4" width="23" style="95" customWidth="1"/>
    <col min="5" max="5" width="17.44140625" style="95" customWidth="1"/>
    <col min="6" max="6" width="21.6640625" style="95" customWidth="1"/>
    <col min="7" max="7" width="12.5546875" style="95" customWidth="1"/>
    <col min="8" max="8" width="13" style="95" customWidth="1"/>
    <col min="9" max="9" width="17.21875" style="95" bestFit="1" customWidth="1"/>
    <col min="10" max="13" width="13.6640625" style="95" customWidth="1"/>
    <col min="14" max="14" width="13.77734375" style="187" customWidth="1"/>
    <col min="15" max="15" width="0.44140625" style="95" customWidth="1"/>
    <col min="16" max="16" width="14.77734375" style="95" customWidth="1"/>
    <col min="17" max="17" width="9.33203125" style="95" bestFit="1" customWidth="1"/>
    <col min="18" max="18" width="19.109375" style="95" customWidth="1"/>
    <col min="19" max="16384" width="9.109375" style="95"/>
  </cols>
  <sheetData>
    <row r="1" spans="1:16" ht="47.4" customHeight="1" thickBot="1">
      <c r="A1" s="342" t="s">
        <v>178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</row>
    <row r="2" spans="1:16" ht="30" customHeight="1" thickBot="1">
      <c r="A2" s="189" t="s">
        <v>28</v>
      </c>
      <c r="B2" s="179" t="s">
        <v>164</v>
      </c>
      <c r="C2" s="190" t="s">
        <v>165</v>
      </c>
      <c r="D2" s="179" t="s">
        <v>166</v>
      </c>
      <c r="E2" s="180" t="s">
        <v>167</v>
      </c>
      <c r="F2" s="181" t="s">
        <v>168</v>
      </c>
      <c r="G2" s="182" t="s">
        <v>169</v>
      </c>
      <c r="H2" s="183" t="s">
        <v>177</v>
      </c>
      <c r="I2" s="184" t="s">
        <v>170</v>
      </c>
      <c r="J2" s="185" t="s">
        <v>171</v>
      </c>
      <c r="K2" s="186" t="s">
        <v>172</v>
      </c>
      <c r="L2" s="186" t="s">
        <v>174</v>
      </c>
      <c r="M2" s="186" t="s">
        <v>175</v>
      </c>
      <c r="N2" s="188" t="s">
        <v>173</v>
      </c>
      <c r="O2" s="186"/>
      <c r="P2" s="183" t="s">
        <v>176</v>
      </c>
    </row>
    <row r="3" spans="1:16" s="111" customFormat="1" ht="30" customHeight="1">
      <c r="A3" s="130">
        <v>1</v>
      </c>
      <c r="B3" s="131">
        <v>46056</v>
      </c>
      <c r="C3" s="132">
        <v>1384893</v>
      </c>
      <c r="D3" s="132" t="s">
        <v>35</v>
      </c>
      <c r="E3" s="133">
        <v>28.64</v>
      </c>
      <c r="F3" s="132" t="s">
        <v>36</v>
      </c>
      <c r="G3" s="135">
        <v>55</v>
      </c>
      <c r="H3" s="135">
        <f t="shared" ref="H3:H34" si="0">E3*G3</f>
        <v>1575.2</v>
      </c>
      <c r="I3" s="133">
        <v>28.38</v>
      </c>
      <c r="J3" s="204">
        <f>E3-I3</f>
        <v>0.26000000000000156</v>
      </c>
      <c r="K3" s="205">
        <v>0.1</v>
      </c>
      <c r="L3" s="205">
        <f>J3-K3</f>
        <v>0.16000000000000156</v>
      </c>
      <c r="M3" s="206">
        <v>930</v>
      </c>
      <c r="N3" s="207">
        <f>L3*M3</f>
        <v>148.80000000000146</v>
      </c>
      <c r="O3" s="204"/>
      <c r="P3" s="138">
        <f>H3-N3</f>
        <v>1426.3999999999985</v>
      </c>
    </row>
    <row r="4" spans="1:16" s="111" customFormat="1" ht="30" customHeight="1">
      <c r="A4" s="139">
        <f>A3+1</f>
        <v>2</v>
      </c>
      <c r="B4" s="113">
        <v>46056</v>
      </c>
      <c r="C4" s="112">
        <v>1384894</v>
      </c>
      <c r="D4" s="112" t="s">
        <v>38</v>
      </c>
      <c r="E4" s="114">
        <v>30.82</v>
      </c>
      <c r="F4" s="112" t="s">
        <v>36</v>
      </c>
      <c r="G4" s="199">
        <v>55</v>
      </c>
      <c r="H4" s="199">
        <f t="shared" si="0"/>
        <v>1695.1</v>
      </c>
      <c r="I4" s="114">
        <v>30.7</v>
      </c>
      <c r="J4" s="200">
        <f t="shared" ref="J4:J67" si="1">E4-I4</f>
        <v>0.12000000000000099</v>
      </c>
      <c r="K4" s="201">
        <v>0.1</v>
      </c>
      <c r="L4" s="201">
        <f t="shared" ref="L4:L67" si="2">J4-K4</f>
        <v>2.0000000000000989E-2</v>
      </c>
      <c r="M4" s="202">
        <v>930</v>
      </c>
      <c r="N4" s="203">
        <f>L4*M4</f>
        <v>18.600000000000922</v>
      </c>
      <c r="O4" s="200"/>
      <c r="P4" s="208">
        <f t="shared" ref="P4:P67" si="3">H4-N4</f>
        <v>1676.4999999999991</v>
      </c>
    </row>
    <row r="5" spans="1:16" s="111" customFormat="1" ht="30" customHeight="1">
      <c r="A5" s="139">
        <f t="shared" ref="A5:A68" si="4">A4+1</f>
        <v>3</v>
      </c>
      <c r="B5" s="113">
        <v>46056</v>
      </c>
      <c r="C5" s="112">
        <v>1384895</v>
      </c>
      <c r="D5" s="112" t="s">
        <v>39</v>
      </c>
      <c r="E5" s="114">
        <v>31.76</v>
      </c>
      <c r="F5" s="112" t="s">
        <v>36</v>
      </c>
      <c r="G5" s="199">
        <v>55</v>
      </c>
      <c r="H5" s="199">
        <f t="shared" si="0"/>
        <v>1746.8000000000002</v>
      </c>
      <c r="I5" s="114">
        <v>31.71</v>
      </c>
      <c r="J5" s="200">
        <f t="shared" si="1"/>
        <v>5.0000000000000711E-2</v>
      </c>
      <c r="K5" s="201"/>
      <c r="L5" s="200"/>
      <c r="M5" s="200"/>
      <c r="N5" s="203"/>
      <c r="O5" s="200"/>
      <c r="P5" s="208">
        <f t="shared" si="3"/>
        <v>1746.8000000000002</v>
      </c>
    </row>
    <row r="6" spans="1:16" s="111" customFormat="1" ht="30" customHeight="1">
      <c r="A6" s="139">
        <f t="shared" si="4"/>
        <v>4</v>
      </c>
      <c r="B6" s="113">
        <v>46056</v>
      </c>
      <c r="C6" s="112">
        <v>1384896</v>
      </c>
      <c r="D6" s="112" t="s">
        <v>40</v>
      </c>
      <c r="E6" s="114">
        <v>33</v>
      </c>
      <c r="F6" s="112" t="s">
        <v>36</v>
      </c>
      <c r="G6" s="199">
        <v>55</v>
      </c>
      <c r="H6" s="199">
        <f t="shared" si="0"/>
        <v>1815</v>
      </c>
      <c r="I6" s="114">
        <v>32.979999999999997</v>
      </c>
      <c r="J6" s="200">
        <f t="shared" si="1"/>
        <v>2.0000000000003126E-2</v>
      </c>
      <c r="K6" s="201"/>
      <c r="L6" s="200"/>
      <c r="M6" s="200"/>
      <c r="N6" s="203"/>
      <c r="O6" s="200"/>
      <c r="P6" s="208">
        <f t="shared" si="3"/>
        <v>1815</v>
      </c>
    </row>
    <row r="7" spans="1:16" s="111" customFormat="1" ht="30" customHeight="1">
      <c r="A7" s="139">
        <f t="shared" si="4"/>
        <v>5</v>
      </c>
      <c r="B7" s="113">
        <v>46056</v>
      </c>
      <c r="C7" s="112">
        <v>1384897</v>
      </c>
      <c r="D7" s="112" t="s">
        <v>41</v>
      </c>
      <c r="E7" s="114">
        <v>30.22</v>
      </c>
      <c r="F7" s="112" t="s">
        <v>36</v>
      </c>
      <c r="G7" s="199">
        <v>55</v>
      </c>
      <c r="H7" s="199">
        <f t="shared" si="0"/>
        <v>1662.1</v>
      </c>
      <c r="I7" s="114">
        <v>30.11</v>
      </c>
      <c r="J7" s="200">
        <f t="shared" si="1"/>
        <v>0.10999999999999943</v>
      </c>
      <c r="K7" s="201"/>
      <c r="L7" s="200"/>
      <c r="M7" s="200"/>
      <c r="N7" s="203"/>
      <c r="O7" s="200"/>
      <c r="P7" s="208">
        <f t="shared" si="3"/>
        <v>1662.1</v>
      </c>
    </row>
    <row r="8" spans="1:16" s="111" customFormat="1" ht="30" customHeight="1">
      <c r="A8" s="139">
        <f t="shared" si="4"/>
        <v>6</v>
      </c>
      <c r="B8" s="113">
        <v>46056</v>
      </c>
      <c r="C8" s="112">
        <v>1384898</v>
      </c>
      <c r="D8" s="112" t="s">
        <v>42</v>
      </c>
      <c r="E8" s="114">
        <v>33.020000000000003</v>
      </c>
      <c r="F8" s="112" t="s">
        <v>36</v>
      </c>
      <c r="G8" s="199">
        <v>55</v>
      </c>
      <c r="H8" s="199">
        <f t="shared" si="0"/>
        <v>1816.1000000000001</v>
      </c>
      <c r="I8" s="114">
        <v>32.799999999999997</v>
      </c>
      <c r="J8" s="200">
        <f t="shared" si="1"/>
        <v>0.22000000000000597</v>
      </c>
      <c r="K8" s="201">
        <v>0.1</v>
      </c>
      <c r="L8" s="201">
        <f t="shared" si="2"/>
        <v>0.12000000000000596</v>
      </c>
      <c r="M8" s="202">
        <v>930</v>
      </c>
      <c r="N8" s="203">
        <f>L8*M8</f>
        <v>111.60000000000555</v>
      </c>
      <c r="O8" s="200"/>
      <c r="P8" s="208">
        <f t="shared" si="3"/>
        <v>1704.4999999999945</v>
      </c>
    </row>
    <row r="9" spans="1:16" s="111" customFormat="1" ht="30" customHeight="1">
      <c r="A9" s="139">
        <f t="shared" si="4"/>
        <v>7</v>
      </c>
      <c r="B9" s="113">
        <v>46056</v>
      </c>
      <c r="C9" s="112">
        <v>1384899</v>
      </c>
      <c r="D9" s="112" t="s">
        <v>43</v>
      </c>
      <c r="E9" s="114">
        <v>31.08</v>
      </c>
      <c r="F9" s="112" t="s">
        <v>36</v>
      </c>
      <c r="G9" s="199">
        <v>55</v>
      </c>
      <c r="H9" s="199">
        <f t="shared" si="0"/>
        <v>1709.3999999999999</v>
      </c>
      <c r="I9" s="114">
        <v>31</v>
      </c>
      <c r="J9" s="200">
        <f t="shared" si="1"/>
        <v>7.9999999999998295E-2</v>
      </c>
      <c r="K9" s="201"/>
      <c r="L9" s="200"/>
      <c r="M9" s="200"/>
      <c r="N9" s="203"/>
      <c r="O9" s="200"/>
      <c r="P9" s="208">
        <f t="shared" si="3"/>
        <v>1709.3999999999999</v>
      </c>
    </row>
    <row r="10" spans="1:16" s="111" customFormat="1" ht="30" customHeight="1">
      <c r="A10" s="139">
        <f t="shared" si="4"/>
        <v>8</v>
      </c>
      <c r="B10" s="113">
        <v>46056</v>
      </c>
      <c r="C10" s="112">
        <v>1384900</v>
      </c>
      <c r="D10" s="112" t="s">
        <v>44</v>
      </c>
      <c r="E10" s="114">
        <v>30.36</v>
      </c>
      <c r="F10" s="112" t="s">
        <v>36</v>
      </c>
      <c r="G10" s="199">
        <v>55</v>
      </c>
      <c r="H10" s="199">
        <f t="shared" si="0"/>
        <v>1669.8</v>
      </c>
      <c r="I10" s="114">
        <v>30.05</v>
      </c>
      <c r="J10" s="200">
        <f t="shared" si="1"/>
        <v>0.30999999999999872</v>
      </c>
      <c r="K10" s="201">
        <v>0.1</v>
      </c>
      <c r="L10" s="201">
        <f t="shared" si="2"/>
        <v>0.20999999999999872</v>
      </c>
      <c r="M10" s="202">
        <v>930</v>
      </c>
      <c r="N10" s="203">
        <f t="shared" ref="N10:N26" si="5">L10*M10</f>
        <v>195.29999999999882</v>
      </c>
      <c r="O10" s="200"/>
      <c r="P10" s="208">
        <f t="shared" si="3"/>
        <v>1474.5000000000011</v>
      </c>
    </row>
    <row r="11" spans="1:16" s="111" customFormat="1" ht="30" customHeight="1">
      <c r="A11" s="139">
        <f t="shared" si="4"/>
        <v>9</v>
      </c>
      <c r="B11" s="113">
        <v>46056</v>
      </c>
      <c r="C11" s="112">
        <v>1383697</v>
      </c>
      <c r="D11" s="112" t="s">
        <v>45</v>
      </c>
      <c r="E11" s="114">
        <v>32.520000000000003</v>
      </c>
      <c r="F11" s="112" t="s">
        <v>36</v>
      </c>
      <c r="G11" s="199">
        <v>55</v>
      </c>
      <c r="H11" s="199">
        <f t="shared" si="0"/>
        <v>1788.6000000000001</v>
      </c>
      <c r="I11" s="114">
        <f>E11-0.15</f>
        <v>32.370000000000005</v>
      </c>
      <c r="J11" s="200">
        <f t="shared" si="1"/>
        <v>0.14999999999999858</v>
      </c>
      <c r="K11" s="201">
        <v>0.1</v>
      </c>
      <c r="L11" s="201">
        <f t="shared" si="2"/>
        <v>4.9999999999998573E-2</v>
      </c>
      <c r="M11" s="202">
        <v>930</v>
      </c>
      <c r="N11" s="203">
        <f t="shared" si="5"/>
        <v>46.499999999998671</v>
      </c>
      <c r="O11" s="200"/>
      <c r="P11" s="208">
        <f t="shared" si="3"/>
        <v>1742.1000000000015</v>
      </c>
    </row>
    <row r="12" spans="1:16" s="111" customFormat="1" ht="30" customHeight="1">
      <c r="A12" s="139">
        <f t="shared" si="4"/>
        <v>10</v>
      </c>
      <c r="B12" s="113">
        <v>46056</v>
      </c>
      <c r="C12" s="112">
        <v>1383698</v>
      </c>
      <c r="D12" s="112" t="s">
        <v>46</v>
      </c>
      <c r="E12" s="114">
        <v>33.1</v>
      </c>
      <c r="F12" s="112" t="s">
        <v>36</v>
      </c>
      <c r="G12" s="199">
        <v>55</v>
      </c>
      <c r="H12" s="199">
        <f t="shared" si="0"/>
        <v>1820.5</v>
      </c>
      <c r="I12" s="114">
        <f t="shared" ref="I12:I13" si="6">E12-0.15</f>
        <v>32.950000000000003</v>
      </c>
      <c r="J12" s="200">
        <f t="shared" si="1"/>
        <v>0.14999999999999858</v>
      </c>
      <c r="K12" s="201">
        <v>0.1</v>
      </c>
      <c r="L12" s="201">
        <f t="shared" si="2"/>
        <v>4.9999999999998573E-2</v>
      </c>
      <c r="M12" s="202">
        <v>930</v>
      </c>
      <c r="N12" s="203">
        <f t="shared" si="5"/>
        <v>46.499999999998671</v>
      </c>
      <c r="O12" s="200"/>
      <c r="P12" s="208">
        <f t="shared" si="3"/>
        <v>1774.0000000000014</v>
      </c>
    </row>
    <row r="13" spans="1:16" s="111" customFormat="1" ht="30" customHeight="1">
      <c r="A13" s="139">
        <f t="shared" si="4"/>
        <v>11</v>
      </c>
      <c r="B13" s="113">
        <v>46056</v>
      </c>
      <c r="C13" s="112">
        <v>1383699</v>
      </c>
      <c r="D13" s="112" t="s">
        <v>47</v>
      </c>
      <c r="E13" s="114">
        <v>30.36</v>
      </c>
      <c r="F13" s="112" t="s">
        <v>36</v>
      </c>
      <c r="G13" s="199">
        <v>55</v>
      </c>
      <c r="H13" s="199">
        <f t="shared" si="0"/>
        <v>1669.8</v>
      </c>
      <c r="I13" s="114">
        <f t="shared" si="6"/>
        <v>30.21</v>
      </c>
      <c r="J13" s="200">
        <f t="shared" si="1"/>
        <v>0.14999999999999858</v>
      </c>
      <c r="K13" s="201">
        <v>0.1</v>
      </c>
      <c r="L13" s="201">
        <f t="shared" si="2"/>
        <v>4.9999999999998573E-2</v>
      </c>
      <c r="M13" s="202">
        <v>930</v>
      </c>
      <c r="N13" s="203">
        <f t="shared" si="5"/>
        <v>46.499999999998671</v>
      </c>
      <c r="O13" s="200"/>
      <c r="P13" s="208">
        <f t="shared" si="3"/>
        <v>1623.3000000000013</v>
      </c>
    </row>
    <row r="14" spans="1:16" s="111" customFormat="1" ht="30" customHeight="1">
      <c r="A14" s="139">
        <f t="shared" si="4"/>
        <v>12</v>
      </c>
      <c r="B14" s="113">
        <v>46056</v>
      </c>
      <c r="C14" s="112">
        <v>1383700</v>
      </c>
      <c r="D14" s="112" t="s">
        <v>48</v>
      </c>
      <c r="E14" s="114">
        <v>31.5</v>
      </c>
      <c r="F14" s="112" t="s">
        <v>36</v>
      </c>
      <c r="G14" s="199">
        <v>55</v>
      </c>
      <c r="H14" s="199">
        <f t="shared" si="0"/>
        <v>1732.5</v>
      </c>
      <c r="I14" s="114">
        <f>E14-0.26</f>
        <v>31.24</v>
      </c>
      <c r="J14" s="200">
        <f t="shared" si="1"/>
        <v>0.26000000000000156</v>
      </c>
      <c r="K14" s="201">
        <v>0.1</v>
      </c>
      <c r="L14" s="201">
        <f t="shared" si="2"/>
        <v>0.16000000000000156</v>
      </c>
      <c r="M14" s="202">
        <v>930</v>
      </c>
      <c r="N14" s="203">
        <f t="shared" si="5"/>
        <v>148.80000000000146</v>
      </c>
      <c r="O14" s="200"/>
      <c r="P14" s="208">
        <f t="shared" si="3"/>
        <v>1583.6999999999985</v>
      </c>
    </row>
    <row r="15" spans="1:16" s="111" customFormat="1" ht="30" customHeight="1">
      <c r="A15" s="139">
        <f t="shared" si="4"/>
        <v>13</v>
      </c>
      <c r="B15" s="113">
        <v>46056</v>
      </c>
      <c r="C15" s="112">
        <v>1376249</v>
      </c>
      <c r="D15" s="112" t="s">
        <v>49</v>
      </c>
      <c r="E15" s="114">
        <v>32.6</v>
      </c>
      <c r="F15" s="112" t="s">
        <v>36</v>
      </c>
      <c r="G15" s="199">
        <v>55</v>
      </c>
      <c r="H15" s="199">
        <f t="shared" si="0"/>
        <v>1793</v>
      </c>
      <c r="I15" s="114">
        <f t="shared" ref="I15:I21" si="7">E15-0.26</f>
        <v>32.340000000000003</v>
      </c>
      <c r="J15" s="200">
        <f t="shared" si="1"/>
        <v>0.25999999999999801</v>
      </c>
      <c r="K15" s="201">
        <v>0.1</v>
      </c>
      <c r="L15" s="201">
        <f t="shared" si="2"/>
        <v>0.159999999999998</v>
      </c>
      <c r="M15" s="202">
        <v>930</v>
      </c>
      <c r="N15" s="203">
        <f t="shared" si="5"/>
        <v>148.79999999999814</v>
      </c>
      <c r="O15" s="200"/>
      <c r="P15" s="208">
        <f t="shared" si="3"/>
        <v>1644.2000000000019</v>
      </c>
    </row>
    <row r="16" spans="1:16" s="111" customFormat="1" ht="30" customHeight="1">
      <c r="A16" s="139">
        <f t="shared" si="4"/>
        <v>14</v>
      </c>
      <c r="B16" s="113">
        <v>46056</v>
      </c>
      <c r="C16" s="112">
        <v>1376250</v>
      </c>
      <c r="D16" s="112" t="s">
        <v>50</v>
      </c>
      <c r="E16" s="114">
        <v>32.14</v>
      </c>
      <c r="F16" s="112" t="s">
        <v>36</v>
      </c>
      <c r="G16" s="199">
        <v>55</v>
      </c>
      <c r="H16" s="199">
        <f t="shared" si="0"/>
        <v>1767.7</v>
      </c>
      <c r="I16" s="114">
        <f t="shared" si="7"/>
        <v>31.88</v>
      </c>
      <c r="J16" s="200">
        <f t="shared" si="1"/>
        <v>0.26000000000000156</v>
      </c>
      <c r="K16" s="201">
        <v>0.1</v>
      </c>
      <c r="L16" s="201">
        <f t="shared" si="2"/>
        <v>0.16000000000000156</v>
      </c>
      <c r="M16" s="202">
        <v>930</v>
      </c>
      <c r="N16" s="203">
        <f t="shared" si="5"/>
        <v>148.80000000000146</v>
      </c>
      <c r="O16" s="200"/>
      <c r="P16" s="208">
        <f t="shared" si="3"/>
        <v>1618.8999999999985</v>
      </c>
    </row>
    <row r="17" spans="1:17" s="111" customFormat="1" ht="30" customHeight="1">
      <c r="A17" s="139">
        <f t="shared" si="4"/>
        <v>15</v>
      </c>
      <c r="B17" s="113">
        <v>46056</v>
      </c>
      <c r="C17" s="112">
        <v>1289617</v>
      </c>
      <c r="D17" s="112" t="s">
        <v>51</v>
      </c>
      <c r="E17" s="114">
        <v>27.22</v>
      </c>
      <c r="F17" s="112" t="s">
        <v>36</v>
      </c>
      <c r="G17" s="199">
        <v>55</v>
      </c>
      <c r="H17" s="199">
        <f t="shared" si="0"/>
        <v>1497.1</v>
      </c>
      <c r="I17" s="114">
        <f>E17-0.24</f>
        <v>26.98</v>
      </c>
      <c r="J17" s="200">
        <f t="shared" si="1"/>
        <v>0.23999999999999844</v>
      </c>
      <c r="K17" s="201">
        <v>0.1</v>
      </c>
      <c r="L17" s="201">
        <f t="shared" si="2"/>
        <v>0.13999999999999843</v>
      </c>
      <c r="M17" s="202">
        <v>930</v>
      </c>
      <c r="N17" s="203">
        <f t="shared" si="5"/>
        <v>130.19999999999854</v>
      </c>
      <c r="O17" s="200"/>
      <c r="P17" s="208">
        <f t="shared" si="3"/>
        <v>1366.9000000000015</v>
      </c>
    </row>
    <row r="18" spans="1:17" s="111" customFormat="1" ht="30" customHeight="1">
      <c r="A18" s="139">
        <f t="shared" si="4"/>
        <v>16</v>
      </c>
      <c r="B18" s="113">
        <v>46056</v>
      </c>
      <c r="C18" s="112">
        <v>1383401</v>
      </c>
      <c r="D18" s="112" t="s">
        <v>52</v>
      </c>
      <c r="E18" s="114">
        <v>31.44</v>
      </c>
      <c r="F18" s="112" t="s">
        <v>36</v>
      </c>
      <c r="G18" s="199">
        <v>55</v>
      </c>
      <c r="H18" s="199">
        <f t="shared" si="0"/>
        <v>1729.2</v>
      </c>
      <c r="I18" s="114">
        <f t="shared" si="7"/>
        <v>31.18</v>
      </c>
      <c r="J18" s="200">
        <f t="shared" si="1"/>
        <v>0.26000000000000156</v>
      </c>
      <c r="K18" s="201">
        <v>0.1</v>
      </c>
      <c r="L18" s="201">
        <f t="shared" si="2"/>
        <v>0.16000000000000156</v>
      </c>
      <c r="M18" s="202">
        <v>930</v>
      </c>
      <c r="N18" s="203">
        <f t="shared" si="5"/>
        <v>148.80000000000146</v>
      </c>
      <c r="O18" s="200"/>
      <c r="P18" s="208">
        <f t="shared" si="3"/>
        <v>1580.3999999999985</v>
      </c>
    </row>
    <row r="19" spans="1:17" s="111" customFormat="1" ht="30" customHeight="1">
      <c r="A19" s="139">
        <f t="shared" si="4"/>
        <v>17</v>
      </c>
      <c r="B19" s="113">
        <v>46056</v>
      </c>
      <c r="C19" s="112">
        <v>1383402</v>
      </c>
      <c r="D19" s="112" t="s">
        <v>53</v>
      </c>
      <c r="E19" s="114">
        <v>31.82</v>
      </c>
      <c r="F19" s="112" t="s">
        <v>36</v>
      </c>
      <c r="G19" s="199">
        <v>55</v>
      </c>
      <c r="H19" s="199">
        <f t="shared" si="0"/>
        <v>1750.1</v>
      </c>
      <c r="I19" s="114">
        <f>E19-0.23</f>
        <v>31.59</v>
      </c>
      <c r="J19" s="200">
        <f t="shared" si="1"/>
        <v>0.23000000000000043</v>
      </c>
      <c r="K19" s="201">
        <v>0.1</v>
      </c>
      <c r="L19" s="201">
        <f t="shared" si="2"/>
        <v>0.13000000000000042</v>
      </c>
      <c r="M19" s="202">
        <v>930</v>
      </c>
      <c r="N19" s="203">
        <f t="shared" si="5"/>
        <v>120.90000000000039</v>
      </c>
      <c r="O19" s="200"/>
      <c r="P19" s="208">
        <f t="shared" si="3"/>
        <v>1629.1999999999996</v>
      </c>
    </row>
    <row r="20" spans="1:17" s="111" customFormat="1" ht="30" customHeight="1">
      <c r="A20" s="139">
        <f t="shared" si="4"/>
        <v>18</v>
      </c>
      <c r="B20" s="113">
        <v>46056</v>
      </c>
      <c r="C20" s="112">
        <v>1383403</v>
      </c>
      <c r="D20" s="112" t="s">
        <v>54</v>
      </c>
      <c r="E20" s="114">
        <v>31.22</v>
      </c>
      <c r="F20" s="112" t="s">
        <v>36</v>
      </c>
      <c r="G20" s="199">
        <v>55</v>
      </c>
      <c r="H20" s="199">
        <f t="shared" si="0"/>
        <v>1717.1</v>
      </c>
      <c r="I20" s="114">
        <f>E20-0.17</f>
        <v>31.049999999999997</v>
      </c>
      <c r="J20" s="200">
        <f t="shared" si="1"/>
        <v>0.17000000000000171</v>
      </c>
      <c r="K20" s="201">
        <v>0.1</v>
      </c>
      <c r="L20" s="201">
        <f t="shared" si="2"/>
        <v>7.00000000000017E-2</v>
      </c>
      <c r="M20" s="202">
        <v>930</v>
      </c>
      <c r="N20" s="203">
        <f t="shared" si="5"/>
        <v>65.100000000001586</v>
      </c>
      <c r="O20" s="200"/>
      <c r="P20" s="208">
        <f t="shared" si="3"/>
        <v>1651.9999999999984</v>
      </c>
    </row>
    <row r="21" spans="1:17" s="111" customFormat="1" ht="30" customHeight="1">
      <c r="A21" s="139">
        <f t="shared" si="4"/>
        <v>19</v>
      </c>
      <c r="B21" s="113">
        <v>46056</v>
      </c>
      <c r="C21" s="112">
        <v>1383404</v>
      </c>
      <c r="D21" s="112" t="s">
        <v>55</v>
      </c>
      <c r="E21" s="114">
        <v>30.74</v>
      </c>
      <c r="F21" s="112" t="s">
        <v>36</v>
      </c>
      <c r="G21" s="199">
        <v>55</v>
      </c>
      <c r="H21" s="199">
        <f t="shared" si="0"/>
        <v>1690.6999999999998</v>
      </c>
      <c r="I21" s="114">
        <f t="shared" si="7"/>
        <v>30.479999999999997</v>
      </c>
      <c r="J21" s="200">
        <f t="shared" si="1"/>
        <v>0.26000000000000156</v>
      </c>
      <c r="K21" s="201">
        <v>0.1</v>
      </c>
      <c r="L21" s="201">
        <f t="shared" si="2"/>
        <v>0.16000000000000156</v>
      </c>
      <c r="M21" s="202">
        <v>930</v>
      </c>
      <c r="N21" s="203">
        <f t="shared" si="5"/>
        <v>148.80000000000146</v>
      </c>
      <c r="O21" s="200"/>
      <c r="P21" s="208">
        <f t="shared" si="3"/>
        <v>1541.8999999999983</v>
      </c>
    </row>
    <row r="22" spans="1:17" s="111" customFormat="1" ht="30" customHeight="1">
      <c r="A22" s="139">
        <f t="shared" si="4"/>
        <v>20</v>
      </c>
      <c r="B22" s="113">
        <v>46057</v>
      </c>
      <c r="C22" s="112">
        <v>1383405</v>
      </c>
      <c r="D22" s="112" t="s">
        <v>56</v>
      </c>
      <c r="E22" s="114">
        <v>31.6</v>
      </c>
      <c r="F22" s="112" t="s">
        <v>36</v>
      </c>
      <c r="G22" s="199">
        <v>55</v>
      </c>
      <c r="H22" s="199">
        <f t="shared" si="0"/>
        <v>1738</v>
      </c>
      <c r="I22" s="114">
        <f>E22-0.39</f>
        <v>31.21</v>
      </c>
      <c r="J22" s="200">
        <f t="shared" si="1"/>
        <v>0.39000000000000057</v>
      </c>
      <c r="K22" s="201">
        <v>0.1</v>
      </c>
      <c r="L22" s="201">
        <f t="shared" si="2"/>
        <v>0.29000000000000059</v>
      </c>
      <c r="M22" s="202">
        <v>930</v>
      </c>
      <c r="N22" s="203">
        <f t="shared" si="5"/>
        <v>269.70000000000056</v>
      </c>
      <c r="O22" s="200"/>
      <c r="P22" s="208">
        <f t="shared" si="3"/>
        <v>1468.2999999999995</v>
      </c>
      <c r="Q22" s="111">
        <v>61</v>
      </c>
    </row>
    <row r="23" spans="1:17" s="111" customFormat="1" ht="30" customHeight="1">
      <c r="A23" s="139">
        <f t="shared" si="4"/>
        <v>21</v>
      </c>
      <c r="B23" s="113">
        <v>46057</v>
      </c>
      <c r="C23" s="112">
        <v>1383406</v>
      </c>
      <c r="D23" s="112" t="s">
        <v>57</v>
      </c>
      <c r="E23" s="114">
        <v>31.72</v>
      </c>
      <c r="F23" s="112" t="s">
        <v>36</v>
      </c>
      <c r="G23" s="199">
        <v>55</v>
      </c>
      <c r="H23" s="199">
        <f t="shared" si="0"/>
        <v>1744.6</v>
      </c>
      <c r="I23" s="114">
        <f>E23-0.16</f>
        <v>31.56</v>
      </c>
      <c r="J23" s="200">
        <f t="shared" si="1"/>
        <v>0.16000000000000014</v>
      </c>
      <c r="K23" s="201">
        <v>0.1</v>
      </c>
      <c r="L23" s="201">
        <f t="shared" si="2"/>
        <v>6.0000000000000137E-2</v>
      </c>
      <c r="M23" s="202">
        <v>930</v>
      </c>
      <c r="N23" s="203">
        <f t="shared" si="5"/>
        <v>55.800000000000125</v>
      </c>
      <c r="O23" s="200"/>
      <c r="P23" s="208">
        <f t="shared" si="3"/>
        <v>1688.7999999999997</v>
      </c>
    </row>
    <row r="24" spans="1:17" s="111" customFormat="1" ht="30" customHeight="1">
      <c r="A24" s="139">
        <f t="shared" si="4"/>
        <v>22</v>
      </c>
      <c r="B24" s="113">
        <v>46057</v>
      </c>
      <c r="C24" s="112">
        <v>1383407</v>
      </c>
      <c r="D24" s="112" t="s">
        <v>58</v>
      </c>
      <c r="E24" s="114">
        <v>33.299999999999997</v>
      </c>
      <c r="F24" s="112" t="s">
        <v>36</v>
      </c>
      <c r="G24" s="199">
        <v>55</v>
      </c>
      <c r="H24" s="199">
        <f t="shared" si="0"/>
        <v>1831.4999999999998</v>
      </c>
      <c r="I24" s="114">
        <f t="shared" ref="I24:I26" si="8">E24-0.32</f>
        <v>32.979999999999997</v>
      </c>
      <c r="J24" s="200">
        <f t="shared" si="1"/>
        <v>0.32000000000000028</v>
      </c>
      <c r="K24" s="201">
        <v>0.1</v>
      </c>
      <c r="L24" s="201">
        <f t="shared" si="2"/>
        <v>0.22000000000000028</v>
      </c>
      <c r="M24" s="202">
        <v>930</v>
      </c>
      <c r="N24" s="203">
        <f t="shared" si="5"/>
        <v>204.60000000000025</v>
      </c>
      <c r="O24" s="200"/>
      <c r="P24" s="208">
        <f t="shared" si="3"/>
        <v>1626.8999999999996</v>
      </c>
    </row>
    <row r="25" spans="1:17" s="111" customFormat="1" ht="30" customHeight="1">
      <c r="A25" s="139">
        <f t="shared" si="4"/>
        <v>23</v>
      </c>
      <c r="B25" s="113">
        <v>46057</v>
      </c>
      <c r="C25" s="112">
        <v>1383408</v>
      </c>
      <c r="D25" s="112" t="s">
        <v>59</v>
      </c>
      <c r="E25" s="114">
        <v>31.72</v>
      </c>
      <c r="F25" s="112" t="s">
        <v>36</v>
      </c>
      <c r="G25" s="199">
        <v>55</v>
      </c>
      <c r="H25" s="199">
        <f t="shared" si="0"/>
        <v>1744.6</v>
      </c>
      <c r="I25" s="114">
        <f>E25-0.25</f>
        <v>31.47</v>
      </c>
      <c r="J25" s="200">
        <f t="shared" si="1"/>
        <v>0.25</v>
      </c>
      <c r="K25" s="201">
        <v>0.1</v>
      </c>
      <c r="L25" s="201">
        <f t="shared" si="2"/>
        <v>0.15</v>
      </c>
      <c r="M25" s="202">
        <v>930</v>
      </c>
      <c r="N25" s="203">
        <f t="shared" si="5"/>
        <v>139.5</v>
      </c>
      <c r="O25" s="200"/>
      <c r="P25" s="208">
        <f t="shared" si="3"/>
        <v>1605.1</v>
      </c>
    </row>
    <row r="26" spans="1:17" s="111" customFormat="1" ht="30" customHeight="1">
      <c r="A26" s="139">
        <f t="shared" si="4"/>
        <v>24</v>
      </c>
      <c r="B26" s="113">
        <v>46057</v>
      </c>
      <c r="C26" s="112">
        <v>1383409</v>
      </c>
      <c r="D26" s="112" t="s">
        <v>60</v>
      </c>
      <c r="E26" s="114">
        <v>33.380000000000003</v>
      </c>
      <c r="F26" s="112" t="s">
        <v>36</v>
      </c>
      <c r="G26" s="199">
        <v>55</v>
      </c>
      <c r="H26" s="199">
        <f t="shared" si="0"/>
        <v>1835.9</v>
      </c>
      <c r="I26" s="114">
        <f t="shared" si="8"/>
        <v>33.06</v>
      </c>
      <c r="J26" s="200">
        <f t="shared" si="1"/>
        <v>0.32000000000000028</v>
      </c>
      <c r="K26" s="201">
        <v>0.1</v>
      </c>
      <c r="L26" s="201">
        <f t="shared" si="2"/>
        <v>0.22000000000000028</v>
      </c>
      <c r="M26" s="202">
        <v>930</v>
      </c>
      <c r="N26" s="203">
        <f t="shared" si="5"/>
        <v>204.60000000000025</v>
      </c>
      <c r="O26" s="200"/>
      <c r="P26" s="208">
        <f t="shared" si="3"/>
        <v>1631.2999999999997</v>
      </c>
    </row>
    <row r="27" spans="1:17" s="111" customFormat="1" ht="30" customHeight="1">
      <c r="A27" s="139">
        <f t="shared" si="4"/>
        <v>25</v>
      </c>
      <c r="B27" s="113">
        <v>46057</v>
      </c>
      <c r="C27" s="112">
        <v>1383410</v>
      </c>
      <c r="D27" s="112" t="s">
        <v>61</v>
      </c>
      <c r="E27" s="114">
        <v>29.42</v>
      </c>
      <c r="F27" s="112" t="s">
        <v>36</v>
      </c>
      <c r="G27" s="199">
        <v>55</v>
      </c>
      <c r="H27" s="199">
        <f t="shared" si="0"/>
        <v>1618.1000000000001</v>
      </c>
      <c r="I27" s="114">
        <f>E27-0.08</f>
        <v>29.340000000000003</v>
      </c>
      <c r="J27" s="200">
        <f t="shared" si="1"/>
        <v>7.9999999999998295E-2</v>
      </c>
      <c r="K27" s="201"/>
      <c r="L27" s="200"/>
      <c r="M27" s="200"/>
      <c r="N27" s="203"/>
      <c r="O27" s="200"/>
      <c r="P27" s="208">
        <f t="shared" si="3"/>
        <v>1618.1000000000001</v>
      </c>
    </row>
    <row r="28" spans="1:17" s="111" customFormat="1" ht="30" customHeight="1">
      <c r="A28" s="139">
        <f t="shared" si="4"/>
        <v>26</v>
      </c>
      <c r="B28" s="113">
        <v>46057</v>
      </c>
      <c r="C28" s="112">
        <v>1383411</v>
      </c>
      <c r="D28" s="112" t="s">
        <v>62</v>
      </c>
      <c r="E28" s="114">
        <v>30.98</v>
      </c>
      <c r="F28" s="112" t="s">
        <v>36</v>
      </c>
      <c r="G28" s="199">
        <v>55</v>
      </c>
      <c r="H28" s="199">
        <f t="shared" si="0"/>
        <v>1703.9</v>
      </c>
      <c r="I28" s="114">
        <f t="shared" ref="I28:I30" si="9">E28-0.08</f>
        <v>30.900000000000002</v>
      </c>
      <c r="J28" s="200">
        <f t="shared" si="1"/>
        <v>7.9999999999998295E-2</v>
      </c>
      <c r="K28" s="201"/>
      <c r="L28" s="200"/>
      <c r="M28" s="200"/>
      <c r="N28" s="203"/>
      <c r="O28" s="200"/>
      <c r="P28" s="208">
        <f t="shared" si="3"/>
        <v>1703.9</v>
      </c>
    </row>
    <row r="29" spans="1:17" s="111" customFormat="1" ht="30" customHeight="1">
      <c r="A29" s="139">
        <f t="shared" si="4"/>
        <v>27</v>
      </c>
      <c r="B29" s="113">
        <v>46057</v>
      </c>
      <c r="C29" s="112">
        <v>1383412</v>
      </c>
      <c r="D29" s="112" t="s">
        <v>63</v>
      </c>
      <c r="E29" s="114">
        <v>29.8</v>
      </c>
      <c r="F29" s="112" t="s">
        <v>36</v>
      </c>
      <c r="G29" s="199">
        <v>55</v>
      </c>
      <c r="H29" s="199">
        <f t="shared" si="0"/>
        <v>1639</v>
      </c>
      <c r="I29" s="114">
        <f t="shared" si="9"/>
        <v>29.720000000000002</v>
      </c>
      <c r="J29" s="200">
        <f t="shared" si="1"/>
        <v>7.9999999999998295E-2</v>
      </c>
      <c r="K29" s="201"/>
      <c r="L29" s="200"/>
      <c r="M29" s="200"/>
      <c r="N29" s="203"/>
      <c r="O29" s="200"/>
      <c r="P29" s="208">
        <f t="shared" si="3"/>
        <v>1639</v>
      </c>
    </row>
    <row r="30" spans="1:17" s="111" customFormat="1" ht="30" customHeight="1">
      <c r="A30" s="139">
        <f t="shared" si="4"/>
        <v>28</v>
      </c>
      <c r="B30" s="113">
        <v>46057</v>
      </c>
      <c r="C30" s="112">
        <v>1383413</v>
      </c>
      <c r="D30" s="112" t="s">
        <v>64</v>
      </c>
      <c r="E30" s="114">
        <v>33.56</v>
      </c>
      <c r="F30" s="112" t="s">
        <v>36</v>
      </c>
      <c r="G30" s="199">
        <v>55</v>
      </c>
      <c r="H30" s="199">
        <f t="shared" si="0"/>
        <v>1845.8000000000002</v>
      </c>
      <c r="I30" s="114">
        <f t="shared" si="9"/>
        <v>33.480000000000004</v>
      </c>
      <c r="J30" s="200">
        <f t="shared" si="1"/>
        <v>7.9999999999998295E-2</v>
      </c>
      <c r="K30" s="201"/>
      <c r="L30" s="200"/>
      <c r="M30" s="200"/>
      <c r="N30" s="203"/>
      <c r="O30" s="200"/>
      <c r="P30" s="208">
        <f t="shared" si="3"/>
        <v>1845.8000000000002</v>
      </c>
    </row>
    <row r="31" spans="1:17" s="111" customFormat="1" ht="30" customHeight="1">
      <c r="A31" s="139">
        <f t="shared" si="4"/>
        <v>29</v>
      </c>
      <c r="B31" s="113">
        <v>46057</v>
      </c>
      <c r="C31" s="112">
        <v>1383414</v>
      </c>
      <c r="D31" s="112" t="s">
        <v>65</v>
      </c>
      <c r="E31" s="114">
        <v>32.6</v>
      </c>
      <c r="F31" s="112" t="s">
        <v>36</v>
      </c>
      <c r="G31" s="199">
        <v>55</v>
      </c>
      <c r="H31" s="199">
        <f t="shared" si="0"/>
        <v>1793</v>
      </c>
      <c r="I31" s="114">
        <v>32.54</v>
      </c>
      <c r="J31" s="200">
        <f t="shared" si="1"/>
        <v>6.0000000000002274E-2</v>
      </c>
      <c r="K31" s="201"/>
      <c r="L31" s="200"/>
      <c r="M31" s="200"/>
      <c r="N31" s="203"/>
      <c r="O31" s="200"/>
      <c r="P31" s="208">
        <f t="shared" si="3"/>
        <v>1793</v>
      </c>
    </row>
    <row r="32" spans="1:17" s="111" customFormat="1" ht="30" customHeight="1">
      <c r="A32" s="139">
        <f t="shared" si="4"/>
        <v>30</v>
      </c>
      <c r="B32" s="113">
        <v>46057</v>
      </c>
      <c r="C32" s="112">
        <v>1383415</v>
      </c>
      <c r="D32" s="112" t="s">
        <v>66</v>
      </c>
      <c r="E32" s="114">
        <v>30.4</v>
      </c>
      <c r="F32" s="112" t="s">
        <v>36</v>
      </c>
      <c r="G32" s="199">
        <v>55</v>
      </c>
      <c r="H32" s="199">
        <f t="shared" si="0"/>
        <v>1672</v>
      </c>
      <c r="I32" s="114">
        <v>30.3</v>
      </c>
      <c r="J32" s="200">
        <f t="shared" si="1"/>
        <v>9.9999999999997868E-2</v>
      </c>
      <c r="K32" s="201"/>
      <c r="L32" s="200"/>
      <c r="M32" s="200"/>
      <c r="N32" s="203"/>
      <c r="O32" s="200"/>
      <c r="P32" s="208">
        <f t="shared" si="3"/>
        <v>1672</v>
      </c>
    </row>
    <row r="33" spans="1:17" s="111" customFormat="1" ht="30" customHeight="1">
      <c r="A33" s="139">
        <f t="shared" si="4"/>
        <v>31</v>
      </c>
      <c r="B33" s="113">
        <v>46057</v>
      </c>
      <c r="C33" s="112">
        <v>1383416</v>
      </c>
      <c r="D33" s="112" t="s">
        <v>67</v>
      </c>
      <c r="E33" s="114">
        <v>30.9</v>
      </c>
      <c r="F33" s="112" t="s">
        <v>36</v>
      </c>
      <c r="G33" s="199">
        <v>55</v>
      </c>
      <c r="H33" s="199">
        <f t="shared" si="0"/>
        <v>1699.5</v>
      </c>
      <c r="I33" s="114">
        <v>30.83</v>
      </c>
      <c r="J33" s="200">
        <f t="shared" si="1"/>
        <v>7.0000000000000284E-2</v>
      </c>
      <c r="K33" s="201"/>
      <c r="L33" s="200"/>
      <c r="M33" s="200"/>
      <c r="N33" s="203"/>
      <c r="O33" s="200"/>
      <c r="P33" s="208">
        <f t="shared" si="3"/>
        <v>1699.5</v>
      </c>
    </row>
    <row r="34" spans="1:17" s="111" customFormat="1" ht="30" customHeight="1">
      <c r="A34" s="139">
        <f t="shared" si="4"/>
        <v>32</v>
      </c>
      <c r="B34" s="113">
        <v>46057</v>
      </c>
      <c r="C34" s="112">
        <v>1383417</v>
      </c>
      <c r="D34" s="112" t="s">
        <v>68</v>
      </c>
      <c r="E34" s="114">
        <v>31.34</v>
      </c>
      <c r="F34" s="112" t="s">
        <v>36</v>
      </c>
      <c r="G34" s="199">
        <v>55</v>
      </c>
      <c r="H34" s="199">
        <f t="shared" si="0"/>
        <v>1723.7</v>
      </c>
      <c r="I34" s="114">
        <v>31.17</v>
      </c>
      <c r="J34" s="200">
        <f t="shared" si="1"/>
        <v>0.16999999999999815</v>
      </c>
      <c r="K34" s="201">
        <v>0.1</v>
      </c>
      <c r="L34" s="201">
        <f t="shared" si="2"/>
        <v>6.9999999999998147E-2</v>
      </c>
      <c r="M34" s="202">
        <v>930</v>
      </c>
      <c r="N34" s="203">
        <f t="shared" ref="N34:N37" si="10">L34*M34</f>
        <v>65.099999999998275</v>
      </c>
      <c r="O34" s="200"/>
      <c r="P34" s="208">
        <f t="shared" si="3"/>
        <v>1658.6000000000017</v>
      </c>
    </row>
    <row r="35" spans="1:17" s="111" customFormat="1" ht="30" customHeight="1">
      <c r="A35" s="139">
        <f t="shared" si="4"/>
        <v>33</v>
      </c>
      <c r="B35" s="113">
        <v>46059</v>
      </c>
      <c r="C35" s="112">
        <v>1383351</v>
      </c>
      <c r="D35" s="112" t="s">
        <v>69</v>
      </c>
      <c r="E35" s="114">
        <v>30.58</v>
      </c>
      <c r="F35" s="112" t="s">
        <v>36</v>
      </c>
      <c r="G35" s="199">
        <v>55</v>
      </c>
      <c r="H35" s="199">
        <f t="shared" ref="H35:H66" si="11">E35*G35</f>
        <v>1681.8999999999999</v>
      </c>
      <c r="I35" s="114">
        <v>30.39</v>
      </c>
      <c r="J35" s="200">
        <f t="shared" si="1"/>
        <v>0.18999999999999773</v>
      </c>
      <c r="K35" s="201">
        <v>0.1</v>
      </c>
      <c r="L35" s="201">
        <f t="shared" si="2"/>
        <v>8.9999999999997721E-2</v>
      </c>
      <c r="M35" s="202">
        <v>930</v>
      </c>
      <c r="N35" s="203">
        <f t="shared" si="10"/>
        <v>83.699999999997885</v>
      </c>
      <c r="O35" s="200"/>
      <c r="P35" s="208">
        <f t="shared" si="3"/>
        <v>1598.2000000000021</v>
      </c>
      <c r="Q35" s="111">
        <v>62</v>
      </c>
    </row>
    <row r="36" spans="1:17" s="111" customFormat="1" ht="30" customHeight="1">
      <c r="A36" s="139">
        <f t="shared" si="4"/>
        <v>34</v>
      </c>
      <c r="B36" s="113">
        <v>46059</v>
      </c>
      <c r="C36" s="112">
        <v>1383352</v>
      </c>
      <c r="D36" s="112" t="s">
        <v>70</v>
      </c>
      <c r="E36" s="114">
        <v>29.58</v>
      </c>
      <c r="F36" s="112" t="s">
        <v>36</v>
      </c>
      <c r="G36" s="199">
        <v>55</v>
      </c>
      <c r="H36" s="199">
        <f t="shared" si="11"/>
        <v>1626.8999999999999</v>
      </c>
      <c r="I36" s="114">
        <v>29.41</v>
      </c>
      <c r="J36" s="200">
        <f t="shared" si="1"/>
        <v>0.16999999999999815</v>
      </c>
      <c r="K36" s="201">
        <v>0.1</v>
      </c>
      <c r="L36" s="201">
        <f t="shared" si="2"/>
        <v>6.9999999999998147E-2</v>
      </c>
      <c r="M36" s="202">
        <v>930</v>
      </c>
      <c r="N36" s="203">
        <f t="shared" si="10"/>
        <v>65.099999999998275</v>
      </c>
      <c r="O36" s="200"/>
      <c r="P36" s="208">
        <f t="shared" si="3"/>
        <v>1561.8000000000015</v>
      </c>
    </row>
    <row r="37" spans="1:17" s="111" customFormat="1" ht="30" customHeight="1">
      <c r="A37" s="139">
        <f t="shared" si="4"/>
        <v>35</v>
      </c>
      <c r="B37" s="113">
        <v>46059</v>
      </c>
      <c r="C37" s="112">
        <v>1383353</v>
      </c>
      <c r="D37" s="112" t="s">
        <v>71</v>
      </c>
      <c r="E37" s="114">
        <v>30.1</v>
      </c>
      <c r="F37" s="112" t="s">
        <v>36</v>
      </c>
      <c r="G37" s="199">
        <v>55</v>
      </c>
      <c r="H37" s="199">
        <f t="shared" si="11"/>
        <v>1655.5</v>
      </c>
      <c r="I37" s="114">
        <v>29.85</v>
      </c>
      <c r="J37" s="200">
        <f t="shared" si="1"/>
        <v>0.25</v>
      </c>
      <c r="K37" s="201">
        <v>0.1</v>
      </c>
      <c r="L37" s="201">
        <f t="shared" si="2"/>
        <v>0.15</v>
      </c>
      <c r="M37" s="202">
        <v>930</v>
      </c>
      <c r="N37" s="203">
        <f t="shared" si="10"/>
        <v>139.5</v>
      </c>
      <c r="O37" s="200"/>
      <c r="P37" s="208">
        <f t="shared" si="3"/>
        <v>1516</v>
      </c>
    </row>
    <row r="38" spans="1:17" s="111" customFormat="1" ht="30" customHeight="1">
      <c r="A38" s="139">
        <f t="shared" si="4"/>
        <v>36</v>
      </c>
      <c r="B38" s="113">
        <v>46059</v>
      </c>
      <c r="C38" s="112">
        <v>1383354</v>
      </c>
      <c r="D38" s="112" t="s">
        <v>72</v>
      </c>
      <c r="E38" s="114">
        <v>31.2</v>
      </c>
      <c r="F38" s="112" t="s">
        <v>36</v>
      </c>
      <c r="G38" s="199">
        <v>55</v>
      </c>
      <c r="H38" s="199">
        <f t="shared" si="11"/>
        <v>1716</v>
      </c>
      <c r="I38" s="114">
        <v>31.12</v>
      </c>
      <c r="J38" s="200">
        <f t="shared" si="1"/>
        <v>7.9999999999998295E-2</v>
      </c>
      <c r="K38" s="201"/>
      <c r="L38" s="200"/>
      <c r="M38" s="200"/>
      <c r="N38" s="203"/>
      <c r="O38" s="200"/>
      <c r="P38" s="208">
        <f t="shared" si="3"/>
        <v>1716</v>
      </c>
    </row>
    <row r="39" spans="1:17" s="111" customFormat="1" ht="30" customHeight="1">
      <c r="A39" s="139">
        <f t="shared" si="4"/>
        <v>37</v>
      </c>
      <c r="B39" s="113">
        <v>46059</v>
      </c>
      <c r="C39" s="112">
        <v>1383355</v>
      </c>
      <c r="D39" s="112" t="s">
        <v>73</v>
      </c>
      <c r="E39" s="114">
        <v>31.26</v>
      </c>
      <c r="F39" s="112" t="s">
        <v>36</v>
      </c>
      <c r="G39" s="199">
        <v>55</v>
      </c>
      <c r="H39" s="199">
        <f t="shared" si="11"/>
        <v>1719.3000000000002</v>
      </c>
      <c r="I39" s="114">
        <v>31.21</v>
      </c>
      <c r="J39" s="200">
        <f t="shared" si="1"/>
        <v>5.0000000000000711E-2</v>
      </c>
      <c r="K39" s="201"/>
      <c r="L39" s="200"/>
      <c r="M39" s="200"/>
      <c r="N39" s="203"/>
      <c r="O39" s="200"/>
      <c r="P39" s="208">
        <f t="shared" si="3"/>
        <v>1719.3000000000002</v>
      </c>
    </row>
    <row r="40" spans="1:17" s="111" customFormat="1" ht="30" customHeight="1">
      <c r="A40" s="139">
        <f t="shared" si="4"/>
        <v>38</v>
      </c>
      <c r="B40" s="113">
        <v>46059</v>
      </c>
      <c r="C40" s="112">
        <v>1383356</v>
      </c>
      <c r="D40" s="112" t="s">
        <v>74</v>
      </c>
      <c r="E40" s="114">
        <v>28.52</v>
      </c>
      <c r="F40" s="112" t="s">
        <v>36</v>
      </c>
      <c r="G40" s="199">
        <v>55</v>
      </c>
      <c r="H40" s="199">
        <f t="shared" si="11"/>
        <v>1568.6</v>
      </c>
      <c r="I40" s="114">
        <v>28.47</v>
      </c>
      <c r="J40" s="200">
        <f t="shared" si="1"/>
        <v>5.0000000000000711E-2</v>
      </c>
      <c r="K40" s="201"/>
      <c r="L40" s="200"/>
      <c r="M40" s="200"/>
      <c r="N40" s="203"/>
      <c r="O40" s="200"/>
      <c r="P40" s="208">
        <f t="shared" si="3"/>
        <v>1568.6</v>
      </c>
    </row>
    <row r="41" spans="1:17" s="111" customFormat="1" ht="30" customHeight="1">
      <c r="A41" s="139">
        <f t="shared" si="4"/>
        <v>39</v>
      </c>
      <c r="B41" s="113">
        <v>46059</v>
      </c>
      <c r="C41" s="112">
        <v>1383357</v>
      </c>
      <c r="D41" s="112" t="s">
        <v>75</v>
      </c>
      <c r="E41" s="114">
        <v>30.66</v>
      </c>
      <c r="F41" s="112" t="s">
        <v>36</v>
      </c>
      <c r="G41" s="199">
        <v>55</v>
      </c>
      <c r="H41" s="199">
        <f t="shared" si="11"/>
        <v>1686.3</v>
      </c>
      <c r="I41" s="114">
        <v>30.51</v>
      </c>
      <c r="J41" s="200">
        <f t="shared" si="1"/>
        <v>0.14999999999999858</v>
      </c>
      <c r="K41" s="201">
        <v>0.1</v>
      </c>
      <c r="L41" s="201">
        <f t="shared" si="2"/>
        <v>4.9999999999998573E-2</v>
      </c>
      <c r="M41" s="202">
        <v>930</v>
      </c>
      <c r="N41" s="203">
        <f t="shared" ref="N41:N52" si="12">L41*M41</f>
        <v>46.499999999998671</v>
      </c>
      <c r="O41" s="200"/>
      <c r="P41" s="208">
        <f t="shared" si="3"/>
        <v>1639.8000000000013</v>
      </c>
    </row>
    <row r="42" spans="1:17" s="111" customFormat="1" ht="30" customHeight="1">
      <c r="A42" s="139">
        <f t="shared" si="4"/>
        <v>40</v>
      </c>
      <c r="B42" s="113">
        <v>46059</v>
      </c>
      <c r="C42" s="112">
        <v>1383358</v>
      </c>
      <c r="D42" s="112" t="s">
        <v>76</v>
      </c>
      <c r="E42" s="114">
        <v>31.38</v>
      </c>
      <c r="F42" s="112" t="s">
        <v>36</v>
      </c>
      <c r="G42" s="199">
        <v>55</v>
      </c>
      <c r="H42" s="199">
        <f t="shared" si="11"/>
        <v>1725.8999999999999</v>
      </c>
      <c r="I42" s="114">
        <v>31.19</v>
      </c>
      <c r="J42" s="200">
        <f t="shared" si="1"/>
        <v>0.18999999999999773</v>
      </c>
      <c r="K42" s="201">
        <v>0.1</v>
      </c>
      <c r="L42" s="201">
        <f t="shared" si="2"/>
        <v>8.9999999999997721E-2</v>
      </c>
      <c r="M42" s="202">
        <v>930</v>
      </c>
      <c r="N42" s="203">
        <f t="shared" si="12"/>
        <v>83.699999999997885</v>
      </c>
      <c r="O42" s="200"/>
      <c r="P42" s="208">
        <f t="shared" si="3"/>
        <v>1642.2000000000021</v>
      </c>
    </row>
    <row r="43" spans="1:17" s="111" customFormat="1" ht="30" customHeight="1">
      <c r="A43" s="139">
        <f t="shared" si="4"/>
        <v>41</v>
      </c>
      <c r="B43" s="113">
        <v>46059</v>
      </c>
      <c r="C43" s="112">
        <v>1383359</v>
      </c>
      <c r="D43" s="112" t="s">
        <v>77</v>
      </c>
      <c r="E43" s="114">
        <v>31.76</v>
      </c>
      <c r="F43" s="112" t="s">
        <v>36</v>
      </c>
      <c r="G43" s="199">
        <v>55</v>
      </c>
      <c r="H43" s="199">
        <f t="shared" si="11"/>
        <v>1746.8000000000002</v>
      </c>
      <c r="I43" s="114">
        <v>31.51</v>
      </c>
      <c r="J43" s="200">
        <f t="shared" si="1"/>
        <v>0.25</v>
      </c>
      <c r="K43" s="201">
        <v>0.1</v>
      </c>
      <c r="L43" s="201">
        <f t="shared" si="2"/>
        <v>0.15</v>
      </c>
      <c r="M43" s="202">
        <v>930</v>
      </c>
      <c r="N43" s="203">
        <f t="shared" si="12"/>
        <v>139.5</v>
      </c>
      <c r="O43" s="200"/>
      <c r="P43" s="208">
        <f t="shared" si="3"/>
        <v>1607.3000000000002</v>
      </c>
    </row>
    <row r="44" spans="1:17" s="111" customFormat="1" ht="30" customHeight="1">
      <c r="A44" s="139">
        <f t="shared" si="4"/>
        <v>42</v>
      </c>
      <c r="B44" s="113">
        <v>46059</v>
      </c>
      <c r="C44" s="112">
        <v>1383360</v>
      </c>
      <c r="D44" s="112" t="s">
        <v>78</v>
      </c>
      <c r="E44" s="114">
        <v>30.2</v>
      </c>
      <c r="F44" s="112" t="s">
        <v>36</v>
      </c>
      <c r="G44" s="199">
        <v>55</v>
      </c>
      <c r="H44" s="199">
        <f t="shared" si="11"/>
        <v>1661</v>
      </c>
      <c r="I44" s="114">
        <v>30.01</v>
      </c>
      <c r="J44" s="200">
        <f t="shared" si="1"/>
        <v>0.18999999999999773</v>
      </c>
      <c r="K44" s="201">
        <v>0.1</v>
      </c>
      <c r="L44" s="201">
        <f t="shared" si="2"/>
        <v>8.9999999999997721E-2</v>
      </c>
      <c r="M44" s="202">
        <v>930</v>
      </c>
      <c r="N44" s="203">
        <f t="shared" si="12"/>
        <v>83.699999999997885</v>
      </c>
      <c r="O44" s="200"/>
      <c r="P44" s="208">
        <f t="shared" si="3"/>
        <v>1577.300000000002</v>
      </c>
    </row>
    <row r="45" spans="1:17" s="111" customFormat="1" ht="30" customHeight="1">
      <c r="A45" s="139">
        <f t="shared" si="4"/>
        <v>43</v>
      </c>
      <c r="B45" s="113">
        <v>46059</v>
      </c>
      <c r="C45" s="112">
        <v>1383361</v>
      </c>
      <c r="D45" s="112" t="s">
        <v>79</v>
      </c>
      <c r="E45" s="114">
        <v>30.4</v>
      </c>
      <c r="F45" s="112" t="s">
        <v>36</v>
      </c>
      <c r="G45" s="199">
        <v>55</v>
      </c>
      <c r="H45" s="199">
        <f t="shared" si="11"/>
        <v>1672</v>
      </c>
      <c r="I45" s="114">
        <v>30.18</v>
      </c>
      <c r="J45" s="200">
        <f t="shared" si="1"/>
        <v>0.21999999999999886</v>
      </c>
      <c r="K45" s="201">
        <v>0.1</v>
      </c>
      <c r="L45" s="201">
        <f t="shared" si="2"/>
        <v>0.11999999999999886</v>
      </c>
      <c r="M45" s="202">
        <v>930</v>
      </c>
      <c r="N45" s="203">
        <f t="shared" si="12"/>
        <v>111.59999999999894</v>
      </c>
      <c r="O45" s="200"/>
      <c r="P45" s="208">
        <f t="shared" si="3"/>
        <v>1560.400000000001</v>
      </c>
    </row>
    <row r="46" spans="1:17" s="111" customFormat="1" ht="30" customHeight="1">
      <c r="A46" s="139">
        <f t="shared" si="4"/>
        <v>44</v>
      </c>
      <c r="B46" s="113">
        <v>46059</v>
      </c>
      <c r="C46" s="112">
        <v>1383362</v>
      </c>
      <c r="D46" s="112" t="s">
        <v>80</v>
      </c>
      <c r="E46" s="114">
        <v>31.44</v>
      </c>
      <c r="F46" s="112" t="s">
        <v>36</v>
      </c>
      <c r="G46" s="199">
        <v>55</v>
      </c>
      <c r="H46" s="199">
        <f t="shared" si="11"/>
        <v>1729.2</v>
      </c>
      <c r="I46" s="114">
        <v>31.31</v>
      </c>
      <c r="J46" s="200">
        <f t="shared" si="1"/>
        <v>0.13000000000000256</v>
      </c>
      <c r="K46" s="201">
        <v>0.1</v>
      </c>
      <c r="L46" s="201">
        <f t="shared" si="2"/>
        <v>3.0000000000002552E-2</v>
      </c>
      <c r="M46" s="202">
        <v>930</v>
      </c>
      <c r="N46" s="203">
        <f t="shared" si="12"/>
        <v>27.900000000002375</v>
      </c>
      <c r="O46" s="200"/>
      <c r="P46" s="208">
        <f t="shared" si="3"/>
        <v>1701.2999999999977</v>
      </c>
    </row>
    <row r="47" spans="1:17" s="111" customFormat="1" ht="30" customHeight="1">
      <c r="A47" s="139">
        <f t="shared" si="4"/>
        <v>45</v>
      </c>
      <c r="B47" s="113">
        <v>46059</v>
      </c>
      <c r="C47" s="112">
        <v>1383363</v>
      </c>
      <c r="D47" s="112" t="s">
        <v>81</v>
      </c>
      <c r="E47" s="114">
        <v>30.24</v>
      </c>
      <c r="F47" s="112" t="s">
        <v>36</v>
      </c>
      <c r="G47" s="199">
        <v>55</v>
      </c>
      <c r="H47" s="199">
        <f t="shared" si="11"/>
        <v>1663.1999999999998</v>
      </c>
      <c r="I47" s="114">
        <v>30.11</v>
      </c>
      <c r="J47" s="200">
        <f t="shared" si="1"/>
        <v>0.12999999999999901</v>
      </c>
      <c r="K47" s="201">
        <v>0.1</v>
      </c>
      <c r="L47" s="201">
        <f t="shared" si="2"/>
        <v>2.9999999999999E-2</v>
      </c>
      <c r="M47" s="202">
        <v>930</v>
      </c>
      <c r="N47" s="203">
        <f t="shared" si="12"/>
        <v>27.899999999999071</v>
      </c>
      <c r="O47" s="200"/>
      <c r="P47" s="208">
        <f t="shared" si="3"/>
        <v>1635.3000000000006</v>
      </c>
    </row>
    <row r="48" spans="1:17" s="111" customFormat="1" ht="30" customHeight="1">
      <c r="A48" s="139">
        <f t="shared" si="4"/>
        <v>46</v>
      </c>
      <c r="B48" s="113">
        <v>46059</v>
      </c>
      <c r="C48" s="112">
        <v>1383364</v>
      </c>
      <c r="D48" s="112" t="s">
        <v>82</v>
      </c>
      <c r="E48" s="114">
        <v>32</v>
      </c>
      <c r="F48" s="112" t="s">
        <v>36</v>
      </c>
      <c r="G48" s="199">
        <v>55</v>
      </c>
      <c r="H48" s="199">
        <f t="shared" si="11"/>
        <v>1760</v>
      </c>
      <c r="I48" s="114">
        <v>31.79</v>
      </c>
      <c r="J48" s="200">
        <f t="shared" si="1"/>
        <v>0.21000000000000085</v>
      </c>
      <c r="K48" s="201">
        <v>0.1</v>
      </c>
      <c r="L48" s="201">
        <f t="shared" si="2"/>
        <v>0.11000000000000085</v>
      </c>
      <c r="M48" s="202">
        <v>930</v>
      </c>
      <c r="N48" s="203">
        <f t="shared" si="12"/>
        <v>102.30000000000079</v>
      </c>
      <c r="O48" s="200"/>
      <c r="P48" s="208">
        <f t="shared" si="3"/>
        <v>1657.6999999999991</v>
      </c>
    </row>
    <row r="49" spans="1:17" s="111" customFormat="1" ht="30" customHeight="1">
      <c r="A49" s="139">
        <f t="shared" si="4"/>
        <v>47</v>
      </c>
      <c r="B49" s="113">
        <v>46059</v>
      </c>
      <c r="C49" s="112">
        <v>1383365</v>
      </c>
      <c r="D49" s="112" t="s">
        <v>83</v>
      </c>
      <c r="E49" s="114">
        <v>33.479999999999997</v>
      </c>
      <c r="F49" s="112" t="s">
        <v>36</v>
      </c>
      <c r="G49" s="199">
        <v>55</v>
      </c>
      <c r="H49" s="199">
        <f t="shared" si="11"/>
        <v>1841.3999999999999</v>
      </c>
      <c r="I49" s="114">
        <v>33.159999999999997</v>
      </c>
      <c r="J49" s="200">
        <f t="shared" si="1"/>
        <v>0.32000000000000028</v>
      </c>
      <c r="K49" s="201">
        <v>0.1</v>
      </c>
      <c r="L49" s="201">
        <f t="shared" si="2"/>
        <v>0.22000000000000028</v>
      </c>
      <c r="M49" s="202">
        <v>930</v>
      </c>
      <c r="N49" s="203">
        <f t="shared" si="12"/>
        <v>204.60000000000025</v>
      </c>
      <c r="O49" s="200"/>
      <c r="P49" s="208">
        <f t="shared" si="3"/>
        <v>1636.7999999999997</v>
      </c>
    </row>
    <row r="50" spans="1:17" s="111" customFormat="1" ht="30" customHeight="1">
      <c r="A50" s="139">
        <f t="shared" si="4"/>
        <v>48</v>
      </c>
      <c r="B50" s="113">
        <v>46059</v>
      </c>
      <c r="C50" s="112">
        <v>1383366</v>
      </c>
      <c r="D50" s="112" t="s">
        <v>84</v>
      </c>
      <c r="E50" s="114">
        <v>30.4</v>
      </c>
      <c r="F50" s="112" t="s">
        <v>36</v>
      </c>
      <c r="G50" s="199">
        <v>55</v>
      </c>
      <c r="H50" s="199">
        <f t="shared" si="11"/>
        <v>1672</v>
      </c>
      <c r="I50" s="114">
        <v>30.23</v>
      </c>
      <c r="J50" s="200">
        <f t="shared" si="1"/>
        <v>0.16999999999999815</v>
      </c>
      <c r="K50" s="201">
        <v>0.1</v>
      </c>
      <c r="L50" s="201">
        <f t="shared" si="2"/>
        <v>6.9999999999998147E-2</v>
      </c>
      <c r="M50" s="202">
        <v>930</v>
      </c>
      <c r="N50" s="203">
        <f t="shared" si="12"/>
        <v>65.099999999998275</v>
      </c>
      <c r="O50" s="200"/>
      <c r="P50" s="208">
        <f t="shared" si="3"/>
        <v>1606.9000000000017</v>
      </c>
    </row>
    <row r="51" spans="1:17" s="111" customFormat="1" ht="30" customHeight="1">
      <c r="A51" s="139">
        <f t="shared" si="4"/>
        <v>49</v>
      </c>
      <c r="B51" s="113">
        <v>46059</v>
      </c>
      <c r="C51" s="112">
        <v>1383367</v>
      </c>
      <c r="D51" s="112" t="s">
        <v>85</v>
      </c>
      <c r="E51" s="114">
        <v>25.54</v>
      </c>
      <c r="F51" s="112" t="s">
        <v>36</v>
      </c>
      <c r="G51" s="199">
        <v>55</v>
      </c>
      <c r="H51" s="199">
        <f t="shared" si="11"/>
        <v>1404.7</v>
      </c>
      <c r="I51" s="114">
        <v>25.4</v>
      </c>
      <c r="J51" s="200">
        <f t="shared" si="1"/>
        <v>0.14000000000000057</v>
      </c>
      <c r="K51" s="201">
        <v>0.1</v>
      </c>
      <c r="L51" s="201">
        <f t="shared" si="2"/>
        <v>4.0000000000000563E-2</v>
      </c>
      <c r="M51" s="202">
        <v>930</v>
      </c>
      <c r="N51" s="203">
        <f t="shared" si="12"/>
        <v>37.200000000000522</v>
      </c>
      <c r="O51" s="200"/>
      <c r="P51" s="208">
        <f t="shared" si="3"/>
        <v>1367.4999999999995</v>
      </c>
      <c r="Q51" s="111">
        <v>63</v>
      </c>
    </row>
    <row r="52" spans="1:17" s="111" customFormat="1" ht="30" customHeight="1">
      <c r="A52" s="139">
        <f t="shared" si="4"/>
        <v>50</v>
      </c>
      <c r="B52" s="113">
        <v>46059</v>
      </c>
      <c r="C52" s="112">
        <v>1383368</v>
      </c>
      <c r="D52" s="112" t="s">
        <v>86</v>
      </c>
      <c r="E52" s="114">
        <v>31.94</v>
      </c>
      <c r="F52" s="112" t="s">
        <v>36</v>
      </c>
      <c r="G52" s="199">
        <v>55</v>
      </c>
      <c r="H52" s="199">
        <f t="shared" si="11"/>
        <v>1756.7</v>
      </c>
      <c r="I52" s="114">
        <v>31.65</v>
      </c>
      <c r="J52" s="200">
        <f t="shared" si="1"/>
        <v>0.2900000000000027</v>
      </c>
      <c r="K52" s="201">
        <v>0.1</v>
      </c>
      <c r="L52" s="201">
        <f t="shared" si="2"/>
        <v>0.19000000000000269</v>
      </c>
      <c r="M52" s="202">
        <v>930</v>
      </c>
      <c r="N52" s="203">
        <f t="shared" si="12"/>
        <v>176.70000000000252</v>
      </c>
      <c r="O52" s="200"/>
      <c r="P52" s="208">
        <f t="shared" si="3"/>
        <v>1579.9999999999975</v>
      </c>
    </row>
    <row r="53" spans="1:17" s="111" customFormat="1" ht="30" customHeight="1">
      <c r="A53" s="139">
        <f t="shared" si="4"/>
        <v>51</v>
      </c>
      <c r="B53" s="113">
        <v>46059</v>
      </c>
      <c r="C53" s="112">
        <v>1383369</v>
      </c>
      <c r="D53" s="112" t="s">
        <v>87</v>
      </c>
      <c r="E53" s="114">
        <v>33.08</v>
      </c>
      <c r="F53" s="112" t="s">
        <v>36</v>
      </c>
      <c r="G53" s="199">
        <v>55</v>
      </c>
      <c r="H53" s="199">
        <f t="shared" si="11"/>
        <v>1819.3999999999999</v>
      </c>
      <c r="I53" s="114">
        <v>33.020000000000003</v>
      </c>
      <c r="J53" s="200">
        <f t="shared" si="1"/>
        <v>5.9999999999995168E-2</v>
      </c>
      <c r="K53" s="201"/>
      <c r="L53" s="200"/>
      <c r="M53" s="200"/>
      <c r="N53" s="203"/>
      <c r="O53" s="200"/>
      <c r="P53" s="208">
        <f t="shared" si="3"/>
        <v>1819.3999999999999</v>
      </c>
    </row>
    <row r="54" spans="1:17" s="111" customFormat="1" ht="30" customHeight="1">
      <c r="A54" s="139">
        <f t="shared" si="4"/>
        <v>52</v>
      </c>
      <c r="B54" s="113">
        <v>46059</v>
      </c>
      <c r="C54" s="112">
        <v>1383370</v>
      </c>
      <c r="D54" s="112" t="s">
        <v>88</v>
      </c>
      <c r="E54" s="114">
        <v>29.08</v>
      </c>
      <c r="F54" s="112" t="s">
        <v>36</v>
      </c>
      <c r="G54" s="199">
        <v>55</v>
      </c>
      <c r="H54" s="199">
        <f t="shared" si="11"/>
        <v>1599.3999999999999</v>
      </c>
      <c r="I54" s="114">
        <v>29.01</v>
      </c>
      <c r="J54" s="200">
        <f t="shared" si="1"/>
        <v>6.9999999999996732E-2</v>
      </c>
      <c r="K54" s="201"/>
      <c r="L54" s="200"/>
      <c r="M54" s="200"/>
      <c r="N54" s="203"/>
      <c r="O54" s="200"/>
      <c r="P54" s="208">
        <f t="shared" si="3"/>
        <v>1599.3999999999999</v>
      </c>
    </row>
    <row r="55" spans="1:17" s="111" customFormat="1" ht="30" customHeight="1">
      <c r="A55" s="139">
        <f t="shared" si="4"/>
        <v>53</v>
      </c>
      <c r="B55" s="113">
        <v>46059</v>
      </c>
      <c r="C55" s="112">
        <v>1383371</v>
      </c>
      <c r="D55" s="112" t="s">
        <v>89</v>
      </c>
      <c r="E55" s="114">
        <v>29.52</v>
      </c>
      <c r="F55" s="112" t="s">
        <v>36</v>
      </c>
      <c r="G55" s="199">
        <v>55</v>
      </c>
      <c r="H55" s="199">
        <f t="shared" si="11"/>
        <v>1623.6</v>
      </c>
      <c r="I55" s="114">
        <v>29.36</v>
      </c>
      <c r="J55" s="200">
        <f t="shared" si="1"/>
        <v>0.16000000000000014</v>
      </c>
      <c r="K55" s="201">
        <v>0.1</v>
      </c>
      <c r="L55" s="201">
        <f t="shared" si="2"/>
        <v>6.0000000000000137E-2</v>
      </c>
      <c r="M55" s="202">
        <v>930</v>
      </c>
      <c r="N55" s="203">
        <f t="shared" ref="N55:N60" si="13">L55*M55</f>
        <v>55.800000000000125</v>
      </c>
      <c r="O55" s="200"/>
      <c r="P55" s="208">
        <f t="shared" si="3"/>
        <v>1567.7999999999997</v>
      </c>
    </row>
    <row r="56" spans="1:17" s="111" customFormat="1" ht="30" customHeight="1">
      <c r="A56" s="139">
        <f t="shared" si="4"/>
        <v>54</v>
      </c>
      <c r="B56" s="113">
        <v>46059</v>
      </c>
      <c r="C56" s="112">
        <v>1383372</v>
      </c>
      <c r="D56" s="112" t="s">
        <v>90</v>
      </c>
      <c r="E56" s="114">
        <v>32.54</v>
      </c>
      <c r="F56" s="112" t="s">
        <v>36</v>
      </c>
      <c r="G56" s="199">
        <v>55</v>
      </c>
      <c r="H56" s="199">
        <f t="shared" si="11"/>
        <v>1789.7</v>
      </c>
      <c r="I56" s="114">
        <v>32.4</v>
      </c>
      <c r="J56" s="200">
        <f t="shared" si="1"/>
        <v>0.14000000000000057</v>
      </c>
      <c r="K56" s="201">
        <v>0.1</v>
      </c>
      <c r="L56" s="201">
        <f t="shared" si="2"/>
        <v>4.0000000000000563E-2</v>
      </c>
      <c r="M56" s="202">
        <v>930</v>
      </c>
      <c r="N56" s="203">
        <f t="shared" si="13"/>
        <v>37.200000000000522</v>
      </c>
      <c r="O56" s="200"/>
      <c r="P56" s="208">
        <f t="shared" si="3"/>
        <v>1752.4999999999995</v>
      </c>
    </row>
    <row r="57" spans="1:17" s="111" customFormat="1" ht="30" customHeight="1">
      <c r="A57" s="139">
        <f t="shared" si="4"/>
        <v>55</v>
      </c>
      <c r="B57" s="113">
        <v>46059</v>
      </c>
      <c r="C57" s="112">
        <v>1383373</v>
      </c>
      <c r="D57" s="112" t="s">
        <v>91</v>
      </c>
      <c r="E57" s="114">
        <v>32.24</v>
      </c>
      <c r="F57" s="112" t="s">
        <v>36</v>
      </c>
      <c r="G57" s="199">
        <v>55</v>
      </c>
      <c r="H57" s="199">
        <f t="shared" si="11"/>
        <v>1773.2</v>
      </c>
      <c r="I57" s="114">
        <v>32.07</v>
      </c>
      <c r="J57" s="200">
        <f t="shared" si="1"/>
        <v>0.17000000000000171</v>
      </c>
      <c r="K57" s="201">
        <v>0.1</v>
      </c>
      <c r="L57" s="201">
        <f t="shared" si="2"/>
        <v>7.00000000000017E-2</v>
      </c>
      <c r="M57" s="202">
        <v>930</v>
      </c>
      <c r="N57" s="203">
        <f t="shared" si="13"/>
        <v>65.100000000001586</v>
      </c>
      <c r="O57" s="200"/>
      <c r="P57" s="208">
        <f t="shared" si="3"/>
        <v>1708.0999999999985</v>
      </c>
    </row>
    <row r="58" spans="1:17" s="111" customFormat="1" ht="30" customHeight="1">
      <c r="A58" s="139">
        <f t="shared" si="4"/>
        <v>56</v>
      </c>
      <c r="B58" s="113">
        <v>46059</v>
      </c>
      <c r="C58" s="112">
        <v>1383374</v>
      </c>
      <c r="D58" s="112" t="s">
        <v>92</v>
      </c>
      <c r="E58" s="114">
        <v>31.66</v>
      </c>
      <c r="F58" s="112" t="s">
        <v>36</v>
      </c>
      <c r="G58" s="199">
        <v>55</v>
      </c>
      <c r="H58" s="199">
        <f t="shared" si="11"/>
        <v>1741.3</v>
      </c>
      <c r="I58" s="114">
        <v>31.3</v>
      </c>
      <c r="J58" s="200">
        <f t="shared" si="1"/>
        <v>0.35999999999999943</v>
      </c>
      <c r="K58" s="201">
        <v>0.1</v>
      </c>
      <c r="L58" s="201">
        <f t="shared" si="2"/>
        <v>0.25999999999999945</v>
      </c>
      <c r="M58" s="202">
        <v>930</v>
      </c>
      <c r="N58" s="203">
        <f t="shared" si="13"/>
        <v>241.7999999999995</v>
      </c>
      <c r="O58" s="200"/>
      <c r="P58" s="208">
        <f t="shared" si="3"/>
        <v>1499.5000000000005</v>
      </c>
    </row>
    <row r="59" spans="1:17" s="111" customFormat="1" ht="30" customHeight="1">
      <c r="A59" s="139">
        <f t="shared" si="4"/>
        <v>57</v>
      </c>
      <c r="B59" s="113">
        <v>46059</v>
      </c>
      <c r="C59" s="112">
        <v>1383375</v>
      </c>
      <c r="D59" s="112" t="s">
        <v>93</v>
      </c>
      <c r="E59" s="114">
        <v>34.42</v>
      </c>
      <c r="F59" s="112" t="s">
        <v>36</v>
      </c>
      <c r="G59" s="199">
        <v>55</v>
      </c>
      <c r="H59" s="199">
        <f t="shared" si="11"/>
        <v>1893.1000000000001</v>
      </c>
      <c r="I59" s="114">
        <v>34.119999999999997</v>
      </c>
      <c r="J59" s="200">
        <f t="shared" si="1"/>
        <v>0.30000000000000426</v>
      </c>
      <c r="K59" s="201">
        <v>0.1</v>
      </c>
      <c r="L59" s="201">
        <f t="shared" si="2"/>
        <v>0.20000000000000426</v>
      </c>
      <c r="M59" s="202">
        <v>930</v>
      </c>
      <c r="N59" s="203">
        <f t="shared" si="13"/>
        <v>186.00000000000395</v>
      </c>
      <c r="O59" s="200"/>
      <c r="P59" s="208">
        <f t="shared" si="3"/>
        <v>1707.0999999999963</v>
      </c>
    </row>
    <row r="60" spans="1:17" s="111" customFormat="1" ht="30" customHeight="1">
      <c r="A60" s="139">
        <f t="shared" si="4"/>
        <v>58</v>
      </c>
      <c r="B60" s="113">
        <v>46059</v>
      </c>
      <c r="C60" s="112">
        <v>1383376</v>
      </c>
      <c r="D60" s="112" t="s">
        <v>94</v>
      </c>
      <c r="E60" s="114">
        <v>31.78</v>
      </c>
      <c r="F60" s="112" t="s">
        <v>36</v>
      </c>
      <c r="G60" s="199">
        <v>55</v>
      </c>
      <c r="H60" s="199">
        <f t="shared" si="11"/>
        <v>1747.9</v>
      </c>
      <c r="I60" s="114">
        <v>31.45</v>
      </c>
      <c r="J60" s="200">
        <f t="shared" si="1"/>
        <v>0.33000000000000185</v>
      </c>
      <c r="K60" s="201">
        <v>0.1</v>
      </c>
      <c r="L60" s="201">
        <f t="shared" si="2"/>
        <v>0.23000000000000184</v>
      </c>
      <c r="M60" s="202">
        <v>930</v>
      </c>
      <c r="N60" s="203">
        <f t="shared" si="13"/>
        <v>213.90000000000171</v>
      </c>
      <c r="O60" s="200"/>
      <c r="P60" s="208">
        <f t="shared" si="3"/>
        <v>1533.9999999999984</v>
      </c>
    </row>
    <row r="61" spans="1:17" s="111" customFormat="1" ht="30" customHeight="1">
      <c r="A61" s="139">
        <f t="shared" si="4"/>
        <v>59</v>
      </c>
      <c r="B61" s="113">
        <v>46059</v>
      </c>
      <c r="C61" s="112">
        <v>1383377</v>
      </c>
      <c r="D61" s="112" t="s">
        <v>95</v>
      </c>
      <c r="E61" s="114">
        <v>30.04</v>
      </c>
      <c r="F61" s="112" t="s">
        <v>36</v>
      </c>
      <c r="G61" s="199">
        <v>55</v>
      </c>
      <c r="H61" s="199">
        <f t="shared" si="11"/>
        <v>1652.2</v>
      </c>
      <c r="I61" s="114">
        <v>30</v>
      </c>
      <c r="J61" s="200">
        <f t="shared" si="1"/>
        <v>3.9999999999999147E-2</v>
      </c>
      <c r="K61" s="201"/>
      <c r="L61" s="200"/>
      <c r="M61" s="200"/>
      <c r="N61" s="203"/>
      <c r="O61" s="200"/>
      <c r="P61" s="208">
        <f t="shared" si="3"/>
        <v>1652.2</v>
      </c>
    </row>
    <row r="62" spans="1:17" s="111" customFormat="1" ht="30" customHeight="1">
      <c r="A62" s="139">
        <f t="shared" si="4"/>
        <v>60</v>
      </c>
      <c r="B62" s="113">
        <v>46059</v>
      </c>
      <c r="C62" s="112">
        <v>1383378</v>
      </c>
      <c r="D62" s="112" t="s">
        <v>96</v>
      </c>
      <c r="E62" s="114">
        <v>30.18</v>
      </c>
      <c r="F62" s="112" t="s">
        <v>36</v>
      </c>
      <c r="G62" s="199">
        <v>55</v>
      </c>
      <c r="H62" s="199">
        <f t="shared" si="11"/>
        <v>1659.9</v>
      </c>
      <c r="I62" s="114">
        <v>30.1</v>
      </c>
      <c r="J62" s="200">
        <f t="shared" si="1"/>
        <v>7.9999999999998295E-2</v>
      </c>
      <c r="K62" s="201"/>
      <c r="L62" s="200"/>
      <c r="M62" s="200"/>
      <c r="N62" s="203"/>
      <c r="O62" s="200"/>
      <c r="P62" s="208">
        <f t="shared" si="3"/>
        <v>1659.9</v>
      </c>
    </row>
    <row r="63" spans="1:17" s="111" customFormat="1" ht="30" customHeight="1">
      <c r="A63" s="139">
        <f t="shared" si="4"/>
        <v>61</v>
      </c>
      <c r="B63" s="113">
        <v>46059</v>
      </c>
      <c r="C63" s="112">
        <v>1383379</v>
      </c>
      <c r="D63" s="112" t="s">
        <v>97</v>
      </c>
      <c r="E63" s="114">
        <v>26.38</v>
      </c>
      <c r="F63" s="112" t="s">
        <v>36</v>
      </c>
      <c r="G63" s="199">
        <v>55</v>
      </c>
      <c r="H63" s="199">
        <f t="shared" si="11"/>
        <v>1450.8999999999999</v>
      </c>
      <c r="I63" s="114">
        <v>26.27</v>
      </c>
      <c r="J63" s="200">
        <f t="shared" si="1"/>
        <v>0.10999999999999943</v>
      </c>
      <c r="K63" s="201">
        <v>0.1</v>
      </c>
      <c r="L63" s="201">
        <f t="shared" si="2"/>
        <v>9.999999999999426E-3</v>
      </c>
      <c r="M63" s="202">
        <v>930</v>
      </c>
      <c r="N63" s="203">
        <f t="shared" ref="N63:N67" si="14">L63*M63</f>
        <v>9.299999999999466</v>
      </c>
      <c r="O63" s="200"/>
      <c r="P63" s="208">
        <f t="shared" si="3"/>
        <v>1441.6000000000004</v>
      </c>
    </row>
    <row r="64" spans="1:17" s="111" customFormat="1" ht="30" customHeight="1">
      <c r="A64" s="139">
        <f t="shared" si="4"/>
        <v>62</v>
      </c>
      <c r="B64" s="113">
        <v>46059</v>
      </c>
      <c r="C64" s="112">
        <v>1383380</v>
      </c>
      <c r="D64" s="112" t="s">
        <v>98</v>
      </c>
      <c r="E64" s="114">
        <v>32.44</v>
      </c>
      <c r="F64" s="112" t="s">
        <v>36</v>
      </c>
      <c r="G64" s="199">
        <v>55</v>
      </c>
      <c r="H64" s="199">
        <f t="shared" si="11"/>
        <v>1784.1999999999998</v>
      </c>
      <c r="I64" s="114">
        <v>32.19</v>
      </c>
      <c r="J64" s="200">
        <f t="shared" si="1"/>
        <v>0.25</v>
      </c>
      <c r="K64" s="201">
        <v>0.1</v>
      </c>
      <c r="L64" s="201">
        <f t="shared" si="2"/>
        <v>0.15</v>
      </c>
      <c r="M64" s="202">
        <v>930</v>
      </c>
      <c r="N64" s="203">
        <f t="shared" si="14"/>
        <v>139.5</v>
      </c>
      <c r="O64" s="200"/>
      <c r="P64" s="208">
        <f t="shared" si="3"/>
        <v>1644.6999999999998</v>
      </c>
    </row>
    <row r="65" spans="1:17" s="111" customFormat="1" ht="30" customHeight="1">
      <c r="A65" s="139">
        <f t="shared" si="4"/>
        <v>63</v>
      </c>
      <c r="B65" s="113">
        <v>46060</v>
      </c>
      <c r="C65" s="112">
        <v>1383381</v>
      </c>
      <c r="D65" s="112" t="s">
        <v>99</v>
      </c>
      <c r="E65" s="114">
        <v>30.46</v>
      </c>
      <c r="F65" s="112" t="s">
        <v>36</v>
      </c>
      <c r="G65" s="199">
        <v>55</v>
      </c>
      <c r="H65" s="199">
        <f t="shared" si="11"/>
        <v>1675.3</v>
      </c>
      <c r="I65" s="114">
        <v>30.17</v>
      </c>
      <c r="J65" s="200">
        <f t="shared" si="1"/>
        <v>0.28999999999999915</v>
      </c>
      <c r="K65" s="201">
        <v>0.1</v>
      </c>
      <c r="L65" s="201">
        <f t="shared" si="2"/>
        <v>0.18999999999999914</v>
      </c>
      <c r="M65" s="202">
        <v>930</v>
      </c>
      <c r="N65" s="203">
        <f t="shared" si="14"/>
        <v>176.69999999999919</v>
      </c>
      <c r="O65" s="200"/>
      <c r="P65" s="208">
        <f t="shared" si="3"/>
        <v>1498.6000000000008</v>
      </c>
      <c r="Q65" s="111">
        <v>64</v>
      </c>
    </row>
    <row r="66" spans="1:17" s="111" customFormat="1" ht="30" customHeight="1">
      <c r="A66" s="139">
        <f t="shared" si="4"/>
        <v>64</v>
      </c>
      <c r="B66" s="113">
        <v>46060</v>
      </c>
      <c r="C66" s="112">
        <v>1383382</v>
      </c>
      <c r="D66" s="112" t="s">
        <v>100</v>
      </c>
      <c r="E66" s="114">
        <v>31.16</v>
      </c>
      <c r="F66" s="112" t="s">
        <v>36</v>
      </c>
      <c r="G66" s="199">
        <v>55</v>
      </c>
      <c r="H66" s="199">
        <f t="shared" si="11"/>
        <v>1713.8</v>
      </c>
      <c r="I66" s="114">
        <v>31.01</v>
      </c>
      <c r="J66" s="200">
        <f t="shared" si="1"/>
        <v>0.14999999999999858</v>
      </c>
      <c r="K66" s="201">
        <v>0.1</v>
      </c>
      <c r="L66" s="201">
        <f t="shared" si="2"/>
        <v>4.9999999999998573E-2</v>
      </c>
      <c r="M66" s="202">
        <v>930</v>
      </c>
      <c r="N66" s="203">
        <f t="shared" si="14"/>
        <v>46.499999999998671</v>
      </c>
      <c r="O66" s="200"/>
      <c r="P66" s="208">
        <f t="shared" si="3"/>
        <v>1667.3000000000013</v>
      </c>
    </row>
    <row r="67" spans="1:17" s="111" customFormat="1" ht="30" customHeight="1">
      <c r="A67" s="139">
        <f t="shared" si="4"/>
        <v>65</v>
      </c>
      <c r="B67" s="113">
        <v>46060</v>
      </c>
      <c r="C67" s="112">
        <v>1383383</v>
      </c>
      <c r="D67" s="112" t="s">
        <v>101</v>
      </c>
      <c r="E67" s="114">
        <v>29.08</v>
      </c>
      <c r="F67" s="112" t="s">
        <v>36</v>
      </c>
      <c r="G67" s="199">
        <v>55</v>
      </c>
      <c r="H67" s="199">
        <f t="shared" ref="H67:H98" si="15">E67*G67</f>
        <v>1599.3999999999999</v>
      </c>
      <c r="I67" s="114">
        <v>28.9</v>
      </c>
      <c r="J67" s="200">
        <f t="shared" si="1"/>
        <v>0.17999999999999972</v>
      </c>
      <c r="K67" s="201">
        <v>0.1</v>
      </c>
      <c r="L67" s="201">
        <f t="shared" si="2"/>
        <v>7.999999999999971E-2</v>
      </c>
      <c r="M67" s="202">
        <v>930</v>
      </c>
      <c r="N67" s="203">
        <f t="shared" si="14"/>
        <v>74.399999999999736</v>
      </c>
      <c r="O67" s="200"/>
      <c r="P67" s="208">
        <f t="shared" si="3"/>
        <v>1525.0000000000002</v>
      </c>
    </row>
    <row r="68" spans="1:17" s="111" customFormat="1" ht="30" customHeight="1">
      <c r="A68" s="139">
        <f t="shared" si="4"/>
        <v>66</v>
      </c>
      <c r="B68" s="113">
        <v>46060</v>
      </c>
      <c r="C68" s="112">
        <v>1383384</v>
      </c>
      <c r="D68" s="112" t="s">
        <v>102</v>
      </c>
      <c r="E68" s="114">
        <v>31.9</v>
      </c>
      <c r="F68" s="112" t="s">
        <v>36</v>
      </c>
      <c r="G68" s="199">
        <v>55</v>
      </c>
      <c r="H68" s="199">
        <f t="shared" si="15"/>
        <v>1754.5</v>
      </c>
      <c r="I68" s="114">
        <v>31.8</v>
      </c>
      <c r="J68" s="200">
        <f t="shared" ref="J68:J128" si="16">E68-I68</f>
        <v>9.9999999999997868E-2</v>
      </c>
      <c r="K68" s="201"/>
      <c r="L68" s="200"/>
      <c r="M68" s="200"/>
      <c r="N68" s="203"/>
      <c r="O68" s="200"/>
      <c r="P68" s="208">
        <f t="shared" ref="P68:P128" si="17">H68-N68</f>
        <v>1754.5</v>
      </c>
    </row>
    <row r="69" spans="1:17" s="111" customFormat="1" ht="30" customHeight="1">
      <c r="A69" s="139">
        <f t="shared" ref="A69:A128" si="18">A68+1</f>
        <v>67</v>
      </c>
      <c r="B69" s="113">
        <v>46060</v>
      </c>
      <c r="C69" s="112">
        <v>1383385</v>
      </c>
      <c r="D69" s="112" t="s">
        <v>103</v>
      </c>
      <c r="E69" s="114">
        <v>31.12</v>
      </c>
      <c r="F69" s="112" t="s">
        <v>36</v>
      </c>
      <c r="G69" s="199">
        <v>55</v>
      </c>
      <c r="H69" s="199">
        <f t="shared" si="15"/>
        <v>1711.6000000000001</v>
      </c>
      <c r="I69" s="114">
        <v>31.1</v>
      </c>
      <c r="J69" s="200">
        <f t="shared" si="16"/>
        <v>1.9999999999999574E-2</v>
      </c>
      <c r="K69" s="201"/>
      <c r="L69" s="200"/>
      <c r="M69" s="200"/>
      <c r="N69" s="203"/>
      <c r="O69" s="200"/>
      <c r="P69" s="208">
        <f t="shared" si="17"/>
        <v>1711.6000000000001</v>
      </c>
    </row>
    <row r="70" spans="1:17" s="111" customFormat="1" ht="30" customHeight="1">
      <c r="A70" s="139">
        <f t="shared" si="18"/>
        <v>68</v>
      </c>
      <c r="B70" s="113">
        <v>46060</v>
      </c>
      <c r="C70" s="112">
        <v>1383386</v>
      </c>
      <c r="D70" s="112" t="s">
        <v>104</v>
      </c>
      <c r="E70" s="114">
        <v>33.92</v>
      </c>
      <c r="F70" s="112" t="s">
        <v>36</v>
      </c>
      <c r="G70" s="199">
        <v>55</v>
      </c>
      <c r="H70" s="199">
        <f t="shared" si="15"/>
        <v>1865.6000000000001</v>
      </c>
      <c r="I70" s="114">
        <v>33.590000000000003</v>
      </c>
      <c r="J70" s="200">
        <f t="shared" si="16"/>
        <v>0.32999999999999829</v>
      </c>
      <c r="K70" s="201">
        <v>0.1</v>
      </c>
      <c r="L70" s="201">
        <f t="shared" ref="L70:L128" si="19">J70-K70</f>
        <v>0.22999999999999829</v>
      </c>
      <c r="M70" s="202">
        <v>930</v>
      </c>
      <c r="N70" s="203">
        <f t="shared" ref="N70:N76" si="20">L70*M70</f>
        <v>213.89999999999841</v>
      </c>
      <c r="O70" s="200"/>
      <c r="P70" s="208">
        <f t="shared" si="17"/>
        <v>1651.7000000000016</v>
      </c>
    </row>
    <row r="71" spans="1:17" s="111" customFormat="1" ht="30" customHeight="1">
      <c r="A71" s="139">
        <f t="shared" si="18"/>
        <v>69</v>
      </c>
      <c r="B71" s="113">
        <v>46060</v>
      </c>
      <c r="C71" s="112">
        <v>1383387</v>
      </c>
      <c r="D71" s="112" t="s">
        <v>105</v>
      </c>
      <c r="E71" s="114">
        <v>32.46</v>
      </c>
      <c r="F71" s="112" t="s">
        <v>36</v>
      </c>
      <c r="G71" s="199">
        <v>55</v>
      </c>
      <c r="H71" s="199">
        <f t="shared" si="15"/>
        <v>1785.3</v>
      </c>
      <c r="I71" s="114">
        <v>32.29</v>
      </c>
      <c r="J71" s="200">
        <f t="shared" si="16"/>
        <v>0.17000000000000171</v>
      </c>
      <c r="K71" s="201">
        <v>0.1</v>
      </c>
      <c r="L71" s="201">
        <f t="shared" si="19"/>
        <v>7.00000000000017E-2</v>
      </c>
      <c r="M71" s="202">
        <v>930</v>
      </c>
      <c r="N71" s="203">
        <f t="shared" si="20"/>
        <v>65.100000000001586</v>
      </c>
      <c r="O71" s="200"/>
      <c r="P71" s="208">
        <f t="shared" si="17"/>
        <v>1720.1999999999985</v>
      </c>
    </row>
    <row r="72" spans="1:17" s="111" customFormat="1" ht="30" customHeight="1">
      <c r="A72" s="139">
        <f t="shared" si="18"/>
        <v>70</v>
      </c>
      <c r="B72" s="113">
        <v>46060</v>
      </c>
      <c r="C72" s="112">
        <v>1383388</v>
      </c>
      <c r="D72" s="112" t="s">
        <v>106</v>
      </c>
      <c r="E72" s="114">
        <v>31.34</v>
      </c>
      <c r="F72" s="112" t="s">
        <v>36</v>
      </c>
      <c r="G72" s="199">
        <v>55</v>
      </c>
      <c r="H72" s="199">
        <f t="shared" si="15"/>
        <v>1723.7</v>
      </c>
      <c r="I72" s="114">
        <v>31.18</v>
      </c>
      <c r="J72" s="200">
        <f t="shared" si="16"/>
        <v>0.16000000000000014</v>
      </c>
      <c r="K72" s="201">
        <v>0.1</v>
      </c>
      <c r="L72" s="201">
        <f t="shared" si="19"/>
        <v>6.0000000000000137E-2</v>
      </c>
      <c r="M72" s="202">
        <v>930</v>
      </c>
      <c r="N72" s="203">
        <f t="shared" si="20"/>
        <v>55.800000000000125</v>
      </c>
      <c r="O72" s="200"/>
      <c r="P72" s="208">
        <f t="shared" si="17"/>
        <v>1667.8999999999999</v>
      </c>
    </row>
    <row r="73" spans="1:17" s="111" customFormat="1" ht="30" customHeight="1">
      <c r="A73" s="139">
        <f t="shared" si="18"/>
        <v>71</v>
      </c>
      <c r="B73" s="113">
        <v>46060</v>
      </c>
      <c r="C73" s="112">
        <v>1383389</v>
      </c>
      <c r="D73" s="112" t="s">
        <v>107</v>
      </c>
      <c r="E73" s="114">
        <v>26.32</v>
      </c>
      <c r="F73" s="112" t="s">
        <v>36</v>
      </c>
      <c r="G73" s="199">
        <v>55</v>
      </c>
      <c r="H73" s="199">
        <f t="shared" si="15"/>
        <v>1447.6</v>
      </c>
      <c r="I73" s="114">
        <v>26.17</v>
      </c>
      <c r="J73" s="200">
        <f t="shared" si="16"/>
        <v>0.14999999999999858</v>
      </c>
      <c r="K73" s="201">
        <v>0.1</v>
      </c>
      <c r="L73" s="201">
        <f t="shared" si="19"/>
        <v>4.9999999999998573E-2</v>
      </c>
      <c r="M73" s="202">
        <v>930</v>
      </c>
      <c r="N73" s="203">
        <f t="shared" si="20"/>
        <v>46.499999999998671</v>
      </c>
      <c r="O73" s="200"/>
      <c r="P73" s="208">
        <f t="shared" si="17"/>
        <v>1401.1000000000013</v>
      </c>
    </row>
    <row r="74" spans="1:17" s="111" customFormat="1" ht="30" customHeight="1">
      <c r="A74" s="139">
        <f t="shared" si="18"/>
        <v>72</v>
      </c>
      <c r="B74" s="113">
        <v>46060</v>
      </c>
      <c r="C74" s="112">
        <v>1383390</v>
      </c>
      <c r="D74" s="112" t="s">
        <v>108</v>
      </c>
      <c r="E74" s="114">
        <v>27.16</v>
      </c>
      <c r="F74" s="112" t="s">
        <v>36</v>
      </c>
      <c r="G74" s="199">
        <v>55</v>
      </c>
      <c r="H74" s="199">
        <f t="shared" si="15"/>
        <v>1493.8</v>
      </c>
      <c r="I74" s="114">
        <v>27</v>
      </c>
      <c r="J74" s="200">
        <f t="shared" si="16"/>
        <v>0.16000000000000014</v>
      </c>
      <c r="K74" s="201">
        <v>0.1</v>
      </c>
      <c r="L74" s="201">
        <f t="shared" si="19"/>
        <v>6.0000000000000137E-2</v>
      </c>
      <c r="M74" s="202">
        <v>930</v>
      </c>
      <c r="N74" s="203">
        <f t="shared" si="20"/>
        <v>55.800000000000125</v>
      </c>
      <c r="O74" s="200"/>
      <c r="P74" s="208">
        <f t="shared" si="17"/>
        <v>1437.9999999999998</v>
      </c>
    </row>
    <row r="75" spans="1:17" s="111" customFormat="1" ht="30" customHeight="1">
      <c r="A75" s="139">
        <f t="shared" si="18"/>
        <v>73</v>
      </c>
      <c r="B75" s="113">
        <v>46060</v>
      </c>
      <c r="C75" s="112">
        <v>1383391</v>
      </c>
      <c r="D75" s="112" t="s">
        <v>109</v>
      </c>
      <c r="E75" s="114">
        <v>30.76</v>
      </c>
      <c r="F75" s="112" t="s">
        <v>36</v>
      </c>
      <c r="G75" s="199">
        <v>55</v>
      </c>
      <c r="H75" s="199">
        <f t="shared" si="15"/>
        <v>1691.8000000000002</v>
      </c>
      <c r="I75" s="114">
        <v>30.56</v>
      </c>
      <c r="J75" s="200">
        <f t="shared" si="16"/>
        <v>0.20000000000000284</v>
      </c>
      <c r="K75" s="201">
        <v>0.1</v>
      </c>
      <c r="L75" s="201">
        <f t="shared" si="19"/>
        <v>0.10000000000000284</v>
      </c>
      <c r="M75" s="202">
        <v>930</v>
      </c>
      <c r="N75" s="203">
        <f t="shared" si="20"/>
        <v>93.000000000002643</v>
      </c>
      <c r="O75" s="200"/>
      <c r="P75" s="208">
        <f t="shared" si="17"/>
        <v>1598.7999999999975</v>
      </c>
    </row>
    <row r="76" spans="1:17" s="111" customFormat="1" ht="30" customHeight="1">
      <c r="A76" s="139">
        <f t="shared" si="18"/>
        <v>74</v>
      </c>
      <c r="B76" s="113">
        <v>46060</v>
      </c>
      <c r="C76" s="112">
        <v>1383392</v>
      </c>
      <c r="D76" s="112" t="s">
        <v>110</v>
      </c>
      <c r="E76" s="114">
        <v>31.16</v>
      </c>
      <c r="F76" s="112" t="s">
        <v>36</v>
      </c>
      <c r="G76" s="199">
        <v>55</v>
      </c>
      <c r="H76" s="199">
        <f t="shared" si="15"/>
        <v>1713.8</v>
      </c>
      <c r="I76" s="114">
        <v>31</v>
      </c>
      <c r="J76" s="200">
        <f t="shared" si="16"/>
        <v>0.16000000000000014</v>
      </c>
      <c r="K76" s="201">
        <v>0.1</v>
      </c>
      <c r="L76" s="201">
        <f t="shared" si="19"/>
        <v>6.0000000000000137E-2</v>
      </c>
      <c r="M76" s="202">
        <v>930</v>
      </c>
      <c r="N76" s="203">
        <f t="shared" si="20"/>
        <v>55.800000000000125</v>
      </c>
      <c r="O76" s="200"/>
      <c r="P76" s="208">
        <f t="shared" si="17"/>
        <v>1657.9999999999998</v>
      </c>
    </row>
    <row r="77" spans="1:17" s="111" customFormat="1" ht="30" customHeight="1">
      <c r="A77" s="139">
        <f t="shared" si="18"/>
        <v>75</v>
      </c>
      <c r="B77" s="113">
        <v>46060</v>
      </c>
      <c r="C77" s="112">
        <v>1383393</v>
      </c>
      <c r="D77" s="112" t="s">
        <v>111</v>
      </c>
      <c r="E77" s="114">
        <v>31</v>
      </c>
      <c r="F77" s="112" t="s">
        <v>36</v>
      </c>
      <c r="G77" s="199">
        <v>55</v>
      </c>
      <c r="H77" s="199">
        <f t="shared" si="15"/>
        <v>1705</v>
      </c>
      <c r="I77" s="114">
        <v>31.05</v>
      </c>
      <c r="J77" s="200">
        <f t="shared" si="16"/>
        <v>-5.0000000000000711E-2</v>
      </c>
      <c r="K77" s="201"/>
      <c r="L77" s="200"/>
      <c r="M77" s="200"/>
      <c r="N77" s="203"/>
      <c r="O77" s="200"/>
      <c r="P77" s="208">
        <f t="shared" si="17"/>
        <v>1705</v>
      </c>
    </row>
    <row r="78" spans="1:17" s="111" customFormat="1" ht="30" customHeight="1">
      <c r="A78" s="139">
        <f t="shared" si="18"/>
        <v>76</v>
      </c>
      <c r="B78" s="113">
        <v>46060</v>
      </c>
      <c r="C78" s="112">
        <v>1383394</v>
      </c>
      <c r="D78" s="112" t="s">
        <v>112</v>
      </c>
      <c r="E78" s="114">
        <v>30.7</v>
      </c>
      <c r="F78" s="112" t="s">
        <v>36</v>
      </c>
      <c r="G78" s="199">
        <v>55</v>
      </c>
      <c r="H78" s="199">
        <f t="shared" si="15"/>
        <v>1688.5</v>
      </c>
      <c r="I78" s="114">
        <v>30.48</v>
      </c>
      <c r="J78" s="200">
        <f t="shared" si="16"/>
        <v>0.21999999999999886</v>
      </c>
      <c r="K78" s="201">
        <v>0.1</v>
      </c>
      <c r="L78" s="201">
        <f t="shared" si="19"/>
        <v>0.11999999999999886</v>
      </c>
      <c r="M78" s="202">
        <v>930</v>
      </c>
      <c r="N78" s="203">
        <f>L78*M78</f>
        <v>111.59999999999894</v>
      </c>
      <c r="O78" s="200"/>
      <c r="P78" s="208">
        <f t="shared" si="17"/>
        <v>1576.900000000001</v>
      </c>
    </row>
    <row r="79" spans="1:17" s="111" customFormat="1" ht="30" customHeight="1">
      <c r="A79" s="139">
        <f t="shared" si="18"/>
        <v>77</v>
      </c>
      <c r="B79" s="113">
        <v>46060</v>
      </c>
      <c r="C79" s="112">
        <v>1383395</v>
      </c>
      <c r="D79" s="112" t="s">
        <v>113</v>
      </c>
      <c r="E79" s="114">
        <v>31.56</v>
      </c>
      <c r="F79" s="112" t="s">
        <v>36</v>
      </c>
      <c r="G79" s="199">
        <v>55</v>
      </c>
      <c r="H79" s="199">
        <f t="shared" si="15"/>
        <v>1735.8</v>
      </c>
      <c r="I79" s="114">
        <v>31.5</v>
      </c>
      <c r="J79" s="200">
        <f t="shared" si="16"/>
        <v>5.9999999999998721E-2</v>
      </c>
      <c r="K79" s="201"/>
      <c r="L79" s="200"/>
      <c r="M79" s="200"/>
      <c r="N79" s="203"/>
      <c r="O79" s="200"/>
      <c r="P79" s="208">
        <f t="shared" si="17"/>
        <v>1735.8</v>
      </c>
    </row>
    <row r="80" spans="1:17" s="111" customFormat="1" ht="30" customHeight="1">
      <c r="A80" s="139">
        <f t="shared" si="18"/>
        <v>78</v>
      </c>
      <c r="B80" s="113">
        <v>46060</v>
      </c>
      <c r="C80" s="112">
        <v>1383396</v>
      </c>
      <c r="D80" s="112" t="s">
        <v>114</v>
      </c>
      <c r="E80" s="114">
        <v>31.66</v>
      </c>
      <c r="F80" s="112" t="s">
        <v>36</v>
      </c>
      <c r="G80" s="199">
        <v>55</v>
      </c>
      <c r="H80" s="199">
        <f t="shared" si="15"/>
        <v>1741.3</v>
      </c>
      <c r="I80" s="114">
        <v>31.47</v>
      </c>
      <c r="J80" s="200">
        <f t="shared" si="16"/>
        <v>0.19000000000000128</v>
      </c>
      <c r="K80" s="201">
        <v>0.1</v>
      </c>
      <c r="L80" s="201">
        <f t="shared" si="19"/>
        <v>9.0000000000001273E-2</v>
      </c>
      <c r="M80" s="202">
        <v>930</v>
      </c>
      <c r="N80" s="203">
        <f t="shared" ref="N80:N84" si="21">L80*M80</f>
        <v>83.700000000001182</v>
      </c>
      <c r="O80" s="200"/>
      <c r="P80" s="208">
        <f t="shared" si="17"/>
        <v>1657.5999999999988</v>
      </c>
    </row>
    <row r="81" spans="1:17" s="111" customFormat="1" ht="30" customHeight="1">
      <c r="A81" s="139">
        <f t="shared" si="18"/>
        <v>79</v>
      </c>
      <c r="B81" s="113">
        <v>46060</v>
      </c>
      <c r="C81" s="112">
        <v>1383397</v>
      </c>
      <c r="D81" s="112" t="s">
        <v>115</v>
      </c>
      <c r="E81" s="114">
        <v>31.32</v>
      </c>
      <c r="F81" s="112" t="s">
        <v>36</v>
      </c>
      <c r="G81" s="199">
        <v>55</v>
      </c>
      <c r="H81" s="199">
        <f t="shared" si="15"/>
        <v>1722.6</v>
      </c>
      <c r="I81" s="114">
        <v>31.21</v>
      </c>
      <c r="J81" s="200">
        <f t="shared" si="16"/>
        <v>0.10999999999999943</v>
      </c>
      <c r="K81" s="201">
        <v>0.1</v>
      </c>
      <c r="L81" s="201">
        <f t="shared" si="19"/>
        <v>9.999999999999426E-3</v>
      </c>
      <c r="M81" s="202">
        <v>930</v>
      </c>
      <c r="N81" s="203">
        <f t="shared" si="21"/>
        <v>9.299999999999466</v>
      </c>
      <c r="O81" s="200"/>
      <c r="P81" s="208">
        <f t="shared" si="17"/>
        <v>1713.3000000000004</v>
      </c>
    </row>
    <row r="82" spans="1:17" s="111" customFormat="1" ht="30" customHeight="1">
      <c r="A82" s="139">
        <f t="shared" si="18"/>
        <v>80</v>
      </c>
      <c r="B82" s="113">
        <v>46060</v>
      </c>
      <c r="C82" s="112">
        <v>1383398</v>
      </c>
      <c r="D82" s="112" t="s">
        <v>116</v>
      </c>
      <c r="E82" s="114">
        <v>32</v>
      </c>
      <c r="F82" s="112" t="s">
        <v>36</v>
      </c>
      <c r="G82" s="199">
        <v>55</v>
      </c>
      <c r="H82" s="199">
        <f t="shared" si="15"/>
        <v>1760</v>
      </c>
      <c r="I82" s="114">
        <v>31.81</v>
      </c>
      <c r="J82" s="200">
        <f t="shared" si="16"/>
        <v>0.19000000000000128</v>
      </c>
      <c r="K82" s="201">
        <v>0.1</v>
      </c>
      <c r="L82" s="201">
        <f t="shared" si="19"/>
        <v>9.0000000000001273E-2</v>
      </c>
      <c r="M82" s="202">
        <v>930</v>
      </c>
      <c r="N82" s="203">
        <f t="shared" si="21"/>
        <v>83.700000000001182</v>
      </c>
      <c r="O82" s="200"/>
      <c r="P82" s="208">
        <f t="shared" si="17"/>
        <v>1676.2999999999988</v>
      </c>
    </row>
    <row r="83" spans="1:17" s="111" customFormat="1" ht="30" customHeight="1">
      <c r="A83" s="139">
        <f t="shared" si="18"/>
        <v>81</v>
      </c>
      <c r="B83" s="113">
        <v>46060</v>
      </c>
      <c r="C83" s="112">
        <v>1383399</v>
      </c>
      <c r="D83" s="112" t="s">
        <v>117</v>
      </c>
      <c r="E83" s="114">
        <v>28.16</v>
      </c>
      <c r="F83" s="112" t="s">
        <v>36</v>
      </c>
      <c r="G83" s="199">
        <v>55</v>
      </c>
      <c r="H83" s="199">
        <f t="shared" si="15"/>
        <v>1548.8</v>
      </c>
      <c r="I83" s="114">
        <v>28.01</v>
      </c>
      <c r="J83" s="200">
        <f t="shared" si="16"/>
        <v>0.14999999999999858</v>
      </c>
      <c r="K83" s="201">
        <v>0.1</v>
      </c>
      <c r="L83" s="201">
        <f t="shared" si="19"/>
        <v>4.9999999999998573E-2</v>
      </c>
      <c r="M83" s="202">
        <v>930</v>
      </c>
      <c r="N83" s="203">
        <f t="shared" si="21"/>
        <v>46.499999999998671</v>
      </c>
      <c r="O83" s="200"/>
      <c r="P83" s="208">
        <f t="shared" si="17"/>
        <v>1502.3000000000013</v>
      </c>
    </row>
    <row r="84" spans="1:17" s="111" customFormat="1" ht="30" customHeight="1">
      <c r="A84" s="139">
        <f t="shared" si="18"/>
        <v>82</v>
      </c>
      <c r="B84" s="113">
        <v>46060</v>
      </c>
      <c r="C84" s="112">
        <v>1383400</v>
      </c>
      <c r="D84" s="112" t="s">
        <v>118</v>
      </c>
      <c r="E84" s="114">
        <v>32.74</v>
      </c>
      <c r="F84" s="112" t="s">
        <v>36</v>
      </c>
      <c r="G84" s="199">
        <v>55</v>
      </c>
      <c r="H84" s="199">
        <f t="shared" si="15"/>
        <v>1800.7</v>
      </c>
      <c r="I84" s="114">
        <v>32.56</v>
      </c>
      <c r="J84" s="200">
        <f t="shared" si="16"/>
        <v>0.17999999999999972</v>
      </c>
      <c r="K84" s="201">
        <v>0.1</v>
      </c>
      <c r="L84" s="201">
        <f t="shared" si="19"/>
        <v>7.999999999999971E-2</v>
      </c>
      <c r="M84" s="202">
        <v>930</v>
      </c>
      <c r="N84" s="203">
        <f t="shared" si="21"/>
        <v>74.399999999999736</v>
      </c>
      <c r="O84" s="200"/>
      <c r="P84" s="208">
        <f t="shared" si="17"/>
        <v>1726.3000000000004</v>
      </c>
    </row>
    <row r="85" spans="1:17" s="111" customFormat="1" ht="30" customHeight="1">
      <c r="A85" s="139">
        <f t="shared" si="18"/>
        <v>83</v>
      </c>
      <c r="B85" s="113">
        <v>46060</v>
      </c>
      <c r="C85" s="112">
        <v>1383418</v>
      </c>
      <c r="D85" s="112" t="s">
        <v>119</v>
      </c>
      <c r="E85" s="114">
        <v>31.3</v>
      </c>
      <c r="F85" s="112" t="s">
        <v>36</v>
      </c>
      <c r="G85" s="199">
        <v>55</v>
      </c>
      <c r="H85" s="199">
        <f t="shared" si="15"/>
        <v>1721.5</v>
      </c>
      <c r="I85" s="114">
        <v>31.24</v>
      </c>
      <c r="J85" s="200">
        <f t="shared" si="16"/>
        <v>6.0000000000002274E-2</v>
      </c>
      <c r="K85" s="201"/>
      <c r="L85" s="200"/>
      <c r="M85" s="200"/>
      <c r="N85" s="203"/>
      <c r="O85" s="200"/>
      <c r="P85" s="208">
        <f t="shared" si="17"/>
        <v>1721.5</v>
      </c>
    </row>
    <row r="86" spans="1:17" s="111" customFormat="1" ht="30" customHeight="1">
      <c r="A86" s="139">
        <f t="shared" si="18"/>
        <v>84</v>
      </c>
      <c r="B86" s="113">
        <v>46060</v>
      </c>
      <c r="C86" s="112">
        <v>1383419</v>
      </c>
      <c r="D86" s="112" t="s">
        <v>120</v>
      </c>
      <c r="E86" s="114">
        <v>31.74</v>
      </c>
      <c r="F86" s="112" t="s">
        <v>36</v>
      </c>
      <c r="G86" s="199">
        <v>55</v>
      </c>
      <c r="H86" s="199">
        <f t="shared" si="15"/>
        <v>1745.6999999999998</v>
      </c>
      <c r="I86" s="114">
        <v>31.49</v>
      </c>
      <c r="J86" s="200">
        <f t="shared" si="16"/>
        <v>0.25</v>
      </c>
      <c r="K86" s="201">
        <v>0.1</v>
      </c>
      <c r="L86" s="201">
        <f t="shared" si="19"/>
        <v>0.15</v>
      </c>
      <c r="M86" s="202">
        <v>930</v>
      </c>
      <c r="N86" s="203">
        <f t="shared" ref="N86:N99" si="22">L86*M86</f>
        <v>139.5</v>
      </c>
      <c r="O86" s="200"/>
      <c r="P86" s="208">
        <f t="shared" si="17"/>
        <v>1606.1999999999998</v>
      </c>
    </row>
    <row r="87" spans="1:17" s="111" customFormat="1" ht="30" customHeight="1">
      <c r="A87" s="139">
        <f t="shared" si="18"/>
        <v>85</v>
      </c>
      <c r="B87" s="113">
        <v>46060</v>
      </c>
      <c r="C87" s="112">
        <v>1383420</v>
      </c>
      <c r="D87" s="112" t="s">
        <v>121</v>
      </c>
      <c r="E87" s="114">
        <v>31.4</v>
      </c>
      <c r="F87" s="112" t="s">
        <v>122</v>
      </c>
      <c r="G87" s="199">
        <v>65</v>
      </c>
      <c r="H87" s="199">
        <f t="shared" si="15"/>
        <v>2041</v>
      </c>
      <c r="I87" s="114">
        <v>31</v>
      </c>
      <c r="J87" s="200">
        <f t="shared" si="16"/>
        <v>0.39999999999999858</v>
      </c>
      <c r="K87" s="201">
        <v>0.1</v>
      </c>
      <c r="L87" s="201">
        <f t="shared" si="19"/>
        <v>0.2999999999999986</v>
      </c>
      <c r="M87" s="202">
        <v>930</v>
      </c>
      <c r="N87" s="203">
        <f t="shared" si="22"/>
        <v>278.99999999999869</v>
      </c>
      <c r="O87" s="200"/>
      <c r="P87" s="208">
        <f t="shared" si="17"/>
        <v>1762.0000000000014</v>
      </c>
    </row>
    <row r="88" spans="1:17" s="111" customFormat="1" ht="30" customHeight="1">
      <c r="A88" s="139">
        <f t="shared" si="18"/>
        <v>86</v>
      </c>
      <c r="B88" s="113">
        <v>46060</v>
      </c>
      <c r="C88" s="112">
        <v>1383421</v>
      </c>
      <c r="D88" s="112" t="s">
        <v>123</v>
      </c>
      <c r="E88" s="114">
        <v>28.62</v>
      </c>
      <c r="F88" s="112" t="s">
        <v>122</v>
      </c>
      <c r="G88" s="199">
        <v>65</v>
      </c>
      <c r="H88" s="199">
        <f t="shared" si="15"/>
        <v>1860.3</v>
      </c>
      <c r="I88" s="114">
        <f>E88-0.15</f>
        <v>28.470000000000002</v>
      </c>
      <c r="J88" s="200">
        <f t="shared" si="16"/>
        <v>0.14999999999999858</v>
      </c>
      <c r="K88" s="201">
        <v>0.1</v>
      </c>
      <c r="L88" s="201">
        <f t="shared" si="19"/>
        <v>4.9999999999998573E-2</v>
      </c>
      <c r="M88" s="202">
        <v>930</v>
      </c>
      <c r="N88" s="203">
        <f t="shared" si="22"/>
        <v>46.499999999998671</v>
      </c>
      <c r="O88" s="200"/>
      <c r="P88" s="208">
        <f t="shared" si="17"/>
        <v>1813.8000000000013</v>
      </c>
    </row>
    <row r="89" spans="1:17" s="111" customFormat="1" ht="30" customHeight="1">
      <c r="A89" s="139">
        <f t="shared" si="18"/>
        <v>87</v>
      </c>
      <c r="B89" s="113">
        <v>46060</v>
      </c>
      <c r="C89" s="112">
        <v>1383422</v>
      </c>
      <c r="D89" s="112" t="s">
        <v>124</v>
      </c>
      <c r="E89" s="114">
        <v>31.42</v>
      </c>
      <c r="F89" s="112" t="s">
        <v>36</v>
      </c>
      <c r="G89" s="199">
        <v>55</v>
      </c>
      <c r="H89" s="199">
        <f t="shared" si="15"/>
        <v>1728.1000000000001</v>
      </c>
      <c r="I89" s="114">
        <f>E89-0.19</f>
        <v>31.23</v>
      </c>
      <c r="J89" s="200">
        <f t="shared" si="16"/>
        <v>0.19000000000000128</v>
      </c>
      <c r="K89" s="201">
        <v>0.1</v>
      </c>
      <c r="L89" s="201">
        <f t="shared" si="19"/>
        <v>9.0000000000001273E-2</v>
      </c>
      <c r="M89" s="202">
        <v>930</v>
      </c>
      <c r="N89" s="203">
        <f t="shared" si="22"/>
        <v>83.700000000001182</v>
      </c>
      <c r="O89" s="200"/>
      <c r="P89" s="208">
        <f t="shared" si="17"/>
        <v>1644.399999999999</v>
      </c>
      <c r="Q89" s="111">
        <v>66</v>
      </c>
    </row>
    <row r="90" spans="1:17" s="111" customFormat="1" ht="30" customHeight="1">
      <c r="A90" s="139">
        <f t="shared" si="18"/>
        <v>88</v>
      </c>
      <c r="B90" s="113">
        <v>46060</v>
      </c>
      <c r="C90" s="112">
        <v>1383423</v>
      </c>
      <c r="D90" s="112" t="s">
        <v>125</v>
      </c>
      <c r="E90" s="114">
        <v>32.159999999999997</v>
      </c>
      <c r="F90" s="112" t="s">
        <v>36</v>
      </c>
      <c r="G90" s="199">
        <v>55</v>
      </c>
      <c r="H90" s="199">
        <f t="shared" si="15"/>
        <v>1768.7999999999997</v>
      </c>
      <c r="I90" s="114">
        <f t="shared" ref="I90:I94" si="23">E90-0.15</f>
        <v>32.01</v>
      </c>
      <c r="J90" s="200">
        <f t="shared" si="16"/>
        <v>0.14999999999999858</v>
      </c>
      <c r="K90" s="201">
        <v>0.1</v>
      </c>
      <c r="L90" s="201">
        <f t="shared" si="19"/>
        <v>4.9999999999998573E-2</v>
      </c>
      <c r="M90" s="202">
        <v>930</v>
      </c>
      <c r="N90" s="203">
        <f t="shared" si="22"/>
        <v>46.499999999998671</v>
      </c>
      <c r="O90" s="200"/>
      <c r="P90" s="208">
        <f t="shared" si="17"/>
        <v>1722.3000000000011</v>
      </c>
    </row>
    <row r="91" spans="1:17" s="111" customFormat="1" ht="30" customHeight="1">
      <c r="A91" s="139">
        <f t="shared" si="18"/>
        <v>89</v>
      </c>
      <c r="B91" s="113">
        <v>46060</v>
      </c>
      <c r="C91" s="112">
        <v>1383424</v>
      </c>
      <c r="D91" s="112" t="s">
        <v>126</v>
      </c>
      <c r="E91" s="114">
        <v>29.58</v>
      </c>
      <c r="F91" s="112" t="s">
        <v>36</v>
      </c>
      <c r="G91" s="199">
        <v>55</v>
      </c>
      <c r="H91" s="199">
        <f t="shared" si="15"/>
        <v>1626.8999999999999</v>
      </c>
      <c r="I91" s="114">
        <f>E91-0.16</f>
        <v>29.419999999999998</v>
      </c>
      <c r="J91" s="200">
        <f t="shared" si="16"/>
        <v>0.16000000000000014</v>
      </c>
      <c r="K91" s="201">
        <v>0.1</v>
      </c>
      <c r="L91" s="201">
        <f t="shared" si="19"/>
        <v>6.0000000000000137E-2</v>
      </c>
      <c r="M91" s="202">
        <v>930</v>
      </c>
      <c r="N91" s="203">
        <f t="shared" si="22"/>
        <v>55.800000000000125</v>
      </c>
      <c r="O91" s="200"/>
      <c r="P91" s="208">
        <f t="shared" si="17"/>
        <v>1571.0999999999997</v>
      </c>
    </row>
    <row r="92" spans="1:17" s="111" customFormat="1" ht="30" customHeight="1">
      <c r="A92" s="139">
        <f t="shared" si="18"/>
        <v>90</v>
      </c>
      <c r="B92" s="113">
        <v>46060</v>
      </c>
      <c r="C92" s="112">
        <v>1383425</v>
      </c>
      <c r="D92" s="112" t="s">
        <v>127</v>
      </c>
      <c r="E92" s="114">
        <v>32.18</v>
      </c>
      <c r="F92" s="112" t="s">
        <v>36</v>
      </c>
      <c r="G92" s="199">
        <v>55</v>
      </c>
      <c r="H92" s="199">
        <f t="shared" si="15"/>
        <v>1769.9</v>
      </c>
      <c r="I92" s="114">
        <f t="shared" si="23"/>
        <v>32.03</v>
      </c>
      <c r="J92" s="200">
        <f t="shared" si="16"/>
        <v>0.14999999999999858</v>
      </c>
      <c r="K92" s="201">
        <v>0.1</v>
      </c>
      <c r="L92" s="201">
        <f t="shared" si="19"/>
        <v>4.9999999999998573E-2</v>
      </c>
      <c r="M92" s="202">
        <v>930</v>
      </c>
      <c r="N92" s="203">
        <f t="shared" si="22"/>
        <v>46.499999999998671</v>
      </c>
      <c r="O92" s="200"/>
      <c r="P92" s="208">
        <f t="shared" si="17"/>
        <v>1723.4000000000015</v>
      </c>
    </row>
    <row r="93" spans="1:17" s="111" customFormat="1" ht="30" customHeight="1">
      <c r="A93" s="139">
        <f t="shared" si="18"/>
        <v>91</v>
      </c>
      <c r="B93" s="113">
        <v>46060</v>
      </c>
      <c r="C93" s="112">
        <v>1383426</v>
      </c>
      <c r="D93" s="112" t="s">
        <v>128</v>
      </c>
      <c r="E93" s="114">
        <v>32.200000000000003</v>
      </c>
      <c r="F93" s="112" t="s">
        <v>36</v>
      </c>
      <c r="G93" s="199">
        <v>55</v>
      </c>
      <c r="H93" s="199">
        <f t="shared" si="15"/>
        <v>1771.0000000000002</v>
      </c>
      <c r="I93" s="114">
        <f>E93-0.17</f>
        <v>32.03</v>
      </c>
      <c r="J93" s="200">
        <f t="shared" si="16"/>
        <v>0.17000000000000171</v>
      </c>
      <c r="K93" s="201">
        <v>0.1</v>
      </c>
      <c r="L93" s="201">
        <f t="shared" si="19"/>
        <v>7.00000000000017E-2</v>
      </c>
      <c r="M93" s="202">
        <v>930</v>
      </c>
      <c r="N93" s="203">
        <f t="shared" si="22"/>
        <v>65.100000000001586</v>
      </c>
      <c r="O93" s="200"/>
      <c r="P93" s="208">
        <f t="shared" si="17"/>
        <v>1705.8999999999987</v>
      </c>
    </row>
    <row r="94" spans="1:17" s="111" customFormat="1" ht="30" customHeight="1">
      <c r="A94" s="139">
        <f t="shared" si="18"/>
        <v>92</v>
      </c>
      <c r="B94" s="113">
        <v>46060</v>
      </c>
      <c r="C94" s="112">
        <v>1383427</v>
      </c>
      <c r="D94" s="112" t="s">
        <v>129</v>
      </c>
      <c r="E94" s="114">
        <v>26.7</v>
      </c>
      <c r="F94" s="112" t="s">
        <v>36</v>
      </c>
      <c r="G94" s="199">
        <v>55</v>
      </c>
      <c r="H94" s="199">
        <f t="shared" si="15"/>
        <v>1468.5</v>
      </c>
      <c r="I94" s="114">
        <f t="shared" si="23"/>
        <v>26.55</v>
      </c>
      <c r="J94" s="200">
        <f t="shared" si="16"/>
        <v>0.14999999999999858</v>
      </c>
      <c r="K94" s="201">
        <v>0.1</v>
      </c>
      <c r="L94" s="201">
        <f t="shared" si="19"/>
        <v>4.9999999999998573E-2</v>
      </c>
      <c r="M94" s="202">
        <v>930</v>
      </c>
      <c r="N94" s="203">
        <f t="shared" si="22"/>
        <v>46.499999999998671</v>
      </c>
      <c r="O94" s="200"/>
      <c r="P94" s="208">
        <f t="shared" si="17"/>
        <v>1422.0000000000014</v>
      </c>
    </row>
    <row r="95" spans="1:17" s="111" customFormat="1" ht="30" customHeight="1">
      <c r="A95" s="139">
        <f t="shared" si="18"/>
        <v>93</v>
      </c>
      <c r="B95" s="113">
        <v>46060</v>
      </c>
      <c r="C95" s="112">
        <v>1383428</v>
      </c>
      <c r="D95" s="112" t="s">
        <v>130</v>
      </c>
      <c r="E95" s="114">
        <v>27.22</v>
      </c>
      <c r="F95" s="112" t="s">
        <v>36</v>
      </c>
      <c r="G95" s="199">
        <v>55</v>
      </c>
      <c r="H95" s="199">
        <f t="shared" si="15"/>
        <v>1497.1</v>
      </c>
      <c r="I95" s="114">
        <f>E95-0.27</f>
        <v>26.95</v>
      </c>
      <c r="J95" s="200">
        <f t="shared" si="16"/>
        <v>0.26999999999999957</v>
      </c>
      <c r="K95" s="201">
        <v>0.1</v>
      </c>
      <c r="L95" s="201">
        <f t="shared" si="19"/>
        <v>0.16999999999999957</v>
      </c>
      <c r="M95" s="202">
        <v>930</v>
      </c>
      <c r="N95" s="203">
        <f t="shared" si="22"/>
        <v>158.0999999999996</v>
      </c>
      <c r="O95" s="200"/>
      <c r="P95" s="208">
        <f t="shared" si="17"/>
        <v>1339.0000000000002</v>
      </c>
    </row>
    <row r="96" spans="1:17" s="111" customFormat="1" ht="30" customHeight="1">
      <c r="A96" s="139">
        <f t="shared" si="18"/>
        <v>94</v>
      </c>
      <c r="B96" s="113">
        <v>46060</v>
      </c>
      <c r="C96" s="112">
        <v>1383429</v>
      </c>
      <c r="D96" s="112" t="s">
        <v>131</v>
      </c>
      <c r="E96" s="114">
        <v>30.34</v>
      </c>
      <c r="F96" s="112" t="s">
        <v>36</v>
      </c>
      <c r="G96" s="199">
        <v>55</v>
      </c>
      <c r="H96" s="199">
        <f t="shared" si="15"/>
        <v>1668.7</v>
      </c>
      <c r="I96" s="114">
        <f t="shared" ref="I96:I98" si="24">E96-0.27</f>
        <v>30.07</v>
      </c>
      <c r="J96" s="200">
        <f t="shared" si="16"/>
        <v>0.26999999999999957</v>
      </c>
      <c r="K96" s="201">
        <v>0.1</v>
      </c>
      <c r="L96" s="201">
        <f t="shared" si="19"/>
        <v>0.16999999999999957</v>
      </c>
      <c r="M96" s="202">
        <v>930</v>
      </c>
      <c r="N96" s="203">
        <f t="shared" si="22"/>
        <v>158.0999999999996</v>
      </c>
      <c r="O96" s="200"/>
      <c r="P96" s="208">
        <f t="shared" si="17"/>
        <v>1510.6000000000004</v>
      </c>
    </row>
    <row r="97" spans="1:17" s="111" customFormat="1" ht="30" customHeight="1">
      <c r="A97" s="139">
        <f t="shared" si="18"/>
        <v>95</v>
      </c>
      <c r="B97" s="113">
        <v>46060</v>
      </c>
      <c r="C97" s="112">
        <v>1383430</v>
      </c>
      <c r="D97" s="112" t="s">
        <v>132</v>
      </c>
      <c r="E97" s="114">
        <v>31.1</v>
      </c>
      <c r="F97" s="112" t="s">
        <v>36</v>
      </c>
      <c r="G97" s="199">
        <v>55</v>
      </c>
      <c r="H97" s="199">
        <f t="shared" si="15"/>
        <v>1710.5</v>
      </c>
      <c r="I97" s="114">
        <f>E97-0.24</f>
        <v>30.860000000000003</v>
      </c>
      <c r="J97" s="200">
        <f t="shared" si="16"/>
        <v>0.23999999999999844</v>
      </c>
      <c r="K97" s="201">
        <v>0.1</v>
      </c>
      <c r="L97" s="201">
        <f t="shared" si="19"/>
        <v>0.13999999999999843</v>
      </c>
      <c r="M97" s="202">
        <v>930</v>
      </c>
      <c r="N97" s="203">
        <f t="shared" si="22"/>
        <v>130.19999999999854</v>
      </c>
      <c r="O97" s="200"/>
      <c r="P97" s="208">
        <f t="shared" si="17"/>
        <v>1580.3000000000015</v>
      </c>
    </row>
    <row r="98" spans="1:17" s="111" customFormat="1" ht="30" customHeight="1">
      <c r="A98" s="139">
        <f t="shared" si="18"/>
        <v>96</v>
      </c>
      <c r="B98" s="113">
        <v>46060</v>
      </c>
      <c r="C98" s="112">
        <v>1383431</v>
      </c>
      <c r="D98" s="112" t="s">
        <v>133</v>
      </c>
      <c r="E98" s="114">
        <v>28.64</v>
      </c>
      <c r="F98" s="112" t="s">
        <v>36</v>
      </c>
      <c r="G98" s="199">
        <v>55</v>
      </c>
      <c r="H98" s="199">
        <f t="shared" si="15"/>
        <v>1575.2</v>
      </c>
      <c r="I98" s="114">
        <f t="shared" si="24"/>
        <v>28.37</v>
      </c>
      <c r="J98" s="200">
        <f t="shared" si="16"/>
        <v>0.26999999999999957</v>
      </c>
      <c r="K98" s="201">
        <v>0.1</v>
      </c>
      <c r="L98" s="201">
        <f t="shared" si="19"/>
        <v>0.16999999999999957</v>
      </c>
      <c r="M98" s="202">
        <v>930</v>
      </c>
      <c r="N98" s="203">
        <f t="shared" si="22"/>
        <v>158.0999999999996</v>
      </c>
      <c r="O98" s="200"/>
      <c r="P98" s="208">
        <f t="shared" si="17"/>
        <v>1417.1000000000004</v>
      </c>
    </row>
    <row r="99" spans="1:17" s="111" customFormat="1" ht="30" customHeight="1">
      <c r="A99" s="139">
        <f t="shared" si="18"/>
        <v>97</v>
      </c>
      <c r="B99" s="113">
        <v>46060</v>
      </c>
      <c r="C99" s="112">
        <v>1383432</v>
      </c>
      <c r="D99" s="112" t="s">
        <v>134</v>
      </c>
      <c r="E99" s="114">
        <v>24.32</v>
      </c>
      <c r="F99" s="112" t="s">
        <v>36</v>
      </c>
      <c r="G99" s="199">
        <v>55</v>
      </c>
      <c r="H99" s="199">
        <f t="shared" ref="H99:H130" si="25">E99*G99</f>
        <v>1337.6</v>
      </c>
      <c r="I99" s="114">
        <f>E99-0.29</f>
        <v>24.03</v>
      </c>
      <c r="J99" s="200">
        <f t="shared" si="16"/>
        <v>0.28999999999999915</v>
      </c>
      <c r="K99" s="201">
        <v>0.1</v>
      </c>
      <c r="L99" s="201">
        <f t="shared" si="19"/>
        <v>0.18999999999999914</v>
      </c>
      <c r="M99" s="202">
        <v>930</v>
      </c>
      <c r="N99" s="203">
        <f t="shared" si="22"/>
        <v>176.69999999999919</v>
      </c>
      <c r="O99" s="200"/>
      <c r="P99" s="208">
        <f t="shared" si="17"/>
        <v>1160.9000000000008</v>
      </c>
    </row>
    <row r="100" spans="1:17" s="111" customFormat="1" ht="30" customHeight="1">
      <c r="A100" s="139">
        <f t="shared" si="18"/>
        <v>98</v>
      </c>
      <c r="B100" s="113">
        <v>46060</v>
      </c>
      <c r="C100" s="112">
        <v>1383433</v>
      </c>
      <c r="D100" s="112" t="s">
        <v>135</v>
      </c>
      <c r="E100" s="114">
        <v>29.32</v>
      </c>
      <c r="F100" s="112" t="s">
        <v>36</v>
      </c>
      <c r="G100" s="199">
        <v>55</v>
      </c>
      <c r="H100" s="199">
        <f t="shared" si="25"/>
        <v>1612.6</v>
      </c>
      <c r="I100" s="114">
        <f>E100-0.08</f>
        <v>29.240000000000002</v>
      </c>
      <c r="J100" s="200">
        <f t="shared" si="16"/>
        <v>7.9999999999998295E-2</v>
      </c>
      <c r="K100" s="201"/>
      <c r="L100" s="200"/>
      <c r="M100" s="200"/>
      <c r="N100" s="203"/>
      <c r="O100" s="200"/>
      <c r="P100" s="208">
        <f t="shared" si="17"/>
        <v>1612.6</v>
      </c>
    </row>
    <row r="101" spans="1:17" s="111" customFormat="1" ht="30" customHeight="1">
      <c r="A101" s="139">
        <f t="shared" si="18"/>
        <v>99</v>
      </c>
      <c r="B101" s="113">
        <v>46060</v>
      </c>
      <c r="C101" s="112">
        <v>1383434</v>
      </c>
      <c r="D101" s="112" t="s">
        <v>136</v>
      </c>
      <c r="E101" s="114">
        <v>31.18</v>
      </c>
      <c r="F101" s="112" t="s">
        <v>36</v>
      </c>
      <c r="G101" s="199">
        <v>55</v>
      </c>
      <c r="H101" s="199">
        <f t="shared" si="25"/>
        <v>1714.9</v>
      </c>
      <c r="I101" s="114">
        <f>E101-0.09</f>
        <v>31.09</v>
      </c>
      <c r="J101" s="200">
        <f t="shared" si="16"/>
        <v>8.9999999999999858E-2</v>
      </c>
      <c r="K101" s="201"/>
      <c r="L101" s="200"/>
      <c r="M101" s="200"/>
      <c r="N101" s="203"/>
      <c r="O101" s="200"/>
      <c r="P101" s="208">
        <f t="shared" si="17"/>
        <v>1714.9</v>
      </c>
    </row>
    <row r="102" spans="1:17" s="111" customFormat="1" ht="30" customHeight="1">
      <c r="A102" s="139">
        <f t="shared" si="18"/>
        <v>100</v>
      </c>
      <c r="B102" s="113">
        <v>46060</v>
      </c>
      <c r="C102" s="112">
        <v>1383435</v>
      </c>
      <c r="D102" s="112" t="s">
        <v>137</v>
      </c>
      <c r="E102" s="114">
        <v>31.88</v>
      </c>
      <c r="F102" s="112" t="s">
        <v>36</v>
      </c>
      <c r="G102" s="199">
        <v>55</v>
      </c>
      <c r="H102" s="199">
        <f t="shared" si="25"/>
        <v>1753.3999999999999</v>
      </c>
      <c r="I102" s="114">
        <f>E102-0.07</f>
        <v>31.81</v>
      </c>
      <c r="J102" s="200">
        <f t="shared" si="16"/>
        <v>7.0000000000000284E-2</v>
      </c>
      <c r="K102" s="201"/>
      <c r="L102" s="200"/>
      <c r="M102" s="200"/>
      <c r="N102" s="203"/>
      <c r="O102" s="200"/>
      <c r="P102" s="208">
        <f t="shared" si="17"/>
        <v>1753.3999999999999</v>
      </c>
    </row>
    <row r="103" spans="1:17" s="111" customFormat="1" ht="30" customHeight="1">
      <c r="A103" s="139">
        <f t="shared" si="18"/>
        <v>101</v>
      </c>
      <c r="B103" s="113">
        <v>46060</v>
      </c>
      <c r="C103" s="112">
        <v>1383436</v>
      </c>
      <c r="D103" s="112" t="s">
        <v>138</v>
      </c>
      <c r="E103" s="114">
        <v>31.94</v>
      </c>
      <c r="F103" s="112" t="s">
        <v>36</v>
      </c>
      <c r="G103" s="199">
        <v>55</v>
      </c>
      <c r="H103" s="199">
        <f t="shared" si="25"/>
        <v>1756.7</v>
      </c>
      <c r="I103" s="114">
        <f>E103-0.08</f>
        <v>31.860000000000003</v>
      </c>
      <c r="J103" s="200">
        <f t="shared" si="16"/>
        <v>7.9999999999998295E-2</v>
      </c>
      <c r="K103" s="201"/>
      <c r="L103" s="200"/>
      <c r="M103" s="200"/>
      <c r="N103" s="203"/>
      <c r="O103" s="200"/>
      <c r="P103" s="208">
        <f t="shared" si="17"/>
        <v>1756.7</v>
      </c>
    </row>
    <row r="104" spans="1:17" s="111" customFormat="1" ht="30" customHeight="1">
      <c r="A104" s="139">
        <f t="shared" si="18"/>
        <v>102</v>
      </c>
      <c r="B104" s="113">
        <v>46060</v>
      </c>
      <c r="C104" s="112">
        <v>1383437</v>
      </c>
      <c r="D104" s="112" t="s">
        <v>139</v>
      </c>
      <c r="E104" s="114">
        <v>31.28</v>
      </c>
      <c r="F104" s="112" t="s">
        <v>36</v>
      </c>
      <c r="G104" s="199">
        <v>55</v>
      </c>
      <c r="H104" s="199">
        <f t="shared" si="25"/>
        <v>1720.4</v>
      </c>
      <c r="I104" s="114">
        <f>E104-0.18</f>
        <v>31.1</v>
      </c>
      <c r="J104" s="200">
        <f t="shared" si="16"/>
        <v>0.17999999999999972</v>
      </c>
      <c r="K104" s="201">
        <v>0.1</v>
      </c>
      <c r="L104" s="201">
        <f t="shared" si="19"/>
        <v>7.999999999999971E-2</v>
      </c>
      <c r="M104" s="202">
        <v>930</v>
      </c>
      <c r="N104" s="203">
        <f>L104*M104</f>
        <v>74.399999999999736</v>
      </c>
      <c r="O104" s="200"/>
      <c r="P104" s="208">
        <f t="shared" si="17"/>
        <v>1646.0000000000005</v>
      </c>
    </row>
    <row r="105" spans="1:17" s="111" customFormat="1" ht="30" customHeight="1">
      <c r="A105" s="139">
        <f t="shared" si="18"/>
        <v>103</v>
      </c>
      <c r="B105" s="113">
        <v>46060</v>
      </c>
      <c r="C105" s="112">
        <v>1383438</v>
      </c>
      <c r="D105" s="112" t="s">
        <v>140</v>
      </c>
      <c r="E105" s="114">
        <v>29.72</v>
      </c>
      <c r="F105" s="112" t="s">
        <v>36</v>
      </c>
      <c r="G105" s="199">
        <v>55</v>
      </c>
      <c r="H105" s="199">
        <f t="shared" si="25"/>
        <v>1634.6</v>
      </c>
      <c r="I105" s="114">
        <f t="shared" ref="I105:I108" si="26">E105-0.08</f>
        <v>29.64</v>
      </c>
      <c r="J105" s="200">
        <f t="shared" si="16"/>
        <v>7.9999999999998295E-2</v>
      </c>
      <c r="K105" s="201"/>
      <c r="L105" s="200"/>
      <c r="M105" s="200"/>
      <c r="N105" s="203"/>
      <c r="O105" s="200"/>
      <c r="P105" s="208">
        <f t="shared" si="17"/>
        <v>1634.6</v>
      </c>
    </row>
    <row r="106" spans="1:17" s="111" customFormat="1" ht="30" customHeight="1">
      <c r="A106" s="139">
        <f t="shared" si="18"/>
        <v>104</v>
      </c>
      <c r="B106" s="113">
        <v>46060</v>
      </c>
      <c r="C106" s="112">
        <v>1383439</v>
      </c>
      <c r="D106" s="112" t="s">
        <v>141</v>
      </c>
      <c r="E106" s="114">
        <v>31.74</v>
      </c>
      <c r="F106" s="112" t="s">
        <v>36</v>
      </c>
      <c r="G106" s="199">
        <v>55</v>
      </c>
      <c r="H106" s="199">
        <f t="shared" si="25"/>
        <v>1745.6999999999998</v>
      </c>
      <c r="I106" s="114">
        <f>E106-0.19</f>
        <v>31.549999999999997</v>
      </c>
      <c r="J106" s="200">
        <f t="shared" si="16"/>
        <v>0.19000000000000128</v>
      </c>
      <c r="K106" s="201">
        <v>0.1</v>
      </c>
      <c r="L106" s="201">
        <f t="shared" si="19"/>
        <v>9.0000000000001273E-2</v>
      </c>
      <c r="M106" s="202">
        <v>930</v>
      </c>
      <c r="N106" s="203">
        <f>L106*M106</f>
        <v>83.700000000001182</v>
      </c>
      <c r="O106" s="200"/>
      <c r="P106" s="208">
        <f t="shared" si="17"/>
        <v>1661.9999999999986</v>
      </c>
      <c r="Q106" s="111">
        <v>67</v>
      </c>
    </row>
    <row r="107" spans="1:17" s="111" customFormat="1" ht="30" customHeight="1">
      <c r="A107" s="139">
        <f t="shared" si="18"/>
        <v>105</v>
      </c>
      <c r="B107" s="113">
        <v>46060</v>
      </c>
      <c r="C107" s="112">
        <v>1383440</v>
      </c>
      <c r="D107" s="112" t="s">
        <v>142</v>
      </c>
      <c r="E107" s="114">
        <v>26.18</v>
      </c>
      <c r="F107" s="112" t="s">
        <v>36</v>
      </c>
      <c r="G107" s="199">
        <v>55</v>
      </c>
      <c r="H107" s="199">
        <f t="shared" si="25"/>
        <v>1439.9</v>
      </c>
      <c r="I107" s="114">
        <f t="shared" si="26"/>
        <v>26.1</v>
      </c>
      <c r="J107" s="200">
        <f t="shared" si="16"/>
        <v>7.9999999999998295E-2</v>
      </c>
      <c r="K107" s="201"/>
      <c r="L107" s="200"/>
      <c r="M107" s="200"/>
      <c r="N107" s="203"/>
      <c r="O107" s="200"/>
      <c r="P107" s="208">
        <f t="shared" si="17"/>
        <v>1439.9</v>
      </c>
    </row>
    <row r="108" spans="1:17" s="111" customFormat="1" ht="30" customHeight="1">
      <c r="A108" s="139">
        <f t="shared" si="18"/>
        <v>106</v>
      </c>
      <c r="B108" s="113">
        <v>46060</v>
      </c>
      <c r="C108" s="112">
        <v>1383441</v>
      </c>
      <c r="D108" s="112" t="s">
        <v>143</v>
      </c>
      <c r="E108" s="114">
        <v>32.54</v>
      </c>
      <c r="F108" s="112" t="s">
        <v>36</v>
      </c>
      <c r="G108" s="199">
        <v>55</v>
      </c>
      <c r="H108" s="199">
        <f t="shared" si="25"/>
        <v>1789.7</v>
      </c>
      <c r="I108" s="114">
        <f t="shared" si="26"/>
        <v>32.46</v>
      </c>
      <c r="J108" s="200">
        <f t="shared" si="16"/>
        <v>7.9999999999998295E-2</v>
      </c>
      <c r="K108" s="201"/>
      <c r="L108" s="200"/>
      <c r="M108" s="200"/>
      <c r="N108" s="203"/>
      <c r="O108" s="200"/>
      <c r="P108" s="208">
        <f t="shared" si="17"/>
        <v>1789.7</v>
      </c>
    </row>
    <row r="109" spans="1:17" s="111" customFormat="1" ht="30" customHeight="1">
      <c r="A109" s="139">
        <f t="shared" si="18"/>
        <v>107</v>
      </c>
      <c r="B109" s="113">
        <v>46060</v>
      </c>
      <c r="C109" s="112">
        <v>1383442</v>
      </c>
      <c r="D109" s="112" t="s">
        <v>144</v>
      </c>
      <c r="E109" s="114">
        <v>31.14</v>
      </c>
      <c r="F109" s="112" t="s">
        <v>36</v>
      </c>
      <c r="G109" s="199">
        <v>55</v>
      </c>
      <c r="H109" s="199">
        <f t="shared" si="25"/>
        <v>1712.7</v>
      </c>
      <c r="I109" s="114">
        <f>E109-0.24</f>
        <v>30.900000000000002</v>
      </c>
      <c r="J109" s="200">
        <f t="shared" si="16"/>
        <v>0.23999999999999844</v>
      </c>
      <c r="K109" s="201">
        <v>0.1</v>
      </c>
      <c r="L109" s="201">
        <f t="shared" si="19"/>
        <v>0.13999999999999843</v>
      </c>
      <c r="M109" s="202">
        <v>930</v>
      </c>
      <c r="N109" s="203">
        <f t="shared" ref="N109:N118" si="27">L109*M109</f>
        <v>130.19999999999854</v>
      </c>
      <c r="O109" s="200"/>
      <c r="P109" s="208">
        <f t="shared" si="17"/>
        <v>1582.5000000000016</v>
      </c>
    </row>
    <row r="110" spans="1:17" s="111" customFormat="1" ht="30" customHeight="1">
      <c r="A110" s="139">
        <f t="shared" si="18"/>
        <v>108</v>
      </c>
      <c r="B110" s="113">
        <v>46060</v>
      </c>
      <c r="C110" s="112">
        <v>1383443</v>
      </c>
      <c r="D110" s="112" t="s">
        <v>145</v>
      </c>
      <c r="E110" s="114">
        <v>31.9</v>
      </c>
      <c r="F110" s="112" t="s">
        <v>36</v>
      </c>
      <c r="G110" s="199">
        <v>55</v>
      </c>
      <c r="H110" s="199">
        <f t="shared" si="25"/>
        <v>1754.5</v>
      </c>
      <c r="I110" s="114">
        <f>E110-0.14</f>
        <v>31.759999999999998</v>
      </c>
      <c r="J110" s="200">
        <f t="shared" si="16"/>
        <v>0.14000000000000057</v>
      </c>
      <c r="K110" s="201">
        <v>0.1</v>
      </c>
      <c r="L110" s="201">
        <f t="shared" si="19"/>
        <v>4.0000000000000563E-2</v>
      </c>
      <c r="M110" s="202">
        <v>930</v>
      </c>
      <c r="N110" s="203">
        <f t="shared" si="27"/>
        <v>37.200000000000522</v>
      </c>
      <c r="O110" s="200"/>
      <c r="P110" s="208">
        <f t="shared" si="17"/>
        <v>1717.2999999999995</v>
      </c>
    </row>
    <row r="111" spans="1:17" s="111" customFormat="1" ht="30" customHeight="1">
      <c r="A111" s="139">
        <f t="shared" si="18"/>
        <v>109</v>
      </c>
      <c r="B111" s="113">
        <v>46060</v>
      </c>
      <c r="C111" s="112">
        <v>1383444</v>
      </c>
      <c r="D111" s="112" t="s">
        <v>146</v>
      </c>
      <c r="E111" s="114">
        <v>31.64</v>
      </c>
      <c r="F111" s="112" t="s">
        <v>36</v>
      </c>
      <c r="G111" s="199">
        <v>55</v>
      </c>
      <c r="H111" s="199">
        <f t="shared" si="25"/>
        <v>1740.2</v>
      </c>
      <c r="I111" s="114">
        <f t="shared" ref="I111:I115" si="28">E111-0.24</f>
        <v>31.400000000000002</v>
      </c>
      <c r="J111" s="200">
        <f t="shared" si="16"/>
        <v>0.23999999999999844</v>
      </c>
      <c r="K111" s="201">
        <v>0.1</v>
      </c>
      <c r="L111" s="201">
        <f t="shared" si="19"/>
        <v>0.13999999999999843</v>
      </c>
      <c r="M111" s="202">
        <v>930</v>
      </c>
      <c r="N111" s="203">
        <f t="shared" si="27"/>
        <v>130.19999999999854</v>
      </c>
      <c r="O111" s="200"/>
      <c r="P111" s="208">
        <f t="shared" si="17"/>
        <v>1610.0000000000016</v>
      </c>
    </row>
    <row r="112" spans="1:17" s="111" customFormat="1" ht="30" customHeight="1">
      <c r="A112" s="139">
        <f t="shared" si="18"/>
        <v>110</v>
      </c>
      <c r="B112" s="113">
        <v>46060</v>
      </c>
      <c r="C112" s="112">
        <v>1383445</v>
      </c>
      <c r="D112" s="112" t="s">
        <v>147</v>
      </c>
      <c r="E112" s="114">
        <v>32.86</v>
      </c>
      <c r="F112" s="112" t="s">
        <v>36</v>
      </c>
      <c r="G112" s="199">
        <v>55</v>
      </c>
      <c r="H112" s="199">
        <f t="shared" si="25"/>
        <v>1807.3</v>
      </c>
      <c r="I112" s="114">
        <f>E112-0.28</f>
        <v>32.58</v>
      </c>
      <c r="J112" s="200">
        <f t="shared" si="16"/>
        <v>0.28000000000000114</v>
      </c>
      <c r="K112" s="201">
        <v>0.1</v>
      </c>
      <c r="L112" s="201">
        <f t="shared" si="19"/>
        <v>0.18000000000000113</v>
      </c>
      <c r="M112" s="202">
        <v>930</v>
      </c>
      <c r="N112" s="203">
        <f t="shared" si="27"/>
        <v>167.40000000000106</v>
      </c>
      <c r="O112" s="200"/>
      <c r="P112" s="208">
        <f t="shared" si="17"/>
        <v>1639.899999999999</v>
      </c>
    </row>
    <row r="113" spans="1:17" s="111" customFormat="1" ht="30" customHeight="1">
      <c r="A113" s="139">
        <f t="shared" si="18"/>
        <v>111</v>
      </c>
      <c r="B113" s="113">
        <v>46060</v>
      </c>
      <c r="C113" s="112">
        <v>1383446</v>
      </c>
      <c r="D113" s="112" t="s">
        <v>148</v>
      </c>
      <c r="E113" s="114">
        <v>28.24</v>
      </c>
      <c r="F113" s="112" t="s">
        <v>36</v>
      </c>
      <c r="G113" s="199">
        <v>55</v>
      </c>
      <c r="H113" s="199">
        <f t="shared" si="25"/>
        <v>1553.1999999999998</v>
      </c>
      <c r="I113" s="114">
        <f t="shared" si="28"/>
        <v>28</v>
      </c>
      <c r="J113" s="200">
        <f t="shared" si="16"/>
        <v>0.23999999999999844</v>
      </c>
      <c r="K113" s="201">
        <v>0.1</v>
      </c>
      <c r="L113" s="201">
        <f t="shared" si="19"/>
        <v>0.13999999999999843</v>
      </c>
      <c r="M113" s="202">
        <v>930</v>
      </c>
      <c r="N113" s="203">
        <f t="shared" si="27"/>
        <v>130.19999999999854</v>
      </c>
      <c r="O113" s="200"/>
      <c r="P113" s="208">
        <f t="shared" si="17"/>
        <v>1423.0000000000014</v>
      </c>
    </row>
    <row r="114" spans="1:17" s="111" customFormat="1" ht="30" customHeight="1">
      <c r="A114" s="139">
        <f t="shared" si="18"/>
        <v>112</v>
      </c>
      <c r="B114" s="113">
        <v>46060</v>
      </c>
      <c r="C114" s="112">
        <v>1383447</v>
      </c>
      <c r="D114" s="112" t="s">
        <v>149</v>
      </c>
      <c r="E114" s="114">
        <v>30.08</v>
      </c>
      <c r="F114" s="112" t="s">
        <v>36</v>
      </c>
      <c r="G114" s="199">
        <v>55</v>
      </c>
      <c r="H114" s="199">
        <f t="shared" si="25"/>
        <v>1654.3999999999999</v>
      </c>
      <c r="I114" s="114">
        <f>E114-0.29</f>
        <v>29.79</v>
      </c>
      <c r="J114" s="200">
        <f t="shared" si="16"/>
        <v>0.28999999999999915</v>
      </c>
      <c r="K114" s="201">
        <v>0.1</v>
      </c>
      <c r="L114" s="201">
        <f t="shared" si="19"/>
        <v>0.18999999999999914</v>
      </c>
      <c r="M114" s="202">
        <v>930</v>
      </c>
      <c r="N114" s="203">
        <f t="shared" si="27"/>
        <v>176.69999999999919</v>
      </c>
      <c r="O114" s="200"/>
      <c r="P114" s="208">
        <f t="shared" si="17"/>
        <v>1477.7000000000007</v>
      </c>
    </row>
    <row r="115" spans="1:17" s="111" customFormat="1" ht="30" customHeight="1">
      <c r="A115" s="139">
        <f t="shared" si="18"/>
        <v>113</v>
      </c>
      <c r="B115" s="113">
        <v>46060</v>
      </c>
      <c r="C115" s="112">
        <v>1383448</v>
      </c>
      <c r="D115" s="112" t="s">
        <v>150</v>
      </c>
      <c r="E115" s="114">
        <v>29.34</v>
      </c>
      <c r="F115" s="112" t="s">
        <v>36</v>
      </c>
      <c r="G115" s="199">
        <v>55</v>
      </c>
      <c r="H115" s="199">
        <f t="shared" si="25"/>
        <v>1613.7</v>
      </c>
      <c r="I115" s="114">
        <f t="shared" si="28"/>
        <v>29.1</v>
      </c>
      <c r="J115" s="200">
        <f t="shared" si="16"/>
        <v>0.23999999999999844</v>
      </c>
      <c r="K115" s="201">
        <v>0.1</v>
      </c>
      <c r="L115" s="201">
        <f t="shared" si="19"/>
        <v>0.13999999999999843</v>
      </c>
      <c r="M115" s="202">
        <v>930</v>
      </c>
      <c r="N115" s="203">
        <f t="shared" si="27"/>
        <v>130.19999999999854</v>
      </c>
      <c r="O115" s="200"/>
      <c r="P115" s="208">
        <f t="shared" si="17"/>
        <v>1483.5000000000016</v>
      </c>
    </row>
    <row r="116" spans="1:17" s="111" customFormat="1" ht="30" customHeight="1">
      <c r="A116" s="139">
        <f t="shared" si="18"/>
        <v>114</v>
      </c>
      <c r="B116" s="113">
        <v>46060</v>
      </c>
      <c r="C116" s="112">
        <v>1383449</v>
      </c>
      <c r="D116" s="112" t="s">
        <v>151</v>
      </c>
      <c r="E116" s="114">
        <v>29.8</v>
      </c>
      <c r="F116" s="112" t="s">
        <v>36</v>
      </c>
      <c r="G116" s="199">
        <v>55</v>
      </c>
      <c r="H116" s="199">
        <f t="shared" si="25"/>
        <v>1639</v>
      </c>
      <c r="I116" s="114">
        <f>E116-0.22</f>
        <v>29.580000000000002</v>
      </c>
      <c r="J116" s="200">
        <f t="shared" si="16"/>
        <v>0.21999999999999886</v>
      </c>
      <c r="K116" s="201">
        <v>0.1</v>
      </c>
      <c r="L116" s="201">
        <f t="shared" si="19"/>
        <v>0.11999999999999886</v>
      </c>
      <c r="M116" s="202">
        <v>930</v>
      </c>
      <c r="N116" s="203">
        <f t="shared" si="27"/>
        <v>111.59999999999894</v>
      </c>
      <c r="O116" s="200"/>
      <c r="P116" s="208">
        <f t="shared" si="17"/>
        <v>1527.400000000001</v>
      </c>
    </row>
    <row r="117" spans="1:17" s="111" customFormat="1" ht="30" customHeight="1">
      <c r="A117" s="139">
        <f t="shared" si="18"/>
        <v>115</v>
      </c>
      <c r="B117" s="113">
        <v>46060</v>
      </c>
      <c r="C117" s="112">
        <v>1383450</v>
      </c>
      <c r="D117" s="112" t="s">
        <v>152</v>
      </c>
      <c r="E117" s="114">
        <v>30.9</v>
      </c>
      <c r="F117" s="112" t="s">
        <v>36</v>
      </c>
      <c r="G117" s="199">
        <v>55</v>
      </c>
      <c r="H117" s="199">
        <f t="shared" si="25"/>
        <v>1699.5</v>
      </c>
      <c r="I117" s="114">
        <f>E117-0.17</f>
        <v>30.729999999999997</v>
      </c>
      <c r="J117" s="200">
        <f t="shared" si="16"/>
        <v>0.17000000000000171</v>
      </c>
      <c r="K117" s="201">
        <v>0.1</v>
      </c>
      <c r="L117" s="201">
        <f t="shared" si="19"/>
        <v>7.00000000000017E-2</v>
      </c>
      <c r="M117" s="202">
        <v>930</v>
      </c>
      <c r="N117" s="203">
        <f t="shared" si="27"/>
        <v>65.100000000001586</v>
      </c>
      <c r="O117" s="200"/>
      <c r="P117" s="208">
        <f t="shared" si="17"/>
        <v>1634.3999999999985</v>
      </c>
    </row>
    <row r="118" spans="1:17" s="111" customFormat="1" ht="30" customHeight="1">
      <c r="A118" s="139">
        <f t="shared" si="18"/>
        <v>116</v>
      </c>
      <c r="B118" s="113">
        <v>46060</v>
      </c>
      <c r="C118" s="112">
        <v>1383451</v>
      </c>
      <c r="D118" s="112" t="s">
        <v>153</v>
      </c>
      <c r="E118" s="114">
        <v>30.36</v>
      </c>
      <c r="F118" s="112" t="s">
        <v>36</v>
      </c>
      <c r="G118" s="199">
        <v>55</v>
      </c>
      <c r="H118" s="199">
        <f t="shared" si="25"/>
        <v>1669.8</v>
      </c>
      <c r="I118" s="114">
        <v>30.11</v>
      </c>
      <c r="J118" s="200">
        <f t="shared" si="16"/>
        <v>0.25</v>
      </c>
      <c r="K118" s="201">
        <v>0.1</v>
      </c>
      <c r="L118" s="201">
        <f t="shared" si="19"/>
        <v>0.15</v>
      </c>
      <c r="M118" s="202">
        <v>930</v>
      </c>
      <c r="N118" s="203">
        <f t="shared" si="27"/>
        <v>139.5</v>
      </c>
      <c r="O118" s="200"/>
      <c r="P118" s="208">
        <f t="shared" si="17"/>
        <v>1530.3</v>
      </c>
    </row>
    <row r="119" spans="1:17" s="111" customFormat="1" ht="30" customHeight="1">
      <c r="A119" s="139">
        <f t="shared" si="18"/>
        <v>117</v>
      </c>
      <c r="B119" s="113">
        <v>46060</v>
      </c>
      <c r="C119" s="112">
        <v>1383452</v>
      </c>
      <c r="D119" s="112" t="s">
        <v>154</v>
      </c>
      <c r="E119" s="114">
        <v>30.56</v>
      </c>
      <c r="F119" s="112" t="s">
        <v>36</v>
      </c>
      <c r="G119" s="199">
        <v>55</v>
      </c>
      <c r="H119" s="199">
        <f t="shared" si="25"/>
        <v>1680.8</v>
      </c>
      <c r="I119" s="114">
        <v>30.47</v>
      </c>
      <c r="J119" s="200">
        <f t="shared" si="16"/>
        <v>8.9999999999999858E-2</v>
      </c>
      <c r="K119" s="201"/>
      <c r="L119" s="200"/>
      <c r="M119" s="200"/>
      <c r="N119" s="203"/>
      <c r="O119" s="200"/>
      <c r="P119" s="208">
        <f t="shared" si="17"/>
        <v>1680.8</v>
      </c>
    </row>
    <row r="120" spans="1:17" s="111" customFormat="1" ht="30" customHeight="1">
      <c r="A120" s="139">
        <f t="shared" si="18"/>
        <v>118</v>
      </c>
      <c r="B120" s="113">
        <v>46061</v>
      </c>
      <c r="C120" s="112">
        <v>1383453</v>
      </c>
      <c r="D120" s="112" t="s">
        <v>155</v>
      </c>
      <c r="E120" s="114">
        <v>27.96</v>
      </c>
      <c r="F120" s="112" t="s">
        <v>36</v>
      </c>
      <c r="G120" s="199">
        <v>55</v>
      </c>
      <c r="H120" s="199">
        <f t="shared" si="25"/>
        <v>1537.8</v>
      </c>
      <c r="I120" s="114">
        <v>27.9</v>
      </c>
      <c r="J120" s="200">
        <f t="shared" si="16"/>
        <v>6.0000000000002274E-2</v>
      </c>
      <c r="K120" s="201"/>
      <c r="L120" s="200"/>
      <c r="M120" s="200"/>
      <c r="N120" s="203"/>
      <c r="O120" s="200"/>
      <c r="P120" s="208">
        <f t="shared" si="17"/>
        <v>1537.8</v>
      </c>
      <c r="Q120" s="111">
        <v>68</v>
      </c>
    </row>
    <row r="121" spans="1:17" s="111" customFormat="1" ht="30" customHeight="1">
      <c r="A121" s="139">
        <f t="shared" si="18"/>
        <v>119</v>
      </c>
      <c r="B121" s="113">
        <v>46061</v>
      </c>
      <c r="C121" s="112">
        <v>1383454</v>
      </c>
      <c r="D121" s="112" t="s">
        <v>156</v>
      </c>
      <c r="E121" s="114">
        <v>31.8</v>
      </c>
      <c r="F121" s="112" t="s">
        <v>36</v>
      </c>
      <c r="G121" s="199">
        <v>55</v>
      </c>
      <c r="H121" s="199">
        <f t="shared" si="25"/>
        <v>1749</v>
      </c>
      <c r="I121" s="114">
        <v>31.75</v>
      </c>
      <c r="J121" s="200">
        <f t="shared" si="16"/>
        <v>5.0000000000000711E-2</v>
      </c>
      <c r="K121" s="201"/>
      <c r="L121" s="200"/>
      <c r="M121" s="200"/>
      <c r="N121" s="203"/>
      <c r="O121" s="200"/>
      <c r="P121" s="208">
        <f t="shared" si="17"/>
        <v>1749</v>
      </c>
    </row>
    <row r="122" spans="1:17" s="111" customFormat="1" ht="30" customHeight="1">
      <c r="A122" s="139">
        <f t="shared" si="18"/>
        <v>120</v>
      </c>
      <c r="B122" s="113">
        <v>46061</v>
      </c>
      <c r="C122" s="112">
        <v>1383455</v>
      </c>
      <c r="D122" s="112" t="s">
        <v>157</v>
      </c>
      <c r="E122" s="114">
        <v>31.98</v>
      </c>
      <c r="F122" s="112" t="s">
        <v>36</v>
      </c>
      <c r="G122" s="199">
        <v>55</v>
      </c>
      <c r="H122" s="199">
        <f t="shared" si="25"/>
        <v>1758.9</v>
      </c>
      <c r="I122" s="114">
        <v>31.78</v>
      </c>
      <c r="J122" s="200">
        <f t="shared" si="16"/>
        <v>0.19999999999999929</v>
      </c>
      <c r="K122" s="201">
        <v>0.1</v>
      </c>
      <c r="L122" s="201">
        <f t="shared" si="19"/>
        <v>9.9999999999999284E-2</v>
      </c>
      <c r="M122" s="202">
        <v>930</v>
      </c>
      <c r="N122" s="203">
        <f t="shared" ref="N122:N128" si="29">L122*M122</f>
        <v>92.999999999999332</v>
      </c>
      <c r="O122" s="200"/>
      <c r="P122" s="208">
        <f t="shared" si="17"/>
        <v>1665.9000000000008</v>
      </c>
    </row>
    <row r="123" spans="1:17" s="111" customFormat="1" ht="30" customHeight="1">
      <c r="A123" s="139">
        <f t="shared" si="18"/>
        <v>121</v>
      </c>
      <c r="B123" s="113">
        <v>46061</v>
      </c>
      <c r="C123" s="112">
        <v>1383456</v>
      </c>
      <c r="D123" s="112" t="s">
        <v>158</v>
      </c>
      <c r="E123" s="114">
        <v>33.46</v>
      </c>
      <c r="F123" s="112" t="s">
        <v>36</v>
      </c>
      <c r="G123" s="199">
        <v>55</v>
      </c>
      <c r="H123" s="199">
        <f t="shared" si="25"/>
        <v>1840.3</v>
      </c>
      <c r="I123" s="114">
        <v>33.29</v>
      </c>
      <c r="J123" s="200">
        <f t="shared" si="16"/>
        <v>0.17000000000000171</v>
      </c>
      <c r="K123" s="201">
        <v>0.1</v>
      </c>
      <c r="L123" s="201">
        <f t="shared" si="19"/>
        <v>7.00000000000017E-2</v>
      </c>
      <c r="M123" s="202">
        <v>930</v>
      </c>
      <c r="N123" s="203">
        <f t="shared" si="29"/>
        <v>65.100000000001586</v>
      </c>
      <c r="O123" s="200"/>
      <c r="P123" s="208">
        <f t="shared" si="17"/>
        <v>1775.1999999999985</v>
      </c>
    </row>
    <row r="124" spans="1:17" s="111" customFormat="1" ht="30" customHeight="1">
      <c r="A124" s="139">
        <f t="shared" si="18"/>
        <v>122</v>
      </c>
      <c r="B124" s="113">
        <v>46061</v>
      </c>
      <c r="C124" s="112">
        <v>1383457</v>
      </c>
      <c r="D124" s="112" t="s">
        <v>159</v>
      </c>
      <c r="E124" s="114">
        <v>32.479999999999997</v>
      </c>
      <c r="F124" s="112" t="s">
        <v>36</v>
      </c>
      <c r="G124" s="199">
        <v>55</v>
      </c>
      <c r="H124" s="199">
        <f t="shared" si="25"/>
        <v>1786.3999999999999</v>
      </c>
      <c r="I124" s="114">
        <v>32.17</v>
      </c>
      <c r="J124" s="200">
        <f t="shared" si="16"/>
        <v>0.30999999999999517</v>
      </c>
      <c r="K124" s="201">
        <v>0.1</v>
      </c>
      <c r="L124" s="201">
        <f t="shared" si="19"/>
        <v>0.20999999999999516</v>
      </c>
      <c r="M124" s="202">
        <v>930</v>
      </c>
      <c r="N124" s="203">
        <f t="shared" si="29"/>
        <v>195.29999999999549</v>
      </c>
      <c r="O124" s="200"/>
      <c r="P124" s="208">
        <f t="shared" si="17"/>
        <v>1591.1000000000045</v>
      </c>
    </row>
    <row r="125" spans="1:17" s="111" customFormat="1" ht="30" customHeight="1">
      <c r="A125" s="139">
        <f t="shared" si="18"/>
        <v>123</v>
      </c>
      <c r="B125" s="113">
        <v>46061</v>
      </c>
      <c r="C125" s="112">
        <v>1383458</v>
      </c>
      <c r="D125" s="112" t="s">
        <v>160</v>
      </c>
      <c r="E125" s="114">
        <v>30.48</v>
      </c>
      <c r="F125" s="112" t="s">
        <v>36</v>
      </c>
      <c r="G125" s="199">
        <v>55</v>
      </c>
      <c r="H125" s="199">
        <f t="shared" si="25"/>
        <v>1676.4</v>
      </c>
      <c r="I125" s="114">
        <v>30.15</v>
      </c>
      <c r="J125" s="200">
        <f t="shared" si="16"/>
        <v>0.33000000000000185</v>
      </c>
      <c r="K125" s="201">
        <v>0.1</v>
      </c>
      <c r="L125" s="201">
        <f t="shared" si="19"/>
        <v>0.23000000000000184</v>
      </c>
      <c r="M125" s="202">
        <v>930</v>
      </c>
      <c r="N125" s="203">
        <f t="shared" si="29"/>
        <v>213.90000000000171</v>
      </c>
      <c r="O125" s="200"/>
      <c r="P125" s="208">
        <f t="shared" si="17"/>
        <v>1462.4999999999984</v>
      </c>
    </row>
    <row r="126" spans="1:17" s="111" customFormat="1" ht="30" customHeight="1">
      <c r="A126" s="139">
        <f t="shared" si="18"/>
        <v>124</v>
      </c>
      <c r="B126" s="113">
        <v>46061</v>
      </c>
      <c r="C126" s="112">
        <v>1383459</v>
      </c>
      <c r="D126" s="112" t="s">
        <v>161</v>
      </c>
      <c r="E126" s="114">
        <v>30.28</v>
      </c>
      <c r="F126" s="112" t="s">
        <v>36</v>
      </c>
      <c r="G126" s="199">
        <v>55</v>
      </c>
      <c r="H126" s="199">
        <f t="shared" si="25"/>
        <v>1665.4</v>
      </c>
      <c r="I126" s="114">
        <v>30.13</v>
      </c>
      <c r="J126" s="200">
        <f t="shared" si="16"/>
        <v>0.15000000000000213</v>
      </c>
      <c r="K126" s="201">
        <v>0.1</v>
      </c>
      <c r="L126" s="201">
        <f t="shared" si="19"/>
        <v>5.0000000000002126E-2</v>
      </c>
      <c r="M126" s="202">
        <v>930</v>
      </c>
      <c r="N126" s="203">
        <f t="shared" si="29"/>
        <v>46.500000000001975</v>
      </c>
      <c r="O126" s="200"/>
      <c r="P126" s="208">
        <f t="shared" si="17"/>
        <v>1618.899999999998</v>
      </c>
    </row>
    <row r="127" spans="1:17" s="111" customFormat="1" ht="30" customHeight="1">
      <c r="A127" s="139">
        <f t="shared" si="18"/>
        <v>125</v>
      </c>
      <c r="B127" s="113">
        <v>46061</v>
      </c>
      <c r="C127" s="112">
        <v>1383460</v>
      </c>
      <c r="D127" s="112" t="s">
        <v>162</v>
      </c>
      <c r="E127" s="114">
        <v>32.4</v>
      </c>
      <c r="F127" s="112" t="s">
        <v>36</v>
      </c>
      <c r="G127" s="199">
        <v>55</v>
      </c>
      <c r="H127" s="199">
        <f t="shared" si="25"/>
        <v>1782</v>
      </c>
      <c r="I127" s="114">
        <v>32.17</v>
      </c>
      <c r="J127" s="200">
        <f t="shared" si="16"/>
        <v>0.22999999999999687</v>
      </c>
      <c r="K127" s="201">
        <v>0.1</v>
      </c>
      <c r="L127" s="201">
        <f t="shared" si="19"/>
        <v>0.12999999999999687</v>
      </c>
      <c r="M127" s="202">
        <v>930</v>
      </c>
      <c r="N127" s="203">
        <f t="shared" si="29"/>
        <v>120.89999999999709</v>
      </c>
      <c r="O127" s="200"/>
      <c r="P127" s="208">
        <f t="shared" si="17"/>
        <v>1661.1000000000029</v>
      </c>
    </row>
    <row r="128" spans="1:17" s="111" customFormat="1" ht="30" customHeight="1" thickBot="1">
      <c r="A128" s="140">
        <f t="shared" si="18"/>
        <v>126</v>
      </c>
      <c r="B128" s="141">
        <v>46061</v>
      </c>
      <c r="C128" s="142">
        <v>1383461</v>
      </c>
      <c r="D128" s="142" t="s">
        <v>163</v>
      </c>
      <c r="E128" s="143">
        <v>25.78</v>
      </c>
      <c r="F128" s="142" t="s">
        <v>36</v>
      </c>
      <c r="G128" s="209">
        <v>55</v>
      </c>
      <c r="H128" s="209">
        <f t="shared" si="25"/>
        <v>1417.9</v>
      </c>
      <c r="I128" s="143">
        <v>25.56</v>
      </c>
      <c r="J128" s="210">
        <f t="shared" si="16"/>
        <v>0.22000000000000242</v>
      </c>
      <c r="K128" s="211">
        <v>0.1</v>
      </c>
      <c r="L128" s="211">
        <f t="shared" si="19"/>
        <v>0.12000000000000241</v>
      </c>
      <c r="M128" s="212">
        <v>930</v>
      </c>
      <c r="N128" s="213">
        <f t="shared" si="29"/>
        <v>111.60000000000224</v>
      </c>
      <c r="O128" s="210"/>
      <c r="P128" s="214">
        <f t="shared" si="17"/>
        <v>1306.2999999999979</v>
      </c>
    </row>
    <row r="129" spans="1:16" s="111" customFormat="1" ht="30" customHeight="1" thickBot="1">
      <c r="A129" s="191"/>
      <c r="B129" s="192"/>
      <c r="C129" s="192"/>
      <c r="D129" s="192"/>
      <c r="E129" s="193"/>
      <c r="F129" s="192"/>
      <c r="G129" s="192"/>
      <c r="H129" s="194"/>
      <c r="I129" s="245">
        <f>SUM(I3:I128)</f>
        <v>3860.130000000001</v>
      </c>
      <c r="J129" s="195"/>
      <c r="K129" s="196"/>
      <c r="L129" s="196"/>
      <c r="M129" s="196"/>
      <c r="N129" s="197"/>
      <c r="O129" s="196"/>
      <c r="P129" s="198">
        <f>SUM(P3:P128)</f>
        <v>204071.79999999993</v>
      </c>
    </row>
  </sheetData>
  <autoFilter ref="A2:P129"/>
  <mergeCells count="1">
    <mergeCell ref="A1:P1"/>
  </mergeCells>
  <conditionalFormatting sqref="D129:D1048576">
    <cfRule type="duplicateValues" dxfId="17" priority="3"/>
  </conditionalFormatting>
  <conditionalFormatting sqref="D2 L2:O2 L129:O1048576 D129:D1048576">
    <cfRule type="duplicateValues" dxfId="16" priority="1"/>
    <cfRule type="duplicateValues" dxfId="15" priority="2"/>
  </conditionalFormatting>
  <conditionalFormatting sqref="C2 C129:C1048576">
    <cfRule type="duplicateValues" dxfId="14" priority="175"/>
  </conditionalFormatting>
  <conditionalFormatting sqref="C2 C129:C1048576">
    <cfRule type="duplicateValues" dxfId="13" priority="177"/>
    <cfRule type="duplicateValues" dxfId="12" priority="178"/>
  </conditionalFormatting>
  <conditionalFormatting sqref="D2">
    <cfRule type="duplicateValues" dxfId="11" priority="213"/>
  </conditionalFormatting>
  <conditionalFormatting sqref="D2">
    <cfRule type="duplicateValues" dxfId="10" priority="215"/>
    <cfRule type="duplicateValues" dxfId="9" priority="216"/>
  </conditionalFormatting>
  <pageMargins left="0.7" right="0.7" top="0.75" bottom="0.75" header="0.3" footer="0.3"/>
  <pageSetup paperSize="9" scale="9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"/>
  <sheetViews>
    <sheetView rightToLeft="1" topLeftCell="A130" workbookViewId="0">
      <selection activeCell="G23" sqref="G23:G141"/>
    </sheetView>
  </sheetViews>
  <sheetFormatPr defaultRowHeight="14.4"/>
  <cols>
    <col min="1" max="1" width="5.44140625" style="239" customWidth="1"/>
    <col min="2" max="2" width="9.5546875" style="16" customWidth="1"/>
    <col min="3" max="3" width="31.77734375" style="240" customWidth="1"/>
    <col min="4" max="4" width="12" style="240" bestFit="1" customWidth="1"/>
    <col min="5" max="5" width="8.5546875" style="239" customWidth="1"/>
    <col min="6" max="6" width="21" style="241" bestFit="1" customWidth="1"/>
    <col min="7" max="7" width="12" style="242" customWidth="1"/>
    <col min="8" max="8" width="11.109375" style="241" customWidth="1"/>
    <col min="9" max="9" width="15.109375" style="243" bestFit="1" customWidth="1"/>
    <col min="10" max="10" width="15.44140625" style="244" customWidth="1"/>
    <col min="11" max="11" width="16.6640625" style="228" customWidth="1"/>
    <col min="12" max="12" width="10.44140625" style="230" customWidth="1"/>
    <col min="13" max="254" width="8.88671875" style="230"/>
    <col min="255" max="255" width="5.5546875" style="230" bestFit="1" customWidth="1"/>
    <col min="256" max="256" width="9.33203125" style="230" customWidth="1"/>
    <col min="257" max="257" width="24.6640625" style="230" customWidth="1"/>
    <col min="258" max="258" width="11" style="230" bestFit="1" customWidth="1"/>
    <col min="259" max="259" width="7.5546875" style="230" bestFit="1" customWidth="1"/>
    <col min="260" max="260" width="13.5546875" style="230" customWidth="1"/>
    <col min="261" max="261" width="11.33203125" style="230" bestFit="1" customWidth="1"/>
    <col min="262" max="262" width="12" style="230" customWidth="1"/>
    <col min="263" max="263" width="15.44140625" style="230" bestFit="1" customWidth="1"/>
    <col min="264" max="265" width="15.109375" style="230" bestFit="1" customWidth="1"/>
    <col min="266" max="266" width="14.33203125" style="230" bestFit="1" customWidth="1"/>
    <col min="267" max="267" width="3.109375" style="230" customWidth="1"/>
    <col min="268" max="268" width="6.44140625" style="230" customWidth="1"/>
    <col min="269" max="510" width="8.88671875" style="230"/>
    <col min="511" max="511" width="5.5546875" style="230" bestFit="1" customWidth="1"/>
    <col min="512" max="512" width="9.33203125" style="230" customWidth="1"/>
    <col min="513" max="513" width="24.6640625" style="230" customWidth="1"/>
    <col min="514" max="514" width="11" style="230" bestFit="1" customWidth="1"/>
    <col min="515" max="515" width="7.5546875" style="230" bestFit="1" customWidth="1"/>
    <col min="516" max="516" width="13.5546875" style="230" customWidth="1"/>
    <col min="517" max="517" width="11.33203125" style="230" bestFit="1" customWidth="1"/>
    <col min="518" max="518" width="12" style="230" customWidth="1"/>
    <col min="519" max="519" width="15.44140625" style="230" bestFit="1" customWidth="1"/>
    <col min="520" max="521" width="15.109375" style="230" bestFit="1" customWidth="1"/>
    <col min="522" max="522" width="14.33203125" style="230" bestFit="1" customWidth="1"/>
    <col min="523" max="523" width="3.109375" style="230" customWidth="1"/>
    <col min="524" max="524" width="6.44140625" style="230" customWidth="1"/>
    <col min="525" max="766" width="8.88671875" style="230"/>
    <col min="767" max="767" width="5.5546875" style="230" bestFit="1" customWidth="1"/>
    <col min="768" max="768" width="9.33203125" style="230" customWidth="1"/>
    <col min="769" max="769" width="24.6640625" style="230" customWidth="1"/>
    <col min="770" max="770" width="11" style="230" bestFit="1" customWidth="1"/>
    <col min="771" max="771" width="7.5546875" style="230" bestFit="1" customWidth="1"/>
    <col min="772" max="772" width="13.5546875" style="230" customWidth="1"/>
    <col min="773" max="773" width="11.33203125" style="230" bestFit="1" customWidth="1"/>
    <col min="774" max="774" width="12" style="230" customWidth="1"/>
    <col min="775" max="775" width="15.44140625" style="230" bestFit="1" customWidth="1"/>
    <col min="776" max="777" width="15.109375" style="230" bestFit="1" customWidth="1"/>
    <col min="778" max="778" width="14.33203125" style="230" bestFit="1" customWidth="1"/>
    <col min="779" max="779" width="3.109375" style="230" customWidth="1"/>
    <col min="780" max="780" width="6.44140625" style="230" customWidth="1"/>
    <col min="781" max="1022" width="8.88671875" style="230"/>
    <col min="1023" max="1023" width="5.5546875" style="230" bestFit="1" customWidth="1"/>
    <col min="1024" max="1024" width="9.33203125" style="230" customWidth="1"/>
    <col min="1025" max="1025" width="24.6640625" style="230" customWidth="1"/>
    <col min="1026" max="1026" width="11" style="230" bestFit="1" customWidth="1"/>
    <col min="1027" max="1027" width="7.5546875" style="230" bestFit="1" customWidth="1"/>
    <col min="1028" max="1028" width="13.5546875" style="230" customWidth="1"/>
    <col min="1029" max="1029" width="11.33203125" style="230" bestFit="1" customWidth="1"/>
    <col min="1030" max="1030" width="12" style="230" customWidth="1"/>
    <col min="1031" max="1031" width="15.44140625" style="230" bestFit="1" customWidth="1"/>
    <col min="1032" max="1033" width="15.109375" style="230" bestFit="1" customWidth="1"/>
    <col min="1034" max="1034" width="14.33203125" style="230" bestFit="1" customWidth="1"/>
    <col min="1035" max="1035" width="3.109375" style="230" customWidth="1"/>
    <col min="1036" max="1036" width="6.44140625" style="230" customWidth="1"/>
    <col min="1037" max="1278" width="8.88671875" style="230"/>
    <col min="1279" max="1279" width="5.5546875" style="230" bestFit="1" customWidth="1"/>
    <col min="1280" max="1280" width="9.33203125" style="230" customWidth="1"/>
    <col min="1281" max="1281" width="24.6640625" style="230" customWidth="1"/>
    <col min="1282" max="1282" width="11" style="230" bestFit="1" customWidth="1"/>
    <col min="1283" max="1283" width="7.5546875" style="230" bestFit="1" customWidth="1"/>
    <col min="1284" max="1284" width="13.5546875" style="230" customWidth="1"/>
    <col min="1285" max="1285" width="11.33203125" style="230" bestFit="1" customWidth="1"/>
    <col min="1286" max="1286" width="12" style="230" customWidth="1"/>
    <col min="1287" max="1287" width="15.44140625" style="230" bestFit="1" customWidth="1"/>
    <col min="1288" max="1289" width="15.109375" style="230" bestFit="1" customWidth="1"/>
    <col min="1290" max="1290" width="14.33203125" style="230" bestFit="1" customWidth="1"/>
    <col min="1291" max="1291" width="3.109375" style="230" customWidth="1"/>
    <col min="1292" max="1292" width="6.44140625" style="230" customWidth="1"/>
    <col min="1293" max="1534" width="8.88671875" style="230"/>
    <col min="1535" max="1535" width="5.5546875" style="230" bestFit="1" customWidth="1"/>
    <col min="1536" max="1536" width="9.33203125" style="230" customWidth="1"/>
    <col min="1537" max="1537" width="24.6640625" style="230" customWidth="1"/>
    <col min="1538" max="1538" width="11" style="230" bestFit="1" customWidth="1"/>
    <col min="1539" max="1539" width="7.5546875" style="230" bestFit="1" customWidth="1"/>
    <col min="1540" max="1540" width="13.5546875" style="230" customWidth="1"/>
    <col min="1541" max="1541" width="11.33203125" style="230" bestFit="1" customWidth="1"/>
    <col min="1542" max="1542" width="12" style="230" customWidth="1"/>
    <col min="1543" max="1543" width="15.44140625" style="230" bestFit="1" customWidth="1"/>
    <col min="1544" max="1545" width="15.109375" style="230" bestFit="1" customWidth="1"/>
    <col min="1546" max="1546" width="14.33203125" style="230" bestFit="1" customWidth="1"/>
    <col min="1547" max="1547" width="3.109375" style="230" customWidth="1"/>
    <col min="1548" max="1548" width="6.44140625" style="230" customWidth="1"/>
    <col min="1549" max="1790" width="8.88671875" style="230"/>
    <col min="1791" max="1791" width="5.5546875" style="230" bestFit="1" customWidth="1"/>
    <col min="1792" max="1792" width="9.33203125" style="230" customWidth="1"/>
    <col min="1793" max="1793" width="24.6640625" style="230" customWidth="1"/>
    <col min="1794" max="1794" width="11" style="230" bestFit="1" customWidth="1"/>
    <col min="1795" max="1795" width="7.5546875" style="230" bestFit="1" customWidth="1"/>
    <col min="1796" max="1796" width="13.5546875" style="230" customWidth="1"/>
    <col min="1797" max="1797" width="11.33203125" style="230" bestFit="1" customWidth="1"/>
    <col min="1798" max="1798" width="12" style="230" customWidth="1"/>
    <col min="1799" max="1799" width="15.44140625" style="230" bestFit="1" customWidth="1"/>
    <col min="1800" max="1801" width="15.109375" style="230" bestFit="1" customWidth="1"/>
    <col min="1802" max="1802" width="14.33203125" style="230" bestFit="1" customWidth="1"/>
    <col min="1803" max="1803" width="3.109375" style="230" customWidth="1"/>
    <col min="1804" max="1804" width="6.44140625" style="230" customWidth="1"/>
    <col min="1805" max="2046" width="8.88671875" style="230"/>
    <col min="2047" max="2047" width="5.5546875" style="230" bestFit="1" customWidth="1"/>
    <col min="2048" max="2048" width="9.33203125" style="230" customWidth="1"/>
    <col min="2049" max="2049" width="24.6640625" style="230" customWidth="1"/>
    <col min="2050" max="2050" width="11" style="230" bestFit="1" customWidth="1"/>
    <col min="2051" max="2051" width="7.5546875" style="230" bestFit="1" customWidth="1"/>
    <col min="2052" max="2052" width="13.5546875" style="230" customWidth="1"/>
    <col min="2053" max="2053" width="11.33203125" style="230" bestFit="1" customWidth="1"/>
    <col min="2054" max="2054" width="12" style="230" customWidth="1"/>
    <col min="2055" max="2055" width="15.44140625" style="230" bestFit="1" customWidth="1"/>
    <col min="2056" max="2057" width="15.109375" style="230" bestFit="1" customWidth="1"/>
    <col min="2058" max="2058" width="14.33203125" style="230" bestFit="1" customWidth="1"/>
    <col min="2059" max="2059" width="3.109375" style="230" customWidth="1"/>
    <col min="2060" max="2060" width="6.44140625" style="230" customWidth="1"/>
    <col min="2061" max="2302" width="8.88671875" style="230"/>
    <col min="2303" max="2303" width="5.5546875" style="230" bestFit="1" customWidth="1"/>
    <col min="2304" max="2304" width="9.33203125" style="230" customWidth="1"/>
    <col min="2305" max="2305" width="24.6640625" style="230" customWidth="1"/>
    <col min="2306" max="2306" width="11" style="230" bestFit="1" customWidth="1"/>
    <col min="2307" max="2307" width="7.5546875" style="230" bestFit="1" customWidth="1"/>
    <col min="2308" max="2308" width="13.5546875" style="230" customWidth="1"/>
    <col min="2309" max="2309" width="11.33203125" style="230" bestFit="1" customWidth="1"/>
    <col min="2310" max="2310" width="12" style="230" customWidth="1"/>
    <col min="2311" max="2311" width="15.44140625" style="230" bestFit="1" customWidth="1"/>
    <col min="2312" max="2313" width="15.109375" style="230" bestFit="1" customWidth="1"/>
    <col min="2314" max="2314" width="14.33203125" style="230" bestFit="1" customWidth="1"/>
    <col min="2315" max="2315" width="3.109375" style="230" customWidth="1"/>
    <col min="2316" max="2316" width="6.44140625" style="230" customWidth="1"/>
    <col min="2317" max="2558" width="8.88671875" style="230"/>
    <col min="2559" max="2559" width="5.5546875" style="230" bestFit="1" customWidth="1"/>
    <col min="2560" max="2560" width="9.33203125" style="230" customWidth="1"/>
    <col min="2561" max="2561" width="24.6640625" style="230" customWidth="1"/>
    <col min="2562" max="2562" width="11" style="230" bestFit="1" customWidth="1"/>
    <col min="2563" max="2563" width="7.5546875" style="230" bestFit="1" customWidth="1"/>
    <col min="2564" max="2564" width="13.5546875" style="230" customWidth="1"/>
    <col min="2565" max="2565" width="11.33203125" style="230" bestFit="1" customWidth="1"/>
    <col min="2566" max="2566" width="12" style="230" customWidth="1"/>
    <col min="2567" max="2567" width="15.44140625" style="230" bestFit="1" customWidth="1"/>
    <col min="2568" max="2569" width="15.109375" style="230" bestFit="1" customWidth="1"/>
    <col min="2570" max="2570" width="14.33203125" style="230" bestFit="1" customWidth="1"/>
    <col min="2571" max="2571" width="3.109375" style="230" customWidth="1"/>
    <col min="2572" max="2572" width="6.44140625" style="230" customWidth="1"/>
    <col min="2573" max="2814" width="8.88671875" style="230"/>
    <col min="2815" max="2815" width="5.5546875" style="230" bestFit="1" customWidth="1"/>
    <col min="2816" max="2816" width="9.33203125" style="230" customWidth="1"/>
    <col min="2817" max="2817" width="24.6640625" style="230" customWidth="1"/>
    <col min="2818" max="2818" width="11" style="230" bestFit="1" customWidth="1"/>
    <col min="2819" max="2819" width="7.5546875" style="230" bestFit="1" customWidth="1"/>
    <col min="2820" max="2820" width="13.5546875" style="230" customWidth="1"/>
    <col min="2821" max="2821" width="11.33203125" style="230" bestFit="1" customWidth="1"/>
    <col min="2822" max="2822" width="12" style="230" customWidth="1"/>
    <col min="2823" max="2823" width="15.44140625" style="230" bestFit="1" customWidth="1"/>
    <col min="2824" max="2825" width="15.109375" style="230" bestFit="1" customWidth="1"/>
    <col min="2826" max="2826" width="14.33203125" style="230" bestFit="1" customWidth="1"/>
    <col min="2827" max="2827" width="3.109375" style="230" customWidth="1"/>
    <col min="2828" max="2828" width="6.44140625" style="230" customWidth="1"/>
    <col min="2829" max="3070" width="8.88671875" style="230"/>
    <col min="3071" max="3071" width="5.5546875" style="230" bestFit="1" customWidth="1"/>
    <col min="3072" max="3072" width="9.33203125" style="230" customWidth="1"/>
    <col min="3073" max="3073" width="24.6640625" style="230" customWidth="1"/>
    <col min="3074" max="3074" width="11" style="230" bestFit="1" customWidth="1"/>
    <col min="3075" max="3075" width="7.5546875" style="230" bestFit="1" customWidth="1"/>
    <col min="3076" max="3076" width="13.5546875" style="230" customWidth="1"/>
    <col min="3077" max="3077" width="11.33203125" style="230" bestFit="1" customWidth="1"/>
    <col min="3078" max="3078" width="12" style="230" customWidth="1"/>
    <col min="3079" max="3079" width="15.44140625" style="230" bestFit="1" customWidth="1"/>
    <col min="3080" max="3081" width="15.109375" style="230" bestFit="1" customWidth="1"/>
    <col min="3082" max="3082" width="14.33203125" style="230" bestFit="1" customWidth="1"/>
    <col min="3083" max="3083" width="3.109375" style="230" customWidth="1"/>
    <col min="3084" max="3084" width="6.44140625" style="230" customWidth="1"/>
    <col min="3085" max="3326" width="8.88671875" style="230"/>
    <col min="3327" max="3327" width="5.5546875" style="230" bestFit="1" customWidth="1"/>
    <col min="3328" max="3328" width="9.33203125" style="230" customWidth="1"/>
    <col min="3329" max="3329" width="24.6640625" style="230" customWidth="1"/>
    <col min="3330" max="3330" width="11" style="230" bestFit="1" customWidth="1"/>
    <col min="3331" max="3331" width="7.5546875" style="230" bestFit="1" customWidth="1"/>
    <col min="3332" max="3332" width="13.5546875" style="230" customWidth="1"/>
    <col min="3333" max="3333" width="11.33203125" style="230" bestFit="1" customWidth="1"/>
    <col min="3334" max="3334" width="12" style="230" customWidth="1"/>
    <col min="3335" max="3335" width="15.44140625" style="230" bestFit="1" customWidth="1"/>
    <col min="3336" max="3337" width="15.109375" style="230" bestFit="1" customWidth="1"/>
    <col min="3338" max="3338" width="14.33203125" style="230" bestFit="1" customWidth="1"/>
    <col min="3339" max="3339" width="3.109375" style="230" customWidth="1"/>
    <col min="3340" max="3340" width="6.44140625" style="230" customWidth="1"/>
    <col min="3341" max="3582" width="8.88671875" style="230"/>
    <col min="3583" max="3583" width="5.5546875" style="230" bestFit="1" customWidth="1"/>
    <col min="3584" max="3584" width="9.33203125" style="230" customWidth="1"/>
    <col min="3585" max="3585" width="24.6640625" style="230" customWidth="1"/>
    <col min="3586" max="3586" width="11" style="230" bestFit="1" customWidth="1"/>
    <col min="3587" max="3587" width="7.5546875" style="230" bestFit="1" customWidth="1"/>
    <col min="3588" max="3588" width="13.5546875" style="230" customWidth="1"/>
    <col min="3589" max="3589" width="11.33203125" style="230" bestFit="1" customWidth="1"/>
    <col min="3590" max="3590" width="12" style="230" customWidth="1"/>
    <col min="3591" max="3591" width="15.44140625" style="230" bestFit="1" customWidth="1"/>
    <col min="3592" max="3593" width="15.109375" style="230" bestFit="1" customWidth="1"/>
    <col min="3594" max="3594" width="14.33203125" style="230" bestFit="1" customWidth="1"/>
    <col min="3595" max="3595" width="3.109375" style="230" customWidth="1"/>
    <col min="3596" max="3596" width="6.44140625" style="230" customWidth="1"/>
    <col min="3597" max="3838" width="8.88671875" style="230"/>
    <col min="3839" max="3839" width="5.5546875" style="230" bestFit="1" customWidth="1"/>
    <col min="3840" max="3840" width="9.33203125" style="230" customWidth="1"/>
    <col min="3841" max="3841" width="24.6640625" style="230" customWidth="1"/>
    <col min="3842" max="3842" width="11" style="230" bestFit="1" customWidth="1"/>
    <col min="3843" max="3843" width="7.5546875" style="230" bestFit="1" customWidth="1"/>
    <col min="3844" max="3844" width="13.5546875" style="230" customWidth="1"/>
    <col min="3845" max="3845" width="11.33203125" style="230" bestFit="1" customWidth="1"/>
    <col min="3846" max="3846" width="12" style="230" customWidth="1"/>
    <col min="3847" max="3847" width="15.44140625" style="230" bestFit="1" customWidth="1"/>
    <col min="3848" max="3849" width="15.109375" style="230" bestFit="1" customWidth="1"/>
    <col min="3850" max="3850" width="14.33203125" style="230" bestFit="1" customWidth="1"/>
    <col min="3851" max="3851" width="3.109375" style="230" customWidth="1"/>
    <col min="3852" max="3852" width="6.44140625" style="230" customWidth="1"/>
    <col min="3853" max="4094" width="8.88671875" style="230"/>
    <col min="4095" max="4095" width="5.5546875" style="230" bestFit="1" customWidth="1"/>
    <col min="4096" max="4096" width="9.33203125" style="230" customWidth="1"/>
    <col min="4097" max="4097" width="24.6640625" style="230" customWidth="1"/>
    <col min="4098" max="4098" width="11" style="230" bestFit="1" customWidth="1"/>
    <col min="4099" max="4099" width="7.5546875" style="230" bestFit="1" customWidth="1"/>
    <col min="4100" max="4100" width="13.5546875" style="230" customWidth="1"/>
    <col min="4101" max="4101" width="11.33203125" style="230" bestFit="1" customWidth="1"/>
    <col min="4102" max="4102" width="12" style="230" customWidth="1"/>
    <col min="4103" max="4103" width="15.44140625" style="230" bestFit="1" customWidth="1"/>
    <col min="4104" max="4105" width="15.109375" style="230" bestFit="1" customWidth="1"/>
    <col min="4106" max="4106" width="14.33203125" style="230" bestFit="1" customWidth="1"/>
    <col min="4107" max="4107" width="3.109375" style="230" customWidth="1"/>
    <col min="4108" max="4108" width="6.44140625" style="230" customWidth="1"/>
    <col min="4109" max="4350" width="8.88671875" style="230"/>
    <col min="4351" max="4351" width="5.5546875" style="230" bestFit="1" customWidth="1"/>
    <col min="4352" max="4352" width="9.33203125" style="230" customWidth="1"/>
    <col min="4353" max="4353" width="24.6640625" style="230" customWidth="1"/>
    <col min="4354" max="4354" width="11" style="230" bestFit="1" customWidth="1"/>
    <col min="4355" max="4355" width="7.5546875" style="230" bestFit="1" customWidth="1"/>
    <col min="4356" max="4356" width="13.5546875" style="230" customWidth="1"/>
    <col min="4357" max="4357" width="11.33203125" style="230" bestFit="1" customWidth="1"/>
    <col min="4358" max="4358" width="12" style="230" customWidth="1"/>
    <col min="4359" max="4359" width="15.44140625" style="230" bestFit="1" customWidth="1"/>
    <col min="4360" max="4361" width="15.109375" style="230" bestFit="1" customWidth="1"/>
    <col min="4362" max="4362" width="14.33203125" style="230" bestFit="1" customWidth="1"/>
    <col min="4363" max="4363" width="3.109375" style="230" customWidth="1"/>
    <col min="4364" max="4364" width="6.44140625" style="230" customWidth="1"/>
    <col min="4365" max="4606" width="8.88671875" style="230"/>
    <col min="4607" max="4607" width="5.5546875" style="230" bestFit="1" customWidth="1"/>
    <col min="4608" max="4608" width="9.33203125" style="230" customWidth="1"/>
    <col min="4609" max="4609" width="24.6640625" style="230" customWidth="1"/>
    <col min="4610" max="4610" width="11" style="230" bestFit="1" customWidth="1"/>
    <col min="4611" max="4611" width="7.5546875" style="230" bestFit="1" customWidth="1"/>
    <col min="4612" max="4612" width="13.5546875" style="230" customWidth="1"/>
    <col min="4613" max="4613" width="11.33203125" style="230" bestFit="1" customWidth="1"/>
    <col min="4614" max="4614" width="12" style="230" customWidth="1"/>
    <col min="4615" max="4615" width="15.44140625" style="230" bestFit="1" customWidth="1"/>
    <col min="4616" max="4617" width="15.109375" style="230" bestFit="1" customWidth="1"/>
    <col min="4618" max="4618" width="14.33203125" style="230" bestFit="1" customWidth="1"/>
    <col min="4619" max="4619" width="3.109375" style="230" customWidth="1"/>
    <col min="4620" max="4620" width="6.44140625" style="230" customWidth="1"/>
    <col min="4621" max="4862" width="8.88671875" style="230"/>
    <col min="4863" max="4863" width="5.5546875" style="230" bestFit="1" customWidth="1"/>
    <col min="4864" max="4864" width="9.33203125" style="230" customWidth="1"/>
    <col min="4865" max="4865" width="24.6640625" style="230" customWidth="1"/>
    <col min="4866" max="4866" width="11" style="230" bestFit="1" customWidth="1"/>
    <col min="4867" max="4867" width="7.5546875" style="230" bestFit="1" customWidth="1"/>
    <col min="4868" max="4868" width="13.5546875" style="230" customWidth="1"/>
    <col min="4869" max="4869" width="11.33203125" style="230" bestFit="1" customWidth="1"/>
    <col min="4870" max="4870" width="12" style="230" customWidth="1"/>
    <col min="4871" max="4871" width="15.44140625" style="230" bestFit="1" customWidth="1"/>
    <col min="4872" max="4873" width="15.109375" style="230" bestFit="1" customWidth="1"/>
    <col min="4874" max="4874" width="14.33203125" style="230" bestFit="1" customWidth="1"/>
    <col min="4875" max="4875" width="3.109375" style="230" customWidth="1"/>
    <col min="4876" max="4876" width="6.44140625" style="230" customWidth="1"/>
    <col min="4877" max="5118" width="8.88671875" style="230"/>
    <col min="5119" max="5119" width="5.5546875" style="230" bestFit="1" customWidth="1"/>
    <col min="5120" max="5120" width="9.33203125" style="230" customWidth="1"/>
    <col min="5121" max="5121" width="24.6640625" style="230" customWidth="1"/>
    <col min="5122" max="5122" width="11" style="230" bestFit="1" customWidth="1"/>
    <col min="5123" max="5123" width="7.5546875" style="230" bestFit="1" customWidth="1"/>
    <col min="5124" max="5124" width="13.5546875" style="230" customWidth="1"/>
    <col min="5125" max="5125" width="11.33203125" style="230" bestFit="1" customWidth="1"/>
    <col min="5126" max="5126" width="12" style="230" customWidth="1"/>
    <col min="5127" max="5127" width="15.44140625" style="230" bestFit="1" customWidth="1"/>
    <col min="5128" max="5129" width="15.109375" style="230" bestFit="1" customWidth="1"/>
    <col min="5130" max="5130" width="14.33203125" style="230" bestFit="1" customWidth="1"/>
    <col min="5131" max="5131" width="3.109375" style="230" customWidth="1"/>
    <col min="5132" max="5132" width="6.44140625" style="230" customWidth="1"/>
    <col min="5133" max="5374" width="8.88671875" style="230"/>
    <col min="5375" max="5375" width="5.5546875" style="230" bestFit="1" customWidth="1"/>
    <col min="5376" max="5376" width="9.33203125" style="230" customWidth="1"/>
    <col min="5377" max="5377" width="24.6640625" style="230" customWidth="1"/>
    <col min="5378" max="5378" width="11" style="230" bestFit="1" customWidth="1"/>
    <col min="5379" max="5379" width="7.5546875" style="230" bestFit="1" customWidth="1"/>
    <col min="5380" max="5380" width="13.5546875" style="230" customWidth="1"/>
    <col min="5381" max="5381" width="11.33203125" style="230" bestFit="1" customWidth="1"/>
    <col min="5382" max="5382" width="12" style="230" customWidth="1"/>
    <col min="5383" max="5383" width="15.44140625" style="230" bestFit="1" customWidth="1"/>
    <col min="5384" max="5385" width="15.109375" style="230" bestFit="1" customWidth="1"/>
    <col min="5386" max="5386" width="14.33203125" style="230" bestFit="1" customWidth="1"/>
    <col min="5387" max="5387" width="3.109375" style="230" customWidth="1"/>
    <col min="5388" max="5388" width="6.44140625" style="230" customWidth="1"/>
    <col min="5389" max="5630" width="8.88671875" style="230"/>
    <col min="5631" max="5631" width="5.5546875" style="230" bestFit="1" customWidth="1"/>
    <col min="5632" max="5632" width="9.33203125" style="230" customWidth="1"/>
    <col min="5633" max="5633" width="24.6640625" style="230" customWidth="1"/>
    <col min="5634" max="5634" width="11" style="230" bestFit="1" customWidth="1"/>
    <col min="5635" max="5635" width="7.5546875" style="230" bestFit="1" customWidth="1"/>
    <col min="5636" max="5636" width="13.5546875" style="230" customWidth="1"/>
    <col min="5637" max="5637" width="11.33203125" style="230" bestFit="1" customWidth="1"/>
    <col min="5638" max="5638" width="12" style="230" customWidth="1"/>
    <col min="5639" max="5639" width="15.44140625" style="230" bestFit="1" customWidth="1"/>
    <col min="5640" max="5641" width="15.109375" style="230" bestFit="1" customWidth="1"/>
    <col min="5642" max="5642" width="14.33203125" style="230" bestFit="1" customWidth="1"/>
    <col min="5643" max="5643" width="3.109375" style="230" customWidth="1"/>
    <col min="5644" max="5644" width="6.44140625" style="230" customWidth="1"/>
    <col min="5645" max="5886" width="8.88671875" style="230"/>
    <col min="5887" max="5887" width="5.5546875" style="230" bestFit="1" customWidth="1"/>
    <col min="5888" max="5888" width="9.33203125" style="230" customWidth="1"/>
    <col min="5889" max="5889" width="24.6640625" style="230" customWidth="1"/>
    <col min="5890" max="5890" width="11" style="230" bestFit="1" customWidth="1"/>
    <col min="5891" max="5891" width="7.5546875" style="230" bestFit="1" customWidth="1"/>
    <col min="5892" max="5892" width="13.5546875" style="230" customWidth="1"/>
    <col min="5893" max="5893" width="11.33203125" style="230" bestFit="1" customWidth="1"/>
    <col min="5894" max="5894" width="12" style="230" customWidth="1"/>
    <col min="5895" max="5895" width="15.44140625" style="230" bestFit="1" customWidth="1"/>
    <col min="5896" max="5897" width="15.109375" style="230" bestFit="1" customWidth="1"/>
    <col min="5898" max="5898" width="14.33203125" style="230" bestFit="1" customWidth="1"/>
    <col min="5899" max="5899" width="3.109375" style="230" customWidth="1"/>
    <col min="5900" max="5900" width="6.44140625" style="230" customWidth="1"/>
    <col min="5901" max="6142" width="8.88671875" style="230"/>
    <col min="6143" max="6143" width="5.5546875" style="230" bestFit="1" customWidth="1"/>
    <col min="6144" max="6144" width="9.33203125" style="230" customWidth="1"/>
    <col min="6145" max="6145" width="24.6640625" style="230" customWidth="1"/>
    <col min="6146" max="6146" width="11" style="230" bestFit="1" customWidth="1"/>
    <col min="6147" max="6147" width="7.5546875" style="230" bestFit="1" customWidth="1"/>
    <col min="6148" max="6148" width="13.5546875" style="230" customWidth="1"/>
    <col min="6149" max="6149" width="11.33203125" style="230" bestFit="1" customWidth="1"/>
    <col min="6150" max="6150" width="12" style="230" customWidth="1"/>
    <col min="6151" max="6151" width="15.44140625" style="230" bestFit="1" customWidth="1"/>
    <col min="6152" max="6153" width="15.109375" style="230" bestFit="1" customWidth="1"/>
    <col min="6154" max="6154" width="14.33203125" style="230" bestFit="1" customWidth="1"/>
    <col min="6155" max="6155" width="3.109375" style="230" customWidth="1"/>
    <col min="6156" max="6156" width="6.44140625" style="230" customWidth="1"/>
    <col min="6157" max="6398" width="8.88671875" style="230"/>
    <col min="6399" max="6399" width="5.5546875" style="230" bestFit="1" customWidth="1"/>
    <col min="6400" max="6400" width="9.33203125" style="230" customWidth="1"/>
    <col min="6401" max="6401" width="24.6640625" style="230" customWidth="1"/>
    <col min="6402" max="6402" width="11" style="230" bestFit="1" customWidth="1"/>
    <col min="6403" max="6403" width="7.5546875" style="230" bestFit="1" customWidth="1"/>
    <col min="6404" max="6404" width="13.5546875" style="230" customWidth="1"/>
    <col min="6405" max="6405" width="11.33203125" style="230" bestFit="1" customWidth="1"/>
    <col min="6406" max="6406" width="12" style="230" customWidth="1"/>
    <col min="6407" max="6407" width="15.44140625" style="230" bestFit="1" customWidth="1"/>
    <col min="6408" max="6409" width="15.109375" style="230" bestFit="1" customWidth="1"/>
    <col min="6410" max="6410" width="14.33203125" style="230" bestFit="1" customWidth="1"/>
    <col min="6411" max="6411" width="3.109375" style="230" customWidth="1"/>
    <col min="6412" max="6412" width="6.44140625" style="230" customWidth="1"/>
    <col min="6413" max="6654" width="8.88671875" style="230"/>
    <col min="6655" max="6655" width="5.5546875" style="230" bestFit="1" customWidth="1"/>
    <col min="6656" max="6656" width="9.33203125" style="230" customWidth="1"/>
    <col min="6657" max="6657" width="24.6640625" style="230" customWidth="1"/>
    <col min="6658" max="6658" width="11" style="230" bestFit="1" customWidth="1"/>
    <col min="6659" max="6659" width="7.5546875" style="230" bestFit="1" customWidth="1"/>
    <col min="6660" max="6660" width="13.5546875" style="230" customWidth="1"/>
    <col min="6661" max="6661" width="11.33203125" style="230" bestFit="1" customWidth="1"/>
    <col min="6662" max="6662" width="12" style="230" customWidth="1"/>
    <col min="6663" max="6663" width="15.44140625" style="230" bestFit="1" customWidth="1"/>
    <col min="6664" max="6665" width="15.109375" style="230" bestFit="1" customWidth="1"/>
    <col min="6666" max="6666" width="14.33203125" style="230" bestFit="1" customWidth="1"/>
    <col min="6667" max="6667" width="3.109375" style="230" customWidth="1"/>
    <col min="6668" max="6668" width="6.44140625" style="230" customWidth="1"/>
    <col min="6669" max="6910" width="8.88671875" style="230"/>
    <col min="6911" max="6911" width="5.5546875" style="230" bestFit="1" customWidth="1"/>
    <col min="6912" max="6912" width="9.33203125" style="230" customWidth="1"/>
    <col min="6913" max="6913" width="24.6640625" style="230" customWidth="1"/>
    <col min="6914" max="6914" width="11" style="230" bestFit="1" customWidth="1"/>
    <col min="6915" max="6915" width="7.5546875" style="230" bestFit="1" customWidth="1"/>
    <col min="6916" max="6916" width="13.5546875" style="230" customWidth="1"/>
    <col min="6917" max="6917" width="11.33203125" style="230" bestFit="1" customWidth="1"/>
    <col min="6918" max="6918" width="12" style="230" customWidth="1"/>
    <col min="6919" max="6919" width="15.44140625" style="230" bestFit="1" customWidth="1"/>
    <col min="6920" max="6921" width="15.109375" style="230" bestFit="1" customWidth="1"/>
    <col min="6922" max="6922" width="14.33203125" style="230" bestFit="1" customWidth="1"/>
    <col min="6923" max="6923" width="3.109375" style="230" customWidth="1"/>
    <col min="6924" max="6924" width="6.44140625" style="230" customWidth="1"/>
    <col min="6925" max="7166" width="8.88671875" style="230"/>
    <col min="7167" max="7167" width="5.5546875" style="230" bestFit="1" customWidth="1"/>
    <col min="7168" max="7168" width="9.33203125" style="230" customWidth="1"/>
    <col min="7169" max="7169" width="24.6640625" style="230" customWidth="1"/>
    <col min="7170" max="7170" width="11" style="230" bestFit="1" customWidth="1"/>
    <col min="7171" max="7171" width="7.5546875" style="230" bestFit="1" customWidth="1"/>
    <col min="7172" max="7172" width="13.5546875" style="230" customWidth="1"/>
    <col min="7173" max="7173" width="11.33203125" style="230" bestFit="1" customWidth="1"/>
    <col min="7174" max="7174" width="12" style="230" customWidth="1"/>
    <col min="7175" max="7175" width="15.44140625" style="230" bestFit="1" customWidth="1"/>
    <col min="7176" max="7177" width="15.109375" style="230" bestFit="1" customWidth="1"/>
    <col min="7178" max="7178" width="14.33203125" style="230" bestFit="1" customWidth="1"/>
    <col min="7179" max="7179" width="3.109375" style="230" customWidth="1"/>
    <col min="7180" max="7180" width="6.44140625" style="230" customWidth="1"/>
    <col min="7181" max="7422" width="8.88671875" style="230"/>
    <col min="7423" max="7423" width="5.5546875" style="230" bestFit="1" customWidth="1"/>
    <col min="7424" max="7424" width="9.33203125" style="230" customWidth="1"/>
    <col min="7425" max="7425" width="24.6640625" style="230" customWidth="1"/>
    <col min="7426" max="7426" width="11" style="230" bestFit="1" customWidth="1"/>
    <col min="7427" max="7427" width="7.5546875" style="230" bestFit="1" customWidth="1"/>
    <col min="7428" max="7428" width="13.5546875" style="230" customWidth="1"/>
    <col min="7429" max="7429" width="11.33203125" style="230" bestFit="1" customWidth="1"/>
    <col min="7430" max="7430" width="12" style="230" customWidth="1"/>
    <col min="7431" max="7431" width="15.44140625" style="230" bestFit="1" customWidth="1"/>
    <col min="7432" max="7433" width="15.109375" style="230" bestFit="1" customWidth="1"/>
    <col min="7434" max="7434" width="14.33203125" style="230" bestFit="1" customWidth="1"/>
    <col min="7435" max="7435" width="3.109375" style="230" customWidth="1"/>
    <col min="7436" max="7436" width="6.44140625" style="230" customWidth="1"/>
    <col min="7437" max="7678" width="8.88671875" style="230"/>
    <col min="7679" max="7679" width="5.5546875" style="230" bestFit="1" customWidth="1"/>
    <col min="7680" max="7680" width="9.33203125" style="230" customWidth="1"/>
    <col min="7681" max="7681" width="24.6640625" style="230" customWidth="1"/>
    <col min="7682" max="7682" width="11" style="230" bestFit="1" customWidth="1"/>
    <col min="7683" max="7683" width="7.5546875" style="230" bestFit="1" customWidth="1"/>
    <col min="7684" max="7684" width="13.5546875" style="230" customWidth="1"/>
    <col min="7685" max="7685" width="11.33203125" style="230" bestFit="1" customWidth="1"/>
    <col min="7686" max="7686" width="12" style="230" customWidth="1"/>
    <col min="7687" max="7687" width="15.44140625" style="230" bestFit="1" customWidth="1"/>
    <col min="7688" max="7689" width="15.109375" style="230" bestFit="1" customWidth="1"/>
    <col min="7690" max="7690" width="14.33203125" style="230" bestFit="1" customWidth="1"/>
    <col min="7691" max="7691" width="3.109375" style="230" customWidth="1"/>
    <col min="7692" max="7692" width="6.44140625" style="230" customWidth="1"/>
    <col min="7693" max="7934" width="8.88671875" style="230"/>
    <col min="7935" max="7935" width="5.5546875" style="230" bestFit="1" customWidth="1"/>
    <col min="7936" max="7936" width="9.33203125" style="230" customWidth="1"/>
    <col min="7937" max="7937" width="24.6640625" style="230" customWidth="1"/>
    <col min="7938" max="7938" width="11" style="230" bestFit="1" customWidth="1"/>
    <col min="7939" max="7939" width="7.5546875" style="230" bestFit="1" customWidth="1"/>
    <col min="7940" max="7940" width="13.5546875" style="230" customWidth="1"/>
    <col min="7941" max="7941" width="11.33203125" style="230" bestFit="1" customWidth="1"/>
    <col min="7942" max="7942" width="12" style="230" customWidth="1"/>
    <col min="7943" max="7943" width="15.44140625" style="230" bestFit="1" customWidth="1"/>
    <col min="7944" max="7945" width="15.109375" style="230" bestFit="1" customWidth="1"/>
    <col min="7946" max="7946" width="14.33203125" style="230" bestFit="1" customWidth="1"/>
    <col min="7947" max="7947" width="3.109375" style="230" customWidth="1"/>
    <col min="7948" max="7948" width="6.44140625" style="230" customWidth="1"/>
    <col min="7949" max="8190" width="8.88671875" style="230"/>
    <col min="8191" max="8191" width="5.5546875" style="230" bestFit="1" customWidth="1"/>
    <col min="8192" max="8192" width="9.33203125" style="230" customWidth="1"/>
    <col min="8193" max="8193" width="24.6640625" style="230" customWidth="1"/>
    <col min="8194" max="8194" width="11" style="230" bestFit="1" customWidth="1"/>
    <col min="8195" max="8195" width="7.5546875" style="230" bestFit="1" customWidth="1"/>
    <col min="8196" max="8196" width="13.5546875" style="230" customWidth="1"/>
    <col min="8197" max="8197" width="11.33203125" style="230" bestFit="1" customWidth="1"/>
    <col min="8198" max="8198" width="12" style="230" customWidth="1"/>
    <col min="8199" max="8199" width="15.44140625" style="230" bestFit="1" customWidth="1"/>
    <col min="8200" max="8201" width="15.109375" style="230" bestFit="1" customWidth="1"/>
    <col min="8202" max="8202" width="14.33203125" style="230" bestFit="1" customWidth="1"/>
    <col min="8203" max="8203" width="3.109375" style="230" customWidth="1"/>
    <col min="8204" max="8204" width="6.44140625" style="230" customWidth="1"/>
    <col min="8205" max="8446" width="8.88671875" style="230"/>
    <col min="8447" max="8447" width="5.5546875" style="230" bestFit="1" customWidth="1"/>
    <col min="8448" max="8448" width="9.33203125" style="230" customWidth="1"/>
    <col min="8449" max="8449" width="24.6640625" style="230" customWidth="1"/>
    <col min="8450" max="8450" width="11" style="230" bestFit="1" customWidth="1"/>
    <col min="8451" max="8451" width="7.5546875" style="230" bestFit="1" customWidth="1"/>
    <col min="8452" max="8452" width="13.5546875" style="230" customWidth="1"/>
    <col min="8453" max="8453" width="11.33203125" style="230" bestFit="1" customWidth="1"/>
    <col min="8454" max="8454" width="12" style="230" customWidth="1"/>
    <col min="8455" max="8455" width="15.44140625" style="230" bestFit="1" customWidth="1"/>
    <col min="8456" max="8457" width="15.109375" style="230" bestFit="1" customWidth="1"/>
    <col min="8458" max="8458" width="14.33203125" style="230" bestFit="1" customWidth="1"/>
    <col min="8459" max="8459" width="3.109375" style="230" customWidth="1"/>
    <col min="8460" max="8460" width="6.44140625" style="230" customWidth="1"/>
    <col min="8461" max="8702" width="8.88671875" style="230"/>
    <col min="8703" max="8703" width="5.5546875" style="230" bestFit="1" customWidth="1"/>
    <col min="8704" max="8704" width="9.33203125" style="230" customWidth="1"/>
    <col min="8705" max="8705" width="24.6640625" style="230" customWidth="1"/>
    <col min="8706" max="8706" width="11" style="230" bestFit="1" customWidth="1"/>
    <col min="8707" max="8707" width="7.5546875" style="230" bestFit="1" customWidth="1"/>
    <col min="8708" max="8708" width="13.5546875" style="230" customWidth="1"/>
    <col min="8709" max="8709" width="11.33203125" style="230" bestFit="1" customWidth="1"/>
    <col min="8710" max="8710" width="12" style="230" customWidth="1"/>
    <col min="8711" max="8711" width="15.44140625" style="230" bestFit="1" customWidth="1"/>
    <col min="8712" max="8713" width="15.109375" style="230" bestFit="1" customWidth="1"/>
    <col min="8714" max="8714" width="14.33203125" style="230" bestFit="1" customWidth="1"/>
    <col min="8715" max="8715" width="3.109375" style="230" customWidth="1"/>
    <col min="8716" max="8716" width="6.44140625" style="230" customWidth="1"/>
    <col min="8717" max="8958" width="8.88671875" style="230"/>
    <col min="8959" max="8959" width="5.5546875" style="230" bestFit="1" customWidth="1"/>
    <col min="8960" max="8960" width="9.33203125" style="230" customWidth="1"/>
    <col min="8961" max="8961" width="24.6640625" style="230" customWidth="1"/>
    <col min="8962" max="8962" width="11" style="230" bestFit="1" customWidth="1"/>
    <col min="8963" max="8963" width="7.5546875" style="230" bestFit="1" customWidth="1"/>
    <col min="8964" max="8964" width="13.5546875" style="230" customWidth="1"/>
    <col min="8965" max="8965" width="11.33203125" style="230" bestFit="1" customWidth="1"/>
    <col min="8966" max="8966" width="12" style="230" customWidth="1"/>
    <col min="8967" max="8967" width="15.44140625" style="230" bestFit="1" customWidth="1"/>
    <col min="8968" max="8969" width="15.109375" style="230" bestFit="1" customWidth="1"/>
    <col min="8970" max="8970" width="14.33203125" style="230" bestFit="1" customWidth="1"/>
    <col min="8971" max="8971" width="3.109375" style="230" customWidth="1"/>
    <col min="8972" max="8972" width="6.44140625" style="230" customWidth="1"/>
    <col min="8973" max="9214" width="8.88671875" style="230"/>
    <col min="9215" max="9215" width="5.5546875" style="230" bestFit="1" customWidth="1"/>
    <col min="9216" max="9216" width="9.33203125" style="230" customWidth="1"/>
    <col min="9217" max="9217" width="24.6640625" style="230" customWidth="1"/>
    <col min="9218" max="9218" width="11" style="230" bestFit="1" customWidth="1"/>
    <col min="9219" max="9219" width="7.5546875" style="230" bestFit="1" customWidth="1"/>
    <col min="9220" max="9220" width="13.5546875" style="230" customWidth="1"/>
    <col min="9221" max="9221" width="11.33203125" style="230" bestFit="1" customWidth="1"/>
    <col min="9222" max="9222" width="12" style="230" customWidth="1"/>
    <col min="9223" max="9223" width="15.44140625" style="230" bestFit="1" customWidth="1"/>
    <col min="9224" max="9225" width="15.109375" style="230" bestFit="1" customWidth="1"/>
    <col min="9226" max="9226" width="14.33203125" style="230" bestFit="1" customWidth="1"/>
    <col min="9227" max="9227" width="3.109375" style="230" customWidth="1"/>
    <col min="9228" max="9228" width="6.44140625" style="230" customWidth="1"/>
    <col min="9229" max="9470" width="8.88671875" style="230"/>
    <col min="9471" max="9471" width="5.5546875" style="230" bestFit="1" customWidth="1"/>
    <col min="9472" max="9472" width="9.33203125" style="230" customWidth="1"/>
    <col min="9473" max="9473" width="24.6640625" style="230" customWidth="1"/>
    <col min="9474" max="9474" width="11" style="230" bestFit="1" customWidth="1"/>
    <col min="9475" max="9475" width="7.5546875" style="230" bestFit="1" customWidth="1"/>
    <col min="9476" max="9476" width="13.5546875" style="230" customWidth="1"/>
    <col min="9477" max="9477" width="11.33203125" style="230" bestFit="1" customWidth="1"/>
    <col min="9478" max="9478" width="12" style="230" customWidth="1"/>
    <col min="9479" max="9479" width="15.44140625" style="230" bestFit="1" customWidth="1"/>
    <col min="9480" max="9481" width="15.109375" style="230" bestFit="1" customWidth="1"/>
    <col min="9482" max="9482" width="14.33203125" style="230" bestFit="1" customWidth="1"/>
    <col min="9483" max="9483" width="3.109375" style="230" customWidth="1"/>
    <col min="9484" max="9484" width="6.44140625" style="230" customWidth="1"/>
    <col min="9485" max="9726" width="8.88671875" style="230"/>
    <col min="9727" max="9727" width="5.5546875" style="230" bestFit="1" customWidth="1"/>
    <col min="9728" max="9728" width="9.33203125" style="230" customWidth="1"/>
    <col min="9729" max="9729" width="24.6640625" style="230" customWidth="1"/>
    <col min="9730" max="9730" width="11" style="230" bestFit="1" customWidth="1"/>
    <col min="9731" max="9731" width="7.5546875" style="230" bestFit="1" customWidth="1"/>
    <col min="9732" max="9732" width="13.5546875" style="230" customWidth="1"/>
    <col min="9733" max="9733" width="11.33203125" style="230" bestFit="1" customWidth="1"/>
    <col min="9734" max="9734" width="12" style="230" customWidth="1"/>
    <col min="9735" max="9735" width="15.44140625" style="230" bestFit="1" customWidth="1"/>
    <col min="9736" max="9737" width="15.109375" style="230" bestFit="1" customWidth="1"/>
    <col min="9738" max="9738" width="14.33203125" style="230" bestFit="1" customWidth="1"/>
    <col min="9739" max="9739" width="3.109375" style="230" customWidth="1"/>
    <col min="9740" max="9740" width="6.44140625" style="230" customWidth="1"/>
    <col min="9741" max="9982" width="8.88671875" style="230"/>
    <col min="9983" max="9983" width="5.5546875" style="230" bestFit="1" customWidth="1"/>
    <col min="9984" max="9984" width="9.33203125" style="230" customWidth="1"/>
    <col min="9985" max="9985" width="24.6640625" style="230" customWidth="1"/>
    <col min="9986" max="9986" width="11" style="230" bestFit="1" customWidth="1"/>
    <col min="9987" max="9987" width="7.5546875" style="230" bestFit="1" customWidth="1"/>
    <col min="9988" max="9988" width="13.5546875" style="230" customWidth="1"/>
    <col min="9989" max="9989" width="11.33203125" style="230" bestFit="1" customWidth="1"/>
    <col min="9990" max="9990" width="12" style="230" customWidth="1"/>
    <col min="9991" max="9991" width="15.44140625" style="230" bestFit="1" customWidth="1"/>
    <col min="9992" max="9993" width="15.109375" style="230" bestFit="1" customWidth="1"/>
    <col min="9994" max="9994" width="14.33203125" style="230" bestFit="1" customWidth="1"/>
    <col min="9995" max="9995" width="3.109375" style="230" customWidth="1"/>
    <col min="9996" max="9996" width="6.44140625" style="230" customWidth="1"/>
    <col min="9997" max="10238" width="8.88671875" style="230"/>
    <col min="10239" max="10239" width="5.5546875" style="230" bestFit="1" customWidth="1"/>
    <col min="10240" max="10240" width="9.33203125" style="230" customWidth="1"/>
    <col min="10241" max="10241" width="24.6640625" style="230" customWidth="1"/>
    <col min="10242" max="10242" width="11" style="230" bestFit="1" customWidth="1"/>
    <col min="10243" max="10243" width="7.5546875" style="230" bestFit="1" customWidth="1"/>
    <col min="10244" max="10244" width="13.5546875" style="230" customWidth="1"/>
    <col min="10245" max="10245" width="11.33203125" style="230" bestFit="1" customWidth="1"/>
    <col min="10246" max="10246" width="12" style="230" customWidth="1"/>
    <col min="10247" max="10247" width="15.44140625" style="230" bestFit="1" customWidth="1"/>
    <col min="10248" max="10249" width="15.109375" style="230" bestFit="1" customWidth="1"/>
    <col min="10250" max="10250" width="14.33203125" style="230" bestFit="1" customWidth="1"/>
    <col min="10251" max="10251" width="3.109375" style="230" customWidth="1"/>
    <col min="10252" max="10252" width="6.44140625" style="230" customWidth="1"/>
    <col min="10253" max="10494" width="8.88671875" style="230"/>
    <col min="10495" max="10495" width="5.5546875" style="230" bestFit="1" customWidth="1"/>
    <col min="10496" max="10496" width="9.33203125" style="230" customWidth="1"/>
    <col min="10497" max="10497" width="24.6640625" style="230" customWidth="1"/>
    <col min="10498" max="10498" width="11" style="230" bestFit="1" customWidth="1"/>
    <col min="10499" max="10499" width="7.5546875" style="230" bestFit="1" customWidth="1"/>
    <col min="10500" max="10500" width="13.5546875" style="230" customWidth="1"/>
    <col min="10501" max="10501" width="11.33203125" style="230" bestFit="1" customWidth="1"/>
    <col min="10502" max="10502" width="12" style="230" customWidth="1"/>
    <col min="10503" max="10503" width="15.44140625" style="230" bestFit="1" customWidth="1"/>
    <col min="10504" max="10505" width="15.109375" style="230" bestFit="1" customWidth="1"/>
    <col min="10506" max="10506" width="14.33203125" style="230" bestFit="1" customWidth="1"/>
    <col min="10507" max="10507" width="3.109375" style="230" customWidth="1"/>
    <col min="10508" max="10508" width="6.44140625" style="230" customWidth="1"/>
    <col min="10509" max="10750" width="8.88671875" style="230"/>
    <col min="10751" max="10751" width="5.5546875" style="230" bestFit="1" customWidth="1"/>
    <col min="10752" max="10752" width="9.33203125" style="230" customWidth="1"/>
    <col min="10753" max="10753" width="24.6640625" style="230" customWidth="1"/>
    <col min="10754" max="10754" width="11" style="230" bestFit="1" customWidth="1"/>
    <col min="10755" max="10755" width="7.5546875" style="230" bestFit="1" customWidth="1"/>
    <col min="10756" max="10756" width="13.5546875" style="230" customWidth="1"/>
    <col min="10757" max="10757" width="11.33203125" style="230" bestFit="1" customWidth="1"/>
    <col min="10758" max="10758" width="12" style="230" customWidth="1"/>
    <col min="10759" max="10759" width="15.44140625" style="230" bestFit="1" customWidth="1"/>
    <col min="10760" max="10761" width="15.109375" style="230" bestFit="1" customWidth="1"/>
    <col min="10762" max="10762" width="14.33203125" style="230" bestFit="1" customWidth="1"/>
    <col min="10763" max="10763" width="3.109375" style="230" customWidth="1"/>
    <col min="10764" max="10764" width="6.44140625" style="230" customWidth="1"/>
    <col min="10765" max="11006" width="8.88671875" style="230"/>
    <col min="11007" max="11007" width="5.5546875" style="230" bestFit="1" customWidth="1"/>
    <col min="11008" max="11008" width="9.33203125" style="230" customWidth="1"/>
    <col min="11009" max="11009" width="24.6640625" style="230" customWidth="1"/>
    <col min="11010" max="11010" width="11" style="230" bestFit="1" customWidth="1"/>
    <col min="11011" max="11011" width="7.5546875" style="230" bestFit="1" customWidth="1"/>
    <col min="11012" max="11012" width="13.5546875" style="230" customWidth="1"/>
    <col min="11013" max="11013" width="11.33203125" style="230" bestFit="1" customWidth="1"/>
    <col min="11014" max="11014" width="12" style="230" customWidth="1"/>
    <col min="11015" max="11015" width="15.44140625" style="230" bestFit="1" customWidth="1"/>
    <col min="11016" max="11017" width="15.109375" style="230" bestFit="1" customWidth="1"/>
    <col min="11018" max="11018" width="14.33203125" style="230" bestFit="1" customWidth="1"/>
    <col min="11019" max="11019" width="3.109375" style="230" customWidth="1"/>
    <col min="11020" max="11020" width="6.44140625" style="230" customWidth="1"/>
    <col min="11021" max="11262" width="8.88671875" style="230"/>
    <col min="11263" max="11263" width="5.5546875" style="230" bestFit="1" customWidth="1"/>
    <col min="11264" max="11264" width="9.33203125" style="230" customWidth="1"/>
    <col min="11265" max="11265" width="24.6640625" style="230" customWidth="1"/>
    <col min="11266" max="11266" width="11" style="230" bestFit="1" customWidth="1"/>
    <col min="11267" max="11267" width="7.5546875" style="230" bestFit="1" customWidth="1"/>
    <col min="11268" max="11268" width="13.5546875" style="230" customWidth="1"/>
    <col min="11269" max="11269" width="11.33203125" style="230" bestFit="1" customWidth="1"/>
    <col min="11270" max="11270" width="12" style="230" customWidth="1"/>
    <col min="11271" max="11271" width="15.44140625" style="230" bestFit="1" customWidth="1"/>
    <col min="11272" max="11273" width="15.109375" style="230" bestFit="1" customWidth="1"/>
    <col min="11274" max="11274" width="14.33203125" style="230" bestFit="1" customWidth="1"/>
    <col min="11275" max="11275" width="3.109375" style="230" customWidth="1"/>
    <col min="11276" max="11276" width="6.44140625" style="230" customWidth="1"/>
    <col min="11277" max="11518" width="8.88671875" style="230"/>
    <col min="11519" max="11519" width="5.5546875" style="230" bestFit="1" customWidth="1"/>
    <col min="11520" max="11520" width="9.33203125" style="230" customWidth="1"/>
    <col min="11521" max="11521" width="24.6640625" style="230" customWidth="1"/>
    <col min="11522" max="11522" width="11" style="230" bestFit="1" customWidth="1"/>
    <col min="11523" max="11523" width="7.5546875" style="230" bestFit="1" customWidth="1"/>
    <col min="11524" max="11524" width="13.5546875" style="230" customWidth="1"/>
    <col min="11525" max="11525" width="11.33203125" style="230" bestFit="1" customWidth="1"/>
    <col min="11526" max="11526" width="12" style="230" customWidth="1"/>
    <col min="11527" max="11527" width="15.44140625" style="230" bestFit="1" customWidth="1"/>
    <col min="11528" max="11529" width="15.109375" style="230" bestFit="1" customWidth="1"/>
    <col min="11530" max="11530" width="14.33203125" style="230" bestFit="1" customWidth="1"/>
    <col min="11531" max="11531" width="3.109375" style="230" customWidth="1"/>
    <col min="11532" max="11532" width="6.44140625" style="230" customWidth="1"/>
    <col min="11533" max="11774" width="8.88671875" style="230"/>
    <col min="11775" max="11775" width="5.5546875" style="230" bestFit="1" customWidth="1"/>
    <col min="11776" max="11776" width="9.33203125" style="230" customWidth="1"/>
    <col min="11777" max="11777" width="24.6640625" style="230" customWidth="1"/>
    <col min="11778" max="11778" width="11" style="230" bestFit="1" customWidth="1"/>
    <col min="11779" max="11779" width="7.5546875" style="230" bestFit="1" customWidth="1"/>
    <col min="11780" max="11780" width="13.5546875" style="230" customWidth="1"/>
    <col min="11781" max="11781" width="11.33203125" style="230" bestFit="1" customWidth="1"/>
    <col min="11782" max="11782" width="12" style="230" customWidth="1"/>
    <col min="11783" max="11783" width="15.44140625" style="230" bestFit="1" customWidth="1"/>
    <col min="11784" max="11785" width="15.109375" style="230" bestFit="1" customWidth="1"/>
    <col min="11786" max="11786" width="14.33203125" style="230" bestFit="1" customWidth="1"/>
    <col min="11787" max="11787" width="3.109375" style="230" customWidth="1"/>
    <col min="11788" max="11788" width="6.44140625" style="230" customWidth="1"/>
    <col min="11789" max="12030" width="8.88671875" style="230"/>
    <col min="12031" max="12031" width="5.5546875" style="230" bestFit="1" customWidth="1"/>
    <col min="12032" max="12032" width="9.33203125" style="230" customWidth="1"/>
    <col min="12033" max="12033" width="24.6640625" style="230" customWidth="1"/>
    <col min="12034" max="12034" width="11" style="230" bestFit="1" customWidth="1"/>
    <col min="12035" max="12035" width="7.5546875" style="230" bestFit="1" customWidth="1"/>
    <col min="12036" max="12036" width="13.5546875" style="230" customWidth="1"/>
    <col min="12037" max="12037" width="11.33203125" style="230" bestFit="1" customWidth="1"/>
    <col min="12038" max="12038" width="12" style="230" customWidth="1"/>
    <col min="12039" max="12039" width="15.44140625" style="230" bestFit="1" customWidth="1"/>
    <col min="12040" max="12041" width="15.109375" style="230" bestFit="1" customWidth="1"/>
    <col min="12042" max="12042" width="14.33203125" style="230" bestFit="1" customWidth="1"/>
    <col min="12043" max="12043" width="3.109375" style="230" customWidth="1"/>
    <col min="12044" max="12044" width="6.44140625" style="230" customWidth="1"/>
    <col min="12045" max="12286" width="8.88671875" style="230"/>
    <col min="12287" max="12287" width="5.5546875" style="230" bestFit="1" customWidth="1"/>
    <col min="12288" max="12288" width="9.33203125" style="230" customWidth="1"/>
    <col min="12289" max="12289" width="24.6640625" style="230" customWidth="1"/>
    <col min="12290" max="12290" width="11" style="230" bestFit="1" customWidth="1"/>
    <col min="12291" max="12291" width="7.5546875" style="230" bestFit="1" customWidth="1"/>
    <col min="12292" max="12292" width="13.5546875" style="230" customWidth="1"/>
    <col min="12293" max="12293" width="11.33203125" style="230" bestFit="1" customWidth="1"/>
    <col min="12294" max="12294" width="12" style="230" customWidth="1"/>
    <col min="12295" max="12295" width="15.44140625" style="230" bestFit="1" customWidth="1"/>
    <col min="12296" max="12297" width="15.109375" style="230" bestFit="1" customWidth="1"/>
    <col min="12298" max="12298" width="14.33203125" style="230" bestFit="1" customWidth="1"/>
    <col min="12299" max="12299" width="3.109375" style="230" customWidth="1"/>
    <col min="12300" max="12300" width="6.44140625" style="230" customWidth="1"/>
    <col min="12301" max="12542" width="8.88671875" style="230"/>
    <col min="12543" max="12543" width="5.5546875" style="230" bestFit="1" customWidth="1"/>
    <col min="12544" max="12544" width="9.33203125" style="230" customWidth="1"/>
    <col min="12545" max="12545" width="24.6640625" style="230" customWidth="1"/>
    <col min="12546" max="12546" width="11" style="230" bestFit="1" customWidth="1"/>
    <col min="12547" max="12547" width="7.5546875" style="230" bestFit="1" customWidth="1"/>
    <col min="12548" max="12548" width="13.5546875" style="230" customWidth="1"/>
    <col min="12549" max="12549" width="11.33203125" style="230" bestFit="1" customWidth="1"/>
    <col min="12550" max="12550" width="12" style="230" customWidth="1"/>
    <col min="12551" max="12551" width="15.44140625" style="230" bestFit="1" customWidth="1"/>
    <col min="12552" max="12553" width="15.109375" style="230" bestFit="1" customWidth="1"/>
    <col min="12554" max="12554" width="14.33203125" style="230" bestFit="1" customWidth="1"/>
    <col min="12555" max="12555" width="3.109375" style="230" customWidth="1"/>
    <col min="12556" max="12556" width="6.44140625" style="230" customWidth="1"/>
    <col min="12557" max="12798" width="8.88671875" style="230"/>
    <col min="12799" max="12799" width="5.5546875" style="230" bestFit="1" customWidth="1"/>
    <col min="12800" max="12800" width="9.33203125" style="230" customWidth="1"/>
    <col min="12801" max="12801" width="24.6640625" style="230" customWidth="1"/>
    <col min="12802" max="12802" width="11" style="230" bestFit="1" customWidth="1"/>
    <col min="12803" max="12803" width="7.5546875" style="230" bestFit="1" customWidth="1"/>
    <col min="12804" max="12804" width="13.5546875" style="230" customWidth="1"/>
    <col min="12805" max="12805" width="11.33203125" style="230" bestFit="1" customWidth="1"/>
    <col min="12806" max="12806" width="12" style="230" customWidth="1"/>
    <col min="12807" max="12807" width="15.44140625" style="230" bestFit="1" customWidth="1"/>
    <col min="12808" max="12809" width="15.109375" style="230" bestFit="1" customWidth="1"/>
    <col min="12810" max="12810" width="14.33203125" style="230" bestFit="1" customWidth="1"/>
    <col min="12811" max="12811" width="3.109375" style="230" customWidth="1"/>
    <col min="12812" max="12812" width="6.44140625" style="230" customWidth="1"/>
    <col min="12813" max="13054" width="8.88671875" style="230"/>
    <col min="13055" max="13055" width="5.5546875" style="230" bestFit="1" customWidth="1"/>
    <col min="13056" max="13056" width="9.33203125" style="230" customWidth="1"/>
    <col min="13057" max="13057" width="24.6640625" style="230" customWidth="1"/>
    <col min="13058" max="13058" width="11" style="230" bestFit="1" customWidth="1"/>
    <col min="13059" max="13059" width="7.5546875" style="230" bestFit="1" customWidth="1"/>
    <col min="13060" max="13060" width="13.5546875" style="230" customWidth="1"/>
    <col min="13061" max="13061" width="11.33203125" style="230" bestFit="1" customWidth="1"/>
    <col min="13062" max="13062" width="12" style="230" customWidth="1"/>
    <col min="13063" max="13063" width="15.44140625" style="230" bestFit="1" customWidth="1"/>
    <col min="13064" max="13065" width="15.109375" style="230" bestFit="1" customWidth="1"/>
    <col min="13066" max="13066" width="14.33203125" style="230" bestFit="1" customWidth="1"/>
    <col min="13067" max="13067" width="3.109375" style="230" customWidth="1"/>
    <col min="13068" max="13068" width="6.44140625" style="230" customWidth="1"/>
    <col min="13069" max="13310" width="8.88671875" style="230"/>
    <col min="13311" max="13311" width="5.5546875" style="230" bestFit="1" customWidth="1"/>
    <col min="13312" max="13312" width="9.33203125" style="230" customWidth="1"/>
    <col min="13313" max="13313" width="24.6640625" style="230" customWidth="1"/>
    <col min="13314" max="13314" width="11" style="230" bestFit="1" customWidth="1"/>
    <col min="13315" max="13315" width="7.5546875" style="230" bestFit="1" customWidth="1"/>
    <col min="13316" max="13316" width="13.5546875" style="230" customWidth="1"/>
    <col min="13317" max="13317" width="11.33203125" style="230" bestFit="1" customWidth="1"/>
    <col min="13318" max="13318" width="12" style="230" customWidth="1"/>
    <col min="13319" max="13319" width="15.44140625" style="230" bestFit="1" customWidth="1"/>
    <col min="13320" max="13321" width="15.109375" style="230" bestFit="1" customWidth="1"/>
    <col min="13322" max="13322" width="14.33203125" style="230" bestFit="1" customWidth="1"/>
    <col min="13323" max="13323" width="3.109375" style="230" customWidth="1"/>
    <col min="13324" max="13324" width="6.44140625" style="230" customWidth="1"/>
    <col min="13325" max="13566" width="8.88671875" style="230"/>
    <col min="13567" max="13567" width="5.5546875" style="230" bestFit="1" customWidth="1"/>
    <col min="13568" max="13568" width="9.33203125" style="230" customWidth="1"/>
    <col min="13569" max="13569" width="24.6640625" style="230" customWidth="1"/>
    <col min="13570" max="13570" width="11" style="230" bestFit="1" customWidth="1"/>
    <col min="13571" max="13571" width="7.5546875" style="230" bestFit="1" customWidth="1"/>
    <col min="13572" max="13572" width="13.5546875" style="230" customWidth="1"/>
    <col min="13573" max="13573" width="11.33203125" style="230" bestFit="1" customWidth="1"/>
    <col min="13574" max="13574" width="12" style="230" customWidth="1"/>
    <col min="13575" max="13575" width="15.44140625" style="230" bestFit="1" customWidth="1"/>
    <col min="13576" max="13577" width="15.109375" style="230" bestFit="1" customWidth="1"/>
    <col min="13578" max="13578" width="14.33203125" style="230" bestFit="1" customWidth="1"/>
    <col min="13579" max="13579" width="3.109375" style="230" customWidth="1"/>
    <col min="13580" max="13580" width="6.44140625" style="230" customWidth="1"/>
    <col min="13581" max="13822" width="8.88671875" style="230"/>
    <col min="13823" max="13823" width="5.5546875" style="230" bestFit="1" customWidth="1"/>
    <col min="13824" max="13824" width="9.33203125" style="230" customWidth="1"/>
    <col min="13825" max="13825" width="24.6640625" style="230" customWidth="1"/>
    <col min="13826" max="13826" width="11" style="230" bestFit="1" customWidth="1"/>
    <col min="13827" max="13827" width="7.5546875" style="230" bestFit="1" customWidth="1"/>
    <col min="13828" max="13828" width="13.5546875" style="230" customWidth="1"/>
    <col min="13829" max="13829" width="11.33203125" style="230" bestFit="1" customWidth="1"/>
    <col min="13830" max="13830" width="12" style="230" customWidth="1"/>
    <col min="13831" max="13831" width="15.44140625" style="230" bestFit="1" customWidth="1"/>
    <col min="13832" max="13833" width="15.109375" style="230" bestFit="1" customWidth="1"/>
    <col min="13834" max="13834" width="14.33203125" style="230" bestFit="1" customWidth="1"/>
    <col min="13835" max="13835" width="3.109375" style="230" customWidth="1"/>
    <col min="13836" max="13836" width="6.44140625" style="230" customWidth="1"/>
    <col min="13837" max="14078" width="8.88671875" style="230"/>
    <col min="14079" max="14079" width="5.5546875" style="230" bestFit="1" customWidth="1"/>
    <col min="14080" max="14080" width="9.33203125" style="230" customWidth="1"/>
    <col min="14081" max="14081" width="24.6640625" style="230" customWidth="1"/>
    <col min="14082" max="14082" width="11" style="230" bestFit="1" customWidth="1"/>
    <col min="14083" max="14083" width="7.5546875" style="230" bestFit="1" customWidth="1"/>
    <col min="14084" max="14084" width="13.5546875" style="230" customWidth="1"/>
    <col min="14085" max="14085" width="11.33203125" style="230" bestFit="1" customWidth="1"/>
    <col min="14086" max="14086" width="12" style="230" customWidth="1"/>
    <col min="14087" max="14087" width="15.44140625" style="230" bestFit="1" customWidth="1"/>
    <col min="14088" max="14089" width="15.109375" style="230" bestFit="1" customWidth="1"/>
    <col min="14090" max="14090" width="14.33203125" style="230" bestFit="1" customWidth="1"/>
    <col min="14091" max="14091" width="3.109375" style="230" customWidth="1"/>
    <col min="14092" max="14092" width="6.44140625" style="230" customWidth="1"/>
    <col min="14093" max="14334" width="8.88671875" style="230"/>
    <col min="14335" max="14335" width="5.5546875" style="230" bestFit="1" customWidth="1"/>
    <col min="14336" max="14336" width="9.33203125" style="230" customWidth="1"/>
    <col min="14337" max="14337" width="24.6640625" style="230" customWidth="1"/>
    <col min="14338" max="14338" width="11" style="230" bestFit="1" customWidth="1"/>
    <col min="14339" max="14339" width="7.5546875" style="230" bestFit="1" customWidth="1"/>
    <col min="14340" max="14340" width="13.5546875" style="230" customWidth="1"/>
    <col min="14341" max="14341" width="11.33203125" style="230" bestFit="1" customWidth="1"/>
    <col min="14342" max="14342" width="12" style="230" customWidth="1"/>
    <col min="14343" max="14343" width="15.44140625" style="230" bestFit="1" customWidth="1"/>
    <col min="14344" max="14345" width="15.109375" style="230" bestFit="1" customWidth="1"/>
    <col min="14346" max="14346" width="14.33203125" style="230" bestFit="1" customWidth="1"/>
    <col min="14347" max="14347" width="3.109375" style="230" customWidth="1"/>
    <col min="14348" max="14348" width="6.44140625" style="230" customWidth="1"/>
    <col min="14349" max="14590" width="8.88671875" style="230"/>
    <col min="14591" max="14591" width="5.5546875" style="230" bestFit="1" customWidth="1"/>
    <col min="14592" max="14592" width="9.33203125" style="230" customWidth="1"/>
    <col min="14593" max="14593" width="24.6640625" style="230" customWidth="1"/>
    <col min="14594" max="14594" width="11" style="230" bestFit="1" customWidth="1"/>
    <col min="14595" max="14595" width="7.5546875" style="230" bestFit="1" customWidth="1"/>
    <col min="14596" max="14596" width="13.5546875" style="230" customWidth="1"/>
    <col min="14597" max="14597" width="11.33203125" style="230" bestFit="1" customWidth="1"/>
    <col min="14598" max="14598" width="12" style="230" customWidth="1"/>
    <col min="14599" max="14599" width="15.44140625" style="230" bestFit="1" customWidth="1"/>
    <col min="14600" max="14601" width="15.109375" style="230" bestFit="1" customWidth="1"/>
    <col min="14602" max="14602" width="14.33203125" style="230" bestFit="1" customWidth="1"/>
    <col min="14603" max="14603" width="3.109375" style="230" customWidth="1"/>
    <col min="14604" max="14604" width="6.44140625" style="230" customWidth="1"/>
    <col min="14605" max="14846" width="8.88671875" style="230"/>
    <col min="14847" max="14847" width="5.5546875" style="230" bestFit="1" customWidth="1"/>
    <col min="14848" max="14848" width="9.33203125" style="230" customWidth="1"/>
    <col min="14849" max="14849" width="24.6640625" style="230" customWidth="1"/>
    <col min="14850" max="14850" width="11" style="230" bestFit="1" customWidth="1"/>
    <col min="14851" max="14851" width="7.5546875" style="230" bestFit="1" customWidth="1"/>
    <col min="14852" max="14852" width="13.5546875" style="230" customWidth="1"/>
    <col min="14853" max="14853" width="11.33203125" style="230" bestFit="1" customWidth="1"/>
    <col min="14854" max="14854" width="12" style="230" customWidth="1"/>
    <col min="14855" max="14855" width="15.44140625" style="230" bestFit="1" customWidth="1"/>
    <col min="14856" max="14857" width="15.109375" style="230" bestFit="1" customWidth="1"/>
    <col min="14858" max="14858" width="14.33203125" style="230" bestFit="1" customWidth="1"/>
    <col min="14859" max="14859" width="3.109375" style="230" customWidth="1"/>
    <col min="14860" max="14860" width="6.44140625" style="230" customWidth="1"/>
    <col min="14861" max="15102" width="8.88671875" style="230"/>
    <col min="15103" max="15103" width="5.5546875" style="230" bestFit="1" customWidth="1"/>
    <col min="15104" max="15104" width="9.33203125" style="230" customWidth="1"/>
    <col min="15105" max="15105" width="24.6640625" style="230" customWidth="1"/>
    <col min="15106" max="15106" width="11" style="230" bestFit="1" customWidth="1"/>
    <col min="15107" max="15107" width="7.5546875" style="230" bestFit="1" customWidth="1"/>
    <col min="15108" max="15108" width="13.5546875" style="230" customWidth="1"/>
    <col min="15109" max="15109" width="11.33203125" style="230" bestFit="1" customWidth="1"/>
    <col min="15110" max="15110" width="12" style="230" customWidth="1"/>
    <col min="15111" max="15111" width="15.44140625" style="230" bestFit="1" customWidth="1"/>
    <col min="15112" max="15113" width="15.109375" style="230" bestFit="1" customWidth="1"/>
    <col min="15114" max="15114" width="14.33203125" style="230" bestFit="1" customWidth="1"/>
    <col min="15115" max="15115" width="3.109375" style="230" customWidth="1"/>
    <col min="15116" max="15116" width="6.44140625" style="230" customWidth="1"/>
    <col min="15117" max="15358" width="8.88671875" style="230"/>
    <col min="15359" max="15359" width="5.5546875" style="230" bestFit="1" customWidth="1"/>
    <col min="15360" max="15360" width="9.33203125" style="230" customWidth="1"/>
    <col min="15361" max="15361" width="24.6640625" style="230" customWidth="1"/>
    <col min="15362" max="15362" width="11" style="230" bestFit="1" customWidth="1"/>
    <col min="15363" max="15363" width="7.5546875" style="230" bestFit="1" customWidth="1"/>
    <col min="15364" max="15364" width="13.5546875" style="230" customWidth="1"/>
    <col min="15365" max="15365" width="11.33203125" style="230" bestFit="1" customWidth="1"/>
    <col min="15366" max="15366" width="12" style="230" customWidth="1"/>
    <col min="15367" max="15367" width="15.44140625" style="230" bestFit="1" customWidth="1"/>
    <col min="15368" max="15369" width="15.109375" style="230" bestFit="1" customWidth="1"/>
    <col min="15370" max="15370" width="14.33203125" style="230" bestFit="1" customWidth="1"/>
    <col min="15371" max="15371" width="3.109375" style="230" customWidth="1"/>
    <col min="15372" max="15372" width="6.44140625" style="230" customWidth="1"/>
    <col min="15373" max="15614" width="8.88671875" style="230"/>
    <col min="15615" max="15615" width="5.5546875" style="230" bestFit="1" customWidth="1"/>
    <col min="15616" max="15616" width="9.33203125" style="230" customWidth="1"/>
    <col min="15617" max="15617" width="24.6640625" style="230" customWidth="1"/>
    <col min="15618" max="15618" width="11" style="230" bestFit="1" customWidth="1"/>
    <col min="15619" max="15619" width="7.5546875" style="230" bestFit="1" customWidth="1"/>
    <col min="15620" max="15620" width="13.5546875" style="230" customWidth="1"/>
    <col min="15621" max="15621" width="11.33203125" style="230" bestFit="1" customWidth="1"/>
    <col min="15622" max="15622" width="12" style="230" customWidth="1"/>
    <col min="15623" max="15623" width="15.44140625" style="230" bestFit="1" customWidth="1"/>
    <col min="15624" max="15625" width="15.109375" style="230" bestFit="1" customWidth="1"/>
    <col min="15626" max="15626" width="14.33203125" style="230" bestFit="1" customWidth="1"/>
    <col min="15627" max="15627" width="3.109375" style="230" customWidth="1"/>
    <col min="15628" max="15628" width="6.44140625" style="230" customWidth="1"/>
    <col min="15629" max="15870" width="8.88671875" style="230"/>
    <col min="15871" max="15871" width="5.5546875" style="230" bestFit="1" customWidth="1"/>
    <col min="15872" max="15872" width="9.33203125" style="230" customWidth="1"/>
    <col min="15873" max="15873" width="24.6640625" style="230" customWidth="1"/>
    <col min="15874" max="15874" width="11" style="230" bestFit="1" customWidth="1"/>
    <col min="15875" max="15875" width="7.5546875" style="230" bestFit="1" customWidth="1"/>
    <col min="15876" max="15876" width="13.5546875" style="230" customWidth="1"/>
    <col min="15877" max="15877" width="11.33203125" style="230" bestFit="1" customWidth="1"/>
    <col min="15878" max="15878" width="12" style="230" customWidth="1"/>
    <col min="15879" max="15879" width="15.44140625" style="230" bestFit="1" customWidth="1"/>
    <col min="15880" max="15881" width="15.109375" style="230" bestFit="1" customWidth="1"/>
    <col min="15882" max="15882" width="14.33203125" style="230" bestFit="1" customWidth="1"/>
    <col min="15883" max="15883" width="3.109375" style="230" customWidth="1"/>
    <col min="15884" max="15884" width="6.44140625" style="230" customWidth="1"/>
    <col min="15885" max="16126" width="8.88671875" style="230"/>
    <col min="16127" max="16127" width="5.5546875" style="230" bestFit="1" customWidth="1"/>
    <col min="16128" max="16128" width="9.33203125" style="230" customWidth="1"/>
    <col min="16129" max="16129" width="24.6640625" style="230" customWidth="1"/>
    <col min="16130" max="16130" width="11" style="230" bestFit="1" customWidth="1"/>
    <col min="16131" max="16131" width="7.5546875" style="230" bestFit="1" customWidth="1"/>
    <col min="16132" max="16132" width="13.5546875" style="230" customWidth="1"/>
    <col min="16133" max="16133" width="11.33203125" style="230" bestFit="1" customWidth="1"/>
    <col min="16134" max="16134" width="12" style="230" customWidth="1"/>
    <col min="16135" max="16135" width="15.44140625" style="230" bestFit="1" customWidth="1"/>
    <col min="16136" max="16137" width="15.109375" style="230" bestFit="1" customWidth="1"/>
    <col min="16138" max="16138" width="14.33203125" style="230" bestFit="1" customWidth="1"/>
    <col min="16139" max="16139" width="3.109375" style="230" customWidth="1"/>
    <col min="16140" max="16140" width="6.44140625" style="230" customWidth="1"/>
    <col min="16141" max="16384" width="8.88671875" style="230"/>
  </cols>
  <sheetData>
    <row r="1" spans="1:21" s="224" customFormat="1">
      <c r="A1" s="343" t="s">
        <v>184</v>
      </c>
      <c r="B1" s="343"/>
      <c r="C1" s="343"/>
      <c r="D1" s="343"/>
      <c r="E1" s="343"/>
      <c r="F1" s="343"/>
      <c r="G1" s="343"/>
      <c r="H1" s="343"/>
      <c r="I1" s="343"/>
      <c r="J1" s="343"/>
      <c r="K1" s="223"/>
    </row>
    <row r="2" spans="1:21" s="224" customFormat="1" ht="26.4" customHeight="1" thickBot="1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223"/>
      <c r="M2" s="225"/>
    </row>
    <row r="3" spans="1:21" s="228" customFormat="1" ht="33.6" thickBot="1">
      <c r="A3" s="246" t="s">
        <v>0</v>
      </c>
      <c r="B3" s="247" t="s">
        <v>1</v>
      </c>
      <c r="C3" s="248" t="s">
        <v>2</v>
      </c>
      <c r="D3" s="247" t="s">
        <v>185</v>
      </c>
      <c r="E3" s="247" t="s">
        <v>186</v>
      </c>
      <c r="F3" s="247" t="s">
        <v>166</v>
      </c>
      <c r="G3" s="249" t="s">
        <v>187</v>
      </c>
      <c r="H3" s="247" t="s">
        <v>188</v>
      </c>
      <c r="I3" s="250" t="s">
        <v>189</v>
      </c>
      <c r="J3" s="251" t="s">
        <v>5</v>
      </c>
      <c r="K3" s="226"/>
      <c r="L3" s="227"/>
      <c r="M3" s="227"/>
      <c r="N3" s="227"/>
      <c r="O3" s="227"/>
      <c r="P3" s="227"/>
      <c r="Q3" s="227"/>
      <c r="R3" s="227"/>
      <c r="S3" s="223"/>
      <c r="T3" s="223"/>
      <c r="U3" s="223"/>
    </row>
    <row r="4" spans="1:21" ht="30" customHeight="1">
      <c r="A4" s="258">
        <v>1</v>
      </c>
      <c r="B4" s="259" t="s">
        <v>190</v>
      </c>
      <c r="C4" s="260" t="s">
        <v>191</v>
      </c>
      <c r="D4" s="261"/>
      <c r="E4" s="261"/>
      <c r="F4" s="261" t="s">
        <v>35</v>
      </c>
      <c r="G4" s="262">
        <v>28.38</v>
      </c>
      <c r="H4" s="263">
        <v>900</v>
      </c>
      <c r="I4" s="264">
        <f>G4*H4</f>
        <v>25542</v>
      </c>
      <c r="J4" s="265">
        <f>I4</f>
        <v>25542</v>
      </c>
      <c r="K4" s="229" t="s">
        <v>310</v>
      </c>
      <c r="L4" s="224"/>
      <c r="M4" s="224"/>
      <c r="N4" s="224"/>
      <c r="O4" s="224"/>
      <c r="P4" s="224"/>
      <c r="Q4" s="224"/>
      <c r="R4" s="224"/>
      <c r="S4" s="224"/>
      <c r="T4" s="224"/>
      <c r="U4" s="224"/>
    </row>
    <row r="5" spans="1:21" ht="30" customHeight="1">
      <c r="A5" s="266">
        <v>2</v>
      </c>
      <c r="B5" s="253" t="s">
        <v>190</v>
      </c>
      <c r="C5" s="254" t="s">
        <v>191</v>
      </c>
      <c r="D5" s="252"/>
      <c r="E5" s="252"/>
      <c r="F5" s="252" t="s">
        <v>38</v>
      </c>
      <c r="G5" s="255">
        <v>30.7</v>
      </c>
      <c r="H5" s="256">
        <v>900</v>
      </c>
      <c r="I5" s="257">
        <f>G5*H5</f>
        <v>27630</v>
      </c>
      <c r="J5" s="267">
        <f>I5+J4</f>
        <v>53172</v>
      </c>
      <c r="K5" s="229" t="s">
        <v>310</v>
      </c>
      <c r="L5" s="224"/>
      <c r="M5" s="224"/>
      <c r="N5" s="224"/>
      <c r="O5" s="224"/>
      <c r="P5" s="224"/>
      <c r="Q5" s="224"/>
      <c r="R5" s="224"/>
      <c r="S5" s="224"/>
      <c r="T5" s="224"/>
      <c r="U5" s="224"/>
    </row>
    <row r="6" spans="1:21" ht="30" customHeight="1">
      <c r="A6" s="266">
        <v>3</v>
      </c>
      <c r="B6" s="253" t="s">
        <v>190</v>
      </c>
      <c r="C6" s="254" t="s">
        <v>191</v>
      </c>
      <c r="D6" s="252"/>
      <c r="E6" s="252"/>
      <c r="F6" s="252" t="s">
        <v>39</v>
      </c>
      <c r="G6" s="255">
        <v>31.71</v>
      </c>
      <c r="H6" s="256">
        <v>900</v>
      </c>
      <c r="I6" s="257">
        <f t="shared" ref="I6:I18" si="0">G6*H6</f>
        <v>28539</v>
      </c>
      <c r="J6" s="267">
        <f t="shared" ref="J6:J69" si="1">I6+J5</f>
        <v>81711</v>
      </c>
      <c r="K6" s="229" t="s">
        <v>310</v>
      </c>
      <c r="L6" s="224"/>
      <c r="M6" s="224"/>
      <c r="N6" s="224"/>
      <c r="O6" s="224"/>
      <c r="P6" s="224"/>
      <c r="Q6" s="224"/>
      <c r="R6" s="224"/>
      <c r="S6" s="224"/>
      <c r="T6" s="224"/>
      <c r="U6" s="224"/>
    </row>
    <row r="7" spans="1:21" ht="30" customHeight="1">
      <c r="A7" s="266">
        <v>4</v>
      </c>
      <c r="B7" s="253" t="s">
        <v>190</v>
      </c>
      <c r="C7" s="254" t="s">
        <v>191</v>
      </c>
      <c r="D7" s="252"/>
      <c r="E7" s="252"/>
      <c r="F7" s="252" t="s">
        <v>40</v>
      </c>
      <c r="G7" s="255">
        <v>32.979999999999997</v>
      </c>
      <c r="H7" s="256">
        <v>900</v>
      </c>
      <c r="I7" s="257">
        <f t="shared" si="0"/>
        <v>29681.999999999996</v>
      </c>
      <c r="J7" s="267">
        <f t="shared" si="1"/>
        <v>111393</v>
      </c>
      <c r="K7" s="229" t="s">
        <v>310</v>
      </c>
      <c r="L7" s="224"/>
      <c r="M7" s="224"/>
      <c r="N7" s="224"/>
      <c r="O7" s="224"/>
      <c r="P7" s="224"/>
      <c r="Q7" s="224"/>
      <c r="R7" s="224"/>
      <c r="S7" s="224"/>
      <c r="T7" s="224"/>
      <c r="U7" s="224"/>
    </row>
    <row r="8" spans="1:21" ht="30" customHeight="1">
      <c r="A8" s="266">
        <v>5</v>
      </c>
      <c r="B8" s="253" t="s">
        <v>190</v>
      </c>
      <c r="C8" s="254" t="s">
        <v>191</v>
      </c>
      <c r="D8" s="252"/>
      <c r="E8" s="252"/>
      <c r="F8" s="252" t="s">
        <v>41</v>
      </c>
      <c r="G8" s="255">
        <v>30.11</v>
      </c>
      <c r="H8" s="256">
        <v>900</v>
      </c>
      <c r="I8" s="257">
        <f t="shared" si="0"/>
        <v>27099</v>
      </c>
      <c r="J8" s="267">
        <f t="shared" si="1"/>
        <v>138492</v>
      </c>
      <c r="K8" s="229" t="s">
        <v>310</v>
      </c>
      <c r="L8" s="224"/>
      <c r="M8" s="224"/>
      <c r="N8" s="224"/>
      <c r="O8" s="224"/>
      <c r="P8" s="224"/>
      <c r="Q8" s="224"/>
      <c r="R8" s="224"/>
      <c r="S8" s="224"/>
      <c r="T8" s="224"/>
      <c r="U8" s="224"/>
    </row>
    <row r="9" spans="1:21" ht="30" customHeight="1">
      <c r="A9" s="266">
        <v>6</v>
      </c>
      <c r="B9" s="253" t="s">
        <v>190</v>
      </c>
      <c r="C9" s="254" t="s">
        <v>191</v>
      </c>
      <c r="D9" s="252"/>
      <c r="E9" s="252"/>
      <c r="F9" s="252" t="s">
        <v>42</v>
      </c>
      <c r="G9" s="255">
        <v>32.799999999999997</v>
      </c>
      <c r="H9" s="256">
        <v>900</v>
      </c>
      <c r="I9" s="257">
        <f t="shared" si="0"/>
        <v>29519.999999999996</v>
      </c>
      <c r="J9" s="267">
        <f t="shared" si="1"/>
        <v>168012</v>
      </c>
      <c r="K9" s="229" t="s">
        <v>310</v>
      </c>
      <c r="L9" s="224"/>
      <c r="M9" s="224"/>
      <c r="N9" s="224"/>
      <c r="O9" s="224"/>
      <c r="P9" s="224"/>
      <c r="Q9" s="224"/>
      <c r="R9" s="224"/>
      <c r="S9" s="224"/>
      <c r="T9" s="224"/>
      <c r="U9" s="224"/>
    </row>
    <row r="10" spans="1:21" ht="30" customHeight="1">
      <c r="A10" s="266">
        <v>7</v>
      </c>
      <c r="B10" s="253" t="s">
        <v>190</v>
      </c>
      <c r="C10" s="254" t="s">
        <v>191</v>
      </c>
      <c r="D10" s="252"/>
      <c r="E10" s="252"/>
      <c r="F10" s="252" t="s">
        <v>43</v>
      </c>
      <c r="G10" s="255">
        <v>31</v>
      </c>
      <c r="H10" s="256">
        <v>900</v>
      </c>
      <c r="I10" s="257">
        <f t="shared" si="0"/>
        <v>27900</v>
      </c>
      <c r="J10" s="267">
        <f t="shared" si="1"/>
        <v>195912</v>
      </c>
      <c r="K10" s="229" t="s">
        <v>310</v>
      </c>
      <c r="L10" s="224"/>
      <c r="M10" s="224"/>
      <c r="N10" s="224"/>
      <c r="O10" s="224"/>
      <c r="P10" s="224"/>
      <c r="Q10" s="224"/>
      <c r="R10" s="224"/>
      <c r="S10" s="224"/>
      <c r="T10" s="224"/>
      <c r="U10" s="224"/>
    </row>
    <row r="11" spans="1:21" ht="30" customHeight="1">
      <c r="A11" s="266">
        <v>8</v>
      </c>
      <c r="B11" s="253" t="s">
        <v>190</v>
      </c>
      <c r="C11" s="254" t="s">
        <v>191</v>
      </c>
      <c r="D11" s="252"/>
      <c r="E11" s="252"/>
      <c r="F11" s="252" t="s">
        <v>44</v>
      </c>
      <c r="G11" s="255">
        <v>30.05</v>
      </c>
      <c r="H11" s="256">
        <v>900</v>
      </c>
      <c r="I11" s="257">
        <f t="shared" si="0"/>
        <v>27045</v>
      </c>
      <c r="J11" s="267">
        <f t="shared" si="1"/>
        <v>222957</v>
      </c>
      <c r="K11" s="229" t="s">
        <v>310</v>
      </c>
      <c r="L11" s="224"/>
      <c r="M11" s="224"/>
      <c r="N11" s="224"/>
      <c r="O11" s="224"/>
      <c r="P11" s="224"/>
      <c r="Q11" s="224"/>
      <c r="R11" s="224"/>
      <c r="S11" s="224"/>
      <c r="T11" s="224"/>
      <c r="U11" s="224"/>
    </row>
    <row r="12" spans="1:21" ht="30" customHeight="1">
      <c r="A12" s="266">
        <v>9</v>
      </c>
      <c r="B12" s="253" t="s">
        <v>190</v>
      </c>
      <c r="C12" s="254" t="s">
        <v>191</v>
      </c>
      <c r="D12" s="252"/>
      <c r="E12" s="252"/>
      <c r="F12" s="252" t="s">
        <v>45</v>
      </c>
      <c r="G12" s="255">
        <v>32.370000000000005</v>
      </c>
      <c r="H12" s="256">
        <v>900</v>
      </c>
      <c r="I12" s="257">
        <f t="shared" si="0"/>
        <v>29133.000000000004</v>
      </c>
      <c r="J12" s="267">
        <f t="shared" si="1"/>
        <v>252090</v>
      </c>
      <c r="K12" s="229" t="s">
        <v>310</v>
      </c>
      <c r="L12" s="224"/>
      <c r="M12" s="224"/>
      <c r="N12" s="224"/>
      <c r="O12" s="224"/>
      <c r="P12" s="224"/>
      <c r="Q12" s="224"/>
      <c r="R12" s="224"/>
      <c r="S12" s="224"/>
      <c r="T12" s="224"/>
      <c r="U12" s="224"/>
    </row>
    <row r="13" spans="1:21" ht="30" customHeight="1">
      <c r="A13" s="266">
        <v>10</v>
      </c>
      <c r="B13" s="253" t="s">
        <v>190</v>
      </c>
      <c r="C13" s="254" t="s">
        <v>191</v>
      </c>
      <c r="D13" s="252"/>
      <c r="E13" s="252"/>
      <c r="F13" s="252" t="s">
        <v>46</v>
      </c>
      <c r="G13" s="255">
        <v>32.950000000000003</v>
      </c>
      <c r="H13" s="256">
        <v>900</v>
      </c>
      <c r="I13" s="257">
        <f t="shared" si="0"/>
        <v>29655.000000000004</v>
      </c>
      <c r="J13" s="267">
        <f t="shared" si="1"/>
        <v>281745</v>
      </c>
      <c r="K13" s="229" t="s">
        <v>310</v>
      </c>
      <c r="L13" s="224"/>
      <c r="M13" s="224"/>
      <c r="N13" s="224"/>
      <c r="O13" s="224"/>
      <c r="P13" s="224"/>
      <c r="Q13" s="224"/>
      <c r="R13" s="224"/>
      <c r="S13" s="224"/>
      <c r="T13" s="224"/>
      <c r="U13" s="224"/>
    </row>
    <row r="14" spans="1:21" ht="30" customHeight="1">
      <c r="A14" s="266">
        <v>11</v>
      </c>
      <c r="B14" s="253" t="s">
        <v>190</v>
      </c>
      <c r="C14" s="254" t="s">
        <v>191</v>
      </c>
      <c r="D14" s="252"/>
      <c r="E14" s="252"/>
      <c r="F14" s="252" t="s">
        <v>47</v>
      </c>
      <c r="G14" s="255">
        <v>30.21</v>
      </c>
      <c r="H14" s="256">
        <v>900</v>
      </c>
      <c r="I14" s="257">
        <f t="shared" si="0"/>
        <v>27189</v>
      </c>
      <c r="J14" s="267">
        <f t="shared" si="1"/>
        <v>308934</v>
      </c>
      <c r="K14" s="229" t="s">
        <v>310</v>
      </c>
      <c r="L14" s="224"/>
      <c r="M14" s="224"/>
      <c r="N14" s="224"/>
      <c r="O14" s="224"/>
      <c r="P14" s="224"/>
      <c r="Q14" s="224"/>
      <c r="R14" s="224"/>
      <c r="S14" s="224"/>
      <c r="T14" s="224"/>
      <c r="U14" s="224"/>
    </row>
    <row r="15" spans="1:21" ht="30" customHeight="1">
      <c r="A15" s="266">
        <v>12</v>
      </c>
      <c r="B15" s="253" t="s">
        <v>190</v>
      </c>
      <c r="C15" s="254" t="s">
        <v>196</v>
      </c>
      <c r="D15" s="252"/>
      <c r="E15" s="252"/>
      <c r="F15" s="252" t="s">
        <v>48</v>
      </c>
      <c r="G15" s="255">
        <v>31.24</v>
      </c>
      <c r="H15" s="256">
        <v>900</v>
      </c>
      <c r="I15" s="257">
        <f t="shared" si="0"/>
        <v>28116</v>
      </c>
      <c r="J15" s="267">
        <f t="shared" si="1"/>
        <v>337050</v>
      </c>
      <c r="K15" s="229" t="s">
        <v>310</v>
      </c>
      <c r="L15" s="224"/>
      <c r="M15" s="224"/>
      <c r="N15" s="224"/>
      <c r="O15" s="224"/>
      <c r="P15" s="224"/>
      <c r="Q15" s="224"/>
      <c r="R15" s="224"/>
      <c r="S15" s="224"/>
      <c r="T15" s="224"/>
      <c r="U15" s="224"/>
    </row>
    <row r="16" spans="1:21" ht="30" customHeight="1">
      <c r="A16" s="266">
        <v>13</v>
      </c>
      <c r="B16" s="253" t="s">
        <v>190</v>
      </c>
      <c r="C16" s="254" t="s">
        <v>196</v>
      </c>
      <c r="D16" s="252"/>
      <c r="E16" s="252"/>
      <c r="F16" s="252" t="s">
        <v>49</v>
      </c>
      <c r="G16" s="255">
        <v>32.340000000000003</v>
      </c>
      <c r="H16" s="256">
        <v>900</v>
      </c>
      <c r="I16" s="257">
        <f t="shared" si="0"/>
        <v>29106.000000000004</v>
      </c>
      <c r="J16" s="267">
        <f t="shared" si="1"/>
        <v>366156</v>
      </c>
      <c r="K16" s="229" t="s">
        <v>310</v>
      </c>
      <c r="L16" s="224"/>
      <c r="M16" s="224"/>
      <c r="N16" s="224"/>
      <c r="O16" s="224"/>
      <c r="P16" s="224"/>
      <c r="Q16" s="224"/>
      <c r="R16" s="224"/>
      <c r="S16" s="224"/>
      <c r="T16" s="224"/>
      <c r="U16" s="224"/>
    </row>
    <row r="17" spans="1:21" ht="30" customHeight="1">
      <c r="A17" s="266">
        <v>14</v>
      </c>
      <c r="B17" s="253" t="s">
        <v>198</v>
      </c>
      <c r="C17" s="254" t="s">
        <v>199</v>
      </c>
      <c r="D17" s="252"/>
      <c r="E17" s="252"/>
      <c r="F17" s="252" t="s">
        <v>50</v>
      </c>
      <c r="G17" s="255">
        <v>31.88</v>
      </c>
      <c r="H17" s="256">
        <v>911</v>
      </c>
      <c r="I17" s="257">
        <f t="shared" si="0"/>
        <v>29042.68</v>
      </c>
      <c r="J17" s="267">
        <f t="shared" si="1"/>
        <v>395198.68</v>
      </c>
      <c r="K17" s="229" t="s">
        <v>310</v>
      </c>
      <c r="L17" s="224"/>
      <c r="M17" s="224"/>
      <c r="N17" s="224"/>
      <c r="O17" s="224"/>
      <c r="P17" s="224"/>
      <c r="Q17" s="224"/>
      <c r="R17" s="224"/>
      <c r="S17" s="224"/>
      <c r="T17" s="224"/>
      <c r="U17" s="224"/>
    </row>
    <row r="18" spans="1:21" ht="30" customHeight="1">
      <c r="A18" s="266">
        <v>15</v>
      </c>
      <c r="B18" s="253" t="s">
        <v>198</v>
      </c>
      <c r="C18" s="254" t="s">
        <v>200</v>
      </c>
      <c r="D18" s="252"/>
      <c r="E18" s="252"/>
      <c r="F18" s="252" t="s">
        <v>51</v>
      </c>
      <c r="G18" s="255">
        <v>26.98</v>
      </c>
      <c r="H18" s="256">
        <v>911</v>
      </c>
      <c r="I18" s="257">
        <f t="shared" si="0"/>
        <v>24578.78</v>
      </c>
      <c r="J18" s="267">
        <f t="shared" si="1"/>
        <v>419777.45999999996</v>
      </c>
      <c r="K18" s="229" t="s">
        <v>310</v>
      </c>
      <c r="L18" s="224"/>
      <c r="M18" s="224"/>
      <c r="N18" s="224"/>
      <c r="O18" s="224"/>
      <c r="P18" s="224"/>
      <c r="Q18" s="224"/>
      <c r="R18" s="224"/>
      <c r="S18" s="224"/>
      <c r="T18" s="224"/>
      <c r="U18" s="224"/>
    </row>
    <row r="19" spans="1:21" ht="30" customHeight="1">
      <c r="A19" s="266">
        <v>16</v>
      </c>
      <c r="B19" s="253" t="s">
        <v>198</v>
      </c>
      <c r="C19" s="254" t="s">
        <v>200</v>
      </c>
      <c r="D19" s="252"/>
      <c r="E19" s="252"/>
      <c r="F19" s="252" t="s">
        <v>52</v>
      </c>
      <c r="G19" s="255">
        <v>31.18</v>
      </c>
      <c r="H19" s="256">
        <v>911</v>
      </c>
      <c r="I19" s="257">
        <f>G19*H19</f>
        <v>28404.98</v>
      </c>
      <c r="J19" s="267">
        <f t="shared" si="1"/>
        <v>448182.43999999994</v>
      </c>
      <c r="K19" s="229" t="s">
        <v>310</v>
      </c>
      <c r="L19" s="224"/>
      <c r="M19" s="224"/>
      <c r="N19" s="224"/>
      <c r="O19" s="224"/>
      <c r="P19" s="224"/>
      <c r="Q19" s="224"/>
      <c r="R19" s="224"/>
      <c r="S19" s="224"/>
      <c r="T19" s="224"/>
      <c r="U19" s="224"/>
    </row>
    <row r="20" spans="1:21" ht="30" customHeight="1">
      <c r="A20" s="266">
        <v>17</v>
      </c>
      <c r="B20" s="253" t="s">
        <v>198</v>
      </c>
      <c r="C20" s="254" t="s">
        <v>200</v>
      </c>
      <c r="D20" s="252"/>
      <c r="E20" s="252"/>
      <c r="F20" s="252" t="s">
        <v>53</v>
      </c>
      <c r="G20" s="255">
        <v>31.59</v>
      </c>
      <c r="H20" s="256">
        <v>912</v>
      </c>
      <c r="I20" s="257">
        <f t="shared" ref="I20:I79" si="2">G20*H20</f>
        <v>28810.079999999998</v>
      </c>
      <c r="J20" s="267">
        <f t="shared" si="1"/>
        <v>476992.51999999996</v>
      </c>
      <c r="K20" s="229" t="s">
        <v>310</v>
      </c>
      <c r="L20" s="224"/>
      <c r="M20" s="224"/>
      <c r="N20" s="224"/>
      <c r="O20" s="224"/>
      <c r="P20" s="224"/>
      <c r="Q20" s="224"/>
      <c r="R20" s="224"/>
      <c r="S20" s="224"/>
      <c r="T20" s="224"/>
      <c r="U20" s="224"/>
    </row>
    <row r="21" spans="1:21" ht="30" customHeight="1">
      <c r="A21" s="266">
        <v>18</v>
      </c>
      <c r="B21" s="253" t="s">
        <v>198</v>
      </c>
      <c r="C21" s="254" t="s">
        <v>203</v>
      </c>
      <c r="D21" s="252"/>
      <c r="E21" s="252"/>
      <c r="F21" s="252" t="s">
        <v>54</v>
      </c>
      <c r="G21" s="255">
        <v>31.05</v>
      </c>
      <c r="H21" s="256">
        <v>905</v>
      </c>
      <c r="I21" s="257">
        <f t="shared" si="2"/>
        <v>28100.25</v>
      </c>
      <c r="J21" s="267">
        <f t="shared" si="1"/>
        <v>505092.76999999996</v>
      </c>
      <c r="K21" s="229" t="s">
        <v>310</v>
      </c>
      <c r="L21" s="224"/>
      <c r="M21" s="224"/>
      <c r="N21" s="224"/>
      <c r="O21" s="224"/>
      <c r="P21" s="224"/>
      <c r="Q21" s="224"/>
      <c r="R21" s="224"/>
      <c r="S21" s="224"/>
      <c r="T21" s="224"/>
      <c r="U21" s="224"/>
    </row>
    <row r="22" spans="1:21" ht="30" customHeight="1">
      <c r="A22" s="266">
        <v>19</v>
      </c>
      <c r="B22" s="253" t="s">
        <v>198</v>
      </c>
      <c r="C22" s="254" t="s">
        <v>191</v>
      </c>
      <c r="D22" s="252"/>
      <c r="E22" s="252"/>
      <c r="F22" s="252" t="s">
        <v>55</v>
      </c>
      <c r="G22" s="255">
        <v>30.48</v>
      </c>
      <c r="H22" s="256">
        <v>919</v>
      </c>
      <c r="I22" s="257">
        <f t="shared" si="2"/>
        <v>28011.119999999999</v>
      </c>
      <c r="J22" s="267">
        <f t="shared" si="1"/>
        <v>533103.89</v>
      </c>
      <c r="K22" s="229" t="s">
        <v>310</v>
      </c>
      <c r="L22" s="224"/>
      <c r="M22" s="224"/>
      <c r="N22" s="224"/>
      <c r="O22" s="224"/>
      <c r="P22" s="224"/>
      <c r="Q22" s="224"/>
      <c r="R22" s="224"/>
      <c r="S22" s="224"/>
      <c r="T22" s="224"/>
      <c r="U22" s="224"/>
    </row>
    <row r="23" spans="1:21" ht="30" customHeight="1">
      <c r="A23" s="266">
        <v>20</v>
      </c>
      <c r="B23" s="253" t="s">
        <v>198</v>
      </c>
      <c r="C23" s="254" t="s">
        <v>191</v>
      </c>
      <c r="D23" s="252">
        <v>3327</v>
      </c>
      <c r="E23" s="252" t="s">
        <v>207</v>
      </c>
      <c r="F23" s="252">
        <v>9091</v>
      </c>
      <c r="G23" s="255">
        <v>23.44</v>
      </c>
      <c r="H23" s="256">
        <v>910</v>
      </c>
      <c r="I23" s="257">
        <f t="shared" si="2"/>
        <v>21330.400000000001</v>
      </c>
      <c r="J23" s="267">
        <f t="shared" si="1"/>
        <v>554434.29</v>
      </c>
      <c r="K23" s="229" t="s">
        <v>329</v>
      </c>
      <c r="L23" s="224"/>
      <c r="M23" s="224"/>
      <c r="N23" s="224"/>
      <c r="O23" s="224"/>
      <c r="P23" s="224"/>
      <c r="Q23" s="224"/>
      <c r="R23" s="224"/>
      <c r="S23" s="224"/>
      <c r="T23" s="224"/>
      <c r="U23" s="224"/>
    </row>
    <row r="24" spans="1:21" ht="30" customHeight="1">
      <c r="A24" s="266">
        <v>21</v>
      </c>
      <c r="B24" s="253" t="s">
        <v>198</v>
      </c>
      <c r="C24" s="254" t="s">
        <v>191</v>
      </c>
      <c r="D24" s="252">
        <v>18714</v>
      </c>
      <c r="E24" s="252" t="s">
        <v>207</v>
      </c>
      <c r="F24" s="252">
        <v>44568</v>
      </c>
      <c r="G24" s="255">
        <v>4.8600000000000003</v>
      </c>
      <c r="H24" s="256">
        <v>919</v>
      </c>
      <c r="I24" s="257">
        <f t="shared" si="2"/>
        <v>4466.34</v>
      </c>
      <c r="J24" s="267">
        <f t="shared" si="1"/>
        <v>558900.63</v>
      </c>
      <c r="K24" s="229" t="s">
        <v>329</v>
      </c>
      <c r="L24" s="224"/>
      <c r="M24" s="224"/>
      <c r="N24" s="224"/>
      <c r="O24" s="224"/>
      <c r="P24" s="224"/>
      <c r="Q24" s="224"/>
      <c r="R24" s="224"/>
      <c r="S24" s="224"/>
      <c r="T24" s="224"/>
      <c r="U24" s="224"/>
    </row>
    <row r="25" spans="1:21" ht="30" customHeight="1">
      <c r="A25" s="266">
        <v>22</v>
      </c>
      <c r="B25" s="253" t="s">
        <v>198</v>
      </c>
      <c r="C25" s="254" t="s">
        <v>191</v>
      </c>
      <c r="D25" s="252">
        <v>3331</v>
      </c>
      <c r="E25" s="252" t="s">
        <v>208</v>
      </c>
      <c r="F25" s="252">
        <v>15724</v>
      </c>
      <c r="G25" s="255">
        <v>9.9700000000000006</v>
      </c>
      <c r="H25" s="256">
        <v>919</v>
      </c>
      <c r="I25" s="257">
        <f t="shared" si="2"/>
        <v>9162.43</v>
      </c>
      <c r="J25" s="267">
        <f t="shared" si="1"/>
        <v>568063.06000000006</v>
      </c>
      <c r="K25" s="229" t="s">
        <v>329</v>
      </c>
      <c r="L25" s="224"/>
      <c r="M25" s="224"/>
      <c r="N25" s="224"/>
      <c r="O25" s="224"/>
      <c r="P25" s="224"/>
      <c r="Q25" s="224"/>
      <c r="R25" s="224"/>
      <c r="S25" s="224"/>
      <c r="T25" s="224"/>
      <c r="U25" s="224"/>
    </row>
    <row r="26" spans="1:21" ht="30" customHeight="1">
      <c r="A26" s="266">
        <v>23</v>
      </c>
      <c r="B26" s="253" t="s">
        <v>198</v>
      </c>
      <c r="C26" s="254" t="s">
        <v>209</v>
      </c>
      <c r="D26" s="252">
        <v>1938</v>
      </c>
      <c r="E26" s="252" t="s">
        <v>207</v>
      </c>
      <c r="F26" s="252">
        <v>4596</v>
      </c>
      <c r="G26" s="255">
        <v>30.99</v>
      </c>
      <c r="H26" s="256">
        <v>907</v>
      </c>
      <c r="I26" s="257">
        <f t="shared" si="2"/>
        <v>28107.93</v>
      </c>
      <c r="J26" s="267">
        <f t="shared" si="1"/>
        <v>596170.99000000011</v>
      </c>
      <c r="K26" s="229" t="s">
        <v>329</v>
      </c>
      <c r="L26" s="224"/>
      <c r="M26" s="224"/>
      <c r="N26" s="224"/>
      <c r="O26" s="224"/>
      <c r="P26" s="224"/>
      <c r="Q26" s="224"/>
      <c r="R26" s="224"/>
      <c r="S26" s="224"/>
      <c r="T26" s="224"/>
      <c r="U26" s="224"/>
    </row>
    <row r="27" spans="1:21" ht="30" customHeight="1">
      <c r="A27" s="266">
        <v>24</v>
      </c>
      <c r="B27" s="253" t="s">
        <v>198</v>
      </c>
      <c r="C27" s="254" t="s">
        <v>210</v>
      </c>
      <c r="D27" s="252">
        <v>1939</v>
      </c>
      <c r="E27" s="252" t="s">
        <v>211</v>
      </c>
      <c r="F27" s="252">
        <v>1225</v>
      </c>
      <c r="G27" s="255">
        <v>2.87</v>
      </c>
      <c r="H27" s="256">
        <v>907</v>
      </c>
      <c r="I27" s="257">
        <f t="shared" si="2"/>
        <v>2603.09</v>
      </c>
      <c r="J27" s="267">
        <f t="shared" si="1"/>
        <v>598774.08000000007</v>
      </c>
      <c r="K27" s="229" t="s">
        <v>329</v>
      </c>
      <c r="L27" s="224"/>
      <c r="M27" s="224"/>
      <c r="N27" s="224"/>
      <c r="O27" s="224"/>
      <c r="P27" s="224"/>
      <c r="Q27" s="224"/>
      <c r="R27" s="224"/>
      <c r="S27" s="224"/>
      <c r="T27" s="224"/>
      <c r="U27" s="224"/>
    </row>
    <row r="28" spans="1:21" ht="30" customHeight="1">
      <c r="A28" s="266">
        <v>25</v>
      </c>
      <c r="B28" s="253" t="s">
        <v>198</v>
      </c>
      <c r="C28" s="254" t="s">
        <v>209</v>
      </c>
      <c r="D28" s="252">
        <v>1940</v>
      </c>
      <c r="E28" s="252" t="s">
        <v>212</v>
      </c>
      <c r="F28" s="252">
        <v>7533</v>
      </c>
      <c r="G28" s="255">
        <v>29.93</v>
      </c>
      <c r="H28" s="256">
        <v>907</v>
      </c>
      <c r="I28" s="257">
        <f t="shared" si="2"/>
        <v>27146.51</v>
      </c>
      <c r="J28" s="267">
        <f t="shared" si="1"/>
        <v>625920.59000000008</v>
      </c>
      <c r="K28" s="229" t="s">
        <v>329</v>
      </c>
      <c r="L28" s="224"/>
      <c r="M28" s="224"/>
      <c r="N28" s="224"/>
      <c r="O28" s="224"/>
      <c r="P28" s="224"/>
      <c r="Q28" s="224"/>
      <c r="R28" s="224"/>
      <c r="S28" s="224"/>
      <c r="T28" s="224"/>
      <c r="U28" s="224"/>
    </row>
    <row r="29" spans="1:21" ht="30" customHeight="1">
      <c r="A29" s="266">
        <v>26</v>
      </c>
      <c r="B29" s="253" t="s">
        <v>198</v>
      </c>
      <c r="C29" s="254" t="s">
        <v>209</v>
      </c>
      <c r="D29" s="252">
        <v>1941</v>
      </c>
      <c r="E29" s="252" t="s">
        <v>206</v>
      </c>
      <c r="F29" s="252">
        <v>7405</v>
      </c>
      <c r="G29" s="255">
        <v>29.54</v>
      </c>
      <c r="H29" s="256">
        <v>907</v>
      </c>
      <c r="I29" s="257">
        <f t="shared" si="2"/>
        <v>26792.78</v>
      </c>
      <c r="J29" s="267">
        <f t="shared" si="1"/>
        <v>652713.37000000011</v>
      </c>
      <c r="K29" s="229" t="s">
        <v>329</v>
      </c>
      <c r="L29" s="224"/>
      <c r="M29" s="224"/>
      <c r="N29" s="224"/>
      <c r="O29" s="224"/>
      <c r="P29" s="224"/>
      <c r="Q29" s="224"/>
      <c r="R29" s="224"/>
      <c r="S29" s="224"/>
      <c r="T29" s="224"/>
      <c r="U29" s="224"/>
    </row>
    <row r="30" spans="1:21" ht="30" customHeight="1">
      <c r="A30" s="266">
        <v>27</v>
      </c>
      <c r="B30" s="253" t="s">
        <v>198</v>
      </c>
      <c r="C30" s="254" t="s">
        <v>210</v>
      </c>
      <c r="D30" s="252">
        <v>1942</v>
      </c>
      <c r="E30" s="252" t="s">
        <v>213</v>
      </c>
      <c r="F30" s="252">
        <v>815</v>
      </c>
      <c r="G30" s="255">
        <v>4.4800000000000004</v>
      </c>
      <c r="H30" s="256">
        <v>907</v>
      </c>
      <c r="I30" s="257">
        <f t="shared" si="2"/>
        <v>4063.3600000000006</v>
      </c>
      <c r="J30" s="267">
        <f t="shared" si="1"/>
        <v>656776.7300000001</v>
      </c>
      <c r="K30" s="229" t="s">
        <v>329</v>
      </c>
      <c r="L30" s="224"/>
      <c r="M30" s="224"/>
      <c r="N30" s="224"/>
      <c r="O30" s="224"/>
      <c r="P30" s="224"/>
      <c r="Q30" s="224"/>
      <c r="R30" s="224"/>
      <c r="S30" s="224"/>
      <c r="T30" s="224"/>
      <c r="U30" s="224"/>
    </row>
    <row r="31" spans="1:21" ht="30" customHeight="1">
      <c r="A31" s="266">
        <v>28</v>
      </c>
      <c r="B31" s="253" t="s">
        <v>198</v>
      </c>
      <c r="C31" s="254" t="s">
        <v>209</v>
      </c>
      <c r="D31" s="252">
        <v>12986</v>
      </c>
      <c r="E31" s="252" t="s">
        <v>214</v>
      </c>
      <c r="F31" s="252">
        <v>7553</v>
      </c>
      <c r="G31" s="255">
        <v>35.770000000000003</v>
      </c>
      <c r="H31" s="256">
        <v>907</v>
      </c>
      <c r="I31" s="257">
        <f t="shared" si="2"/>
        <v>32443.390000000003</v>
      </c>
      <c r="J31" s="267">
        <f t="shared" si="1"/>
        <v>689220.12000000011</v>
      </c>
      <c r="K31" s="229" t="s">
        <v>329</v>
      </c>
      <c r="L31" s="224"/>
      <c r="M31" s="224"/>
      <c r="N31" s="224"/>
      <c r="O31" s="224"/>
      <c r="P31" s="224"/>
      <c r="Q31" s="224"/>
      <c r="R31" s="224"/>
      <c r="S31" s="224"/>
      <c r="T31" s="224"/>
      <c r="U31" s="224"/>
    </row>
    <row r="32" spans="1:21" ht="30" customHeight="1">
      <c r="A32" s="266">
        <v>29</v>
      </c>
      <c r="B32" s="253" t="s">
        <v>198</v>
      </c>
      <c r="C32" s="254" t="s">
        <v>209</v>
      </c>
      <c r="D32" s="252">
        <v>12987</v>
      </c>
      <c r="E32" s="252" t="s">
        <v>215</v>
      </c>
      <c r="F32" s="252">
        <v>8389</v>
      </c>
      <c r="G32" s="255">
        <v>33.83</v>
      </c>
      <c r="H32" s="256">
        <v>906</v>
      </c>
      <c r="I32" s="257">
        <f t="shared" si="2"/>
        <v>30649.98</v>
      </c>
      <c r="J32" s="267">
        <f t="shared" si="1"/>
        <v>719870.10000000009</v>
      </c>
      <c r="K32" s="229" t="s">
        <v>329</v>
      </c>
      <c r="L32" s="224"/>
      <c r="M32" s="224"/>
      <c r="N32" s="224"/>
      <c r="O32" s="224"/>
      <c r="P32" s="224"/>
      <c r="Q32" s="224"/>
      <c r="R32" s="224"/>
      <c r="S32" s="224"/>
      <c r="T32" s="224"/>
      <c r="U32" s="224"/>
    </row>
    <row r="33" spans="1:21" ht="30" customHeight="1">
      <c r="A33" s="266">
        <v>30</v>
      </c>
      <c r="B33" s="253" t="s">
        <v>198</v>
      </c>
      <c r="C33" s="254" t="s">
        <v>216</v>
      </c>
      <c r="D33" s="252">
        <v>9524</v>
      </c>
      <c r="E33" s="252" t="s">
        <v>217</v>
      </c>
      <c r="F33" s="252">
        <v>1355</v>
      </c>
      <c r="G33" s="255">
        <v>29.91</v>
      </c>
      <c r="H33" s="256">
        <v>905</v>
      </c>
      <c r="I33" s="257">
        <f t="shared" si="2"/>
        <v>27068.55</v>
      </c>
      <c r="J33" s="267">
        <f t="shared" si="1"/>
        <v>746938.65000000014</v>
      </c>
      <c r="K33" s="229" t="s">
        <v>329</v>
      </c>
      <c r="L33" s="224"/>
      <c r="M33" s="224"/>
      <c r="N33" s="224"/>
      <c r="O33" s="224"/>
      <c r="P33" s="224"/>
      <c r="Q33" s="224"/>
      <c r="R33" s="224"/>
      <c r="S33" s="224"/>
      <c r="T33" s="224"/>
      <c r="U33" s="224"/>
    </row>
    <row r="34" spans="1:21" ht="30" customHeight="1">
      <c r="A34" s="266">
        <v>31</v>
      </c>
      <c r="B34" s="253" t="s">
        <v>198</v>
      </c>
      <c r="C34" s="254" t="s">
        <v>216</v>
      </c>
      <c r="D34" s="252">
        <v>9536</v>
      </c>
      <c r="E34" s="252" t="s">
        <v>218</v>
      </c>
      <c r="F34" s="252">
        <v>6889</v>
      </c>
      <c r="G34" s="255">
        <v>29.71</v>
      </c>
      <c r="H34" s="256">
        <v>905</v>
      </c>
      <c r="I34" s="257">
        <f t="shared" si="2"/>
        <v>26887.55</v>
      </c>
      <c r="J34" s="267">
        <f t="shared" si="1"/>
        <v>773826.20000000019</v>
      </c>
      <c r="K34" s="229" t="s">
        <v>329</v>
      </c>
      <c r="L34" s="224"/>
      <c r="M34" s="224"/>
      <c r="N34" s="224"/>
      <c r="O34" s="224"/>
      <c r="P34" s="224"/>
      <c r="Q34" s="224"/>
      <c r="R34" s="224"/>
      <c r="S34" s="224"/>
      <c r="T34" s="224"/>
      <c r="U34" s="224"/>
    </row>
    <row r="35" spans="1:21" ht="30" customHeight="1">
      <c r="A35" s="266">
        <v>32</v>
      </c>
      <c r="B35" s="253" t="s">
        <v>198</v>
      </c>
      <c r="C35" s="254" t="s">
        <v>216</v>
      </c>
      <c r="D35" s="252">
        <v>9552</v>
      </c>
      <c r="E35" s="252" t="s">
        <v>219</v>
      </c>
      <c r="F35" s="252">
        <v>1157</v>
      </c>
      <c r="G35" s="255">
        <v>31.6</v>
      </c>
      <c r="H35" s="256">
        <v>905</v>
      </c>
      <c r="I35" s="257">
        <f t="shared" si="2"/>
        <v>28598</v>
      </c>
      <c r="J35" s="267">
        <f t="shared" si="1"/>
        <v>802424.20000000019</v>
      </c>
      <c r="K35" s="229" t="s">
        <v>329</v>
      </c>
      <c r="L35" s="224"/>
      <c r="M35" s="224"/>
      <c r="N35" s="224"/>
      <c r="O35" s="224"/>
      <c r="P35" s="224"/>
      <c r="Q35" s="224"/>
      <c r="R35" s="224"/>
      <c r="S35" s="224"/>
      <c r="T35" s="224"/>
      <c r="U35" s="224"/>
    </row>
    <row r="36" spans="1:21" ht="30" customHeight="1">
      <c r="A36" s="266">
        <v>33</v>
      </c>
      <c r="B36" s="253" t="s">
        <v>198</v>
      </c>
      <c r="C36" s="254" t="s">
        <v>216</v>
      </c>
      <c r="D36" s="252">
        <v>9523</v>
      </c>
      <c r="E36" s="252" t="s">
        <v>220</v>
      </c>
      <c r="F36" s="252">
        <v>33295</v>
      </c>
      <c r="G36" s="255">
        <v>6.39</v>
      </c>
      <c r="H36" s="256">
        <v>905</v>
      </c>
      <c r="I36" s="257">
        <f t="shared" si="2"/>
        <v>5782.95</v>
      </c>
      <c r="J36" s="267">
        <f t="shared" si="1"/>
        <v>808207.15000000014</v>
      </c>
      <c r="K36" s="229" t="s">
        <v>329</v>
      </c>
      <c r="L36" s="224"/>
      <c r="M36" s="224"/>
      <c r="N36" s="224"/>
      <c r="O36" s="224"/>
      <c r="P36" s="224"/>
      <c r="Q36" s="224"/>
      <c r="R36" s="224"/>
      <c r="S36" s="224"/>
      <c r="T36" s="224"/>
      <c r="U36" s="224"/>
    </row>
    <row r="37" spans="1:21" ht="30" customHeight="1">
      <c r="A37" s="266">
        <v>34</v>
      </c>
      <c r="B37" s="253" t="s">
        <v>198</v>
      </c>
      <c r="C37" s="254" t="s">
        <v>221</v>
      </c>
      <c r="D37" s="252">
        <v>13171</v>
      </c>
      <c r="E37" s="252" t="s">
        <v>222</v>
      </c>
      <c r="F37" s="252">
        <v>2862</v>
      </c>
      <c r="G37" s="255">
        <v>35.51</v>
      </c>
      <c r="H37" s="256">
        <v>911</v>
      </c>
      <c r="I37" s="257">
        <f t="shared" si="2"/>
        <v>32349.609999999997</v>
      </c>
      <c r="J37" s="267">
        <f t="shared" si="1"/>
        <v>840556.76000000013</v>
      </c>
      <c r="K37" s="229" t="s">
        <v>329</v>
      </c>
      <c r="L37" s="224"/>
      <c r="M37" s="224"/>
      <c r="N37" s="224"/>
      <c r="O37" s="224"/>
      <c r="P37" s="224"/>
      <c r="Q37" s="224"/>
      <c r="R37" s="224"/>
      <c r="S37" s="224"/>
      <c r="T37" s="224"/>
      <c r="U37" s="224"/>
    </row>
    <row r="38" spans="1:21" ht="30" customHeight="1">
      <c r="A38" s="266">
        <v>35</v>
      </c>
      <c r="B38" s="253" t="s">
        <v>198</v>
      </c>
      <c r="C38" s="254" t="s">
        <v>221</v>
      </c>
      <c r="D38" s="252">
        <v>13172</v>
      </c>
      <c r="E38" s="252" t="s">
        <v>223</v>
      </c>
      <c r="F38" s="252">
        <v>7605</v>
      </c>
      <c r="G38" s="255">
        <v>29.01</v>
      </c>
      <c r="H38" s="256">
        <v>911</v>
      </c>
      <c r="I38" s="257">
        <f t="shared" si="2"/>
        <v>26428.11</v>
      </c>
      <c r="J38" s="267">
        <f t="shared" si="1"/>
        <v>866984.87000000011</v>
      </c>
      <c r="K38" s="229" t="s">
        <v>329</v>
      </c>
      <c r="L38" s="224"/>
      <c r="M38" s="224"/>
      <c r="N38" s="224"/>
      <c r="O38" s="224"/>
      <c r="P38" s="224"/>
      <c r="Q38" s="224"/>
      <c r="R38" s="224"/>
      <c r="S38" s="224"/>
      <c r="T38" s="224"/>
      <c r="U38" s="224"/>
    </row>
    <row r="39" spans="1:21" ht="30" customHeight="1">
      <c r="A39" s="266">
        <v>36</v>
      </c>
      <c r="B39" s="253" t="s">
        <v>224</v>
      </c>
      <c r="C39" s="254" t="s">
        <v>225</v>
      </c>
      <c r="D39" s="252">
        <v>1954</v>
      </c>
      <c r="E39" s="252" t="s">
        <v>226</v>
      </c>
      <c r="F39" s="252">
        <v>9817</v>
      </c>
      <c r="G39" s="255">
        <v>29.5</v>
      </c>
      <c r="H39" s="256">
        <v>935</v>
      </c>
      <c r="I39" s="257">
        <f t="shared" si="2"/>
        <v>27582.5</v>
      </c>
      <c r="J39" s="267">
        <f t="shared" si="1"/>
        <v>894567.37000000011</v>
      </c>
      <c r="K39" s="229" t="s">
        <v>329</v>
      </c>
      <c r="L39" s="224"/>
      <c r="M39" s="224"/>
      <c r="N39" s="224"/>
      <c r="O39" s="224"/>
      <c r="P39" s="224"/>
      <c r="Q39" s="224"/>
      <c r="R39" s="224"/>
      <c r="S39" s="224"/>
      <c r="T39" s="224"/>
      <c r="U39" s="224"/>
    </row>
    <row r="40" spans="1:21" ht="30" customHeight="1">
      <c r="A40" s="266">
        <v>37</v>
      </c>
      <c r="B40" s="253" t="s">
        <v>224</v>
      </c>
      <c r="C40" s="254" t="s">
        <v>225</v>
      </c>
      <c r="D40" s="252">
        <v>1952</v>
      </c>
      <c r="E40" s="252" t="s">
        <v>227</v>
      </c>
      <c r="F40" s="252">
        <v>2275</v>
      </c>
      <c r="G40" s="255">
        <v>35.520000000000003</v>
      </c>
      <c r="H40" s="256">
        <v>935</v>
      </c>
      <c r="I40" s="257">
        <f t="shared" si="2"/>
        <v>33211.200000000004</v>
      </c>
      <c r="J40" s="267">
        <f t="shared" si="1"/>
        <v>927778.57000000007</v>
      </c>
      <c r="K40" s="229" t="s">
        <v>329</v>
      </c>
      <c r="L40" s="224"/>
      <c r="M40" s="224"/>
      <c r="N40" s="224"/>
      <c r="O40" s="224"/>
      <c r="P40" s="224"/>
      <c r="Q40" s="224"/>
      <c r="R40" s="224"/>
      <c r="S40" s="224"/>
      <c r="T40" s="224"/>
      <c r="U40" s="224"/>
    </row>
    <row r="41" spans="1:21" ht="30" customHeight="1">
      <c r="A41" s="266">
        <v>38</v>
      </c>
      <c r="B41" s="253" t="s">
        <v>224</v>
      </c>
      <c r="C41" s="254" t="s">
        <v>225</v>
      </c>
      <c r="D41" s="252">
        <v>1953</v>
      </c>
      <c r="E41" s="252" t="s">
        <v>228</v>
      </c>
      <c r="F41" s="252">
        <v>1929</v>
      </c>
      <c r="G41" s="255">
        <v>32.770000000000003</v>
      </c>
      <c r="H41" s="256">
        <v>935</v>
      </c>
      <c r="I41" s="257">
        <f t="shared" si="2"/>
        <v>30639.950000000004</v>
      </c>
      <c r="J41" s="267">
        <f t="shared" si="1"/>
        <v>958418.52</v>
      </c>
      <c r="K41" s="229" t="s">
        <v>329</v>
      </c>
      <c r="L41" s="224"/>
      <c r="M41" s="224"/>
      <c r="N41" s="224"/>
      <c r="O41" s="224"/>
      <c r="P41" s="224"/>
      <c r="Q41" s="224"/>
      <c r="R41" s="224"/>
      <c r="S41" s="224"/>
      <c r="T41" s="224"/>
      <c r="U41" s="224"/>
    </row>
    <row r="42" spans="1:21" ht="30" customHeight="1">
      <c r="A42" s="266">
        <v>39</v>
      </c>
      <c r="B42" s="253" t="s">
        <v>224</v>
      </c>
      <c r="C42" s="254" t="s">
        <v>225</v>
      </c>
      <c r="D42" s="252">
        <v>1956</v>
      </c>
      <c r="E42" s="252" t="s">
        <v>207</v>
      </c>
      <c r="F42" s="252">
        <v>44568</v>
      </c>
      <c r="G42" s="255">
        <v>9.2100000000000009</v>
      </c>
      <c r="H42" s="256">
        <v>935</v>
      </c>
      <c r="I42" s="257">
        <f t="shared" si="2"/>
        <v>8611.35</v>
      </c>
      <c r="J42" s="267">
        <f t="shared" si="1"/>
        <v>967029.87</v>
      </c>
      <c r="K42" s="229" t="s">
        <v>329</v>
      </c>
      <c r="L42" s="224"/>
      <c r="M42" s="224"/>
      <c r="N42" s="224"/>
      <c r="O42" s="224"/>
      <c r="P42" s="224"/>
      <c r="Q42" s="224"/>
      <c r="R42" s="224"/>
      <c r="S42" s="224"/>
      <c r="T42" s="224"/>
      <c r="U42" s="224"/>
    </row>
    <row r="43" spans="1:21" ht="30" customHeight="1">
      <c r="A43" s="266">
        <v>40</v>
      </c>
      <c r="B43" s="253" t="s">
        <v>224</v>
      </c>
      <c r="C43" s="254" t="s">
        <v>200</v>
      </c>
      <c r="D43" s="252">
        <v>20586</v>
      </c>
      <c r="E43" s="252" t="s">
        <v>229</v>
      </c>
      <c r="F43" s="252">
        <v>1807</v>
      </c>
      <c r="G43" s="255">
        <v>30.35</v>
      </c>
      <c r="H43" s="256">
        <v>912</v>
      </c>
      <c r="I43" s="257">
        <f t="shared" si="2"/>
        <v>27679.200000000001</v>
      </c>
      <c r="J43" s="267">
        <f t="shared" si="1"/>
        <v>994709.07</v>
      </c>
      <c r="K43" s="229" t="s">
        <v>329</v>
      </c>
      <c r="L43" s="224"/>
      <c r="M43" s="224"/>
      <c r="N43" s="224"/>
      <c r="O43" s="224"/>
      <c r="P43" s="224"/>
      <c r="Q43" s="224"/>
      <c r="R43" s="224"/>
      <c r="S43" s="224"/>
      <c r="T43" s="224"/>
      <c r="U43" s="224"/>
    </row>
    <row r="44" spans="1:21" ht="30" customHeight="1">
      <c r="A44" s="266">
        <v>41</v>
      </c>
      <c r="B44" s="253" t="s">
        <v>224</v>
      </c>
      <c r="C44" s="254" t="s">
        <v>200</v>
      </c>
      <c r="D44" s="252">
        <v>20587</v>
      </c>
      <c r="E44" s="252" t="s">
        <v>230</v>
      </c>
      <c r="F44" s="252">
        <v>1930</v>
      </c>
      <c r="G44" s="255">
        <v>29.35</v>
      </c>
      <c r="H44" s="256">
        <v>912</v>
      </c>
      <c r="I44" s="257">
        <f t="shared" si="2"/>
        <v>26767.200000000001</v>
      </c>
      <c r="J44" s="267">
        <f t="shared" si="1"/>
        <v>1021476.2699999999</v>
      </c>
      <c r="K44" s="229" t="s">
        <v>329</v>
      </c>
      <c r="L44" s="224"/>
      <c r="M44" s="224"/>
      <c r="N44" s="224"/>
      <c r="O44" s="224"/>
      <c r="P44" s="224"/>
      <c r="Q44" s="224"/>
      <c r="R44" s="224"/>
      <c r="S44" s="224"/>
      <c r="T44" s="224"/>
      <c r="U44" s="224"/>
    </row>
    <row r="45" spans="1:21" ht="30" customHeight="1">
      <c r="A45" s="266">
        <v>42</v>
      </c>
      <c r="B45" s="253" t="s">
        <v>224</v>
      </c>
      <c r="C45" s="254" t="s">
        <v>200</v>
      </c>
      <c r="D45" s="252">
        <v>20602</v>
      </c>
      <c r="E45" s="252" t="s">
        <v>192</v>
      </c>
      <c r="F45" s="252">
        <v>6510</v>
      </c>
      <c r="G45" s="255">
        <v>29.76</v>
      </c>
      <c r="H45" s="256">
        <v>917</v>
      </c>
      <c r="I45" s="257">
        <f t="shared" si="2"/>
        <v>27289.920000000002</v>
      </c>
      <c r="J45" s="267">
        <f t="shared" si="1"/>
        <v>1048766.19</v>
      </c>
      <c r="K45" s="229" t="s">
        <v>329</v>
      </c>
      <c r="L45" s="224"/>
      <c r="M45" s="224"/>
      <c r="N45" s="224"/>
      <c r="O45" s="224"/>
      <c r="P45" s="224"/>
      <c r="Q45" s="224"/>
      <c r="R45" s="224"/>
      <c r="S45" s="224"/>
      <c r="T45" s="224"/>
      <c r="U45" s="224"/>
    </row>
    <row r="46" spans="1:21" ht="30" customHeight="1">
      <c r="A46" s="266">
        <v>43</v>
      </c>
      <c r="B46" s="253" t="s">
        <v>224</v>
      </c>
      <c r="C46" s="254" t="s">
        <v>200</v>
      </c>
      <c r="D46" s="252">
        <v>20608</v>
      </c>
      <c r="E46" s="252" t="s">
        <v>205</v>
      </c>
      <c r="F46" s="252">
        <v>1745</v>
      </c>
      <c r="G46" s="255">
        <v>30.47</v>
      </c>
      <c r="H46" s="256">
        <v>917</v>
      </c>
      <c r="I46" s="257">
        <f t="shared" si="2"/>
        <v>27940.989999999998</v>
      </c>
      <c r="J46" s="267">
        <f t="shared" si="1"/>
        <v>1076707.18</v>
      </c>
      <c r="K46" s="229" t="s">
        <v>329</v>
      </c>
      <c r="L46" s="224"/>
      <c r="M46" s="224"/>
      <c r="N46" s="224"/>
      <c r="O46" s="224"/>
      <c r="P46" s="224"/>
      <c r="Q46" s="224"/>
      <c r="R46" s="224"/>
      <c r="S46" s="224"/>
      <c r="T46" s="224"/>
      <c r="U46" s="224"/>
    </row>
    <row r="47" spans="1:21" ht="30" customHeight="1">
      <c r="A47" s="266">
        <v>44</v>
      </c>
      <c r="B47" s="253" t="s">
        <v>224</v>
      </c>
      <c r="C47" s="254" t="s">
        <v>200</v>
      </c>
      <c r="D47" s="252">
        <v>20612</v>
      </c>
      <c r="E47" s="252" t="s">
        <v>194</v>
      </c>
      <c r="F47" s="252">
        <v>9757</v>
      </c>
      <c r="G47" s="255">
        <v>28.85</v>
      </c>
      <c r="H47" s="256">
        <v>923</v>
      </c>
      <c r="I47" s="257">
        <f t="shared" si="2"/>
        <v>26628.550000000003</v>
      </c>
      <c r="J47" s="267">
        <f t="shared" si="1"/>
        <v>1103335.73</v>
      </c>
      <c r="K47" s="229" t="s">
        <v>329</v>
      </c>
      <c r="L47" s="224"/>
      <c r="M47" s="224"/>
      <c r="N47" s="224"/>
      <c r="O47" s="224"/>
      <c r="P47" s="224"/>
      <c r="Q47" s="224"/>
      <c r="R47" s="224"/>
      <c r="S47" s="224"/>
      <c r="T47" s="224"/>
      <c r="U47" s="224"/>
    </row>
    <row r="48" spans="1:21" ht="30" customHeight="1">
      <c r="A48" s="266">
        <v>45</v>
      </c>
      <c r="B48" s="253" t="s">
        <v>224</v>
      </c>
      <c r="C48" s="254" t="s">
        <v>231</v>
      </c>
      <c r="D48" s="252">
        <v>12586</v>
      </c>
      <c r="E48" s="252" t="s">
        <v>232</v>
      </c>
      <c r="F48" s="252">
        <v>1410</v>
      </c>
      <c r="G48" s="255">
        <v>30.48</v>
      </c>
      <c r="H48" s="256">
        <v>910</v>
      </c>
      <c r="I48" s="257">
        <f t="shared" si="2"/>
        <v>27736.799999999999</v>
      </c>
      <c r="J48" s="267">
        <f t="shared" si="1"/>
        <v>1131072.53</v>
      </c>
      <c r="K48" s="229" t="s">
        <v>329</v>
      </c>
      <c r="L48" s="224"/>
      <c r="M48" s="224"/>
      <c r="N48" s="224"/>
      <c r="O48" s="224"/>
      <c r="P48" s="224"/>
      <c r="Q48" s="224"/>
      <c r="R48" s="224"/>
      <c r="S48" s="224"/>
      <c r="T48" s="224"/>
      <c r="U48" s="224"/>
    </row>
    <row r="49" spans="1:21" ht="30" customHeight="1">
      <c r="A49" s="266">
        <v>46</v>
      </c>
      <c r="B49" s="253" t="s">
        <v>224</v>
      </c>
      <c r="C49" s="254" t="s">
        <v>231</v>
      </c>
      <c r="D49" s="252">
        <v>12587</v>
      </c>
      <c r="E49" s="252" t="s">
        <v>233</v>
      </c>
      <c r="F49" s="252">
        <v>5490</v>
      </c>
      <c r="G49" s="255">
        <v>30.93</v>
      </c>
      <c r="H49" s="256">
        <v>912</v>
      </c>
      <c r="I49" s="257">
        <f t="shared" si="2"/>
        <v>28208.16</v>
      </c>
      <c r="J49" s="267">
        <f t="shared" si="1"/>
        <v>1159280.69</v>
      </c>
      <c r="K49" s="229" t="s">
        <v>329</v>
      </c>
      <c r="L49" s="224"/>
      <c r="M49" s="224"/>
      <c r="N49" s="224"/>
      <c r="O49" s="224"/>
      <c r="P49" s="224"/>
      <c r="Q49" s="224"/>
      <c r="R49" s="224"/>
      <c r="S49" s="224"/>
      <c r="T49" s="224"/>
      <c r="U49" s="224"/>
    </row>
    <row r="50" spans="1:21" ht="30" customHeight="1">
      <c r="A50" s="266">
        <v>47</v>
      </c>
      <c r="B50" s="253" t="s">
        <v>224</v>
      </c>
      <c r="C50" s="254" t="s">
        <v>234</v>
      </c>
      <c r="D50" s="252">
        <v>9569</v>
      </c>
      <c r="E50" s="252" t="s">
        <v>192</v>
      </c>
      <c r="F50" s="252">
        <v>9537</v>
      </c>
      <c r="G50" s="255">
        <v>28.86</v>
      </c>
      <c r="H50" s="256">
        <v>922</v>
      </c>
      <c r="I50" s="257">
        <f t="shared" si="2"/>
        <v>26608.92</v>
      </c>
      <c r="J50" s="267">
        <f t="shared" si="1"/>
        <v>1185889.6099999999</v>
      </c>
      <c r="K50" s="229" t="s">
        <v>329</v>
      </c>
      <c r="L50" s="224"/>
      <c r="M50" s="224"/>
      <c r="N50" s="224"/>
      <c r="O50" s="224"/>
      <c r="P50" s="224"/>
      <c r="Q50" s="224"/>
      <c r="R50" s="224"/>
      <c r="S50" s="224"/>
      <c r="T50" s="224"/>
      <c r="U50" s="224"/>
    </row>
    <row r="51" spans="1:21" ht="30" customHeight="1">
      <c r="A51" s="266">
        <v>48</v>
      </c>
      <c r="B51" s="253" t="s">
        <v>224</v>
      </c>
      <c r="C51" s="254" t="s">
        <v>234</v>
      </c>
      <c r="D51" s="252">
        <v>9568</v>
      </c>
      <c r="E51" s="252" t="s">
        <v>235</v>
      </c>
      <c r="F51" s="252">
        <v>1745</v>
      </c>
      <c r="G51" s="255">
        <v>30.37</v>
      </c>
      <c r="H51" s="256">
        <v>922</v>
      </c>
      <c r="I51" s="257">
        <f t="shared" si="2"/>
        <v>28001.14</v>
      </c>
      <c r="J51" s="267">
        <f t="shared" si="1"/>
        <v>1213890.7499999998</v>
      </c>
      <c r="K51" s="229" t="s">
        <v>329</v>
      </c>
      <c r="L51" s="224"/>
      <c r="M51" s="224"/>
      <c r="N51" s="224"/>
      <c r="O51" s="224"/>
      <c r="P51" s="224"/>
      <c r="Q51" s="224"/>
      <c r="R51" s="224"/>
      <c r="S51" s="224"/>
      <c r="T51" s="224"/>
      <c r="U51" s="224"/>
    </row>
    <row r="52" spans="1:21" ht="30" customHeight="1">
      <c r="A52" s="266">
        <v>49</v>
      </c>
      <c r="B52" s="253" t="s">
        <v>224</v>
      </c>
      <c r="C52" s="254" t="s">
        <v>234</v>
      </c>
      <c r="D52" s="252">
        <v>17887</v>
      </c>
      <c r="E52" s="252" t="s">
        <v>236</v>
      </c>
      <c r="F52" s="252">
        <v>5490</v>
      </c>
      <c r="G52" s="255">
        <v>28.31</v>
      </c>
      <c r="H52" s="256">
        <v>922</v>
      </c>
      <c r="I52" s="257">
        <f t="shared" si="2"/>
        <v>26101.82</v>
      </c>
      <c r="J52" s="267">
        <f t="shared" si="1"/>
        <v>1239992.5699999998</v>
      </c>
      <c r="K52" s="229" t="s">
        <v>329</v>
      </c>
      <c r="L52" s="224"/>
      <c r="M52" s="224"/>
      <c r="N52" s="224"/>
      <c r="O52" s="224"/>
      <c r="P52" s="224"/>
      <c r="Q52" s="224"/>
      <c r="R52" s="224"/>
      <c r="S52" s="224"/>
      <c r="T52" s="224"/>
      <c r="U52" s="224"/>
    </row>
    <row r="53" spans="1:21" ht="30" customHeight="1">
      <c r="A53" s="266">
        <v>50</v>
      </c>
      <c r="B53" s="253" t="s">
        <v>224</v>
      </c>
      <c r="C53" s="254" t="s">
        <v>237</v>
      </c>
      <c r="D53" s="252">
        <v>17889</v>
      </c>
      <c r="E53" s="252" t="s">
        <v>238</v>
      </c>
      <c r="F53" s="252">
        <v>1223</v>
      </c>
      <c r="G53" s="255">
        <v>7.24</v>
      </c>
      <c r="H53" s="256">
        <v>922</v>
      </c>
      <c r="I53" s="257">
        <f t="shared" si="2"/>
        <v>6675.28</v>
      </c>
      <c r="J53" s="267">
        <f t="shared" si="1"/>
        <v>1246667.8499999999</v>
      </c>
      <c r="K53" s="229" t="s">
        <v>329</v>
      </c>
      <c r="L53" s="224"/>
      <c r="M53" s="224"/>
      <c r="N53" s="224"/>
      <c r="O53" s="224"/>
      <c r="P53" s="224"/>
      <c r="Q53" s="224"/>
      <c r="R53" s="224"/>
      <c r="S53" s="224"/>
      <c r="T53" s="224"/>
      <c r="U53" s="224"/>
    </row>
    <row r="54" spans="1:21" ht="30" customHeight="1">
      <c r="A54" s="266">
        <v>51</v>
      </c>
      <c r="B54" s="253" t="s">
        <v>224</v>
      </c>
      <c r="C54" s="254" t="s">
        <v>191</v>
      </c>
      <c r="D54" s="252">
        <v>3342</v>
      </c>
      <c r="E54" s="252" t="s">
        <v>239</v>
      </c>
      <c r="F54" s="252">
        <v>56118</v>
      </c>
      <c r="G54" s="255">
        <v>6.29</v>
      </c>
      <c r="H54" s="256">
        <v>919</v>
      </c>
      <c r="I54" s="257">
        <f t="shared" si="2"/>
        <v>5780.51</v>
      </c>
      <c r="J54" s="267">
        <f t="shared" si="1"/>
        <v>1252448.3599999999</v>
      </c>
      <c r="K54" s="229" t="s">
        <v>329</v>
      </c>
      <c r="L54" s="224"/>
      <c r="M54" s="224"/>
      <c r="N54" s="224"/>
      <c r="O54" s="224"/>
      <c r="P54" s="224"/>
      <c r="Q54" s="224"/>
      <c r="R54" s="224"/>
      <c r="S54" s="224"/>
      <c r="T54" s="224"/>
      <c r="U54" s="224"/>
    </row>
    <row r="55" spans="1:21" ht="30" customHeight="1">
      <c r="A55" s="266">
        <v>52</v>
      </c>
      <c r="B55" s="253" t="s">
        <v>224</v>
      </c>
      <c r="C55" s="254" t="s">
        <v>191</v>
      </c>
      <c r="D55" s="252">
        <v>3344</v>
      </c>
      <c r="E55" s="252" t="s">
        <v>197</v>
      </c>
      <c r="F55" s="252">
        <v>1223</v>
      </c>
      <c r="G55" s="255">
        <v>15.72</v>
      </c>
      <c r="H55" s="256">
        <v>919</v>
      </c>
      <c r="I55" s="257">
        <f t="shared" si="2"/>
        <v>14446.68</v>
      </c>
      <c r="J55" s="267">
        <f t="shared" si="1"/>
        <v>1266895.0399999998</v>
      </c>
      <c r="K55" s="229" t="s">
        <v>329</v>
      </c>
      <c r="L55" s="224"/>
      <c r="M55" s="224"/>
      <c r="N55" s="224"/>
      <c r="O55" s="224"/>
      <c r="P55" s="224"/>
      <c r="Q55" s="224"/>
      <c r="R55" s="224"/>
      <c r="S55" s="224"/>
      <c r="T55" s="224"/>
      <c r="U55" s="224"/>
    </row>
    <row r="56" spans="1:21" ht="30" customHeight="1">
      <c r="A56" s="266">
        <v>53</v>
      </c>
      <c r="B56" s="253" t="s">
        <v>224</v>
      </c>
      <c r="C56" s="254" t="s">
        <v>191</v>
      </c>
      <c r="D56" s="252">
        <v>3345</v>
      </c>
      <c r="E56" s="252" t="s">
        <v>240</v>
      </c>
      <c r="F56" s="252">
        <v>25868</v>
      </c>
      <c r="G56" s="255">
        <v>11.62</v>
      </c>
      <c r="H56" s="256">
        <v>919</v>
      </c>
      <c r="I56" s="257">
        <f t="shared" si="2"/>
        <v>10678.779999999999</v>
      </c>
      <c r="J56" s="267">
        <f t="shared" si="1"/>
        <v>1277573.8199999998</v>
      </c>
      <c r="K56" s="229" t="s">
        <v>329</v>
      </c>
      <c r="L56" s="224"/>
      <c r="M56" s="224"/>
      <c r="N56" s="224"/>
      <c r="O56" s="224"/>
      <c r="P56" s="224"/>
      <c r="Q56" s="224"/>
      <c r="R56" s="224"/>
      <c r="S56" s="224"/>
      <c r="T56" s="224"/>
      <c r="U56" s="224"/>
    </row>
    <row r="57" spans="1:21" ht="30" customHeight="1">
      <c r="A57" s="266">
        <v>54</v>
      </c>
      <c r="B57" s="253" t="s">
        <v>224</v>
      </c>
      <c r="C57" s="254" t="s">
        <v>191</v>
      </c>
      <c r="D57" s="252">
        <v>3346</v>
      </c>
      <c r="E57" s="252" t="s">
        <v>241</v>
      </c>
      <c r="F57" s="252">
        <v>42172</v>
      </c>
      <c r="G57" s="255">
        <v>16.25</v>
      </c>
      <c r="H57" s="256">
        <v>919</v>
      </c>
      <c r="I57" s="257">
        <f t="shared" si="2"/>
        <v>14933.75</v>
      </c>
      <c r="J57" s="267">
        <f t="shared" si="1"/>
        <v>1292507.5699999998</v>
      </c>
      <c r="K57" s="229" t="s">
        <v>329</v>
      </c>
      <c r="L57" s="224"/>
      <c r="M57" s="224"/>
      <c r="N57" s="224"/>
      <c r="O57" s="224"/>
      <c r="P57" s="224"/>
      <c r="Q57" s="224"/>
      <c r="R57" s="224"/>
      <c r="S57" s="224"/>
      <c r="T57" s="224"/>
      <c r="U57" s="224"/>
    </row>
    <row r="58" spans="1:21" ht="30" customHeight="1">
      <c r="A58" s="266">
        <v>55</v>
      </c>
      <c r="B58" s="253" t="s">
        <v>224</v>
      </c>
      <c r="C58" s="254" t="s">
        <v>191</v>
      </c>
      <c r="D58" s="252">
        <v>3347</v>
      </c>
      <c r="E58" s="252" t="s">
        <v>242</v>
      </c>
      <c r="F58" s="252">
        <v>3892</v>
      </c>
      <c r="G58" s="255">
        <v>31.16</v>
      </c>
      <c r="H58" s="256">
        <v>919</v>
      </c>
      <c r="I58" s="257">
        <f t="shared" si="2"/>
        <v>28636.04</v>
      </c>
      <c r="J58" s="267">
        <f t="shared" si="1"/>
        <v>1321143.6099999999</v>
      </c>
      <c r="K58" s="229" t="s">
        <v>329</v>
      </c>
      <c r="L58" s="224"/>
      <c r="M58" s="224"/>
      <c r="N58" s="224"/>
      <c r="O58" s="224"/>
      <c r="P58" s="224"/>
      <c r="Q58" s="224"/>
      <c r="R58" s="224"/>
      <c r="S58" s="224"/>
      <c r="T58" s="224"/>
      <c r="U58" s="224"/>
    </row>
    <row r="59" spans="1:21" ht="30" customHeight="1">
      <c r="A59" s="266">
        <v>56</v>
      </c>
      <c r="B59" s="253" t="s">
        <v>224</v>
      </c>
      <c r="C59" s="254" t="s">
        <v>191</v>
      </c>
      <c r="D59" s="252">
        <v>3348</v>
      </c>
      <c r="E59" s="252" t="s">
        <v>243</v>
      </c>
      <c r="F59" s="252">
        <v>8223</v>
      </c>
      <c r="G59" s="255">
        <v>31.43</v>
      </c>
      <c r="H59" s="256">
        <v>919</v>
      </c>
      <c r="I59" s="257">
        <f t="shared" si="2"/>
        <v>28884.17</v>
      </c>
      <c r="J59" s="267">
        <f t="shared" si="1"/>
        <v>1350027.7799999998</v>
      </c>
      <c r="K59" s="229" t="s">
        <v>329</v>
      </c>
      <c r="L59" s="224"/>
      <c r="M59" s="224"/>
      <c r="N59" s="224"/>
      <c r="O59" s="224"/>
      <c r="P59" s="224"/>
      <c r="Q59" s="224"/>
      <c r="R59" s="224"/>
      <c r="S59" s="224"/>
      <c r="T59" s="224"/>
      <c r="U59" s="224"/>
    </row>
    <row r="60" spans="1:21" ht="30" customHeight="1">
      <c r="A60" s="266">
        <v>57</v>
      </c>
      <c r="B60" s="253" t="s">
        <v>224</v>
      </c>
      <c r="C60" s="254" t="s">
        <v>191</v>
      </c>
      <c r="D60" s="252">
        <v>3349</v>
      </c>
      <c r="E60" s="252" t="s">
        <v>208</v>
      </c>
      <c r="F60" s="252">
        <v>15724</v>
      </c>
      <c r="G60" s="255">
        <v>9.9700000000000006</v>
      </c>
      <c r="H60" s="256">
        <v>919</v>
      </c>
      <c r="I60" s="257">
        <f t="shared" si="2"/>
        <v>9162.43</v>
      </c>
      <c r="J60" s="267">
        <f t="shared" si="1"/>
        <v>1359190.2099999997</v>
      </c>
      <c r="K60" s="229" t="s">
        <v>329</v>
      </c>
      <c r="L60" s="224"/>
      <c r="M60" s="224"/>
      <c r="N60" s="224"/>
      <c r="O60" s="224"/>
      <c r="P60" s="224"/>
      <c r="Q60" s="224"/>
      <c r="R60" s="224"/>
      <c r="S60" s="224"/>
      <c r="T60" s="224"/>
      <c r="U60" s="224"/>
    </row>
    <row r="61" spans="1:21" ht="30" customHeight="1">
      <c r="A61" s="266">
        <v>58</v>
      </c>
      <c r="B61" s="253" t="s">
        <v>224</v>
      </c>
      <c r="C61" s="254" t="s">
        <v>191</v>
      </c>
      <c r="D61" s="252">
        <v>3350</v>
      </c>
      <c r="E61" s="252" t="s">
        <v>244</v>
      </c>
      <c r="F61" s="252">
        <v>6281</v>
      </c>
      <c r="G61" s="255">
        <v>30.98</v>
      </c>
      <c r="H61" s="256">
        <v>919</v>
      </c>
      <c r="I61" s="257">
        <f t="shared" si="2"/>
        <v>28470.62</v>
      </c>
      <c r="J61" s="267">
        <f t="shared" si="1"/>
        <v>1387660.8299999998</v>
      </c>
      <c r="K61" s="229" t="s">
        <v>329</v>
      </c>
      <c r="L61" s="224"/>
      <c r="M61" s="224"/>
      <c r="N61" s="224"/>
      <c r="O61" s="224"/>
      <c r="P61" s="224"/>
      <c r="Q61" s="224"/>
      <c r="R61" s="224"/>
      <c r="S61" s="224"/>
      <c r="T61" s="224"/>
      <c r="U61" s="224"/>
    </row>
    <row r="62" spans="1:21" ht="30" customHeight="1">
      <c r="A62" s="266">
        <v>59</v>
      </c>
      <c r="B62" s="253" t="s">
        <v>224</v>
      </c>
      <c r="C62" s="254" t="s">
        <v>191</v>
      </c>
      <c r="D62" s="252">
        <v>3351</v>
      </c>
      <c r="E62" s="252" t="s">
        <v>245</v>
      </c>
      <c r="F62" s="252">
        <v>6550</v>
      </c>
      <c r="G62" s="255">
        <v>30.51</v>
      </c>
      <c r="H62" s="256">
        <v>919</v>
      </c>
      <c r="I62" s="257">
        <f t="shared" si="2"/>
        <v>28038.690000000002</v>
      </c>
      <c r="J62" s="267">
        <f t="shared" si="1"/>
        <v>1415699.5199999998</v>
      </c>
      <c r="K62" s="229" t="s">
        <v>329</v>
      </c>
      <c r="L62" s="224"/>
      <c r="M62" s="224"/>
      <c r="N62" s="224"/>
      <c r="O62" s="224"/>
      <c r="P62" s="224"/>
      <c r="Q62" s="224"/>
      <c r="R62" s="224"/>
      <c r="S62" s="224"/>
      <c r="T62" s="224"/>
      <c r="U62" s="224"/>
    </row>
    <row r="63" spans="1:21" ht="30" customHeight="1">
      <c r="A63" s="266">
        <v>60</v>
      </c>
      <c r="B63" s="253" t="s">
        <v>224</v>
      </c>
      <c r="C63" s="254" t="s">
        <v>191</v>
      </c>
      <c r="D63" s="252">
        <v>3352</v>
      </c>
      <c r="E63" s="252" t="s">
        <v>246</v>
      </c>
      <c r="F63" s="252">
        <v>7223</v>
      </c>
      <c r="G63" s="255">
        <v>31.11</v>
      </c>
      <c r="H63" s="256">
        <v>919</v>
      </c>
      <c r="I63" s="257">
        <f t="shared" si="2"/>
        <v>28590.09</v>
      </c>
      <c r="J63" s="267">
        <f t="shared" si="1"/>
        <v>1444289.6099999999</v>
      </c>
      <c r="K63" s="229" t="s">
        <v>329</v>
      </c>
      <c r="L63" s="224"/>
      <c r="M63" s="224"/>
      <c r="N63" s="224"/>
      <c r="O63" s="224"/>
      <c r="P63" s="224"/>
      <c r="Q63" s="224"/>
      <c r="R63" s="224"/>
      <c r="S63" s="224"/>
      <c r="T63" s="224"/>
      <c r="U63" s="224"/>
    </row>
    <row r="64" spans="1:21" ht="30" customHeight="1">
      <c r="A64" s="266">
        <v>61</v>
      </c>
      <c r="B64" s="253" t="s">
        <v>224</v>
      </c>
      <c r="C64" s="254" t="s">
        <v>191</v>
      </c>
      <c r="D64" s="252">
        <v>3353</v>
      </c>
      <c r="E64" s="252" t="s">
        <v>247</v>
      </c>
      <c r="F64" s="252">
        <v>7490</v>
      </c>
      <c r="G64" s="255">
        <v>30.26</v>
      </c>
      <c r="H64" s="256">
        <v>919</v>
      </c>
      <c r="I64" s="257">
        <f t="shared" si="2"/>
        <v>27808.940000000002</v>
      </c>
      <c r="J64" s="267">
        <f t="shared" si="1"/>
        <v>1472098.5499999998</v>
      </c>
      <c r="K64" s="229" t="s">
        <v>329</v>
      </c>
      <c r="L64" s="224"/>
      <c r="M64" s="224"/>
      <c r="N64" s="224"/>
      <c r="O64" s="224"/>
      <c r="P64" s="224"/>
      <c r="Q64" s="224"/>
      <c r="R64" s="224"/>
      <c r="S64" s="224"/>
      <c r="T64" s="224"/>
      <c r="U64" s="224"/>
    </row>
    <row r="65" spans="1:21" ht="30" customHeight="1">
      <c r="A65" s="266">
        <v>62</v>
      </c>
      <c r="B65" s="253" t="s">
        <v>224</v>
      </c>
      <c r="C65" s="254" t="s">
        <v>191</v>
      </c>
      <c r="D65" s="252">
        <v>3354</v>
      </c>
      <c r="E65" s="252" t="s">
        <v>248</v>
      </c>
      <c r="F65" s="252">
        <v>437</v>
      </c>
      <c r="G65" s="255">
        <v>29.63</v>
      </c>
      <c r="H65" s="256">
        <v>919</v>
      </c>
      <c r="I65" s="257">
        <f t="shared" si="2"/>
        <v>27229.969999999998</v>
      </c>
      <c r="J65" s="267">
        <f t="shared" si="1"/>
        <v>1499328.5199999998</v>
      </c>
      <c r="K65" s="229" t="s">
        <v>329</v>
      </c>
      <c r="L65" s="224"/>
      <c r="M65" s="224"/>
      <c r="N65" s="224"/>
      <c r="O65" s="224"/>
      <c r="P65" s="224"/>
      <c r="Q65" s="224"/>
      <c r="R65" s="224"/>
      <c r="S65" s="224"/>
      <c r="T65" s="224"/>
      <c r="U65" s="224"/>
    </row>
    <row r="66" spans="1:21" ht="30" customHeight="1">
      <c r="A66" s="266">
        <v>63</v>
      </c>
      <c r="B66" s="253" t="s">
        <v>224</v>
      </c>
      <c r="C66" s="254" t="s">
        <v>191</v>
      </c>
      <c r="D66" s="252">
        <v>17872</v>
      </c>
      <c r="E66" s="252" t="s">
        <v>249</v>
      </c>
      <c r="F66" s="252">
        <v>7371</v>
      </c>
      <c r="G66" s="255">
        <v>30.73</v>
      </c>
      <c r="H66" s="256">
        <v>927</v>
      </c>
      <c r="I66" s="257">
        <f t="shared" si="2"/>
        <v>28486.71</v>
      </c>
      <c r="J66" s="267">
        <f t="shared" si="1"/>
        <v>1527815.2299999997</v>
      </c>
      <c r="K66" s="229" t="s">
        <v>329</v>
      </c>
      <c r="L66" s="224"/>
      <c r="M66" s="224"/>
      <c r="N66" s="224"/>
      <c r="O66" s="224"/>
      <c r="P66" s="224"/>
      <c r="Q66" s="224"/>
      <c r="R66" s="224"/>
      <c r="S66" s="224"/>
      <c r="T66" s="224"/>
      <c r="U66" s="224"/>
    </row>
    <row r="67" spans="1:21" ht="30" customHeight="1">
      <c r="A67" s="266">
        <v>64</v>
      </c>
      <c r="B67" s="253" t="s">
        <v>224</v>
      </c>
      <c r="C67" s="254" t="s">
        <v>191</v>
      </c>
      <c r="D67" s="252">
        <v>17873</v>
      </c>
      <c r="E67" s="252" t="s">
        <v>250</v>
      </c>
      <c r="F67" s="252">
        <v>4783</v>
      </c>
      <c r="G67" s="255">
        <v>30.97</v>
      </c>
      <c r="H67" s="256">
        <v>927</v>
      </c>
      <c r="I67" s="257">
        <f t="shared" si="2"/>
        <v>28709.19</v>
      </c>
      <c r="J67" s="267">
        <f t="shared" si="1"/>
        <v>1556524.4199999997</v>
      </c>
      <c r="K67" s="229" t="s">
        <v>329</v>
      </c>
      <c r="L67" s="224"/>
      <c r="M67" s="224"/>
      <c r="N67" s="224"/>
      <c r="O67" s="224"/>
      <c r="P67" s="224"/>
      <c r="Q67" s="224"/>
      <c r="R67" s="224"/>
      <c r="S67" s="224"/>
      <c r="T67" s="224"/>
      <c r="U67" s="224"/>
    </row>
    <row r="68" spans="1:21" ht="30" customHeight="1">
      <c r="A68" s="266">
        <v>65</v>
      </c>
      <c r="B68" s="253" t="s">
        <v>224</v>
      </c>
      <c r="C68" s="254" t="s">
        <v>191</v>
      </c>
      <c r="D68" s="252">
        <v>17874</v>
      </c>
      <c r="E68" s="252" t="s">
        <v>194</v>
      </c>
      <c r="F68" s="252">
        <v>2686</v>
      </c>
      <c r="G68" s="255">
        <v>29.92</v>
      </c>
      <c r="H68" s="256">
        <v>919</v>
      </c>
      <c r="I68" s="257">
        <f t="shared" si="2"/>
        <v>27496.480000000003</v>
      </c>
      <c r="J68" s="267">
        <f t="shared" si="1"/>
        <v>1584020.8999999997</v>
      </c>
      <c r="K68" s="229" t="s">
        <v>329</v>
      </c>
      <c r="L68" s="224"/>
      <c r="M68" s="224"/>
      <c r="N68" s="224"/>
      <c r="O68" s="224"/>
      <c r="P68" s="224"/>
      <c r="Q68" s="224"/>
      <c r="R68" s="224"/>
      <c r="S68" s="224"/>
      <c r="T68" s="224"/>
      <c r="U68" s="224"/>
    </row>
    <row r="69" spans="1:21" ht="30" customHeight="1">
      <c r="A69" s="266">
        <v>66</v>
      </c>
      <c r="B69" s="253" t="s">
        <v>224</v>
      </c>
      <c r="C69" s="254" t="s">
        <v>191</v>
      </c>
      <c r="D69" s="252">
        <v>17876</v>
      </c>
      <c r="E69" s="252" t="s">
        <v>207</v>
      </c>
      <c r="F69" s="252">
        <v>8970</v>
      </c>
      <c r="G69" s="255">
        <v>30.32</v>
      </c>
      <c r="H69" s="256">
        <v>927</v>
      </c>
      <c r="I69" s="257">
        <f t="shared" si="2"/>
        <v>28106.639999999999</v>
      </c>
      <c r="J69" s="267">
        <f t="shared" si="1"/>
        <v>1612127.5399999996</v>
      </c>
      <c r="K69" s="229" t="s">
        <v>329</v>
      </c>
      <c r="L69" s="224"/>
      <c r="M69" s="224"/>
      <c r="N69" s="224"/>
      <c r="O69" s="224"/>
      <c r="P69" s="224"/>
      <c r="Q69" s="224"/>
      <c r="R69" s="224"/>
      <c r="S69" s="224"/>
      <c r="T69" s="224"/>
      <c r="U69" s="224"/>
    </row>
    <row r="70" spans="1:21" ht="30" customHeight="1">
      <c r="A70" s="266">
        <v>67</v>
      </c>
      <c r="B70" s="253" t="s">
        <v>224</v>
      </c>
      <c r="C70" s="254" t="s">
        <v>191</v>
      </c>
      <c r="D70" s="252">
        <v>17890</v>
      </c>
      <c r="E70" s="252" t="s">
        <v>251</v>
      </c>
      <c r="F70" s="252">
        <v>5076</v>
      </c>
      <c r="G70" s="255">
        <v>31.09</v>
      </c>
      <c r="H70" s="256">
        <v>927</v>
      </c>
      <c r="I70" s="257">
        <f t="shared" si="2"/>
        <v>28820.43</v>
      </c>
      <c r="J70" s="267">
        <f t="shared" ref="J70:J133" si="3">I70+J69</f>
        <v>1640947.9699999995</v>
      </c>
      <c r="K70" s="229" t="s">
        <v>329</v>
      </c>
      <c r="L70" s="224"/>
      <c r="M70" s="224"/>
      <c r="N70" s="224"/>
      <c r="O70" s="224"/>
      <c r="P70" s="224"/>
      <c r="Q70" s="224"/>
      <c r="R70" s="224"/>
      <c r="S70" s="224"/>
      <c r="T70" s="224"/>
      <c r="U70" s="224"/>
    </row>
    <row r="71" spans="1:21" ht="30" customHeight="1">
      <c r="A71" s="266">
        <v>68</v>
      </c>
      <c r="B71" s="253" t="s">
        <v>224</v>
      </c>
      <c r="C71" s="254" t="s">
        <v>191</v>
      </c>
      <c r="D71" s="252">
        <v>17891</v>
      </c>
      <c r="E71" s="252" t="s">
        <v>194</v>
      </c>
      <c r="F71" s="252">
        <v>3837</v>
      </c>
      <c r="G71" s="255">
        <v>31.22</v>
      </c>
      <c r="H71" s="256">
        <v>927</v>
      </c>
      <c r="I71" s="257">
        <f t="shared" si="2"/>
        <v>28940.94</v>
      </c>
      <c r="J71" s="267">
        <f t="shared" si="3"/>
        <v>1669888.9099999995</v>
      </c>
      <c r="K71" s="229" t="s">
        <v>329</v>
      </c>
      <c r="L71" s="224"/>
      <c r="M71" s="224"/>
      <c r="N71" s="224"/>
      <c r="O71" s="224"/>
      <c r="P71" s="224"/>
      <c r="Q71" s="224"/>
      <c r="R71" s="224"/>
      <c r="S71" s="224"/>
      <c r="T71" s="224"/>
      <c r="U71" s="224"/>
    </row>
    <row r="72" spans="1:21" ht="30" customHeight="1">
      <c r="A72" s="266">
        <v>69</v>
      </c>
      <c r="B72" s="253" t="s">
        <v>224</v>
      </c>
      <c r="C72" s="254" t="s">
        <v>191</v>
      </c>
      <c r="D72" s="252">
        <v>17892</v>
      </c>
      <c r="E72" s="252" t="s">
        <v>252</v>
      </c>
      <c r="F72" s="252">
        <v>6752</v>
      </c>
      <c r="G72" s="255">
        <v>30.97</v>
      </c>
      <c r="H72" s="256">
        <v>919</v>
      </c>
      <c r="I72" s="257">
        <f t="shared" si="2"/>
        <v>28461.43</v>
      </c>
      <c r="J72" s="267">
        <f t="shared" si="3"/>
        <v>1698350.3399999994</v>
      </c>
      <c r="K72" s="229" t="s">
        <v>329</v>
      </c>
      <c r="L72" s="224"/>
      <c r="M72" s="224"/>
      <c r="N72" s="224"/>
      <c r="O72" s="224"/>
      <c r="P72" s="224"/>
      <c r="Q72" s="224"/>
      <c r="R72" s="224"/>
      <c r="S72" s="224"/>
      <c r="T72" s="224"/>
      <c r="U72" s="224"/>
    </row>
    <row r="73" spans="1:21" ht="30" customHeight="1">
      <c r="A73" s="266">
        <v>70</v>
      </c>
      <c r="B73" s="253" t="s">
        <v>224</v>
      </c>
      <c r="C73" s="254" t="s">
        <v>191</v>
      </c>
      <c r="D73" s="252">
        <v>17893</v>
      </c>
      <c r="E73" s="252" t="s">
        <v>253</v>
      </c>
      <c r="F73" s="252">
        <v>2526</v>
      </c>
      <c r="G73" s="255">
        <v>29.3</v>
      </c>
      <c r="H73" s="256">
        <v>927</v>
      </c>
      <c r="I73" s="257">
        <f t="shared" si="2"/>
        <v>27161.100000000002</v>
      </c>
      <c r="J73" s="267">
        <f t="shared" si="3"/>
        <v>1725511.4399999995</v>
      </c>
      <c r="K73" s="229" t="s">
        <v>329</v>
      </c>
      <c r="L73" s="224"/>
      <c r="M73" s="224"/>
      <c r="N73" s="224"/>
      <c r="O73" s="224"/>
      <c r="P73" s="224"/>
      <c r="Q73" s="224"/>
      <c r="R73" s="224"/>
      <c r="S73" s="224"/>
      <c r="T73" s="224"/>
      <c r="U73" s="224"/>
    </row>
    <row r="74" spans="1:21" ht="30" customHeight="1">
      <c r="A74" s="266">
        <v>71</v>
      </c>
      <c r="B74" s="253" t="s">
        <v>224</v>
      </c>
      <c r="C74" s="254" t="s">
        <v>191</v>
      </c>
      <c r="D74" s="252">
        <v>17896</v>
      </c>
      <c r="E74" s="252" t="s">
        <v>254</v>
      </c>
      <c r="F74" s="252">
        <v>9934</v>
      </c>
      <c r="G74" s="255">
        <v>28.64</v>
      </c>
      <c r="H74" s="256">
        <v>919</v>
      </c>
      <c r="I74" s="257">
        <f t="shared" si="2"/>
        <v>26320.16</v>
      </c>
      <c r="J74" s="267">
        <f t="shared" si="3"/>
        <v>1751831.5999999994</v>
      </c>
      <c r="K74" s="229" t="s">
        <v>329</v>
      </c>
      <c r="L74" s="224"/>
      <c r="M74" s="224"/>
      <c r="N74" s="224"/>
      <c r="O74" s="224"/>
      <c r="P74" s="224"/>
      <c r="Q74" s="224"/>
      <c r="R74" s="224"/>
      <c r="S74" s="224"/>
      <c r="T74" s="224"/>
      <c r="U74" s="224"/>
    </row>
    <row r="75" spans="1:21" ht="30" customHeight="1">
      <c r="A75" s="266">
        <v>72</v>
      </c>
      <c r="B75" s="253" t="s">
        <v>224</v>
      </c>
      <c r="C75" s="254" t="s">
        <v>191</v>
      </c>
      <c r="D75" s="252">
        <v>17897</v>
      </c>
      <c r="E75" s="252" t="s">
        <v>255</v>
      </c>
      <c r="F75" s="252">
        <v>7655</v>
      </c>
      <c r="G75" s="255">
        <v>2.46</v>
      </c>
      <c r="H75" s="256">
        <v>919</v>
      </c>
      <c r="I75" s="257">
        <f t="shared" si="2"/>
        <v>2260.7399999999998</v>
      </c>
      <c r="J75" s="267">
        <f t="shared" si="3"/>
        <v>1754092.3399999994</v>
      </c>
      <c r="K75" s="229" t="s">
        <v>329</v>
      </c>
      <c r="L75" s="224"/>
      <c r="M75" s="224"/>
      <c r="N75" s="224"/>
      <c r="O75" s="224"/>
      <c r="P75" s="224"/>
      <c r="Q75" s="224"/>
      <c r="R75" s="224"/>
      <c r="S75" s="224"/>
      <c r="T75" s="224"/>
      <c r="U75" s="224"/>
    </row>
    <row r="76" spans="1:21" ht="30" customHeight="1">
      <c r="A76" s="266">
        <v>73</v>
      </c>
      <c r="B76" s="253" t="s">
        <v>224</v>
      </c>
      <c r="C76" s="254" t="s">
        <v>191</v>
      </c>
      <c r="D76" s="252">
        <v>17897</v>
      </c>
      <c r="E76" s="252" t="s">
        <v>255</v>
      </c>
      <c r="F76" s="252">
        <v>7655</v>
      </c>
      <c r="G76" s="255">
        <v>28.05</v>
      </c>
      <c r="H76" s="256">
        <v>910</v>
      </c>
      <c r="I76" s="257">
        <f t="shared" si="2"/>
        <v>25525.5</v>
      </c>
      <c r="J76" s="267">
        <f t="shared" si="3"/>
        <v>1779617.8399999994</v>
      </c>
      <c r="K76" s="229" t="s">
        <v>329</v>
      </c>
      <c r="L76" s="224"/>
      <c r="M76" s="224"/>
      <c r="N76" s="224"/>
      <c r="O76" s="224"/>
      <c r="P76" s="224"/>
      <c r="Q76" s="224"/>
      <c r="R76" s="224"/>
      <c r="S76" s="224"/>
      <c r="T76" s="224"/>
      <c r="U76" s="224"/>
    </row>
    <row r="77" spans="1:21" ht="30" customHeight="1">
      <c r="A77" s="266">
        <v>74</v>
      </c>
      <c r="B77" s="253" t="s">
        <v>224</v>
      </c>
      <c r="C77" s="254" t="s">
        <v>191</v>
      </c>
      <c r="D77" s="252">
        <v>17898</v>
      </c>
      <c r="E77" s="252" t="s">
        <v>256</v>
      </c>
      <c r="F77" s="252">
        <v>5326</v>
      </c>
      <c r="G77" s="255">
        <v>29.58</v>
      </c>
      <c r="H77" s="256">
        <v>910</v>
      </c>
      <c r="I77" s="257">
        <f t="shared" si="2"/>
        <v>26917.8</v>
      </c>
      <c r="J77" s="267">
        <f t="shared" si="3"/>
        <v>1806535.6399999994</v>
      </c>
      <c r="K77" s="229" t="s">
        <v>329</v>
      </c>
      <c r="L77" s="224"/>
      <c r="M77" s="224"/>
      <c r="N77" s="224"/>
      <c r="O77" s="224"/>
      <c r="P77" s="224"/>
      <c r="Q77" s="224"/>
      <c r="R77" s="224"/>
      <c r="S77" s="224"/>
      <c r="T77" s="224"/>
      <c r="U77" s="224"/>
    </row>
    <row r="78" spans="1:21" ht="30" customHeight="1">
      <c r="A78" s="266">
        <v>75</v>
      </c>
      <c r="B78" s="253" t="s">
        <v>257</v>
      </c>
      <c r="C78" s="254" t="s">
        <v>203</v>
      </c>
      <c r="D78" s="252">
        <v>17885</v>
      </c>
      <c r="E78" s="252" t="s">
        <v>258</v>
      </c>
      <c r="F78" s="252">
        <v>1419</v>
      </c>
      <c r="G78" s="255">
        <v>28.87</v>
      </c>
      <c r="H78" s="256">
        <v>911</v>
      </c>
      <c r="I78" s="257">
        <f t="shared" si="2"/>
        <v>26300.57</v>
      </c>
      <c r="J78" s="267">
        <f t="shared" si="3"/>
        <v>1832836.2099999995</v>
      </c>
      <c r="K78" s="229" t="s">
        <v>329</v>
      </c>
      <c r="L78" s="224"/>
      <c r="M78" s="224"/>
      <c r="N78" s="224"/>
      <c r="O78" s="224"/>
      <c r="P78" s="224"/>
      <c r="Q78" s="224"/>
      <c r="R78" s="224"/>
      <c r="S78" s="224"/>
      <c r="T78" s="224"/>
      <c r="U78" s="224"/>
    </row>
    <row r="79" spans="1:21" ht="30" customHeight="1">
      <c r="A79" s="266">
        <v>76</v>
      </c>
      <c r="B79" s="253" t="s">
        <v>257</v>
      </c>
      <c r="C79" s="254" t="s">
        <v>203</v>
      </c>
      <c r="D79" s="252">
        <v>9599</v>
      </c>
      <c r="E79" s="252" t="s">
        <v>259</v>
      </c>
      <c r="F79" s="252">
        <v>9808</v>
      </c>
      <c r="G79" s="255">
        <v>29.89</v>
      </c>
      <c r="H79" s="256">
        <v>917</v>
      </c>
      <c r="I79" s="257">
        <f t="shared" si="2"/>
        <v>27409.13</v>
      </c>
      <c r="J79" s="267">
        <f t="shared" si="3"/>
        <v>1860245.3399999994</v>
      </c>
      <c r="K79" s="229" t="s">
        <v>329</v>
      </c>
      <c r="L79" s="224"/>
      <c r="M79" s="224"/>
      <c r="N79" s="224"/>
      <c r="O79" s="224"/>
      <c r="P79" s="224"/>
      <c r="Q79" s="224"/>
      <c r="R79" s="224"/>
      <c r="S79" s="224"/>
      <c r="T79" s="224"/>
      <c r="U79" s="224"/>
    </row>
    <row r="80" spans="1:21" ht="30" customHeight="1">
      <c r="A80" s="266">
        <v>77</v>
      </c>
      <c r="B80" s="253" t="s">
        <v>224</v>
      </c>
      <c r="C80" s="254" t="s">
        <v>260</v>
      </c>
      <c r="D80" s="252">
        <v>17889</v>
      </c>
      <c r="E80" s="252" t="s">
        <v>238</v>
      </c>
      <c r="F80" s="252">
        <v>1223</v>
      </c>
      <c r="G80" s="255">
        <v>7.69</v>
      </c>
      <c r="H80" s="256">
        <v>911</v>
      </c>
      <c r="I80" s="257">
        <f t="shared" ref="I80:I141" si="4">G80*H80</f>
        <v>7005.59</v>
      </c>
      <c r="J80" s="267">
        <f t="shared" si="3"/>
        <v>1867250.9299999995</v>
      </c>
      <c r="K80" s="229" t="s">
        <v>329</v>
      </c>
      <c r="L80" s="224"/>
      <c r="M80" s="224"/>
      <c r="N80" s="224"/>
      <c r="O80" s="224"/>
      <c r="P80" s="224"/>
      <c r="Q80" s="224"/>
      <c r="R80" s="224"/>
      <c r="S80" s="224"/>
      <c r="T80" s="224"/>
      <c r="U80" s="224"/>
    </row>
    <row r="81" spans="1:21" ht="30" customHeight="1">
      <c r="A81" s="266">
        <v>78</v>
      </c>
      <c r="B81" s="253" t="s">
        <v>224</v>
      </c>
      <c r="C81" s="254" t="s">
        <v>216</v>
      </c>
      <c r="D81" s="252">
        <v>9625</v>
      </c>
      <c r="E81" s="252" t="s">
        <v>261</v>
      </c>
      <c r="F81" s="252">
        <v>1574</v>
      </c>
      <c r="G81" s="255">
        <v>33.92</v>
      </c>
      <c r="H81" s="256">
        <v>922</v>
      </c>
      <c r="I81" s="257">
        <f t="shared" si="4"/>
        <v>31274.240000000002</v>
      </c>
      <c r="J81" s="267">
        <f t="shared" si="3"/>
        <v>1898525.1699999995</v>
      </c>
      <c r="K81" s="229" t="s">
        <v>329</v>
      </c>
      <c r="L81" s="224"/>
      <c r="M81" s="224"/>
      <c r="N81" s="224"/>
      <c r="O81" s="224"/>
      <c r="P81" s="224"/>
      <c r="Q81" s="224"/>
      <c r="R81" s="224"/>
      <c r="S81" s="224"/>
      <c r="T81" s="224"/>
      <c r="U81" s="224"/>
    </row>
    <row r="82" spans="1:21" ht="30" customHeight="1">
      <c r="A82" s="266">
        <v>79</v>
      </c>
      <c r="B82" s="253" t="s">
        <v>257</v>
      </c>
      <c r="C82" s="254" t="s">
        <v>221</v>
      </c>
      <c r="D82" s="252">
        <v>13286</v>
      </c>
      <c r="E82" s="252" t="s">
        <v>262</v>
      </c>
      <c r="F82" s="252">
        <v>4534</v>
      </c>
      <c r="G82" s="255">
        <v>31.03</v>
      </c>
      <c r="H82" s="256">
        <v>923</v>
      </c>
      <c r="I82" s="257">
        <f t="shared" si="4"/>
        <v>28640.690000000002</v>
      </c>
      <c r="J82" s="267">
        <f t="shared" si="3"/>
        <v>1927165.8599999994</v>
      </c>
      <c r="K82" s="229" t="s">
        <v>329</v>
      </c>
      <c r="L82" s="224"/>
      <c r="M82" s="224"/>
      <c r="N82" s="224"/>
      <c r="O82" s="224"/>
      <c r="P82" s="224"/>
      <c r="Q82" s="224"/>
      <c r="R82" s="224"/>
      <c r="S82" s="224"/>
      <c r="T82" s="224"/>
      <c r="U82" s="224"/>
    </row>
    <row r="83" spans="1:21" ht="30" customHeight="1">
      <c r="A83" s="266">
        <v>80</v>
      </c>
      <c r="B83" s="253" t="s">
        <v>263</v>
      </c>
      <c r="C83" s="254" t="s">
        <v>203</v>
      </c>
      <c r="D83" s="252">
        <v>12633</v>
      </c>
      <c r="E83" s="252" t="s">
        <v>264</v>
      </c>
      <c r="F83" s="252">
        <v>3290</v>
      </c>
      <c r="G83" s="255">
        <v>29.06</v>
      </c>
      <c r="H83" s="256">
        <v>925</v>
      </c>
      <c r="I83" s="257">
        <f t="shared" si="4"/>
        <v>26880.5</v>
      </c>
      <c r="J83" s="267">
        <f t="shared" si="3"/>
        <v>1954046.3599999994</v>
      </c>
      <c r="K83" s="229" t="s">
        <v>329</v>
      </c>
      <c r="L83" s="224"/>
      <c r="M83" s="224"/>
      <c r="N83" s="224"/>
      <c r="O83" s="224"/>
      <c r="P83" s="224"/>
      <c r="Q83" s="224"/>
      <c r="R83" s="224"/>
      <c r="S83" s="224"/>
      <c r="T83" s="224"/>
      <c r="U83" s="224"/>
    </row>
    <row r="84" spans="1:21" ht="30" customHeight="1">
      <c r="A84" s="266">
        <v>81</v>
      </c>
      <c r="B84" s="253" t="s">
        <v>263</v>
      </c>
      <c r="C84" s="254" t="s">
        <v>203</v>
      </c>
      <c r="D84" s="252">
        <v>12638</v>
      </c>
      <c r="E84" s="252" t="s">
        <v>246</v>
      </c>
      <c r="F84" s="252">
        <v>6448</v>
      </c>
      <c r="G84" s="255">
        <v>30.63</v>
      </c>
      <c r="H84" s="256">
        <v>925</v>
      </c>
      <c r="I84" s="257">
        <f t="shared" si="4"/>
        <v>28332.75</v>
      </c>
      <c r="J84" s="267">
        <f t="shared" si="3"/>
        <v>1982379.1099999994</v>
      </c>
      <c r="K84" s="229" t="s">
        <v>329</v>
      </c>
      <c r="L84" s="224"/>
      <c r="M84" s="224"/>
      <c r="N84" s="224"/>
      <c r="O84" s="224"/>
      <c r="P84" s="224"/>
      <c r="Q84" s="224"/>
      <c r="R84" s="224"/>
      <c r="S84" s="224"/>
      <c r="T84" s="224"/>
      <c r="U84" s="224"/>
    </row>
    <row r="85" spans="1:21" ht="30" customHeight="1">
      <c r="A85" s="266">
        <v>82</v>
      </c>
      <c r="B85" s="253" t="s">
        <v>263</v>
      </c>
      <c r="C85" s="254" t="s">
        <v>203</v>
      </c>
      <c r="D85" s="252">
        <v>12637</v>
      </c>
      <c r="E85" s="252" t="s">
        <v>197</v>
      </c>
      <c r="F85" s="252">
        <v>1857</v>
      </c>
      <c r="G85" s="255">
        <v>30.7</v>
      </c>
      <c r="H85" s="256">
        <v>926</v>
      </c>
      <c r="I85" s="257">
        <f t="shared" si="4"/>
        <v>28428.2</v>
      </c>
      <c r="J85" s="267">
        <f t="shared" si="3"/>
        <v>2010807.3099999994</v>
      </c>
      <c r="K85" s="229" t="s">
        <v>329</v>
      </c>
      <c r="L85" s="224"/>
      <c r="M85" s="224"/>
      <c r="N85" s="224"/>
      <c r="O85" s="224"/>
      <c r="P85" s="224"/>
      <c r="Q85" s="224"/>
      <c r="R85" s="224"/>
      <c r="S85" s="224"/>
      <c r="T85" s="224"/>
      <c r="U85" s="224"/>
    </row>
    <row r="86" spans="1:21" ht="30" customHeight="1">
      <c r="A86" s="266">
        <v>83</v>
      </c>
      <c r="B86" s="253" t="s">
        <v>263</v>
      </c>
      <c r="C86" s="254" t="s">
        <v>231</v>
      </c>
      <c r="D86" s="252">
        <v>12639</v>
      </c>
      <c r="E86" s="252" t="s">
        <v>265</v>
      </c>
      <c r="F86" s="252">
        <v>1169</v>
      </c>
      <c r="G86" s="255">
        <v>30.26</v>
      </c>
      <c r="H86" s="256">
        <v>912</v>
      </c>
      <c r="I86" s="257">
        <f t="shared" si="4"/>
        <v>27597.120000000003</v>
      </c>
      <c r="J86" s="267">
        <f t="shared" si="3"/>
        <v>2038404.4299999995</v>
      </c>
      <c r="K86" s="229" t="s">
        <v>329</v>
      </c>
      <c r="L86" s="224"/>
      <c r="M86" s="224"/>
      <c r="N86" s="224"/>
      <c r="O86" s="224"/>
      <c r="P86" s="224"/>
      <c r="Q86" s="224"/>
      <c r="R86" s="224"/>
      <c r="S86" s="224"/>
      <c r="T86" s="224"/>
      <c r="U86" s="224"/>
    </row>
    <row r="87" spans="1:21" ht="30" customHeight="1">
      <c r="A87" s="266">
        <v>84</v>
      </c>
      <c r="B87" s="253" t="s">
        <v>263</v>
      </c>
      <c r="C87" s="254" t="s">
        <v>199</v>
      </c>
      <c r="D87" s="252">
        <v>21016</v>
      </c>
      <c r="E87" s="252" t="s">
        <v>266</v>
      </c>
      <c r="F87" s="252">
        <v>815</v>
      </c>
      <c r="G87" s="255">
        <v>4.7750000000000004</v>
      </c>
      <c r="H87" s="256">
        <v>910</v>
      </c>
      <c r="I87" s="257">
        <f t="shared" si="4"/>
        <v>4345.25</v>
      </c>
      <c r="J87" s="267">
        <f t="shared" si="3"/>
        <v>2042749.6799999995</v>
      </c>
      <c r="K87" s="229" t="s">
        <v>329</v>
      </c>
      <c r="L87" s="224"/>
      <c r="M87" s="224"/>
      <c r="N87" s="224"/>
      <c r="O87" s="224"/>
      <c r="P87" s="224"/>
      <c r="Q87" s="224"/>
      <c r="R87" s="224"/>
      <c r="S87" s="224"/>
      <c r="T87" s="224"/>
      <c r="U87" s="224"/>
    </row>
    <row r="88" spans="1:21" ht="30" customHeight="1">
      <c r="A88" s="266">
        <v>85</v>
      </c>
      <c r="B88" s="253" t="s">
        <v>263</v>
      </c>
      <c r="C88" s="254" t="s">
        <v>199</v>
      </c>
      <c r="D88" s="252">
        <v>21015</v>
      </c>
      <c r="E88" s="252" t="s">
        <v>240</v>
      </c>
      <c r="F88" s="252">
        <v>25868</v>
      </c>
      <c r="G88" s="255">
        <v>4.6500000000000004</v>
      </c>
      <c r="H88" s="256">
        <v>910</v>
      </c>
      <c r="I88" s="257">
        <f t="shared" si="4"/>
        <v>4231.5</v>
      </c>
      <c r="J88" s="267">
        <f t="shared" si="3"/>
        <v>2046981.1799999995</v>
      </c>
      <c r="K88" s="229" t="s">
        <v>329</v>
      </c>
      <c r="L88" s="224"/>
      <c r="M88" s="224"/>
      <c r="N88" s="224"/>
      <c r="O88" s="224"/>
      <c r="P88" s="224"/>
      <c r="Q88" s="224"/>
      <c r="R88" s="224"/>
      <c r="S88" s="224"/>
      <c r="T88" s="224"/>
      <c r="U88" s="224"/>
    </row>
    <row r="89" spans="1:21" ht="30" customHeight="1">
      <c r="A89" s="266">
        <v>86</v>
      </c>
      <c r="B89" s="253" t="s">
        <v>267</v>
      </c>
      <c r="C89" s="254" t="s">
        <v>216</v>
      </c>
      <c r="D89" s="252">
        <v>9706</v>
      </c>
      <c r="E89" s="252" t="s">
        <v>268</v>
      </c>
      <c r="F89" s="252">
        <v>7372</v>
      </c>
      <c r="G89" s="255">
        <v>30.25</v>
      </c>
      <c r="H89" s="256">
        <v>912</v>
      </c>
      <c r="I89" s="257">
        <f t="shared" si="4"/>
        <v>27588</v>
      </c>
      <c r="J89" s="267">
        <f t="shared" si="3"/>
        <v>2074569.1799999995</v>
      </c>
      <c r="K89" s="229" t="s">
        <v>329</v>
      </c>
      <c r="L89" s="224"/>
      <c r="M89" s="224"/>
      <c r="N89" s="224"/>
      <c r="O89" s="224"/>
      <c r="P89" s="224"/>
      <c r="Q89" s="224"/>
      <c r="R89" s="224"/>
      <c r="S89" s="224"/>
      <c r="T89" s="224"/>
      <c r="U89" s="224"/>
    </row>
    <row r="90" spans="1:21" ht="30" customHeight="1">
      <c r="A90" s="266">
        <v>87</v>
      </c>
      <c r="B90" s="253" t="s">
        <v>267</v>
      </c>
      <c r="C90" s="254" t="s">
        <v>216</v>
      </c>
      <c r="D90" s="252">
        <v>9707</v>
      </c>
      <c r="E90" s="252" t="s">
        <v>192</v>
      </c>
      <c r="F90" s="252">
        <v>4890</v>
      </c>
      <c r="G90" s="255">
        <v>34.090000000000003</v>
      </c>
      <c r="H90" s="256">
        <v>912</v>
      </c>
      <c r="I90" s="257">
        <f t="shared" si="4"/>
        <v>31090.080000000002</v>
      </c>
      <c r="J90" s="267">
        <f t="shared" si="3"/>
        <v>2105659.2599999993</v>
      </c>
      <c r="K90" s="229" t="s">
        <v>329</v>
      </c>
      <c r="L90" s="224"/>
      <c r="M90" s="224"/>
      <c r="N90" s="224"/>
      <c r="O90" s="224"/>
      <c r="P90" s="224"/>
      <c r="Q90" s="224"/>
      <c r="R90" s="224"/>
      <c r="S90" s="224"/>
      <c r="T90" s="224"/>
      <c r="U90" s="224"/>
    </row>
    <row r="91" spans="1:21" ht="30" customHeight="1">
      <c r="A91" s="266">
        <v>88</v>
      </c>
      <c r="B91" s="253" t="s">
        <v>267</v>
      </c>
      <c r="C91" s="254" t="s">
        <v>200</v>
      </c>
      <c r="D91" s="252">
        <v>21081</v>
      </c>
      <c r="E91" s="252" t="s">
        <v>193</v>
      </c>
      <c r="F91" s="252">
        <v>7911</v>
      </c>
      <c r="G91" s="255">
        <v>30.184999999999999</v>
      </c>
      <c r="H91" s="256">
        <v>912</v>
      </c>
      <c r="I91" s="257">
        <f t="shared" si="4"/>
        <v>27528.719999999998</v>
      </c>
      <c r="J91" s="267">
        <f t="shared" si="3"/>
        <v>2133187.9799999995</v>
      </c>
      <c r="K91" s="229" t="s">
        <v>329</v>
      </c>
      <c r="L91" s="224"/>
      <c r="M91" s="224"/>
      <c r="N91" s="224"/>
      <c r="O91" s="224"/>
      <c r="P91" s="224"/>
      <c r="Q91" s="224"/>
      <c r="R91" s="224"/>
      <c r="S91" s="224"/>
      <c r="T91" s="224"/>
      <c r="U91" s="224"/>
    </row>
    <row r="92" spans="1:21" ht="30" customHeight="1">
      <c r="A92" s="266">
        <v>89</v>
      </c>
      <c r="B92" s="253" t="s">
        <v>269</v>
      </c>
      <c r="C92" s="254" t="s">
        <v>270</v>
      </c>
      <c r="D92" s="252">
        <v>41192</v>
      </c>
      <c r="E92" s="252" t="s">
        <v>271</v>
      </c>
      <c r="F92" s="252">
        <v>9063</v>
      </c>
      <c r="G92" s="255">
        <v>33.130000000000003</v>
      </c>
      <c r="H92" s="256">
        <v>935</v>
      </c>
      <c r="I92" s="257">
        <f t="shared" si="4"/>
        <v>30976.550000000003</v>
      </c>
      <c r="J92" s="267">
        <f t="shared" si="3"/>
        <v>2164164.5299999993</v>
      </c>
      <c r="K92" s="229" t="s">
        <v>329</v>
      </c>
      <c r="L92" s="224"/>
      <c r="M92" s="224"/>
      <c r="N92" s="224"/>
      <c r="O92" s="224"/>
      <c r="P92" s="224"/>
      <c r="Q92" s="224"/>
      <c r="R92" s="224"/>
      <c r="S92" s="224"/>
      <c r="T92" s="224"/>
      <c r="U92" s="224"/>
    </row>
    <row r="93" spans="1:21" ht="30" customHeight="1">
      <c r="A93" s="266">
        <v>90</v>
      </c>
      <c r="B93" s="253" t="s">
        <v>269</v>
      </c>
      <c r="C93" s="254" t="s">
        <v>270</v>
      </c>
      <c r="D93" s="252">
        <v>41194</v>
      </c>
      <c r="E93" s="252" t="s">
        <v>192</v>
      </c>
      <c r="F93" s="252">
        <v>8240</v>
      </c>
      <c r="G93" s="255">
        <v>35.869999999999997</v>
      </c>
      <c r="H93" s="256">
        <v>935</v>
      </c>
      <c r="I93" s="257">
        <f t="shared" si="4"/>
        <v>33538.449999999997</v>
      </c>
      <c r="J93" s="267">
        <f t="shared" si="3"/>
        <v>2197702.9799999995</v>
      </c>
      <c r="K93" s="229" t="s">
        <v>329</v>
      </c>
      <c r="L93" s="224"/>
      <c r="M93" s="224"/>
      <c r="N93" s="224"/>
      <c r="O93" s="224"/>
      <c r="P93" s="224"/>
      <c r="Q93" s="224"/>
      <c r="R93" s="224"/>
      <c r="S93" s="224"/>
      <c r="T93" s="224"/>
      <c r="U93" s="224"/>
    </row>
    <row r="94" spans="1:21" ht="30" customHeight="1">
      <c r="A94" s="266">
        <v>91</v>
      </c>
      <c r="B94" s="253" t="s">
        <v>269</v>
      </c>
      <c r="C94" s="254" t="s">
        <v>270</v>
      </c>
      <c r="D94" s="252">
        <v>41193</v>
      </c>
      <c r="E94" s="252" t="s">
        <v>272</v>
      </c>
      <c r="F94" s="252">
        <v>7214</v>
      </c>
      <c r="G94" s="255">
        <v>35.68</v>
      </c>
      <c r="H94" s="256">
        <v>935</v>
      </c>
      <c r="I94" s="257">
        <f t="shared" si="4"/>
        <v>33360.800000000003</v>
      </c>
      <c r="J94" s="267">
        <f t="shared" si="3"/>
        <v>2231063.7799999993</v>
      </c>
      <c r="K94" s="229" t="s">
        <v>329</v>
      </c>
      <c r="L94" s="224"/>
      <c r="M94" s="224"/>
      <c r="N94" s="224"/>
      <c r="O94" s="224"/>
      <c r="P94" s="224"/>
      <c r="Q94" s="224"/>
      <c r="R94" s="224"/>
      <c r="S94" s="224"/>
      <c r="T94" s="224"/>
      <c r="U94" s="224"/>
    </row>
    <row r="95" spans="1:21" ht="30" customHeight="1">
      <c r="A95" s="266">
        <v>92</v>
      </c>
      <c r="B95" s="253" t="s">
        <v>269</v>
      </c>
      <c r="C95" s="254" t="s">
        <v>270</v>
      </c>
      <c r="D95" s="252">
        <v>41195</v>
      </c>
      <c r="E95" s="252" t="s">
        <v>258</v>
      </c>
      <c r="F95" s="252">
        <v>7328</v>
      </c>
      <c r="G95" s="255">
        <v>34.479999999999997</v>
      </c>
      <c r="H95" s="256">
        <v>935</v>
      </c>
      <c r="I95" s="257">
        <f t="shared" si="4"/>
        <v>32238.799999999996</v>
      </c>
      <c r="J95" s="267">
        <f t="shared" si="3"/>
        <v>2263302.5799999991</v>
      </c>
      <c r="K95" s="229" t="s">
        <v>329</v>
      </c>
      <c r="L95" s="224"/>
      <c r="M95" s="224"/>
      <c r="N95" s="224"/>
      <c r="O95" s="224"/>
      <c r="P95" s="224"/>
      <c r="Q95" s="224"/>
      <c r="R95" s="224"/>
      <c r="S95" s="224"/>
      <c r="T95" s="224"/>
      <c r="U95" s="224"/>
    </row>
    <row r="96" spans="1:21" ht="30" customHeight="1">
      <c r="A96" s="266">
        <v>93</v>
      </c>
      <c r="B96" s="253" t="s">
        <v>273</v>
      </c>
      <c r="C96" s="254" t="s">
        <v>274</v>
      </c>
      <c r="D96" s="252">
        <v>41301</v>
      </c>
      <c r="E96" s="252" t="s">
        <v>243</v>
      </c>
      <c r="F96" s="252">
        <v>2575</v>
      </c>
      <c r="G96" s="255">
        <v>29.72</v>
      </c>
      <c r="H96" s="256">
        <v>935</v>
      </c>
      <c r="I96" s="257">
        <f t="shared" si="4"/>
        <v>27788.2</v>
      </c>
      <c r="J96" s="267">
        <f t="shared" si="3"/>
        <v>2291090.7799999993</v>
      </c>
      <c r="K96" s="229" t="s">
        <v>329</v>
      </c>
      <c r="L96" s="224"/>
      <c r="M96" s="224"/>
      <c r="N96" s="224"/>
      <c r="O96" s="224"/>
      <c r="P96" s="224"/>
      <c r="Q96" s="224"/>
      <c r="R96" s="224"/>
      <c r="S96" s="224"/>
      <c r="T96" s="224"/>
      <c r="U96" s="224"/>
    </row>
    <row r="97" spans="1:21" ht="30" customHeight="1">
      <c r="A97" s="266">
        <v>94</v>
      </c>
      <c r="B97" s="253" t="s">
        <v>273</v>
      </c>
      <c r="C97" s="254" t="s">
        <v>274</v>
      </c>
      <c r="D97" s="252">
        <v>41299</v>
      </c>
      <c r="E97" s="252" t="s">
        <v>268</v>
      </c>
      <c r="F97" s="252">
        <v>6033</v>
      </c>
      <c r="G97" s="255">
        <v>29.41</v>
      </c>
      <c r="H97" s="256">
        <v>935</v>
      </c>
      <c r="I97" s="257">
        <f t="shared" si="4"/>
        <v>27498.35</v>
      </c>
      <c r="J97" s="267">
        <f t="shared" si="3"/>
        <v>2318589.1299999994</v>
      </c>
      <c r="K97" s="229" t="s">
        <v>329</v>
      </c>
      <c r="L97" s="224"/>
      <c r="M97" s="224"/>
      <c r="N97" s="224"/>
      <c r="O97" s="224"/>
      <c r="P97" s="224"/>
      <c r="Q97" s="224"/>
      <c r="R97" s="224"/>
      <c r="S97" s="224"/>
      <c r="T97" s="224"/>
      <c r="U97" s="224"/>
    </row>
    <row r="98" spans="1:21" ht="30" customHeight="1">
      <c r="A98" s="266">
        <v>95</v>
      </c>
      <c r="B98" s="253" t="s">
        <v>273</v>
      </c>
      <c r="C98" s="254" t="s">
        <v>274</v>
      </c>
      <c r="D98" s="252">
        <v>41291</v>
      </c>
      <c r="E98" s="252" t="s">
        <v>275</v>
      </c>
      <c r="F98" s="252">
        <v>6915</v>
      </c>
      <c r="G98" s="255">
        <v>29.69</v>
      </c>
      <c r="H98" s="256">
        <v>935</v>
      </c>
      <c r="I98" s="257">
        <f t="shared" si="4"/>
        <v>27760.15</v>
      </c>
      <c r="J98" s="267">
        <f t="shared" si="3"/>
        <v>2346349.2799999993</v>
      </c>
      <c r="K98" s="229" t="s">
        <v>329</v>
      </c>
      <c r="L98" s="224"/>
      <c r="M98" s="224"/>
      <c r="N98" s="224"/>
      <c r="O98" s="224"/>
      <c r="P98" s="224"/>
      <c r="Q98" s="224"/>
      <c r="R98" s="224"/>
      <c r="S98" s="224"/>
      <c r="T98" s="224"/>
      <c r="U98" s="224"/>
    </row>
    <row r="99" spans="1:21" ht="30" customHeight="1">
      <c r="A99" s="266">
        <v>96</v>
      </c>
      <c r="B99" s="253" t="s">
        <v>273</v>
      </c>
      <c r="C99" s="254" t="s">
        <v>274</v>
      </c>
      <c r="D99" s="252">
        <v>7055</v>
      </c>
      <c r="E99" s="252" t="s">
        <v>236</v>
      </c>
      <c r="F99" s="252">
        <v>7055</v>
      </c>
      <c r="G99" s="255">
        <v>30.4</v>
      </c>
      <c r="H99" s="256">
        <v>935</v>
      </c>
      <c r="I99" s="257">
        <f t="shared" si="4"/>
        <v>28424</v>
      </c>
      <c r="J99" s="267">
        <f t="shared" si="3"/>
        <v>2374773.2799999993</v>
      </c>
      <c r="K99" s="229" t="s">
        <v>329</v>
      </c>
      <c r="L99" s="224"/>
      <c r="M99" s="224"/>
      <c r="N99" s="224"/>
      <c r="O99" s="224"/>
      <c r="P99" s="224"/>
      <c r="Q99" s="224"/>
      <c r="R99" s="224"/>
      <c r="S99" s="224"/>
      <c r="T99" s="224"/>
      <c r="U99" s="224"/>
    </row>
    <row r="100" spans="1:21" ht="30" customHeight="1">
      <c r="A100" s="266">
        <v>97</v>
      </c>
      <c r="B100" s="253" t="s">
        <v>269</v>
      </c>
      <c r="C100" s="254" t="s">
        <v>270</v>
      </c>
      <c r="D100" s="252">
        <v>24744</v>
      </c>
      <c r="E100" s="252" t="s">
        <v>271</v>
      </c>
      <c r="F100" s="252">
        <v>4770</v>
      </c>
      <c r="G100" s="255">
        <v>27.12</v>
      </c>
      <c r="H100" s="256">
        <v>935</v>
      </c>
      <c r="I100" s="257">
        <f t="shared" si="4"/>
        <v>25357.200000000001</v>
      </c>
      <c r="J100" s="267">
        <f t="shared" si="3"/>
        <v>2400130.4799999995</v>
      </c>
      <c r="K100" s="229" t="s">
        <v>329</v>
      </c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</row>
    <row r="101" spans="1:21" ht="30" customHeight="1">
      <c r="A101" s="266">
        <v>98</v>
      </c>
      <c r="B101" s="253" t="s">
        <v>276</v>
      </c>
      <c r="C101" s="254" t="s">
        <v>270</v>
      </c>
      <c r="D101" s="252">
        <v>24749</v>
      </c>
      <c r="E101" s="252" t="s">
        <v>277</v>
      </c>
      <c r="F101" s="252">
        <v>6172</v>
      </c>
      <c r="G101" s="255">
        <v>31.22</v>
      </c>
      <c r="H101" s="256">
        <v>935</v>
      </c>
      <c r="I101" s="257">
        <f t="shared" si="4"/>
        <v>29190.7</v>
      </c>
      <c r="J101" s="267">
        <f t="shared" si="3"/>
        <v>2429321.1799999997</v>
      </c>
      <c r="K101" s="229" t="s">
        <v>329</v>
      </c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</row>
    <row r="102" spans="1:21" ht="30" customHeight="1">
      <c r="A102" s="266">
        <v>99</v>
      </c>
      <c r="B102" s="253" t="s">
        <v>276</v>
      </c>
      <c r="C102" s="254" t="s">
        <v>270</v>
      </c>
      <c r="D102" s="252">
        <v>24748</v>
      </c>
      <c r="E102" s="252" t="s">
        <v>207</v>
      </c>
      <c r="F102" s="252">
        <v>18171</v>
      </c>
      <c r="G102" s="255">
        <v>7.17</v>
      </c>
      <c r="H102" s="256">
        <v>935</v>
      </c>
      <c r="I102" s="257">
        <f t="shared" si="4"/>
        <v>6703.95</v>
      </c>
      <c r="J102" s="267">
        <f t="shared" si="3"/>
        <v>2436025.13</v>
      </c>
      <c r="K102" s="229" t="s">
        <v>329</v>
      </c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</row>
    <row r="103" spans="1:21" ht="30" customHeight="1">
      <c r="A103" s="266">
        <v>100</v>
      </c>
      <c r="B103" s="253" t="s">
        <v>269</v>
      </c>
      <c r="C103" s="254" t="s">
        <v>270</v>
      </c>
      <c r="D103" s="252">
        <v>24742</v>
      </c>
      <c r="E103" s="252" t="s">
        <v>278</v>
      </c>
      <c r="F103" s="252">
        <v>4075</v>
      </c>
      <c r="G103" s="255">
        <v>35.14</v>
      </c>
      <c r="H103" s="256">
        <v>935</v>
      </c>
      <c r="I103" s="257">
        <f t="shared" si="4"/>
        <v>32855.9</v>
      </c>
      <c r="J103" s="267">
        <f t="shared" si="3"/>
        <v>2468881.0299999998</v>
      </c>
      <c r="K103" s="229" t="s">
        <v>329</v>
      </c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</row>
    <row r="104" spans="1:21" ht="30" customHeight="1">
      <c r="A104" s="266">
        <v>101</v>
      </c>
      <c r="B104" s="253" t="s">
        <v>279</v>
      </c>
      <c r="C104" s="254" t="s">
        <v>270</v>
      </c>
      <c r="D104" s="252">
        <v>24761</v>
      </c>
      <c r="E104" s="252" t="s">
        <v>201</v>
      </c>
      <c r="F104" s="252">
        <v>7679</v>
      </c>
      <c r="G104" s="255">
        <v>36.51</v>
      </c>
      <c r="H104" s="256">
        <v>935</v>
      </c>
      <c r="I104" s="257">
        <f t="shared" si="4"/>
        <v>34136.85</v>
      </c>
      <c r="J104" s="267">
        <f t="shared" si="3"/>
        <v>2503017.88</v>
      </c>
      <c r="K104" s="229" t="s">
        <v>329</v>
      </c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</row>
    <row r="105" spans="1:21" ht="30" customHeight="1">
      <c r="A105" s="266">
        <v>102</v>
      </c>
      <c r="B105" s="253" t="s">
        <v>269</v>
      </c>
      <c r="C105" s="254" t="s">
        <v>270</v>
      </c>
      <c r="D105" s="252">
        <v>24743</v>
      </c>
      <c r="E105" s="252" t="s">
        <v>280</v>
      </c>
      <c r="F105" s="252">
        <v>4953</v>
      </c>
      <c r="G105" s="255">
        <v>26.88</v>
      </c>
      <c r="H105" s="256">
        <v>935</v>
      </c>
      <c r="I105" s="257">
        <f t="shared" si="4"/>
        <v>25132.799999999999</v>
      </c>
      <c r="J105" s="267">
        <f t="shared" si="3"/>
        <v>2528150.6799999997</v>
      </c>
      <c r="K105" s="229" t="s">
        <v>329</v>
      </c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</row>
    <row r="106" spans="1:21" ht="30" customHeight="1">
      <c r="A106" s="266">
        <v>103</v>
      </c>
      <c r="B106" s="253" t="s">
        <v>279</v>
      </c>
      <c r="C106" s="254" t="s">
        <v>270</v>
      </c>
      <c r="D106" s="252">
        <v>24759</v>
      </c>
      <c r="E106" s="252" t="s">
        <v>281</v>
      </c>
      <c r="F106" s="252">
        <v>1282</v>
      </c>
      <c r="G106" s="255">
        <v>29.7</v>
      </c>
      <c r="H106" s="256">
        <v>935</v>
      </c>
      <c r="I106" s="257">
        <f t="shared" si="4"/>
        <v>27769.5</v>
      </c>
      <c r="J106" s="267">
        <f t="shared" si="3"/>
        <v>2555920.1799999997</v>
      </c>
      <c r="K106" s="229" t="s">
        <v>329</v>
      </c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</row>
    <row r="107" spans="1:21" ht="30" customHeight="1">
      <c r="A107" s="266">
        <v>104</v>
      </c>
      <c r="B107" s="253" t="s">
        <v>276</v>
      </c>
      <c r="C107" s="254" t="s">
        <v>270</v>
      </c>
      <c r="D107" s="252">
        <v>24747</v>
      </c>
      <c r="E107" s="252" t="s">
        <v>282</v>
      </c>
      <c r="F107" s="252">
        <v>8826</v>
      </c>
      <c r="G107" s="255">
        <v>29.73</v>
      </c>
      <c r="H107" s="256">
        <v>935</v>
      </c>
      <c r="I107" s="257">
        <f t="shared" si="4"/>
        <v>27797.55</v>
      </c>
      <c r="J107" s="267">
        <f t="shared" si="3"/>
        <v>2583717.7299999995</v>
      </c>
      <c r="K107" s="229" t="s">
        <v>329</v>
      </c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</row>
    <row r="108" spans="1:21" ht="30" customHeight="1">
      <c r="A108" s="266">
        <v>105</v>
      </c>
      <c r="B108" s="253" t="s">
        <v>283</v>
      </c>
      <c r="C108" s="254" t="s">
        <v>274</v>
      </c>
      <c r="D108" s="252">
        <v>41418</v>
      </c>
      <c r="E108" s="252" t="s">
        <v>284</v>
      </c>
      <c r="F108" s="252">
        <v>8132</v>
      </c>
      <c r="G108" s="255">
        <v>35.01</v>
      </c>
      <c r="H108" s="256">
        <v>935</v>
      </c>
      <c r="I108" s="257">
        <f t="shared" si="4"/>
        <v>32734.35</v>
      </c>
      <c r="J108" s="267">
        <f t="shared" si="3"/>
        <v>2616452.0799999996</v>
      </c>
      <c r="K108" s="229" t="s">
        <v>329</v>
      </c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</row>
    <row r="109" spans="1:21" ht="30" customHeight="1">
      <c r="A109" s="266">
        <v>106</v>
      </c>
      <c r="B109" s="253" t="s">
        <v>283</v>
      </c>
      <c r="C109" s="254" t="s">
        <v>274</v>
      </c>
      <c r="D109" s="252">
        <v>41417</v>
      </c>
      <c r="E109" s="252" t="s">
        <v>285</v>
      </c>
      <c r="F109" s="252">
        <v>6936</v>
      </c>
      <c r="G109" s="255">
        <v>35.93</v>
      </c>
      <c r="H109" s="256">
        <v>935</v>
      </c>
      <c r="I109" s="257">
        <f t="shared" si="4"/>
        <v>33594.550000000003</v>
      </c>
      <c r="J109" s="267">
        <f t="shared" si="3"/>
        <v>2650046.6299999994</v>
      </c>
      <c r="K109" s="229" t="s">
        <v>329</v>
      </c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</row>
    <row r="110" spans="1:21" ht="30" customHeight="1">
      <c r="A110" s="266">
        <v>107</v>
      </c>
      <c r="B110" s="253" t="s">
        <v>286</v>
      </c>
      <c r="C110" s="254" t="s">
        <v>274</v>
      </c>
      <c r="D110" s="252">
        <v>2069</v>
      </c>
      <c r="E110" s="252" t="s">
        <v>287</v>
      </c>
      <c r="F110" s="252">
        <v>6044</v>
      </c>
      <c r="G110" s="255">
        <v>32.08</v>
      </c>
      <c r="H110" s="256">
        <v>935</v>
      </c>
      <c r="I110" s="257">
        <f t="shared" si="4"/>
        <v>29994.799999999999</v>
      </c>
      <c r="J110" s="267">
        <f t="shared" si="3"/>
        <v>2680041.4299999992</v>
      </c>
      <c r="K110" s="229" t="s">
        <v>329</v>
      </c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</row>
    <row r="111" spans="1:21" ht="30" customHeight="1">
      <c r="A111" s="266">
        <v>108</v>
      </c>
      <c r="B111" s="253" t="s">
        <v>286</v>
      </c>
      <c r="C111" s="254" t="s">
        <v>274</v>
      </c>
      <c r="D111" s="252">
        <v>2074</v>
      </c>
      <c r="E111" s="252" t="s">
        <v>288</v>
      </c>
      <c r="F111" s="252">
        <v>8244</v>
      </c>
      <c r="G111" s="255">
        <v>30.13</v>
      </c>
      <c r="H111" s="256">
        <v>935</v>
      </c>
      <c r="I111" s="257">
        <f t="shared" si="4"/>
        <v>28171.55</v>
      </c>
      <c r="J111" s="267">
        <f t="shared" si="3"/>
        <v>2708212.9799999991</v>
      </c>
      <c r="K111" s="229" t="s">
        <v>329</v>
      </c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</row>
    <row r="112" spans="1:21" ht="30" customHeight="1">
      <c r="A112" s="266">
        <v>109</v>
      </c>
      <c r="B112" s="253" t="s">
        <v>286</v>
      </c>
      <c r="C112" s="254" t="s">
        <v>274</v>
      </c>
      <c r="D112" s="252">
        <v>14403</v>
      </c>
      <c r="E112" s="252" t="s">
        <v>289</v>
      </c>
      <c r="F112" s="252">
        <v>6940</v>
      </c>
      <c r="G112" s="255">
        <v>31.31</v>
      </c>
      <c r="H112" s="256">
        <v>935</v>
      </c>
      <c r="I112" s="257">
        <f t="shared" si="4"/>
        <v>29274.85</v>
      </c>
      <c r="J112" s="267">
        <f t="shared" si="3"/>
        <v>2737487.8299999991</v>
      </c>
      <c r="K112" s="229" t="s">
        <v>329</v>
      </c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</row>
    <row r="113" spans="1:21" ht="30" customHeight="1">
      <c r="A113" s="266">
        <v>110</v>
      </c>
      <c r="B113" s="253" t="s">
        <v>286</v>
      </c>
      <c r="C113" s="254" t="s">
        <v>274</v>
      </c>
      <c r="D113" s="252">
        <v>2071</v>
      </c>
      <c r="E113" s="252" t="s">
        <v>290</v>
      </c>
      <c r="F113" s="252">
        <v>3889</v>
      </c>
      <c r="G113" s="255">
        <v>33.25</v>
      </c>
      <c r="H113" s="256">
        <v>935</v>
      </c>
      <c r="I113" s="257">
        <f t="shared" si="4"/>
        <v>31088.75</v>
      </c>
      <c r="J113" s="267">
        <f t="shared" si="3"/>
        <v>2768576.5799999991</v>
      </c>
      <c r="K113" s="229" t="s">
        <v>329</v>
      </c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</row>
    <row r="114" spans="1:21" ht="30" customHeight="1">
      <c r="A114" s="266">
        <v>111</v>
      </c>
      <c r="B114" s="253" t="s">
        <v>286</v>
      </c>
      <c r="C114" s="254" t="s">
        <v>274</v>
      </c>
      <c r="D114" s="252">
        <v>2075</v>
      </c>
      <c r="E114" s="252" t="s">
        <v>236</v>
      </c>
      <c r="F114" s="252">
        <v>5491</v>
      </c>
      <c r="G114" s="255">
        <v>35.82</v>
      </c>
      <c r="H114" s="256">
        <v>935</v>
      </c>
      <c r="I114" s="257">
        <f t="shared" si="4"/>
        <v>33491.699999999997</v>
      </c>
      <c r="J114" s="267">
        <f t="shared" si="3"/>
        <v>2802068.2799999993</v>
      </c>
      <c r="K114" s="229" t="s">
        <v>329</v>
      </c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</row>
    <row r="115" spans="1:21" ht="30" customHeight="1">
      <c r="A115" s="266">
        <v>112</v>
      </c>
      <c r="B115" s="253" t="s">
        <v>286</v>
      </c>
      <c r="C115" s="254" t="s">
        <v>274</v>
      </c>
      <c r="D115" s="252">
        <v>14398</v>
      </c>
      <c r="E115" s="252" t="s">
        <v>291</v>
      </c>
      <c r="F115" s="252">
        <v>8199</v>
      </c>
      <c r="G115" s="255">
        <v>30.2</v>
      </c>
      <c r="H115" s="256">
        <v>935</v>
      </c>
      <c r="I115" s="257">
        <f t="shared" si="4"/>
        <v>28237</v>
      </c>
      <c r="J115" s="267">
        <f t="shared" si="3"/>
        <v>2830305.2799999993</v>
      </c>
      <c r="K115" s="229" t="s">
        <v>329</v>
      </c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</row>
    <row r="116" spans="1:21" ht="30" customHeight="1">
      <c r="A116" s="266">
        <v>113</v>
      </c>
      <c r="B116" s="253" t="s">
        <v>283</v>
      </c>
      <c r="C116" s="254" t="s">
        <v>200</v>
      </c>
      <c r="D116" s="252">
        <v>9896</v>
      </c>
      <c r="E116" s="252" t="s">
        <v>195</v>
      </c>
      <c r="F116" s="252">
        <v>7535</v>
      </c>
      <c r="G116" s="255">
        <v>31.19</v>
      </c>
      <c r="H116" s="256">
        <v>912</v>
      </c>
      <c r="I116" s="257">
        <f t="shared" si="4"/>
        <v>28445.280000000002</v>
      </c>
      <c r="J116" s="267">
        <f t="shared" si="3"/>
        <v>2858750.5599999991</v>
      </c>
      <c r="K116" s="229" t="s">
        <v>329</v>
      </c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</row>
    <row r="117" spans="1:21" ht="30" customHeight="1">
      <c r="A117" s="266">
        <v>114</v>
      </c>
      <c r="B117" s="253" t="s">
        <v>283</v>
      </c>
      <c r="C117" s="254" t="s">
        <v>200</v>
      </c>
      <c r="D117" s="252">
        <v>21961</v>
      </c>
      <c r="E117" s="252" t="s">
        <v>204</v>
      </c>
      <c r="F117" s="252">
        <v>1862</v>
      </c>
      <c r="G117" s="255">
        <v>30.86</v>
      </c>
      <c r="H117" s="256">
        <v>912</v>
      </c>
      <c r="I117" s="257">
        <f t="shared" si="4"/>
        <v>28144.32</v>
      </c>
      <c r="J117" s="267">
        <f t="shared" si="3"/>
        <v>2886894.879999999</v>
      </c>
      <c r="K117" s="229" t="s">
        <v>329</v>
      </c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</row>
    <row r="118" spans="1:21" ht="30" customHeight="1">
      <c r="A118" s="266">
        <v>115</v>
      </c>
      <c r="B118" s="253" t="s">
        <v>286</v>
      </c>
      <c r="C118" s="254" t="s">
        <v>292</v>
      </c>
      <c r="D118" s="252">
        <v>9905</v>
      </c>
      <c r="E118" s="252" t="s">
        <v>194</v>
      </c>
      <c r="F118" s="252">
        <v>5831</v>
      </c>
      <c r="G118" s="255">
        <v>29.6</v>
      </c>
      <c r="H118" s="256">
        <v>919</v>
      </c>
      <c r="I118" s="257">
        <f t="shared" si="4"/>
        <v>27202.400000000001</v>
      </c>
      <c r="J118" s="267">
        <f t="shared" si="3"/>
        <v>2914097.2799999989</v>
      </c>
      <c r="K118" s="229" t="s">
        <v>329</v>
      </c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</row>
    <row r="119" spans="1:21" ht="30" customHeight="1">
      <c r="A119" s="266">
        <v>116</v>
      </c>
      <c r="B119" s="253" t="s">
        <v>286</v>
      </c>
      <c r="C119" s="254" t="s">
        <v>292</v>
      </c>
      <c r="D119" s="252">
        <v>9903</v>
      </c>
      <c r="E119" s="252" t="s">
        <v>293</v>
      </c>
      <c r="F119" s="252">
        <v>3880</v>
      </c>
      <c r="G119" s="255">
        <v>31.15</v>
      </c>
      <c r="H119" s="256">
        <v>919</v>
      </c>
      <c r="I119" s="257">
        <f t="shared" si="4"/>
        <v>28626.85</v>
      </c>
      <c r="J119" s="267">
        <f t="shared" si="3"/>
        <v>2942724.129999999</v>
      </c>
      <c r="K119" s="229" t="s">
        <v>329</v>
      </c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</row>
    <row r="120" spans="1:21" ht="30" customHeight="1">
      <c r="A120" s="266">
        <v>117</v>
      </c>
      <c r="B120" s="253" t="s">
        <v>286</v>
      </c>
      <c r="C120" s="254" t="s">
        <v>196</v>
      </c>
      <c r="D120" s="252">
        <v>2678</v>
      </c>
      <c r="E120" s="252" t="s">
        <v>294</v>
      </c>
      <c r="F120" s="252">
        <v>2888</v>
      </c>
      <c r="G120" s="255">
        <v>16.659999999999997</v>
      </c>
      <c r="H120" s="256">
        <v>920</v>
      </c>
      <c r="I120" s="257">
        <f t="shared" si="4"/>
        <v>15327.199999999997</v>
      </c>
      <c r="J120" s="267">
        <f t="shared" si="3"/>
        <v>2958051.3299999991</v>
      </c>
      <c r="K120" s="229" t="s">
        <v>329</v>
      </c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</row>
    <row r="121" spans="1:21" ht="30" customHeight="1">
      <c r="A121" s="266">
        <v>118</v>
      </c>
      <c r="B121" s="253" t="s">
        <v>286</v>
      </c>
      <c r="C121" s="254" t="s">
        <v>295</v>
      </c>
      <c r="D121" s="252">
        <v>2678</v>
      </c>
      <c r="E121" s="252" t="s">
        <v>294</v>
      </c>
      <c r="F121" s="252">
        <v>2888</v>
      </c>
      <c r="G121" s="255">
        <v>11.72</v>
      </c>
      <c r="H121" s="256">
        <v>1043</v>
      </c>
      <c r="I121" s="257">
        <f t="shared" si="4"/>
        <v>12223.960000000001</v>
      </c>
      <c r="J121" s="267">
        <f t="shared" si="3"/>
        <v>2970275.2899999991</v>
      </c>
      <c r="K121" s="229" t="s">
        <v>329</v>
      </c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</row>
    <row r="122" spans="1:21" ht="30" customHeight="1">
      <c r="A122" s="266">
        <v>119</v>
      </c>
      <c r="B122" s="253" t="s">
        <v>286</v>
      </c>
      <c r="C122" s="254" t="s">
        <v>296</v>
      </c>
      <c r="D122" s="252">
        <v>22038</v>
      </c>
      <c r="E122" s="252" t="s">
        <v>193</v>
      </c>
      <c r="F122" s="252">
        <v>4746</v>
      </c>
      <c r="G122" s="255">
        <v>30.34</v>
      </c>
      <c r="H122" s="256">
        <v>914</v>
      </c>
      <c r="I122" s="257">
        <f t="shared" si="4"/>
        <v>27730.76</v>
      </c>
      <c r="J122" s="267">
        <f t="shared" si="3"/>
        <v>2998006.0499999989</v>
      </c>
      <c r="K122" s="229" t="s">
        <v>329</v>
      </c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</row>
    <row r="123" spans="1:21" ht="30" customHeight="1">
      <c r="A123" s="266">
        <v>120</v>
      </c>
      <c r="B123" s="253" t="s">
        <v>297</v>
      </c>
      <c r="C123" s="254" t="s">
        <v>200</v>
      </c>
      <c r="D123" s="252">
        <v>9923</v>
      </c>
      <c r="E123" s="252" t="s">
        <v>298</v>
      </c>
      <c r="F123" s="252">
        <v>7527</v>
      </c>
      <c r="G123" s="255">
        <v>30.15</v>
      </c>
      <c r="H123" s="256">
        <v>914</v>
      </c>
      <c r="I123" s="257">
        <f t="shared" si="4"/>
        <v>27557.1</v>
      </c>
      <c r="J123" s="267">
        <f t="shared" si="3"/>
        <v>3025563.149999999</v>
      </c>
      <c r="K123" s="229" t="s">
        <v>329</v>
      </c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</row>
    <row r="124" spans="1:21" ht="30" customHeight="1">
      <c r="A124" s="266">
        <v>121</v>
      </c>
      <c r="B124" s="253" t="s">
        <v>297</v>
      </c>
      <c r="C124" s="254" t="s">
        <v>200</v>
      </c>
      <c r="D124" s="252">
        <v>9934</v>
      </c>
      <c r="E124" s="252" t="s">
        <v>299</v>
      </c>
      <c r="F124" s="252">
        <v>8387</v>
      </c>
      <c r="G124" s="255">
        <v>33.729999999999997</v>
      </c>
      <c r="H124" s="256">
        <v>914</v>
      </c>
      <c r="I124" s="257">
        <f t="shared" si="4"/>
        <v>30829.219999999998</v>
      </c>
      <c r="J124" s="267">
        <f t="shared" si="3"/>
        <v>3056392.3699999992</v>
      </c>
      <c r="K124" s="229" t="s">
        <v>329</v>
      </c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</row>
    <row r="125" spans="1:21" ht="30" customHeight="1">
      <c r="A125" s="266">
        <v>122</v>
      </c>
      <c r="B125" s="253" t="s">
        <v>300</v>
      </c>
      <c r="C125" s="254" t="s">
        <v>216</v>
      </c>
      <c r="D125" s="252">
        <v>9981</v>
      </c>
      <c r="E125" s="252" t="s">
        <v>265</v>
      </c>
      <c r="F125" s="252">
        <v>3220</v>
      </c>
      <c r="G125" s="255">
        <v>37.35</v>
      </c>
      <c r="H125" s="256">
        <v>915</v>
      </c>
      <c r="I125" s="257">
        <f t="shared" si="4"/>
        <v>34175.25</v>
      </c>
      <c r="J125" s="267">
        <f t="shared" si="3"/>
        <v>3090567.6199999992</v>
      </c>
      <c r="K125" s="229" t="s">
        <v>329</v>
      </c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</row>
    <row r="126" spans="1:21" ht="30" customHeight="1">
      <c r="A126" s="266">
        <v>123</v>
      </c>
      <c r="B126" s="253" t="s">
        <v>300</v>
      </c>
      <c r="C126" s="254" t="s">
        <v>216</v>
      </c>
      <c r="D126" s="252">
        <v>9980</v>
      </c>
      <c r="E126" s="252" t="s">
        <v>193</v>
      </c>
      <c r="F126" s="252">
        <v>7318</v>
      </c>
      <c r="G126" s="255">
        <v>30.79</v>
      </c>
      <c r="H126" s="256">
        <v>915</v>
      </c>
      <c r="I126" s="257">
        <f t="shared" si="4"/>
        <v>28172.85</v>
      </c>
      <c r="J126" s="267">
        <f t="shared" si="3"/>
        <v>3118740.4699999993</v>
      </c>
      <c r="K126" s="229" t="s">
        <v>329</v>
      </c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</row>
    <row r="127" spans="1:21" ht="30" customHeight="1">
      <c r="A127" s="266">
        <v>124</v>
      </c>
      <c r="B127" s="253" t="s">
        <v>300</v>
      </c>
      <c r="C127" s="254" t="s">
        <v>301</v>
      </c>
      <c r="D127" s="252">
        <v>22472</v>
      </c>
      <c r="E127" s="252" t="s">
        <v>302</v>
      </c>
      <c r="F127" s="252">
        <v>8587</v>
      </c>
      <c r="G127" s="255">
        <v>27.96</v>
      </c>
      <c r="H127" s="256">
        <v>920</v>
      </c>
      <c r="I127" s="257">
        <f t="shared" si="4"/>
        <v>25723.200000000001</v>
      </c>
      <c r="J127" s="267">
        <f t="shared" si="3"/>
        <v>3144463.6699999995</v>
      </c>
      <c r="K127" s="229" t="s">
        <v>329</v>
      </c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</row>
    <row r="128" spans="1:21" ht="30" customHeight="1">
      <c r="A128" s="266">
        <v>125</v>
      </c>
      <c r="B128" s="253" t="s">
        <v>300</v>
      </c>
      <c r="C128" s="254" t="s">
        <v>301</v>
      </c>
      <c r="D128" s="252">
        <v>22471</v>
      </c>
      <c r="E128" s="252" t="s">
        <v>303</v>
      </c>
      <c r="F128" s="252">
        <v>9694</v>
      </c>
      <c r="G128" s="255">
        <v>30.38</v>
      </c>
      <c r="H128" s="256">
        <v>915</v>
      </c>
      <c r="I128" s="257">
        <f t="shared" si="4"/>
        <v>27797.7</v>
      </c>
      <c r="J128" s="267">
        <f t="shared" si="3"/>
        <v>3172261.3699999996</v>
      </c>
      <c r="K128" s="229" t="s">
        <v>329</v>
      </c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</row>
    <row r="129" spans="1:30" ht="30" customHeight="1">
      <c r="A129" s="266">
        <v>126</v>
      </c>
      <c r="B129" s="253" t="s">
        <v>300</v>
      </c>
      <c r="C129" s="254" t="s">
        <v>301</v>
      </c>
      <c r="D129" s="252">
        <v>22473</v>
      </c>
      <c r="E129" s="252" t="s">
        <v>251</v>
      </c>
      <c r="F129" s="252">
        <v>9835</v>
      </c>
      <c r="G129" s="255">
        <v>19.565000000000001</v>
      </c>
      <c r="H129" s="256">
        <v>915</v>
      </c>
      <c r="I129" s="257">
        <f t="shared" si="4"/>
        <v>17901.975000000002</v>
      </c>
      <c r="J129" s="267">
        <f t="shared" si="3"/>
        <v>3190163.3449999997</v>
      </c>
      <c r="K129" s="229" t="s">
        <v>329</v>
      </c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</row>
    <row r="130" spans="1:30" ht="30" customHeight="1">
      <c r="A130" s="266">
        <v>127</v>
      </c>
      <c r="B130" s="253" t="s">
        <v>300</v>
      </c>
      <c r="C130" s="254" t="s">
        <v>301</v>
      </c>
      <c r="D130" s="252">
        <v>22473</v>
      </c>
      <c r="E130" s="252" t="s">
        <v>251</v>
      </c>
      <c r="F130" s="252">
        <v>9835</v>
      </c>
      <c r="G130" s="255">
        <v>10.574999999999999</v>
      </c>
      <c r="H130" s="256">
        <v>1025</v>
      </c>
      <c r="I130" s="257">
        <f t="shared" si="4"/>
        <v>10839.375</v>
      </c>
      <c r="J130" s="267">
        <f t="shared" si="3"/>
        <v>3201002.7199999997</v>
      </c>
      <c r="K130" s="229" t="s">
        <v>329</v>
      </c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</row>
    <row r="131" spans="1:30" ht="30" customHeight="1">
      <c r="A131" s="266">
        <v>128</v>
      </c>
      <c r="B131" s="253" t="s">
        <v>300</v>
      </c>
      <c r="C131" s="254" t="s">
        <v>304</v>
      </c>
      <c r="D131" s="252">
        <v>9975</v>
      </c>
      <c r="E131" s="252" t="s">
        <v>305</v>
      </c>
      <c r="F131" s="252">
        <v>9719</v>
      </c>
      <c r="G131" s="255">
        <v>11.495000000000001</v>
      </c>
      <c r="H131" s="256">
        <v>915</v>
      </c>
      <c r="I131" s="257">
        <f t="shared" si="4"/>
        <v>10517.925000000001</v>
      </c>
      <c r="J131" s="267">
        <f t="shared" si="3"/>
        <v>3211520.6449999996</v>
      </c>
      <c r="K131" s="229" t="s">
        <v>329</v>
      </c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</row>
    <row r="132" spans="1:30" ht="30" customHeight="1">
      <c r="A132" s="266">
        <v>129</v>
      </c>
      <c r="B132" s="253" t="s">
        <v>300</v>
      </c>
      <c r="C132" s="254" t="s">
        <v>304</v>
      </c>
      <c r="D132" s="252">
        <v>9975</v>
      </c>
      <c r="E132" s="252" t="s">
        <v>305</v>
      </c>
      <c r="F132" s="252">
        <v>9719</v>
      </c>
      <c r="G132" s="255">
        <v>19.425000000000001</v>
      </c>
      <c r="H132" s="256">
        <v>915</v>
      </c>
      <c r="I132" s="257">
        <f t="shared" si="4"/>
        <v>17773.875</v>
      </c>
      <c r="J132" s="267">
        <f t="shared" si="3"/>
        <v>3229294.5199999996</v>
      </c>
      <c r="K132" s="229" t="s">
        <v>329</v>
      </c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</row>
    <row r="133" spans="1:30" ht="30" customHeight="1">
      <c r="A133" s="266">
        <v>130</v>
      </c>
      <c r="B133" s="253" t="s">
        <v>300</v>
      </c>
      <c r="C133" s="254" t="s">
        <v>304</v>
      </c>
      <c r="D133" s="252">
        <v>9976</v>
      </c>
      <c r="E133" s="252" t="s">
        <v>258</v>
      </c>
      <c r="F133" s="252">
        <v>5908</v>
      </c>
      <c r="G133" s="255">
        <v>30.78</v>
      </c>
      <c r="H133" s="256">
        <v>915</v>
      </c>
      <c r="I133" s="257">
        <f t="shared" si="4"/>
        <v>28163.7</v>
      </c>
      <c r="J133" s="267">
        <f t="shared" si="3"/>
        <v>3257458.2199999997</v>
      </c>
      <c r="K133" s="229" t="s">
        <v>329</v>
      </c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</row>
    <row r="134" spans="1:30" ht="30" customHeight="1">
      <c r="A134" s="266">
        <v>131</v>
      </c>
      <c r="B134" s="253" t="s">
        <v>300</v>
      </c>
      <c r="C134" s="254" t="s">
        <v>304</v>
      </c>
      <c r="D134" s="252">
        <v>22488</v>
      </c>
      <c r="E134" s="252" t="s">
        <v>205</v>
      </c>
      <c r="F134" s="252">
        <v>7598</v>
      </c>
      <c r="G134" s="255">
        <v>34.005000000000003</v>
      </c>
      <c r="H134" s="256">
        <v>915</v>
      </c>
      <c r="I134" s="257">
        <f t="shared" si="4"/>
        <v>31114.575000000001</v>
      </c>
      <c r="J134" s="267">
        <f t="shared" ref="J134:J141" si="5">I134+J133</f>
        <v>3288572.7949999999</v>
      </c>
      <c r="K134" s="229" t="s">
        <v>329</v>
      </c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</row>
    <row r="135" spans="1:30" ht="30" customHeight="1">
      <c r="A135" s="266">
        <v>132</v>
      </c>
      <c r="B135" s="253" t="s">
        <v>300</v>
      </c>
      <c r="C135" s="254" t="s">
        <v>304</v>
      </c>
      <c r="D135" s="252">
        <v>14768</v>
      </c>
      <c r="E135" s="252" t="s">
        <v>253</v>
      </c>
      <c r="F135" s="252">
        <v>6035</v>
      </c>
      <c r="G135" s="255">
        <v>30.78</v>
      </c>
      <c r="H135" s="256">
        <v>915</v>
      </c>
      <c r="I135" s="257">
        <f t="shared" si="4"/>
        <v>28163.7</v>
      </c>
      <c r="J135" s="267">
        <f t="shared" si="5"/>
        <v>3316736.4950000001</v>
      </c>
      <c r="K135" s="229" t="s">
        <v>329</v>
      </c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</row>
    <row r="136" spans="1:30" ht="30" customHeight="1">
      <c r="A136" s="266">
        <v>133</v>
      </c>
      <c r="B136" s="253" t="s">
        <v>300</v>
      </c>
      <c r="C136" s="254" t="s">
        <v>304</v>
      </c>
      <c r="D136" s="252">
        <v>22487</v>
      </c>
      <c r="E136" s="252" t="s">
        <v>202</v>
      </c>
      <c r="F136" s="252">
        <v>4513</v>
      </c>
      <c r="G136" s="255">
        <v>28.035</v>
      </c>
      <c r="H136" s="256">
        <v>915</v>
      </c>
      <c r="I136" s="257">
        <f t="shared" si="4"/>
        <v>25652.025000000001</v>
      </c>
      <c r="J136" s="267">
        <f t="shared" si="5"/>
        <v>3342388.52</v>
      </c>
      <c r="K136" s="229" t="s">
        <v>329</v>
      </c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</row>
    <row r="137" spans="1:30" ht="30" customHeight="1">
      <c r="A137" s="266">
        <v>134</v>
      </c>
      <c r="B137" s="253" t="s">
        <v>306</v>
      </c>
      <c r="C137" s="254" t="s">
        <v>307</v>
      </c>
      <c r="D137" s="252">
        <v>14861</v>
      </c>
      <c r="E137" s="252" t="s">
        <v>246</v>
      </c>
      <c r="F137" s="252">
        <v>6110</v>
      </c>
      <c r="G137" s="255">
        <v>33.369999999999997</v>
      </c>
      <c r="H137" s="256">
        <v>930</v>
      </c>
      <c r="I137" s="257">
        <f t="shared" si="4"/>
        <v>31034.1</v>
      </c>
      <c r="J137" s="267">
        <f t="shared" si="5"/>
        <v>3373422.62</v>
      </c>
      <c r="K137" s="229" t="s">
        <v>329</v>
      </c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</row>
    <row r="138" spans="1:30" ht="30" customHeight="1">
      <c r="A138" s="266">
        <v>135</v>
      </c>
      <c r="B138" s="253" t="s">
        <v>306</v>
      </c>
      <c r="C138" s="254" t="s">
        <v>307</v>
      </c>
      <c r="D138" s="252">
        <v>14863</v>
      </c>
      <c r="E138" s="252" t="s">
        <v>194</v>
      </c>
      <c r="F138" s="252">
        <v>6880</v>
      </c>
      <c r="G138" s="255">
        <v>29.07</v>
      </c>
      <c r="H138" s="256">
        <v>930</v>
      </c>
      <c r="I138" s="257">
        <f t="shared" si="4"/>
        <v>27035.1</v>
      </c>
      <c r="J138" s="267">
        <f t="shared" si="5"/>
        <v>3400457.72</v>
      </c>
      <c r="K138" s="229" t="s">
        <v>329</v>
      </c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</row>
    <row r="139" spans="1:30" ht="30" customHeight="1">
      <c r="A139" s="266">
        <v>136</v>
      </c>
      <c r="B139" s="253" t="s">
        <v>306</v>
      </c>
      <c r="C139" s="254" t="s">
        <v>307</v>
      </c>
      <c r="D139" s="252">
        <v>14884</v>
      </c>
      <c r="E139" s="252" t="s">
        <v>308</v>
      </c>
      <c r="F139" s="252">
        <v>2494</v>
      </c>
      <c r="G139" s="255">
        <v>29.18</v>
      </c>
      <c r="H139" s="256">
        <v>930</v>
      </c>
      <c r="I139" s="257">
        <f t="shared" si="4"/>
        <v>27137.4</v>
      </c>
      <c r="J139" s="267">
        <f t="shared" si="5"/>
        <v>3427595.12</v>
      </c>
      <c r="K139" s="229" t="s">
        <v>329</v>
      </c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</row>
    <row r="140" spans="1:30" ht="30" customHeight="1">
      <c r="A140" s="266">
        <v>137</v>
      </c>
      <c r="B140" s="253" t="s">
        <v>306</v>
      </c>
      <c r="C140" s="254" t="s">
        <v>307</v>
      </c>
      <c r="D140" s="252">
        <v>14864</v>
      </c>
      <c r="E140" s="252" t="s">
        <v>232</v>
      </c>
      <c r="F140" s="252">
        <v>4929</v>
      </c>
      <c r="G140" s="255">
        <v>29.87</v>
      </c>
      <c r="H140" s="256">
        <v>930</v>
      </c>
      <c r="I140" s="257">
        <f t="shared" si="4"/>
        <v>27779.100000000002</v>
      </c>
      <c r="J140" s="267">
        <f t="shared" si="5"/>
        <v>3455374.22</v>
      </c>
      <c r="K140" s="229" t="s">
        <v>329</v>
      </c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</row>
    <row r="141" spans="1:30" ht="30" customHeight="1">
      <c r="A141" s="266">
        <v>138</v>
      </c>
      <c r="B141" s="253" t="s">
        <v>306</v>
      </c>
      <c r="C141" s="254" t="s">
        <v>274</v>
      </c>
      <c r="D141" s="252">
        <v>25049</v>
      </c>
      <c r="E141" s="252" t="s">
        <v>309</v>
      </c>
      <c r="F141" s="252">
        <v>2482</v>
      </c>
      <c r="G141" s="255">
        <v>28.91</v>
      </c>
      <c r="H141" s="256">
        <v>935</v>
      </c>
      <c r="I141" s="257">
        <f t="shared" si="4"/>
        <v>27030.85</v>
      </c>
      <c r="J141" s="267">
        <f t="shared" si="5"/>
        <v>3482405.0700000003</v>
      </c>
      <c r="K141" s="229" t="s">
        <v>329</v>
      </c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</row>
    <row r="142" spans="1:30" ht="30" customHeight="1" thickBot="1">
      <c r="A142" s="231"/>
      <c r="B142" s="232"/>
      <c r="C142" s="233"/>
      <c r="D142" s="53"/>
      <c r="E142" s="53"/>
      <c r="F142" s="53"/>
      <c r="G142" s="234"/>
      <c r="H142" s="235"/>
      <c r="I142" s="236"/>
      <c r="J142" s="237"/>
      <c r="K142" s="223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</row>
    <row r="143" spans="1:30">
      <c r="A143" s="52"/>
      <c r="B143" s="58"/>
      <c r="C143" s="238"/>
      <c r="D143" s="238"/>
      <c r="E143" s="52"/>
      <c r="F143" s="54"/>
      <c r="G143" s="55"/>
      <c r="H143" s="54"/>
      <c r="I143" s="56"/>
      <c r="J143" s="57"/>
      <c r="K143" s="223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</row>
    <row r="144" spans="1:30">
      <c r="A144" s="52"/>
      <c r="B144" s="58"/>
      <c r="C144" s="238"/>
      <c r="D144" s="238"/>
      <c r="E144" s="52"/>
      <c r="F144" s="54"/>
      <c r="G144" s="268">
        <f>SUM(G4:G143)</f>
        <v>3786.48</v>
      </c>
      <c r="H144" s="55"/>
      <c r="I144" s="269">
        <f>SUM(I4:I143)</f>
        <v>3482405.0700000003</v>
      </c>
      <c r="J144" s="57"/>
      <c r="K144" s="223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</row>
    <row r="145" spans="1:11" s="224" customFormat="1">
      <c r="A145" s="52"/>
      <c r="B145" s="58"/>
      <c r="C145" s="238"/>
      <c r="D145" s="238"/>
      <c r="E145" s="52"/>
      <c r="F145" s="54"/>
      <c r="G145" s="55"/>
      <c r="H145" s="54"/>
      <c r="I145" s="56"/>
      <c r="J145" s="57"/>
      <c r="K145" s="223"/>
    </row>
    <row r="146" spans="1:11" s="224" customFormat="1">
      <c r="A146" s="52"/>
      <c r="B146" s="58"/>
      <c r="C146" s="238"/>
      <c r="D146" s="238"/>
      <c r="E146" s="52"/>
      <c r="F146" s="54"/>
      <c r="G146" s="55"/>
      <c r="H146" s="54"/>
      <c r="I146" s="56"/>
      <c r="J146" s="57"/>
      <c r="K146" s="223"/>
    </row>
    <row r="147" spans="1:11" s="224" customFormat="1">
      <c r="A147" s="52"/>
      <c r="B147" s="58"/>
      <c r="C147" s="238"/>
      <c r="D147" s="238"/>
      <c r="E147" s="52"/>
      <c r="F147" s="54"/>
      <c r="G147" s="55"/>
      <c r="H147" s="54"/>
      <c r="I147" s="56"/>
      <c r="J147" s="57"/>
      <c r="K147" s="223"/>
    </row>
    <row r="148" spans="1:11" s="224" customFormat="1">
      <c r="A148" s="52"/>
      <c r="B148" s="58"/>
      <c r="C148" s="238"/>
      <c r="D148" s="238"/>
      <c r="E148" s="52"/>
      <c r="F148" s="54"/>
      <c r="G148" s="55"/>
      <c r="H148" s="54"/>
      <c r="I148" s="56"/>
      <c r="J148" s="57"/>
      <c r="K148" s="223"/>
    </row>
    <row r="149" spans="1:11" s="224" customFormat="1">
      <c r="A149" s="52"/>
      <c r="B149" s="58"/>
      <c r="C149" s="238"/>
      <c r="D149" s="238"/>
      <c r="E149" s="52"/>
      <c r="F149" s="54"/>
      <c r="G149" s="55"/>
      <c r="H149" s="54"/>
      <c r="I149" s="56"/>
      <c r="J149" s="57"/>
      <c r="K149" s="223"/>
    </row>
    <row r="150" spans="1:11" s="224" customFormat="1">
      <c r="A150" s="52"/>
      <c r="B150" s="58"/>
      <c r="C150" s="238"/>
      <c r="D150" s="238"/>
      <c r="E150" s="52"/>
      <c r="F150" s="54"/>
      <c r="G150" s="55"/>
      <c r="H150" s="54"/>
      <c r="I150" s="56"/>
      <c r="J150" s="57"/>
      <c r="K150" s="223"/>
    </row>
    <row r="151" spans="1:11" s="224" customFormat="1">
      <c r="A151" s="52"/>
      <c r="B151" s="58"/>
      <c r="C151" s="238"/>
      <c r="D151" s="238"/>
      <c r="E151" s="52"/>
      <c r="F151" s="54"/>
      <c r="G151" s="55"/>
      <c r="H151" s="54"/>
      <c r="I151" s="56"/>
      <c r="J151" s="57"/>
      <c r="K151" s="223"/>
    </row>
    <row r="152" spans="1:11" s="224" customFormat="1">
      <c r="A152" s="52"/>
      <c r="B152" s="58"/>
      <c r="C152" s="238"/>
      <c r="D152" s="238"/>
      <c r="E152" s="52"/>
      <c r="F152" s="54"/>
      <c r="G152" s="55"/>
      <c r="H152" s="54"/>
      <c r="I152" s="56"/>
      <c r="J152" s="57"/>
      <c r="K152" s="223"/>
    </row>
    <row r="153" spans="1:11" s="224" customFormat="1">
      <c r="A153" s="52"/>
      <c r="B153" s="58"/>
      <c r="C153" s="238"/>
      <c r="D153" s="238"/>
      <c r="E153" s="52"/>
      <c r="F153" s="54"/>
      <c r="G153" s="55"/>
      <c r="H153" s="54"/>
      <c r="I153" s="56"/>
      <c r="J153" s="57"/>
      <c r="K153" s="223"/>
    </row>
    <row r="154" spans="1:11" s="224" customFormat="1">
      <c r="A154" s="52"/>
      <c r="B154" s="58"/>
      <c r="C154" s="238"/>
      <c r="D154" s="238"/>
      <c r="E154" s="52"/>
      <c r="F154" s="54"/>
      <c r="G154" s="55"/>
      <c r="H154" s="54"/>
      <c r="I154" s="56"/>
      <c r="J154" s="57"/>
      <c r="K154" s="223"/>
    </row>
    <row r="155" spans="1:11" s="224" customFormat="1">
      <c r="A155" s="52"/>
      <c r="B155" s="58"/>
      <c r="C155" s="238"/>
      <c r="D155" s="238"/>
      <c r="E155" s="52"/>
      <c r="F155" s="54"/>
      <c r="G155" s="55"/>
      <c r="H155" s="54"/>
      <c r="I155" s="56"/>
      <c r="J155" s="57"/>
      <c r="K155" s="223"/>
    </row>
    <row r="156" spans="1:11" s="224" customFormat="1">
      <c r="A156" s="52"/>
      <c r="B156" s="58"/>
      <c r="C156" s="238"/>
      <c r="D156" s="238"/>
      <c r="E156" s="52"/>
      <c r="F156" s="54"/>
      <c r="G156" s="55"/>
      <c r="H156" s="54"/>
      <c r="I156" s="56"/>
      <c r="J156" s="57"/>
      <c r="K156" s="223"/>
    </row>
    <row r="157" spans="1:11" s="224" customFormat="1">
      <c r="A157" s="52"/>
      <c r="B157" s="58"/>
      <c r="C157" s="238"/>
      <c r="D157" s="238"/>
      <c r="E157" s="52"/>
      <c r="F157" s="54"/>
      <c r="G157" s="55"/>
      <c r="H157" s="54"/>
      <c r="I157" s="56"/>
      <c r="J157" s="57"/>
      <c r="K157" s="223"/>
    </row>
    <row r="158" spans="1:11" s="224" customFormat="1">
      <c r="A158" s="52"/>
      <c r="B158" s="58"/>
      <c r="C158" s="238"/>
      <c r="D158" s="238"/>
      <c r="E158" s="52"/>
      <c r="F158" s="54"/>
      <c r="G158" s="55"/>
      <c r="H158" s="54"/>
      <c r="I158" s="56"/>
      <c r="J158" s="57"/>
      <c r="K158" s="223"/>
    </row>
    <row r="159" spans="1:11" s="224" customFormat="1">
      <c r="A159" s="52"/>
      <c r="B159" s="58"/>
      <c r="C159" s="238"/>
      <c r="D159" s="238"/>
      <c r="E159" s="52"/>
      <c r="F159" s="54"/>
      <c r="G159" s="55"/>
      <c r="H159" s="54"/>
      <c r="I159" s="56"/>
      <c r="J159" s="57"/>
      <c r="K159" s="223"/>
    </row>
    <row r="160" spans="1:11" s="224" customFormat="1">
      <c r="A160" s="52"/>
      <c r="B160" s="58"/>
      <c r="C160" s="238"/>
      <c r="D160" s="238"/>
      <c r="E160" s="52"/>
      <c r="F160" s="54"/>
      <c r="G160" s="55"/>
      <c r="H160" s="54"/>
      <c r="I160" s="56"/>
      <c r="J160" s="57"/>
      <c r="K160" s="223"/>
    </row>
    <row r="161" spans="1:11" s="224" customFormat="1">
      <c r="A161" s="52"/>
      <c r="B161" s="58"/>
      <c r="C161" s="238"/>
      <c r="D161" s="238"/>
      <c r="E161" s="52"/>
      <c r="F161" s="54"/>
      <c r="G161" s="55"/>
      <c r="H161" s="54"/>
      <c r="I161" s="56"/>
      <c r="J161" s="57"/>
      <c r="K161" s="223"/>
    </row>
    <row r="162" spans="1:11" s="224" customFormat="1">
      <c r="A162" s="52"/>
      <c r="B162" s="58"/>
      <c r="C162" s="238"/>
      <c r="D162" s="238"/>
      <c r="E162" s="52"/>
      <c r="F162" s="54"/>
      <c r="G162" s="55"/>
      <c r="H162" s="54"/>
      <c r="I162" s="56"/>
      <c r="J162" s="57"/>
      <c r="K162" s="223"/>
    </row>
    <row r="163" spans="1:11" s="224" customFormat="1">
      <c r="A163" s="52"/>
      <c r="B163" s="58"/>
      <c r="C163" s="238"/>
      <c r="D163" s="238"/>
      <c r="E163" s="52"/>
      <c r="F163" s="54"/>
      <c r="G163" s="55"/>
      <c r="H163" s="54"/>
      <c r="I163" s="56"/>
      <c r="J163" s="57"/>
      <c r="K163" s="223"/>
    </row>
    <row r="164" spans="1:11" s="224" customFormat="1">
      <c r="A164" s="52"/>
      <c r="B164" s="58"/>
      <c r="C164" s="238"/>
      <c r="D164" s="238"/>
      <c r="E164" s="52"/>
      <c r="F164" s="54"/>
      <c r="G164" s="55"/>
      <c r="H164" s="54"/>
      <c r="I164" s="56"/>
      <c r="J164" s="57"/>
      <c r="K164" s="223"/>
    </row>
    <row r="165" spans="1:11" s="224" customFormat="1">
      <c r="A165" s="52"/>
      <c r="B165" s="58"/>
      <c r="C165" s="238"/>
      <c r="D165" s="238"/>
      <c r="E165" s="52"/>
      <c r="F165" s="54"/>
      <c r="G165" s="55"/>
      <c r="H165" s="54"/>
      <c r="I165" s="56"/>
      <c r="J165" s="57"/>
      <c r="K165" s="223"/>
    </row>
    <row r="166" spans="1:11" s="224" customFormat="1">
      <c r="A166" s="52"/>
      <c r="B166" s="58"/>
      <c r="C166" s="238"/>
      <c r="D166" s="238"/>
      <c r="E166" s="52"/>
      <c r="F166" s="54"/>
      <c r="G166" s="55"/>
      <c r="H166" s="54"/>
      <c r="I166" s="56"/>
      <c r="J166" s="57"/>
      <c r="K166" s="223"/>
    </row>
    <row r="167" spans="1:11" s="224" customFormat="1">
      <c r="A167" s="52"/>
      <c r="B167" s="58"/>
      <c r="C167" s="238"/>
      <c r="D167" s="238"/>
      <c r="E167" s="52"/>
      <c r="F167" s="54"/>
      <c r="G167" s="55"/>
      <c r="H167" s="54"/>
      <c r="I167" s="56"/>
      <c r="J167" s="57"/>
      <c r="K167" s="223"/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rightToLeft="1" workbookViewId="0">
      <selection activeCell="I6" sqref="I6"/>
    </sheetView>
  </sheetViews>
  <sheetFormatPr defaultRowHeight="14.4"/>
  <cols>
    <col min="1" max="1" width="5.44140625" style="239" customWidth="1"/>
    <col min="2" max="2" width="9.5546875" style="16" customWidth="1"/>
    <col min="3" max="3" width="31.77734375" style="240" customWidth="1"/>
    <col min="4" max="4" width="12" style="240" bestFit="1" customWidth="1"/>
    <col min="5" max="5" width="8.5546875" style="239" customWidth="1"/>
    <col min="6" max="6" width="21" style="241" bestFit="1" customWidth="1"/>
    <col min="7" max="7" width="12" style="242" customWidth="1"/>
    <col min="8" max="8" width="11.109375" style="241" customWidth="1"/>
    <col min="9" max="9" width="15.109375" style="243" bestFit="1" customWidth="1"/>
    <col min="10" max="10" width="15.44140625" style="244" customWidth="1"/>
    <col min="11" max="11" width="16.6640625" style="228" customWidth="1"/>
    <col min="12" max="12" width="10.44140625" style="230" customWidth="1"/>
    <col min="13" max="254" width="8.88671875" style="230"/>
    <col min="255" max="255" width="5.5546875" style="230" bestFit="1" customWidth="1"/>
    <col min="256" max="256" width="9.33203125" style="230" customWidth="1"/>
    <col min="257" max="257" width="24.6640625" style="230" customWidth="1"/>
    <col min="258" max="258" width="11" style="230" bestFit="1" customWidth="1"/>
    <col min="259" max="259" width="7.5546875" style="230" bestFit="1" customWidth="1"/>
    <col min="260" max="260" width="13.5546875" style="230" customWidth="1"/>
    <col min="261" max="261" width="11.33203125" style="230" bestFit="1" customWidth="1"/>
    <col min="262" max="262" width="12" style="230" customWidth="1"/>
    <col min="263" max="263" width="15.44140625" style="230" bestFit="1" customWidth="1"/>
    <col min="264" max="265" width="15.109375" style="230" bestFit="1" customWidth="1"/>
    <col min="266" max="266" width="14.33203125" style="230" bestFit="1" customWidth="1"/>
    <col min="267" max="267" width="3.109375" style="230" customWidth="1"/>
    <col min="268" max="268" width="6.44140625" style="230" customWidth="1"/>
    <col min="269" max="510" width="8.88671875" style="230"/>
    <col min="511" max="511" width="5.5546875" style="230" bestFit="1" customWidth="1"/>
    <col min="512" max="512" width="9.33203125" style="230" customWidth="1"/>
    <col min="513" max="513" width="24.6640625" style="230" customWidth="1"/>
    <col min="514" max="514" width="11" style="230" bestFit="1" customWidth="1"/>
    <col min="515" max="515" width="7.5546875" style="230" bestFit="1" customWidth="1"/>
    <col min="516" max="516" width="13.5546875" style="230" customWidth="1"/>
    <col min="517" max="517" width="11.33203125" style="230" bestFit="1" customWidth="1"/>
    <col min="518" max="518" width="12" style="230" customWidth="1"/>
    <col min="519" max="519" width="15.44140625" style="230" bestFit="1" customWidth="1"/>
    <col min="520" max="521" width="15.109375" style="230" bestFit="1" customWidth="1"/>
    <col min="522" max="522" width="14.33203125" style="230" bestFit="1" customWidth="1"/>
    <col min="523" max="523" width="3.109375" style="230" customWidth="1"/>
    <col min="524" max="524" width="6.44140625" style="230" customWidth="1"/>
    <col min="525" max="766" width="8.88671875" style="230"/>
    <col min="767" max="767" width="5.5546875" style="230" bestFit="1" customWidth="1"/>
    <col min="768" max="768" width="9.33203125" style="230" customWidth="1"/>
    <col min="769" max="769" width="24.6640625" style="230" customWidth="1"/>
    <col min="770" max="770" width="11" style="230" bestFit="1" customWidth="1"/>
    <col min="771" max="771" width="7.5546875" style="230" bestFit="1" customWidth="1"/>
    <col min="772" max="772" width="13.5546875" style="230" customWidth="1"/>
    <col min="773" max="773" width="11.33203125" style="230" bestFit="1" customWidth="1"/>
    <col min="774" max="774" width="12" style="230" customWidth="1"/>
    <col min="775" max="775" width="15.44140625" style="230" bestFit="1" customWidth="1"/>
    <col min="776" max="777" width="15.109375" style="230" bestFit="1" customWidth="1"/>
    <col min="778" max="778" width="14.33203125" style="230" bestFit="1" customWidth="1"/>
    <col min="779" max="779" width="3.109375" style="230" customWidth="1"/>
    <col min="780" max="780" width="6.44140625" style="230" customWidth="1"/>
    <col min="781" max="1022" width="8.88671875" style="230"/>
    <col min="1023" max="1023" width="5.5546875" style="230" bestFit="1" customWidth="1"/>
    <col min="1024" max="1024" width="9.33203125" style="230" customWidth="1"/>
    <col min="1025" max="1025" width="24.6640625" style="230" customWidth="1"/>
    <col min="1026" max="1026" width="11" style="230" bestFit="1" customWidth="1"/>
    <col min="1027" max="1027" width="7.5546875" style="230" bestFit="1" customWidth="1"/>
    <col min="1028" max="1028" width="13.5546875" style="230" customWidth="1"/>
    <col min="1029" max="1029" width="11.33203125" style="230" bestFit="1" customWidth="1"/>
    <col min="1030" max="1030" width="12" style="230" customWidth="1"/>
    <col min="1031" max="1031" width="15.44140625" style="230" bestFit="1" customWidth="1"/>
    <col min="1032" max="1033" width="15.109375" style="230" bestFit="1" customWidth="1"/>
    <col min="1034" max="1034" width="14.33203125" style="230" bestFit="1" customWidth="1"/>
    <col min="1035" max="1035" width="3.109375" style="230" customWidth="1"/>
    <col min="1036" max="1036" width="6.44140625" style="230" customWidth="1"/>
    <col min="1037" max="1278" width="8.88671875" style="230"/>
    <col min="1279" max="1279" width="5.5546875" style="230" bestFit="1" customWidth="1"/>
    <col min="1280" max="1280" width="9.33203125" style="230" customWidth="1"/>
    <col min="1281" max="1281" width="24.6640625" style="230" customWidth="1"/>
    <col min="1282" max="1282" width="11" style="230" bestFit="1" customWidth="1"/>
    <col min="1283" max="1283" width="7.5546875" style="230" bestFit="1" customWidth="1"/>
    <col min="1284" max="1284" width="13.5546875" style="230" customWidth="1"/>
    <col min="1285" max="1285" width="11.33203125" style="230" bestFit="1" customWidth="1"/>
    <col min="1286" max="1286" width="12" style="230" customWidth="1"/>
    <col min="1287" max="1287" width="15.44140625" style="230" bestFit="1" customWidth="1"/>
    <col min="1288" max="1289" width="15.109375" style="230" bestFit="1" customWidth="1"/>
    <col min="1290" max="1290" width="14.33203125" style="230" bestFit="1" customWidth="1"/>
    <col min="1291" max="1291" width="3.109375" style="230" customWidth="1"/>
    <col min="1292" max="1292" width="6.44140625" style="230" customWidth="1"/>
    <col min="1293" max="1534" width="8.88671875" style="230"/>
    <col min="1535" max="1535" width="5.5546875" style="230" bestFit="1" customWidth="1"/>
    <col min="1536" max="1536" width="9.33203125" style="230" customWidth="1"/>
    <col min="1537" max="1537" width="24.6640625" style="230" customWidth="1"/>
    <col min="1538" max="1538" width="11" style="230" bestFit="1" customWidth="1"/>
    <col min="1539" max="1539" width="7.5546875" style="230" bestFit="1" customWidth="1"/>
    <col min="1540" max="1540" width="13.5546875" style="230" customWidth="1"/>
    <col min="1541" max="1541" width="11.33203125" style="230" bestFit="1" customWidth="1"/>
    <col min="1542" max="1542" width="12" style="230" customWidth="1"/>
    <col min="1543" max="1543" width="15.44140625" style="230" bestFit="1" customWidth="1"/>
    <col min="1544" max="1545" width="15.109375" style="230" bestFit="1" customWidth="1"/>
    <col min="1546" max="1546" width="14.33203125" style="230" bestFit="1" customWidth="1"/>
    <col min="1547" max="1547" width="3.109375" style="230" customWidth="1"/>
    <col min="1548" max="1548" width="6.44140625" style="230" customWidth="1"/>
    <col min="1549" max="1790" width="8.88671875" style="230"/>
    <col min="1791" max="1791" width="5.5546875" style="230" bestFit="1" customWidth="1"/>
    <col min="1792" max="1792" width="9.33203125" style="230" customWidth="1"/>
    <col min="1793" max="1793" width="24.6640625" style="230" customWidth="1"/>
    <col min="1794" max="1794" width="11" style="230" bestFit="1" customWidth="1"/>
    <col min="1795" max="1795" width="7.5546875" style="230" bestFit="1" customWidth="1"/>
    <col min="1796" max="1796" width="13.5546875" style="230" customWidth="1"/>
    <col min="1797" max="1797" width="11.33203125" style="230" bestFit="1" customWidth="1"/>
    <col min="1798" max="1798" width="12" style="230" customWidth="1"/>
    <col min="1799" max="1799" width="15.44140625" style="230" bestFit="1" customWidth="1"/>
    <col min="1800" max="1801" width="15.109375" style="230" bestFit="1" customWidth="1"/>
    <col min="1802" max="1802" width="14.33203125" style="230" bestFit="1" customWidth="1"/>
    <col min="1803" max="1803" width="3.109375" style="230" customWidth="1"/>
    <col min="1804" max="1804" width="6.44140625" style="230" customWidth="1"/>
    <col min="1805" max="2046" width="8.88671875" style="230"/>
    <col min="2047" max="2047" width="5.5546875" style="230" bestFit="1" customWidth="1"/>
    <col min="2048" max="2048" width="9.33203125" style="230" customWidth="1"/>
    <col min="2049" max="2049" width="24.6640625" style="230" customWidth="1"/>
    <col min="2050" max="2050" width="11" style="230" bestFit="1" customWidth="1"/>
    <col min="2051" max="2051" width="7.5546875" style="230" bestFit="1" customWidth="1"/>
    <col min="2052" max="2052" width="13.5546875" style="230" customWidth="1"/>
    <col min="2053" max="2053" width="11.33203125" style="230" bestFit="1" customWidth="1"/>
    <col min="2054" max="2054" width="12" style="230" customWidth="1"/>
    <col min="2055" max="2055" width="15.44140625" style="230" bestFit="1" customWidth="1"/>
    <col min="2056" max="2057" width="15.109375" style="230" bestFit="1" customWidth="1"/>
    <col min="2058" max="2058" width="14.33203125" style="230" bestFit="1" customWidth="1"/>
    <col min="2059" max="2059" width="3.109375" style="230" customWidth="1"/>
    <col min="2060" max="2060" width="6.44140625" style="230" customWidth="1"/>
    <col min="2061" max="2302" width="8.88671875" style="230"/>
    <col min="2303" max="2303" width="5.5546875" style="230" bestFit="1" customWidth="1"/>
    <col min="2304" max="2304" width="9.33203125" style="230" customWidth="1"/>
    <col min="2305" max="2305" width="24.6640625" style="230" customWidth="1"/>
    <col min="2306" max="2306" width="11" style="230" bestFit="1" customWidth="1"/>
    <col min="2307" max="2307" width="7.5546875" style="230" bestFit="1" customWidth="1"/>
    <col min="2308" max="2308" width="13.5546875" style="230" customWidth="1"/>
    <col min="2309" max="2309" width="11.33203125" style="230" bestFit="1" customWidth="1"/>
    <col min="2310" max="2310" width="12" style="230" customWidth="1"/>
    <col min="2311" max="2311" width="15.44140625" style="230" bestFit="1" customWidth="1"/>
    <col min="2312" max="2313" width="15.109375" style="230" bestFit="1" customWidth="1"/>
    <col min="2314" max="2314" width="14.33203125" style="230" bestFit="1" customWidth="1"/>
    <col min="2315" max="2315" width="3.109375" style="230" customWidth="1"/>
    <col min="2316" max="2316" width="6.44140625" style="230" customWidth="1"/>
    <col min="2317" max="2558" width="8.88671875" style="230"/>
    <col min="2559" max="2559" width="5.5546875" style="230" bestFit="1" customWidth="1"/>
    <col min="2560" max="2560" width="9.33203125" style="230" customWidth="1"/>
    <col min="2561" max="2561" width="24.6640625" style="230" customWidth="1"/>
    <col min="2562" max="2562" width="11" style="230" bestFit="1" customWidth="1"/>
    <col min="2563" max="2563" width="7.5546875" style="230" bestFit="1" customWidth="1"/>
    <col min="2564" max="2564" width="13.5546875" style="230" customWidth="1"/>
    <col min="2565" max="2565" width="11.33203125" style="230" bestFit="1" customWidth="1"/>
    <col min="2566" max="2566" width="12" style="230" customWidth="1"/>
    <col min="2567" max="2567" width="15.44140625" style="230" bestFit="1" customWidth="1"/>
    <col min="2568" max="2569" width="15.109375" style="230" bestFit="1" customWidth="1"/>
    <col min="2570" max="2570" width="14.33203125" style="230" bestFit="1" customWidth="1"/>
    <col min="2571" max="2571" width="3.109375" style="230" customWidth="1"/>
    <col min="2572" max="2572" width="6.44140625" style="230" customWidth="1"/>
    <col min="2573" max="2814" width="8.88671875" style="230"/>
    <col min="2815" max="2815" width="5.5546875" style="230" bestFit="1" customWidth="1"/>
    <col min="2816" max="2816" width="9.33203125" style="230" customWidth="1"/>
    <col min="2817" max="2817" width="24.6640625" style="230" customWidth="1"/>
    <col min="2818" max="2818" width="11" style="230" bestFit="1" customWidth="1"/>
    <col min="2819" max="2819" width="7.5546875" style="230" bestFit="1" customWidth="1"/>
    <col min="2820" max="2820" width="13.5546875" style="230" customWidth="1"/>
    <col min="2821" max="2821" width="11.33203125" style="230" bestFit="1" customWidth="1"/>
    <col min="2822" max="2822" width="12" style="230" customWidth="1"/>
    <col min="2823" max="2823" width="15.44140625" style="230" bestFit="1" customWidth="1"/>
    <col min="2824" max="2825" width="15.109375" style="230" bestFit="1" customWidth="1"/>
    <col min="2826" max="2826" width="14.33203125" style="230" bestFit="1" customWidth="1"/>
    <col min="2827" max="2827" width="3.109375" style="230" customWidth="1"/>
    <col min="2828" max="2828" width="6.44140625" style="230" customWidth="1"/>
    <col min="2829" max="3070" width="8.88671875" style="230"/>
    <col min="3071" max="3071" width="5.5546875" style="230" bestFit="1" customWidth="1"/>
    <col min="3072" max="3072" width="9.33203125" style="230" customWidth="1"/>
    <col min="3073" max="3073" width="24.6640625" style="230" customWidth="1"/>
    <col min="3074" max="3074" width="11" style="230" bestFit="1" customWidth="1"/>
    <col min="3075" max="3075" width="7.5546875" style="230" bestFit="1" customWidth="1"/>
    <col min="3076" max="3076" width="13.5546875" style="230" customWidth="1"/>
    <col min="3077" max="3077" width="11.33203125" style="230" bestFit="1" customWidth="1"/>
    <col min="3078" max="3078" width="12" style="230" customWidth="1"/>
    <col min="3079" max="3079" width="15.44140625" style="230" bestFit="1" customWidth="1"/>
    <col min="3080" max="3081" width="15.109375" style="230" bestFit="1" customWidth="1"/>
    <col min="3082" max="3082" width="14.33203125" style="230" bestFit="1" customWidth="1"/>
    <col min="3083" max="3083" width="3.109375" style="230" customWidth="1"/>
    <col min="3084" max="3084" width="6.44140625" style="230" customWidth="1"/>
    <col min="3085" max="3326" width="8.88671875" style="230"/>
    <col min="3327" max="3327" width="5.5546875" style="230" bestFit="1" customWidth="1"/>
    <col min="3328" max="3328" width="9.33203125" style="230" customWidth="1"/>
    <col min="3329" max="3329" width="24.6640625" style="230" customWidth="1"/>
    <col min="3330" max="3330" width="11" style="230" bestFit="1" customWidth="1"/>
    <col min="3331" max="3331" width="7.5546875" style="230" bestFit="1" customWidth="1"/>
    <col min="3332" max="3332" width="13.5546875" style="230" customWidth="1"/>
    <col min="3333" max="3333" width="11.33203125" style="230" bestFit="1" customWidth="1"/>
    <col min="3334" max="3334" width="12" style="230" customWidth="1"/>
    <col min="3335" max="3335" width="15.44140625" style="230" bestFit="1" customWidth="1"/>
    <col min="3336" max="3337" width="15.109375" style="230" bestFit="1" customWidth="1"/>
    <col min="3338" max="3338" width="14.33203125" style="230" bestFit="1" customWidth="1"/>
    <col min="3339" max="3339" width="3.109375" style="230" customWidth="1"/>
    <col min="3340" max="3340" width="6.44140625" style="230" customWidth="1"/>
    <col min="3341" max="3582" width="8.88671875" style="230"/>
    <col min="3583" max="3583" width="5.5546875" style="230" bestFit="1" customWidth="1"/>
    <col min="3584" max="3584" width="9.33203125" style="230" customWidth="1"/>
    <col min="3585" max="3585" width="24.6640625" style="230" customWidth="1"/>
    <col min="3586" max="3586" width="11" style="230" bestFit="1" customWidth="1"/>
    <col min="3587" max="3587" width="7.5546875" style="230" bestFit="1" customWidth="1"/>
    <col min="3588" max="3588" width="13.5546875" style="230" customWidth="1"/>
    <col min="3589" max="3589" width="11.33203125" style="230" bestFit="1" customWidth="1"/>
    <col min="3590" max="3590" width="12" style="230" customWidth="1"/>
    <col min="3591" max="3591" width="15.44140625" style="230" bestFit="1" customWidth="1"/>
    <col min="3592" max="3593" width="15.109375" style="230" bestFit="1" customWidth="1"/>
    <col min="3594" max="3594" width="14.33203125" style="230" bestFit="1" customWidth="1"/>
    <col min="3595" max="3595" width="3.109375" style="230" customWidth="1"/>
    <col min="3596" max="3596" width="6.44140625" style="230" customWidth="1"/>
    <col min="3597" max="3838" width="8.88671875" style="230"/>
    <col min="3839" max="3839" width="5.5546875" style="230" bestFit="1" customWidth="1"/>
    <col min="3840" max="3840" width="9.33203125" style="230" customWidth="1"/>
    <col min="3841" max="3841" width="24.6640625" style="230" customWidth="1"/>
    <col min="3842" max="3842" width="11" style="230" bestFit="1" customWidth="1"/>
    <col min="3843" max="3843" width="7.5546875" style="230" bestFit="1" customWidth="1"/>
    <col min="3844" max="3844" width="13.5546875" style="230" customWidth="1"/>
    <col min="3845" max="3845" width="11.33203125" style="230" bestFit="1" customWidth="1"/>
    <col min="3846" max="3846" width="12" style="230" customWidth="1"/>
    <col min="3847" max="3847" width="15.44140625" style="230" bestFit="1" customWidth="1"/>
    <col min="3848" max="3849" width="15.109375" style="230" bestFit="1" customWidth="1"/>
    <col min="3850" max="3850" width="14.33203125" style="230" bestFit="1" customWidth="1"/>
    <col min="3851" max="3851" width="3.109375" style="230" customWidth="1"/>
    <col min="3852" max="3852" width="6.44140625" style="230" customWidth="1"/>
    <col min="3853" max="4094" width="8.88671875" style="230"/>
    <col min="4095" max="4095" width="5.5546875" style="230" bestFit="1" customWidth="1"/>
    <col min="4096" max="4096" width="9.33203125" style="230" customWidth="1"/>
    <col min="4097" max="4097" width="24.6640625" style="230" customWidth="1"/>
    <col min="4098" max="4098" width="11" style="230" bestFit="1" customWidth="1"/>
    <col min="4099" max="4099" width="7.5546875" style="230" bestFit="1" customWidth="1"/>
    <col min="4100" max="4100" width="13.5546875" style="230" customWidth="1"/>
    <col min="4101" max="4101" width="11.33203125" style="230" bestFit="1" customWidth="1"/>
    <col min="4102" max="4102" width="12" style="230" customWidth="1"/>
    <col min="4103" max="4103" width="15.44140625" style="230" bestFit="1" customWidth="1"/>
    <col min="4104" max="4105" width="15.109375" style="230" bestFit="1" customWidth="1"/>
    <col min="4106" max="4106" width="14.33203125" style="230" bestFit="1" customWidth="1"/>
    <col min="4107" max="4107" width="3.109375" style="230" customWidth="1"/>
    <col min="4108" max="4108" width="6.44140625" style="230" customWidth="1"/>
    <col min="4109" max="4350" width="8.88671875" style="230"/>
    <col min="4351" max="4351" width="5.5546875" style="230" bestFit="1" customWidth="1"/>
    <col min="4352" max="4352" width="9.33203125" style="230" customWidth="1"/>
    <col min="4353" max="4353" width="24.6640625" style="230" customWidth="1"/>
    <col min="4354" max="4354" width="11" style="230" bestFit="1" customWidth="1"/>
    <col min="4355" max="4355" width="7.5546875" style="230" bestFit="1" customWidth="1"/>
    <col min="4356" max="4356" width="13.5546875" style="230" customWidth="1"/>
    <col min="4357" max="4357" width="11.33203125" style="230" bestFit="1" customWidth="1"/>
    <col min="4358" max="4358" width="12" style="230" customWidth="1"/>
    <col min="4359" max="4359" width="15.44140625" style="230" bestFit="1" customWidth="1"/>
    <col min="4360" max="4361" width="15.109375" style="230" bestFit="1" customWidth="1"/>
    <col min="4362" max="4362" width="14.33203125" style="230" bestFit="1" customWidth="1"/>
    <col min="4363" max="4363" width="3.109375" style="230" customWidth="1"/>
    <col min="4364" max="4364" width="6.44140625" style="230" customWidth="1"/>
    <col min="4365" max="4606" width="8.88671875" style="230"/>
    <col min="4607" max="4607" width="5.5546875" style="230" bestFit="1" customWidth="1"/>
    <col min="4608" max="4608" width="9.33203125" style="230" customWidth="1"/>
    <col min="4609" max="4609" width="24.6640625" style="230" customWidth="1"/>
    <col min="4610" max="4610" width="11" style="230" bestFit="1" customWidth="1"/>
    <col min="4611" max="4611" width="7.5546875" style="230" bestFit="1" customWidth="1"/>
    <col min="4612" max="4612" width="13.5546875" style="230" customWidth="1"/>
    <col min="4613" max="4613" width="11.33203125" style="230" bestFit="1" customWidth="1"/>
    <col min="4614" max="4614" width="12" style="230" customWidth="1"/>
    <col min="4615" max="4615" width="15.44140625" style="230" bestFit="1" customWidth="1"/>
    <col min="4616" max="4617" width="15.109375" style="230" bestFit="1" customWidth="1"/>
    <col min="4618" max="4618" width="14.33203125" style="230" bestFit="1" customWidth="1"/>
    <col min="4619" max="4619" width="3.109375" style="230" customWidth="1"/>
    <col min="4620" max="4620" width="6.44140625" style="230" customWidth="1"/>
    <col min="4621" max="4862" width="8.88671875" style="230"/>
    <col min="4863" max="4863" width="5.5546875" style="230" bestFit="1" customWidth="1"/>
    <col min="4864" max="4864" width="9.33203125" style="230" customWidth="1"/>
    <col min="4865" max="4865" width="24.6640625" style="230" customWidth="1"/>
    <col min="4866" max="4866" width="11" style="230" bestFit="1" customWidth="1"/>
    <col min="4867" max="4867" width="7.5546875" style="230" bestFit="1" customWidth="1"/>
    <col min="4868" max="4868" width="13.5546875" style="230" customWidth="1"/>
    <col min="4869" max="4869" width="11.33203125" style="230" bestFit="1" customWidth="1"/>
    <col min="4870" max="4870" width="12" style="230" customWidth="1"/>
    <col min="4871" max="4871" width="15.44140625" style="230" bestFit="1" customWidth="1"/>
    <col min="4872" max="4873" width="15.109375" style="230" bestFit="1" customWidth="1"/>
    <col min="4874" max="4874" width="14.33203125" style="230" bestFit="1" customWidth="1"/>
    <col min="4875" max="4875" width="3.109375" style="230" customWidth="1"/>
    <col min="4876" max="4876" width="6.44140625" style="230" customWidth="1"/>
    <col min="4877" max="5118" width="8.88671875" style="230"/>
    <col min="5119" max="5119" width="5.5546875" style="230" bestFit="1" customWidth="1"/>
    <col min="5120" max="5120" width="9.33203125" style="230" customWidth="1"/>
    <col min="5121" max="5121" width="24.6640625" style="230" customWidth="1"/>
    <col min="5122" max="5122" width="11" style="230" bestFit="1" customWidth="1"/>
    <col min="5123" max="5123" width="7.5546875" style="230" bestFit="1" customWidth="1"/>
    <col min="5124" max="5124" width="13.5546875" style="230" customWidth="1"/>
    <col min="5125" max="5125" width="11.33203125" style="230" bestFit="1" customWidth="1"/>
    <col min="5126" max="5126" width="12" style="230" customWidth="1"/>
    <col min="5127" max="5127" width="15.44140625" style="230" bestFit="1" customWidth="1"/>
    <col min="5128" max="5129" width="15.109375" style="230" bestFit="1" customWidth="1"/>
    <col min="5130" max="5130" width="14.33203125" style="230" bestFit="1" customWidth="1"/>
    <col min="5131" max="5131" width="3.109375" style="230" customWidth="1"/>
    <col min="5132" max="5132" width="6.44140625" style="230" customWidth="1"/>
    <col min="5133" max="5374" width="8.88671875" style="230"/>
    <col min="5375" max="5375" width="5.5546875" style="230" bestFit="1" customWidth="1"/>
    <col min="5376" max="5376" width="9.33203125" style="230" customWidth="1"/>
    <col min="5377" max="5377" width="24.6640625" style="230" customWidth="1"/>
    <col min="5378" max="5378" width="11" style="230" bestFit="1" customWidth="1"/>
    <col min="5379" max="5379" width="7.5546875" style="230" bestFit="1" customWidth="1"/>
    <col min="5380" max="5380" width="13.5546875" style="230" customWidth="1"/>
    <col min="5381" max="5381" width="11.33203125" style="230" bestFit="1" customWidth="1"/>
    <col min="5382" max="5382" width="12" style="230" customWidth="1"/>
    <col min="5383" max="5383" width="15.44140625" style="230" bestFit="1" customWidth="1"/>
    <col min="5384" max="5385" width="15.109375" style="230" bestFit="1" customWidth="1"/>
    <col min="5386" max="5386" width="14.33203125" style="230" bestFit="1" customWidth="1"/>
    <col min="5387" max="5387" width="3.109375" style="230" customWidth="1"/>
    <col min="5388" max="5388" width="6.44140625" style="230" customWidth="1"/>
    <col min="5389" max="5630" width="8.88671875" style="230"/>
    <col min="5631" max="5631" width="5.5546875" style="230" bestFit="1" customWidth="1"/>
    <col min="5632" max="5632" width="9.33203125" style="230" customWidth="1"/>
    <col min="5633" max="5633" width="24.6640625" style="230" customWidth="1"/>
    <col min="5634" max="5634" width="11" style="230" bestFit="1" customWidth="1"/>
    <col min="5635" max="5635" width="7.5546875" style="230" bestFit="1" customWidth="1"/>
    <col min="5636" max="5636" width="13.5546875" style="230" customWidth="1"/>
    <col min="5637" max="5637" width="11.33203125" style="230" bestFit="1" customWidth="1"/>
    <col min="5638" max="5638" width="12" style="230" customWidth="1"/>
    <col min="5639" max="5639" width="15.44140625" style="230" bestFit="1" customWidth="1"/>
    <col min="5640" max="5641" width="15.109375" style="230" bestFit="1" customWidth="1"/>
    <col min="5642" max="5642" width="14.33203125" style="230" bestFit="1" customWidth="1"/>
    <col min="5643" max="5643" width="3.109375" style="230" customWidth="1"/>
    <col min="5644" max="5644" width="6.44140625" style="230" customWidth="1"/>
    <col min="5645" max="5886" width="8.88671875" style="230"/>
    <col min="5887" max="5887" width="5.5546875" style="230" bestFit="1" customWidth="1"/>
    <col min="5888" max="5888" width="9.33203125" style="230" customWidth="1"/>
    <col min="5889" max="5889" width="24.6640625" style="230" customWidth="1"/>
    <col min="5890" max="5890" width="11" style="230" bestFit="1" customWidth="1"/>
    <col min="5891" max="5891" width="7.5546875" style="230" bestFit="1" customWidth="1"/>
    <col min="5892" max="5892" width="13.5546875" style="230" customWidth="1"/>
    <col min="5893" max="5893" width="11.33203125" style="230" bestFit="1" customWidth="1"/>
    <col min="5894" max="5894" width="12" style="230" customWidth="1"/>
    <col min="5895" max="5895" width="15.44140625" style="230" bestFit="1" customWidth="1"/>
    <col min="5896" max="5897" width="15.109375" style="230" bestFit="1" customWidth="1"/>
    <col min="5898" max="5898" width="14.33203125" style="230" bestFit="1" customWidth="1"/>
    <col min="5899" max="5899" width="3.109375" style="230" customWidth="1"/>
    <col min="5900" max="5900" width="6.44140625" style="230" customWidth="1"/>
    <col min="5901" max="6142" width="8.88671875" style="230"/>
    <col min="6143" max="6143" width="5.5546875" style="230" bestFit="1" customWidth="1"/>
    <col min="6144" max="6144" width="9.33203125" style="230" customWidth="1"/>
    <col min="6145" max="6145" width="24.6640625" style="230" customWidth="1"/>
    <col min="6146" max="6146" width="11" style="230" bestFit="1" customWidth="1"/>
    <col min="6147" max="6147" width="7.5546875" style="230" bestFit="1" customWidth="1"/>
    <col min="6148" max="6148" width="13.5546875" style="230" customWidth="1"/>
    <col min="6149" max="6149" width="11.33203125" style="230" bestFit="1" customWidth="1"/>
    <col min="6150" max="6150" width="12" style="230" customWidth="1"/>
    <col min="6151" max="6151" width="15.44140625" style="230" bestFit="1" customWidth="1"/>
    <col min="6152" max="6153" width="15.109375" style="230" bestFit="1" customWidth="1"/>
    <col min="6154" max="6154" width="14.33203125" style="230" bestFit="1" customWidth="1"/>
    <col min="6155" max="6155" width="3.109375" style="230" customWidth="1"/>
    <col min="6156" max="6156" width="6.44140625" style="230" customWidth="1"/>
    <col min="6157" max="6398" width="8.88671875" style="230"/>
    <col min="6399" max="6399" width="5.5546875" style="230" bestFit="1" customWidth="1"/>
    <col min="6400" max="6400" width="9.33203125" style="230" customWidth="1"/>
    <col min="6401" max="6401" width="24.6640625" style="230" customWidth="1"/>
    <col min="6402" max="6402" width="11" style="230" bestFit="1" customWidth="1"/>
    <col min="6403" max="6403" width="7.5546875" style="230" bestFit="1" customWidth="1"/>
    <col min="6404" max="6404" width="13.5546875" style="230" customWidth="1"/>
    <col min="6405" max="6405" width="11.33203125" style="230" bestFit="1" customWidth="1"/>
    <col min="6406" max="6406" width="12" style="230" customWidth="1"/>
    <col min="6407" max="6407" width="15.44140625" style="230" bestFit="1" customWidth="1"/>
    <col min="6408" max="6409" width="15.109375" style="230" bestFit="1" customWidth="1"/>
    <col min="6410" max="6410" width="14.33203125" style="230" bestFit="1" customWidth="1"/>
    <col min="6411" max="6411" width="3.109375" style="230" customWidth="1"/>
    <col min="6412" max="6412" width="6.44140625" style="230" customWidth="1"/>
    <col min="6413" max="6654" width="8.88671875" style="230"/>
    <col min="6655" max="6655" width="5.5546875" style="230" bestFit="1" customWidth="1"/>
    <col min="6656" max="6656" width="9.33203125" style="230" customWidth="1"/>
    <col min="6657" max="6657" width="24.6640625" style="230" customWidth="1"/>
    <col min="6658" max="6658" width="11" style="230" bestFit="1" customWidth="1"/>
    <col min="6659" max="6659" width="7.5546875" style="230" bestFit="1" customWidth="1"/>
    <col min="6660" max="6660" width="13.5546875" style="230" customWidth="1"/>
    <col min="6661" max="6661" width="11.33203125" style="230" bestFit="1" customWidth="1"/>
    <col min="6662" max="6662" width="12" style="230" customWidth="1"/>
    <col min="6663" max="6663" width="15.44140625" style="230" bestFit="1" customWidth="1"/>
    <col min="6664" max="6665" width="15.109375" style="230" bestFit="1" customWidth="1"/>
    <col min="6666" max="6666" width="14.33203125" style="230" bestFit="1" customWidth="1"/>
    <col min="6667" max="6667" width="3.109375" style="230" customWidth="1"/>
    <col min="6668" max="6668" width="6.44140625" style="230" customWidth="1"/>
    <col min="6669" max="6910" width="8.88671875" style="230"/>
    <col min="6911" max="6911" width="5.5546875" style="230" bestFit="1" customWidth="1"/>
    <col min="6912" max="6912" width="9.33203125" style="230" customWidth="1"/>
    <col min="6913" max="6913" width="24.6640625" style="230" customWidth="1"/>
    <col min="6914" max="6914" width="11" style="230" bestFit="1" customWidth="1"/>
    <col min="6915" max="6915" width="7.5546875" style="230" bestFit="1" customWidth="1"/>
    <col min="6916" max="6916" width="13.5546875" style="230" customWidth="1"/>
    <col min="6917" max="6917" width="11.33203125" style="230" bestFit="1" customWidth="1"/>
    <col min="6918" max="6918" width="12" style="230" customWidth="1"/>
    <col min="6919" max="6919" width="15.44140625" style="230" bestFit="1" customWidth="1"/>
    <col min="6920" max="6921" width="15.109375" style="230" bestFit="1" customWidth="1"/>
    <col min="6922" max="6922" width="14.33203125" style="230" bestFit="1" customWidth="1"/>
    <col min="6923" max="6923" width="3.109375" style="230" customWidth="1"/>
    <col min="6924" max="6924" width="6.44140625" style="230" customWidth="1"/>
    <col min="6925" max="7166" width="8.88671875" style="230"/>
    <col min="7167" max="7167" width="5.5546875" style="230" bestFit="1" customWidth="1"/>
    <col min="7168" max="7168" width="9.33203125" style="230" customWidth="1"/>
    <col min="7169" max="7169" width="24.6640625" style="230" customWidth="1"/>
    <col min="7170" max="7170" width="11" style="230" bestFit="1" customWidth="1"/>
    <col min="7171" max="7171" width="7.5546875" style="230" bestFit="1" customWidth="1"/>
    <col min="7172" max="7172" width="13.5546875" style="230" customWidth="1"/>
    <col min="7173" max="7173" width="11.33203125" style="230" bestFit="1" customWidth="1"/>
    <col min="7174" max="7174" width="12" style="230" customWidth="1"/>
    <col min="7175" max="7175" width="15.44140625" style="230" bestFit="1" customWidth="1"/>
    <col min="7176" max="7177" width="15.109375" style="230" bestFit="1" customWidth="1"/>
    <col min="7178" max="7178" width="14.33203125" style="230" bestFit="1" customWidth="1"/>
    <col min="7179" max="7179" width="3.109375" style="230" customWidth="1"/>
    <col min="7180" max="7180" width="6.44140625" style="230" customWidth="1"/>
    <col min="7181" max="7422" width="8.88671875" style="230"/>
    <col min="7423" max="7423" width="5.5546875" style="230" bestFit="1" customWidth="1"/>
    <col min="7424" max="7424" width="9.33203125" style="230" customWidth="1"/>
    <col min="7425" max="7425" width="24.6640625" style="230" customWidth="1"/>
    <col min="7426" max="7426" width="11" style="230" bestFit="1" customWidth="1"/>
    <col min="7427" max="7427" width="7.5546875" style="230" bestFit="1" customWidth="1"/>
    <col min="7428" max="7428" width="13.5546875" style="230" customWidth="1"/>
    <col min="7429" max="7429" width="11.33203125" style="230" bestFit="1" customWidth="1"/>
    <col min="7430" max="7430" width="12" style="230" customWidth="1"/>
    <col min="7431" max="7431" width="15.44140625" style="230" bestFit="1" customWidth="1"/>
    <col min="7432" max="7433" width="15.109375" style="230" bestFit="1" customWidth="1"/>
    <col min="7434" max="7434" width="14.33203125" style="230" bestFit="1" customWidth="1"/>
    <col min="7435" max="7435" width="3.109375" style="230" customWidth="1"/>
    <col min="7436" max="7436" width="6.44140625" style="230" customWidth="1"/>
    <col min="7437" max="7678" width="8.88671875" style="230"/>
    <col min="7679" max="7679" width="5.5546875" style="230" bestFit="1" customWidth="1"/>
    <col min="7680" max="7680" width="9.33203125" style="230" customWidth="1"/>
    <col min="7681" max="7681" width="24.6640625" style="230" customWidth="1"/>
    <col min="7682" max="7682" width="11" style="230" bestFit="1" customWidth="1"/>
    <col min="7683" max="7683" width="7.5546875" style="230" bestFit="1" customWidth="1"/>
    <col min="7684" max="7684" width="13.5546875" style="230" customWidth="1"/>
    <col min="7685" max="7685" width="11.33203125" style="230" bestFit="1" customWidth="1"/>
    <col min="7686" max="7686" width="12" style="230" customWidth="1"/>
    <col min="7687" max="7687" width="15.44140625" style="230" bestFit="1" customWidth="1"/>
    <col min="7688" max="7689" width="15.109375" style="230" bestFit="1" customWidth="1"/>
    <col min="7690" max="7690" width="14.33203125" style="230" bestFit="1" customWidth="1"/>
    <col min="7691" max="7691" width="3.109375" style="230" customWidth="1"/>
    <col min="7692" max="7692" width="6.44140625" style="230" customWidth="1"/>
    <col min="7693" max="7934" width="8.88671875" style="230"/>
    <col min="7935" max="7935" width="5.5546875" style="230" bestFit="1" customWidth="1"/>
    <col min="7936" max="7936" width="9.33203125" style="230" customWidth="1"/>
    <col min="7937" max="7937" width="24.6640625" style="230" customWidth="1"/>
    <col min="7938" max="7938" width="11" style="230" bestFit="1" customWidth="1"/>
    <col min="7939" max="7939" width="7.5546875" style="230" bestFit="1" customWidth="1"/>
    <col min="7940" max="7940" width="13.5546875" style="230" customWidth="1"/>
    <col min="7941" max="7941" width="11.33203125" style="230" bestFit="1" customWidth="1"/>
    <col min="7942" max="7942" width="12" style="230" customWidth="1"/>
    <col min="7943" max="7943" width="15.44140625" style="230" bestFit="1" customWidth="1"/>
    <col min="7944" max="7945" width="15.109375" style="230" bestFit="1" customWidth="1"/>
    <col min="7946" max="7946" width="14.33203125" style="230" bestFit="1" customWidth="1"/>
    <col min="7947" max="7947" width="3.109375" style="230" customWidth="1"/>
    <col min="7948" max="7948" width="6.44140625" style="230" customWidth="1"/>
    <col min="7949" max="8190" width="8.88671875" style="230"/>
    <col min="8191" max="8191" width="5.5546875" style="230" bestFit="1" customWidth="1"/>
    <col min="8192" max="8192" width="9.33203125" style="230" customWidth="1"/>
    <col min="8193" max="8193" width="24.6640625" style="230" customWidth="1"/>
    <col min="8194" max="8194" width="11" style="230" bestFit="1" customWidth="1"/>
    <col min="8195" max="8195" width="7.5546875" style="230" bestFit="1" customWidth="1"/>
    <col min="8196" max="8196" width="13.5546875" style="230" customWidth="1"/>
    <col min="8197" max="8197" width="11.33203125" style="230" bestFit="1" customWidth="1"/>
    <col min="8198" max="8198" width="12" style="230" customWidth="1"/>
    <col min="8199" max="8199" width="15.44140625" style="230" bestFit="1" customWidth="1"/>
    <col min="8200" max="8201" width="15.109375" style="230" bestFit="1" customWidth="1"/>
    <col min="8202" max="8202" width="14.33203125" style="230" bestFit="1" customWidth="1"/>
    <col min="8203" max="8203" width="3.109375" style="230" customWidth="1"/>
    <col min="8204" max="8204" width="6.44140625" style="230" customWidth="1"/>
    <col min="8205" max="8446" width="8.88671875" style="230"/>
    <col min="8447" max="8447" width="5.5546875" style="230" bestFit="1" customWidth="1"/>
    <col min="8448" max="8448" width="9.33203125" style="230" customWidth="1"/>
    <col min="8449" max="8449" width="24.6640625" style="230" customWidth="1"/>
    <col min="8450" max="8450" width="11" style="230" bestFit="1" customWidth="1"/>
    <col min="8451" max="8451" width="7.5546875" style="230" bestFit="1" customWidth="1"/>
    <col min="8452" max="8452" width="13.5546875" style="230" customWidth="1"/>
    <col min="8453" max="8453" width="11.33203125" style="230" bestFit="1" customWidth="1"/>
    <col min="8454" max="8454" width="12" style="230" customWidth="1"/>
    <col min="8455" max="8455" width="15.44140625" style="230" bestFit="1" customWidth="1"/>
    <col min="8456" max="8457" width="15.109375" style="230" bestFit="1" customWidth="1"/>
    <col min="8458" max="8458" width="14.33203125" style="230" bestFit="1" customWidth="1"/>
    <col min="8459" max="8459" width="3.109375" style="230" customWidth="1"/>
    <col min="8460" max="8460" width="6.44140625" style="230" customWidth="1"/>
    <col min="8461" max="8702" width="8.88671875" style="230"/>
    <col min="8703" max="8703" width="5.5546875" style="230" bestFit="1" customWidth="1"/>
    <col min="8704" max="8704" width="9.33203125" style="230" customWidth="1"/>
    <col min="8705" max="8705" width="24.6640625" style="230" customWidth="1"/>
    <col min="8706" max="8706" width="11" style="230" bestFit="1" customWidth="1"/>
    <col min="8707" max="8707" width="7.5546875" style="230" bestFit="1" customWidth="1"/>
    <col min="8708" max="8708" width="13.5546875" style="230" customWidth="1"/>
    <col min="8709" max="8709" width="11.33203125" style="230" bestFit="1" customWidth="1"/>
    <col min="8710" max="8710" width="12" style="230" customWidth="1"/>
    <col min="8711" max="8711" width="15.44140625" style="230" bestFit="1" customWidth="1"/>
    <col min="8712" max="8713" width="15.109375" style="230" bestFit="1" customWidth="1"/>
    <col min="8714" max="8714" width="14.33203125" style="230" bestFit="1" customWidth="1"/>
    <col min="8715" max="8715" width="3.109375" style="230" customWidth="1"/>
    <col min="8716" max="8716" width="6.44140625" style="230" customWidth="1"/>
    <col min="8717" max="8958" width="8.88671875" style="230"/>
    <col min="8959" max="8959" width="5.5546875" style="230" bestFit="1" customWidth="1"/>
    <col min="8960" max="8960" width="9.33203125" style="230" customWidth="1"/>
    <col min="8961" max="8961" width="24.6640625" style="230" customWidth="1"/>
    <col min="8962" max="8962" width="11" style="230" bestFit="1" customWidth="1"/>
    <col min="8963" max="8963" width="7.5546875" style="230" bestFit="1" customWidth="1"/>
    <col min="8964" max="8964" width="13.5546875" style="230" customWidth="1"/>
    <col min="8965" max="8965" width="11.33203125" style="230" bestFit="1" customWidth="1"/>
    <col min="8966" max="8966" width="12" style="230" customWidth="1"/>
    <col min="8967" max="8967" width="15.44140625" style="230" bestFit="1" customWidth="1"/>
    <col min="8968" max="8969" width="15.109375" style="230" bestFit="1" customWidth="1"/>
    <col min="8970" max="8970" width="14.33203125" style="230" bestFit="1" customWidth="1"/>
    <col min="8971" max="8971" width="3.109375" style="230" customWidth="1"/>
    <col min="8972" max="8972" width="6.44140625" style="230" customWidth="1"/>
    <col min="8973" max="9214" width="8.88671875" style="230"/>
    <col min="9215" max="9215" width="5.5546875" style="230" bestFit="1" customWidth="1"/>
    <col min="9216" max="9216" width="9.33203125" style="230" customWidth="1"/>
    <col min="9217" max="9217" width="24.6640625" style="230" customWidth="1"/>
    <col min="9218" max="9218" width="11" style="230" bestFit="1" customWidth="1"/>
    <col min="9219" max="9219" width="7.5546875" style="230" bestFit="1" customWidth="1"/>
    <col min="9220" max="9220" width="13.5546875" style="230" customWidth="1"/>
    <col min="9221" max="9221" width="11.33203125" style="230" bestFit="1" customWidth="1"/>
    <col min="9222" max="9222" width="12" style="230" customWidth="1"/>
    <col min="9223" max="9223" width="15.44140625" style="230" bestFit="1" customWidth="1"/>
    <col min="9224" max="9225" width="15.109375" style="230" bestFit="1" customWidth="1"/>
    <col min="9226" max="9226" width="14.33203125" style="230" bestFit="1" customWidth="1"/>
    <col min="9227" max="9227" width="3.109375" style="230" customWidth="1"/>
    <col min="9228" max="9228" width="6.44140625" style="230" customWidth="1"/>
    <col min="9229" max="9470" width="8.88671875" style="230"/>
    <col min="9471" max="9471" width="5.5546875" style="230" bestFit="1" customWidth="1"/>
    <col min="9472" max="9472" width="9.33203125" style="230" customWidth="1"/>
    <col min="9473" max="9473" width="24.6640625" style="230" customWidth="1"/>
    <col min="9474" max="9474" width="11" style="230" bestFit="1" customWidth="1"/>
    <col min="9475" max="9475" width="7.5546875" style="230" bestFit="1" customWidth="1"/>
    <col min="9476" max="9476" width="13.5546875" style="230" customWidth="1"/>
    <col min="9477" max="9477" width="11.33203125" style="230" bestFit="1" customWidth="1"/>
    <col min="9478" max="9478" width="12" style="230" customWidth="1"/>
    <col min="9479" max="9479" width="15.44140625" style="230" bestFit="1" customWidth="1"/>
    <col min="9480" max="9481" width="15.109375" style="230" bestFit="1" customWidth="1"/>
    <col min="9482" max="9482" width="14.33203125" style="230" bestFit="1" customWidth="1"/>
    <col min="9483" max="9483" width="3.109375" style="230" customWidth="1"/>
    <col min="9484" max="9484" width="6.44140625" style="230" customWidth="1"/>
    <col min="9485" max="9726" width="8.88671875" style="230"/>
    <col min="9727" max="9727" width="5.5546875" style="230" bestFit="1" customWidth="1"/>
    <col min="9728" max="9728" width="9.33203125" style="230" customWidth="1"/>
    <col min="9729" max="9729" width="24.6640625" style="230" customWidth="1"/>
    <col min="9730" max="9730" width="11" style="230" bestFit="1" customWidth="1"/>
    <col min="9731" max="9731" width="7.5546875" style="230" bestFit="1" customWidth="1"/>
    <col min="9732" max="9732" width="13.5546875" style="230" customWidth="1"/>
    <col min="9733" max="9733" width="11.33203125" style="230" bestFit="1" customWidth="1"/>
    <col min="9734" max="9734" width="12" style="230" customWidth="1"/>
    <col min="9735" max="9735" width="15.44140625" style="230" bestFit="1" customWidth="1"/>
    <col min="9736" max="9737" width="15.109375" style="230" bestFit="1" customWidth="1"/>
    <col min="9738" max="9738" width="14.33203125" style="230" bestFit="1" customWidth="1"/>
    <col min="9739" max="9739" width="3.109375" style="230" customWidth="1"/>
    <col min="9740" max="9740" width="6.44140625" style="230" customWidth="1"/>
    <col min="9741" max="9982" width="8.88671875" style="230"/>
    <col min="9983" max="9983" width="5.5546875" style="230" bestFit="1" customWidth="1"/>
    <col min="9984" max="9984" width="9.33203125" style="230" customWidth="1"/>
    <col min="9985" max="9985" width="24.6640625" style="230" customWidth="1"/>
    <col min="9986" max="9986" width="11" style="230" bestFit="1" customWidth="1"/>
    <col min="9987" max="9987" width="7.5546875" style="230" bestFit="1" customWidth="1"/>
    <col min="9988" max="9988" width="13.5546875" style="230" customWidth="1"/>
    <col min="9989" max="9989" width="11.33203125" style="230" bestFit="1" customWidth="1"/>
    <col min="9990" max="9990" width="12" style="230" customWidth="1"/>
    <col min="9991" max="9991" width="15.44140625" style="230" bestFit="1" customWidth="1"/>
    <col min="9992" max="9993" width="15.109375" style="230" bestFit="1" customWidth="1"/>
    <col min="9994" max="9994" width="14.33203125" style="230" bestFit="1" customWidth="1"/>
    <col min="9995" max="9995" width="3.109375" style="230" customWidth="1"/>
    <col min="9996" max="9996" width="6.44140625" style="230" customWidth="1"/>
    <col min="9997" max="10238" width="8.88671875" style="230"/>
    <col min="10239" max="10239" width="5.5546875" style="230" bestFit="1" customWidth="1"/>
    <col min="10240" max="10240" width="9.33203125" style="230" customWidth="1"/>
    <col min="10241" max="10241" width="24.6640625" style="230" customWidth="1"/>
    <col min="10242" max="10242" width="11" style="230" bestFit="1" customWidth="1"/>
    <col min="10243" max="10243" width="7.5546875" style="230" bestFit="1" customWidth="1"/>
    <col min="10244" max="10244" width="13.5546875" style="230" customWidth="1"/>
    <col min="10245" max="10245" width="11.33203125" style="230" bestFit="1" customWidth="1"/>
    <col min="10246" max="10246" width="12" style="230" customWidth="1"/>
    <col min="10247" max="10247" width="15.44140625" style="230" bestFit="1" customWidth="1"/>
    <col min="10248" max="10249" width="15.109375" style="230" bestFit="1" customWidth="1"/>
    <col min="10250" max="10250" width="14.33203125" style="230" bestFit="1" customWidth="1"/>
    <col min="10251" max="10251" width="3.109375" style="230" customWidth="1"/>
    <col min="10252" max="10252" width="6.44140625" style="230" customWidth="1"/>
    <col min="10253" max="10494" width="8.88671875" style="230"/>
    <col min="10495" max="10495" width="5.5546875" style="230" bestFit="1" customWidth="1"/>
    <col min="10496" max="10496" width="9.33203125" style="230" customWidth="1"/>
    <col min="10497" max="10497" width="24.6640625" style="230" customWidth="1"/>
    <col min="10498" max="10498" width="11" style="230" bestFit="1" customWidth="1"/>
    <col min="10499" max="10499" width="7.5546875" style="230" bestFit="1" customWidth="1"/>
    <col min="10500" max="10500" width="13.5546875" style="230" customWidth="1"/>
    <col min="10501" max="10501" width="11.33203125" style="230" bestFit="1" customWidth="1"/>
    <col min="10502" max="10502" width="12" style="230" customWidth="1"/>
    <col min="10503" max="10503" width="15.44140625" style="230" bestFit="1" customWidth="1"/>
    <col min="10504" max="10505" width="15.109375" style="230" bestFit="1" customWidth="1"/>
    <col min="10506" max="10506" width="14.33203125" style="230" bestFit="1" customWidth="1"/>
    <col min="10507" max="10507" width="3.109375" style="230" customWidth="1"/>
    <col min="10508" max="10508" width="6.44140625" style="230" customWidth="1"/>
    <col min="10509" max="10750" width="8.88671875" style="230"/>
    <col min="10751" max="10751" width="5.5546875" style="230" bestFit="1" customWidth="1"/>
    <col min="10752" max="10752" width="9.33203125" style="230" customWidth="1"/>
    <col min="10753" max="10753" width="24.6640625" style="230" customWidth="1"/>
    <col min="10754" max="10754" width="11" style="230" bestFit="1" customWidth="1"/>
    <col min="10755" max="10755" width="7.5546875" style="230" bestFit="1" customWidth="1"/>
    <col min="10756" max="10756" width="13.5546875" style="230" customWidth="1"/>
    <col min="10757" max="10757" width="11.33203125" style="230" bestFit="1" customWidth="1"/>
    <col min="10758" max="10758" width="12" style="230" customWidth="1"/>
    <col min="10759" max="10759" width="15.44140625" style="230" bestFit="1" customWidth="1"/>
    <col min="10760" max="10761" width="15.109375" style="230" bestFit="1" customWidth="1"/>
    <col min="10762" max="10762" width="14.33203125" style="230" bestFit="1" customWidth="1"/>
    <col min="10763" max="10763" width="3.109375" style="230" customWidth="1"/>
    <col min="10764" max="10764" width="6.44140625" style="230" customWidth="1"/>
    <col min="10765" max="11006" width="8.88671875" style="230"/>
    <col min="11007" max="11007" width="5.5546875" style="230" bestFit="1" customWidth="1"/>
    <col min="11008" max="11008" width="9.33203125" style="230" customWidth="1"/>
    <col min="11009" max="11009" width="24.6640625" style="230" customWidth="1"/>
    <col min="11010" max="11010" width="11" style="230" bestFit="1" customWidth="1"/>
    <col min="11011" max="11011" width="7.5546875" style="230" bestFit="1" customWidth="1"/>
    <col min="11012" max="11012" width="13.5546875" style="230" customWidth="1"/>
    <col min="11013" max="11013" width="11.33203125" style="230" bestFit="1" customWidth="1"/>
    <col min="11014" max="11014" width="12" style="230" customWidth="1"/>
    <col min="11015" max="11015" width="15.44140625" style="230" bestFit="1" customWidth="1"/>
    <col min="11016" max="11017" width="15.109375" style="230" bestFit="1" customWidth="1"/>
    <col min="11018" max="11018" width="14.33203125" style="230" bestFit="1" customWidth="1"/>
    <col min="11019" max="11019" width="3.109375" style="230" customWidth="1"/>
    <col min="11020" max="11020" width="6.44140625" style="230" customWidth="1"/>
    <col min="11021" max="11262" width="8.88671875" style="230"/>
    <col min="11263" max="11263" width="5.5546875" style="230" bestFit="1" customWidth="1"/>
    <col min="11264" max="11264" width="9.33203125" style="230" customWidth="1"/>
    <col min="11265" max="11265" width="24.6640625" style="230" customWidth="1"/>
    <col min="11266" max="11266" width="11" style="230" bestFit="1" customWidth="1"/>
    <col min="11267" max="11267" width="7.5546875" style="230" bestFit="1" customWidth="1"/>
    <col min="11268" max="11268" width="13.5546875" style="230" customWidth="1"/>
    <col min="11269" max="11269" width="11.33203125" style="230" bestFit="1" customWidth="1"/>
    <col min="11270" max="11270" width="12" style="230" customWidth="1"/>
    <col min="11271" max="11271" width="15.44140625" style="230" bestFit="1" customWidth="1"/>
    <col min="11272" max="11273" width="15.109375" style="230" bestFit="1" customWidth="1"/>
    <col min="11274" max="11274" width="14.33203125" style="230" bestFit="1" customWidth="1"/>
    <col min="11275" max="11275" width="3.109375" style="230" customWidth="1"/>
    <col min="11276" max="11276" width="6.44140625" style="230" customWidth="1"/>
    <col min="11277" max="11518" width="8.88671875" style="230"/>
    <col min="11519" max="11519" width="5.5546875" style="230" bestFit="1" customWidth="1"/>
    <col min="11520" max="11520" width="9.33203125" style="230" customWidth="1"/>
    <col min="11521" max="11521" width="24.6640625" style="230" customWidth="1"/>
    <col min="11522" max="11522" width="11" style="230" bestFit="1" customWidth="1"/>
    <col min="11523" max="11523" width="7.5546875" style="230" bestFit="1" customWidth="1"/>
    <col min="11524" max="11524" width="13.5546875" style="230" customWidth="1"/>
    <col min="11525" max="11525" width="11.33203125" style="230" bestFit="1" customWidth="1"/>
    <col min="11526" max="11526" width="12" style="230" customWidth="1"/>
    <col min="11527" max="11527" width="15.44140625" style="230" bestFit="1" customWidth="1"/>
    <col min="11528" max="11529" width="15.109375" style="230" bestFit="1" customWidth="1"/>
    <col min="11530" max="11530" width="14.33203125" style="230" bestFit="1" customWidth="1"/>
    <col min="11531" max="11531" width="3.109375" style="230" customWidth="1"/>
    <col min="11532" max="11532" width="6.44140625" style="230" customWidth="1"/>
    <col min="11533" max="11774" width="8.88671875" style="230"/>
    <col min="11775" max="11775" width="5.5546875" style="230" bestFit="1" customWidth="1"/>
    <col min="11776" max="11776" width="9.33203125" style="230" customWidth="1"/>
    <col min="11777" max="11777" width="24.6640625" style="230" customWidth="1"/>
    <col min="11778" max="11778" width="11" style="230" bestFit="1" customWidth="1"/>
    <col min="11779" max="11779" width="7.5546875" style="230" bestFit="1" customWidth="1"/>
    <col min="11780" max="11780" width="13.5546875" style="230" customWidth="1"/>
    <col min="11781" max="11781" width="11.33203125" style="230" bestFit="1" customWidth="1"/>
    <col min="11782" max="11782" width="12" style="230" customWidth="1"/>
    <col min="11783" max="11783" width="15.44140625" style="230" bestFit="1" customWidth="1"/>
    <col min="11784" max="11785" width="15.109375" style="230" bestFit="1" customWidth="1"/>
    <col min="11786" max="11786" width="14.33203125" style="230" bestFit="1" customWidth="1"/>
    <col min="11787" max="11787" width="3.109375" style="230" customWidth="1"/>
    <col min="11788" max="11788" width="6.44140625" style="230" customWidth="1"/>
    <col min="11789" max="12030" width="8.88671875" style="230"/>
    <col min="12031" max="12031" width="5.5546875" style="230" bestFit="1" customWidth="1"/>
    <col min="12032" max="12032" width="9.33203125" style="230" customWidth="1"/>
    <col min="12033" max="12033" width="24.6640625" style="230" customWidth="1"/>
    <col min="12034" max="12034" width="11" style="230" bestFit="1" customWidth="1"/>
    <col min="12035" max="12035" width="7.5546875" style="230" bestFit="1" customWidth="1"/>
    <col min="12036" max="12036" width="13.5546875" style="230" customWidth="1"/>
    <col min="12037" max="12037" width="11.33203125" style="230" bestFit="1" customWidth="1"/>
    <col min="12038" max="12038" width="12" style="230" customWidth="1"/>
    <col min="12039" max="12039" width="15.44140625" style="230" bestFit="1" customWidth="1"/>
    <col min="12040" max="12041" width="15.109375" style="230" bestFit="1" customWidth="1"/>
    <col min="12042" max="12042" width="14.33203125" style="230" bestFit="1" customWidth="1"/>
    <col min="12043" max="12043" width="3.109375" style="230" customWidth="1"/>
    <col min="12044" max="12044" width="6.44140625" style="230" customWidth="1"/>
    <col min="12045" max="12286" width="8.88671875" style="230"/>
    <col min="12287" max="12287" width="5.5546875" style="230" bestFit="1" customWidth="1"/>
    <col min="12288" max="12288" width="9.33203125" style="230" customWidth="1"/>
    <col min="12289" max="12289" width="24.6640625" style="230" customWidth="1"/>
    <col min="12290" max="12290" width="11" style="230" bestFit="1" customWidth="1"/>
    <col min="12291" max="12291" width="7.5546875" style="230" bestFit="1" customWidth="1"/>
    <col min="12292" max="12292" width="13.5546875" style="230" customWidth="1"/>
    <col min="12293" max="12293" width="11.33203125" style="230" bestFit="1" customWidth="1"/>
    <col min="12294" max="12294" width="12" style="230" customWidth="1"/>
    <col min="12295" max="12295" width="15.44140625" style="230" bestFit="1" customWidth="1"/>
    <col min="12296" max="12297" width="15.109375" style="230" bestFit="1" customWidth="1"/>
    <col min="12298" max="12298" width="14.33203125" style="230" bestFit="1" customWidth="1"/>
    <col min="12299" max="12299" width="3.109375" style="230" customWidth="1"/>
    <col min="12300" max="12300" width="6.44140625" style="230" customWidth="1"/>
    <col min="12301" max="12542" width="8.88671875" style="230"/>
    <col min="12543" max="12543" width="5.5546875" style="230" bestFit="1" customWidth="1"/>
    <col min="12544" max="12544" width="9.33203125" style="230" customWidth="1"/>
    <col min="12545" max="12545" width="24.6640625" style="230" customWidth="1"/>
    <col min="12546" max="12546" width="11" style="230" bestFit="1" customWidth="1"/>
    <col min="12547" max="12547" width="7.5546875" style="230" bestFit="1" customWidth="1"/>
    <col min="12548" max="12548" width="13.5546875" style="230" customWidth="1"/>
    <col min="12549" max="12549" width="11.33203125" style="230" bestFit="1" customWidth="1"/>
    <col min="12550" max="12550" width="12" style="230" customWidth="1"/>
    <col min="12551" max="12551" width="15.44140625" style="230" bestFit="1" customWidth="1"/>
    <col min="12552" max="12553" width="15.109375" style="230" bestFit="1" customWidth="1"/>
    <col min="12554" max="12554" width="14.33203125" style="230" bestFit="1" customWidth="1"/>
    <col min="12555" max="12555" width="3.109375" style="230" customWidth="1"/>
    <col min="12556" max="12556" width="6.44140625" style="230" customWidth="1"/>
    <col min="12557" max="12798" width="8.88671875" style="230"/>
    <col min="12799" max="12799" width="5.5546875" style="230" bestFit="1" customWidth="1"/>
    <col min="12800" max="12800" width="9.33203125" style="230" customWidth="1"/>
    <col min="12801" max="12801" width="24.6640625" style="230" customWidth="1"/>
    <col min="12802" max="12802" width="11" style="230" bestFit="1" customWidth="1"/>
    <col min="12803" max="12803" width="7.5546875" style="230" bestFit="1" customWidth="1"/>
    <col min="12804" max="12804" width="13.5546875" style="230" customWidth="1"/>
    <col min="12805" max="12805" width="11.33203125" style="230" bestFit="1" customWidth="1"/>
    <col min="12806" max="12806" width="12" style="230" customWidth="1"/>
    <col min="12807" max="12807" width="15.44140625" style="230" bestFit="1" customWidth="1"/>
    <col min="12808" max="12809" width="15.109375" style="230" bestFit="1" customWidth="1"/>
    <col min="12810" max="12810" width="14.33203125" style="230" bestFit="1" customWidth="1"/>
    <col min="12811" max="12811" width="3.109375" style="230" customWidth="1"/>
    <col min="12812" max="12812" width="6.44140625" style="230" customWidth="1"/>
    <col min="12813" max="13054" width="8.88671875" style="230"/>
    <col min="13055" max="13055" width="5.5546875" style="230" bestFit="1" customWidth="1"/>
    <col min="13056" max="13056" width="9.33203125" style="230" customWidth="1"/>
    <col min="13057" max="13057" width="24.6640625" style="230" customWidth="1"/>
    <col min="13058" max="13058" width="11" style="230" bestFit="1" customWidth="1"/>
    <col min="13059" max="13059" width="7.5546875" style="230" bestFit="1" customWidth="1"/>
    <col min="13060" max="13060" width="13.5546875" style="230" customWidth="1"/>
    <col min="13061" max="13061" width="11.33203125" style="230" bestFit="1" customWidth="1"/>
    <col min="13062" max="13062" width="12" style="230" customWidth="1"/>
    <col min="13063" max="13063" width="15.44140625" style="230" bestFit="1" customWidth="1"/>
    <col min="13064" max="13065" width="15.109375" style="230" bestFit="1" customWidth="1"/>
    <col min="13066" max="13066" width="14.33203125" style="230" bestFit="1" customWidth="1"/>
    <col min="13067" max="13067" width="3.109375" style="230" customWidth="1"/>
    <col min="13068" max="13068" width="6.44140625" style="230" customWidth="1"/>
    <col min="13069" max="13310" width="8.88671875" style="230"/>
    <col min="13311" max="13311" width="5.5546875" style="230" bestFit="1" customWidth="1"/>
    <col min="13312" max="13312" width="9.33203125" style="230" customWidth="1"/>
    <col min="13313" max="13313" width="24.6640625" style="230" customWidth="1"/>
    <col min="13314" max="13314" width="11" style="230" bestFit="1" customWidth="1"/>
    <col min="13315" max="13315" width="7.5546875" style="230" bestFit="1" customWidth="1"/>
    <col min="13316" max="13316" width="13.5546875" style="230" customWidth="1"/>
    <col min="13317" max="13317" width="11.33203125" style="230" bestFit="1" customWidth="1"/>
    <col min="13318" max="13318" width="12" style="230" customWidth="1"/>
    <col min="13319" max="13319" width="15.44140625" style="230" bestFit="1" customWidth="1"/>
    <col min="13320" max="13321" width="15.109375" style="230" bestFit="1" customWidth="1"/>
    <col min="13322" max="13322" width="14.33203125" style="230" bestFit="1" customWidth="1"/>
    <col min="13323" max="13323" width="3.109375" style="230" customWidth="1"/>
    <col min="13324" max="13324" width="6.44140625" style="230" customWidth="1"/>
    <col min="13325" max="13566" width="8.88671875" style="230"/>
    <col min="13567" max="13567" width="5.5546875" style="230" bestFit="1" customWidth="1"/>
    <col min="13568" max="13568" width="9.33203125" style="230" customWidth="1"/>
    <col min="13569" max="13569" width="24.6640625" style="230" customWidth="1"/>
    <col min="13570" max="13570" width="11" style="230" bestFit="1" customWidth="1"/>
    <col min="13571" max="13571" width="7.5546875" style="230" bestFit="1" customWidth="1"/>
    <col min="13572" max="13572" width="13.5546875" style="230" customWidth="1"/>
    <col min="13573" max="13573" width="11.33203125" style="230" bestFit="1" customWidth="1"/>
    <col min="13574" max="13574" width="12" style="230" customWidth="1"/>
    <col min="13575" max="13575" width="15.44140625" style="230" bestFit="1" customWidth="1"/>
    <col min="13576" max="13577" width="15.109375" style="230" bestFit="1" customWidth="1"/>
    <col min="13578" max="13578" width="14.33203125" style="230" bestFit="1" customWidth="1"/>
    <col min="13579" max="13579" width="3.109375" style="230" customWidth="1"/>
    <col min="13580" max="13580" width="6.44140625" style="230" customWidth="1"/>
    <col min="13581" max="13822" width="8.88671875" style="230"/>
    <col min="13823" max="13823" width="5.5546875" style="230" bestFit="1" customWidth="1"/>
    <col min="13824" max="13824" width="9.33203125" style="230" customWidth="1"/>
    <col min="13825" max="13825" width="24.6640625" style="230" customWidth="1"/>
    <col min="13826" max="13826" width="11" style="230" bestFit="1" customWidth="1"/>
    <col min="13827" max="13827" width="7.5546875" style="230" bestFit="1" customWidth="1"/>
    <col min="13828" max="13828" width="13.5546875" style="230" customWidth="1"/>
    <col min="13829" max="13829" width="11.33203125" style="230" bestFit="1" customWidth="1"/>
    <col min="13830" max="13830" width="12" style="230" customWidth="1"/>
    <col min="13831" max="13831" width="15.44140625" style="230" bestFit="1" customWidth="1"/>
    <col min="13832" max="13833" width="15.109375" style="230" bestFit="1" customWidth="1"/>
    <col min="13834" max="13834" width="14.33203125" style="230" bestFit="1" customWidth="1"/>
    <col min="13835" max="13835" width="3.109375" style="230" customWidth="1"/>
    <col min="13836" max="13836" width="6.44140625" style="230" customWidth="1"/>
    <col min="13837" max="14078" width="8.88671875" style="230"/>
    <col min="14079" max="14079" width="5.5546875" style="230" bestFit="1" customWidth="1"/>
    <col min="14080" max="14080" width="9.33203125" style="230" customWidth="1"/>
    <col min="14081" max="14081" width="24.6640625" style="230" customWidth="1"/>
    <col min="14082" max="14082" width="11" style="230" bestFit="1" customWidth="1"/>
    <col min="14083" max="14083" width="7.5546875" style="230" bestFit="1" customWidth="1"/>
    <col min="14084" max="14084" width="13.5546875" style="230" customWidth="1"/>
    <col min="14085" max="14085" width="11.33203125" style="230" bestFit="1" customWidth="1"/>
    <col min="14086" max="14086" width="12" style="230" customWidth="1"/>
    <col min="14087" max="14087" width="15.44140625" style="230" bestFit="1" customWidth="1"/>
    <col min="14088" max="14089" width="15.109375" style="230" bestFit="1" customWidth="1"/>
    <col min="14090" max="14090" width="14.33203125" style="230" bestFit="1" customWidth="1"/>
    <col min="14091" max="14091" width="3.109375" style="230" customWidth="1"/>
    <col min="14092" max="14092" width="6.44140625" style="230" customWidth="1"/>
    <col min="14093" max="14334" width="8.88671875" style="230"/>
    <col min="14335" max="14335" width="5.5546875" style="230" bestFit="1" customWidth="1"/>
    <col min="14336" max="14336" width="9.33203125" style="230" customWidth="1"/>
    <col min="14337" max="14337" width="24.6640625" style="230" customWidth="1"/>
    <col min="14338" max="14338" width="11" style="230" bestFit="1" customWidth="1"/>
    <col min="14339" max="14339" width="7.5546875" style="230" bestFit="1" customWidth="1"/>
    <col min="14340" max="14340" width="13.5546875" style="230" customWidth="1"/>
    <col min="14341" max="14341" width="11.33203125" style="230" bestFit="1" customWidth="1"/>
    <col min="14342" max="14342" width="12" style="230" customWidth="1"/>
    <col min="14343" max="14343" width="15.44140625" style="230" bestFit="1" customWidth="1"/>
    <col min="14344" max="14345" width="15.109375" style="230" bestFit="1" customWidth="1"/>
    <col min="14346" max="14346" width="14.33203125" style="230" bestFit="1" customWidth="1"/>
    <col min="14347" max="14347" width="3.109375" style="230" customWidth="1"/>
    <col min="14348" max="14348" width="6.44140625" style="230" customWidth="1"/>
    <col min="14349" max="14590" width="8.88671875" style="230"/>
    <col min="14591" max="14591" width="5.5546875" style="230" bestFit="1" customWidth="1"/>
    <col min="14592" max="14592" width="9.33203125" style="230" customWidth="1"/>
    <col min="14593" max="14593" width="24.6640625" style="230" customWidth="1"/>
    <col min="14594" max="14594" width="11" style="230" bestFit="1" customWidth="1"/>
    <col min="14595" max="14595" width="7.5546875" style="230" bestFit="1" customWidth="1"/>
    <col min="14596" max="14596" width="13.5546875" style="230" customWidth="1"/>
    <col min="14597" max="14597" width="11.33203125" style="230" bestFit="1" customWidth="1"/>
    <col min="14598" max="14598" width="12" style="230" customWidth="1"/>
    <col min="14599" max="14599" width="15.44140625" style="230" bestFit="1" customWidth="1"/>
    <col min="14600" max="14601" width="15.109375" style="230" bestFit="1" customWidth="1"/>
    <col min="14602" max="14602" width="14.33203125" style="230" bestFit="1" customWidth="1"/>
    <col min="14603" max="14603" width="3.109375" style="230" customWidth="1"/>
    <col min="14604" max="14604" width="6.44140625" style="230" customWidth="1"/>
    <col min="14605" max="14846" width="8.88671875" style="230"/>
    <col min="14847" max="14847" width="5.5546875" style="230" bestFit="1" customWidth="1"/>
    <col min="14848" max="14848" width="9.33203125" style="230" customWidth="1"/>
    <col min="14849" max="14849" width="24.6640625" style="230" customWidth="1"/>
    <col min="14850" max="14850" width="11" style="230" bestFit="1" customWidth="1"/>
    <col min="14851" max="14851" width="7.5546875" style="230" bestFit="1" customWidth="1"/>
    <col min="14852" max="14852" width="13.5546875" style="230" customWidth="1"/>
    <col min="14853" max="14853" width="11.33203125" style="230" bestFit="1" customWidth="1"/>
    <col min="14854" max="14854" width="12" style="230" customWidth="1"/>
    <col min="14855" max="14855" width="15.44140625" style="230" bestFit="1" customWidth="1"/>
    <col min="14856" max="14857" width="15.109375" style="230" bestFit="1" customWidth="1"/>
    <col min="14858" max="14858" width="14.33203125" style="230" bestFit="1" customWidth="1"/>
    <col min="14859" max="14859" width="3.109375" style="230" customWidth="1"/>
    <col min="14860" max="14860" width="6.44140625" style="230" customWidth="1"/>
    <col min="14861" max="15102" width="8.88671875" style="230"/>
    <col min="15103" max="15103" width="5.5546875" style="230" bestFit="1" customWidth="1"/>
    <col min="15104" max="15104" width="9.33203125" style="230" customWidth="1"/>
    <col min="15105" max="15105" width="24.6640625" style="230" customWidth="1"/>
    <col min="15106" max="15106" width="11" style="230" bestFit="1" customWidth="1"/>
    <col min="15107" max="15107" width="7.5546875" style="230" bestFit="1" customWidth="1"/>
    <col min="15108" max="15108" width="13.5546875" style="230" customWidth="1"/>
    <col min="15109" max="15109" width="11.33203125" style="230" bestFit="1" customWidth="1"/>
    <col min="15110" max="15110" width="12" style="230" customWidth="1"/>
    <col min="15111" max="15111" width="15.44140625" style="230" bestFit="1" customWidth="1"/>
    <col min="15112" max="15113" width="15.109375" style="230" bestFit="1" customWidth="1"/>
    <col min="15114" max="15114" width="14.33203125" style="230" bestFit="1" customWidth="1"/>
    <col min="15115" max="15115" width="3.109375" style="230" customWidth="1"/>
    <col min="15116" max="15116" width="6.44140625" style="230" customWidth="1"/>
    <col min="15117" max="15358" width="8.88671875" style="230"/>
    <col min="15359" max="15359" width="5.5546875" style="230" bestFit="1" customWidth="1"/>
    <col min="15360" max="15360" width="9.33203125" style="230" customWidth="1"/>
    <col min="15361" max="15361" width="24.6640625" style="230" customWidth="1"/>
    <col min="15362" max="15362" width="11" style="230" bestFit="1" customWidth="1"/>
    <col min="15363" max="15363" width="7.5546875" style="230" bestFit="1" customWidth="1"/>
    <col min="15364" max="15364" width="13.5546875" style="230" customWidth="1"/>
    <col min="15365" max="15365" width="11.33203125" style="230" bestFit="1" customWidth="1"/>
    <col min="15366" max="15366" width="12" style="230" customWidth="1"/>
    <col min="15367" max="15367" width="15.44140625" style="230" bestFit="1" customWidth="1"/>
    <col min="15368" max="15369" width="15.109375" style="230" bestFit="1" customWidth="1"/>
    <col min="15370" max="15370" width="14.33203125" style="230" bestFit="1" customWidth="1"/>
    <col min="15371" max="15371" width="3.109375" style="230" customWidth="1"/>
    <col min="15372" max="15372" width="6.44140625" style="230" customWidth="1"/>
    <col min="15373" max="15614" width="8.88671875" style="230"/>
    <col min="15615" max="15615" width="5.5546875" style="230" bestFit="1" customWidth="1"/>
    <col min="15616" max="15616" width="9.33203125" style="230" customWidth="1"/>
    <col min="15617" max="15617" width="24.6640625" style="230" customWidth="1"/>
    <col min="15618" max="15618" width="11" style="230" bestFit="1" customWidth="1"/>
    <col min="15619" max="15619" width="7.5546875" style="230" bestFit="1" customWidth="1"/>
    <col min="15620" max="15620" width="13.5546875" style="230" customWidth="1"/>
    <col min="15621" max="15621" width="11.33203125" style="230" bestFit="1" customWidth="1"/>
    <col min="15622" max="15622" width="12" style="230" customWidth="1"/>
    <col min="15623" max="15623" width="15.44140625" style="230" bestFit="1" customWidth="1"/>
    <col min="15624" max="15625" width="15.109375" style="230" bestFit="1" customWidth="1"/>
    <col min="15626" max="15626" width="14.33203125" style="230" bestFit="1" customWidth="1"/>
    <col min="15627" max="15627" width="3.109375" style="230" customWidth="1"/>
    <col min="15628" max="15628" width="6.44140625" style="230" customWidth="1"/>
    <col min="15629" max="15870" width="8.88671875" style="230"/>
    <col min="15871" max="15871" width="5.5546875" style="230" bestFit="1" customWidth="1"/>
    <col min="15872" max="15872" width="9.33203125" style="230" customWidth="1"/>
    <col min="15873" max="15873" width="24.6640625" style="230" customWidth="1"/>
    <col min="15874" max="15874" width="11" style="230" bestFit="1" customWidth="1"/>
    <col min="15875" max="15875" width="7.5546875" style="230" bestFit="1" customWidth="1"/>
    <col min="15876" max="15876" width="13.5546875" style="230" customWidth="1"/>
    <col min="15877" max="15877" width="11.33203125" style="230" bestFit="1" customWidth="1"/>
    <col min="15878" max="15878" width="12" style="230" customWidth="1"/>
    <col min="15879" max="15879" width="15.44140625" style="230" bestFit="1" customWidth="1"/>
    <col min="15880" max="15881" width="15.109375" style="230" bestFit="1" customWidth="1"/>
    <col min="15882" max="15882" width="14.33203125" style="230" bestFit="1" customWidth="1"/>
    <col min="15883" max="15883" width="3.109375" style="230" customWidth="1"/>
    <col min="15884" max="15884" width="6.44140625" style="230" customWidth="1"/>
    <col min="15885" max="16126" width="8.88671875" style="230"/>
    <col min="16127" max="16127" width="5.5546875" style="230" bestFit="1" customWidth="1"/>
    <col min="16128" max="16128" width="9.33203125" style="230" customWidth="1"/>
    <col min="16129" max="16129" width="24.6640625" style="230" customWidth="1"/>
    <col min="16130" max="16130" width="11" style="230" bestFit="1" customWidth="1"/>
    <col min="16131" max="16131" width="7.5546875" style="230" bestFit="1" customWidth="1"/>
    <col min="16132" max="16132" width="13.5546875" style="230" customWidth="1"/>
    <col min="16133" max="16133" width="11.33203125" style="230" bestFit="1" customWidth="1"/>
    <col min="16134" max="16134" width="12" style="230" customWidth="1"/>
    <col min="16135" max="16135" width="15.44140625" style="230" bestFit="1" customWidth="1"/>
    <col min="16136" max="16137" width="15.109375" style="230" bestFit="1" customWidth="1"/>
    <col min="16138" max="16138" width="14.33203125" style="230" bestFit="1" customWidth="1"/>
    <col min="16139" max="16139" width="3.109375" style="230" customWidth="1"/>
    <col min="16140" max="16140" width="6.44140625" style="230" customWidth="1"/>
    <col min="16141" max="16384" width="8.88671875" style="230"/>
  </cols>
  <sheetData>
    <row r="1" spans="1:30" s="224" customFormat="1">
      <c r="A1" s="343" t="s">
        <v>311</v>
      </c>
      <c r="B1" s="343"/>
      <c r="C1" s="343"/>
      <c r="D1" s="343"/>
      <c r="E1" s="343"/>
      <c r="F1" s="343"/>
      <c r="G1" s="343"/>
      <c r="H1" s="343"/>
      <c r="I1" s="343"/>
      <c r="J1" s="343"/>
      <c r="K1" s="223"/>
    </row>
    <row r="2" spans="1:30" s="224" customFormat="1" ht="26.4" customHeight="1" thickBot="1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223"/>
      <c r="M2" s="225"/>
    </row>
    <row r="3" spans="1:30" s="228" customFormat="1" ht="33.6" thickBot="1">
      <c r="A3" s="246" t="s">
        <v>0</v>
      </c>
      <c r="B3" s="247" t="s">
        <v>1</v>
      </c>
      <c r="C3" s="248" t="s">
        <v>2</v>
      </c>
      <c r="D3" s="247" t="s">
        <v>185</v>
      </c>
      <c r="E3" s="247" t="s">
        <v>186</v>
      </c>
      <c r="F3" s="247" t="s">
        <v>166</v>
      </c>
      <c r="G3" s="249" t="s">
        <v>187</v>
      </c>
      <c r="H3" s="247" t="s">
        <v>188</v>
      </c>
      <c r="I3" s="250" t="s">
        <v>189</v>
      </c>
      <c r="J3" s="251" t="s">
        <v>5</v>
      </c>
      <c r="K3" s="226"/>
      <c r="L3" s="227"/>
      <c r="M3" s="227"/>
      <c r="N3" s="227"/>
      <c r="O3" s="227"/>
      <c r="P3" s="227"/>
      <c r="Q3" s="227"/>
      <c r="R3" s="227"/>
      <c r="S3" s="223"/>
      <c r="T3" s="223"/>
      <c r="U3" s="223"/>
    </row>
    <row r="4" spans="1:30" ht="30" customHeight="1">
      <c r="A4" s="258">
        <v>1</v>
      </c>
      <c r="B4" s="259" t="s">
        <v>312</v>
      </c>
      <c r="C4" s="260" t="s">
        <v>313</v>
      </c>
      <c r="D4" s="261">
        <v>1370</v>
      </c>
      <c r="E4" s="261" t="s">
        <v>314</v>
      </c>
      <c r="F4" s="261">
        <v>3877</v>
      </c>
      <c r="G4" s="262">
        <v>14.97</v>
      </c>
      <c r="H4" s="263">
        <v>1044</v>
      </c>
      <c r="I4" s="264">
        <f>G4*H4</f>
        <v>15628.68</v>
      </c>
      <c r="J4" s="265">
        <f>I4</f>
        <v>15628.68</v>
      </c>
      <c r="K4" s="229" t="s">
        <v>336</v>
      </c>
      <c r="L4" s="224"/>
      <c r="M4" s="224"/>
      <c r="N4" s="224"/>
      <c r="O4" s="224"/>
      <c r="P4" s="224"/>
      <c r="Q4" s="224"/>
      <c r="R4" s="224"/>
      <c r="S4" s="224"/>
      <c r="T4" s="224"/>
      <c r="U4" s="224"/>
    </row>
    <row r="5" spans="1:30" ht="30" customHeight="1">
      <c r="A5" s="266">
        <v>2</v>
      </c>
      <c r="B5" s="253" t="s">
        <v>312</v>
      </c>
      <c r="C5" s="254" t="s">
        <v>313</v>
      </c>
      <c r="D5" s="252">
        <v>1372</v>
      </c>
      <c r="E5" s="252" t="s">
        <v>315</v>
      </c>
      <c r="F5" s="252">
        <v>11226</v>
      </c>
      <c r="G5" s="255">
        <v>14.35</v>
      </c>
      <c r="H5" s="256">
        <v>1044</v>
      </c>
      <c r="I5" s="257">
        <f t="shared" ref="I5:I7" si="0">G5*H5</f>
        <v>14981.4</v>
      </c>
      <c r="J5" s="267">
        <f>I5+J4</f>
        <v>30610.080000000002</v>
      </c>
      <c r="K5" s="229" t="s">
        <v>336</v>
      </c>
      <c r="L5" s="224"/>
      <c r="M5" s="224"/>
      <c r="N5" s="224"/>
      <c r="O5" s="224"/>
      <c r="P5" s="224"/>
      <c r="Q5" s="224"/>
      <c r="R5" s="224"/>
      <c r="S5" s="224"/>
      <c r="T5" s="224"/>
      <c r="U5" s="224"/>
    </row>
    <row r="6" spans="1:30" ht="30" customHeight="1">
      <c r="A6" s="266">
        <v>3</v>
      </c>
      <c r="B6" s="253" t="s">
        <v>312</v>
      </c>
      <c r="C6" s="254" t="s">
        <v>313</v>
      </c>
      <c r="D6" s="252">
        <v>1369</v>
      </c>
      <c r="E6" s="252" t="s">
        <v>316</v>
      </c>
      <c r="F6" s="252">
        <v>428</v>
      </c>
      <c r="G6" s="255">
        <v>12.79</v>
      </c>
      <c r="H6" s="256">
        <v>1044</v>
      </c>
      <c r="I6" s="257">
        <f t="shared" si="0"/>
        <v>13352.759999999998</v>
      </c>
      <c r="J6" s="267">
        <f t="shared" ref="J6:J7" si="1">I6+J5</f>
        <v>43962.84</v>
      </c>
      <c r="K6" s="229" t="s">
        <v>336</v>
      </c>
      <c r="L6" s="224"/>
      <c r="M6" s="224"/>
      <c r="N6" s="224"/>
      <c r="O6" s="224"/>
      <c r="P6" s="224"/>
      <c r="Q6" s="224"/>
      <c r="R6" s="224"/>
      <c r="S6" s="224"/>
      <c r="T6" s="224"/>
      <c r="U6" s="224"/>
    </row>
    <row r="7" spans="1:30" ht="30" customHeight="1">
      <c r="A7" s="266">
        <v>4</v>
      </c>
      <c r="B7" s="253" t="s">
        <v>312</v>
      </c>
      <c r="C7" s="254" t="s">
        <v>313</v>
      </c>
      <c r="D7" s="252">
        <v>1371</v>
      </c>
      <c r="E7" s="252" t="s">
        <v>317</v>
      </c>
      <c r="F7" s="252">
        <v>6499</v>
      </c>
      <c r="G7" s="255">
        <v>16.86</v>
      </c>
      <c r="H7" s="256">
        <v>1047</v>
      </c>
      <c r="I7" s="257">
        <f t="shared" si="0"/>
        <v>17652.419999999998</v>
      </c>
      <c r="J7" s="267">
        <f t="shared" si="1"/>
        <v>61615.259999999995</v>
      </c>
      <c r="K7" s="229" t="s">
        <v>336</v>
      </c>
      <c r="L7" s="224"/>
      <c r="M7" s="224"/>
      <c r="N7" s="224"/>
      <c r="O7" s="224"/>
      <c r="P7" s="224"/>
      <c r="Q7" s="224"/>
      <c r="R7" s="224"/>
      <c r="S7" s="224"/>
      <c r="T7" s="224"/>
      <c r="U7" s="224"/>
    </row>
    <row r="8" spans="1:30" ht="30" customHeight="1" thickBot="1">
      <c r="A8" s="231"/>
      <c r="B8" s="232"/>
      <c r="C8" s="233"/>
      <c r="D8" s="53"/>
      <c r="E8" s="53"/>
      <c r="F8" s="53"/>
      <c r="G8" s="234"/>
      <c r="H8" s="235"/>
      <c r="I8" s="236"/>
      <c r="J8" s="237"/>
      <c r="K8" s="223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</row>
    <row r="9" spans="1:30">
      <c r="A9" s="52"/>
      <c r="B9" s="58"/>
      <c r="C9" s="238"/>
      <c r="D9" s="238"/>
      <c r="E9" s="52"/>
      <c r="F9" s="54"/>
      <c r="G9" s="55"/>
      <c r="H9" s="54"/>
      <c r="I9" s="56"/>
      <c r="J9" s="57"/>
      <c r="K9" s="223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</row>
    <row r="10" spans="1:30">
      <c r="A10" s="52"/>
      <c r="B10" s="58"/>
      <c r="C10" s="238"/>
      <c r="D10" s="238"/>
      <c r="E10" s="52"/>
      <c r="F10" s="54"/>
      <c r="G10" s="268">
        <f>SUM(G4:G9)</f>
        <v>58.97</v>
      </c>
      <c r="H10" s="55"/>
      <c r="I10" s="269">
        <f>SUM(I4:I9)</f>
        <v>61615.259999999995</v>
      </c>
      <c r="J10" s="57"/>
      <c r="K10" s="223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</row>
    <row r="11" spans="1:30" s="224" customFormat="1">
      <c r="A11" s="52"/>
      <c r="B11" s="58"/>
      <c r="C11" s="238"/>
      <c r="D11" s="238"/>
      <c r="E11" s="52"/>
      <c r="F11" s="54"/>
      <c r="G11" s="55"/>
      <c r="H11" s="54"/>
      <c r="I11" s="56"/>
      <c r="J11" s="57"/>
      <c r="K11" s="223"/>
    </row>
    <row r="12" spans="1:30" s="224" customFormat="1">
      <c r="A12" s="52"/>
      <c r="B12" s="58"/>
      <c r="C12" s="238"/>
      <c r="D12" s="238"/>
      <c r="E12" s="52"/>
      <c r="F12" s="54"/>
      <c r="G12" s="55"/>
      <c r="H12" s="54"/>
      <c r="I12" s="56"/>
      <c r="J12" s="57"/>
      <c r="K12" s="223"/>
    </row>
    <row r="13" spans="1:30" s="224" customFormat="1">
      <c r="A13" s="52"/>
      <c r="B13" s="58"/>
      <c r="C13" s="238"/>
      <c r="D13" s="238"/>
      <c r="E13" s="52"/>
      <c r="F13" s="54"/>
      <c r="G13" s="55"/>
      <c r="H13" s="54"/>
      <c r="I13" s="56"/>
      <c r="J13" s="57"/>
      <c r="K13" s="223"/>
    </row>
    <row r="14" spans="1:30" s="224" customFormat="1">
      <c r="A14" s="52"/>
      <c r="B14" s="58"/>
      <c r="C14" s="238"/>
      <c r="D14" s="238"/>
      <c r="E14" s="52"/>
      <c r="F14" s="54"/>
      <c r="G14" s="55"/>
      <c r="H14" s="54"/>
      <c r="I14" s="56"/>
      <c r="J14" s="57"/>
      <c r="K14" s="223"/>
    </row>
    <row r="15" spans="1:30" s="224" customFormat="1">
      <c r="A15" s="52"/>
      <c r="B15" s="58"/>
      <c r="C15" s="238"/>
      <c r="D15" s="238"/>
      <c r="E15" s="52"/>
      <c r="F15" s="54"/>
      <c r="G15" s="55"/>
      <c r="H15" s="54"/>
      <c r="I15" s="56"/>
      <c r="J15" s="57"/>
      <c r="K15" s="223"/>
    </row>
    <row r="16" spans="1:30" s="224" customFormat="1">
      <c r="A16" s="52"/>
      <c r="B16" s="58"/>
      <c r="C16" s="238"/>
      <c r="D16" s="238"/>
      <c r="E16" s="52"/>
      <c r="F16" s="54"/>
      <c r="G16" s="55"/>
      <c r="H16" s="54"/>
      <c r="I16" s="56"/>
      <c r="J16" s="57"/>
      <c r="K16" s="223"/>
    </row>
    <row r="17" spans="1:11" s="224" customFormat="1">
      <c r="A17" s="52"/>
      <c r="B17" s="58"/>
      <c r="C17" s="238"/>
      <c r="D17" s="238"/>
      <c r="E17" s="52"/>
      <c r="F17" s="54"/>
      <c r="G17" s="55"/>
      <c r="H17" s="54"/>
      <c r="I17" s="56"/>
      <c r="J17" s="57"/>
      <c r="K17" s="223"/>
    </row>
    <row r="18" spans="1:11" s="224" customFormat="1">
      <c r="A18" s="52"/>
      <c r="B18" s="58"/>
      <c r="C18" s="238"/>
      <c r="D18" s="238"/>
      <c r="E18" s="52"/>
      <c r="F18" s="54"/>
      <c r="G18" s="55"/>
      <c r="H18" s="54"/>
      <c r="I18" s="56"/>
      <c r="J18" s="57"/>
      <c r="K18" s="223"/>
    </row>
    <row r="19" spans="1:11" s="224" customFormat="1">
      <c r="A19" s="52"/>
      <c r="B19" s="58"/>
      <c r="C19" s="238"/>
      <c r="D19" s="238"/>
      <c r="E19" s="52"/>
      <c r="F19" s="54"/>
      <c r="G19" s="55"/>
      <c r="H19" s="54"/>
      <c r="I19" s="56"/>
      <c r="J19" s="57"/>
      <c r="K19" s="223"/>
    </row>
    <row r="20" spans="1:11" s="224" customFormat="1">
      <c r="A20" s="52"/>
      <c r="B20" s="58"/>
      <c r="C20" s="238"/>
      <c r="D20" s="238"/>
      <c r="E20" s="52"/>
      <c r="F20" s="54"/>
      <c r="G20" s="55"/>
      <c r="H20" s="54"/>
      <c r="I20" s="56"/>
      <c r="J20" s="57"/>
      <c r="K20" s="223"/>
    </row>
    <row r="21" spans="1:11" s="224" customFormat="1">
      <c r="A21" s="52"/>
      <c r="B21" s="58"/>
      <c r="C21" s="238"/>
      <c r="D21" s="238"/>
      <c r="E21" s="52"/>
      <c r="F21" s="54"/>
      <c r="G21" s="55"/>
      <c r="H21" s="54"/>
      <c r="I21" s="56"/>
      <c r="J21" s="57"/>
      <c r="K21" s="223"/>
    </row>
    <row r="22" spans="1:11" s="224" customFormat="1">
      <c r="A22" s="52"/>
      <c r="B22" s="58"/>
      <c r="C22" s="238"/>
      <c r="D22" s="238"/>
      <c r="E22" s="52"/>
      <c r="F22" s="54"/>
      <c r="G22" s="55"/>
      <c r="H22" s="54"/>
      <c r="I22" s="56"/>
      <c r="J22" s="57"/>
      <c r="K22" s="223"/>
    </row>
    <row r="23" spans="1:11" s="224" customFormat="1">
      <c r="A23" s="52"/>
      <c r="B23" s="58"/>
      <c r="C23" s="238"/>
      <c r="D23" s="238"/>
      <c r="E23" s="52"/>
      <c r="F23" s="54"/>
      <c r="G23" s="55"/>
      <c r="H23" s="54"/>
      <c r="I23" s="56"/>
      <c r="J23" s="57"/>
      <c r="K23" s="223"/>
    </row>
    <row r="24" spans="1:11" s="224" customFormat="1">
      <c r="A24" s="52"/>
      <c r="B24" s="58"/>
      <c r="C24" s="238"/>
      <c r="D24" s="238"/>
      <c r="E24" s="52"/>
      <c r="F24" s="54"/>
      <c r="G24" s="55"/>
      <c r="H24" s="54"/>
      <c r="I24" s="56"/>
      <c r="J24" s="57"/>
      <c r="K24" s="223"/>
    </row>
    <row r="25" spans="1:11" s="224" customFormat="1">
      <c r="A25" s="52"/>
      <c r="B25" s="58"/>
      <c r="C25" s="238"/>
      <c r="D25" s="238"/>
      <c r="E25" s="52"/>
      <c r="F25" s="54"/>
      <c r="G25" s="55"/>
      <c r="H25" s="54"/>
      <c r="I25" s="56"/>
      <c r="J25" s="57"/>
      <c r="K25" s="223"/>
    </row>
    <row r="26" spans="1:11" s="224" customFormat="1">
      <c r="A26" s="52"/>
      <c r="B26" s="58"/>
      <c r="C26" s="238"/>
      <c r="D26" s="238"/>
      <c r="E26" s="52"/>
      <c r="F26" s="54"/>
      <c r="G26" s="55"/>
      <c r="H26" s="54"/>
      <c r="I26" s="56"/>
      <c r="J26" s="57"/>
      <c r="K26" s="223"/>
    </row>
    <row r="27" spans="1:11" s="224" customFormat="1">
      <c r="A27" s="52"/>
      <c r="B27" s="58"/>
      <c r="C27" s="238"/>
      <c r="D27" s="238"/>
      <c r="E27" s="52"/>
      <c r="F27" s="54"/>
      <c r="G27" s="55"/>
      <c r="H27" s="54"/>
      <c r="I27" s="56"/>
      <c r="J27" s="57"/>
      <c r="K27" s="223"/>
    </row>
    <row r="28" spans="1:11" s="224" customFormat="1">
      <c r="A28" s="52"/>
      <c r="B28" s="58"/>
      <c r="C28" s="238"/>
      <c r="D28" s="238"/>
      <c r="E28" s="52"/>
      <c r="F28" s="54"/>
      <c r="G28" s="55"/>
      <c r="H28" s="54"/>
      <c r="I28" s="56"/>
      <c r="J28" s="57"/>
      <c r="K28" s="223"/>
    </row>
    <row r="29" spans="1:11" s="224" customFormat="1">
      <c r="A29" s="52"/>
      <c r="B29" s="58"/>
      <c r="C29" s="238"/>
      <c r="D29" s="238"/>
      <c r="E29" s="52"/>
      <c r="F29" s="54"/>
      <c r="G29" s="55"/>
      <c r="H29" s="54"/>
      <c r="I29" s="56"/>
      <c r="J29" s="57"/>
      <c r="K29" s="223"/>
    </row>
    <row r="30" spans="1:11" s="224" customFormat="1">
      <c r="A30" s="52"/>
      <c r="B30" s="58"/>
      <c r="C30" s="238"/>
      <c r="D30" s="238"/>
      <c r="E30" s="52"/>
      <c r="F30" s="54"/>
      <c r="G30" s="55"/>
      <c r="H30" s="54"/>
      <c r="I30" s="56"/>
      <c r="J30" s="57"/>
      <c r="K30" s="223"/>
    </row>
    <row r="31" spans="1:11" s="224" customFormat="1">
      <c r="A31" s="52"/>
      <c r="B31" s="58"/>
      <c r="C31" s="238"/>
      <c r="D31" s="238"/>
      <c r="E31" s="52"/>
      <c r="F31" s="54"/>
      <c r="G31" s="55"/>
      <c r="H31" s="54"/>
      <c r="I31" s="56"/>
      <c r="J31" s="57"/>
      <c r="K31" s="223"/>
    </row>
    <row r="32" spans="1:11" s="224" customFormat="1">
      <c r="A32" s="52"/>
      <c r="B32" s="58"/>
      <c r="C32" s="238"/>
      <c r="D32" s="238"/>
      <c r="E32" s="52"/>
      <c r="F32" s="54"/>
      <c r="G32" s="55"/>
      <c r="H32" s="54"/>
      <c r="I32" s="56"/>
      <c r="J32" s="57"/>
      <c r="K32" s="223"/>
    </row>
    <row r="33" spans="1:11" s="224" customFormat="1">
      <c r="A33" s="52"/>
      <c r="B33" s="58"/>
      <c r="C33" s="238"/>
      <c r="D33" s="238"/>
      <c r="E33" s="52"/>
      <c r="F33" s="54"/>
      <c r="G33" s="55"/>
      <c r="H33" s="54"/>
      <c r="I33" s="56"/>
      <c r="J33" s="57"/>
      <c r="K33" s="223"/>
    </row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rightToLeft="1" topLeftCell="A112" zoomScale="80" zoomScaleNormal="80" workbookViewId="0">
      <selection activeCell="N129" sqref="N129"/>
    </sheetView>
  </sheetViews>
  <sheetFormatPr defaultColWidth="9.109375" defaultRowHeight="13.8"/>
  <cols>
    <col min="1" max="3" width="9.33203125" style="95" bestFit="1" customWidth="1"/>
    <col min="4" max="4" width="23" style="95" customWidth="1"/>
    <col min="5" max="5" width="17.44140625" style="95" customWidth="1"/>
    <col min="6" max="6" width="21.6640625" style="95" customWidth="1"/>
    <col min="7" max="7" width="19.33203125" style="95" bestFit="1" customWidth="1"/>
    <col min="8" max="8" width="20.5546875" style="95" bestFit="1" customWidth="1"/>
    <col min="9" max="9" width="17.21875" style="95" bestFit="1" customWidth="1"/>
    <col min="10" max="10" width="21.5546875" style="95" bestFit="1" customWidth="1"/>
    <col min="11" max="12" width="13.6640625" style="95" customWidth="1"/>
    <col min="13" max="13" width="15.88671875" style="95" customWidth="1"/>
    <col min="14" max="14" width="26.109375" style="187" bestFit="1" customWidth="1"/>
    <col min="15" max="15" width="9.33203125" style="95" bestFit="1" customWidth="1"/>
    <col min="16" max="16" width="19.109375" style="95" customWidth="1"/>
    <col min="17" max="16384" width="9.109375" style="95"/>
  </cols>
  <sheetData>
    <row r="1" spans="1:14" ht="47.4" customHeight="1" thickBot="1">
      <c r="A1" s="342" t="s">
        <v>321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</row>
    <row r="2" spans="1:14" ht="30" customHeight="1" thickBot="1">
      <c r="A2" s="189" t="s">
        <v>28</v>
      </c>
      <c r="B2" s="179" t="s">
        <v>164</v>
      </c>
      <c r="C2" s="190" t="s">
        <v>165</v>
      </c>
      <c r="D2" s="179" t="s">
        <v>166</v>
      </c>
      <c r="E2" s="180" t="s">
        <v>167</v>
      </c>
      <c r="F2" s="181" t="s">
        <v>168</v>
      </c>
      <c r="G2" s="182" t="s">
        <v>320</v>
      </c>
      <c r="H2" s="183" t="s">
        <v>322</v>
      </c>
      <c r="I2" s="184" t="s">
        <v>323</v>
      </c>
      <c r="J2" s="189" t="s">
        <v>326</v>
      </c>
      <c r="K2" s="186" t="s">
        <v>325</v>
      </c>
      <c r="L2" s="186" t="s">
        <v>324</v>
      </c>
      <c r="M2" s="186" t="s">
        <v>327</v>
      </c>
      <c r="N2" s="188" t="s">
        <v>328</v>
      </c>
    </row>
    <row r="3" spans="1:14" s="111" customFormat="1" ht="30" customHeight="1">
      <c r="A3" s="130">
        <v>1</v>
      </c>
      <c r="B3" s="131">
        <v>46056</v>
      </c>
      <c r="C3" s="132">
        <v>1384893</v>
      </c>
      <c r="D3" s="132" t="s">
        <v>35</v>
      </c>
      <c r="E3" s="133">
        <v>28.64</v>
      </c>
      <c r="F3" s="132" t="s">
        <v>36</v>
      </c>
      <c r="G3" s="271">
        <f>E3*5112.87</f>
        <v>146432.5968</v>
      </c>
      <c r="H3" s="271">
        <f>E3*2392.36</f>
        <v>68517.190400000007</v>
      </c>
      <c r="I3" s="271">
        <f>(E3*7)*63.5</f>
        <v>12730.480000000001</v>
      </c>
      <c r="J3" s="272">
        <f>E3*716</f>
        <v>20506.240000000002</v>
      </c>
      <c r="K3" s="273">
        <v>6260</v>
      </c>
      <c r="L3" s="273">
        <v>1500</v>
      </c>
      <c r="M3" s="274">
        <f>L3+K3+J3+I3+H3+G3</f>
        <v>255946.50719999999</v>
      </c>
      <c r="N3" s="279">
        <f>M3/63</f>
        <v>4062.6429714285714</v>
      </c>
    </row>
    <row r="4" spans="1:14" s="111" customFormat="1" ht="30" customHeight="1">
      <c r="A4" s="139">
        <f>A3+1</f>
        <v>2</v>
      </c>
      <c r="B4" s="113">
        <v>46056</v>
      </c>
      <c r="C4" s="112">
        <v>1384894</v>
      </c>
      <c r="D4" s="112" t="s">
        <v>38</v>
      </c>
      <c r="E4" s="114">
        <v>30.82</v>
      </c>
      <c r="F4" s="112" t="s">
        <v>36</v>
      </c>
      <c r="G4" s="275">
        <f t="shared" ref="G4:G67" si="0">E4*5112.87</f>
        <v>157578.65340000001</v>
      </c>
      <c r="H4" s="275">
        <f t="shared" ref="H4:H67" si="1">E4*2392.36</f>
        <v>73732.535199999998</v>
      </c>
      <c r="I4" s="275">
        <f t="shared" ref="I4:I67" si="2">(E4*7)*63.5</f>
        <v>13699.49</v>
      </c>
      <c r="J4" s="276">
        <f t="shared" ref="J4:J67" si="3">E4*716</f>
        <v>22067.119999999999</v>
      </c>
      <c r="K4" s="277">
        <v>6260</v>
      </c>
      <c r="L4" s="277">
        <v>1500</v>
      </c>
      <c r="M4" s="278">
        <f t="shared" ref="M4:M67" si="4">L4+K4+J4+I4+H4+G4</f>
        <v>274837.79859999998</v>
      </c>
      <c r="N4" s="280">
        <f t="shared" ref="N4:N67" si="5">M4/63</f>
        <v>4362.5047396825394</v>
      </c>
    </row>
    <row r="5" spans="1:14" s="111" customFormat="1" ht="30" customHeight="1">
      <c r="A5" s="139">
        <f t="shared" ref="A5:A68" si="6">A4+1</f>
        <v>3</v>
      </c>
      <c r="B5" s="113">
        <v>46056</v>
      </c>
      <c r="C5" s="112">
        <v>1384895</v>
      </c>
      <c r="D5" s="112" t="s">
        <v>39</v>
      </c>
      <c r="E5" s="114">
        <v>31.76</v>
      </c>
      <c r="F5" s="112" t="s">
        <v>36</v>
      </c>
      <c r="G5" s="275">
        <f t="shared" si="0"/>
        <v>162384.7512</v>
      </c>
      <c r="H5" s="275">
        <f t="shared" si="1"/>
        <v>75981.353600000002</v>
      </c>
      <c r="I5" s="275">
        <f t="shared" si="2"/>
        <v>14117.320000000002</v>
      </c>
      <c r="J5" s="276">
        <f t="shared" si="3"/>
        <v>22740.16</v>
      </c>
      <c r="K5" s="277">
        <v>6260</v>
      </c>
      <c r="L5" s="277">
        <v>1500</v>
      </c>
      <c r="M5" s="278">
        <f t="shared" si="4"/>
        <v>282983.58480000001</v>
      </c>
      <c r="N5" s="280">
        <f t="shared" si="5"/>
        <v>4491.8029333333334</v>
      </c>
    </row>
    <row r="6" spans="1:14" s="111" customFormat="1" ht="30" customHeight="1">
      <c r="A6" s="139">
        <f t="shared" si="6"/>
        <v>4</v>
      </c>
      <c r="B6" s="113">
        <v>46056</v>
      </c>
      <c r="C6" s="112">
        <v>1384896</v>
      </c>
      <c r="D6" s="112" t="s">
        <v>40</v>
      </c>
      <c r="E6" s="114">
        <v>33</v>
      </c>
      <c r="F6" s="112" t="s">
        <v>36</v>
      </c>
      <c r="G6" s="275">
        <f t="shared" si="0"/>
        <v>168724.71</v>
      </c>
      <c r="H6" s="275">
        <f t="shared" si="1"/>
        <v>78947.88</v>
      </c>
      <c r="I6" s="275">
        <f t="shared" si="2"/>
        <v>14668.5</v>
      </c>
      <c r="J6" s="276">
        <f t="shared" si="3"/>
        <v>23628</v>
      </c>
      <c r="K6" s="277">
        <v>6260</v>
      </c>
      <c r="L6" s="277">
        <v>1500</v>
      </c>
      <c r="M6" s="278">
        <f t="shared" si="4"/>
        <v>293729.08999999997</v>
      </c>
      <c r="N6" s="280">
        <f t="shared" si="5"/>
        <v>4662.3665079365073</v>
      </c>
    </row>
    <row r="7" spans="1:14" s="111" customFormat="1" ht="30" customHeight="1">
      <c r="A7" s="139">
        <f t="shared" si="6"/>
        <v>5</v>
      </c>
      <c r="B7" s="113">
        <v>46056</v>
      </c>
      <c r="C7" s="112">
        <v>1384897</v>
      </c>
      <c r="D7" s="112" t="s">
        <v>41</v>
      </c>
      <c r="E7" s="114">
        <v>30.22</v>
      </c>
      <c r="F7" s="112" t="s">
        <v>36</v>
      </c>
      <c r="G7" s="275">
        <f t="shared" si="0"/>
        <v>154510.9314</v>
      </c>
      <c r="H7" s="275">
        <f t="shared" si="1"/>
        <v>72297.119200000001</v>
      </c>
      <c r="I7" s="275">
        <f t="shared" si="2"/>
        <v>13432.789999999999</v>
      </c>
      <c r="J7" s="276">
        <f t="shared" si="3"/>
        <v>21637.52</v>
      </c>
      <c r="K7" s="277">
        <v>6260</v>
      </c>
      <c r="L7" s="277">
        <v>1500</v>
      </c>
      <c r="M7" s="278">
        <f t="shared" si="4"/>
        <v>269638.36060000001</v>
      </c>
      <c r="N7" s="280">
        <f t="shared" si="5"/>
        <v>4279.9739777777777</v>
      </c>
    </row>
    <row r="8" spans="1:14" s="111" customFormat="1" ht="30" customHeight="1">
      <c r="A8" s="139">
        <f t="shared" si="6"/>
        <v>6</v>
      </c>
      <c r="B8" s="113">
        <v>46056</v>
      </c>
      <c r="C8" s="112">
        <v>1384898</v>
      </c>
      <c r="D8" s="112" t="s">
        <v>42</v>
      </c>
      <c r="E8" s="114">
        <v>33.020000000000003</v>
      </c>
      <c r="F8" s="112" t="s">
        <v>36</v>
      </c>
      <c r="G8" s="275">
        <f t="shared" si="0"/>
        <v>168826.96740000002</v>
      </c>
      <c r="H8" s="275">
        <f t="shared" si="1"/>
        <v>78995.727200000008</v>
      </c>
      <c r="I8" s="275">
        <f t="shared" si="2"/>
        <v>14677.390000000001</v>
      </c>
      <c r="J8" s="276">
        <f t="shared" si="3"/>
        <v>23642.320000000003</v>
      </c>
      <c r="K8" s="277">
        <v>6260</v>
      </c>
      <c r="L8" s="277">
        <v>1500</v>
      </c>
      <c r="M8" s="278">
        <f t="shared" si="4"/>
        <v>293902.40460000001</v>
      </c>
      <c r="N8" s="280">
        <f t="shared" si="5"/>
        <v>4665.1175333333331</v>
      </c>
    </row>
    <row r="9" spans="1:14" s="111" customFormat="1" ht="30" customHeight="1">
      <c r="A9" s="139">
        <f t="shared" si="6"/>
        <v>7</v>
      </c>
      <c r="B9" s="113">
        <v>46056</v>
      </c>
      <c r="C9" s="112">
        <v>1384899</v>
      </c>
      <c r="D9" s="112" t="s">
        <v>43</v>
      </c>
      <c r="E9" s="114">
        <v>31.08</v>
      </c>
      <c r="F9" s="112" t="s">
        <v>36</v>
      </c>
      <c r="G9" s="275">
        <f t="shared" si="0"/>
        <v>158907.99959999998</v>
      </c>
      <c r="H9" s="275">
        <f t="shared" si="1"/>
        <v>74354.548800000004</v>
      </c>
      <c r="I9" s="275">
        <f t="shared" si="2"/>
        <v>13815.06</v>
      </c>
      <c r="J9" s="276">
        <f t="shared" si="3"/>
        <v>22253.279999999999</v>
      </c>
      <c r="K9" s="277">
        <v>6260</v>
      </c>
      <c r="L9" s="277">
        <v>1500</v>
      </c>
      <c r="M9" s="278">
        <f t="shared" si="4"/>
        <v>277090.8884</v>
      </c>
      <c r="N9" s="280">
        <f t="shared" si="5"/>
        <v>4398.2680698412696</v>
      </c>
    </row>
    <row r="10" spans="1:14" s="111" customFormat="1" ht="30" customHeight="1">
      <c r="A10" s="139">
        <f t="shared" si="6"/>
        <v>8</v>
      </c>
      <c r="B10" s="113">
        <v>46056</v>
      </c>
      <c r="C10" s="112">
        <v>1384900</v>
      </c>
      <c r="D10" s="112" t="s">
        <v>44</v>
      </c>
      <c r="E10" s="114">
        <v>30.36</v>
      </c>
      <c r="F10" s="112" t="s">
        <v>36</v>
      </c>
      <c r="G10" s="275">
        <f t="shared" si="0"/>
        <v>155226.73319999999</v>
      </c>
      <c r="H10" s="275">
        <f t="shared" si="1"/>
        <v>72632.049599999998</v>
      </c>
      <c r="I10" s="275">
        <f t="shared" si="2"/>
        <v>13495.019999999999</v>
      </c>
      <c r="J10" s="276">
        <f t="shared" si="3"/>
        <v>21737.759999999998</v>
      </c>
      <c r="K10" s="277">
        <v>6260</v>
      </c>
      <c r="L10" s="277">
        <v>1500</v>
      </c>
      <c r="M10" s="278">
        <f t="shared" si="4"/>
        <v>270851.56279999996</v>
      </c>
      <c r="N10" s="280">
        <f t="shared" si="5"/>
        <v>4299.2311555555552</v>
      </c>
    </row>
    <row r="11" spans="1:14" s="111" customFormat="1" ht="30" customHeight="1">
      <c r="A11" s="139">
        <f t="shared" si="6"/>
        <v>9</v>
      </c>
      <c r="B11" s="113">
        <v>46056</v>
      </c>
      <c r="C11" s="112">
        <v>1383697</v>
      </c>
      <c r="D11" s="112" t="s">
        <v>45</v>
      </c>
      <c r="E11" s="114">
        <v>32.520000000000003</v>
      </c>
      <c r="F11" s="112" t="s">
        <v>36</v>
      </c>
      <c r="G11" s="275">
        <f t="shared" si="0"/>
        <v>166270.53240000003</v>
      </c>
      <c r="H11" s="275">
        <f t="shared" si="1"/>
        <v>77799.547200000015</v>
      </c>
      <c r="I11" s="275">
        <f t="shared" si="2"/>
        <v>14455.140000000001</v>
      </c>
      <c r="J11" s="276">
        <f t="shared" si="3"/>
        <v>23284.320000000003</v>
      </c>
      <c r="K11" s="277">
        <v>6260</v>
      </c>
      <c r="L11" s="277">
        <v>1500</v>
      </c>
      <c r="M11" s="278">
        <f t="shared" si="4"/>
        <v>289569.53960000002</v>
      </c>
      <c r="N11" s="280">
        <f t="shared" si="5"/>
        <v>4596.3418984126984</v>
      </c>
    </row>
    <row r="12" spans="1:14" s="111" customFormat="1" ht="30" customHeight="1">
      <c r="A12" s="139">
        <f t="shared" si="6"/>
        <v>10</v>
      </c>
      <c r="B12" s="113">
        <v>46056</v>
      </c>
      <c r="C12" s="112">
        <v>1383698</v>
      </c>
      <c r="D12" s="112" t="s">
        <v>46</v>
      </c>
      <c r="E12" s="114">
        <v>33.1</v>
      </c>
      <c r="F12" s="112" t="s">
        <v>36</v>
      </c>
      <c r="G12" s="275">
        <f t="shared" si="0"/>
        <v>169235.997</v>
      </c>
      <c r="H12" s="275">
        <f t="shared" si="1"/>
        <v>79187.116000000009</v>
      </c>
      <c r="I12" s="275">
        <f t="shared" si="2"/>
        <v>14712.95</v>
      </c>
      <c r="J12" s="276">
        <f t="shared" si="3"/>
        <v>23699.600000000002</v>
      </c>
      <c r="K12" s="277">
        <v>6260</v>
      </c>
      <c r="L12" s="277">
        <v>1500</v>
      </c>
      <c r="M12" s="278">
        <f t="shared" si="4"/>
        <v>294595.663</v>
      </c>
      <c r="N12" s="280">
        <f t="shared" si="5"/>
        <v>4676.1216349206352</v>
      </c>
    </row>
    <row r="13" spans="1:14" s="111" customFormat="1" ht="30" customHeight="1">
      <c r="A13" s="139">
        <f t="shared" si="6"/>
        <v>11</v>
      </c>
      <c r="B13" s="113">
        <v>46056</v>
      </c>
      <c r="C13" s="112">
        <v>1383699</v>
      </c>
      <c r="D13" s="112" t="s">
        <v>47</v>
      </c>
      <c r="E13" s="114">
        <v>30.36</v>
      </c>
      <c r="F13" s="112" t="s">
        <v>36</v>
      </c>
      <c r="G13" s="275">
        <f t="shared" si="0"/>
        <v>155226.73319999999</v>
      </c>
      <c r="H13" s="275">
        <f t="shared" si="1"/>
        <v>72632.049599999998</v>
      </c>
      <c r="I13" s="275">
        <f t="shared" si="2"/>
        <v>13495.019999999999</v>
      </c>
      <c r="J13" s="276">
        <f t="shared" si="3"/>
        <v>21737.759999999998</v>
      </c>
      <c r="K13" s="277">
        <v>6260</v>
      </c>
      <c r="L13" s="277">
        <v>1500</v>
      </c>
      <c r="M13" s="278">
        <f t="shared" si="4"/>
        <v>270851.56279999996</v>
      </c>
      <c r="N13" s="280">
        <f t="shared" si="5"/>
        <v>4299.2311555555552</v>
      </c>
    </row>
    <row r="14" spans="1:14" s="111" customFormat="1" ht="30" customHeight="1">
      <c r="A14" s="139">
        <f t="shared" si="6"/>
        <v>12</v>
      </c>
      <c r="B14" s="113">
        <v>46056</v>
      </c>
      <c r="C14" s="112">
        <v>1383700</v>
      </c>
      <c r="D14" s="112" t="s">
        <v>48</v>
      </c>
      <c r="E14" s="114">
        <v>31.5</v>
      </c>
      <c r="F14" s="112" t="s">
        <v>36</v>
      </c>
      <c r="G14" s="275">
        <f t="shared" si="0"/>
        <v>161055.405</v>
      </c>
      <c r="H14" s="275">
        <f t="shared" si="1"/>
        <v>75359.340000000011</v>
      </c>
      <c r="I14" s="275">
        <f t="shared" si="2"/>
        <v>14001.75</v>
      </c>
      <c r="J14" s="276">
        <f t="shared" si="3"/>
        <v>22554</v>
      </c>
      <c r="K14" s="277">
        <v>6260</v>
      </c>
      <c r="L14" s="277">
        <v>1500</v>
      </c>
      <c r="M14" s="278">
        <f t="shared" si="4"/>
        <v>280730.495</v>
      </c>
      <c r="N14" s="280">
        <f t="shared" si="5"/>
        <v>4456.0396031746031</v>
      </c>
    </row>
    <row r="15" spans="1:14" s="111" customFormat="1" ht="30" customHeight="1">
      <c r="A15" s="139">
        <f t="shared" si="6"/>
        <v>13</v>
      </c>
      <c r="B15" s="113">
        <v>46056</v>
      </c>
      <c r="C15" s="112">
        <v>1376249</v>
      </c>
      <c r="D15" s="112" t="s">
        <v>49</v>
      </c>
      <c r="E15" s="114">
        <v>32.6</v>
      </c>
      <c r="F15" s="112" t="s">
        <v>36</v>
      </c>
      <c r="G15" s="275">
        <f t="shared" si="0"/>
        <v>166679.56200000001</v>
      </c>
      <c r="H15" s="275">
        <f t="shared" si="1"/>
        <v>77990.936000000002</v>
      </c>
      <c r="I15" s="275">
        <f t="shared" si="2"/>
        <v>14490.7</v>
      </c>
      <c r="J15" s="276">
        <f t="shared" si="3"/>
        <v>23341.600000000002</v>
      </c>
      <c r="K15" s="277">
        <v>6260</v>
      </c>
      <c r="L15" s="277">
        <v>1500</v>
      </c>
      <c r="M15" s="278">
        <f t="shared" si="4"/>
        <v>290262.79800000001</v>
      </c>
      <c r="N15" s="280">
        <f t="shared" si="5"/>
        <v>4607.3460000000005</v>
      </c>
    </row>
    <row r="16" spans="1:14" s="111" customFormat="1" ht="30" customHeight="1">
      <c r="A16" s="139">
        <f t="shared" si="6"/>
        <v>14</v>
      </c>
      <c r="B16" s="113">
        <v>46056</v>
      </c>
      <c r="C16" s="112">
        <v>1376250</v>
      </c>
      <c r="D16" s="112" t="s">
        <v>50</v>
      </c>
      <c r="E16" s="114">
        <v>32.14</v>
      </c>
      <c r="F16" s="112" t="s">
        <v>36</v>
      </c>
      <c r="G16" s="275">
        <f t="shared" si="0"/>
        <v>164327.64180000001</v>
      </c>
      <c r="H16" s="275">
        <f t="shared" si="1"/>
        <v>76890.450400000002</v>
      </c>
      <c r="I16" s="275">
        <f t="shared" si="2"/>
        <v>14286.230000000001</v>
      </c>
      <c r="J16" s="276">
        <f t="shared" si="3"/>
        <v>23012.240000000002</v>
      </c>
      <c r="K16" s="277">
        <v>6260</v>
      </c>
      <c r="L16" s="277">
        <v>1500</v>
      </c>
      <c r="M16" s="278">
        <f t="shared" si="4"/>
        <v>286276.56220000004</v>
      </c>
      <c r="N16" s="280">
        <f t="shared" si="5"/>
        <v>4544.0724158730163</v>
      </c>
    </row>
    <row r="17" spans="1:15" s="111" customFormat="1" ht="30" customHeight="1">
      <c r="A17" s="139">
        <f t="shared" si="6"/>
        <v>15</v>
      </c>
      <c r="B17" s="113">
        <v>46056</v>
      </c>
      <c r="C17" s="112">
        <v>1289617</v>
      </c>
      <c r="D17" s="112" t="s">
        <v>51</v>
      </c>
      <c r="E17" s="114">
        <v>27.22</v>
      </c>
      <c r="F17" s="112" t="s">
        <v>36</v>
      </c>
      <c r="G17" s="275">
        <f t="shared" si="0"/>
        <v>139172.32139999999</v>
      </c>
      <c r="H17" s="275">
        <f t="shared" si="1"/>
        <v>65120.039199999999</v>
      </c>
      <c r="I17" s="275">
        <f t="shared" si="2"/>
        <v>12099.289999999999</v>
      </c>
      <c r="J17" s="276">
        <f t="shared" si="3"/>
        <v>19489.52</v>
      </c>
      <c r="K17" s="277">
        <v>6260</v>
      </c>
      <c r="L17" s="277">
        <v>1500</v>
      </c>
      <c r="M17" s="278">
        <f t="shared" si="4"/>
        <v>243641.17059999998</v>
      </c>
      <c r="N17" s="280">
        <f t="shared" si="5"/>
        <v>3867.3201682539679</v>
      </c>
    </row>
    <row r="18" spans="1:15" s="111" customFormat="1" ht="30" customHeight="1">
      <c r="A18" s="139">
        <f t="shared" si="6"/>
        <v>16</v>
      </c>
      <c r="B18" s="113">
        <v>46056</v>
      </c>
      <c r="C18" s="112">
        <v>1383401</v>
      </c>
      <c r="D18" s="112" t="s">
        <v>52</v>
      </c>
      <c r="E18" s="114">
        <v>31.44</v>
      </c>
      <c r="F18" s="112" t="s">
        <v>36</v>
      </c>
      <c r="G18" s="275">
        <f t="shared" si="0"/>
        <v>160748.63279999999</v>
      </c>
      <c r="H18" s="275">
        <f t="shared" si="1"/>
        <v>75215.798400000014</v>
      </c>
      <c r="I18" s="275">
        <f t="shared" si="2"/>
        <v>13975.08</v>
      </c>
      <c r="J18" s="276">
        <f t="shared" si="3"/>
        <v>22511.040000000001</v>
      </c>
      <c r="K18" s="277">
        <v>6260</v>
      </c>
      <c r="L18" s="277">
        <v>1500</v>
      </c>
      <c r="M18" s="278">
        <f t="shared" si="4"/>
        <v>280210.55119999999</v>
      </c>
      <c r="N18" s="280">
        <f t="shared" si="5"/>
        <v>4447.7865269841268</v>
      </c>
    </row>
    <row r="19" spans="1:15" s="111" customFormat="1" ht="30" customHeight="1">
      <c r="A19" s="139">
        <f t="shared" si="6"/>
        <v>17</v>
      </c>
      <c r="B19" s="113">
        <v>46056</v>
      </c>
      <c r="C19" s="112">
        <v>1383402</v>
      </c>
      <c r="D19" s="112" t="s">
        <v>53</v>
      </c>
      <c r="E19" s="114">
        <v>31.82</v>
      </c>
      <c r="F19" s="112" t="s">
        <v>36</v>
      </c>
      <c r="G19" s="275">
        <f t="shared" si="0"/>
        <v>162691.52340000001</v>
      </c>
      <c r="H19" s="275">
        <f t="shared" si="1"/>
        <v>76124.895199999999</v>
      </c>
      <c r="I19" s="275">
        <f t="shared" si="2"/>
        <v>14143.99</v>
      </c>
      <c r="J19" s="276">
        <f t="shared" si="3"/>
        <v>22783.119999999999</v>
      </c>
      <c r="K19" s="277">
        <v>6260</v>
      </c>
      <c r="L19" s="277">
        <v>1500</v>
      </c>
      <c r="M19" s="278">
        <f t="shared" si="4"/>
        <v>283503.52860000002</v>
      </c>
      <c r="N19" s="280">
        <f t="shared" si="5"/>
        <v>4500.0560095238097</v>
      </c>
    </row>
    <row r="20" spans="1:15" s="111" customFormat="1" ht="30" customHeight="1">
      <c r="A20" s="139">
        <f t="shared" si="6"/>
        <v>18</v>
      </c>
      <c r="B20" s="113">
        <v>46056</v>
      </c>
      <c r="C20" s="112">
        <v>1383403</v>
      </c>
      <c r="D20" s="112" t="s">
        <v>54</v>
      </c>
      <c r="E20" s="114">
        <v>31.22</v>
      </c>
      <c r="F20" s="112" t="s">
        <v>36</v>
      </c>
      <c r="G20" s="275">
        <f t="shared" si="0"/>
        <v>159623.8014</v>
      </c>
      <c r="H20" s="275">
        <f t="shared" si="1"/>
        <v>74689.479200000002</v>
      </c>
      <c r="I20" s="275">
        <f t="shared" si="2"/>
        <v>13877.289999999999</v>
      </c>
      <c r="J20" s="276">
        <f t="shared" si="3"/>
        <v>22353.52</v>
      </c>
      <c r="K20" s="277">
        <v>6260</v>
      </c>
      <c r="L20" s="277">
        <v>1500</v>
      </c>
      <c r="M20" s="278">
        <f t="shared" si="4"/>
        <v>278304.0906</v>
      </c>
      <c r="N20" s="280">
        <f t="shared" si="5"/>
        <v>4417.5252476190471</v>
      </c>
    </row>
    <row r="21" spans="1:15" s="111" customFormat="1" ht="30" customHeight="1">
      <c r="A21" s="139">
        <f t="shared" si="6"/>
        <v>19</v>
      </c>
      <c r="B21" s="113">
        <v>46056</v>
      </c>
      <c r="C21" s="112">
        <v>1383404</v>
      </c>
      <c r="D21" s="112" t="s">
        <v>55</v>
      </c>
      <c r="E21" s="114">
        <v>30.74</v>
      </c>
      <c r="F21" s="112" t="s">
        <v>36</v>
      </c>
      <c r="G21" s="275">
        <f t="shared" si="0"/>
        <v>157169.6238</v>
      </c>
      <c r="H21" s="275">
        <f t="shared" si="1"/>
        <v>73541.146399999998</v>
      </c>
      <c r="I21" s="275">
        <f t="shared" si="2"/>
        <v>13663.929999999998</v>
      </c>
      <c r="J21" s="276">
        <f t="shared" si="3"/>
        <v>22009.84</v>
      </c>
      <c r="K21" s="277">
        <v>6260</v>
      </c>
      <c r="L21" s="277">
        <v>1500</v>
      </c>
      <c r="M21" s="278">
        <f t="shared" si="4"/>
        <v>274144.54019999999</v>
      </c>
      <c r="N21" s="280">
        <f t="shared" si="5"/>
        <v>4351.5006380952382</v>
      </c>
    </row>
    <row r="22" spans="1:15" s="111" customFormat="1" ht="30" customHeight="1">
      <c r="A22" s="139">
        <f t="shared" si="6"/>
        <v>20</v>
      </c>
      <c r="B22" s="113">
        <v>46057</v>
      </c>
      <c r="C22" s="112">
        <v>1383405</v>
      </c>
      <c r="D22" s="112" t="s">
        <v>56</v>
      </c>
      <c r="E22" s="114">
        <v>31.6</v>
      </c>
      <c r="F22" s="112" t="s">
        <v>36</v>
      </c>
      <c r="G22" s="275">
        <f t="shared" si="0"/>
        <v>161566.69200000001</v>
      </c>
      <c r="H22" s="275">
        <f t="shared" si="1"/>
        <v>75598.576000000001</v>
      </c>
      <c r="I22" s="275">
        <f t="shared" si="2"/>
        <v>14046.2</v>
      </c>
      <c r="J22" s="276">
        <f t="shared" si="3"/>
        <v>22625.600000000002</v>
      </c>
      <c r="K22" s="277">
        <v>6260</v>
      </c>
      <c r="L22" s="277">
        <v>1500</v>
      </c>
      <c r="M22" s="278">
        <f t="shared" si="4"/>
        <v>281597.06800000003</v>
      </c>
      <c r="N22" s="280">
        <f t="shared" si="5"/>
        <v>4469.794730158731</v>
      </c>
      <c r="O22" s="111">
        <v>61</v>
      </c>
    </row>
    <row r="23" spans="1:15" s="111" customFormat="1" ht="30" customHeight="1">
      <c r="A23" s="139">
        <f t="shared" si="6"/>
        <v>21</v>
      </c>
      <c r="B23" s="113">
        <v>46057</v>
      </c>
      <c r="C23" s="112">
        <v>1383406</v>
      </c>
      <c r="D23" s="112" t="s">
        <v>57</v>
      </c>
      <c r="E23" s="114">
        <v>31.72</v>
      </c>
      <c r="F23" s="112" t="s">
        <v>36</v>
      </c>
      <c r="G23" s="275">
        <f t="shared" si="0"/>
        <v>162180.23639999999</v>
      </c>
      <c r="H23" s="275">
        <f t="shared" si="1"/>
        <v>75885.659199999995</v>
      </c>
      <c r="I23" s="275">
        <f t="shared" si="2"/>
        <v>14099.539999999999</v>
      </c>
      <c r="J23" s="276">
        <f t="shared" si="3"/>
        <v>22711.52</v>
      </c>
      <c r="K23" s="277">
        <v>6260</v>
      </c>
      <c r="L23" s="277">
        <v>1500</v>
      </c>
      <c r="M23" s="278">
        <f t="shared" si="4"/>
        <v>282636.95559999999</v>
      </c>
      <c r="N23" s="280">
        <f t="shared" si="5"/>
        <v>4486.3008825396819</v>
      </c>
    </row>
    <row r="24" spans="1:15" s="111" customFormat="1" ht="30" customHeight="1">
      <c r="A24" s="139">
        <f t="shared" si="6"/>
        <v>22</v>
      </c>
      <c r="B24" s="113">
        <v>46057</v>
      </c>
      <c r="C24" s="112">
        <v>1383407</v>
      </c>
      <c r="D24" s="112" t="s">
        <v>58</v>
      </c>
      <c r="E24" s="114">
        <v>33.299999999999997</v>
      </c>
      <c r="F24" s="112" t="s">
        <v>36</v>
      </c>
      <c r="G24" s="275">
        <f t="shared" si="0"/>
        <v>170258.571</v>
      </c>
      <c r="H24" s="275">
        <f t="shared" si="1"/>
        <v>79665.588000000003</v>
      </c>
      <c r="I24" s="275">
        <f t="shared" si="2"/>
        <v>14801.849999999999</v>
      </c>
      <c r="J24" s="276">
        <f t="shared" si="3"/>
        <v>23842.799999999999</v>
      </c>
      <c r="K24" s="277">
        <v>6260</v>
      </c>
      <c r="L24" s="277">
        <v>1500</v>
      </c>
      <c r="M24" s="278">
        <f t="shared" si="4"/>
        <v>296328.80900000001</v>
      </c>
      <c r="N24" s="280">
        <f t="shared" si="5"/>
        <v>4703.6318888888891</v>
      </c>
    </row>
    <row r="25" spans="1:15" s="111" customFormat="1" ht="30" customHeight="1">
      <c r="A25" s="139">
        <f t="shared" si="6"/>
        <v>23</v>
      </c>
      <c r="B25" s="113">
        <v>46057</v>
      </c>
      <c r="C25" s="112">
        <v>1383408</v>
      </c>
      <c r="D25" s="112" t="s">
        <v>59</v>
      </c>
      <c r="E25" s="114">
        <v>31.72</v>
      </c>
      <c r="F25" s="112" t="s">
        <v>36</v>
      </c>
      <c r="G25" s="275">
        <f t="shared" si="0"/>
        <v>162180.23639999999</v>
      </c>
      <c r="H25" s="275">
        <f t="shared" si="1"/>
        <v>75885.659199999995</v>
      </c>
      <c r="I25" s="275">
        <f t="shared" si="2"/>
        <v>14099.539999999999</v>
      </c>
      <c r="J25" s="276">
        <f t="shared" si="3"/>
        <v>22711.52</v>
      </c>
      <c r="K25" s="277">
        <v>6260</v>
      </c>
      <c r="L25" s="277">
        <v>1500</v>
      </c>
      <c r="M25" s="278">
        <f t="shared" si="4"/>
        <v>282636.95559999999</v>
      </c>
      <c r="N25" s="280">
        <f t="shared" si="5"/>
        <v>4486.3008825396819</v>
      </c>
    </row>
    <row r="26" spans="1:15" s="111" customFormat="1" ht="30" customHeight="1">
      <c r="A26" s="139">
        <f t="shared" si="6"/>
        <v>24</v>
      </c>
      <c r="B26" s="113">
        <v>46057</v>
      </c>
      <c r="C26" s="112">
        <v>1383409</v>
      </c>
      <c r="D26" s="112" t="s">
        <v>60</v>
      </c>
      <c r="E26" s="114">
        <v>33.380000000000003</v>
      </c>
      <c r="F26" s="112" t="s">
        <v>36</v>
      </c>
      <c r="G26" s="275">
        <f t="shared" si="0"/>
        <v>170667.60060000001</v>
      </c>
      <c r="H26" s="275">
        <f t="shared" si="1"/>
        <v>79856.976800000004</v>
      </c>
      <c r="I26" s="275">
        <f t="shared" si="2"/>
        <v>14837.410000000002</v>
      </c>
      <c r="J26" s="276">
        <f t="shared" si="3"/>
        <v>23900.080000000002</v>
      </c>
      <c r="K26" s="277">
        <v>6260</v>
      </c>
      <c r="L26" s="277">
        <v>1500</v>
      </c>
      <c r="M26" s="278">
        <f t="shared" si="4"/>
        <v>297022.0674</v>
      </c>
      <c r="N26" s="280">
        <f t="shared" si="5"/>
        <v>4714.6359904761903</v>
      </c>
    </row>
    <row r="27" spans="1:15" s="111" customFormat="1" ht="30" customHeight="1">
      <c r="A27" s="139">
        <f t="shared" si="6"/>
        <v>25</v>
      </c>
      <c r="B27" s="113">
        <v>46057</v>
      </c>
      <c r="C27" s="112">
        <v>1383410</v>
      </c>
      <c r="D27" s="112" t="s">
        <v>61</v>
      </c>
      <c r="E27" s="114">
        <v>29.42</v>
      </c>
      <c r="F27" s="112" t="s">
        <v>36</v>
      </c>
      <c r="G27" s="275">
        <f t="shared" si="0"/>
        <v>150420.6354</v>
      </c>
      <c r="H27" s="275">
        <f t="shared" si="1"/>
        <v>70383.231200000009</v>
      </c>
      <c r="I27" s="275">
        <f t="shared" si="2"/>
        <v>13077.19</v>
      </c>
      <c r="J27" s="276">
        <f t="shared" si="3"/>
        <v>21064.720000000001</v>
      </c>
      <c r="K27" s="277">
        <v>6260</v>
      </c>
      <c r="L27" s="277">
        <v>1500</v>
      </c>
      <c r="M27" s="278">
        <f t="shared" si="4"/>
        <v>262705.77659999998</v>
      </c>
      <c r="N27" s="280">
        <f t="shared" si="5"/>
        <v>4169.9329619047612</v>
      </c>
    </row>
    <row r="28" spans="1:15" s="111" customFormat="1" ht="30" customHeight="1">
      <c r="A28" s="139">
        <f t="shared" si="6"/>
        <v>26</v>
      </c>
      <c r="B28" s="113">
        <v>46057</v>
      </c>
      <c r="C28" s="112">
        <v>1383411</v>
      </c>
      <c r="D28" s="112" t="s">
        <v>62</v>
      </c>
      <c r="E28" s="114">
        <v>30.98</v>
      </c>
      <c r="F28" s="112" t="s">
        <v>36</v>
      </c>
      <c r="G28" s="275">
        <f t="shared" si="0"/>
        <v>158396.7126</v>
      </c>
      <c r="H28" s="275">
        <f t="shared" si="1"/>
        <v>74115.3128</v>
      </c>
      <c r="I28" s="275">
        <f t="shared" si="2"/>
        <v>13770.61</v>
      </c>
      <c r="J28" s="276">
        <f t="shared" si="3"/>
        <v>22181.68</v>
      </c>
      <c r="K28" s="277">
        <v>6260</v>
      </c>
      <c r="L28" s="277">
        <v>1500</v>
      </c>
      <c r="M28" s="278">
        <f t="shared" si="4"/>
        <v>276224.31539999996</v>
      </c>
      <c r="N28" s="280">
        <f t="shared" si="5"/>
        <v>4384.5129428571427</v>
      </c>
    </row>
    <row r="29" spans="1:15" s="111" customFormat="1" ht="30" customHeight="1">
      <c r="A29" s="139">
        <f t="shared" si="6"/>
        <v>27</v>
      </c>
      <c r="B29" s="113">
        <v>46057</v>
      </c>
      <c r="C29" s="112">
        <v>1383412</v>
      </c>
      <c r="D29" s="112" t="s">
        <v>63</v>
      </c>
      <c r="E29" s="114">
        <v>29.8</v>
      </c>
      <c r="F29" s="112" t="s">
        <v>36</v>
      </c>
      <c r="G29" s="275">
        <f t="shared" si="0"/>
        <v>152363.52600000001</v>
      </c>
      <c r="H29" s="275">
        <f t="shared" si="1"/>
        <v>71292.328000000009</v>
      </c>
      <c r="I29" s="275">
        <f t="shared" si="2"/>
        <v>13246.1</v>
      </c>
      <c r="J29" s="276">
        <f t="shared" si="3"/>
        <v>21336.799999999999</v>
      </c>
      <c r="K29" s="277">
        <v>6260</v>
      </c>
      <c r="L29" s="277">
        <v>1500</v>
      </c>
      <c r="M29" s="278">
        <f t="shared" si="4"/>
        <v>265998.75400000002</v>
      </c>
      <c r="N29" s="280">
        <f t="shared" si="5"/>
        <v>4222.2024444444451</v>
      </c>
    </row>
    <row r="30" spans="1:15" s="111" customFormat="1" ht="30" customHeight="1">
      <c r="A30" s="139">
        <f t="shared" si="6"/>
        <v>28</v>
      </c>
      <c r="B30" s="113">
        <v>46057</v>
      </c>
      <c r="C30" s="112">
        <v>1383413</v>
      </c>
      <c r="D30" s="112" t="s">
        <v>64</v>
      </c>
      <c r="E30" s="114">
        <v>33.56</v>
      </c>
      <c r="F30" s="112" t="s">
        <v>36</v>
      </c>
      <c r="G30" s="275">
        <f t="shared" si="0"/>
        <v>171587.9172</v>
      </c>
      <c r="H30" s="275">
        <f t="shared" si="1"/>
        <v>80287.601600000009</v>
      </c>
      <c r="I30" s="275">
        <f t="shared" si="2"/>
        <v>14917.420000000002</v>
      </c>
      <c r="J30" s="276">
        <f t="shared" si="3"/>
        <v>24028.960000000003</v>
      </c>
      <c r="K30" s="277">
        <v>6260</v>
      </c>
      <c r="L30" s="277">
        <v>1500</v>
      </c>
      <c r="M30" s="278">
        <f t="shared" si="4"/>
        <v>298581.89880000002</v>
      </c>
      <c r="N30" s="280">
        <f t="shared" si="5"/>
        <v>4739.3952190476193</v>
      </c>
    </row>
    <row r="31" spans="1:15" s="111" customFormat="1" ht="30" customHeight="1">
      <c r="A31" s="139">
        <f t="shared" si="6"/>
        <v>29</v>
      </c>
      <c r="B31" s="113">
        <v>46057</v>
      </c>
      <c r="C31" s="112">
        <v>1383414</v>
      </c>
      <c r="D31" s="112" t="s">
        <v>65</v>
      </c>
      <c r="E31" s="114">
        <v>32.6</v>
      </c>
      <c r="F31" s="112" t="s">
        <v>36</v>
      </c>
      <c r="G31" s="275">
        <f t="shared" si="0"/>
        <v>166679.56200000001</v>
      </c>
      <c r="H31" s="275">
        <f t="shared" si="1"/>
        <v>77990.936000000002</v>
      </c>
      <c r="I31" s="275">
        <f t="shared" si="2"/>
        <v>14490.7</v>
      </c>
      <c r="J31" s="276">
        <f t="shared" si="3"/>
        <v>23341.600000000002</v>
      </c>
      <c r="K31" s="277">
        <v>6260</v>
      </c>
      <c r="L31" s="277">
        <v>1500</v>
      </c>
      <c r="M31" s="278">
        <f t="shared" si="4"/>
        <v>290262.79800000001</v>
      </c>
      <c r="N31" s="280">
        <f t="shared" si="5"/>
        <v>4607.3460000000005</v>
      </c>
    </row>
    <row r="32" spans="1:15" s="111" customFormat="1" ht="30" customHeight="1">
      <c r="A32" s="139">
        <f t="shared" si="6"/>
        <v>30</v>
      </c>
      <c r="B32" s="113">
        <v>46057</v>
      </c>
      <c r="C32" s="112">
        <v>1383415</v>
      </c>
      <c r="D32" s="112" t="s">
        <v>66</v>
      </c>
      <c r="E32" s="114">
        <v>30.4</v>
      </c>
      <c r="F32" s="112" t="s">
        <v>36</v>
      </c>
      <c r="G32" s="275">
        <f t="shared" si="0"/>
        <v>155431.24799999999</v>
      </c>
      <c r="H32" s="275">
        <f t="shared" si="1"/>
        <v>72727.744000000006</v>
      </c>
      <c r="I32" s="275">
        <f t="shared" si="2"/>
        <v>13512.8</v>
      </c>
      <c r="J32" s="276">
        <f t="shared" si="3"/>
        <v>21766.399999999998</v>
      </c>
      <c r="K32" s="277">
        <v>6260</v>
      </c>
      <c r="L32" s="277">
        <v>1500</v>
      </c>
      <c r="M32" s="278">
        <f t="shared" si="4"/>
        <v>271198.19199999998</v>
      </c>
      <c r="N32" s="280">
        <f t="shared" si="5"/>
        <v>4304.7332063492058</v>
      </c>
    </row>
    <row r="33" spans="1:15" s="111" customFormat="1" ht="30" customHeight="1">
      <c r="A33" s="139">
        <f t="shared" si="6"/>
        <v>31</v>
      </c>
      <c r="B33" s="113">
        <v>46057</v>
      </c>
      <c r="C33" s="112">
        <v>1383416</v>
      </c>
      <c r="D33" s="112" t="s">
        <v>67</v>
      </c>
      <c r="E33" s="114">
        <v>30.9</v>
      </c>
      <c r="F33" s="112" t="s">
        <v>36</v>
      </c>
      <c r="G33" s="275">
        <f t="shared" si="0"/>
        <v>157987.68299999999</v>
      </c>
      <c r="H33" s="275">
        <f t="shared" si="1"/>
        <v>73923.923999999999</v>
      </c>
      <c r="I33" s="275">
        <f t="shared" si="2"/>
        <v>13735.05</v>
      </c>
      <c r="J33" s="276">
        <f t="shared" si="3"/>
        <v>22124.399999999998</v>
      </c>
      <c r="K33" s="277">
        <v>6260</v>
      </c>
      <c r="L33" s="277">
        <v>1500</v>
      </c>
      <c r="M33" s="278">
        <f t="shared" si="4"/>
        <v>275531.05699999997</v>
      </c>
      <c r="N33" s="280">
        <f t="shared" si="5"/>
        <v>4373.5088412698406</v>
      </c>
    </row>
    <row r="34" spans="1:15" s="111" customFormat="1" ht="30" customHeight="1">
      <c r="A34" s="139">
        <f t="shared" si="6"/>
        <v>32</v>
      </c>
      <c r="B34" s="113">
        <v>46057</v>
      </c>
      <c r="C34" s="112">
        <v>1383417</v>
      </c>
      <c r="D34" s="112" t="s">
        <v>68</v>
      </c>
      <c r="E34" s="114">
        <v>31.34</v>
      </c>
      <c r="F34" s="112" t="s">
        <v>36</v>
      </c>
      <c r="G34" s="275">
        <f t="shared" si="0"/>
        <v>160237.34580000001</v>
      </c>
      <c r="H34" s="275">
        <f t="shared" si="1"/>
        <v>74976.56240000001</v>
      </c>
      <c r="I34" s="275">
        <f t="shared" si="2"/>
        <v>13930.63</v>
      </c>
      <c r="J34" s="276">
        <f t="shared" si="3"/>
        <v>22439.439999999999</v>
      </c>
      <c r="K34" s="277">
        <v>6260</v>
      </c>
      <c r="L34" s="277">
        <v>1500</v>
      </c>
      <c r="M34" s="278">
        <f t="shared" si="4"/>
        <v>279343.97820000001</v>
      </c>
      <c r="N34" s="280">
        <f t="shared" si="5"/>
        <v>4434.0313999999998</v>
      </c>
    </row>
    <row r="35" spans="1:15" s="111" customFormat="1" ht="30" customHeight="1">
      <c r="A35" s="139">
        <f t="shared" si="6"/>
        <v>33</v>
      </c>
      <c r="B35" s="113">
        <v>46059</v>
      </c>
      <c r="C35" s="112">
        <v>1383351</v>
      </c>
      <c r="D35" s="112" t="s">
        <v>69</v>
      </c>
      <c r="E35" s="114">
        <v>30.58</v>
      </c>
      <c r="F35" s="112" t="s">
        <v>36</v>
      </c>
      <c r="G35" s="275">
        <f t="shared" si="0"/>
        <v>156351.56459999998</v>
      </c>
      <c r="H35" s="275">
        <f t="shared" si="1"/>
        <v>73158.368799999997</v>
      </c>
      <c r="I35" s="275">
        <f t="shared" si="2"/>
        <v>13592.81</v>
      </c>
      <c r="J35" s="276">
        <f t="shared" si="3"/>
        <v>21895.279999999999</v>
      </c>
      <c r="K35" s="277">
        <v>6260</v>
      </c>
      <c r="L35" s="277">
        <v>1500</v>
      </c>
      <c r="M35" s="278">
        <f t="shared" si="4"/>
        <v>272758.02339999995</v>
      </c>
      <c r="N35" s="280">
        <f t="shared" si="5"/>
        <v>4329.492434920634</v>
      </c>
      <c r="O35" s="111">
        <v>62</v>
      </c>
    </row>
    <row r="36" spans="1:15" s="111" customFormat="1" ht="30" customHeight="1">
      <c r="A36" s="139">
        <f t="shared" si="6"/>
        <v>34</v>
      </c>
      <c r="B36" s="113">
        <v>46059</v>
      </c>
      <c r="C36" s="112">
        <v>1383352</v>
      </c>
      <c r="D36" s="112" t="s">
        <v>70</v>
      </c>
      <c r="E36" s="114">
        <v>29.58</v>
      </c>
      <c r="F36" s="112" t="s">
        <v>36</v>
      </c>
      <c r="G36" s="275">
        <f t="shared" si="0"/>
        <v>151238.69459999999</v>
      </c>
      <c r="H36" s="275">
        <f t="shared" si="1"/>
        <v>70766.008799999996</v>
      </c>
      <c r="I36" s="275">
        <f t="shared" si="2"/>
        <v>13148.31</v>
      </c>
      <c r="J36" s="276">
        <f t="shared" si="3"/>
        <v>21179.279999999999</v>
      </c>
      <c r="K36" s="277">
        <v>6260</v>
      </c>
      <c r="L36" s="277">
        <v>1500</v>
      </c>
      <c r="M36" s="278">
        <f t="shared" si="4"/>
        <v>264092.29339999997</v>
      </c>
      <c r="N36" s="280">
        <f t="shared" si="5"/>
        <v>4191.9411650793645</v>
      </c>
    </row>
    <row r="37" spans="1:15" s="111" customFormat="1" ht="30" customHeight="1">
      <c r="A37" s="139">
        <f t="shared" si="6"/>
        <v>35</v>
      </c>
      <c r="B37" s="113">
        <v>46059</v>
      </c>
      <c r="C37" s="112">
        <v>1383353</v>
      </c>
      <c r="D37" s="112" t="s">
        <v>71</v>
      </c>
      <c r="E37" s="114">
        <v>30.1</v>
      </c>
      <c r="F37" s="112" t="s">
        <v>36</v>
      </c>
      <c r="G37" s="275">
        <f t="shared" si="0"/>
        <v>153897.38700000002</v>
      </c>
      <c r="H37" s="275">
        <f t="shared" si="1"/>
        <v>72010.036000000007</v>
      </c>
      <c r="I37" s="275">
        <f t="shared" si="2"/>
        <v>13379.45</v>
      </c>
      <c r="J37" s="276">
        <f t="shared" si="3"/>
        <v>21551.600000000002</v>
      </c>
      <c r="K37" s="277">
        <v>6260</v>
      </c>
      <c r="L37" s="277">
        <v>1500</v>
      </c>
      <c r="M37" s="278">
        <f t="shared" si="4"/>
        <v>268598.473</v>
      </c>
      <c r="N37" s="280">
        <f t="shared" si="5"/>
        <v>4263.467825396825</v>
      </c>
    </row>
    <row r="38" spans="1:15" s="111" customFormat="1" ht="30" customHeight="1">
      <c r="A38" s="139">
        <f t="shared" si="6"/>
        <v>36</v>
      </c>
      <c r="B38" s="113">
        <v>46059</v>
      </c>
      <c r="C38" s="112">
        <v>1383354</v>
      </c>
      <c r="D38" s="112" t="s">
        <v>72</v>
      </c>
      <c r="E38" s="114">
        <v>31.2</v>
      </c>
      <c r="F38" s="112" t="s">
        <v>36</v>
      </c>
      <c r="G38" s="275">
        <f t="shared" si="0"/>
        <v>159521.54399999999</v>
      </c>
      <c r="H38" s="275">
        <f t="shared" si="1"/>
        <v>74641.631999999998</v>
      </c>
      <c r="I38" s="275">
        <f t="shared" si="2"/>
        <v>13868.4</v>
      </c>
      <c r="J38" s="276">
        <f t="shared" si="3"/>
        <v>22339.200000000001</v>
      </c>
      <c r="K38" s="277">
        <v>6260</v>
      </c>
      <c r="L38" s="277">
        <v>1500</v>
      </c>
      <c r="M38" s="278">
        <f t="shared" si="4"/>
        <v>278130.77599999995</v>
      </c>
      <c r="N38" s="280">
        <f t="shared" si="5"/>
        <v>4414.7742222222214</v>
      </c>
    </row>
    <row r="39" spans="1:15" s="111" customFormat="1" ht="30" customHeight="1">
      <c r="A39" s="139">
        <f t="shared" si="6"/>
        <v>37</v>
      </c>
      <c r="B39" s="113">
        <v>46059</v>
      </c>
      <c r="C39" s="112">
        <v>1383355</v>
      </c>
      <c r="D39" s="112" t="s">
        <v>73</v>
      </c>
      <c r="E39" s="114">
        <v>31.26</v>
      </c>
      <c r="F39" s="112" t="s">
        <v>36</v>
      </c>
      <c r="G39" s="275">
        <f t="shared" si="0"/>
        <v>159828.3162</v>
      </c>
      <c r="H39" s="275">
        <f t="shared" si="1"/>
        <v>74785.173600000009</v>
      </c>
      <c r="I39" s="275">
        <f t="shared" si="2"/>
        <v>13895.070000000002</v>
      </c>
      <c r="J39" s="276">
        <f t="shared" si="3"/>
        <v>22382.16</v>
      </c>
      <c r="K39" s="277">
        <v>6260</v>
      </c>
      <c r="L39" s="277">
        <v>1500</v>
      </c>
      <c r="M39" s="278">
        <f t="shared" si="4"/>
        <v>278650.71980000002</v>
      </c>
      <c r="N39" s="280">
        <f t="shared" si="5"/>
        <v>4423.0272984126987</v>
      </c>
    </row>
    <row r="40" spans="1:15" s="111" customFormat="1" ht="30" customHeight="1">
      <c r="A40" s="139">
        <f t="shared" si="6"/>
        <v>38</v>
      </c>
      <c r="B40" s="113">
        <v>46059</v>
      </c>
      <c r="C40" s="112">
        <v>1383356</v>
      </c>
      <c r="D40" s="112" t="s">
        <v>74</v>
      </c>
      <c r="E40" s="114">
        <v>28.52</v>
      </c>
      <c r="F40" s="112" t="s">
        <v>36</v>
      </c>
      <c r="G40" s="275">
        <f t="shared" si="0"/>
        <v>145819.05239999999</v>
      </c>
      <c r="H40" s="275">
        <f t="shared" si="1"/>
        <v>68230.107199999999</v>
      </c>
      <c r="I40" s="275">
        <f t="shared" si="2"/>
        <v>12677.14</v>
      </c>
      <c r="J40" s="276">
        <f t="shared" si="3"/>
        <v>20420.32</v>
      </c>
      <c r="K40" s="277">
        <v>6260</v>
      </c>
      <c r="L40" s="277">
        <v>1500</v>
      </c>
      <c r="M40" s="278">
        <f t="shared" si="4"/>
        <v>254906.61959999998</v>
      </c>
      <c r="N40" s="280">
        <f t="shared" si="5"/>
        <v>4046.1368190476187</v>
      </c>
    </row>
    <row r="41" spans="1:15" s="111" customFormat="1" ht="30" customHeight="1">
      <c r="A41" s="139">
        <f t="shared" si="6"/>
        <v>39</v>
      </c>
      <c r="B41" s="113">
        <v>46059</v>
      </c>
      <c r="C41" s="112">
        <v>1383357</v>
      </c>
      <c r="D41" s="112" t="s">
        <v>75</v>
      </c>
      <c r="E41" s="114">
        <v>30.66</v>
      </c>
      <c r="F41" s="112" t="s">
        <v>36</v>
      </c>
      <c r="G41" s="275">
        <f t="shared" si="0"/>
        <v>156760.59419999999</v>
      </c>
      <c r="H41" s="275">
        <f t="shared" si="1"/>
        <v>73349.757599999997</v>
      </c>
      <c r="I41" s="275">
        <f t="shared" si="2"/>
        <v>13628.37</v>
      </c>
      <c r="J41" s="276">
        <f t="shared" si="3"/>
        <v>21952.560000000001</v>
      </c>
      <c r="K41" s="277">
        <v>6260</v>
      </c>
      <c r="L41" s="277">
        <v>1500</v>
      </c>
      <c r="M41" s="278">
        <f t="shared" si="4"/>
        <v>273451.2818</v>
      </c>
      <c r="N41" s="280">
        <f t="shared" si="5"/>
        <v>4340.4965365079361</v>
      </c>
    </row>
    <row r="42" spans="1:15" s="111" customFormat="1" ht="30" customHeight="1">
      <c r="A42" s="139">
        <f t="shared" si="6"/>
        <v>40</v>
      </c>
      <c r="B42" s="113">
        <v>46059</v>
      </c>
      <c r="C42" s="112">
        <v>1383358</v>
      </c>
      <c r="D42" s="112" t="s">
        <v>76</v>
      </c>
      <c r="E42" s="114">
        <v>31.38</v>
      </c>
      <c r="F42" s="112" t="s">
        <v>36</v>
      </c>
      <c r="G42" s="275">
        <f t="shared" si="0"/>
        <v>160441.86059999999</v>
      </c>
      <c r="H42" s="275">
        <f t="shared" si="1"/>
        <v>75072.256800000003</v>
      </c>
      <c r="I42" s="275">
        <f t="shared" si="2"/>
        <v>13948.41</v>
      </c>
      <c r="J42" s="276">
        <f t="shared" si="3"/>
        <v>22468.079999999998</v>
      </c>
      <c r="K42" s="277">
        <v>6260</v>
      </c>
      <c r="L42" s="277">
        <v>1500</v>
      </c>
      <c r="M42" s="278">
        <f t="shared" si="4"/>
        <v>279690.60739999998</v>
      </c>
      <c r="N42" s="280">
        <f t="shared" si="5"/>
        <v>4439.5334507936504</v>
      </c>
    </row>
    <row r="43" spans="1:15" s="111" customFormat="1" ht="30" customHeight="1">
      <c r="A43" s="139">
        <f t="shared" si="6"/>
        <v>41</v>
      </c>
      <c r="B43" s="113">
        <v>46059</v>
      </c>
      <c r="C43" s="112">
        <v>1383359</v>
      </c>
      <c r="D43" s="112" t="s">
        <v>77</v>
      </c>
      <c r="E43" s="114">
        <v>31.76</v>
      </c>
      <c r="F43" s="112" t="s">
        <v>36</v>
      </c>
      <c r="G43" s="275">
        <f t="shared" si="0"/>
        <v>162384.7512</v>
      </c>
      <c r="H43" s="275">
        <f t="shared" si="1"/>
        <v>75981.353600000002</v>
      </c>
      <c r="I43" s="275">
        <f t="shared" si="2"/>
        <v>14117.320000000002</v>
      </c>
      <c r="J43" s="276">
        <f t="shared" si="3"/>
        <v>22740.16</v>
      </c>
      <c r="K43" s="277">
        <v>6260</v>
      </c>
      <c r="L43" s="277">
        <v>1500</v>
      </c>
      <c r="M43" s="278">
        <f t="shared" si="4"/>
        <v>282983.58480000001</v>
      </c>
      <c r="N43" s="280">
        <f t="shared" si="5"/>
        <v>4491.8029333333334</v>
      </c>
    </row>
    <row r="44" spans="1:15" s="111" customFormat="1" ht="30" customHeight="1">
      <c r="A44" s="139">
        <f t="shared" si="6"/>
        <v>42</v>
      </c>
      <c r="B44" s="113">
        <v>46059</v>
      </c>
      <c r="C44" s="112">
        <v>1383360</v>
      </c>
      <c r="D44" s="112" t="s">
        <v>78</v>
      </c>
      <c r="E44" s="114">
        <v>30.2</v>
      </c>
      <c r="F44" s="112" t="s">
        <v>36</v>
      </c>
      <c r="G44" s="275">
        <f t="shared" si="0"/>
        <v>154408.674</v>
      </c>
      <c r="H44" s="275">
        <f t="shared" si="1"/>
        <v>72249.271999999997</v>
      </c>
      <c r="I44" s="275">
        <f t="shared" si="2"/>
        <v>13423.9</v>
      </c>
      <c r="J44" s="276">
        <f t="shared" si="3"/>
        <v>21623.200000000001</v>
      </c>
      <c r="K44" s="277">
        <v>6260</v>
      </c>
      <c r="L44" s="277">
        <v>1500</v>
      </c>
      <c r="M44" s="278">
        <f t="shared" si="4"/>
        <v>269465.04599999997</v>
      </c>
      <c r="N44" s="280">
        <f t="shared" si="5"/>
        <v>4277.2229523809519</v>
      </c>
    </row>
    <row r="45" spans="1:15" s="111" customFormat="1" ht="30" customHeight="1">
      <c r="A45" s="139">
        <f t="shared" si="6"/>
        <v>43</v>
      </c>
      <c r="B45" s="113">
        <v>46059</v>
      </c>
      <c r="C45" s="112">
        <v>1383361</v>
      </c>
      <c r="D45" s="112" t="s">
        <v>79</v>
      </c>
      <c r="E45" s="114">
        <v>30.4</v>
      </c>
      <c r="F45" s="112" t="s">
        <v>36</v>
      </c>
      <c r="G45" s="275">
        <f t="shared" si="0"/>
        <v>155431.24799999999</v>
      </c>
      <c r="H45" s="275">
        <f t="shared" si="1"/>
        <v>72727.744000000006</v>
      </c>
      <c r="I45" s="275">
        <f t="shared" si="2"/>
        <v>13512.8</v>
      </c>
      <c r="J45" s="276">
        <f t="shared" si="3"/>
        <v>21766.399999999998</v>
      </c>
      <c r="K45" s="277">
        <v>6260</v>
      </c>
      <c r="L45" s="277">
        <v>1500</v>
      </c>
      <c r="M45" s="278">
        <f t="shared" si="4"/>
        <v>271198.19199999998</v>
      </c>
      <c r="N45" s="280">
        <f t="shared" si="5"/>
        <v>4304.7332063492058</v>
      </c>
    </row>
    <row r="46" spans="1:15" s="111" customFormat="1" ht="30" customHeight="1">
      <c r="A46" s="139">
        <f t="shared" si="6"/>
        <v>44</v>
      </c>
      <c r="B46" s="113">
        <v>46059</v>
      </c>
      <c r="C46" s="112">
        <v>1383362</v>
      </c>
      <c r="D46" s="112" t="s">
        <v>80</v>
      </c>
      <c r="E46" s="114">
        <v>31.44</v>
      </c>
      <c r="F46" s="112" t="s">
        <v>36</v>
      </c>
      <c r="G46" s="275">
        <f t="shared" si="0"/>
        <v>160748.63279999999</v>
      </c>
      <c r="H46" s="275">
        <f t="shared" si="1"/>
        <v>75215.798400000014</v>
      </c>
      <c r="I46" s="275">
        <f t="shared" si="2"/>
        <v>13975.08</v>
      </c>
      <c r="J46" s="276">
        <f t="shared" si="3"/>
        <v>22511.040000000001</v>
      </c>
      <c r="K46" s="277">
        <v>6260</v>
      </c>
      <c r="L46" s="277">
        <v>1500</v>
      </c>
      <c r="M46" s="278">
        <f t="shared" si="4"/>
        <v>280210.55119999999</v>
      </c>
      <c r="N46" s="280">
        <f t="shared" si="5"/>
        <v>4447.7865269841268</v>
      </c>
    </row>
    <row r="47" spans="1:15" s="111" customFormat="1" ht="30" customHeight="1">
      <c r="A47" s="139">
        <f t="shared" si="6"/>
        <v>45</v>
      </c>
      <c r="B47" s="113">
        <v>46059</v>
      </c>
      <c r="C47" s="112">
        <v>1383363</v>
      </c>
      <c r="D47" s="112" t="s">
        <v>81</v>
      </c>
      <c r="E47" s="114">
        <v>30.24</v>
      </c>
      <c r="F47" s="112" t="s">
        <v>36</v>
      </c>
      <c r="G47" s="275">
        <f t="shared" si="0"/>
        <v>154613.18879999997</v>
      </c>
      <c r="H47" s="275">
        <f t="shared" si="1"/>
        <v>72344.966400000005</v>
      </c>
      <c r="I47" s="275">
        <f t="shared" si="2"/>
        <v>13441.679999999998</v>
      </c>
      <c r="J47" s="276">
        <f t="shared" si="3"/>
        <v>21651.84</v>
      </c>
      <c r="K47" s="277">
        <v>6260</v>
      </c>
      <c r="L47" s="277">
        <v>1500</v>
      </c>
      <c r="M47" s="278">
        <f t="shared" si="4"/>
        <v>269811.67519999994</v>
      </c>
      <c r="N47" s="280">
        <f t="shared" si="5"/>
        <v>4282.7250031746025</v>
      </c>
    </row>
    <row r="48" spans="1:15" s="111" customFormat="1" ht="30" customHeight="1">
      <c r="A48" s="139">
        <f t="shared" si="6"/>
        <v>46</v>
      </c>
      <c r="B48" s="113">
        <v>46059</v>
      </c>
      <c r="C48" s="112">
        <v>1383364</v>
      </c>
      <c r="D48" s="112" t="s">
        <v>82</v>
      </c>
      <c r="E48" s="114">
        <v>32</v>
      </c>
      <c r="F48" s="112" t="s">
        <v>36</v>
      </c>
      <c r="G48" s="275">
        <f t="shared" si="0"/>
        <v>163611.84</v>
      </c>
      <c r="H48" s="275">
        <f t="shared" si="1"/>
        <v>76555.520000000004</v>
      </c>
      <c r="I48" s="275">
        <f t="shared" si="2"/>
        <v>14224</v>
      </c>
      <c r="J48" s="276">
        <f t="shared" si="3"/>
        <v>22912</v>
      </c>
      <c r="K48" s="277">
        <v>6260</v>
      </c>
      <c r="L48" s="277">
        <v>1500</v>
      </c>
      <c r="M48" s="278">
        <f t="shared" si="4"/>
        <v>285063.36</v>
      </c>
      <c r="N48" s="280">
        <f t="shared" si="5"/>
        <v>4524.8152380952379</v>
      </c>
    </row>
    <row r="49" spans="1:15" s="111" customFormat="1" ht="30" customHeight="1">
      <c r="A49" s="139">
        <f t="shared" si="6"/>
        <v>47</v>
      </c>
      <c r="B49" s="113">
        <v>46059</v>
      </c>
      <c r="C49" s="112">
        <v>1383365</v>
      </c>
      <c r="D49" s="112" t="s">
        <v>83</v>
      </c>
      <c r="E49" s="114">
        <v>33.479999999999997</v>
      </c>
      <c r="F49" s="112" t="s">
        <v>36</v>
      </c>
      <c r="G49" s="275">
        <f t="shared" si="0"/>
        <v>171178.88759999999</v>
      </c>
      <c r="H49" s="275">
        <f t="shared" si="1"/>
        <v>80096.212799999994</v>
      </c>
      <c r="I49" s="275">
        <f t="shared" si="2"/>
        <v>14881.859999999999</v>
      </c>
      <c r="J49" s="276">
        <f t="shared" si="3"/>
        <v>23971.679999999997</v>
      </c>
      <c r="K49" s="277">
        <v>6260</v>
      </c>
      <c r="L49" s="277">
        <v>1500</v>
      </c>
      <c r="M49" s="278">
        <f t="shared" si="4"/>
        <v>297888.64039999997</v>
      </c>
      <c r="N49" s="280">
        <f t="shared" si="5"/>
        <v>4728.3911174603172</v>
      </c>
    </row>
    <row r="50" spans="1:15" s="111" customFormat="1" ht="30" customHeight="1">
      <c r="A50" s="139">
        <f t="shared" si="6"/>
        <v>48</v>
      </c>
      <c r="B50" s="113">
        <v>46059</v>
      </c>
      <c r="C50" s="112">
        <v>1383366</v>
      </c>
      <c r="D50" s="112" t="s">
        <v>84</v>
      </c>
      <c r="E50" s="114">
        <v>30.4</v>
      </c>
      <c r="F50" s="112" t="s">
        <v>36</v>
      </c>
      <c r="G50" s="275">
        <f t="shared" si="0"/>
        <v>155431.24799999999</v>
      </c>
      <c r="H50" s="275">
        <f t="shared" si="1"/>
        <v>72727.744000000006</v>
      </c>
      <c r="I50" s="275">
        <f t="shared" si="2"/>
        <v>13512.8</v>
      </c>
      <c r="J50" s="276">
        <f t="shared" si="3"/>
        <v>21766.399999999998</v>
      </c>
      <c r="K50" s="277">
        <v>6260</v>
      </c>
      <c r="L50" s="277">
        <v>1500</v>
      </c>
      <c r="M50" s="278">
        <f t="shared" si="4"/>
        <v>271198.19199999998</v>
      </c>
      <c r="N50" s="280">
        <f t="shared" si="5"/>
        <v>4304.7332063492058</v>
      </c>
    </row>
    <row r="51" spans="1:15" s="111" customFormat="1" ht="30" customHeight="1">
      <c r="A51" s="139">
        <f t="shared" si="6"/>
        <v>49</v>
      </c>
      <c r="B51" s="113">
        <v>46059</v>
      </c>
      <c r="C51" s="112">
        <v>1383367</v>
      </c>
      <c r="D51" s="112" t="s">
        <v>85</v>
      </c>
      <c r="E51" s="114">
        <v>25.54</v>
      </c>
      <c r="F51" s="112" t="s">
        <v>36</v>
      </c>
      <c r="G51" s="275">
        <f t="shared" si="0"/>
        <v>130582.69979999999</v>
      </c>
      <c r="H51" s="275">
        <f t="shared" si="1"/>
        <v>61100.874400000001</v>
      </c>
      <c r="I51" s="275">
        <f t="shared" si="2"/>
        <v>11352.53</v>
      </c>
      <c r="J51" s="276">
        <f t="shared" si="3"/>
        <v>18286.64</v>
      </c>
      <c r="K51" s="277">
        <v>6260</v>
      </c>
      <c r="L51" s="277">
        <v>1500</v>
      </c>
      <c r="M51" s="278">
        <f t="shared" si="4"/>
        <v>229082.74419999999</v>
      </c>
      <c r="N51" s="280">
        <f t="shared" si="5"/>
        <v>3636.2340349206347</v>
      </c>
      <c r="O51" s="111">
        <v>63</v>
      </c>
    </row>
    <row r="52" spans="1:15" s="111" customFormat="1" ht="30" customHeight="1">
      <c r="A52" s="139">
        <f t="shared" si="6"/>
        <v>50</v>
      </c>
      <c r="B52" s="113">
        <v>46059</v>
      </c>
      <c r="C52" s="112">
        <v>1383368</v>
      </c>
      <c r="D52" s="112" t="s">
        <v>86</v>
      </c>
      <c r="E52" s="114">
        <v>31.94</v>
      </c>
      <c r="F52" s="112" t="s">
        <v>36</v>
      </c>
      <c r="G52" s="275">
        <f t="shared" si="0"/>
        <v>163305.06779999999</v>
      </c>
      <c r="H52" s="275">
        <f t="shared" si="1"/>
        <v>76411.978400000007</v>
      </c>
      <c r="I52" s="275">
        <f t="shared" si="2"/>
        <v>14197.33</v>
      </c>
      <c r="J52" s="276">
        <f t="shared" si="3"/>
        <v>22869.040000000001</v>
      </c>
      <c r="K52" s="277">
        <v>6260</v>
      </c>
      <c r="L52" s="277">
        <v>1500</v>
      </c>
      <c r="M52" s="278">
        <f t="shared" si="4"/>
        <v>284543.41619999998</v>
      </c>
      <c r="N52" s="280">
        <f t="shared" si="5"/>
        <v>4516.5621619047615</v>
      </c>
    </row>
    <row r="53" spans="1:15" s="111" customFormat="1" ht="30" customHeight="1">
      <c r="A53" s="139">
        <f t="shared" si="6"/>
        <v>51</v>
      </c>
      <c r="B53" s="113">
        <v>46059</v>
      </c>
      <c r="C53" s="112">
        <v>1383369</v>
      </c>
      <c r="D53" s="112" t="s">
        <v>87</v>
      </c>
      <c r="E53" s="114">
        <v>33.08</v>
      </c>
      <c r="F53" s="112" t="s">
        <v>36</v>
      </c>
      <c r="G53" s="275">
        <f t="shared" si="0"/>
        <v>169133.7396</v>
      </c>
      <c r="H53" s="275">
        <f t="shared" si="1"/>
        <v>79139.268800000005</v>
      </c>
      <c r="I53" s="275">
        <f t="shared" si="2"/>
        <v>14704.06</v>
      </c>
      <c r="J53" s="276">
        <f t="shared" si="3"/>
        <v>23685.279999999999</v>
      </c>
      <c r="K53" s="277">
        <v>6260</v>
      </c>
      <c r="L53" s="277">
        <v>1500</v>
      </c>
      <c r="M53" s="278">
        <f t="shared" si="4"/>
        <v>294422.34840000002</v>
      </c>
      <c r="N53" s="280">
        <f t="shared" si="5"/>
        <v>4673.3706095238094</v>
      </c>
    </row>
    <row r="54" spans="1:15" s="111" customFormat="1" ht="30" customHeight="1">
      <c r="A54" s="139">
        <f t="shared" si="6"/>
        <v>52</v>
      </c>
      <c r="B54" s="113">
        <v>46059</v>
      </c>
      <c r="C54" s="112">
        <v>1383370</v>
      </c>
      <c r="D54" s="112" t="s">
        <v>88</v>
      </c>
      <c r="E54" s="114">
        <v>29.08</v>
      </c>
      <c r="F54" s="112" t="s">
        <v>36</v>
      </c>
      <c r="G54" s="275">
        <f t="shared" si="0"/>
        <v>148682.25959999999</v>
      </c>
      <c r="H54" s="275">
        <f t="shared" si="1"/>
        <v>69569.828800000003</v>
      </c>
      <c r="I54" s="275">
        <f t="shared" si="2"/>
        <v>12926.06</v>
      </c>
      <c r="J54" s="276">
        <f t="shared" si="3"/>
        <v>20821.28</v>
      </c>
      <c r="K54" s="277">
        <v>6260</v>
      </c>
      <c r="L54" s="277">
        <v>1500</v>
      </c>
      <c r="M54" s="278">
        <f t="shared" si="4"/>
        <v>259759.42839999998</v>
      </c>
      <c r="N54" s="280">
        <f t="shared" si="5"/>
        <v>4123.1655301587298</v>
      </c>
    </row>
    <row r="55" spans="1:15" s="111" customFormat="1" ht="30" customHeight="1">
      <c r="A55" s="139">
        <f t="shared" si="6"/>
        <v>53</v>
      </c>
      <c r="B55" s="113">
        <v>46059</v>
      </c>
      <c r="C55" s="112">
        <v>1383371</v>
      </c>
      <c r="D55" s="112" t="s">
        <v>89</v>
      </c>
      <c r="E55" s="114">
        <v>29.52</v>
      </c>
      <c r="F55" s="112" t="s">
        <v>36</v>
      </c>
      <c r="G55" s="275">
        <f t="shared" si="0"/>
        <v>150931.92239999998</v>
      </c>
      <c r="H55" s="275">
        <f t="shared" si="1"/>
        <v>70622.467199999999</v>
      </c>
      <c r="I55" s="275">
        <f t="shared" si="2"/>
        <v>13121.64</v>
      </c>
      <c r="J55" s="276">
        <f t="shared" si="3"/>
        <v>21136.32</v>
      </c>
      <c r="K55" s="277">
        <v>6260</v>
      </c>
      <c r="L55" s="277">
        <v>1500</v>
      </c>
      <c r="M55" s="278">
        <f t="shared" si="4"/>
        <v>263572.34959999996</v>
      </c>
      <c r="N55" s="280">
        <f t="shared" si="5"/>
        <v>4183.6880888888882</v>
      </c>
    </row>
    <row r="56" spans="1:15" s="111" customFormat="1" ht="30" customHeight="1">
      <c r="A56" s="139">
        <f t="shared" si="6"/>
        <v>54</v>
      </c>
      <c r="B56" s="113">
        <v>46059</v>
      </c>
      <c r="C56" s="112">
        <v>1383372</v>
      </c>
      <c r="D56" s="112" t="s">
        <v>90</v>
      </c>
      <c r="E56" s="114">
        <v>32.54</v>
      </c>
      <c r="F56" s="112" t="s">
        <v>36</v>
      </c>
      <c r="G56" s="275">
        <f t="shared" si="0"/>
        <v>166372.7898</v>
      </c>
      <c r="H56" s="275">
        <f t="shared" si="1"/>
        <v>77847.394400000005</v>
      </c>
      <c r="I56" s="275">
        <f t="shared" si="2"/>
        <v>14464.03</v>
      </c>
      <c r="J56" s="276">
        <f t="shared" si="3"/>
        <v>23298.639999999999</v>
      </c>
      <c r="K56" s="277">
        <v>6260</v>
      </c>
      <c r="L56" s="277">
        <v>1500</v>
      </c>
      <c r="M56" s="278">
        <f t="shared" si="4"/>
        <v>289742.8542</v>
      </c>
      <c r="N56" s="280">
        <f t="shared" si="5"/>
        <v>4599.0929238095241</v>
      </c>
    </row>
    <row r="57" spans="1:15" s="111" customFormat="1" ht="30" customHeight="1">
      <c r="A57" s="139">
        <f t="shared" si="6"/>
        <v>55</v>
      </c>
      <c r="B57" s="113">
        <v>46059</v>
      </c>
      <c r="C57" s="112">
        <v>1383373</v>
      </c>
      <c r="D57" s="112" t="s">
        <v>91</v>
      </c>
      <c r="E57" s="114">
        <v>32.24</v>
      </c>
      <c r="F57" s="112" t="s">
        <v>36</v>
      </c>
      <c r="G57" s="275">
        <f t="shared" si="0"/>
        <v>164838.92879999999</v>
      </c>
      <c r="H57" s="275">
        <f t="shared" si="1"/>
        <v>77129.686400000006</v>
      </c>
      <c r="I57" s="275">
        <f t="shared" si="2"/>
        <v>14330.68</v>
      </c>
      <c r="J57" s="276">
        <f t="shared" si="3"/>
        <v>23083.84</v>
      </c>
      <c r="K57" s="277">
        <v>6260</v>
      </c>
      <c r="L57" s="277">
        <v>1500</v>
      </c>
      <c r="M57" s="278">
        <f t="shared" si="4"/>
        <v>287143.13520000002</v>
      </c>
      <c r="N57" s="280">
        <f t="shared" si="5"/>
        <v>4557.8275428571433</v>
      </c>
    </row>
    <row r="58" spans="1:15" s="111" customFormat="1" ht="30" customHeight="1">
      <c r="A58" s="139">
        <f t="shared" si="6"/>
        <v>56</v>
      </c>
      <c r="B58" s="113">
        <v>46059</v>
      </c>
      <c r="C58" s="112">
        <v>1383374</v>
      </c>
      <c r="D58" s="112" t="s">
        <v>92</v>
      </c>
      <c r="E58" s="114">
        <v>31.66</v>
      </c>
      <c r="F58" s="112" t="s">
        <v>36</v>
      </c>
      <c r="G58" s="275">
        <f t="shared" si="0"/>
        <v>161873.46419999999</v>
      </c>
      <c r="H58" s="275">
        <f t="shared" si="1"/>
        <v>75742.117599999998</v>
      </c>
      <c r="I58" s="275">
        <f t="shared" si="2"/>
        <v>14072.87</v>
      </c>
      <c r="J58" s="276">
        <f t="shared" si="3"/>
        <v>22668.560000000001</v>
      </c>
      <c r="K58" s="277">
        <v>6260</v>
      </c>
      <c r="L58" s="277">
        <v>1500</v>
      </c>
      <c r="M58" s="278">
        <f t="shared" si="4"/>
        <v>282117.01179999998</v>
      </c>
      <c r="N58" s="280">
        <f t="shared" si="5"/>
        <v>4478.0478063492064</v>
      </c>
    </row>
    <row r="59" spans="1:15" s="111" customFormat="1" ht="30" customHeight="1">
      <c r="A59" s="139">
        <f t="shared" si="6"/>
        <v>57</v>
      </c>
      <c r="B59" s="113">
        <v>46059</v>
      </c>
      <c r="C59" s="112">
        <v>1383375</v>
      </c>
      <c r="D59" s="112" t="s">
        <v>93</v>
      </c>
      <c r="E59" s="114">
        <v>34.42</v>
      </c>
      <c r="F59" s="112" t="s">
        <v>36</v>
      </c>
      <c r="G59" s="275">
        <f t="shared" si="0"/>
        <v>175984.98540000001</v>
      </c>
      <c r="H59" s="275">
        <f t="shared" si="1"/>
        <v>82345.031200000012</v>
      </c>
      <c r="I59" s="275">
        <f t="shared" si="2"/>
        <v>15299.69</v>
      </c>
      <c r="J59" s="276">
        <f t="shared" si="3"/>
        <v>24644.720000000001</v>
      </c>
      <c r="K59" s="277">
        <v>6260</v>
      </c>
      <c r="L59" s="277">
        <v>1500</v>
      </c>
      <c r="M59" s="278">
        <f t="shared" si="4"/>
        <v>306034.42660000001</v>
      </c>
      <c r="N59" s="280">
        <f t="shared" si="5"/>
        <v>4857.6893111111112</v>
      </c>
    </row>
    <row r="60" spans="1:15" s="111" customFormat="1" ht="30" customHeight="1">
      <c r="A60" s="139">
        <f t="shared" si="6"/>
        <v>58</v>
      </c>
      <c r="B60" s="113">
        <v>46059</v>
      </c>
      <c r="C60" s="112">
        <v>1383376</v>
      </c>
      <c r="D60" s="112" t="s">
        <v>94</v>
      </c>
      <c r="E60" s="114">
        <v>31.78</v>
      </c>
      <c r="F60" s="112" t="s">
        <v>36</v>
      </c>
      <c r="G60" s="275">
        <f t="shared" si="0"/>
        <v>162487.0086</v>
      </c>
      <c r="H60" s="275">
        <f t="shared" si="1"/>
        <v>76029.200800000006</v>
      </c>
      <c r="I60" s="275">
        <f t="shared" si="2"/>
        <v>14126.210000000001</v>
      </c>
      <c r="J60" s="276">
        <f t="shared" si="3"/>
        <v>22754.48</v>
      </c>
      <c r="K60" s="277">
        <v>6260</v>
      </c>
      <c r="L60" s="277">
        <v>1500</v>
      </c>
      <c r="M60" s="278">
        <f t="shared" si="4"/>
        <v>283156.89939999999</v>
      </c>
      <c r="N60" s="280">
        <f t="shared" si="5"/>
        <v>4494.5539587301582</v>
      </c>
    </row>
    <row r="61" spans="1:15" s="111" customFormat="1" ht="30" customHeight="1">
      <c r="A61" s="139">
        <f t="shared" si="6"/>
        <v>59</v>
      </c>
      <c r="B61" s="113">
        <v>46059</v>
      </c>
      <c r="C61" s="112">
        <v>1383377</v>
      </c>
      <c r="D61" s="112" t="s">
        <v>95</v>
      </c>
      <c r="E61" s="114">
        <v>30.04</v>
      </c>
      <c r="F61" s="112" t="s">
        <v>36</v>
      </c>
      <c r="G61" s="275">
        <f t="shared" si="0"/>
        <v>153590.61479999998</v>
      </c>
      <c r="H61" s="275">
        <f t="shared" si="1"/>
        <v>71866.494399999996</v>
      </c>
      <c r="I61" s="275">
        <f t="shared" si="2"/>
        <v>13352.78</v>
      </c>
      <c r="J61" s="276">
        <f t="shared" si="3"/>
        <v>21508.639999999999</v>
      </c>
      <c r="K61" s="277">
        <v>6260</v>
      </c>
      <c r="L61" s="277">
        <v>1500</v>
      </c>
      <c r="M61" s="278">
        <f t="shared" si="4"/>
        <v>268078.52919999999</v>
      </c>
      <c r="N61" s="280">
        <f t="shared" si="5"/>
        <v>4255.2147492063486</v>
      </c>
    </row>
    <row r="62" spans="1:15" s="111" customFormat="1" ht="30" customHeight="1">
      <c r="A62" s="139">
        <f t="shared" si="6"/>
        <v>60</v>
      </c>
      <c r="B62" s="113">
        <v>46059</v>
      </c>
      <c r="C62" s="112">
        <v>1383378</v>
      </c>
      <c r="D62" s="112" t="s">
        <v>96</v>
      </c>
      <c r="E62" s="114">
        <v>30.18</v>
      </c>
      <c r="F62" s="112" t="s">
        <v>36</v>
      </c>
      <c r="G62" s="275">
        <f t="shared" si="0"/>
        <v>154306.4166</v>
      </c>
      <c r="H62" s="275">
        <f t="shared" si="1"/>
        <v>72201.424800000008</v>
      </c>
      <c r="I62" s="275">
        <f t="shared" si="2"/>
        <v>13415.01</v>
      </c>
      <c r="J62" s="276">
        <f t="shared" si="3"/>
        <v>21608.880000000001</v>
      </c>
      <c r="K62" s="277">
        <v>6260</v>
      </c>
      <c r="L62" s="277">
        <v>1500</v>
      </c>
      <c r="M62" s="278">
        <f t="shared" si="4"/>
        <v>269291.73139999999</v>
      </c>
      <c r="N62" s="280">
        <f t="shared" si="5"/>
        <v>4274.4719269841271</v>
      </c>
    </row>
    <row r="63" spans="1:15" s="111" customFormat="1" ht="30" customHeight="1">
      <c r="A63" s="139">
        <f t="shared" si="6"/>
        <v>61</v>
      </c>
      <c r="B63" s="113">
        <v>46059</v>
      </c>
      <c r="C63" s="112">
        <v>1383379</v>
      </c>
      <c r="D63" s="112" t="s">
        <v>97</v>
      </c>
      <c r="E63" s="114">
        <v>26.38</v>
      </c>
      <c r="F63" s="112" t="s">
        <v>36</v>
      </c>
      <c r="G63" s="275">
        <f t="shared" si="0"/>
        <v>134877.51059999998</v>
      </c>
      <c r="H63" s="275">
        <f t="shared" si="1"/>
        <v>63110.4568</v>
      </c>
      <c r="I63" s="275">
        <f t="shared" si="2"/>
        <v>11725.91</v>
      </c>
      <c r="J63" s="276">
        <f t="shared" si="3"/>
        <v>18888.079999999998</v>
      </c>
      <c r="K63" s="277">
        <v>6260</v>
      </c>
      <c r="L63" s="277">
        <v>1500</v>
      </c>
      <c r="M63" s="278">
        <f t="shared" si="4"/>
        <v>236361.95739999998</v>
      </c>
      <c r="N63" s="280">
        <f t="shared" si="5"/>
        <v>3751.7771015873013</v>
      </c>
    </row>
    <row r="64" spans="1:15" s="111" customFormat="1" ht="30" customHeight="1">
      <c r="A64" s="139">
        <f t="shared" si="6"/>
        <v>62</v>
      </c>
      <c r="B64" s="113">
        <v>46059</v>
      </c>
      <c r="C64" s="112">
        <v>1383380</v>
      </c>
      <c r="D64" s="112" t="s">
        <v>98</v>
      </c>
      <c r="E64" s="114">
        <v>32.44</v>
      </c>
      <c r="F64" s="112" t="s">
        <v>36</v>
      </c>
      <c r="G64" s="275">
        <f t="shared" si="0"/>
        <v>165861.50279999999</v>
      </c>
      <c r="H64" s="275">
        <f t="shared" si="1"/>
        <v>77608.1584</v>
      </c>
      <c r="I64" s="275">
        <f t="shared" si="2"/>
        <v>14419.579999999998</v>
      </c>
      <c r="J64" s="276">
        <f t="shared" si="3"/>
        <v>23227.039999999997</v>
      </c>
      <c r="K64" s="277">
        <v>6260</v>
      </c>
      <c r="L64" s="277">
        <v>1500</v>
      </c>
      <c r="M64" s="278">
        <f t="shared" si="4"/>
        <v>288876.28119999997</v>
      </c>
      <c r="N64" s="280">
        <f t="shared" si="5"/>
        <v>4585.3377968253963</v>
      </c>
    </row>
    <row r="65" spans="1:15" s="111" customFormat="1" ht="30" customHeight="1">
      <c r="A65" s="139">
        <f t="shared" si="6"/>
        <v>63</v>
      </c>
      <c r="B65" s="113">
        <v>46060</v>
      </c>
      <c r="C65" s="112">
        <v>1383381</v>
      </c>
      <c r="D65" s="112" t="s">
        <v>99</v>
      </c>
      <c r="E65" s="114">
        <v>30.46</v>
      </c>
      <c r="F65" s="112" t="s">
        <v>36</v>
      </c>
      <c r="G65" s="275">
        <f t="shared" si="0"/>
        <v>155738.0202</v>
      </c>
      <c r="H65" s="275">
        <f t="shared" si="1"/>
        <v>72871.285600000003</v>
      </c>
      <c r="I65" s="275">
        <f t="shared" si="2"/>
        <v>13539.47</v>
      </c>
      <c r="J65" s="276">
        <f t="shared" si="3"/>
        <v>21809.360000000001</v>
      </c>
      <c r="K65" s="277">
        <v>6260</v>
      </c>
      <c r="L65" s="277">
        <v>1500</v>
      </c>
      <c r="M65" s="278">
        <f t="shared" si="4"/>
        <v>271718.13579999999</v>
      </c>
      <c r="N65" s="280">
        <f t="shared" si="5"/>
        <v>4312.9862825396822</v>
      </c>
      <c r="O65" s="111">
        <v>64</v>
      </c>
    </row>
    <row r="66" spans="1:15" s="111" customFormat="1" ht="30" customHeight="1">
      <c r="A66" s="139">
        <f t="shared" si="6"/>
        <v>64</v>
      </c>
      <c r="B66" s="113">
        <v>46060</v>
      </c>
      <c r="C66" s="112">
        <v>1383382</v>
      </c>
      <c r="D66" s="112" t="s">
        <v>100</v>
      </c>
      <c r="E66" s="114">
        <v>31.16</v>
      </c>
      <c r="F66" s="112" t="s">
        <v>36</v>
      </c>
      <c r="G66" s="275">
        <f t="shared" si="0"/>
        <v>159317.02919999999</v>
      </c>
      <c r="H66" s="275">
        <f t="shared" si="1"/>
        <v>74545.937600000005</v>
      </c>
      <c r="I66" s="275">
        <f t="shared" si="2"/>
        <v>13850.62</v>
      </c>
      <c r="J66" s="276">
        <f t="shared" si="3"/>
        <v>22310.560000000001</v>
      </c>
      <c r="K66" s="277">
        <v>6260</v>
      </c>
      <c r="L66" s="277">
        <v>1500</v>
      </c>
      <c r="M66" s="278">
        <f t="shared" si="4"/>
        <v>277784.14679999999</v>
      </c>
      <c r="N66" s="280">
        <f t="shared" si="5"/>
        <v>4409.2721714285708</v>
      </c>
    </row>
    <row r="67" spans="1:15" s="111" customFormat="1" ht="30" customHeight="1">
      <c r="A67" s="139">
        <f t="shared" si="6"/>
        <v>65</v>
      </c>
      <c r="B67" s="113">
        <v>46060</v>
      </c>
      <c r="C67" s="112">
        <v>1383383</v>
      </c>
      <c r="D67" s="112" t="s">
        <v>101</v>
      </c>
      <c r="E67" s="114">
        <v>29.08</v>
      </c>
      <c r="F67" s="112" t="s">
        <v>36</v>
      </c>
      <c r="G67" s="275">
        <f t="shared" si="0"/>
        <v>148682.25959999999</v>
      </c>
      <c r="H67" s="275">
        <f t="shared" si="1"/>
        <v>69569.828800000003</v>
      </c>
      <c r="I67" s="275">
        <f t="shared" si="2"/>
        <v>12926.06</v>
      </c>
      <c r="J67" s="276">
        <f t="shared" si="3"/>
        <v>20821.28</v>
      </c>
      <c r="K67" s="277">
        <v>6260</v>
      </c>
      <c r="L67" s="277">
        <v>1500</v>
      </c>
      <c r="M67" s="278">
        <f t="shared" si="4"/>
        <v>259759.42839999998</v>
      </c>
      <c r="N67" s="280">
        <f t="shared" si="5"/>
        <v>4123.1655301587298</v>
      </c>
    </row>
    <row r="68" spans="1:15" s="111" customFormat="1" ht="30" customHeight="1">
      <c r="A68" s="139">
        <f t="shared" si="6"/>
        <v>66</v>
      </c>
      <c r="B68" s="113">
        <v>46060</v>
      </c>
      <c r="C68" s="112">
        <v>1383384</v>
      </c>
      <c r="D68" s="112" t="s">
        <v>102</v>
      </c>
      <c r="E68" s="114">
        <v>31.9</v>
      </c>
      <c r="F68" s="112" t="s">
        <v>36</v>
      </c>
      <c r="G68" s="275">
        <f t="shared" ref="G68:G128" si="7">E68*5112.87</f>
        <v>163100.55299999999</v>
      </c>
      <c r="H68" s="275">
        <f t="shared" ref="H68:H128" si="8">E68*2392.36</f>
        <v>76316.284</v>
      </c>
      <c r="I68" s="275">
        <f t="shared" ref="I68:I128" si="9">(E68*7)*63.5</f>
        <v>14179.55</v>
      </c>
      <c r="J68" s="276">
        <f t="shared" ref="J68:J128" si="10">E68*716</f>
        <v>22840.399999999998</v>
      </c>
      <c r="K68" s="277">
        <v>6260</v>
      </c>
      <c r="L68" s="277">
        <v>1500</v>
      </c>
      <c r="M68" s="278">
        <f t="shared" ref="M68:M128" si="11">L68+K68+J68+I68+H68+G68</f>
        <v>284196.78700000001</v>
      </c>
      <c r="N68" s="280">
        <f t="shared" ref="N68:N128" si="12">M68/63</f>
        <v>4511.0601111111109</v>
      </c>
    </row>
    <row r="69" spans="1:15" s="111" customFormat="1" ht="30" customHeight="1">
      <c r="A69" s="139">
        <f t="shared" ref="A69:A128" si="13">A68+1</f>
        <v>67</v>
      </c>
      <c r="B69" s="113">
        <v>46060</v>
      </c>
      <c r="C69" s="112">
        <v>1383385</v>
      </c>
      <c r="D69" s="112" t="s">
        <v>103</v>
      </c>
      <c r="E69" s="114">
        <v>31.12</v>
      </c>
      <c r="F69" s="112" t="s">
        <v>36</v>
      </c>
      <c r="G69" s="275">
        <f t="shared" si="7"/>
        <v>159112.51440000001</v>
      </c>
      <c r="H69" s="275">
        <f t="shared" si="8"/>
        <v>74450.243200000012</v>
      </c>
      <c r="I69" s="275">
        <f t="shared" si="9"/>
        <v>13832.84</v>
      </c>
      <c r="J69" s="276">
        <f t="shared" si="10"/>
        <v>22281.920000000002</v>
      </c>
      <c r="K69" s="277">
        <v>6260</v>
      </c>
      <c r="L69" s="277">
        <v>1500</v>
      </c>
      <c r="M69" s="278">
        <f t="shared" si="11"/>
        <v>277437.51760000002</v>
      </c>
      <c r="N69" s="280">
        <f t="shared" si="12"/>
        <v>4403.7701206349211</v>
      </c>
    </row>
    <row r="70" spans="1:15" s="111" customFormat="1" ht="30" customHeight="1">
      <c r="A70" s="139">
        <f t="shared" si="13"/>
        <v>68</v>
      </c>
      <c r="B70" s="113">
        <v>46060</v>
      </c>
      <c r="C70" s="112">
        <v>1383386</v>
      </c>
      <c r="D70" s="112" t="s">
        <v>104</v>
      </c>
      <c r="E70" s="114">
        <v>33.92</v>
      </c>
      <c r="F70" s="112" t="s">
        <v>36</v>
      </c>
      <c r="G70" s="275">
        <f t="shared" si="7"/>
        <v>173428.55040000001</v>
      </c>
      <c r="H70" s="275">
        <f t="shared" si="8"/>
        <v>81148.851200000005</v>
      </c>
      <c r="I70" s="275">
        <f t="shared" si="9"/>
        <v>15077.44</v>
      </c>
      <c r="J70" s="276">
        <f t="shared" si="10"/>
        <v>24286.720000000001</v>
      </c>
      <c r="K70" s="277">
        <v>6260</v>
      </c>
      <c r="L70" s="277">
        <v>1500</v>
      </c>
      <c r="M70" s="278">
        <f t="shared" si="11"/>
        <v>301701.56160000002</v>
      </c>
      <c r="N70" s="280">
        <f t="shared" si="12"/>
        <v>4788.9136761904765</v>
      </c>
    </row>
    <row r="71" spans="1:15" s="111" customFormat="1" ht="30" customHeight="1">
      <c r="A71" s="139">
        <f t="shared" si="13"/>
        <v>69</v>
      </c>
      <c r="B71" s="113">
        <v>46060</v>
      </c>
      <c r="C71" s="112">
        <v>1383387</v>
      </c>
      <c r="D71" s="112" t="s">
        <v>105</v>
      </c>
      <c r="E71" s="114">
        <v>32.46</v>
      </c>
      <c r="F71" s="112" t="s">
        <v>36</v>
      </c>
      <c r="G71" s="275">
        <f t="shared" si="7"/>
        <v>165963.76019999999</v>
      </c>
      <c r="H71" s="275">
        <f t="shared" si="8"/>
        <v>77656.005600000004</v>
      </c>
      <c r="I71" s="275">
        <f t="shared" si="9"/>
        <v>14428.47</v>
      </c>
      <c r="J71" s="276">
        <f t="shared" si="10"/>
        <v>23241.360000000001</v>
      </c>
      <c r="K71" s="277">
        <v>6260</v>
      </c>
      <c r="L71" s="277">
        <v>1500</v>
      </c>
      <c r="M71" s="278">
        <f t="shared" si="11"/>
        <v>289049.59580000001</v>
      </c>
      <c r="N71" s="280">
        <f t="shared" si="12"/>
        <v>4588.088822222222</v>
      </c>
    </row>
    <row r="72" spans="1:15" s="111" customFormat="1" ht="30" customHeight="1">
      <c r="A72" s="139">
        <f t="shared" si="13"/>
        <v>70</v>
      </c>
      <c r="B72" s="113">
        <v>46060</v>
      </c>
      <c r="C72" s="112">
        <v>1383388</v>
      </c>
      <c r="D72" s="112" t="s">
        <v>106</v>
      </c>
      <c r="E72" s="114">
        <v>31.34</v>
      </c>
      <c r="F72" s="112" t="s">
        <v>36</v>
      </c>
      <c r="G72" s="275">
        <f t="shared" si="7"/>
        <v>160237.34580000001</v>
      </c>
      <c r="H72" s="275">
        <f t="shared" si="8"/>
        <v>74976.56240000001</v>
      </c>
      <c r="I72" s="275">
        <f t="shared" si="9"/>
        <v>13930.63</v>
      </c>
      <c r="J72" s="276">
        <f t="shared" si="10"/>
        <v>22439.439999999999</v>
      </c>
      <c r="K72" s="277">
        <v>6260</v>
      </c>
      <c r="L72" s="277">
        <v>1500</v>
      </c>
      <c r="M72" s="278">
        <f t="shared" si="11"/>
        <v>279343.97820000001</v>
      </c>
      <c r="N72" s="280">
        <f t="shared" si="12"/>
        <v>4434.0313999999998</v>
      </c>
    </row>
    <row r="73" spans="1:15" s="111" customFormat="1" ht="30" customHeight="1">
      <c r="A73" s="139">
        <f t="shared" si="13"/>
        <v>71</v>
      </c>
      <c r="B73" s="113">
        <v>46060</v>
      </c>
      <c r="C73" s="112">
        <v>1383389</v>
      </c>
      <c r="D73" s="112" t="s">
        <v>107</v>
      </c>
      <c r="E73" s="114">
        <v>26.32</v>
      </c>
      <c r="F73" s="112" t="s">
        <v>36</v>
      </c>
      <c r="G73" s="275">
        <f t="shared" si="7"/>
        <v>134570.7384</v>
      </c>
      <c r="H73" s="275">
        <f t="shared" si="8"/>
        <v>62966.915200000003</v>
      </c>
      <c r="I73" s="275">
        <f t="shared" si="9"/>
        <v>11699.24</v>
      </c>
      <c r="J73" s="276">
        <f t="shared" si="10"/>
        <v>18845.12</v>
      </c>
      <c r="K73" s="277">
        <v>6260</v>
      </c>
      <c r="L73" s="277">
        <v>1500</v>
      </c>
      <c r="M73" s="278">
        <f t="shared" si="11"/>
        <v>235842.01360000001</v>
      </c>
      <c r="N73" s="280">
        <f t="shared" si="12"/>
        <v>3743.5240253968254</v>
      </c>
    </row>
    <row r="74" spans="1:15" s="111" customFormat="1" ht="30" customHeight="1">
      <c r="A74" s="139">
        <f t="shared" si="13"/>
        <v>72</v>
      </c>
      <c r="B74" s="113">
        <v>46060</v>
      </c>
      <c r="C74" s="112">
        <v>1383390</v>
      </c>
      <c r="D74" s="112" t="s">
        <v>108</v>
      </c>
      <c r="E74" s="114">
        <v>27.16</v>
      </c>
      <c r="F74" s="112" t="s">
        <v>36</v>
      </c>
      <c r="G74" s="275">
        <f t="shared" si="7"/>
        <v>138865.54920000001</v>
      </c>
      <c r="H74" s="275">
        <f t="shared" si="8"/>
        <v>64976.497600000002</v>
      </c>
      <c r="I74" s="275">
        <f t="shared" si="9"/>
        <v>12072.62</v>
      </c>
      <c r="J74" s="276">
        <f t="shared" si="10"/>
        <v>19446.560000000001</v>
      </c>
      <c r="K74" s="277">
        <v>6260</v>
      </c>
      <c r="L74" s="277">
        <v>1500</v>
      </c>
      <c r="M74" s="278">
        <f t="shared" si="11"/>
        <v>243121.2268</v>
      </c>
      <c r="N74" s="280">
        <f t="shared" si="12"/>
        <v>3859.0670920634921</v>
      </c>
    </row>
    <row r="75" spans="1:15" s="111" customFormat="1" ht="30" customHeight="1">
      <c r="A75" s="139">
        <f t="shared" si="13"/>
        <v>73</v>
      </c>
      <c r="B75" s="113">
        <v>46060</v>
      </c>
      <c r="C75" s="112">
        <v>1383391</v>
      </c>
      <c r="D75" s="112" t="s">
        <v>109</v>
      </c>
      <c r="E75" s="114">
        <v>30.76</v>
      </c>
      <c r="F75" s="112" t="s">
        <v>36</v>
      </c>
      <c r="G75" s="275">
        <f t="shared" si="7"/>
        <v>157271.8812</v>
      </c>
      <c r="H75" s="275">
        <f t="shared" si="8"/>
        <v>73588.993600000002</v>
      </c>
      <c r="I75" s="275">
        <f t="shared" si="9"/>
        <v>13672.820000000002</v>
      </c>
      <c r="J75" s="276">
        <f t="shared" si="10"/>
        <v>22024.16</v>
      </c>
      <c r="K75" s="277">
        <v>6260</v>
      </c>
      <c r="L75" s="277">
        <v>1500</v>
      </c>
      <c r="M75" s="278">
        <f t="shared" si="11"/>
        <v>274317.85479999997</v>
      </c>
      <c r="N75" s="280">
        <f t="shared" si="12"/>
        <v>4354.251663492063</v>
      </c>
    </row>
    <row r="76" spans="1:15" s="111" customFormat="1" ht="30" customHeight="1">
      <c r="A76" s="139">
        <f t="shared" si="13"/>
        <v>74</v>
      </c>
      <c r="B76" s="113">
        <v>46060</v>
      </c>
      <c r="C76" s="112">
        <v>1383392</v>
      </c>
      <c r="D76" s="112" t="s">
        <v>110</v>
      </c>
      <c r="E76" s="114">
        <v>31.16</v>
      </c>
      <c r="F76" s="112" t="s">
        <v>36</v>
      </c>
      <c r="G76" s="275">
        <f t="shared" si="7"/>
        <v>159317.02919999999</v>
      </c>
      <c r="H76" s="275">
        <f t="shared" si="8"/>
        <v>74545.937600000005</v>
      </c>
      <c r="I76" s="275">
        <f t="shared" si="9"/>
        <v>13850.62</v>
      </c>
      <c r="J76" s="276">
        <f t="shared" si="10"/>
        <v>22310.560000000001</v>
      </c>
      <c r="K76" s="277">
        <v>6260</v>
      </c>
      <c r="L76" s="277">
        <v>1500</v>
      </c>
      <c r="M76" s="278">
        <f t="shared" si="11"/>
        <v>277784.14679999999</v>
      </c>
      <c r="N76" s="280">
        <f t="shared" si="12"/>
        <v>4409.2721714285708</v>
      </c>
    </row>
    <row r="77" spans="1:15" s="111" customFormat="1" ht="30" customHeight="1">
      <c r="A77" s="139">
        <f t="shared" si="13"/>
        <v>75</v>
      </c>
      <c r="B77" s="113">
        <v>46060</v>
      </c>
      <c r="C77" s="112">
        <v>1383393</v>
      </c>
      <c r="D77" s="112" t="s">
        <v>111</v>
      </c>
      <c r="E77" s="114">
        <v>31</v>
      </c>
      <c r="F77" s="112" t="s">
        <v>36</v>
      </c>
      <c r="G77" s="275">
        <f t="shared" si="7"/>
        <v>158498.97</v>
      </c>
      <c r="H77" s="275">
        <f t="shared" si="8"/>
        <v>74163.16</v>
      </c>
      <c r="I77" s="275">
        <f t="shared" si="9"/>
        <v>13779.5</v>
      </c>
      <c r="J77" s="276">
        <f t="shared" si="10"/>
        <v>22196</v>
      </c>
      <c r="K77" s="277">
        <v>6260</v>
      </c>
      <c r="L77" s="277">
        <v>1500</v>
      </c>
      <c r="M77" s="278">
        <f t="shared" si="11"/>
        <v>276397.63</v>
      </c>
      <c r="N77" s="280">
        <f t="shared" si="12"/>
        <v>4387.2639682539684</v>
      </c>
    </row>
    <row r="78" spans="1:15" s="111" customFormat="1" ht="30" customHeight="1">
      <c r="A78" s="139">
        <f t="shared" si="13"/>
        <v>76</v>
      </c>
      <c r="B78" s="113">
        <v>46060</v>
      </c>
      <c r="C78" s="112">
        <v>1383394</v>
      </c>
      <c r="D78" s="112" t="s">
        <v>112</v>
      </c>
      <c r="E78" s="114">
        <v>30.7</v>
      </c>
      <c r="F78" s="112" t="s">
        <v>36</v>
      </c>
      <c r="G78" s="275">
        <f t="shared" si="7"/>
        <v>156965.109</v>
      </c>
      <c r="H78" s="275">
        <f t="shared" si="8"/>
        <v>73445.452000000005</v>
      </c>
      <c r="I78" s="275">
        <f t="shared" si="9"/>
        <v>13646.15</v>
      </c>
      <c r="J78" s="276">
        <f t="shared" si="10"/>
        <v>21981.200000000001</v>
      </c>
      <c r="K78" s="277">
        <v>6260</v>
      </c>
      <c r="L78" s="277">
        <v>1500</v>
      </c>
      <c r="M78" s="278">
        <f t="shared" si="11"/>
        <v>273797.91099999996</v>
      </c>
      <c r="N78" s="280">
        <f t="shared" si="12"/>
        <v>4345.9985873015867</v>
      </c>
    </row>
    <row r="79" spans="1:15" s="111" customFormat="1" ht="30" customHeight="1">
      <c r="A79" s="139">
        <f t="shared" si="13"/>
        <v>77</v>
      </c>
      <c r="B79" s="113">
        <v>46060</v>
      </c>
      <c r="C79" s="112">
        <v>1383395</v>
      </c>
      <c r="D79" s="112" t="s">
        <v>113</v>
      </c>
      <c r="E79" s="114">
        <v>31.56</v>
      </c>
      <c r="F79" s="112" t="s">
        <v>36</v>
      </c>
      <c r="G79" s="275">
        <f t="shared" si="7"/>
        <v>161362.17719999998</v>
      </c>
      <c r="H79" s="275">
        <f t="shared" si="8"/>
        <v>75502.881600000008</v>
      </c>
      <c r="I79" s="275">
        <f t="shared" si="9"/>
        <v>14028.42</v>
      </c>
      <c r="J79" s="276">
        <f t="shared" si="10"/>
        <v>22596.959999999999</v>
      </c>
      <c r="K79" s="277">
        <v>6260</v>
      </c>
      <c r="L79" s="277">
        <v>1500</v>
      </c>
      <c r="M79" s="278">
        <f t="shared" si="11"/>
        <v>281250.4388</v>
      </c>
      <c r="N79" s="280">
        <f t="shared" si="12"/>
        <v>4464.2926793650795</v>
      </c>
    </row>
    <row r="80" spans="1:15" s="111" customFormat="1" ht="30" customHeight="1">
      <c r="A80" s="139">
        <f t="shared" si="13"/>
        <v>78</v>
      </c>
      <c r="B80" s="113">
        <v>46060</v>
      </c>
      <c r="C80" s="112">
        <v>1383396</v>
      </c>
      <c r="D80" s="112" t="s">
        <v>114</v>
      </c>
      <c r="E80" s="114">
        <v>31.66</v>
      </c>
      <c r="F80" s="112" t="s">
        <v>36</v>
      </c>
      <c r="G80" s="275">
        <f t="shared" si="7"/>
        <v>161873.46419999999</v>
      </c>
      <c r="H80" s="275">
        <f t="shared" si="8"/>
        <v>75742.117599999998</v>
      </c>
      <c r="I80" s="275">
        <f t="shared" si="9"/>
        <v>14072.87</v>
      </c>
      <c r="J80" s="276">
        <f t="shared" si="10"/>
        <v>22668.560000000001</v>
      </c>
      <c r="K80" s="277">
        <v>6260</v>
      </c>
      <c r="L80" s="277">
        <v>1500</v>
      </c>
      <c r="M80" s="278">
        <f t="shared" si="11"/>
        <v>282117.01179999998</v>
      </c>
      <c r="N80" s="280">
        <f t="shared" si="12"/>
        <v>4478.0478063492064</v>
      </c>
    </row>
    <row r="81" spans="1:15" s="111" customFormat="1" ht="30" customHeight="1">
      <c r="A81" s="139">
        <f t="shared" si="13"/>
        <v>79</v>
      </c>
      <c r="B81" s="113">
        <v>46060</v>
      </c>
      <c r="C81" s="112">
        <v>1383397</v>
      </c>
      <c r="D81" s="112" t="s">
        <v>115</v>
      </c>
      <c r="E81" s="114">
        <v>31.32</v>
      </c>
      <c r="F81" s="112" t="s">
        <v>36</v>
      </c>
      <c r="G81" s="275">
        <f t="shared" si="7"/>
        <v>160135.08840000001</v>
      </c>
      <c r="H81" s="275">
        <f t="shared" si="8"/>
        <v>74928.715200000006</v>
      </c>
      <c r="I81" s="275">
        <f t="shared" si="9"/>
        <v>13921.74</v>
      </c>
      <c r="J81" s="276">
        <f t="shared" si="10"/>
        <v>22425.119999999999</v>
      </c>
      <c r="K81" s="277">
        <v>6260</v>
      </c>
      <c r="L81" s="277">
        <v>1500</v>
      </c>
      <c r="M81" s="278">
        <f t="shared" si="11"/>
        <v>279170.66360000003</v>
      </c>
      <c r="N81" s="280">
        <f t="shared" si="12"/>
        <v>4431.280374603175</v>
      </c>
    </row>
    <row r="82" spans="1:15" s="111" customFormat="1" ht="30" customHeight="1">
      <c r="A82" s="139">
        <f t="shared" si="13"/>
        <v>80</v>
      </c>
      <c r="B82" s="113">
        <v>46060</v>
      </c>
      <c r="C82" s="112">
        <v>1383398</v>
      </c>
      <c r="D82" s="112" t="s">
        <v>116</v>
      </c>
      <c r="E82" s="114">
        <v>32</v>
      </c>
      <c r="F82" s="112" t="s">
        <v>36</v>
      </c>
      <c r="G82" s="275">
        <f t="shared" si="7"/>
        <v>163611.84</v>
      </c>
      <c r="H82" s="275">
        <f t="shared" si="8"/>
        <v>76555.520000000004</v>
      </c>
      <c r="I82" s="275">
        <f t="shared" si="9"/>
        <v>14224</v>
      </c>
      <c r="J82" s="276">
        <f t="shared" si="10"/>
        <v>22912</v>
      </c>
      <c r="K82" s="277">
        <v>6260</v>
      </c>
      <c r="L82" s="277">
        <v>1500</v>
      </c>
      <c r="M82" s="278">
        <f t="shared" si="11"/>
        <v>285063.36</v>
      </c>
      <c r="N82" s="280">
        <f t="shared" si="12"/>
        <v>4524.8152380952379</v>
      </c>
    </row>
    <row r="83" spans="1:15" s="111" customFormat="1" ht="30" customHeight="1">
      <c r="A83" s="139">
        <f t="shared" si="13"/>
        <v>81</v>
      </c>
      <c r="B83" s="113">
        <v>46060</v>
      </c>
      <c r="C83" s="112">
        <v>1383399</v>
      </c>
      <c r="D83" s="112" t="s">
        <v>117</v>
      </c>
      <c r="E83" s="114">
        <v>28.16</v>
      </c>
      <c r="F83" s="112" t="s">
        <v>36</v>
      </c>
      <c r="G83" s="275">
        <f t="shared" si="7"/>
        <v>143978.4192</v>
      </c>
      <c r="H83" s="275">
        <f t="shared" si="8"/>
        <v>67368.857600000003</v>
      </c>
      <c r="I83" s="275">
        <f t="shared" si="9"/>
        <v>12517.12</v>
      </c>
      <c r="J83" s="276">
        <f t="shared" si="10"/>
        <v>20162.560000000001</v>
      </c>
      <c r="K83" s="277">
        <v>6260</v>
      </c>
      <c r="L83" s="277">
        <v>1500</v>
      </c>
      <c r="M83" s="278">
        <f t="shared" si="11"/>
        <v>251786.95680000001</v>
      </c>
      <c r="N83" s="280">
        <f t="shared" si="12"/>
        <v>3996.618361904762</v>
      </c>
    </row>
    <row r="84" spans="1:15" s="111" customFormat="1" ht="30" customHeight="1">
      <c r="A84" s="139">
        <f t="shared" si="13"/>
        <v>82</v>
      </c>
      <c r="B84" s="113">
        <v>46060</v>
      </c>
      <c r="C84" s="112">
        <v>1383400</v>
      </c>
      <c r="D84" s="112" t="s">
        <v>118</v>
      </c>
      <c r="E84" s="114">
        <v>32.74</v>
      </c>
      <c r="F84" s="112" t="s">
        <v>36</v>
      </c>
      <c r="G84" s="275">
        <f t="shared" si="7"/>
        <v>167395.36380000002</v>
      </c>
      <c r="H84" s="275">
        <f t="shared" si="8"/>
        <v>78325.866400000014</v>
      </c>
      <c r="I84" s="275">
        <f t="shared" si="9"/>
        <v>14552.93</v>
      </c>
      <c r="J84" s="276">
        <f t="shared" si="10"/>
        <v>23441.84</v>
      </c>
      <c r="K84" s="277">
        <v>6260</v>
      </c>
      <c r="L84" s="277">
        <v>1500</v>
      </c>
      <c r="M84" s="278">
        <f t="shared" si="11"/>
        <v>291476.00020000001</v>
      </c>
      <c r="N84" s="280">
        <f t="shared" si="12"/>
        <v>4626.603177777778</v>
      </c>
    </row>
    <row r="85" spans="1:15" s="111" customFormat="1" ht="30" customHeight="1">
      <c r="A85" s="139">
        <f t="shared" si="13"/>
        <v>83</v>
      </c>
      <c r="B85" s="113">
        <v>46060</v>
      </c>
      <c r="C85" s="112">
        <v>1383418</v>
      </c>
      <c r="D85" s="112" t="s">
        <v>119</v>
      </c>
      <c r="E85" s="114">
        <v>31.3</v>
      </c>
      <c r="F85" s="112" t="s">
        <v>36</v>
      </c>
      <c r="G85" s="275">
        <f t="shared" si="7"/>
        <v>160032.83100000001</v>
      </c>
      <c r="H85" s="275">
        <f t="shared" si="8"/>
        <v>74880.868000000002</v>
      </c>
      <c r="I85" s="275">
        <f t="shared" si="9"/>
        <v>13912.85</v>
      </c>
      <c r="J85" s="276">
        <f t="shared" si="10"/>
        <v>22410.799999999999</v>
      </c>
      <c r="K85" s="277">
        <v>6260</v>
      </c>
      <c r="L85" s="277">
        <v>1500</v>
      </c>
      <c r="M85" s="278">
        <f t="shared" si="11"/>
        <v>278997.34900000005</v>
      </c>
      <c r="N85" s="280">
        <f t="shared" si="12"/>
        <v>4428.5293492063502</v>
      </c>
    </row>
    <row r="86" spans="1:15" s="111" customFormat="1" ht="30" customHeight="1">
      <c r="A86" s="139">
        <f t="shared" si="13"/>
        <v>84</v>
      </c>
      <c r="B86" s="113">
        <v>46060</v>
      </c>
      <c r="C86" s="112">
        <v>1383419</v>
      </c>
      <c r="D86" s="112" t="s">
        <v>120</v>
      </c>
      <c r="E86" s="114">
        <v>31.74</v>
      </c>
      <c r="F86" s="112" t="s">
        <v>36</v>
      </c>
      <c r="G86" s="275">
        <f t="shared" si="7"/>
        <v>162282.4938</v>
      </c>
      <c r="H86" s="275">
        <f t="shared" si="8"/>
        <v>75933.506399999998</v>
      </c>
      <c r="I86" s="275">
        <f t="shared" si="9"/>
        <v>14108.429999999998</v>
      </c>
      <c r="J86" s="276">
        <f t="shared" si="10"/>
        <v>22725.84</v>
      </c>
      <c r="K86" s="277">
        <v>6260</v>
      </c>
      <c r="L86" s="277">
        <v>1500</v>
      </c>
      <c r="M86" s="278">
        <f t="shared" si="11"/>
        <v>282810.27020000003</v>
      </c>
      <c r="N86" s="280">
        <f t="shared" si="12"/>
        <v>4489.0519079365085</v>
      </c>
    </row>
    <row r="87" spans="1:15" s="111" customFormat="1" ht="30" customHeight="1">
      <c r="A87" s="139">
        <f t="shared" si="13"/>
        <v>85</v>
      </c>
      <c r="B87" s="113">
        <v>46060</v>
      </c>
      <c r="C87" s="112">
        <v>1383420</v>
      </c>
      <c r="D87" s="112" t="s">
        <v>121</v>
      </c>
      <c r="E87" s="114">
        <v>31.4</v>
      </c>
      <c r="F87" s="112" t="s">
        <v>122</v>
      </c>
      <c r="G87" s="275">
        <f t="shared" si="7"/>
        <v>160544.11799999999</v>
      </c>
      <c r="H87" s="275">
        <f t="shared" si="8"/>
        <v>75120.104000000007</v>
      </c>
      <c r="I87" s="275">
        <f t="shared" si="9"/>
        <v>13957.3</v>
      </c>
      <c r="J87" s="276">
        <f t="shared" si="10"/>
        <v>22482.399999999998</v>
      </c>
      <c r="K87" s="277">
        <v>6260</v>
      </c>
      <c r="L87" s="277">
        <v>1500</v>
      </c>
      <c r="M87" s="278">
        <f t="shared" si="11"/>
        <v>279863.92200000002</v>
      </c>
      <c r="N87" s="280">
        <f t="shared" si="12"/>
        <v>4442.2844761904762</v>
      </c>
    </row>
    <row r="88" spans="1:15" s="111" customFormat="1" ht="30" customHeight="1">
      <c r="A88" s="139">
        <f t="shared" si="13"/>
        <v>86</v>
      </c>
      <c r="B88" s="113">
        <v>46060</v>
      </c>
      <c r="C88" s="112">
        <v>1383421</v>
      </c>
      <c r="D88" s="112" t="s">
        <v>123</v>
      </c>
      <c r="E88" s="114">
        <v>28.62</v>
      </c>
      <c r="F88" s="112" t="s">
        <v>122</v>
      </c>
      <c r="G88" s="275">
        <f t="shared" si="7"/>
        <v>146330.3394</v>
      </c>
      <c r="H88" s="275">
        <f t="shared" si="8"/>
        <v>68469.343200000003</v>
      </c>
      <c r="I88" s="275">
        <f t="shared" si="9"/>
        <v>12721.59</v>
      </c>
      <c r="J88" s="276">
        <f t="shared" si="10"/>
        <v>20491.920000000002</v>
      </c>
      <c r="K88" s="277">
        <v>6260</v>
      </c>
      <c r="L88" s="277">
        <v>1500</v>
      </c>
      <c r="M88" s="278">
        <f t="shared" si="11"/>
        <v>255773.19260000001</v>
      </c>
      <c r="N88" s="280">
        <f t="shared" si="12"/>
        <v>4059.8919460317461</v>
      </c>
    </row>
    <row r="89" spans="1:15" s="111" customFormat="1" ht="30" customHeight="1">
      <c r="A89" s="139">
        <f t="shared" si="13"/>
        <v>87</v>
      </c>
      <c r="B89" s="113">
        <v>46060</v>
      </c>
      <c r="C89" s="112">
        <v>1383422</v>
      </c>
      <c r="D89" s="112" t="s">
        <v>124</v>
      </c>
      <c r="E89" s="114">
        <v>31.42</v>
      </c>
      <c r="F89" s="112" t="s">
        <v>36</v>
      </c>
      <c r="G89" s="275">
        <f t="shared" si="7"/>
        <v>160646.37540000002</v>
      </c>
      <c r="H89" s="275">
        <f t="shared" si="8"/>
        <v>75167.95120000001</v>
      </c>
      <c r="I89" s="275">
        <f t="shared" si="9"/>
        <v>13966.19</v>
      </c>
      <c r="J89" s="276">
        <f t="shared" si="10"/>
        <v>22496.720000000001</v>
      </c>
      <c r="K89" s="277">
        <v>6260</v>
      </c>
      <c r="L89" s="277">
        <v>1500</v>
      </c>
      <c r="M89" s="278">
        <f t="shared" si="11"/>
        <v>280037.23660000006</v>
      </c>
      <c r="N89" s="280">
        <f t="shared" si="12"/>
        <v>4445.0355015873029</v>
      </c>
      <c r="O89" s="111">
        <v>66</v>
      </c>
    </row>
    <row r="90" spans="1:15" s="111" customFormat="1" ht="30" customHeight="1">
      <c r="A90" s="139">
        <f t="shared" si="13"/>
        <v>88</v>
      </c>
      <c r="B90" s="113">
        <v>46060</v>
      </c>
      <c r="C90" s="112">
        <v>1383423</v>
      </c>
      <c r="D90" s="112" t="s">
        <v>125</v>
      </c>
      <c r="E90" s="114">
        <v>32.159999999999997</v>
      </c>
      <c r="F90" s="112" t="s">
        <v>36</v>
      </c>
      <c r="G90" s="275">
        <f t="shared" si="7"/>
        <v>164429.89919999999</v>
      </c>
      <c r="H90" s="275">
        <f t="shared" si="8"/>
        <v>76938.297599999991</v>
      </c>
      <c r="I90" s="275">
        <f t="shared" si="9"/>
        <v>14295.119999999999</v>
      </c>
      <c r="J90" s="276">
        <f t="shared" si="10"/>
        <v>23026.559999999998</v>
      </c>
      <c r="K90" s="277">
        <v>6260</v>
      </c>
      <c r="L90" s="277">
        <v>1500</v>
      </c>
      <c r="M90" s="278">
        <f t="shared" si="11"/>
        <v>286449.87679999997</v>
      </c>
      <c r="N90" s="280">
        <f t="shared" si="12"/>
        <v>4546.8234412698412</v>
      </c>
    </row>
    <row r="91" spans="1:15" s="111" customFormat="1" ht="30" customHeight="1">
      <c r="A91" s="139">
        <f t="shared" si="13"/>
        <v>89</v>
      </c>
      <c r="B91" s="113">
        <v>46060</v>
      </c>
      <c r="C91" s="112">
        <v>1383424</v>
      </c>
      <c r="D91" s="112" t="s">
        <v>126</v>
      </c>
      <c r="E91" s="114">
        <v>29.58</v>
      </c>
      <c r="F91" s="112" t="s">
        <v>36</v>
      </c>
      <c r="G91" s="275">
        <f t="shared" si="7"/>
        <v>151238.69459999999</v>
      </c>
      <c r="H91" s="275">
        <f t="shared" si="8"/>
        <v>70766.008799999996</v>
      </c>
      <c r="I91" s="275">
        <f t="shared" si="9"/>
        <v>13148.31</v>
      </c>
      <c r="J91" s="276">
        <f t="shared" si="10"/>
        <v>21179.279999999999</v>
      </c>
      <c r="K91" s="277">
        <v>6260</v>
      </c>
      <c r="L91" s="277">
        <v>1500</v>
      </c>
      <c r="M91" s="278">
        <f t="shared" si="11"/>
        <v>264092.29339999997</v>
      </c>
      <c r="N91" s="280">
        <f t="shared" si="12"/>
        <v>4191.9411650793645</v>
      </c>
    </row>
    <row r="92" spans="1:15" s="111" customFormat="1" ht="30" customHeight="1">
      <c r="A92" s="139">
        <f t="shared" si="13"/>
        <v>90</v>
      </c>
      <c r="B92" s="113">
        <v>46060</v>
      </c>
      <c r="C92" s="112">
        <v>1383425</v>
      </c>
      <c r="D92" s="112" t="s">
        <v>127</v>
      </c>
      <c r="E92" s="114">
        <v>32.18</v>
      </c>
      <c r="F92" s="112" t="s">
        <v>36</v>
      </c>
      <c r="G92" s="275">
        <f t="shared" si="7"/>
        <v>164532.15659999999</v>
      </c>
      <c r="H92" s="275">
        <f t="shared" si="8"/>
        <v>76986.144800000009</v>
      </c>
      <c r="I92" s="275">
        <f t="shared" si="9"/>
        <v>14304.01</v>
      </c>
      <c r="J92" s="276">
        <f t="shared" si="10"/>
        <v>23040.880000000001</v>
      </c>
      <c r="K92" s="277">
        <v>6260</v>
      </c>
      <c r="L92" s="277">
        <v>1500</v>
      </c>
      <c r="M92" s="278">
        <f t="shared" si="11"/>
        <v>286623.19140000001</v>
      </c>
      <c r="N92" s="280">
        <f t="shared" si="12"/>
        <v>4549.5744666666669</v>
      </c>
    </row>
    <row r="93" spans="1:15" s="111" customFormat="1" ht="30" customHeight="1">
      <c r="A93" s="139">
        <f t="shared" si="13"/>
        <v>91</v>
      </c>
      <c r="B93" s="113">
        <v>46060</v>
      </c>
      <c r="C93" s="112">
        <v>1383426</v>
      </c>
      <c r="D93" s="112" t="s">
        <v>128</v>
      </c>
      <c r="E93" s="114">
        <v>32.200000000000003</v>
      </c>
      <c r="F93" s="112" t="s">
        <v>36</v>
      </c>
      <c r="G93" s="275">
        <f t="shared" si="7"/>
        <v>164634.41400000002</v>
      </c>
      <c r="H93" s="275">
        <f t="shared" si="8"/>
        <v>77033.992000000013</v>
      </c>
      <c r="I93" s="275">
        <f t="shared" si="9"/>
        <v>14312.900000000001</v>
      </c>
      <c r="J93" s="276">
        <f t="shared" si="10"/>
        <v>23055.200000000001</v>
      </c>
      <c r="K93" s="277">
        <v>6260</v>
      </c>
      <c r="L93" s="277">
        <v>1500</v>
      </c>
      <c r="M93" s="278">
        <f t="shared" si="11"/>
        <v>286796.50600000005</v>
      </c>
      <c r="N93" s="280">
        <f t="shared" si="12"/>
        <v>4552.3254920634927</v>
      </c>
    </row>
    <row r="94" spans="1:15" s="111" customFormat="1" ht="30" customHeight="1">
      <c r="A94" s="139">
        <f t="shared" si="13"/>
        <v>92</v>
      </c>
      <c r="B94" s="113">
        <v>46060</v>
      </c>
      <c r="C94" s="112">
        <v>1383427</v>
      </c>
      <c r="D94" s="112" t="s">
        <v>129</v>
      </c>
      <c r="E94" s="114">
        <v>26.7</v>
      </c>
      <c r="F94" s="112" t="s">
        <v>36</v>
      </c>
      <c r="G94" s="275">
        <f t="shared" si="7"/>
        <v>136513.62899999999</v>
      </c>
      <c r="H94" s="275">
        <f t="shared" si="8"/>
        <v>63876.012000000002</v>
      </c>
      <c r="I94" s="275">
        <f t="shared" si="9"/>
        <v>11868.15</v>
      </c>
      <c r="J94" s="276">
        <f t="shared" si="10"/>
        <v>19117.2</v>
      </c>
      <c r="K94" s="277">
        <v>6260</v>
      </c>
      <c r="L94" s="277">
        <v>1500</v>
      </c>
      <c r="M94" s="278">
        <f t="shared" si="11"/>
        <v>239134.99099999998</v>
      </c>
      <c r="N94" s="280">
        <f t="shared" si="12"/>
        <v>3795.7935079365075</v>
      </c>
    </row>
    <row r="95" spans="1:15" s="111" customFormat="1" ht="30" customHeight="1">
      <c r="A95" s="139">
        <f t="shared" si="13"/>
        <v>93</v>
      </c>
      <c r="B95" s="113">
        <v>46060</v>
      </c>
      <c r="C95" s="112">
        <v>1383428</v>
      </c>
      <c r="D95" s="112" t="s">
        <v>130</v>
      </c>
      <c r="E95" s="114">
        <v>27.22</v>
      </c>
      <c r="F95" s="112" t="s">
        <v>36</v>
      </c>
      <c r="G95" s="275">
        <f t="shared" si="7"/>
        <v>139172.32139999999</v>
      </c>
      <c r="H95" s="275">
        <f t="shared" si="8"/>
        <v>65120.039199999999</v>
      </c>
      <c r="I95" s="275">
        <f t="shared" si="9"/>
        <v>12099.289999999999</v>
      </c>
      <c r="J95" s="276">
        <f t="shared" si="10"/>
        <v>19489.52</v>
      </c>
      <c r="K95" s="277">
        <v>6260</v>
      </c>
      <c r="L95" s="277">
        <v>1500</v>
      </c>
      <c r="M95" s="278">
        <f t="shared" si="11"/>
        <v>243641.17059999998</v>
      </c>
      <c r="N95" s="280">
        <f t="shared" si="12"/>
        <v>3867.3201682539679</v>
      </c>
    </row>
    <row r="96" spans="1:15" s="111" customFormat="1" ht="30" customHeight="1">
      <c r="A96" s="139">
        <f t="shared" si="13"/>
        <v>94</v>
      </c>
      <c r="B96" s="113">
        <v>46060</v>
      </c>
      <c r="C96" s="112">
        <v>1383429</v>
      </c>
      <c r="D96" s="112" t="s">
        <v>131</v>
      </c>
      <c r="E96" s="114">
        <v>30.34</v>
      </c>
      <c r="F96" s="112" t="s">
        <v>36</v>
      </c>
      <c r="G96" s="275">
        <f t="shared" si="7"/>
        <v>155124.47579999999</v>
      </c>
      <c r="H96" s="275">
        <f t="shared" si="8"/>
        <v>72584.202400000009</v>
      </c>
      <c r="I96" s="275">
        <f t="shared" si="9"/>
        <v>13486.13</v>
      </c>
      <c r="J96" s="276">
        <f t="shared" si="10"/>
        <v>21723.439999999999</v>
      </c>
      <c r="K96" s="277">
        <v>6260</v>
      </c>
      <c r="L96" s="277">
        <v>1500</v>
      </c>
      <c r="M96" s="278">
        <f t="shared" si="11"/>
        <v>270678.24820000003</v>
      </c>
      <c r="N96" s="280">
        <f t="shared" si="12"/>
        <v>4296.4801301587304</v>
      </c>
    </row>
    <row r="97" spans="1:15" s="111" customFormat="1" ht="30" customHeight="1">
      <c r="A97" s="139">
        <f t="shared" si="13"/>
        <v>95</v>
      </c>
      <c r="B97" s="113">
        <v>46060</v>
      </c>
      <c r="C97" s="112">
        <v>1383430</v>
      </c>
      <c r="D97" s="112" t="s">
        <v>132</v>
      </c>
      <c r="E97" s="114">
        <v>31.1</v>
      </c>
      <c r="F97" s="112" t="s">
        <v>36</v>
      </c>
      <c r="G97" s="275">
        <f t="shared" si="7"/>
        <v>159010.25700000001</v>
      </c>
      <c r="H97" s="275">
        <f t="shared" si="8"/>
        <v>74402.396000000008</v>
      </c>
      <c r="I97" s="275">
        <f t="shared" si="9"/>
        <v>13823.95</v>
      </c>
      <c r="J97" s="276">
        <f t="shared" si="10"/>
        <v>22267.600000000002</v>
      </c>
      <c r="K97" s="277">
        <v>6260</v>
      </c>
      <c r="L97" s="277">
        <v>1500</v>
      </c>
      <c r="M97" s="278">
        <f t="shared" si="11"/>
        <v>277264.20300000004</v>
      </c>
      <c r="N97" s="280">
        <f t="shared" si="12"/>
        <v>4401.0190952380963</v>
      </c>
    </row>
    <row r="98" spans="1:15" s="111" customFormat="1" ht="30" customHeight="1">
      <c r="A98" s="139">
        <f t="shared" si="13"/>
        <v>96</v>
      </c>
      <c r="B98" s="113">
        <v>46060</v>
      </c>
      <c r="C98" s="112">
        <v>1383431</v>
      </c>
      <c r="D98" s="112" t="s">
        <v>133</v>
      </c>
      <c r="E98" s="114">
        <v>28.64</v>
      </c>
      <c r="F98" s="112" t="s">
        <v>36</v>
      </c>
      <c r="G98" s="275">
        <f t="shared" si="7"/>
        <v>146432.5968</v>
      </c>
      <c r="H98" s="275">
        <f t="shared" si="8"/>
        <v>68517.190400000007</v>
      </c>
      <c r="I98" s="275">
        <f t="shared" si="9"/>
        <v>12730.480000000001</v>
      </c>
      <c r="J98" s="276">
        <f t="shared" si="10"/>
        <v>20506.240000000002</v>
      </c>
      <c r="K98" s="277">
        <v>6260</v>
      </c>
      <c r="L98" s="277">
        <v>1500</v>
      </c>
      <c r="M98" s="278">
        <f t="shared" si="11"/>
        <v>255946.50719999999</v>
      </c>
      <c r="N98" s="280">
        <f t="shared" si="12"/>
        <v>4062.6429714285714</v>
      </c>
    </row>
    <row r="99" spans="1:15" s="111" customFormat="1" ht="30" customHeight="1">
      <c r="A99" s="139">
        <f t="shared" si="13"/>
        <v>97</v>
      </c>
      <c r="B99" s="113">
        <v>46060</v>
      </c>
      <c r="C99" s="112">
        <v>1383432</v>
      </c>
      <c r="D99" s="112" t="s">
        <v>134</v>
      </c>
      <c r="E99" s="114">
        <v>24.32</v>
      </c>
      <c r="F99" s="112" t="s">
        <v>36</v>
      </c>
      <c r="G99" s="275">
        <f t="shared" si="7"/>
        <v>124344.9984</v>
      </c>
      <c r="H99" s="275">
        <f t="shared" si="8"/>
        <v>58182.195200000002</v>
      </c>
      <c r="I99" s="275">
        <f t="shared" si="9"/>
        <v>10810.24</v>
      </c>
      <c r="J99" s="276">
        <f t="shared" si="10"/>
        <v>17413.12</v>
      </c>
      <c r="K99" s="277">
        <v>6260</v>
      </c>
      <c r="L99" s="277">
        <v>1500</v>
      </c>
      <c r="M99" s="278">
        <f t="shared" si="11"/>
        <v>218510.55359999998</v>
      </c>
      <c r="N99" s="280">
        <f t="shared" si="12"/>
        <v>3468.4214857142856</v>
      </c>
    </row>
    <row r="100" spans="1:15" s="111" customFormat="1" ht="30" customHeight="1">
      <c r="A100" s="139">
        <f t="shared" si="13"/>
        <v>98</v>
      </c>
      <c r="B100" s="113">
        <v>46060</v>
      </c>
      <c r="C100" s="112">
        <v>1383433</v>
      </c>
      <c r="D100" s="112" t="s">
        <v>135</v>
      </c>
      <c r="E100" s="114">
        <v>29.32</v>
      </c>
      <c r="F100" s="112" t="s">
        <v>36</v>
      </c>
      <c r="G100" s="275">
        <f t="shared" si="7"/>
        <v>149909.34839999999</v>
      </c>
      <c r="H100" s="275">
        <f t="shared" si="8"/>
        <v>70143.995200000005</v>
      </c>
      <c r="I100" s="275">
        <f t="shared" si="9"/>
        <v>13032.74</v>
      </c>
      <c r="J100" s="276">
        <f t="shared" si="10"/>
        <v>20993.119999999999</v>
      </c>
      <c r="K100" s="277">
        <v>6260</v>
      </c>
      <c r="L100" s="277">
        <v>1500</v>
      </c>
      <c r="M100" s="278">
        <f t="shared" si="11"/>
        <v>261839.20360000001</v>
      </c>
      <c r="N100" s="280">
        <f t="shared" si="12"/>
        <v>4156.1778349206352</v>
      </c>
    </row>
    <row r="101" spans="1:15" s="111" customFormat="1" ht="30" customHeight="1">
      <c r="A101" s="139">
        <f t="shared" si="13"/>
        <v>99</v>
      </c>
      <c r="B101" s="113">
        <v>46060</v>
      </c>
      <c r="C101" s="112">
        <v>1383434</v>
      </c>
      <c r="D101" s="112" t="s">
        <v>136</v>
      </c>
      <c r="E101" s="114">
        <v>31.18</v>
      </c>
      <c r="F101" s="112" t="s">
        <v>36</v>
      </c>
      <c r="G101" s="275">
        <f t="shared" si="7"/>
        <v>159419.28659999999</v>
      </c>
      <c r="H101" s="275">
        <f t="shared" si="8"/>
        <v>74593.784800000009</v>
      </c>
      <c r="I101" s="275">
        <f t="shared" si="9"/>
        <v>13859.51</v>
      </c>
      <c r="J101" s="276">
        <f t="shared" si="10"/>
        <v>22324.880000000001</v>
      </c>
      <c r="K101" s="277">
        <v>6260</v>
      </c>
      <c r="L101" s="277">
        <v>1500</v>
      </c>
      <c r="M101" s="278">
        <f t="shared" si="11"/>
        <v>277957.46140000003</v>
      </c>
      <c r="N101" s="280">
        <f t="shared" si="12"/>
        <v>4412.0231968253975</v>
      </c>
    </row>
    <row r="102" spans="1:15" s="111" customFormat="1" ht="30" customHeight="1">
      <c r="A102" s="139">
        <f t="shared" si="13"/>
        <v>100</v>
      </c>
      <c r="B102" s="113">
        <v>46060</v>
      </c>
      <c r="C102" s="112">
        <v>1383435</v>
      </c>
      <c r="D102" s="112" t="s">
        <v>137</v>
      </c>
      <c r="E102" s="114">
        <v>31.88</v>
      </c>
      <c r="F102" s="112" t="s">
        <v>36</v>
      </c>
      <c r="G102" s="275">
        <f t="shared" si="7"/>
        <v>162998.29559999998</v>
      </c>
      <c r="H102" s="275">
        <f t="shared" si="8"/>
        <v>76268.436799999996</v>
      </c>
      <c r="I102" s="275">
        <f t="shared" si="9"/>
        <v>14170.66</v>
      </c>
      <c r="J102" s="276">
        <f t="shared" si="10"/>
        <v>22826.079999999998</v>
      </c>
      <c r="K102" s="277">
        <v>6260</v>
      </c>
      <c r="L102" s="277">
        <v>1500</v>
      </c>
      <c r="M102" s="278">
        <f t="shared" si="11"/>
        <v>284023.47239999997</v>
      </c>
      <c r="N102" s="280">
        <f t="shared" si="12"/>
        <v>4508.3090857142852</v>
      </c>
    </row>
    <row r="103" spans="1:15" s="111" customFormat="1" ht="30" customHeight="1">
      <c r="A103" s="139">
        <f t="shared" si="13"/>
        <v>101</v>
      </c>
      <c r="B103" s="113">
        <v>46060</v>
      </c>
      <c r="C103" s="112">
        <v>1383436</v>
      </c>
      <c r="D103" s="112" t="s">
        <v>138</v>
      </c>
      <c r="E103" s="114">
        <v>31.94</v>
      </c>
      <c r="F103" s="112" t="s">
        <v>36</v>
      </c>
      <c r="G103" s="275">
        <f t="shared" si="7"/>
        <v>163305.06779999999</v>
      </c>
      <c r="H103" s="275">
        <f t="shared" si="8"/>
        <v>76411.978400000007</v>
      </c>
      <c r="I103" s="275">
        <f t="shared" si="9"/>
        <v>14197.33</v>
      </c>
      <c r="J103" s="276">
        <f t="shared" si="10"/>
        <v>22869.040000000001</v>
      </c>
      <c r="K103" s="277">
        <v>6260</v>
      </c>
      <c r="L103" s="277">
        <v>1500</v>
      </c>
      <c r="M103" s="278">
        <f t="shared" si="11"/>
        <v>284543.41619999998</v>
      </c>
      <c r="N103" s="280">
        <f t="shared" si="12"/>
        <v>4516.5621619047615</v>
      </c>
    </row>
    <row r="104" spans="1:15" s="111" customFormat="1" ht="30" customHeight="1">
      <c r="A104" s="139">
        <f t="shared" si="13"/>
        <v>102</v>
      </c>
      <c r="B104" s="113">
        <v>46060</v>
      </c>
      <c r="C104" s="112">
        <v>1383437</v>
      </c>
      <c r="D104" s="112" t="s">
        <v>139</v>
      </c>
      <c r="E104" s="114">
        <v>31.28</v>
      </c>
      <c r="F104" s="112" t="s">
        <v>36</v>
      </c>
      <c r="G104" s="275">
        <f t="shared" si="7"/>
        <v>159930.5736</v>
      </c>
      <c r="H104" s="275">
        <f t="shared" si="8"/>
        <v>74833.020800000013</v>
      </c>
      <c r="I104" s="275">
        <f t="shared" si="9"/>
        <v>13903.960000000001</v>
      </c>
      <c r="J104" s="276">
        <f t="shared" si="10"/>
        <v>22396.48</v>
      </c>
      <c r="K104" s="277">
        <v>6260</v>
      </c>
      <c r="L104" s="277">
        <v>1500</v>
      </c>
      <c r="M104" s="278">
        <f t="shared" si="11"/>
        <v>278824.0344</v>
      </c>
      <c r="N104" s="280">
        <f t="shared" si="12"/>
        <v>4425.7783238095235</v>
      </c>
    </row>
    <row r="105" spans="1:15" s="111" customFormat="1" ht="30" customHeight="1">
      <c r="A105" s="139">
        <f t="shared" si="13"/>
        <v>103</v>
      </c>
      <c r="B105" s="113">
        <v>46060</v>
      </c>
      <c r="C105" s="112">
        <v>1383438</v>
      </c>
      <c r="D105" s="112" t="s">
        <v>140</v>
      </c>
      <c r="E105" s="114">
        <v>29.72</v>
      </c>
      <c r="F105" s="112" t="s">
        <v>36</v>
      </c>
      <c r="G105" s="275">
        <f t="shared" si="7"/>
        <v>151954.4964</v>
      </c>
      <c r="H105" s="275">
        <f t="shared" si="8"/>
        <v>71100.939200000008</v>
      </c>
      <c r="I105" s="275">
        <f t="shared" si="9"/>
        <v>13210.539999999999</v>
      </c>
      <c r="J105" s="276">
        <f t="shared" si="10"/>
        <v>21279.52</v>
      </c>
      <c r="K105" s="277">
        <v>6260</v>
      </c>
      <c r="L105" s="277">
        <v>1500</v>
      </c>
      <c r="M105" s="278">
        <f t="shared" si="11"/>
        <v>265305.49560000002</v>
      </c>
      <c r="N105" s="280">
        <f t="shared" si="12"/>
        <v>4211.198342857143</v>
      </c>
    </row>
    <row r="106" spans="1:15" s="111" customFormat="1" ht="30" customHeight="1">
      <c r="A106" s="139">
        <f t="shared" si="13"/>
        <v>104</v>
      </c>
      <c r="B106" s="113">
        <v>46060</v>
      </c>
      <c r="C106" s="112">
        <v>1383439</v>
      </c>
      <c r="D106" s="112" t="s">
        <v>141</v>
      </c>
      <c r="E106" s="114">
        <v>31.74</v>
      </c>
      <c r="F106" s="112" t="s">
        <v>36</v>
      </c>
      <c r="G106" s="275">
        <f t="shared" si="7"/>
        <v>162282.4938</v>
      </c>
      <c r="H106" s="275">
        <f t="shared" si="8"/>
        <v>75933.506399999998</v>
      </c>
      <c r="I106" s="275">
        <f t="shared" si="9"/>
        <v>14108.429999999998</v>
      </c>
      <c r="J106" s="276">
        <f t="shared" si="10"/>
        <v>22725.84</v>
      </c>
      <c r="K106" s="277">
        <v>6260</v>
      </c>
      <c r="L106" s="277">
        <v>1500</v>
      </c>
      <c r="M106" s="278">
        <f t="shared" si="11"/>
        <v>282810.27020000003</v>
      </c>
      <c r="N106" s="280">
        <f t="shared" si="12"/>
        <v>4489.0519079365085</v>
      </c>
      <c r="O106" s="111">
        <v>67</v>
      </c>
    </row>
    <row r="107" spans="1:15" s="111" customFormat="1" ht="30" customHeight="1">
      <c r="A107" s="139">
        <f t="shared" si="13"/>
        <v>105</v>
      </c>
      <c r="B107" s="113">
        <v>46060</v>
      </c>
      <c r="C107" s="112">
        <v>1383440</v>
      </c>
      <c r="D107" s="112" t="s">
        <v>142</v>
      </c>
      <c r="E107" s="114">
        <v>26.18</v>
      </c>
      <c r="F107" s="112" t="s">
        <v>36</v>
      </c>
      <c r="G107" s="275">
        <f t="shared" si="7"/>
        <v>133854.93659999999</v>
      </c>
      <c r="H107" s="275">
        <f t="shared" si="8"/>
        <v>62631.984800000006</v>
      </c>
      <c r="I107" s="275">
        <f t="shared" si="9"/>
        <v>11637.01</v>
      </c>
      <c r="J107" s="276">
        <f t="shared" si="10"/>
        <v>18744.88</v>
      </c>
      <c r="K107" s="277">
        <v>6260</v>
      </c>
      <c r="L107" s="277">
        <v>1500</v>
      </c>
      <c r="M107" s="278">
        <f t="shared" si="11"/>
        <v>234628.81140000001</v>
      </c>
      <c r="N107" s="280">
        <f t="shared" si="12"/>
        <v>3724.2668476190479</v>
      </c>
    </row>
    <row r="108" spans="1:15" s="111" customFormat="1" ht="30" customHeight="1">
      <c r="A108" s="139">
        <f t="shared" si="13"/>
        <v>106</v>
      </c>
      <c r="B108" s="113">
        <v>46060</v>
      </c>
      <c r="C108" s="112">
        <v>1383441</v>
      </c>
      <c r="D108" s="112" t="s">
        <v>143</v>
      </c>
      <c r="E108" s="114">
        <v>32.54</v>
      </c>
      <c r="F108" s="112" t="s">
        <v>36</v>
      </c>
      <c r="G108" s="275">
        <f t="shared" si="7"/>
        <v>166372.7898</v>
      </c>
      <c r="H108" s="275">
        <f t="shared" si="8"/>
        <v>77847.394400000005</v>
      </c>
      <c r="I108" s="275">
        <f t="shared" si="9"/>
        <v>14464.03</v>
      </c>
      <c r="J108" s="276">
        <f t="shared" si="10"/>
        <v>23298.639999999999</v>
      </c>
      <c r="K108" s="277">
        <v>6260</v>
      </c>
      <c r="L108" s="277">
        <v>1500</v>
      </c>
      <c r="M108" s="278">
        <f t="shared" si="11"/>
        <v>289742.8542</v>
      </c>
      <c r="N108" s="280">
        <f t="shared" si="12"/>
        <v>4599.0929238095241</v>
      </c>
    </row>
    <row r="109" spans="1:15" s="111" customFormat="1" ht="30" customHeight="1">
      <c r="A109" s="139">
        <f t="shared" si="13"/>
        <v>107</v>
      </c>
      <c r="B109" s="113">
        <v>46060</v>
      </c>
      <c r="C109" s="112">
        <v>1383442</v>
      </c>
      <c r="D109" s="112" t="s">
        <v>144</v>
      </c>
      <c r="E109" s="114">
        <v>31.14</v>
      </c>
      <c r="F109" s="112" t="s">
        <v>36</v>
      </c>
      <c r="G109" s="275">
        <f t="shared" si="7"/>
        <v>159214.77179999999</v>
      </c>
      <c r="H109" s="275">
        <f t="shared" si="8"/>
        <v>74498.090400000001</v>
      </c>
      <c r="I109" s="275">
        <f t="shared" si="9"/>
        <v>13841.730000000001</v>
      </c>
      <c r="J109" s="276">
        <f t="shared" si="10"/>
        <v>22296.240000000002</v>
      </c>
      <c r="K109" s="277">
        <v>6260</v>
      </c>
      <c r="L109" s="277">
        <v>1500</v>
      </c>
      <c r="M109" s="278">
        <f t="shared" si="11"/>
        <v>277610.8322</v>
      </c>
      <c r="N109" s="280">
        <f t="shared" si="12"/>
        <v>4406.521146031746</v>
      </c>
    </row>
    <row r="110" spans="1:15" s="111" customFormat="1" ht="30" customHeight="1">
      <c r="A110" s="139">
        <f t="shared" si="13"/>
        <v>108</v>
      </c>
      <c r="B110" s="113">
        <v>46060</v>
      </c>
      <c r="C110" s="112">
        <v>1383443</v>
      </c>
      <c r="D110" s="112" t="s">
        <v>145</v>
      </c>
      <c r="E110" s="114">
        <v>31.9</v>
      </c>
      <c r="F110" s="112" t="s">
        <v>36</v>
      </c>
      <c r="G110" s="275">
        <f t="shared" si="7"/>
        <v>163100.55299999999</v>
      </c>
      <c r="H110" s="275">
        <f t="shared" si="8"/>
        <v>76316.284</v>
      </c>
      <c r="I110" s="275">
        <f t="shared" si="9"/>
        <v>14179.55</v>
      </c>
      <c r="J110" s="276">
        <f t="shared" si="10"/>
        <v>22840.399999999998</v>
      </c>
      <c r="K110" s="277">
        <v>6260</v>
      </c>
      <c r="L110" s="277">
        <v>1500</v>
      </c>
      <c r="M110" s="278">
        <f t="shared" si="11"/>
        <v>284196.78700000001</v>
      </c>
      <c r="N110" s="280">
        <f t="shared" si="12"/>
        <v>4511.0601111111109</v>
      </c>
    </row>
    <row r="111" spans="1:15" s="111" customFormat="1" ht="30" customHeight="1">
      <c r="A111" s="139">
        <f t="shared" si="13"/>
        <v>109</v>
      </c>
      <c r="B111" s="113">
        <v>46060</v>
      </c>
      <c r="C111" s="112">
        <v>1383444</v>
      </c>
      <c r="D111" s="112" t="s">
        <v>146</v>
      </c>
      <c r="E111" s="114">
        <v>31.64</v>
      </c>
      <c r="F111" s="112" t="s">
        <v>36</v>
      </c>
      <c r="G111" s="275">
        <f t="shared" si="7"/>
        <v>161771.20679999999</v>
      </c>
      <c r="H111" s="275">
        <f t="shared" si="8"/>
        <v>75694.270400000009</v>
      </c>
      <c r="I111" s="275">
        <f t="shared" si="9"/>
        <v>14063.980000000001</v>
      </c>
      <c r="J111" s="276">
        <f t="shared" si="10"/>
        <v>22654.240000000002</v>
      </c>
      <c r="K111" s="277">
        <v>6260</v>
      </c>
      <c r="L111" s="277">
        <v>1500</v>
      </c>
      <c r="M111" s="278">
        <f t="shared" si="11"/>
        <v>281943.6972</v>
      </c>
      <c r="N111" s="280">
        <f t="shared" si="12"/>
        <v>4475.2967809523807</v>
      </c>
    </row>
    <row r="112" spans="1:15" s="111" customFormat="1" ht="30" customHeight="1">
      <c r="A112" s="139">
        <f t="shared" si="13"/>
        <v>110</v>
      </c>
      <c r="B112" s="113">
        <v>46060</v>
      </c>
      <c r="C112" s="112">
        <v>1383445</v>
      </c>
      <c r="D112" s="112" t="s">
        <v>147</v>
      </c>
      <c r="E112" s="114">
        <v>32.86</v>
      </c>
      <c r="F112" s="112" t="s">
        <v>36</v>
      </c>
      <c r="G112" s="275">
        <f t="shared" si="7"/>
        <v>168008.90820000001</v>
      </c>
      <c r="H112" s="275">
        <f t="shared" si="8"/>
        <v>78612.949600000007</v>
      </c>
      <c r="I112" s="275">
        <f t="shared" si="9"/>
        <v>14606.269999999999</v>
      </c>
      <c r="J112" s="276">
        <f t="shared" si="10"/>
        <v>23527.759999999998</v>
      </c>
      <c r="K112" s="277">
        <v>6260</v>
      </c>
      <c r="L112" s="277">
        <v>1500</v>
      </c>
      <c r="M112" s="278">
        <f t="shared" si="11"/>
        <v>292515.88780000003</v>
      </c>
      <c r="N112" s="280">
        <f t="shared" si="12"/>
        <v>4643.1093301587307</v>
      </c>
    </row>
    <row r="113" spans="1:14" s="111" customFormat="1" ht="30" customHeight="1">
      <c r="A113" s="139">
        <f t="shared" si="13"/>
        <v>111</v>
      </c>
      <c r="B113" s="113">
        <v>46060</v>
      </c>
      <c r="C113" s="112">
        <v>1383446</v>
      </c>
      <c r="D113" s="112" t="s">
        <v>148</v>
      </c>
      <c r="E113" s="114">
        <v>28.24</v>
      </c>
      <c r="F113" s="112" t="s">
        <v>36</v>
      </c>
      <c r="G113" s="275">
        <f t="shared" si="7"/>
        <v>144387.44879999998</v>
      </c>
      <c r="H113" s="275">
        <f t="shared" si="8"/>
        <v>67560.246400000004</v>
      </c>
      <c r="I113" s="275">
        <f t="shared" si="9"/>
        <v>12552.679999999998</v>
      </c>
      <c r="J113" s="276">
        <f t="shared" si="10"/>
        <v>20219.84</v>
      </c>
      <c r="K113" s="277">
        <v>6260</v>
      </c>
      <c r="L113" s="277">
        <v>1500</v>
      </c>
      <c r="M113" s="278">
        <f t="shared" si="11"/>
        <v>252480.21519999998</v>
      </c>
      <c r="N113" s="280">
        <f t="shared" si="12"/>
        <v>4007.6224634920632</v>
      </c>
    </row>
    <row r="114" spans="1:14" s="111" customFormat="1" ht="30" customHeight="1">
      <c r="A114" s="139">
        <f t="shared" si="13"/>
        <v>112</v>
      </c>
      <c r="B114" s="113">
        <v>46060</v>
      </c>
      <c r="C114" s="112">
        <v>1383447</v>
      </c>
      <c r="D114" s="112" t="s">
        <v>149</v>
      </c>
      <c r="E114" s="114">
        <v>30.08</v>
      </c>
      <c r="F114" s="112" t="s">
        <v>36</v>
      </c>
      <c r="G114" s="275">
        <f t="shared" si="7"/>
        <v>153795.12959999999</v>
      </c>
      <c r="H114" s="275">
        <f t="shared" si="8"/>
        <v>71962.188800000004</v>
      </c>
      <c r="I114" s="275">
        <f t="shared" si="9"/>
        <v>13370.56</v>
      </c>
      <c r="J114" s="276">
        <f t="shared" si="10"/>
        <v>21537.279999999999</v>
      </c>
      <c r="K114" s="277">
        <v>6260</v>
      </c>
      <c r="L114" s="277">
        <v>1500</v>
      </c>
      <c r="M114" s="278">
        <f t="shared" si="11"/>
        <v>268425.15839999996</v>
      </c>
      <c r="N114" s="280">
        <f t="shared" si="12"/>
        <v>4260.7167999999992</v>
      </c>
    </row>
    <row r="115" spans="1:14" s="111" customFormat="1" ht="30" customHeight="1">
      <c r="A115" s="139">
        <f t="shared" si="13"/>
        <v>113</v>
      </c>
      <c r="B115" s="113">
        <v>46060</v>
      </c>
      <c r="C115" s="112">
        <v>1383448</v>
      </c>
      <c r="D115" s="112" t="s">
        <v>150</v>
      </c>
      <c r="E115" s="114">
        <v>29.34</v>
      </c>
      <c r="F115" s="112" t="s">
        <v>36</v>
      </c>
      <c r="G115" s="275">
        <f t="shared" si="7"/>
        <v>150011.60579999999</v>
      </c>
      <c r="H115" s="275">
        <f t="shared" si="8"/>
        <v>70191.842400000009</v>
      </c>
      <c r="I115" s="275">
        <f t="shared" si="9"/>
        <v>13041.63</v>
      </c>
      <c r="J115" s="276">
        <f t="shared" si="10"/>
        <v>21007.439999999999</v>
      </c>
      <c r="K115" s="277">
        <v>6260</v>
      </c>
      <c r="L115" s="277">
        <v>1500</v>
      </c>
      <c r="M115" s="278">
        <f t="shared" si="11"/>
        <v>262012.51819999999</v>
      </c>
      <c r="N115" s="280">
        <f t="shared" si="12"/>
        <v>4158.92886031746</v>
      </c>
    </row>
    <row r="116" spans="1:14" s="111" customFormat="1" ht="30" customHeight="1">
      <c r="A116" s="139">
        <f t="shared" si="13"/>
        <v>114</v>
      </c>
      <c r="B116" s="113">
        <v>46060</v>
      </c>
      <c r="C116" s="112">
        <v>1383449</v>
      </c>
      <c r="D116" s="112" t="s">
        <v>151</v>
      </c>
      <c r="E116" s="114">
        <v>29.8</v>
      </c>
      <c r="F116" s="112" t="s">
        <v>36</v>
      </c>
      <c r="G116" s="275">
        <f t="shared" si="7"/>
        <v>152363.52600000001</v>
      </c>
      <c r="H116" s="275">
        <f t="shared" si="8"/>
        <v>71292.328000000009</v>
      </c>
      <c r="I116" s="275">
        <f t="shared" si="9"/>
        <v>13246.1</v>
      </c>
      <c r="J116" s="276">
        <f t="shared" si="10"/>
        <v>21336.799999999999</v>
      </c>
      <c r="K116" s="277">
        <v>6260</v>
      </c>
      <c r="L116" s="277">
        <v>1500</v>
      </c>
      <c r="M116" s="278">
        <f t="shared" si="11"/>
        <v>265998.75400000002</v>
      </c>
      <c r="N116" s="280">
        <f t="shared" si="12"/>
        <v>4222.2024444444451</v>
      </c>
    </row>
    <row r="117" spans="1:14" s="111" customFormat="1" ht="30" customHeight="1">
      <c r="A117" s="139">
        <f t="shared" si="13"/>
        <v>115</v>
      </c>
      <c r="B117" s="113">
        <v>46060</v>
      </c>
      <c r="C117" s="112">
        <v>1383450</v>
      </c>
      <c r="D117" s="112" t="s">
        <v>152</v>
      </c>
      <c r="E117" s="114">
        <v>30.9</v>
      </c>
      <c r="F117" s="112" t="s">
        <v>36</v>
      </c>
      <c r="G117" s="275">
        <f t="shared" si="7"/>
        <v>157987.68299999999</v>
      </c>
      <c r="H117" s="275">
        <f t="shared" si="8"/>
        <v>73923.923999999999</v>
      </c>
      <c r="I117" s="275">
        <f t="shared" si="9"/>
        <v>13735.05</v>
      </c>
      <c r="J117" s="276">
        <f t="shared" si="10"/>
        <v>22124.399999999998</v>
      </c>
      <c r="K117" s="277">
        <v>6260</v>
      </c>
      <c r="L117" s="277">
        <v>1500</v>
      </c>
      <c r="M117" s="278">
        <f t="shared" si="11"/>
        <v>275531.05699999997</v>
      </c>
      <c r="N117" s="280">
        <f t="shared" si="12"/>
        <v>4373.5088412698406</v>
      </c>
    </row>
    <row r="118" spans="1:14" s="111" customFormat="1" ht="30" customHeight="1">
      <c r="A118" s="139">
        <f t="shared" si="13"/>
        <v>116</v>
      </c>
      <c r="B118" s="113">
        <v>46060</v>
      </c>
      <c r="C118" s="112">
        <v>1383451</v>
      </c>
      <c r="D118" s="112" t="s">
        <v>153</v>
      </c>
      <c r="E118" s="114">
        <v>30.36</v>
      </c>
      <c r="F118" s="112" t="s">
        <v>36</v>
      </c>
      <c r="G118" s="275">
        <f t="shared" si="7"/>
        <v>155226.73319999999</v>
      </c>
      <c r="H118" s="275">
        <f t="shared" si="8"/>
        <v>72632.049599999998</v>
      </c>
      <c r="I118" s="275">
        <f t="shared" si="9"/>
        <v>13495.019999999999</v>
      </c>
      <c r="J118" s="276">
        <f t="shared" si="10"/>
        <v>21737.759999999998</v>
      </c>
      <c r="K118" s="277">
        <v>6260</v>
      </c>
      <c r="L118" s="277">
        <v>1500</v>
      </c>
      <c r="M118" s="278">
        <f t="shared" si="11"/>
        <v>270851.56279999996</v>
      </c>
      <c r="N118" s="280">
        <f t="shared" si="12"/>
        <v>4299.2311555555552</v>
      </c>
    </row>
    <row r="119" spans="1:14" s="111" customFormat="1" ht="30" customHeight="1">
      <c r="A119" s="139">
        <f t="shared" si="13"/>
        <v>117</v>
      </c>
      <c r="B119" s="113">
        <v>46060</v>
      </c>
      <c r="C119" s="112">
        <v>1383452</v>
      </c>
      <c r="D119" s="112" t="s">
        <v>154</v>
      </c>
      <c r="E119" s="114">
        <v>30.56</v>
      </c>
      <c r="F119" s="112" t="s">
        <v>36</v>
      </c>
      <c r="G119" s="275">
        <f t="shared" si="7"/>
        <v>156249.30719999998</v>
      </c>
      <c r="H119" s="275">
        <f t="shared" si="8"/>
        <v>73110.521600000007</v>
      </c>
      <c r="I119" s="275">
        <f t="shared" si="9"/>
        <v>13583.92</v>
      </c>
      <c r="J119" s="276">
        <f t="shared" si="10"/>
        <v>21880.959999999999</v>
      </c>
      <c r="K119" s="277">
        <v>6260</v>
      </c>
      <c r="L119" s="277">
        <v>1500</v>
      </c>
      <c r="M119" s="278">
        <f t="shared" si="11"/>
        <v>272584.70880000002</v>
      </c>
      <c r="N119" s="280">
        <f t="shared" si="12"/>
        <v>4326.74140952381</v>
      </c>
    </row>
    <row r="120" spans="1:14" s="111" customFormat="1" ht="30" customHeight="1">
      <c r="A120" s="139">
        <f t="shared" si="13"/>
        <v>118</v>
      </c>
      <c r="B120" s="113">
        <v>46061</v>
      </c>
      <c r="C120" s="112">
        <v>1383453</v>
      </c>
      <c r="D120" s="112" t="s">
        <v>155</v>
      </c>
      <c r="E120" s="114">
        <v>27.96</v>
      </c>
      <c r="F120" s="112" t="s">
        <v>36</v>
      </c>
      <c r="G120" s="275">
        <f t="shared" si="7"/>
        <v>142955.84520000001</v>
      </c>
      <c r="H120" s="275">
        <f t="shared" si="8"/>
        <v>66890.385600000009</v>
      </c>
      <c r="I120" s="275">
        <f t="shared" si="9"/>
        <v>12428.22</v>
      </c>
      <c r="J120" s="276">
        <f t="shared" si="10"/>
        <v>20019.36</v>
      </c>
      <c r="K120" s="277">
        <v>6260</v>
      </c>
      <c r="L120" s="277">
        <v>1500</v>
      </c>
      <c r="M120" s="278">
        <f t="shared" si="11"/>
        <v>250053.81080000004</v>
      </c>
      <c r="N120" s="280">
        <f t="shared" si="12"/>
        <v>3969.1081079365085</v>
      </c>
    </row>
    <row r="121" spans="1:14" s="111" customFormat="1" ht="30" customHeight="1">
      <c r="A121" s="139">
        <f t="shared" si="13"/>
        <v>119</v>
      </c>
      <c r="B121" s="113">
        <v>46061</v>
      </c>
      <c r="C121" s="112">
        <v>1383454</v>
      </c>
      <c r="D121" s="112" t="s">
        <v>156</v>
      </c>
      <c r="E121" s="114">
        <v>31.8</v>
      </c>
      <c r="F121" s="112" t="s">
        <v>36</v>
      </c>
      <c r="G121" s="275">
        <f t="shared" si="7"/>
        <v>162589.266</v>
      </c>
      <c r="H121" s="275">
        <f t="shared" si="8"/>
        <v>76077.04800000001</v>
      </c>
      <c r="I121" s="275">
        <f t="shared" si="9"/>
        <v>14135.1</v>
      </c>
      <c r="J121" s="276">
        <f t="shared" si="10"/>
        <v>22768.799999999999</v>
      </c>
      <c r="K121" s="277">
        <v>6260</v>
      </c>
      <c r="L121" s="277">
        <v>1500</v>
      </c>
      <c r="M121" s="278">
        <f t="shared" si="11"/>
        <v>283330.21400000004</v>
      </c>
      <c r="N121" s="280">
        <f t="shared" si="12"/>
        <v>4497.3049841269849</v>
      </c>
    </row>
    <row r="122" spans="1:14" s="111" customFormat="1" ht="30" customHeight="1">
      <c r="A122" s="139">
        <f t="shared" si="13"/>
        <v>120</v>
      </c>
      <c r="B122" s="113">
        <v>46061</v>
      </c>
      <c r="C122" s="112">
        <v>1383455</v>
      </c>
      <c r="D122" s="112" t="s">
        <v>157</v>
      </c>
      <c r="E122" s="114">
        <v>31.98</v>
      </c>
      <c r="F122" s="112" t="s">
        <v>36</v>
      </c>
      <c r="G122" s="275">
        <f t="shared" si="7"/>
        <v>163509.58259999999</v>
      </c>
      <c r="H122" s="275">
        <f t="shared" si="8"/>
        <v>76507.6728</v>
      </c>
      <c r="I122" s="275">
        <f t="shared" si="9"/>
        <v>14215.11</v>
      </c>
      <c r="J122" s="276">
        <f t="shared" si="10"/>
        <v>22897.68</v>
      </c>
      <c r="K122" s="277">
        <v>6260</v>
      </c>
      <c r="L122" s="277">
        <v>1500</v>
      </c>
      <c r="M122" s="278">
        <f t="shared" si="11"/>
        <v>284890.0454</v>
      </c>
      <c r="N122" s="280">
        <f t="shared" si="12"/>
        <v>4522.064212698413</v>
      </c>
    </row>
    <row r="123" spans="1:14" s="111" customFormat="1" ht="30" customHeight="1">
      <c r="A123" s="139">
        <f t="shared" si="13"/>
        <v>121</v>
      </c>
      <c r="B123" s="113">
        <v>46061</v>
      </c>
      <c r="C123" s="112">
        <v>1383456</v>
      </c>
      <c r="D123" s="112" t="s">
        <v>158</v>
      </c>
      <c r="E123" s="114">
        <v>33.46</v>
      </c>
      <c r="F123" s="112" t="s">
        <v>36</v>
      </c>
      <c r="G123" s="275">
        <f t="shared" si="7"/>
        <v>171076.63020000001</v>
      </c>
      <c r="H123" s="275">
        <f t="shared" si="8"/>
        <v>80048.365600000005</v>
      </c>
      <c r="I123" s="275">
        <f t="shared" si="9"/>
        <v>14872.97</v>
      </c>
      <c r="J123" s="276">
        <f t="shared" si="10"/>
        <v>23957.360000000001</v>
      </c>
      <c r="K123" s="277">
        <v>6260</v>
      </c>
      <c r="L123" s="277">
        <v>1500</v>
      </c>
      <c r="M123" s="278">
        <f t="shared" si="11"/>
        <v>297715.32579999999</v>
      </c>
      <c r="N123" s="280">
        <f t="shared" si="12"/>
        <v>4725.6400920634924</v>
      </c>
    </row>
    <row r="124" spans="1:14" s="111" customFormat="1" ht="30" customHeight="1">
      <c r="A124" s="139">
        <f t="shared" si="13"/>
        <v>122</v>
      </c>
      <c r="B124" s="113">
        <v>46061</v>
      </c>
      <c r="C124" s="112">
        <v>1383457</v>
      </c>
      <c r="D124" s="112" t="s">
        <v>159</v>
      </c>
      <c r="E124" s="114">
        <v>32.479999999999997</v>
      </c>
      <c r="F124" s="112" t="s">
        <v>36</v>
      </c>
      <c r="G124" s="275">
        <f t="shared" si="7"/>
        <v>166066.01759999999</v>
      </c>
      <c r="H124" s="275">
        <f t="shared" si="8"/>
        <v>77703.852799999993</v>
      </c>
      <c r="I124" s="275">
        <f t="shared" si="9"/>
        <v>14437.359999999999</v>
      </c>
      <c r="J124" s="276">
        <f t="shared" si="10"/>
        <v>23255.679999999997</v>
      </c>
      <c r="K124" s="277">
        <v>6260</v>
      </c>
      <c r="L124" s="277">
        <v>1500</v>
      </c>
      <c r="M124" s="278">
        <f t="shared" si="11"/>
        <v>289222.91039999999</v>
      </c>
      <c r="N124" s="280">
        <f t="shared" si="12"/>
        <v>4590.8398476190478</v>
      </c>
    </row>
    <row r="125" spans="1:14" s="111" customFormat="1" ht="30" customHeight="1">
      <c r="A125" s="139">
        <f t="shared" si="13"/>
        <v>123</v>
      </c>
      <c r="B125" s="113">
        <v>46061</v>
      </c>
      <c r="C125" s="112">
        <v>1383458</v>
      </c>
      <c r="D125" s="112" t="s">
        <v>160</v>
      </c>
      <c r="E125" s="114">
        <v>30.48</v>
      </c>
      <c r="F125" s="112" t="s">
        <v>36</v>
      </c>
      <c r="G125" s="275">
        <f t="shared" si="7"/>
        <v>155840.2776</v>
      </c>
      <c r="H125" s="275">
        <f t="shared" si="8"/>
        <v>72919.132800000007</v>
      </c>
      <c r="I125" s="275">
        <f t="shared" si="9"/>
        <v>13548.36</v>
      </c>
      <c r="J125" s="276">
        <f t="shared" si="10"/>
        <v>21823.68</v>
      </c>
      <c r="K125" s="277">
        <v>6260</v>
      </c>
      <c r="L125" s="277">
        <v>1500</v>
      </c>
      <c r="M125" s="278">
        <f t="shared" si="11"/>
        <v>271891.45039999997</v>
      </c>
      <c r="N125" s="280">
        <f t="shared" si="12"/>
        <v>4315.7373079365079</v>
      </c>
    </row>
    <row r="126" spans="1:14" s="111" customFormat="1" ht="30" customHeight="1">
      <c r="A126" s="139">
        <f t="shared" si="13"/>
        <v>124</v>
      </c>
      <c r="B126" s="113">
        <v>46061</v>
      </c>
      <c r="C126" s="112">
        <v>1383459</v>
      </c>
      <c r="D126" s="112" t="s">
        <v>161</v>
      </c>
      <c r="E126" s="114">
        <v>30.28</v>
      </c>
      <c r="F126" s="112" t="s">
        <v>36</v>
      </c>
      <c r="G126" s="275">
        <f t="shared" si="7"/>
        <v>154817.70360000001</v>
      </c>
      <c r="H126" s="275">
        <f t="shared" si="8"/>
        <v>72440.660800000012</v>
      </c>
      <c r="I126" s="275">
        <f t="shared" si="9"/>
        <v>13459.460000000001</v>
      </c>
      <c r="J126" s="276">
        <f t="shared" si="10"/>
        <v>21680.48</v>
      </c>
      <c r="K126" s="277">
        <v>6260</v>
      </c>
      <c r="L126" s="277">
        <v>1500</v>
      </c>
      <c r="M126" s="278">
        <f t="shared" si="11"/>
        <v>270158.30440000002</v>
      </c>
      <c r="N126" s="280">
        <f t="shared" si="12"/>
        <v>4288.227053968254</v>
      </c>
    </row>
    <row r="127" spans="1:14" s="111" customFormat="1" ht="30" customHeight="1">
      <c r="A127" s="139">
        <f t="shared" si="13"/>
        <v>125</v>
      </c>
      <c r="B127" s="113">
        <v>46061</v>
      </c>
      <c r="C127" s="112">
        <v>1383460</v>
      </c>
      <c r="D127" s="112" t="s">
        <v>162</v>
      </c>
      <c r="E127" s="114">
        <v>32.4</v>
      </c>
      <c r="F127" s="112" t="s">
        <v>36</v>
      </c>
      <c r="G127" s="275">
        <f t="shared" si="7"/>
        <v>165656.98799999998</v>
      </c>
      <c r="H127" s="275">
        <f t="shared" si="8"/>
        <v>77512.464000000007</v>
      </c>
      <c r="I127" s="275">
        <f t="shared" si="9"/>
        <v>14401.8</v>
      </c>
      <c r="J127" s="276">
        <f t="shared" si="10"/>
        <v>23198.399999999998</v>
      </c>
      <c r="K127" s="277">
        <v>6260</v>
      </c>
      <c r="L127" s="277">
        <v>1500</v>
      </c>
      <c r="M127" s="278">
        <f t="shared" si="11"/>
        <v>288529.652</v>
      </c>
      <c r="N127" s="280">
        <f t="shared" si="12"/>
        <v>4579.8357460317457</v>
      </c>
    </row>
    <row r="128" spans="1:14" s="111" customFormat="1" ht="30" customHeight="1" thickBot="1">
      <c r="A128" s="159">
        <f t="shared" si="13"/>
        <v>126</v>
      </c>
      <c r="B128" s="281">
        <v>46061</v>
      </c>
      <c r="C128" s="115">
        <v>1383461</v>
      </c>
      <c r="D128" s="115" t="s">
        <v>163</v>
      </c>
      <c r="E128" s="116">
        <v>25.78</v>
      </c>
      <c r="F128" s="115" t="s">
        <v>36</v>
      </c>
      <c r="G128" s="282">
        <f t="shared" si="7"/>
        <v>131809.7886</v>
      </c>
      <c r="H128" s="282">
        <f t="shared" si="8"/>
        <v>61675.040800000002</v>
      </c>
      <c r="I128" s="282">
        <f t="shared" si="9"/>
        <v>11459.210000000001</v>
      </c>
      <c r="J128" s="283">
        <f t="shared" si="10"/>
        <v>18458.48</v>
      </c>
      <c r="K128" s="284">
        <v>6260</v>
      </c>
      <c r="L128" s="284">
        <v>1500</v>
      </c>
      <c r="M128" s="285">
        <f t="shared" si="11"/>
        <v>231162.51939999999</v>
      </c>
      <c r="N128" s="286">
        <f t="shared" si="12"/>
        <v>3669.2463396825397</v>
      </c>
    </row>
    <row r="129" spans="1:14" s="111" customFormat="1" ht="30" customHeight="1" thickBot="1">
      <c r="A129" s="168"/>
      <c r="B129" s="169"/>
      <c r="C129" s="169"/>
      <c r="D129" s="169"/>
      <c r="E129" s="170"/>
      <c r="F129" s="169"/>
      <c r="G129" s="287">
        <f t="shared" ref="G129" si="14">SUM(G3:G128)</f>
        <v>19850411.002799995</v>
      </c>
      <c r="H129" s="287">
        <f t="shared" ref="H129" si="15">SUM(H3:H128)</f>
        <v>9288194.1583999991</v>
      </c>
      <c r="I129" s="287">
        <f t="shared" ref="I129" si="16">SUM(I3:I128)</f>
        <v>1725744.5800000003</v>
      </c>
      <c r="J129" s="287">
        <f t="shared" ref="J129" si="17">SUM(J3:J128)</f>
        <v>2779827.0399999996</v>
      </c>
      <c r="K129" s="287">
        <f t="shared" ref="K129" si="18">SUM(K3:K128)</f>
        <v>788760</v>
      </c>
      <c r="L129" s="287">
        <f t="shared" ref="L129" si="19">SUM(L3:L128)</f>
        <v>189000</v>
      </c>
      <c r="M129" s="287">
        <f t="shared" ref="M129" si="20">SUM(M3:M128)</f>
        <v>34621936.781199999</v>
      </c>
      <c r="N129" s="288">
        <f t="shared" ref="N129" si="21">SUM(N3:N128)</f>
        <v>549554.55208253965</v>
      </c>
    </row>
  </sheetData>
  <autoFilter ref="A2:N129"/>
  <mergeCells count="1">
    <mergeCell ref="A1:N1"/>
  </mergeCells>
  <conditionalFormatting sqref="D129:D1048576">
    <cfRule type="duplicateValues" dxfId="8" priority="3"/>
  </conditionalFormatting>
  <conditionalFormatting sqref="C2 C129:C1048576">
    <cfRule type="duplicateValues" dxfId="7" priority="4"/>
  </conditionalFormatting>
  <conditionalFormatting sqref="C2 C129:C1048576">
    <cfRule type="duplicateValues" dxfId="6" priority="5"/>
    <cfRule type="duplicateValues" dxfId="5" priority="6"/>
  </conditionalFormatting>
  <conditionalFormatting sqref="D2">
    <cfRule type="duplicateValues" dxfId="4" priority="7"/>
  </conditionalFormatting>
  <conditionalFormatting sqref="D2">
    <cfRule type="duplicateValues" dxfId="3" priority="8"/>
    <cfRule type="duplicateValues" dxfId="2" priority="9"/>
  </conditionalFormatting>
  <conditionalFormatting sqref="L2:N2 D2 L130:N1048576 D129:D1048576">
    <cfRule type="duplicateValues" dxfId="1" priority="217"/>
    <cfRule type="duplicateValues" dxfId="0" priority="218"/>
  </conditionalFormatting>
  <pageMargins left="0.7" right="0.7" top="0.75" bottom="0.75" header="0.3" footer="0.3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بیلانس</vt:lpstr>
      <vt:lpstr>Loading Report</vt:lpstr>
      <vt:lpstr>کرایه موتر ها</vt:lpstr>
      <vt:lpstr>فروشات هرات</vt:lpstr>
      <vt:lpstr>فروشات آقینه</vt:lpstr>
      <vt:lpstr>مصارف محصولی</vt:lpstr>
      <vt:lpstr>'Loading Report'!Print_Area</vt:lpstr>
      <vt:lpstr>بیلانس!Print_Area</vt:lpstr>
      <vt:lpstr>'کرایه موتر ها'!Print_Area</vt:lpstr>
      <vt:lpstr>'مصارف محصولی'!Print_Area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2026-04-18T10:38:16Z</dcterms:modified>
</cp:coreProperties>
</file>