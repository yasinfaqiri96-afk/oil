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Work folder\Contract\2026\BNK KHUMOR\"/>
    </mc:Choice>
  </mc:AlternateContent>
  <xr:revisionPtr revIDLastSave="0" documentId="13_ncr:1_{D5476396-1E80-43F9-99B1-401380EC95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6" i="1" l="1"/>
  <c r="G266" i="1"/>
  <c r="I265" i="1"/>
  <c r="G265" i="1"/>
  <c r="I264" i="1"/>
  <c r="G264" i="1"/>
  <c r="I263" i="1"/>
  <c r="G263" i="1"/>
  <c r="I262" i="1"/>
  <c r="G262" i="1"/>
  <c r="I261" i="1"/>
  <c r="G261" i="1"/>
  <c r="I260" i="1"/>
  <c r="G260" i="1"/>
  <c r="I259" i="1"/>
  <c r="G259" i="1"/>
  <c r="I258" i="1"/>
  <c r="G258" i="1"/>
  <c r="I257" i="1"/>
  <c r="G257" i="1"/>
  <c r="I256" i="1"/>
  <c r="G256" i="1"/>
  <c r="I255" i="1"/>
  <c r="G255" i="1"/>
  <c r="A255" i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I254" i="1"/>
  <c r="G254" i="1"/>
  <c r="I252" i="1"/>
  <c r="G252" i="1"/>
  <c r="I251" i="1"/>
  <c r="G251" i="1"/>
  <c r="I250" i="1"/>
  <c r="G250" i="1"/>
  <c r="I249" i="1"/>
  <c r="G249" i="1"/>
  <c r="I248" i="1"/>
  <c r="G248" i="1"/>
  <c r="I247" i="1"/>
  <c r="G247" i="1"/>
  <c r="I246" i="1"/>
  <c r="G246" i="1"/>
  <c r="I245" i="1"/>
  <c r="G245" i="1"/>
  <c r="I244" i="1"/>
  <c r="G244" i="1"/>
  <c r="I243" i="1"/>
  <c r="G243" i="1"/>
  <c r="I242" i="1"/>
  <c r="G242" i="1"/>
  <c r="I241" i="1"/>
  <c r="G241" i="1"/>
  <c r="I240" i="1"/>
  <c r="G240" i="1"/>
  <c r="I239" i="1"/>
  <c r="G239" i="1"/>
  <c r="I238" i="1"/>
  <c r="G238" i="1"/>
  <c r="A238" i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I237" i="1"/>
  <c r="G237" i="1"/>
  <c r="I235" i="1"/>
  <c r="G235" i="1"/>
  <c r="I234" i="1"/>
  <c r="G234" i="1"/>
  <c r="I233" i="1"/>
  <c r="G233" i="1"/>
  <c r="I232" i="1"/>
  <c r="G232" i="1"/>
  <c r="I231" i="1"/>
  <c r="G231" i="1"/>
  <c r="I230" i="1"/>
  <c r="G230" i="1"/>
  <c r="I229" i="1"/>
  <c r="G229" i="1"/>
  <c r="I228" i="1"/>
  <c r="G228" i="1"/>
  <c r="I227" i="1"/>
  <c r="G227" i="1"/>
  <c r="I226" i="1"/>
  <c r="G226" i="1"/>
  <c r="I225" i="1"/>
  <c r="G225" i="1"/>
  <c r="A225" i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I224" i="1"/>
  <c r="G224" i="1"/>
  <c r="I222" i="1"/>
  <c r="G222" i="1"/>
  <c r="I221" i="1"/>
  <c r="G221" i="1"/>
  <c r="I220" i="1"/>
  <c r="G220" i="1"/>
  <c r="A220" i="1"/>
  <c r="A221" i="1" s="1"/>
  <c r="A222" i="1" s="1"/>
  <c r="I219" i="1"/>
  <c r="G219" i="1"/>
  <c r="I217" i="1"/>
  <c r="G217" i="1"/>
  <c r="I216" i="1"/>
  <c r="G216" i="1"/>
  <c r="I215" i="1"/>
  <c r="G215" i="1"/>
  <c r="I214" i="1"/>
  <c r="G214" i="1"/>
  <c r="I213" i="1"/>
  <c r="G213" i="1"/>
  <c r="I212" i="1"/>
  <c r="G212" i="1"/>
  <c r="I211" i="1"/>
  <c r="G211" i="1"/>
  <c r="I210" i="1"/>
  <c r="G210" i="1"/>
  <c r="I209" i="1"/>
  <c r="G209" i="1"/>
  <c r="I208" i="1"/>
  <c r="G208" i="1"/>
  <c r="I207" i="1"/>
  <c r="G207" i="1"/>
  <c r="I206" i="1"/>
  <c r="G206" i="1"/>
  <c r="I205" i="1"/>
  <c r="G205" i="1"/>
  <c r="I204" i="1"/>
  <c r="G204" i="1"/>
  <c r="I203" i="1"/>
  <c r="G203" i="1"/>
  <c r="I202" i="1"/>
  <c r="G202" i="1"/>
  <c r="I201" i="1"/>
  <c r="G201" i="1"/>
  <c r="I200" i="1"/>
  <c r="G200" i="1"/>
  <c r="I199" i="1"/>
  <c r="G199" i="1"/>
  <c r="I198" i="1"/>
  <c r="G198" i="1"/>
  <c r="I197" i="1"/>
  <c r="G197" i="1"/>
  <c r="I196" i="1"/>
  <c r="G196" i="1"/>
  <c r="I195" i="1"/>
  <c r="G195" i="1"/>
  <c r="A195" i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I194" i="1"/>
  <c r="G194" i="1"/>
  <c r="I192" i="1"/>
  <c r="G192" i="1"/>
  <c r="I191" i="1"/>
  <c r="G191" i="1"/>
  <c r="I190" i="1"/>
  <c r="G190" i="1"/>
  <c r="I189" i="1"/>
  <c r="G189" i="1"/>
  <c r="I188" i="1"/>
  <c r="G188" i="1"/>
  <c r="I187" i="1"/>
  <c r="G187" i="1"/>
  <c r="I186" i="1"/>
  <c r="G186" i="1"/>
  <c r="I185" i="1"/>
  <c r="G185" i="1"/>
  <c r="I184" i="1"/>
  <c r="G184" i="1"/>
  <c r="I183" i="1"/>
  <c r="G183" i="1"/>
  <c r="I182" i="1"/>
  <c r="G182" i="1"/>
  <c r="I181" i="1"/>
  <c r="G181" i="1"/>
  <c r="I180" i="1"/>
  <c r="G180" i="1"/>
  <c r="I179" i="1"/>
  <c r="G179" i="1"/>
  <c r="I178" i="1"/>
  <c r="G178" i="1"/>
  <c r="I177" i="1"/>
  <c r="G177" i="1"/>
  <c r="I176" i="1"/>
  <c r="G176" i="1"/>
  <c r="I175" i="1"/>
  <c r="G175" i="1"/>
  <c r="I174" i="1"/>
  <c r="G174" i="1"/>
  <c r="I173" i="1"/>
  <c r="G173" i="1"/>
  <c r="I172" i="1"/>
  <c r="G172" i="1"/>
  <c r="I171" i="1"/>
  <c r="G171" i="1"/>
  <c r="I170" i="1"/>
  <c r="G170" i="1"/>
  <c r="I169" i="1"/>
  <c r="G169" i="1"/>
  <c r="I168" i="1"/>
  <c r="G168" i="1"/>
  <c r="I167" i="1"/>
  <c r="G167" i="1"/>
  <c r="I166" i="1"/>
  <c r="G166" i="1"/>
  <c r="I165" i="1"/>
  <c r="G165" i="1"/>
  <c r="I164" i="1"/>
  <c r="G164" i="1"/>
  <c r="I163" i="1"/>
  <c r="G163" i="1"/>
  <c r="I162" i="1"/>
  <c r="G162" i="1"/>
  <c r="A162" i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I161" i="1"/>
  <c r="G161" i="1"/>
  <c r="A161" i="1"/>
  <c r="I160" i="1"/>
  <c r="G160" i="1"/>
  <c r="I158" i="1"/>
  <c r="G158" i="1"/>
  <c r="I157" i="1"/>
  <c r="G157" i="1"/>
  <c r="I156" i="1"/>
  <c r="G156" i="1"/>
  <c r="I155" i="1"/>
  <c r="G155" i="1"/>
  <c r="I154" i="1"/>
  <c r="G154" i="1"/>
  <c r="I153" i="1"/>
  <c r="G153" i="1"/>
  <c r="I152" i="1"/>
  <c r="G152" i="1"/>
  <c r="I151" i="1"/>
  <c r="G151" i="1"/>
  <c r="I150" i="1"/>
  <c r="G150" i="1"/>
  <c r="I149" i="1"/>
  <c r="G149" i="1"/>
  <c r="A149" i="1"/>
  <c r="A150" i="1" s="1"/>
  <c r="A151" i="1" s="1"/>
  <c r="A152" i="1" s="1"/>
  <c r="A153" i="1" s="1"/>
  <c r="A154" i="1" s="1"/>
  <c r="A155" i="1" s="1"/>
  <c r="A156" i="1" s="1"/>
  <c r="A157" i="1" s="1"/>
  <c r="A158" i="1" s="1"/>
  <c r="I148" i="1"/>
  <c r="G148" i="1"/>
  <c r="I146" i="1"/>
  <c r="G146" i="1"/>
  <c r="I145" i="1"/>
  <c r="G145" i="1"/>
  <c r="I144" i="1"/>
  <c r="G144" i="1"/>
  <c r="I143" i="1"/>
  <c r="G143" i="1"/>
  <c r="I142" i="1"/>
  <c r="G142" i="1"/>
  <c r="I141" i="1"/>
  <c r="G141" i="1"/>
  <c r="I140" i="1"/>
  <c r="G140" i="1"/>
  <c r="I139" i="1"/>
  <c r="G139" i="1"/>
  <c r="I138" i="1"/>
  <c r="G138" i="1"/>
  <c r="A138" i="1"/>
  <c r="A139" i="1" s="1"/>
  <c r="A140" i="1" s="1"/>
  <c r="A141" i="1" s="1"/>
  <c r="A142" i="1" s="1"/>
  <c r="A143" i="1" s="1"/>
  <c r="A144" i="1" s="1"/>
  <c r="A145" i="1" s="1"/>
  <c r="A146" i="1" s="1"/>
  <c r="I137" i="1"/>
  <c r="G137" i="1"/>
  <c r="A137" i="1"/>
  <c r="I136" i="1"/>
  <c r="G136" i="1"/>
  <c r="I134" i="1"/>
  <c r="G134" i="1"/>
  <c r="I133" i="1"/>
  <c r="G133" i="1"/>
  <c r="I132" i="1"/>
  <c r="G132" i="1"/>
  <c r="I131" i="1"/>
  <c r="G131" i="1"/>
  <c r="I130" i="1"/>
  <c r="G130" i="1"/>
  <c r="I129" i="1"/>
  <c r="G129" i="1"/>
  <c r="I128" i="1"/>
  <c r="G128" i="1"/>
  <c r="I127" i="1"/>
  <c r="G127" i="1"/>
  <c r="I126" i="1"/>
  <c r="G126" i="1"/>
  <c r="I125" i="1"/>
  <c r="G125" i="1"/>
  <c r="I124" i="1"/>
  <c r="G124" i="1"/>
  <c r="I123" i="1"/>
  <c r="G123" i="1"/>
  <c r="I122" i="1"/>
  <c r="G122" i="1"/>
  <c r="I121" i="1"/>
  <c r="G121" i="1"/>
  <c r="I120" i="1"/>
  <c r="G120" i="1"/>
  <c r="I119" i="1"/>
  <c r="G119" i="1"/>
  <c r="I118" i="1"/>
  <c r="G118" i="1"/>
  <c r="I117" i="1"/>
  <c r="G117" i="1"/>
  <c r="I116" i="1"/>
  <c r="G116" i="1"/>
  <c r="I115" i="1"/>
  <c r="G115" i="1"/>
  <c r="I114" i="1"/>
  <c r="G114" i="1"/>
  <c r="I113" i="1"/>
  <c r="G113" i="1"/>
  <c r="I112" i="1"/>
  <c r="G112" i="1"/>
  <c r="I111" i="1"/>
  <c r="G111" i="1"/>
  <c r="I110" i="1"/>
  <c r="G110" i="1"/>
  <c r="I109" i="1"/>
  <c r="G109" i="1"/>
  <c r="I108" i="1"/>
  <c r="G108" i="1"/>
  <c r="I107" i="1"/>
  <c r="G107" i="1"/>
  <c r="A107" i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I106" i="1"/>
  <c r="G106" i="1"/>
  <c r="I104" i="1"/>
  <c r="G104" i="1"/>
  <c r="I103" i="1"/>
  <c r="G103" i="1"/>
  <c r="I102" i="1"/>
  <c r="G102" i="1"/>
  <c r="I101" i="1"/>
  <c r="G101" i="1"/>
  <c r="I100" i="1"/>
  <c r="G100" i="1"/>
  <c r="I99" i="1"/>
  <c r="G99" i="1"/>
  <c r="I98" i="1"/>
  <c r="G98" i="1"/>
  <c r="I97" i="1"/>
  <c r="G97" i="1"/>
  <c r="I96" i="1"/>
  <c r="G96" i="1"/>
  <c r="I95" i="1"/>
  <c r="G95" i="1"/>
  <c r="I94" i="1"/>
  <c r="G94" i="1"/>
  <c r="I93" i="1"/>
  <c r="G93" i="1"/>
  <c r="I92" i="1"/>
  <c r="G92" i="1"/>
  <c r="I91" i="1"/>
  <c r="G91" i="1"/>
  <c r="I90" i="1"/>
  <c r="G90" i="1"/>
  <c r="I89" i="1"/>
  <c r="G89" i="1"/>
  <c r="I88" i="1"/>
  <c r="G88" i="1"/>
  <c r="I87" i="1"/>
  <c r="G87" i="1"/>
  <c r="I86" i="1"/>
  <c r="G86" i="1"/>
  <c r="I85" i="1"/>
  <c r="G85" i="1"/>
  <c r="I84" i="1"/>
  <c r="G84" i="1"/>
  <c r="I83" i="1"/>
  <c r="G83" i="1"/>
  <c r="I82" i="1"/>
  <c r="G82" i="1"/>
  <c r="I81" i="1"/>
  <c r="G81" i="1"/>
  <c r="I80" i="1"/>
  <c r="G80" i="1"/>
  <c r="I79" i="1"/>
  <c r="G79" i="1"/>
  <c r="I78" i="1"/>
  <c r="G78" i="1"/>
  <c r="I77" i="1"/>
  <c r="G77" i="1"/>
  <c r="I76" i="1"/>
  <c r="G76" i="1"/>
  <c r="I75" i="1"/>
  <c r="G75" i="1"/>
  <c r="I74" i="1"/>
  <c r="G74" i="1"/>
  <c r="I73" i="1"/>
  <c r="G73" i="1"/>
  <c r="I72" i="1"/>
  <c r="G72" i="1"/>
  <c r="I71" i="1"/>
  <c r="G71" i="1"/>
  <c r="I70" i="1"/>
  <c r="G70" i="1"/>
  <c r="I69" i="1"/>
  <c r="G69" i="1"/>
  <c r="I68" i="1"/>
  <c r="G68" i="1"/>
  <c r="I67" i="1"/>
  <c r="G67" i="1"/>
  <c r="I66" i="1"/>
  <c r="G66" i="1"/>
  <c r="I65" i="1"/>
  <c r="G65" i="1"/>
  <c r="I64" i="1"/>
  <c r="G64" i="1"/>
  <c r="I63" i="1"/>
  <c r="G63" i="1"/>
  <c r="I62" i="1"/>
  <c r="G62" i="1"/>
  <c r="I61" i="1"/>
  <c r="G61" i="1"/>
  <c r="I60" i="1"/>
  <c r="G60" i="1"/>
  <c r="I59" i="1"/>
  <c r="G59" i="1"/>
  <c r="I58" i="1"/>
  <c r="G58" i="1"/>
  <c r="I57" i="1"/>
  <c r="G57" i="1"/>
  <c r="I56" i="1"/>
  <c r="G56" i="1"/>
  <c r="I55" i="1"/>
  <c r="G55" i="1"/>
  <c r="I54" i="1"/>
  <c r="G54" i="1"/>
  <c r="I53" i="1"/>
  <c r="G53" i="1"/>
  <c r="I52" i="1"/>
  <c r="G52" i="1"/>
  <c r="I51" i="1"/>
  <c r="G51" i="1"/>
  <c r="I50" i="1"/>
  <c r="G50" i="1"/>
  <c r="I49" i="1"/>
  <c r="G49" i="1"/>
  <c r="I48" i="1"/>
  <c r="G48" i="1"/>
  <c r="A48" i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I47" i="1"/>
  <c r="G47" i="1"/>
  <c r="I45" i="1"/>
  <c r="G45" i="1"/>
  <c r="I44" i="1"/>
  <c r="G44" i="1"/>
  <c r="I43" i="1"/>
  <c r="G43" i="1"/>
  <c r="I42" i="1"/>
  <c r="G42" i="1"/>
  <c r="I41" i="1"/>
  <c r="G41" i="1"/>
  <c r="A41" i="1"/>
  <c r="A42" i="1" s="1"/>
  <c r="A43" i="1" s="1"/>
  <c r="A44" i="1" s="1"/>
  <c r="A45" i="1" s="1"/>
  <c r="I40" i="1"/>
  <c r="G40" i="1"/>
  <c r="E272" i="1"/>
  <c r="E273" i="1" s="1"/>
  <c r="I38" i="1"/>
  <c r="G38" i="1"/>
  <c r="I37" i="1"/>
  <c r="G37" i="1"/>
  <c r="I36" i="1"/>
  <c r="G36" i="1"/>
  <c r="I35" i="1"/>
  <c r="G35" i="1"/>
  <c r="I34" i="1"/>
  <c r="G34" i="1"/>
  <c r="I33" i="1"/>
  <c r="G33" i="1"/>
  <c r="I32" i="1"/>
  <c r="G32" i="1"/>
  <c r="I31" i="1"/>
  <c r="G31" i="1"/>
  <c r="I30" i="1"/>
  <c r="G30" i="1"/>
  <c r="I29" i="1"/>
  <c r="G29" i="1"/>
  <c r="I28" i="1"/>
  <c r="G28" i="1"/>
  <c r="I27" i="1"/>
  <c r="G27" i="1"/>
  <c r="I26" i="1"/>
  <c r="G26" i="1"/>
  <c r="I25" i="1"/>
  <c r="G25" i="1"/>
  <c r="I24" i="1"/>
  <c r="G24" i="1"/>
  <c r="I23" i="1"/>
  <c r="G23" i="1"/>
  <c r="I22" i="1"/>
  <c r="G22" i="1"/>
  <c r="I21" i="1"/>
  <c r="G21" i="1"/>
  <c r="I20" i="1"/>
  <c r="G20" i="1"/>
  <c r="I19" i="1"/>
  <c r="G19" i="1"/>
  <c r="I18" i="1"/>
  <c r="G18" i="1"/>
  <c r="I17" i="1"/>
  <c r="G17" i="1"/>
  <c r="I16" i="1"/>
  <c r="G16" i="1"/>
  <c r="I15" i="1"/>
  <c r="G15" i="1"/>
  <c r="I14" i="1"/>
  <c r="G14" i="1"/>
  <c r="I13" i="1"/>
  <c r="G13" i="1"/>
  <c r="I12" i="1"/>
  <c r="G12" i="1"/>
  <c r="I11" i="1"/>
  <c r="G11" i="1"/>
  <c r="I10" i="1"/>
  <c r="G10" i="1"/>
  <c r="I9" i="1"/>
  <c r="G9" i="1"/>
  <c r="I8" i="1"/>
  <c r="G8" i="1"/>
  <c r="I7" i="1"/>
  <c r="G7" i="1"/>
  <c r="I6" i="1"/>
  <c r="G6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I5" i="1"/>
  <c r="G5" i="1"/>
  <c r="F5" i="1"/>
</calcChain>
</file>

<file path=xl/sharedStrings.xml><?xml version="1.0" encoding="utf-8"?>
<sst xmlns="http://schemas.openxmlformats.org/spreadsheetml/2006/main" count="519" uniqueCount="18">
  <si>
    <t xml:space="preserve"> Contract BNK-KHM/9-4-12/140 dd 29.07.2022, between "BNK-FZCO" (UAE) and "KHUMOR" LLC (KYRGYZ REPUBLIC) </t>
  </si>
  <si>
    <t>ADDENDUM № 37-M dd 19.03.26 (DAP TRUSOVO) 15'000 mt</t>
  </si>
  <si>
    <t>-70$</t>
  </si>
  <si>
    <t>№</t>
  </si>
  <si>
    <t>Date</t>
  </si>
  <si>
    <t>RWB No</t>
  </si>
  <si>
    <t xml:space="preserve">Wagons No </t>
  </si>
  <si>
    <t>Loaded quantity (MT)</t>
  </si>
  <si>
    <t>Price in January 01.03.26-31.03.26 $</t>
  </si>
  <si>
    <t>Total</t>
  </si>
  <si>
    <t xml:space="preserve">Fix price in rub </t>
  </si>
  <si>
    <t>Consignee</t>
  </si>
  <si>
    <t>Destination</t>
  </si>
  <si>
    <t>Terminal Ilinka</t>
  </si>
  <si>
    <t>Trusowo</t>
  </si>
  <si>
    <t>FULL TONNAGE</t>
  </si>
  <si>
    <t>LOADED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</si>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</sst>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\.mm\.yy"/>
    <numFmt numFmtId="165" formatCode="00000000"/>
    <numFmt numFmtId="166" formatCode="0.000"/>
    <numFmt numFmtId="167" formatCode="[$$-C09]#,##0.00"/>
    <numFmt numFmtId="168" formatCode="#,##0.00\ [$₽-419]"/>
    <numFmt numFmtId="169" formatCode="#,##0.000\ [$₽-419]"/>
    <numFmt numFmtId="170" formatCode="#,##0.00;[Red]#,##0.00"/>
    <numFmt numFmtId="171" formatCode="#,##0.000;[Red]#,##0.000"/>
  </numFmts>
  <fonts count="8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11"/>
      <color rgb="FF660066"/>
      <name val="Times New Roman"/>
      <family val="1"/>
      <charset val="204"/>
    </font>
    <font>
      <b/>
      <i/>
      <sz val="11"/>
      <color rgb="FF00B050"/>
      <name val="Times New Roman"/>
      <family val="1"/>
      <charset val="204"/>
    </font>
    <font>
      <i/>
      <sz val="11"/>
      <name val="Times New Roman"/>
      <family val="1"/>
      <charset val="204"/>
    </font>
    <font>
      <b/>
      <i/>
      <sz val="11"/>
      <color rgb="FFFF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A9D08E"/>
        <bgColor rgb="FF000000"/>
      </patternFill>
    </fill>
  </fills>
  <borders count="50">
    <border>
      <left/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165" fontId="2" fillId="0" borderId="6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66" fontId="2" fillId="0" borderId="6" xfId="0" applyNumberFormat="1" applyFont="1" applyBorder="1" applyAlignment="1">
      <alignment horizontal="center" wrapText="1"/>
    </xf>
    <xf numFmtId="167" fontId="2" fillId="0" borderId="5" xfId="0" applyNumberFormat="1" applyFont="1" applyBorder="1" applyAlignment="1">
      <alignment horizontal="center"/>
    </xf>
    <xf numFmtId="168" fontId="2" fillId="0" borderId="6" xfId="0" applyNumberFormat="1" applyFont="1" applyBorder="1" applyAlignment="1">
      <alignment horizontal="center" vertical="center"/>
    </xf>
    <xf numFmtId="169" fontId="2" fillId="0" borderId="5" xfId="0" applyNumberFormat="1" applyFont="1" applyBorder="1" applyAlignment="1">
      <alignment horizontal="center"/>
    </xf>
    <xf numFmtId="167" fontId="6" fillId="0" borderId="7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167" fontId="2" fillId="0" borderId="6" xfId="0" applyNumberFormat="1" applyFont="1" applyBorder="1" applyAlignment="1">
      <alignment horizontal="center"/>
    </xf>
    <xf numFmtId="167" fontId="6" fillId="0" borderId="6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14" fontId="2" fillId="0" borderId="11" xfId="0" applyNumberFormat="1" applyFont="1" applyBorder="1" applyAlignment="1">
      <alignment horizontal="center"/>
    </xf>
    <xf numFmtId="165" fontId="2" fillId="0" borderId="10" xfId="0" applyNumberFormat="1" applyFont="1" applyBorder="1" applyAlignment="1">
      <alignment horizontal="center"/>
    </xf>
    <xf numFmtId="1" fontId="2" fillId="0" borderId="10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 wrapText="1"/>
    </xf>
    <xf numFmtId="167" fontId="2" fillId="0" borderId="11" xfId="0" applyNumberFormat="1" applyFont="1" applyBorder="1" applyAlignment="1">
      <alignment horizontal="center"/>
    </xf>
    <xf numFmtId="168" fontId="2" fillId="0" borderId="10" xfId="0" applyNumberFormat="1" applyFont="1" applyBorder="1" applyAlignment="1">
      <alignment horizontal="center" vertical="center"/>
    </xf>
    <xf numFmtId="169" fontId="2" fillId="0" borderId="11" xfId="0" applyNumberFormat="1" applyFont="1" applyBorder="1" applyAlignment="1">
      <alignment horizontal="center"/>
    </xf>
    <xf numFmtId="167" fontId="6" fillId="0" borderId="10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4" fontId="1" fillId="2" borderId="14" xfId="0" applyNumberFormat="1" applyFont="1" applyFill="1" applyBorder="1" applyAlignment="1">
      <alignment horizontal="center"/>
    </xf>
    <xf numFmtId="4" fontId="1" fillId="2" borderId="15" xfId="0" applyNumberFormat="1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66" fontId="2" fillId="0" borderId="5" xfId="0" applyNumberFormat="1" applyFont="1" applyBorder="1" applyAlignment="1">
      <alignment horizontal="center" wrapText="1"/>
    </xf>
    <xf numFmtId="168" fontId="2" fillId="0" borderId="5" xfId="0" applyNumberFormat="1" applyFont="1" applyBorder="1" applyAlignment="1">
      <alignment horizontal="center" vertical="center"/>
    </xf>
    <xf numFmtId="167" fontId="6" fillId="0" borderId="5" xfId="0" applyNumberFormat="1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14" fontId="2" fillId="0" borderId="20" xfId="0" applyNumberFormat="1" applyFont="1" applyBorder="1" applyAlignment="1">
      <alignment horizontal="center"/>
    </xf>
    <xf numFmtId="165" fontId="2" fillId="0" borderId="20" xfId="0" applyNumberFormat="1" applyFont="1" applyBorder="1" applyAlignment="1">
      <alignment horizontal="center"/>
    </xf>
    <xf numFmtId="1" fontId="2" fillId="0" borderId="20" xfId="0" applyNumberFormat="1" applyFont="1" applyBorder="1" applyAlignment="1">
      <alignment horizontal="center"/>
    </xf>
    <xf numFmtId="166" fontId="2" fillId="0" borderId="20" xfId="0" applyNumberFormat="1" applyFont="1" applyBorder="1" applyAlignment="1">
      <alignment horizontal="center" wrapText="1"/>
    </xf>
    <xf numFmtId="167" fontId="2" fillId="0" borderId="21" xfId="0" applyNumberFormat="1" applyFont="1" applyBorder="1" applyAlignment="1">
      <alignment horizontal="center"/>
    </xf>
    <xf numFmtId="168" fontId="2" fillId="0" borderId="20" xfId="0" applyNumberFormat="1" applyFont="1" applyBorder="1" applyAlignment="1">
      <alignment horizontal="center" vertical="center"/>
    </xf>
    <xf numFmtId="169" fontId="2" fillId="0" borderId="21" xfId="0" applyNumberFormat="1" applyFont="1" applyBorder="1" applyAlignment="1">
      <alignment horizontal="center"/>
    </xf>
    <xf numFmtId="167" fontId="6" fillId="0" borderId="20" xfId="0" applyNumberFormat="1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4" fontId="1" fillId="2" borderId="23" xfId="0" applyNumberFormat="1" applyFont="1" applyFill="1" applyBorder="1" applyAlignment="1">
      <alignment horizontal="center"/>
    </xf>
    <xf numFmtId="14" fontId="2" fillId="0" borderId="10" xfId="0" applyNumberFormat="1" applyFont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4" fontId="1" fillId="2" borderId="25" xfId="0" applyNumberFormat="1" applyFont="1" applyFill="1" applyBorder="1" applyAlignment="1">
      <alignment horizontal="center"/>
    </xf>
    <xf numFmtId="4" fontId="1" fillId="2" borderId="26" xfId="0" applyNumberFormat="1" applyFont="1" applyFill="1" applyBorder="1" applyAlignment="1">
      <alignment horizontal="center"/>
    </xf>
    <xf numFmtId="0" fontId="2" fillId="0" borderId="27" xfId="0" applyFont="1" applyBorder="1" applyAlignment="1">
      <alignment horizontal="center"/>
    </xf>
    <xf numFmtId="14" fontId="2" fillId="0" borderId="28" xfId="0" applyNumberFormat="1" applyFont="1" applyBorder="1" applyAlignment="1">
      <alignment horizontal="center"/>
    </xf>
    <xf numFmtId="165" fontId="2" fillId="0" borderId="28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166" fontId="2" fillId="0" borderId="28" xfId="0" applyNumberFormat="1" applyFont="1" applyBorder="1" applyAlignment="1">
      <alignment horizontal="center" wrapText="1"/>
    </xf>
    <xf numFmtId="167" fontId="2" fillId="0" borderId="28" xfId="0" applyNumberFormat="1" applyFont="1" applyBorder="1" applyAlignment="1">
      <alignment horizontal="center"/>
    </xf>
    <xf numFmtId="168" fontId="2" fillId="0" borderId="28" xfId="0" applyNumberFormat="1" applyFont="1" applyBorder="1" applyAlignment="1">
      <alignment horizontal="center" vertical="center"/>
    </xf>
    <xf numFmtId="169" fontId="2" fillId="0" borderId="28" xfId="0" applyNumberFormat="1" applyFont="1" applyBorder="1" applyAlignment="1">
      <alignment horizontal="center"/>
    </xf>
    <xf numFmtId="167" fontId="6" fillId="0" borderId="28" xfId="0" applyNumberFormat="1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169" fontId="2" fillId="0" borderId="6" xfId="0" applyNumberFormat="1" applyFont="1" applyBorder="1" applyAlignment="1">
      <alignment horizontal="center"/>
    </xf>
    <xf numFmtId="167" fontId="2" fillId="0" borderId="20" xfId="0" applyNumberFormat="1" applyFont="1" applyBorder="1" applyAlignment="1">
      <alignment horizontal="center"/>
    </xf>
    <xf numFmtId="169" fontId="2" fillId="0" borderId="20" xfId="0" applyNumberFormat="1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14" fontId="2" fillId="0" borderId="25" xfId="0" applyNumberFormat="1" applyFont="1" applyBorder="1" applyAlignment="1">
      <alignment horizontal="center"/>
    </xf>
    <xf numFmtId="14" fontId="2" fillId="0" borderId="21" xfId="0" applyNumberFormat="1" applyFont="1" applyBorder="1" applyAlignment="1">
      <alignment horizontal="center"/>
    </xf>
    <xf numFmtId="165" fontId="2" fillId="0" borderId="30" xfId="0" applyNumberFormat="1" applyFont="1" applyBorder="1" applyAlignment="1">
      <alignment horizontal="center"/>
    </xf>
    <xf numFmtId="1" fontId="2" fillId="0" borderId="3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 wrapText="1"/>
    </xf>
    <xf numFmtId="165" fontId="2" fillId="0" borderId="31" xfId="0" applyNumberFormat="1" applyFont="1" applyBorder="1" applyAlignment="1">
      <alignment horizontal="center"/>
    </xf>
    <xf numFmtId="1" fontId="2" fillId="0" borderId="31" xfId="0" applyNumberFormat="1" applyFont="1" applyBorder="1" applyAlignment="1">
      <alignment horizontal="center"/>
    </xf>
    <xf numFmtId="166" fontId="2" fillId="0" borderId="31" xfId="0" applyNumberFormat="1" applyFont="1" applyBorder="1" applyAlignment="1">
      <alignment horizontal="center" wrapText="1"/>
    </xf>
    <xf numFmtId="0" fontId="2" fillId="0" borderId="32" xfId="0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1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 wrapText="1"/>
    </xf>
    <xf numFmtId="167" fontId="2" fillId="0" borderId="10" xfId="0" applyNumberFormat="1" applyFont="1" applyBorder="1" applyAlignment="1">
      <alignment horizontal="center"/>
    </xf>
    <xf numFmtId="169" fontId="2" fillId="0" borderId="10" xfId="0" applyNumberFormat="1" applyFont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4" fontId="1" fillId="2" borderId="11" xfId="0" applyNumberFormat="1" applyFont="1" applyFill="1" applyBorder="1" applyAlignment="1">
      <alignment horizontal="center"/>
    </xf>
    <xf numFmtId="4" fontId="1" fillId="2" borderId="35" xfId="0" applyNumberFormat="1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4" fontId="1" fillId="2" borderId="21" xfId="0" applyNumberFormat="1" applyFont="1" applyFill="1" applyBorder="1" applyAlignment="1">
      <alignment horizontal="center"/>
    </xf>
    <xf numFmtId="4" fontId="1" fillId="2" borderId="37" xfId="0" applyNumberFormat="1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4" fontId="1" fillId="3" borderId="14" xfId="0" applyNumberFormat="1" applyFont="1" applyFill="1" applyBorder="1" applyAlignment="1">
      <alignment horizontal="center"/>
    </xf>
    <xf numFmtId="4" fontId="1" fillId="3" borderId="23" xfId="0" applyNumberFormat="1" applyFont="1" applyFill="1" applyBorder="1" applyAlignment="1">
      <alignment horizontal="center"/>
    </xf>
    <xf numFmtId="0" fontId="1" fillId="0" borderId="40" xfId="0" applyFont="1" applyBorder="1" applyAlignment="1">
      <alignment horizontal="center" vertical="center"/>
    </xf>
    <xf numFmtId="170" fontId="1" fillId="0" borderId="41" xfId="0" applyNumberFormat="1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171" fontId="1" fillId="0" borderId="45" xfId="0" applyNumberFormat="1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171" fontId="7" fillId="0" borderId="49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fawad%20S%20G%20C/Downloads/2026%20-%20Loading%20of%20Khumor%20-%20BNK%20(LAST)-1%20(7).xlsx" TargetMode="External"/><Relationship Id="rId1" Type="http://schemas.openxmlformats.org/officeDocument/2006/relationships/externalLinkPath" Target="/Users/fawad%20S%20G%20C/Downloads/2026%20-%20Loading%20of%20Khumor%20-%20BNK%20(LAST)-1%20(7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33-М"/>
      <sheetName val=" 34-M AI-92"/>
      <sheetName val="35-М Diesel DT-E-K5"/>
      <sheetName val="37-М AI-92 15000"/>
      <sheetName val="Platt's 2026"/>
      <sheetName val="Vessels"/>
      <sheetName val="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4">
          <cell r="S34">
            <v>973.38636363636363</v>
          </cell>
        </row>
      </sheetData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5"/>
  <sheetViews>
    <sheetView tabSelected="1" topLeftCell="A257" workbookViewId="0">
      <selection activeCell="A268" sqref="A268:XFD268"/>
    </sheetView>
  </sheetViews>
  <sheetFormatPr defaultRowHeight="15" x14ac:dyDescent="0.25"/>
  <cols>
    <col min="5" max="5" width="14.28515625" customWidth="1"/>
    <col min="7" max="7" width="23.42578125" customWidth="1"/>
    <col min="8" max="8" width="20.42578125" customWidth="1"/>
    <col min="9" max="9" width="28.28515625" customWidth="1"/>
  </cols>
  <sheetData>
    <row r="1" spans="1:11" x14ac:dyDescent="0.25">
      <c r="A1" s="113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1" x14ac:dyDescent="0.25">
      <c r="A2" s="113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</row>
    <row r="3" spans="1:11" ht="15.75" thickBot="1" x14ac:dyDescent="0.3">
      <c r="A3" s="1"/>
      <c r="B3" s="1"/>
      <c r="C3" s="1"/>
      <c r="D3" s="1"/>
      <c r="E3" s="1"/>
      <c r="F3" s="2" t="s">
        <v>2</v>
      </c>
      <c r="G3" s="1"/>
      <c r="H3" s="3"/>
      <c r="I3" s="3"/>
      <c r="J3" s="1"/>
      <c r="K3" s="1"/>
    </row>
    <row r="4" spans="1:11" ht="90.75" thickBot="1" x14ac:dyDescent="0.3">
      <c r="A4" s="4" t="s">
        <v>3</v>
      </c>
      <c r="B4" s="5" t="s">
        <v>4</v>
      </c>
      <c r="C4" s="6" t="s">
        <v>5</v>
      </c>
      <c r="D4" s="5" t="s">
        <v>6</v>
      </c>
      <c r="E4" s="5" t="s">
        <v>7</v>
      </c>
      <c r="F4" s="7" t="s">
        <v>8</v>
      </c>
      <c r="G4" s="7" t="s">
        <v>9</v>
      </c>
      <c r="H4" s="8" t="s">
        <v>10</v>
      </c>
      <c r="I4" s="8" t="s">
        <v>9</v>
      </c>
      <c r="J4" s="5" t="s">
        <v>11</v>
      </c>
      <c r="K4" s="9" t="s">
        <v>12</v>
      </c>
    </row>
    <row r="5" spans="1:11" ht="30" x14ac:dyDescent="0.25">
      <c r="A5" s="10">
        <v>1</v>
      </c>
      <c r="B5" s="11">
        <v>46106</v>
      </c>
      <c r="C5" s="12">
        <v>8612351</v>
      </c>
      <c r="D5" s="13">
        <v>50054584</v>
      </c>
      <c r="E5" s="14">
        <v>60.15</v>
      </c>
      <c r="F5" s="15">
        <f>'[1]Platt''s 2026'!S34-70</f>
        <v>903.38636363636363</v>
      </c>
      <c r="G5" s="15">
        <f>E5*F5</f>
        <v>54338.689772727274</v>
      </c>
      <c r="H5" s="16">
        <v>75336.02</v>
      </c>
      <c r="I5" s="17">
        <f>E5*H5</f>
        <v>4531461.6030000001</v>
      </c>
      <c r="J5" s="18" t="s">
        <v>13</v>
      </c>
      <c r="K5" s="19" t="s">
        <v>14</v>
      </c>
    </row>
    <row r="6" spans="1:11" ht="30" x14ac:dyDescent="0.25">
      <c r="A6" s="20">
        <f>A5+1</f>
        <v>2</v>
      </c>
      <c r="B6" s="11">
        <v>46106</v>
      </c>
      <c r="C6" s="12">
        <v>8612351</v>
      </c>
      <c r="D6" s="13">
        <v>50398296</v>
      </c>
      <c r="E6" s="14">
        <v>60.1</v>
      </c>
      <c r="F6" s="21">
        <v>903.39</v>
      </c>
      <c r="G6" s="15">
        <f t="shared" ref="G6:G38" si="0">E6*F6</f>
        <v>54293.739000000001</v>
      </c>
      <c r="H6" s="16">
        <v>75336.02</v>
      </c>
      <c r="I6" s="17">
        <f t="shared" ref="I6:I38" si="1">E6*H6</f>
        <v>4527694.8020000001</v>
      </c>
      <c r="J6" s="22" t="s">
        <v>13</v>
      </c>
      <c r="K6" s="23" t="s">
        <v>14</v>
      </c>
    </row>
    <row r="7" spans="1:11" ht="30" x14ac:dyDescent="0.25">
      <c r="A7" s="20">
        <f t="shared" ref="A7:A38" si="2">A6+1</f>
        <v>3</v>
      </c>
      <c r="B7" s="11">
        <v>46106</v>
      </c>
      <c r="C7" s="12">
        <v>8612351</v>
      </c>
      <c r="D7" s="13">
        <v>50416825</v>
      </c>
      <c r="E7" s="14">
        <v>60.05</v>
      </c>
      <c r="F7" s="21">
        <v>903.39</v>
      </c>
      <c r="G7" s="15">
        <f t="shared" si="0"/>
        <v>54248.569499999998</v>
      </c>
      <c r="H7" s="16">
        <v>75336.02</v>
      </c>
      <c r="I7" s="17">
        <f t="shared" si="1"/>
        <v>4523928.0010000002</v>
      </c>
      <c r="J7" s="22" t="s">
        <v>13</v>
      </c>
      <c r="K7" s="23" t="s">
        <v>14</v>
      </c>
    </row>
    <row r="8" spans="1:11" ht="30" x14ac:dyDescent="0.25">
      <c r="A8" s="20">
        <f t="shared" si="2"/>
        <v>4</v>
      </c>
      <c r="B8" s="11">
        <v>46106</v>
      </c>
      <c r="C8" s="12">
        <v>8612350</v>
      </c>
      <c r="D8" s="13">
        <v>51077568</v>
      </c>
      <c r="E8" s="14">
        <v>60.65</v>
      </c>
      <c r="F8" s="21">
        <v>903.39</v>
      </c>
      <c r="G8" s="15">
        <f t="shared" si="0"/>
        <v>54790.603499999997</v>
      </c>
      <c r="H8" s="16">
        <v>75336.02</v>
      </c>
      <c r="I8" s="17">
        <f t="shared" si="1"/>
        <v>4569129.6129999999</v>
      </c>
      <c r="J8" s="22" t="s">
        <v>13</v>
      </c>
      <c r="K8" s="23" t="s">
        <v>14</v>
      </c>
    </row>
    <row r="9" spans="1:11" ht="30" x14ac:dyDescent="0.25">
      <c r="A9" s="20">
        <f t="shared" si="2"/>
        <v>5</v>
      </c>
      <c r="B9" s="11">
        <v>46106</v>
      </c>
      <c r="C9" s="12">
        <v>8612350</v>
      </c>
      <c r="D9" s="13">
        <v>51095644</v>
      </c>
      <c r="E9" s="14">
        <v>60.65</v>
      </c>
      <c r="F9" s="21">
        <v>903.39</v>
      </c>
      <c r="G9" s="15">
        <f t="shared" si="0"/>
        <v>54790.603499999997</v>
      </c>
      <c r="H9" s="16">
        <v>75336.02</v>
      </c>
      <c r="I9" s="17">
        <f t="shared" si="1"/>
        <v>4569129.6129999999</v>
      </c>
      <c r="J9" s="22" t="s">
        <v>13</v>
      </c>
      <c r="K9" s="23" t="s">
        <v>14</v>
      </c>
    </row>
    <row r="10" spans="1:11" ht="30" x14ac:dyDescent="0.25">
      <c r="A10" s="20">
        <f t="shared" si="2"/>
        <v>6</v>
      </c>
      <c r="B10" s="11">
        <v>46106</v>
      </c>
      <c r="C10" s="12">
        <v>8612350</v>
      </c>
      <c r="D10" s="13">
        <v>51216737</v>
      </c>
      <c r="E10" s="14">
        <v>60.15</v>
      </c>
      <c r="F10" s="21">
        <v>903.39</v>
      </c>
      <c r="G10" s="15">
        <f t="shared" si="0"/>
        <v>54338.908499999998</v>
      </c>
      <c r="H10" s="16">
        <v>75336.02</v>
      </c>
      <c r="I10" s="17">
        <f t="shared" si="1"/>
        <v>4531461.6030000001</v>
      </c>
      <c r="J10" s="22" t="s">
        <v>13</v>
      </c>
      <c r="K10" s="23" t="s">
        <v>14</v>
      </c>
    </row>
    <row r="11" spans="1:11" ht="30" x14ac:dyDescent="0.25">
      <c r="A11" s="20">
        <f t="shared" si="2"/>
        <v>7</v>
      </c>
      <c r="B11" s="11">
        <v>46106</v>
      </c>
      <c r="C11" s="12">
        <v>8612350</v>
      </c>
      <c r="D11" s="13">
        <v>51419166</v>
      </c>
      <c r="E11" s="14">
        <v>60.15</v>
      </c>
      <c r="F11" s="21">
        <v>903.39</v>
      </c>
      <c r="G11" s="15">
        <f t="shared" si="0"/>
        <v>54338.908499999998</v>
      </c>
      <c r="H11" s="16">
        <v>75336.02</v>
      </c>
      <c r="I11" s="17">
        <f t="shared" si="1"/>
        <v>4531461.6030000001</v>
      </c>
      <c r="J11" s="22" t="s">
        <v>13</v>
      </c>
      <c r="K11" s="23" t="s">
        <v>14</v>
      </c>
    </row>
    <row r="12" spans="1:11" ht="30" x14ac:dyDescent="0.25">
      <c r="A12" s="20">
        <f t="shared" si="2"/>
        <v>8</v>
      </c>
      <c r="B12" s="11">
        <v>46106</v>
      </c>
      <c r="C12" s="12">
        <v>8612350</v>
      </c>
      <c r="D12" s="13">
        <v>51688893</v>
      </c>
      <c r="E12" s="14">
        <v>60.1</v>
      </c>
      <c r="F12" s="21">
        <v>903.39</v>
      </c>
      <c r="G12" s="15">
        <f t="shared" si="0"/>
        <v>54293.739000000001</v>
      </c>
      <c r="H12" s="16">
        <v>75336.02</v>
      </c>
      <c r="I12" s="17">
        <f t="shared" si="1"/>
        <v>4527694.8020000001</v>
      </c>
      <c r="J12" s="22" t="s">
        <v>13</v>
      </c>
      <c r="K12" s="23" t="s">
        <v>14</v>
      </c>
    </row>
    <row r="13" spans="1:11" ht="30" x14ac:dyDescent="0.25">
      <c r="A13" s="20">
        <f t="shared" si="2"/>
        <v>9</v>
      </c>
      <c r="B13" s="11">
        <v>46106</v>
      </c>
      <c r="C13" s="12">
        <v>8612350</v>
      </c>
      <c r="D13" s="13">
        <v>51813103</v>
      </c>
      <c r="E13" s="14">
        <v>60.3</v>
      </c>
      <c r="F13" s="21">
        <v>903.39</v>
      </c>
      <c r="G13" s="15">
        <f t="shared" si="0"/>
        <v>54474.416999999994</v>
      </c>
      <c r="H13" s="16">
        <v>75336.02</v>
      </c>
      <c r="I13" s="17">
        <f t="shared" si="1"/>
        <v>4542762.0060000001</v>
      </c>
      <c r="J13" s="22" t="s">
        <v>13</v>
      </c>
      <c r="K13" s="23" t="s">
        <v>14</v>
      </c>
    </row>
    <row r="14" spans="1:11" ht="30" x14ac:dyDescent="0.25">
      <c r="A14" s="20">
        <f t="shared" si="2"/>
        <v>10</v>
      </c>
      <c r="B14" s="11">
        <v>46106</v>
      </c>
      <c r="C14" s="12">
        <v>8612350</v>
      </c>
      <c r="D14" s="13">
        <v>54075502</v>
      </c>
      <c r="E14" s="14">
        <v>60.1</v>
      </c>
      <c r="F14" s="21">
        <v>903.39</v>
      </c>
      <c r="G14" s="15">
        <f t="shared" si="0"/>
        <v>54293.739000000001</v>
      </c>
      <c r="H14" s="16">
        <v>75336.02</v>
      </c>
      <c r="I14" s="17">
        <f t="shared" si="1"/>
        <v>4527694.8020000001</v>
      </c>
      <c r="J14" s="22" t="s">
        <v>13</v>
      </c>
      <c r="K14" s="23" t="s">
        <v>14</v>
      </c>
    </row>
    <row r="15" spans="1:11" ht="30" x14ac:dyDescent="0.25">
      <c r="A15" s="20">
        <f t="shared" si="2"/>
        <v>11</v>
      </c>
      <c r="B15" s="11">
        <v>46106</v>
      </c>
      <c r="C15" s="12">
        <v>8612351</v>
      </c>
      <c r="D15" s="13">
        <v>54092374</v>
      </c>
      <c r="E15" s="14">
        <v>60.05</v>
      </c>
      <c r="F15" s="21">
        <v>903.39</v>
      </c>
      <c r="G15" s="15">
        <f t="shared" si="0"/>
        <v>54248.569499999998</v>
      </c>
      <c r="H15" s="16">
        <v>75336.02</v>
      </c>
      <c r="I15" s="17">
        <f t="shared" si="1"/>
        <v>4523928.0010000002</v>
      </c>
      <c r="J15" s="22" t="s">
        <v>13</v>
      </c>
      <c r="K15" s="23" t="s">
        <v>14</v>
      </c>
    </row>
    <row r="16" spans="1:11" ht="30" x14ac:dyDescent="0.25">
      <c r="A16" s="20">
        <f t="shared" si="2"/>
        <v>12</v>
      </c>
      <c r="B16" s="11">
        <v>46106</v>
      </c>
      <c r="C16" s="12">
        <v>8612351</v>
      </c>
      <c r="D16" s="13">
        <v>54095849</v>
      </c>
      <c r="E16" s="14">
        <v>60.35</v>
      </c>
      <c r="F16" s="21">
        <v>903.39</v>
      </c>
      <c r="G16" s="15">
        <f t="shared" si="0"/>
        <v>54519.586499999998</v>
      </c>
      <c r="H16" s="16">
        <v>75336.02</v>
      </c>
      <c r="I16" s="17">
        <f t="shared" si="1"/>
        <v>4546528.807</v>
      </c>
      <c r="J16" s="22" t="s">
        <v>13</v>
      </c>
      <c r="K16" s="23" t="s">
        <v>14</v>
      </c>
    </row>
    <row r="17" spans="1:11" ht="30" x14ac:dyDescent="0.25">
      <c r="A17" s="20">
        <f t="shared" si="2"/>
        <v>13</v>
      </c>
      <c r="B17" s="11">
        <v>46106</v>
      </c>
      <c r="C17" s="12">
        <v>8612350</v>
      </c>
      <c r="D17" s="13">
        <v>54243910</v>
      </c>
      <c r="E17" s="14">
        <v>60.55</v>
      </c>
      <c r="F17" s="21">
        <v>903.39</v>
      </c>
      <c r="G17" s="15">
        <f t="shared" si="0"/>
        <v>54700.264499999997</v>
      </c>
      <c r="H17" s="16">
        <v>75336.02</v>
      </c>
      <c r="I17" s="17">
        <f t="shared" si="1"/>
        <v>4561596.0109999999</v>
      </c>
      <c r="J17" s="22" t="s">
        <v>13</v>
      </c>
      <c r="K17" s="23" t="s">
        <v>14</v>
      </c>
    </row>
    <row r="18" spans="1:11" ht="30" x14ac:dyDescent="0.25">
      <c r="A18" s="20">
        <f t="shared" si="2"/>
        <v>14</v>
      </c>
      <c r="B18" s="11">
        <v>46106</v>
      </c>
      <c r="C18" s="12">
        <v>8612350</v>
      </c>
      <c r="D18" s="13">
        <v>54757562</v>
      </c>
      <c r="E18" s="14">
        <v>60.05</v>
      </c>
      <c r="F18" s="21">
        <v>903.39</v>
      </c>
      <c r="G18" s="15">
        <f t="shared" si="0"/>
        <v>54248.569499999998</v>
      </c>
      <c r="H18" s="16">
        <v>75336.02</v>
      </c>
      <c r="I18" s="17">
        <f t="shared" si="1"/>
        <v>4523928.0010000002</v>
      </c>
      <c r="J18" s="22" t="s">
        <v>13</v>
      </c>
      <c r="K18" s="23" t="s">
        <v>14</v>
      </c>
    </row>
    <row r="19" spans="1:11" ht="30" x14ac:dyDescent="0.25">
      <c r="A19" s="20">
        <f t="shared" si="2"/>
        <v>15</v>
      </c>
      <c r="B19" s="11">
        <v>46106</v>
      </c>
      <c r="C19" s="12">
        <v>8612350</v>
      </c>
      <c r="D19" s="13">
        <v>54757802</v>
      </c>
      <c r="E19" s="14">
        <v>60.35</v>
      </c>
      <c r="F19" s="21">
        <v>903.39</v>
      </c>
      <c r="G19" s="15">
        <f t="shared" si="0"/>
        <v>54519.586499999998</v>
      </c>
      <c r="H19" s="16">
        <v>75336.02</v>
      </c>
      <c r="I19" s="17">
        <f t="shared" si="1"/>
        <v>4546528.807</v>
      </c>
      <c r="J19" s="22" t="s">
        <v>13</v>
      </c>
      <c r="K19" s="23" t="s">
        <v>14</v>
      </c>
    </row>
    <row r="20" spans="1:11" ht="30" x14ac:dyDescent="0.25">
      <c r="A20" s="20">
        <f t="shared" si="2"/>
        <v>16</v>
      </c>
      <c r="B20" s="11">
        <v>46106</v>
      </c>
      <c r="C20" s="12">
        <v>8612351</v>
      </c>
      <c r="D20" s="13">
        <v>57434490</v>
      </c>
      <c r="E20" s="14">
        <v>60.45</v>
      </c>
      <c r="F20" s="21">
        <v>903.39</v>
      </c>
      <c r="G20" s="15">
        <f t="shared" si="0"/>
        <v>54609.925500000005</v>
      </c>
      <c r="H20" s="16">
        <v>75336.02</v>
      </c>
      <c r="I20" s="17">
        <f t="shared" si="1"/>
        <v>4554062.4090000009</v>
      </c>
      <c r="J20" s="22" t="s">
        <v>13</v>
      </c>
      <c r="K20" s="23" t="s">
        <v>14</v>
      </c>
    </row>
    <row r="21" spans="1:11" ht="30" x14ac:dyDescent="0.25">
      <c r="A21" s="20">
        <f t="shared" si="2"/>
        <v>17</v>
      </c>
      <c r="B21" s="11">
        <v>46106</v>
      </c>
      <c r="C21" s="12">
        <v>8612351</v>
      </c>
      <c r="D21" s="13">
        <v>57438194</v>
      </c>
      <c r="E21" s="14">
        <v>60.15</v>
      </c>
      <c r="F21" s="21">
        <v>903.39</v>
      </c>
      <c r="G21" s="15">
        <f t="shared" si="0"/>
        <v>54338.908499999998</v>
      </c>
      <c r="H21" s="16">
        <v>75336.02</v>
      </c>
      <c r="I21" s="17">
        <f t="shared" si="1"/>
        <v>4531461.6030000001</v>
      </c>
      <c r="J21" s="22" t="s">
        <v>13</v>
      </c>
      <c r="K21" s="23" t="s">
        <v>14</v>
      </c>
    </row>
    <row r="22" spans="1:11" ht="30" x14ac:dyDescent="0.25">
      <c r="A22" s="20">
        <f t="shared" si="2"/>
        <v>18</v>
      </c>
      <c r="B22" s="11">
        <v>46106</v>
      </c>
      <c r="C22" s="12">
        <v>8612350</v>
      </c>
      <c r="D22" s="13">
        <v>57519191</v>
      </c>
      <c r="E22" s="14">
        <v>60.25</v>
      </c>
      <c r="F22" s="21">
        <v>903.39</v>
      </c>
      <c r="G22" s="15">
        <f t="shared" si="0"/>
        <v>54429.247499999998</v>
      </c>
      <c r="H22" s="16">
        <v>75336.02</v>
      </c>
      <c r="I22" s="17">
        <f t="shared" si="1"/>
        <v>4538995.2050000001</v>
      </c>
      <c r="J22" s="22" t="s">
        <v>13</v>
      </c>
      <c r="K22" s="23" t="s">
        <v>14</v>
      </c>
    </row>
    <row r="23" spans="1:11" ht="30" x14ac:dyDescent="0.25">
      <c r="A23" s="20">
        <f t="shared" si="2"/>
        <v>19</v>
      </c>
      <c r="B23" s="11">
        <v>46106</v>
      </c>
      <c r="C23" s="12">
        <v>8612350</v>
      </c>
      <c r="D23" s="13">
        <v>57650590</v>
      </c>
      <c r="E23" s="14">
        <v>60.15</v>
      </c>
      <c r="F23" s="21">
        <v>903.39</v>
      </c>
      <c r="G23" s="15">
        <f t="shared" si="0"/>
        <v>54338.908499999998</v>
      </c>
      <c r="H23" s="16">
        <v>75336.02</v>
      </c>
      <c r="I23" s="17">
        <f t="shared" si="1"/>
        <v>4531461.6030000001</v>
      </c>
      <c r="J23" s="22" t="s">
        <v>13</v>
      </c>
      <c r="K23" s="23" t="s">
        <v>14</v>
      </c>
    </row>
    <row r="24" spans="1:11" ht="30" x14ac:dyDescent="0.25">
      <c r="A24" s="20">
        <f t="shared" si="2"/>
        <v>20</v>
      </c>
      <c r="B24" s="11">
        <v>46106</v>
      </c>
      <c r="C24" s="12">
        <v>8612350</v>
      </c>
      <c r="D24" s="13">
        <v>58149931</v>
      </c>
      <c r="E24" s="14">
        <v>60.2</v>
      </c>
      <c r="F24" s="21">
        <v>903.39</v>
      </c>
      <c r="G24" s="15">
        <f t="shared" si="0"/>
        <v>54384.078000000001</v>
      </c>
      <c r="H24" s="16">
        <v>75336.02</v>
      </c>
      <c r="I24" s="17">
        <f t="shared" si="1"/>
        <v>4535228.4040000001</v>
      </c>
      <c r="J24" s="22" t="s">
        <v>13</v>
      </c>
      <c r="K24" s="23" t="s">
        <v>14</v>
      </c>
    </row>
    <row r="25" spans="1:11" ht="30" x14ac:dyDescent="0.25">
      <c r="A25" s="20">
        <f t="shared" si="2"/>
        <v>21</v>
      </c>
      <c r="B25" s="11">
        <v>46106</v>
      </c>
      <c r="C25" s="12">
        <v>8612350</v>
      </c>
      <c r="D25" s="13">
        <v>58639147</v>
      </c>
      <c r="E25" s="14">
        <v>60.4</v>
      </c>
      <c r="F25" s="21">
        <v>903.39</v>
      </c>
      <c r="G25" s="15">
        <f t="shared" si="0"/>
        <v>54564.756000000001</v>
      </c>
      <c r="H25" s="16">
        <v>75336.02</v>
      </c>
      <c r="I25" s="17">
        <f t="shared" si="1"/>
        <v>4550295.608</v>
      </c>
      <c r="J25" s="22" t="s">
        <v>13</v>
      </c>
      <c r="K25" s="23" t="s">
        <v>14</v>
      </c>
    </row>
    <row r="26" spans="1:11" ht="30" x14ac:dyDescent="0.25">
      <c r="A26" s="20">
        <f t="shared" si="2"/>
        <v>22</v>
      </c>
      <c r="B26" s="11">
        <v>46106</v>
      </c>
      <c r="C26" s="12">
        <v>8612351</v>
      </c>
      <c r="D26" s="13">
        <v>73045940</v>
      </c>
      <c r="E26" s="14">
        <v>60.85</v>
      </c>
      <c r="F26" s="21">
        <v>903.39</v>
      </c>
      <c r="G26" s="15">
        <f t="shared" si="0"/>
        <v>54971.281499999997</v>
      </c>
      <c r="H26" s="16">
        <v>75336.02</v>
      </c>
      <c r="I26" s="17">
        <f t="shared" si="1"/>
        <v>4584196.8170000007</v>
      </c>
      <c r="J26" s="22" t="s">
        <v>13</v>
      </c>
      <c r="K26" s="23" t="s">
        <v>14</v>
      </c>
    </row>
    <row r="27" spans="1:11" ht="30" x14ac:dyDescent="0.25">
      <c r="A27" s="20">
        <f t="shared" si="2"/>
        <v>23</v>
      </c>
      <c r="B27" s="11">
        <v>46106</v>
      </c>
      <c r="C27" s="12">
        <v>8612351</v>
      </c>
      <c r="D27" s="13">
        <v>73053340</v>
      </c>
      <c r="E27" s="14">
        <v>60.9</v>
      </c>
      <c r="F27" s="21">
        <v>903.39</v>
      </c>
      <c r="G27" s="15">
        <f t="shared" si="0"/>
        <v>55016.451000000001</v>
      </c>
      <c r="H27" s="16">
        <v>75336.02</v>
      </c>
      <c r="I27" s="17">
        <f t="shared" si="1"/>
        <v>4587963.6179999998</v>
      </c>
      <c r="J27" s="22" t="s">
        <v>13</v>
      </c>
      <c r="K27" s="23" t="s">
        <v>14</v>
      </c>
    </row>
    <row r="28" spans="1:11" ht="30" x14ac:dyDescent="0.25">
      <c r="A28" s="20">
        <f t="shared" si="2"/>
        <v>24</v>
      </c>
      <c r="B28" s="11">
        <v>46106</v>
      </c>
      <c r="C28" s="12">
        <v>8612351</v>
      </c>
      <c r="D28" s="13">
        <v>73158917</v>
      </c>
      <c r="E28" s="14">
        <v>60.6</v>
      </c>
      <c r="F28" s="21">
        <v>903.39</v>
      </c>
      <c r="G28" s="15">
        <f t="shared" si="0"/>
        <v>54745.434000000001</v>
      </c>
      <c r="H28" s="16">
        <v>75336.02</v>
      </c>
      <c r="I28" s="17">
        <f t="shared" si="1"/>
        <v>4565362.8119999999</v>
      </c>
      <c r="J28" s="22" t="s">
        <v>13</v>
      </c>
      <c r="K28" s="23" t="s">
        <v>14</v>
      </c>
    </row>
    <row r="29" spans="1:11" ht="30" x14ac:dyDescent="0.25">
      <c r="A29" s="20">
        <f t="shared" si="2"/>
        <v>25</v>
      </c>
      <c r="B29" s="11">
        <v>46106</v>
      </c>
      <c r="C29" s="12">
        <v>8612351</v>
      </c>
      <c r="D29" s="13">
        <v>73174252</v>
      </c>
      <c r="E29" s="14">
        <v>60.95</v>
      </c>
      <c r="F29" s="21">
        <v>903.39</v>
      </c>
      <c r="G29" s="15">
        <f t="shared" si="0"/>
        <v>55061.620500000005</v>
      </c>
      <c r="H29" s="16">
        <v>75336.02</v>
      </c>
      <c r="I29" s="17">
        <f t="shared" si="1"/>
        <v>4591730.4190000007</v>
      </c>
      <c r="J29" s="22" t="s">
        <v>13</v>
      </c>
      <c r="K29" s="23" t="s">
        <v>14</v>
      </c>
    </row>
    <row r="30" spans="1:11" ht="30" x14ac:dyDescent="0.25">
      <c r="A30" s="20">
        <f t="shared" si="2"/>
        <v>26</v>
      </c>
      <c r="B30" s="11">
        <v>46106</v>
      </c>
      <c r="C30" s="12">
        <v>8612351</v>
      </c>
      <c r="D30" s="13">
        <v>73179855</v>
      </c>
      <c r="E30" s="14">
        <v>60.8</v>
      </c>
      <c r="F30" s="21">
        <v>903.39</v>
      </c>
      <c r="G30" s="15">
        <f t="shared" si="0"/>
        <v>54926.111999999994</v>
      </c>
      <c r="H30" s="16">
        <v>75336.02</v>
      </c>
      <c r="I30" s="17">
        <f t="shared" si="1"/>
        <v>4580430.0159999998</v>
      </c>
      <c r="J30" s="22" t="s">
        <v>13</v>
      </c>
      <c r="K30" s="23" t="s">
        <v>14</v>
      </c>
    </row>
    <row r="31" spans="1:11" ht="30" x14ac:dyDescent="0.25">
      <c r="A31" s="20">
        <f t="shared" si="2"/>
        <v>27</v>
      </c>
      <c r="B31" s="11">
        <v>46106</v>
      </c>
      <c r="C31" s="12">
        <v>8612351</v>
      </c>
      <c r="D31" s="13">
        <v>73235285</v>
      </c>
      <c r="E31" s="14">
        <v>60.7</v>
      </c>
      <c r="F31" s="21">
        <v>903.39</v>
      </c>
      <c r="G31" s="15">
        <f t="shared" si="0"/>
        <v>54835.773000000001</v>
      </c>
      <c r="H31" s="16">
        <v>75336.02</v>
      </c>
      <c r="I31" s="17">
        <f t="shared" si="1"/>
        <v>4572896.4140000008</v>
      </c>
      <c r="J31" s="22" t="s">
        <v>13</v>
      </c>
      <c r="K31" s="23" t="s">
        <v>14</v>
      </c>
    </row>
    <row r="32" spans="1:11" ht="30" x14ac:dyDescent="0.25">
      <c r="A32" s="20">
        <f t="shared" si="2"/>
        <v>28</v>
      </c>
      <c r="B32" s="11">
        <v>46106</v>
      </c>
      <c r="C32" s="12">
        <v>8612351</v>
      </c>
      <c r="D32" s="13">
        <v>73902330</v>
      </c>
      <c r="E32" s="14">
        <v>61.25</v>
      </c>
      <c r="F32" s="21">
        <v>903.39</v>
      </c>
      <c r="G32" s="15">
        <f t="shared" si="0"/>
        <v>55332.637499999997</v>
      </c>
      <c r="H32" s="16">
        <v>75336.02</v>
      </c>
      <c r="I32" s="17">
        <f t="shared" si="1"/>
        <v>4614331.2250000006</v>
      </c>
      <c r="J32" s="22" t="s">
        <v>13</v>
      </c>
      <c r="K32" s="23" t="s">
        <v>14</v>
      </c>
    </row>
    <row r="33" spans="1:11" ht="30" x14ac:dyDescent="0.25">
      <c r="A33" s="20">
        <f t="shared" si="2"/>
        <v>29</v>
      </c>
      <c r="B33" s="11">
        <v>46106</v>
      </c>
      <c r="C33" s="12">
        <v>8612350</v>
      </c>
      <c r="D33" s="13">
        <v>73963910</v>
      </c>
      <c r="E33" s="14">
        <v>60.65</v>
      </c>
      <c r="F33" s="21">
        <v>903.39</v>
      </c>
      <c r="G33" s="15">
        <f t="shared" si="0"/>
        <v>54790.603499999997</v>
      </c>
      <c r="H33" s="16">
        <v>75336.02</v>
      </c>
      <c r="I33" s="17">
        <f t="shared" si="1"/>
        <v>4569129.6129999999</v>
      </c>
      <c r="J33" s="22" t="s">
        <v>13</v>
      </c>
      <c r="K33" s="23" t="s">
        <v>14</v>
      </c>
    </row>
    <row r="34" spans="1:11" ht="30" x14ac:dyDescent="0.25">
      <c r="A34" s="20">
        <f t="shared" si="2"/>
        <v>30</v>
      </c>
      <c r="B34" s="11">
        <v>46106</v>
      </c>
      <c r="C34" s="12">
        <v>8612351</v>
      </c>
      <c r="D34" s="13">
        <v>74929829</v>
      </c>
      <c r="E34" s="14">
        <v>60.95</v>
      </c>
      <c r="F34" s="21">
        <v>903.39</v>
      </c>
      <c r="G34" s="15">
        <f t="shared" si="0"/>
        <v>55061.620500000005</v>
      </c>
      <c r="H34" s="16">
        <v>75336.02</v>
      </c>
      <c r="I34" s="17">
        <f t="shared" si="1"/>
        <v>4591730.4190000007</v>
      </c>
      <c r="J34" s="22" t="s">
        <v>13</v>
      </c>
      <c r="K34" s="23" t="s">
        <v>14</v>
      </c>
    </row>
    <row r="35" spans="1:11" ht="30" x14ac:dyDescent="0.25">
      <c r="A35" s="20">
        <f t="shared" si="2"/>
        <v>31</v>
      </c>
      <c r="B35" s="11">
        <v>46106</v>
      </c>
      <c r="C35" s="12">
        <v>8612350</v>
      </c>
      <c r="D35" s="13">
        <v>74945569</v>
      </c>
      <c r="E35" s="14">
        <v>60.85</v>
      </c>
      <c r="F35" s="21">
        <v>903.39</v>
      </c>
      <c r="G35" s="15">
        <f t="shared" si="0"/>
        <v>54971.281499999997</v>
      </c>
      <c r="H35" s="16">
        <v>75336.02</v>
      </c>
      <c r="I35" s="17">
        <f t="shared" si="1"/>
        <v>4584196.8170000007</v>
      </c>
      <c r="J35" s="22" t="s">
        <v>13</v>
      </c>
      <c r="K35" s="23" t="s">
        <v>14</v>
      </c>
    </row>
    <row r="36" spans="1:11" ht="30" x14ac:dyDescent="0.25">
      <c r="A36" s="20">
        <f t="shared" si="2"/>
        <v>32</v>
      </c>
      <c r="B36" s="11">
        <v>46106</v>
      </c>
      <c r="C36" s="12">
        <v>8612350</v>
      </c>
      <c r="D36" s="13">
        <v>75046789</v>
      </c>
      <c r="E36" s="14">
        <v>60.1</v>
      </c>
      <c r="F36" s="21">
        <v>903.39</v>
      </c>
      <c r="G36" s="15">
        <f t="shared" si="0"/>
        <v>54293.739000000001</v>
      </c>
      <c r="H36" s="16">
        <v>75336.02</v>
      </c>
      <c r="I36" s="17">
        <f t="shared" si="1"/>
        <v>4527694.8020000001</v>
      </c>
      <c r="J36" s="22" t="s">
        <v>13</v>
      </c>
      <c r="K36" s="23" t="s">
        <v>14</v>
      </c>
    </row>
    <row r="37" spans="1:11" ht="30" x14ac:dyDescent="0.25">
      <c r="A37" s="20">
        <f t="shared" si="2"/>
        <v>33</v>
      </c>
      <c r="B37" s="11">
        <v>46106</v>
      </c>
      <c r="C37" s="12">
        <v>8612350</v>
      </c>
      <c r="D37" s="13">
        <v>75180356</v>
      </c>
      <c r="E37" s="14">
        <v>61.9</v>
      </c>
      <c r="F37" s="21">
        <v>903.39</v>
      </c>
      <c r="G37" s="15">
        <f t="shared" si="0"/>
        <v>55919.841</v>
      </c>
      <c r="H37" s="16">
        <v>75336.02</v>
      </c>
      <c r="I37" s="17">
        <f t="shared" si="1"/>
        <v>4663299.6380000003</v>
      </c>
      <c r="J37" s="22" t="s">
        <v>13</v>
      </c>
      <c r="K37" s="23" t="s">
        <v>14</v>
      </c>
    </row>
    <row r="38" spans="1:11" ht="30.75" thickBot="1" x14ac:dyDescent="0.3">
      <c r="A38" s="24">
        <f t="shared" si="2"/>
        <v>34</v>
      </c>
      <c r="B38" s="25">
        <v>46106</v>
      </c>
      <c r="C38" s="26">
        <v>8612351</v>
      </c>
      <c r="D38" s="27">
        <v>75291559</v>
      </c>
      <c r="E38" s="28">
        <v>60.95</v>
      </c>
      <c r="F38" s="21">
        <v>903.39</v>
      </c>
      <c r="G38" s="29">
        <f t="shared" si="0"/>
        <v>55061.620500000005</v>
      </c>
      <c r="H38" s="30">
        <v>75336.02</v>
      </c>
      <c r="I38" s="31">
        <f t="shared" si="1"/>
        <v>4591730.4190000007</v>
      </c>
      <c r="J38" s="32" t="s">
        <v>13</v>
      </c>
      <c r="K38" s="33" t="s">
        <v>14</v>
      </c>
    </row>
    <row r="39" spans="1:11" ht="15.75" thickBot="1" x14ac:dyDescent="0.3">
      <c r="A39" s="34"/>
      <c r="B39" s="35"/>
      <c r="C39" s="35"/>
      <c r="D39" s="35"/>
      <c r="E39" s="36"/>
      <c r="F39" s="36"/>
      <c r="G39" s="36"/>
      <c r="H39" s="36"/>
      <c r="I39" s="36"/>
      <c r="J39" s="36"/>
      <c r="K39" s="37"/>
    </row>
    <row r="40" spans="1:11" ht="30" x14ac:dyDescent="0.25">
      <c r="A40" s="38">
        <v>35</v>
      </c>
      <c r="B40" s="11">
        <v>46108</v>
      </c>
      <c r="C40" s="39">
        <v>8612382</v>
      </c>
      <c r="D40" s="40">
        <v>50786052</v>
      </c>
      <c r="E40" s="41">
        <v>51.35</v>
      </c>
      <c r="F40" s="15">
        <v>903.39</v>
      </c>
      <c r="G40" s="15">
        <f t="shared" ref="G40:G45" si="3">E40*F40</f>
        <v>46389.076500000003</v>
      </c>
      <c r="H40" s="42">
        <v>75336.02</v>
      </c>
      <c r="I40" s="17">
        <f t="shared" ref="I40:I45" si="4">E40*H40</f>
        <v>3868504.6270000003</v>
      </c>
      <c r="J40" s="43" t="s">
        <v>13</v>
      </c>
      <c r="K40" s="44" t="s">
        <v>14</v>
      </c>
    </row>
    <row r="41" spans="1:11" ht="30" x14ac:dyDescent="0.25">
      <c r="A41" s="45">
        <f>A40+1</f>
        <v>36</v>
      </c>
      <c r="B41" s="46">
        <v>46108</v>
      </c>
      <c r="C41" s="12">
        <v>8612382</v>
      </c>
      <c r="D41" s="13">
        <v>51247757</v>
      </c>
      <c r="E41" s="14">
        <v>60.05</v>
      </c>
      <c r="F41" s="21">
        <v>903.39</v>
      </c>
      <c r="G41" s="15">
        <f t="shared" si="3"/>
        <v>54248.569499999998</v>
      </c>
      <c r="H41" s="16">
        <v>75336.02</v>
      </c>
      <c r="I41" s="17">
        <f t="shared" si="4"/>
        <v>4523928.0010000002</v>
      </c>
      <c r="J41" s="22" t="s">
        <v>13</v>
      </c>
      <c r="K41" s="23" t="s">
        <v>14</v>
      </c>
    </row>
    <row r="42" spans="1:11" ht="30" x14ac:dyDescent="0.25">
      <c r="A42" s="45">
        <f t="shared" ref="A42:A45" si="5">A41+1</f>
        <v>37</v>
      </c>
      <c r="B42" s="46">
        <v>46108</v>
      </c>
      <c r="C42" s="12">
        <v>8612382</v>
      </c>
      <c r="D42" s="13">
        <v>53872081</v>
      </c>
      <c r="E42" s="14">
        <v>60.2</v>
      </c>
      <c r="F42" s="21">
        <v>903.39</v>
      </c>
      <c r="G42" s="15">
        <f t="shared" si="3"/>
        <v>54384.078000000001</v>
      </c>
      <c r="H42" s="16">
        <v>75336.02</v>
      </c>
      <c r="I42" s="17">
        <f t="shared" si="4"/>
        <v>4535228.4040000001</v>
      </c>
      <c r="J42" s="22" t="s">
        <v>13</v>
      </c>
      <c r="K42" s="23" t="s">
        <v>14</v>
      </c>
    </row>
    <row r="43" spans="1:11" ht="30" x14ac:dyDescent="0.25">
      <c r="A43" s="45">
        <f t="shared" si="5"/>
        <v>38</v>
      </c>
      <c r="B43" s="46">
        <v>46108</v>
      </c>
      <c r="C43" s="12">
        <v>8612382</v>
      </c>
      <c r="D43" s="13">
        <v>55306948</v>
      </c>
      <c r="E43" s="14">
        <v>60.2</v>
      </c>
      <c r="F43" s="21">
        <v>903.39</v>
      </c>
      <c r="G43" s="15">
        <f t="shared" si="3"/>
        <v>54384.078000000001</v>
      </c>
      <c r="H43" s="16">
        <v>75336.02</v>
      </c>
      <c r="I43" s="17">
        <f t="shared" si="4"/>
        <v>4535228.4040000001</v>
      </c>
      <c r="J43" s="22" t="s">
        <v>13</v>
      </c>
      <c r="K43" s="23" t="s">
        <v>14</v>
      </c>
    </row>
    <row r="44" spans="1:11" ht="30" x14ac:dyDescent="0.25">
      <c r="A44" s="45">
        <f t="shared" si="5"/>
        <v>39</v>
      </c>
      <c r="B44" s="46">
        <v>46108</v>
      </c>
      <c r="C44" s="12">
        <v>8612382</v>
      </c>
      <c r="D44" s="13">
        <v>57010274</v>
      </c>
      <c r="E44" s="14">
        <v>60.75</v>
      </c>
      <c r="F44" s="21">
        <v>903.39</v>
      </c>
      <c r="G44" s="15">
        <f t="shared" si="3"/>
        <v>54880.942499999997</v>
      </c>
      <c r="H44" s="16">
        <v>75336.02</v>
      </c>
      <c r="I44" s="17">
        <f t="shared" si="4"/>
        <v>4576663.2149999999</v>
      </c>
      <c r="J44" s="22" t="s">
        <v>13</v>
      </c>
      <c r="K44" s="23" t="s">
        <v>14</v>
      </c>
    </row>
    <row r="45" spans="1:11" ht="30.75" thickBot="1" x14ac:dyDescent="0.3">
      <c r="A45" s="47">
        <f t="shared" si="5"/>
        <v>40</v>
      </c>
      <c r="B45" s="48">
        <v>46108</v>
      </c>
      <c r="C45" s="49">
        <v>8612382</v>
      </c>
      <c r="D45" s="50">
        <v>75032425</v>
      </c>
      <c r="E45" s="51">
        <v>60.8</v>
      </c>
      <c r="F45" s="21">
        <v>903.39</v>
      </c>
      <c r="G45" s="52">
        <f t="shared" si="3"/>
        <v>54926.111999999994</v>
      </c>
      <c r="H45" s="53">
        <v>75336.02</v>
      </c>
      <c r="I45" s="54">
        <f t="shared" si="4"/>
        <v>4580430.0159999998</v>
      </c>
      <c r="J45" s="55" t="s">
        <v>13</v>
      </c>
      <c r="K45" s="56" t="s">
        <v>14</v>
      </c>
    </row>
    <row r="46" spans="1:11" ht="15.75" thickBot="1" x14ac:dyDescent="0.3">
      <c r="A46" s="34"/>
      <c r="B46" s="35"/>
      <c r="C46" s="35"/>
      <c r="D46" s="35"/>
      <c r="E46" s="36"/>
      <c r="F46" s="36"/>
      <c r="G46" s="36"/>
      <c r="H46" s="36"/>
      <c r="I46" s="36"/>
      <c r="J46" s="36"/>
      <c r="K46" s="57"/>
    </row>
    <row r="47" spans="1:11" ht="30" x14ac:dyDescent="0.25">
      <c r="A47" s="10">
        <v>41</v>
      </c>
      <c r="B47" s="11">
        <v>46109</v>
      </c>
      <c r="C47" s="39">
        <v>8612392</v>
      </c>
      <c r="D47" s="40">
        <v>51254498</v>
      </c>
      <c r="E47" s="41">
        <v>50.7</v>
      </c>
      <c r="F47" s="21">
        <v>903.39</v>
      </c>
      <c r="G47" s="15">
        <f t="shared" ref="G47:G104" si="6">E47*F47</f>
        <v>45801.873</v>
      </c>
      <c r="H47" s="42">
        <v>75336.02</v>
      </c>
      <c r="I47" s="17">
        <f t="shared" ref="I47:I104" si="7">E47*H47</f>
        <v>3819536.2140000006</v>
      </c>
      <c r="J47" s="43" t="s">
        <v>13</v>
      </c>
      <c r="K47" s="44" t="s">
        <v>14</v>
      </c>
    </row>
    <row r="48" spans="1:11" ht="30" x14ac:dyDescent="0.25">
      <c r="A48" s="20">
        <f>A47+1</f>
        <v>42</v>
      </c>
      <c r="B48" s="46">
        <v>46109</v>
      </c>
      <c r="C48" s="12">
        <v>8612392</v>
      </c>
      <c r="D48" s="13">
        <v>51463206</v>
      </c>
      <c r="E48" s="14">
        <v>50.75</v>
      </c>
      <c r="F48" s="21">
        <v>903.39</v>
      </c>
      <c r="G48" s="15">
        <f t="shared" si="6"/>
        <v>45847.042499999996</v>
      </c>
      <c r="H48" s="16">
        <v>75336.02</v>
      </c>
      <c r="I48" s="17">
        <f t="shared" si="7"/>
        <v>3823303.0150000001</v>
      </c>
      <c r="J48" s="22" t="s">
        <v>13</v>
      </c>
      <c r="K48" s="23" t="s">
        <v>14</v>
      </c>
    </row>
    <row r="49" spans="1:11" ht="30" x14ac:dyDescent="0.25">
      <c r="A49" s="20">
        <f t="shared" ref="A49:A104" si="8">A48+1</f>
        <v>43</v>
      </c>
      <c r="B49" s="46">
        <v>46109</v>
      </c>
      <c r="C49" s="12">
        <v>8612392</v>
      </c>
      <c r="D49" s="13">
        <v>73013674</v>
      </c>
      <c r="E49" s="14">
        <v>60.4</v>
      </c>
      <c r="F49" s="21">
        <v>903.39</v>
      </c>
      <c r="G49" s="15">
        <f t="shared" si="6"/>
        <v>54564.756000000001</v>
      </c>
      <c r="H49" s="16">
        <v>75336.02</v>
      </c>
      <c r="I49" s="17">
        <f t="shared" si="7"/>
        <v>4550295.608</v>
      </c>
      <c r="J49" s="22" t="s">
        <v>13</v>
      </c>
      <c r="K49" s="23" t="s">
        <v>14</v>
      </c>
    </row>
    <row r="50" spans="1:11" ht="30" x14ac:dyDescent="0.25">
      <c r="A50" s="20">
        <f t="shared" si="8"/>
        <v>44</v>
      </c>
      <c r="B50" s="46">
        <v>46109</v>
      </c>
      <c r="C50" s="12">
        <v>8612392</v>
      </c>
      <c r="D50" s="13">
        <v>75208835</v>
      </c>
      <c r="E50" s="14">
        <v>60.65</v>
      </c>
      <c r="F50" s="21">
        <v>903.39</v>
      </c>
      <c r="G50" s="15">
        <f t="shared" si="6"/>
        <v>54790.603499999997</v>
      </c>
      <c r="H50" s="16">
        <v>75336.02</v>
      </c>
      <c r="I50" s="17">
        <f t="shared" si="7"/>
        <v>4569129.6129999999</v>
      </c>
      <c r="J50" s="22" t="s">
        <v>13</v>
      </c>
      <c r="K50" s="23" t="s">
        <v>14</v>
      </c>
    </row>
    <row r="51" spans="1:11" ht="30" x14ac:dyDescent="0.25">
      <c r="A51" s="20">
        <f t="shared" si="8"/>
        <v>45</v>
      </c>
      <c r="B51" s="46">
        <v>46109</v>
      </c>
      <c r="C51" s="12">
        <v>8612392</v>
      </c>
      <c r="D51" s="13">
        <v>75283051</v>
      </c>
      <c r="E51" s="14">
        <v>60.65</v>
      </c>
      <c r="F51" s="21">
        <v>903.39</v>
      </c>
      <c r="G51" s="15">
        <f t="shared" si="6"/>
        <v>54790.603499999997</v>
      </c>
      <c r="H51" s="16">
        <v>75336.02</v>
      </c>
      <c r="I51" s="17">
        <f t="shared" si="7"/>
        <v>4569129.6129999999</v>
      </c>
      <c r="J51" s="22" t="s">
        <v>13</v>
      </c>
      <c r="K51" s="23" t="s">
        <v>14</v>
      </c>
    </row>
    <row r="52" spans="1:11" ht="30" x14ac:dyDescent="0.25">
      <c r="A52" s="20">
        <f t="shared" si="8"/>
        <v>46</v>
      </c>
      <c r="B52" s="46">
        <v>46109</v>
      </c>
      <c r="C52" s="12">
        <v>8612392</v>
      </c>
      <c r="D52" s="13">
        <v>75309278</v>
      </c>
      <c r="E52" s="14">
        <v>60.65</v>
      </c>
      <c r="F52" s="21">
        <v>903.39</v>
      </c>
      <c r="G52" s="15">
        <f t="shared" si="6"/>
        <v>54790.603499999997</v>
      </c>
      <c r="H52" s="16">
        <v>75336.02</v>
      </c>
      <c r="I52" s="17">
        <f t="shared" si="7"/>
        <v>4569129.6129999999</v>
      </c>
      <c r="J52" s="22" t="s">
        <v>13</v>
      </c>
      <c r="K52" s="23" t="s">
        <v>14</v>
      </c>
    </row>
    <row r="53" spans="1:11" ht="30" x14ac:dyDescent="0.25">
      <c r="A53" s="20">
        <f t="shared" si="8"/>
        <v>47</v>
      </c>
      <c r="B53" s="46">
        <v>46109</v>
      </c>
      <c r="C53" s="12">
        <v>8612392</v>
      </c>
      <c r="D53" s="13">
        <v>75867697</v>
      </c>
      <c r="E53" s="14">
        <v>60.6</v>
      </c>
      <c r="F53" s="21">
        <v>903.39</v>
      </c>
      <c r="G53" s="15">
        <f t="shared" si="6"/>
        <v>54745.434000000001</v>
      </c>
      <c r="H53" s="16">
        <v>75336.02</v>
      </c>
      <c r="I53" s="17">
        <f t="shared" si="7"/>
        <v>4565362.8119999999</v>
      </c>
      <c r="J53" s="22" t="s">
        <v>13</v>
      </c>
      <c r="K53" s="23" t="s">
        <v>14</v>
      </c>
    </row>
    <row r="54" spans="1:11" ht="30" x14ac:dyDescent="0.25">
      <c r="A54" s="20">
        <f t="shared" si="8"/>
        <v>48</v>
      </c>
      <c r="B54" s="46">
        <v>46109</v>
      </c>
      <c r="C54" s="12">
        <v>8612393</v>
      </c>
      <c r="D54" s="13">
        <v>50309194</v>
      </c>
      <c r="E54" s="14">
        <v>59.85</v>
      </c>
      <c r="F54" s="21">
        <v>903.39</v>
      </c>
      <c r="G54" s="15">
        <f t="shared" si="6"/>
        <v>54067.891499999998</v>
      </c>
      <c r="H54" s="16">
        <v>75336.02</v>
      </c>
      <c r="I54" s="17">
        <f t="shared" si="7"/>
        <v>4508860.7970000003</v>
      </c>
      <c r="J54" s="22" t="s">
        <v>13</v>
      </c>
      <c r="K54" s="23" t="s">
        <v>14</v>
      </c>
    </row>
    <row r="55" spans="1:11" ht="30" x14ac:dyDescent="0.25">
      <c r="A55" s="20">
        <f t="shared" si="8"/>
        <v>49</v>
      </c>
      <c r="B55" s="46">
        <v>46109</v>
      </c>
      <c r="C55" s="12">
        <v>8612390</v>
      </c>
      <c r="D55" s="13">
        <v>50362367</v>
      </c>
      <c r="E55" s="14">
        <v>52.15</v>
      </c>
      <c r="F55" s="21">
        <v>903.39</v>
      </c>
      <c r="G55" s="15">
        <f t="shared" si="6"/>
        <v>47111.788499999995</v>
      </c>
      <c r="H55" s="16">
        <v>75336.02</v>
      </c>
      <c r="I55" s="17">
        <f t="shared" si="7"/>
        <v>3928773.443</v>
      </c>
      <c r="J55" s="22" t="s">
        <v>13</v>
      </c>
      <c r="K55" s="23" t="s">
        <v>14</v>
      </c>
    </row>
    <row r="56" spans="1:11" ht="30" x14ac:dyDescent="0.25">
      <c r="A56" s="20">
        <f t="shared" si="8"/>
        <v>50</v>
      </c>
      <c r="B56" s="46">
        <v>46109</v>
      </c>
      <c r="C56" s="12">
        <v>8612390</v>
      </c>
      <c r="D56" s="13">
        <v>50375930</v>
      </c>
      <c r="E56" s="14">
        <v>52.2</v>
      </c>
      <c r="F56" s="21">
        <v>903.39</v>
      </c>
      <c r="G56" s="15">
        <f t="shared" si="6"/>
        <v>47156.957999999999</v>
      </c>
      <c r="H56" s="16">
        <v>75336.02</v>
      </c>
      <c r="I56" s="17">
        <f t="shared" si="7"/>
        <v>3932540.2440000004</v>
      </c>
      <c r="J56" s="22" t="s">
        <v>13</v>
      </c>
      <c r="K56" s="23" t="s">
        <v>14</v>
      </c>
    </row>
    <row r="57" spans="1:11" ht="30" x14ac:dyDescent="0.25">
      <c r="A57" s="20">
        <f t="shared" si="8"/>
        <v>51</v>
      </c>
      <c r="B57" s="46">
        <v>46109</v>
      </c>
      <c r="C57" s="12">
        <v>8612391</v>
      </c>
      <c r="D57" s="13">
        <v>50413830</v>
      </c>
      <c r="E57" s="14">
        <v>59.85</v>
      </c>
      <c r="F57" s="21">
        <v>903.39</v>
      </c>
      <c r="G57" s="15">
        <f t="shared" si="6"/>
        <v>54067.891499999998</v>
      </c>
      <c r="H57" s="16">
        <v>75336.02</v>
      </c>
      <c r="I57" s="17">
        <f t="shared" si="7"/>
        <v>4508860.7970000003</v>
      </c>
      <c r="J57" s="22" t="s">
        <v>13</v>
      </c>
      <c r="K57" s="23" t="s">
        <v>14</v>
      </c>
    </row>
    <row r="58" spans="1:11" ht="30" x14ac:dyDescent="0.25">
      <c r="A58" s="20">
        <f t="shared" si="8"/>
        <v>52</v>
      </c>
      <c r="B58" s="46">
        <v>46109</v>
      </c>
      <c r="C58" s="12">
        <v>8612389</v>
      </c>
      <c r="D58" s="13">
        <v>50484666</v>
      </c>
      <c r="E58" s="14">
        <v>59.9</v>
      </c>
      <c r="F58" s="21">
        <v>903.39</v>
      </c>
      <c r="G58" s="15">
        <f t="shared" si="6"/>
        <v>54113.061000000002</v>
      </c>
      <c r="H58" s="16">
        <v>75336.02</v>
      </c>
      <c r="I58" s="17">
        <f t="shared" si="7"/>
        <v>4512627.5980000002</v>
      </c>
      <c r="J58" s="22" t="s">
        <v>13</v>
      </c>
      <c r="K58" s="23" t="s">
        <v>14</v>
      </c>
    </row>
    <row r="59" spans="1:11" ht="30" x14ac:dyDescent="0.25">
      <c r="A59" s="20">
        <f t="shared" si="8"/>
        <v>53</v>
      </c>
      <c r="B59" s="46">
        <v>46109</v>
      </c>
      <c r="C59" s="12">
        <v>8612391</v>
      </c>
      <c r="D59" s="13">
        <v>50485200</v>
      </c>
      <c r="E59" s="14">
        <v>59.85</v>
      </c>
      <c r="F59" s="21">
        <v>903.39</v>
      </c>
      <c r="G59" s="15">
        <f t="shared" si="6"/>
        <v>54067.891499999998</v>
      </c>
      <c r="H59" s="16">
        <v>75336.02</v>
      </c>
      <c r="I59" s="17">
        <f t="shared" si="7"/>
        <v>4508860.7970000003</v>
      </c>
      <c r="J59" s="22" t="s">
        <v>13</v>
      </c>
      <c r="K59" s="23" t="s">
        <v>14</v>
      </c>
    </row>
    <row r="60" spans="1:11" ht="30" x14ac:dyDescent="0.25">
      <c r="A60" s="20">
        <f t="shared" si="8"/>
        <v>54</v>
      </c>
      <c r="B60" s="46">
        <v>46109</v>
      </c>
      <c r="C60" s="12">
        <v>8612393</v>
      </c>
      <c r="D60" s="13">
        <v>50960558</v>
      </c>
      <c r="E60" s="14">
        <v>59.85</v>
      </c>
      <c r="F60" s="21">
        <v>903.39</v>
      </c>
      <c r="G60" s="15">
        <f t="shared" si="6"/>
        <v>54067.891499999998</v>
      </c>
      <c r="H60" s="16">
        <v>75336.02</v>
      </c>
      <c r="I60" s="17">
        <f t="shared" si="7"/>
        <v>4508860.7970000003</v>
      </c>
      <c r="J60" s="22" t="s">
        <v>13</v>
      </c>
      <c r="K60" s="23" t="s">
        <v>14</v>
      </c>
    </row>
    <row r="61" spans="1:11" ht="30" x14ac:dyDescent="0.25">
      <c r="A61" s="20">
        <f t="shared" si="8"/>
        <v>55</v>
      </c>
      <c r="B61" s="46">
        <v>46109</v>
      </c>
      <c r="C61" s="12">
        <v>8612393</v>
      </c>
      <c r="D61" s="13">
        <v>51256949</v>
      </c>
      <c r="E61" s="14">
        <v>59.9</v>
      </c>
      <c r="F61" s="21">
        <v>903.39</v>
      </c>
      <c r="G61" s="15">
        <f t="shared" si="6"/>
        <v>54113.061000000002</v>
      </c>
      <c r="H61" s="16">
        <v>75336.02</v>
      </c>
      <c r="I61" s="17">
        <f t="shared" si="7"/>
        <v>4512627.5980000002</v>
      </c>
      <c r="J61" s="22" t="s">
        <v>13</v>
      </c>
      <c r="K61" s="23" t="s">
        <v>14</v>
      </c>
    </row>
    <row r="62" spans="1:11" ht="30" x14ac:dyDescent="0.25">
      <c r="A62" s="20">
        <f t="shared" si="8"/>
        <v>56</v>
      </c>
      <c r="B62" s="46">
        <v>46109</v>
      </c>
      <c r="C62" s="12">
        <v>8612391</v>
      </c>
      <c r="D62" s="13">
        <v>51296580</v>
      </c>
      <c r="E62" s="14">
        <v>50.7</v>
      </c>
      <c r="F62" s="21">
        <v>903.39</v>
      </c>
      <c r="G62" s="15">
        <f t="shared" si="6"/>
        <v>45801.873</v>
      </c>
      <c r="H62" s="16">
        <v>75336.02</v>
      </c>
      <c r="I62" s="17">
        <f t="shared" si="7"/>
        <v>3819536.2140000006</v>
      </c>
      <c r="J62" s="22" t="s">
        <v>13</v>
      </c>
      <c r="K62" s="23" t="s">
        <v>14</v>
      </c>
    </row>
    <row r="63" spans="1:11" ht="30" x14ac:dyDescent="0.25">
      <c r="A63" s="20">
        <f t="shared" si="8"/>
        <v>57</v>
      </c>
      <c r="B63" s="46">
        <v>46109</v>
      </c>
      <c r="C63" s="12">
        <v>8612390</v>
      </c>
      <c r="D63" s="13">
        <v>51379170</v>
      </c>
      <c r="E63" s="14">
        <v>50.9</v>
      </c>
      <c r="F63" s="21">
        <v>903.39</v>
      </c>
      <c r="G63" s="15">
        <f t="shared" si="6"/>
        <v>45982.550999999999</v>
      </c>
      <c r="H63" s="16">
        <v>75336.02</v>
      </c>
      <c r="I63" s="17">
        <f t="shared" si="7"/>
        <v>3834603.4180000001</v>
      </c>
      <c r="J63" s="22" t="s">
        <v>13</v>
      </c>
      <c r="K63" s="23" t="s">
        <v>14</v>
      </c>
    </row>
    <row r="64" spans="1:11" ht="30" x14ac:dyDescent="0.25">
      <c r="A64" s="20">
        <f t="shared" si="8"/>
        <v>58</v>
      </c>
      <c r="B64" s="46">
        <v>46109</v>
      </c>
      <c r="C64" s="12">
        <v>8612390</v>
      </c>
      <c r="D64" s="13">
        <v>51381507</v>
      </c>
      <c r="E64" s="14">
        <v>51.6</v>
      </c>
      <c r="F64" s="21">
        <v>903.39</v>
      </c>
      <c r="G64" s="15">
        <f t="shared" si="6"/>
        <v>46614.923999999999</v>
      </c>
      <c r="H64" s="16">
        <v>75336.02</v>
      </c>
      <c r="I64" s="17">
        <f t="shared" si="7"/>
        <v>3887338.6320000002</v>
      </c>
      <c r="J64" s="22" t="s">
        <v>13</v>
      </c>
      <c r="K64" s="23" t="s">
        <v>14</v>
      </c>
    </row>
    <row r="65" spans="1:11" ht="30" x14ac:dyDescent="0.25">
      <c r="A65" s="20">
        <f t="shared" si="8"/>
        <v>59</v>
      </c>
      <c r="B65" s="46">
        <v>46109</v>
      </c>
      <c r="C65" s="12">
        <v>8612389</v>
      </c>
      <c r="D65" s="13">
        <v>51391134</v>
      </c>
      <c r="E65" s="14">
        <v>51.25</v>
      </c>
      <c r="F65" s="21">
        <v>903.39</v>
      </c>
      <c r="G65" s="15">
        <f t="shared" si="6"/>
        <v>46298.737500000003</v>
      </c>
      <c r="H65" s="16">
        <v>75336.02</v>
      </c>
      <c r="I65" s="17">
        <f t="shared" si="7"/>
        <v>3860971.0250000004</v>
      </c>
      <c r="J65" s="22" t="s">
        <v>13</v>
      </c>
      <c r="K65" s="23" t="s">
        <v>14</v>
      </c>
    </row>
    <row r="66" spans="1:11" ht="30" x14ac:dyDescent="0.25">
      <c r="A66" s="20">
        <f t="shared" si="8"/>
        <v>60</v>
      </c>
      <c r="B66" s="46">
        <v>46109</v>
      </c>
      <c r="C66" s="12">
        <v>8612393</v>
      </c>
      <c r="D66" s="13">
        <v>51630275</v>
      </c>
      <c r="E66" s="14">
        <v>59.9</v>
      </c>
      <c r="F66" s="21">
        <v>903.39</v>
      </c>
      <c r="G66" s="15">
        <f t="shared" si="6"/>
        <v>54113.061000000002</v>
      </c>
      <c r="H66" s="16">
        <v>75336.02</v>
      </c>
      <c r="I66" s="17">
        <f t="shared" si="7"/>
        <v>4512627.5980000002</v>
      </c>
      <c r="J66" s="22" t="s">
        <v>13</v>
      </c>
      <c r="K66" s="23" t="s">
        <v>14</v>
      </c>
    </row>
    <row r="67" spans="1:11" ht="30" x14ac:dyDescent="0.25">
      <c r="A67" s="20">
        <f t="shared" si="8"/>
        <v>61</v>
      </c>
      <c r="B67" s="46">
        <v>46109</v>
      </c>
      <c r="C67" s="12">
        <v>8612389</v>
      </c>
      <c r="D67" s="13">
        <v>51814168</v>
      </c>
      <c r="E67" s="14">
        <v>59.95</v>
      </c>
      <c r="F67" s="21">
        <v>903.39</v>
      </c>
      <c r="G67" s="15">
        <f t="shared" si="6"/>
        <v>54158.230500000005</v>
      </c>
      <c r="H67" s="16">
        <v>75336.02</v>
      </c>
      <c r="I67" s="17">
        <f t="shared" si="7"/>
        <v>4516394.3990000002</v>
      </c>
      <c r="J67" s="22" t="s">
        <v>13</v>
      </c>
      <c r="K67" s="23" t="s">
        <v>14</v>
      </c>
    </row>
    <row r="68" spans="1:11" ht="30" x14ac:dyDescent="0.25">
      <c r="A68" s="20">
        <f t="shared" si="8"/>
        <v>62</v>
      </c>
      <c r="B68" s="46">
        <v>46109</v>
      </c>
      <c r="C68" s="12">
        <v>8612391</v>
      </c>
      <c r="D68" s="13">
        <v>52078391</v>
      </c>
      <c r="E68" s="14">
        <v>59.85</v>
      </c>
      <c r="F68" s="21">
        <v>903.39</v>
      </c>
      <c r="G68" s="15">
        <f t="shared" si="6"/>
        <v>54067.891499999998</v>
      </c>
      <c r="H68" s="16">
        <v>75336.02</v>
      </c>
      <c r="I68" s="17">
        <f t="shared" si="7"/>
        <v>4508860.7970000003</v>
      </c>
      <c r="J68" s="22" t="s">
        <v>13</v>
      </c>
      <c r="K68" s="23" t="s">
        <v>14</v>
      </c>
    </row>
    <row r="69" spans="1:11" ht="30" x14ac:dyDescent="0.25">
      <c r="A69" s="20">
        <f t="shared" si="8"/>
        <v>63</v>
      </c>
      <c r="B69" s="46">
        <v>46109</v>
      </c>
      <c r="C69" s="12">
        <v>8612389</v>
      </c>
      <c r="D69" s="13">
        <v>54077243</v>
      </c>
      <c r="E69" s="14">
        <v>59.9</v>
      </c>
      <c r="F69" s="21">
        <v>903.39</v>
      </c>
      <c r="G69" s="15">
        <f t="shared" si="6"/>
        <v>54113.061000000002</v>
      </c>
      <c r="H69" s="16">
        <v>75336.02</v>
      </c>
      <c r="I69" s="17">
        <f t="shared" si="7"/>
        <v>4512627.5980000002</v>
      </c>
      <c r="J69" s="22" t="s">
        <v>13</v>
      </c>
      <c r="K69" s="23" t="s">
        <v>14</v>
      </c>
    </row>
    <row r="70" spans="1:11" ht="30" x14ac:dyDescent="0.25">
      <c r="A70" s="20">
        <f t="shared" si="8"/>
        <v>64</v>
      </c>
      <c r="B70" s="46">
        <v>46109</v>
      </c>
      <c r="C70" s="12">
        <v>8612391</v>
      </c>
      <c r="D70" s="13">
        <v>54094164</v>
      </c>
      <c r="E70" s="14">
        <v>59.85</v>
      </c>
      <c r="F70" s="21">
        <v>903.39</v>
      </c>
      <c r="G70" s="15">
        <f t="shared" si="6"/>
        <v>54067.891499999998</v>
      </c>
      <c r="H70" s="16">
        <v>75336.02</v>
      </c>
      <c r="I70" s="17">
        <f t="shared" si="7"/>
        <v>4508860.7970000003</v>
      </c>
      <c r="J70" s="22" t="s">
        <v>13</v>
      </c>
      <c r="K70" s="23" t="s">
        <v>14</v>
      </c>
    </row>
    <row r="71" spans="1:11" ht="30" x14ac:dyDescent="0.25">
      <c r="A71" s="20">
        <f t="shared" si="8"/>
        <v>65</v>
      </c>
      <c r="B71" s="46">
        <v>46109</v>
      </c>
      <c r="C71" s="12">
        <v>8612389</v>
      </c>
      <c r="D71" s="13">
        <v>56798093</v>
      </c>
      <c r="E71" s="14">
        <v>59.8</v>
      </c>
      <c r="F71" s="21">
        <v>903.39</v>
      </c>
      <c r="G71" s="15">
        <f t="shared" si="6"/>
        <v>54022.721999999994</v>
      </c>
      <c r="H71" s="16">
        <v>75336.02</v>
      </c>
      <c r="I71" s="17">
        <f t="shared" si="7"/>
        <v>4505093.9960000003</v>
      </c>
      <c r="J71" s="22" t="s">
        <v>13</v>
      </c>
      <c r="K71" s="23" t="s">
        <v>14</v>
      </c>
    </row>
    <row r="72" spans="1:11" ht="30" x14ac:dyDescent="0.25">
      <c r="A72" s="20">
        <f t="shared" si="8"/>
        <v>66</v>
      </c>
      <c r="B72" s="46">
        <v>46109</v>
      </c>
      <c r="C72" s="12">
        <v>8612391</v>
      </c>
      <c r="D72" s="13">
        <v>57210452</v>
      </c>
      <c r="E72" s="14">
        <v>60.35</v>
      </c>
      <c r="F72" s="21">
        <v>903.39</v>
      </c>
      <c r="G72" s="15">
        <f t="shared" si="6"/>
        <v>54519.586499999998</v>
      </c>
      <c r="H72" s="16">
        <v>75336.02</v>
      </c>
      <c r="I72" s="17">
        <f t="shared" si="7"/>
        <v>4546528.807</v>
      </c>
      <c r="J72" s="22" t="s">
        <v>13</v>
      </c>
      <c r="K72" s="23" t="s">
        <v>14</v>
      </c>
    </row>
    <row r="73" spans="1:11" ht="30" x14ac:dyDescent="0.25">
      <c r="A73" s="20">
        <f t="shared" si="8"/>
        <v>67</v>
      </c>
      <c r="B73" s="46">
        <v>46109</v>
      </c>
      <c r="C73" s="12">
        <v>8612393</v>
      </c>
      <c r="D73" s="13">
        <v>58149907</v>
      </c>
      <c r="E73" s="14">
        <v>59.85</v>
      </c>
      <c r="F73" s="21">
        <v>903.39</v>
      </c>
      <c r="G73" s="15">
        <f t="shared" si="6"/>
        <v>54067.891499999998</v>
      </c>
      <c r="H73" s="16">
        <v>75336.02</v>
      </c>
      <c r="I73" s="17">
        <f t="shared" si="7"/>
        <v>4508860.7970000003</v>
      </c>
      <c r="J73" s="22" t="s">
        <v>13</v>
      </c>
      <c r="K73" s="23" t="s">
        <v>14</v>
      </c>
    </row>
    <row r="74" spans="1:11" ht="30" x14ac:dyDescent="0.25">
      <c r="A74" s="20">
        <f t="shared" si="8"/>
        <v>68</v>
      </c>
      <c r="B74" s="46">
        <v>46109</v>
      </c>
      <c r="C74" s="12">
        <v>8612391</v>
      </c>
      <c r="D74" s="13">
        <v>73002388</v>
      </c>
      <c r="E74" s="14">
        <v>60.35</v>
      </c>
      <c r="F74" s="21">
        <v>903.39</v>
      </c>
      <c r="G74" s="15">
        <f t="shared" si="6"/>
        <v>54519.586499999998</v>
      </c>
      <c r="H74" s="16">
        <v>75336.02</v>
      </c>
      <c r="I74" s="17">
        <f t="shared" si="7"/>
        <v>4546528.807</v>
      </c>
      <c r="J74" s="22" t="s">
        <v>13</v>
      </c>
      <c r="K74" s="23" t="s">
        <v>14</v>
      </c>
    </row>
    <row r="75" spans="1:11" ht="30" x14ac:dyDescent="0.25">
      <c r="A75" s="20">
        <f t="shared" si="8"/>
        <v>69</v>
      </c>
      <c r="B75" s="46">
        <v>46109</v>
      </c>
      <c r="C75" s="12">
        <v>8612390</v>
      </c>
      <c r="D75" s="13">
        <v>73022923</v>
      </c>
      <c r="E75" s="14">
        <v>60.3</v>
      </c>
      <c r="F75" s="21">
        <v>903.39</v>
      </c>
      <c r="G75" s="15">
        <f t="shared" si="6"/>
        <v>54474.416999999994</v>
      </c>
      <c r="H75" s="16">
        <v>75336.02</v>
      </c>
      <c r="I75" s="17">
        <f t="shared" si="7"/>
        <v>4542762.0060000001</v>
      </c>
      <c r="J75" s="22" t="s">
        <v>13</v>
      </c>
      <c r="K75" s="23" t="s">
        <v>14</v>
      </c>
    </row>
    <row r="76" spans="1:11" ht="30" x14ac:dyDescent="0.25">
      <c r="A76" s="20">
        <f t="shared" si="8"/>
        <v>70</v>
      </c>
      <c r="B76" s="46">
        <v>46109</v>
      </c>
      <c r="C76" s="12">
        <v>8612390</v>
      </c>
      <c r="D76" s="13">
        <v>73082539</v>
      </c>
      <c r="E76" s="14">
        <v>60.35</v>
      </c>
      <c r="F76" s="21">
        <v>903.39</v>
      </c>
      <c r="G76" s="15">
        <f t="shared" si="6"/>
        <v>54519.586499999998</v>
      </c>
      <c r="H76" s="16">
        <v>75336.02</v>
      </c>
      <c r="I76" s="17">
        <f t="shared" si="7"/>
        <v>4546528.807</v>
      </c>
      <c r="J76" s="22" t="s">
        <v>13</v>
      </c>
      <c r="K76" s="23" t="s">
        <v>14</v>
      </c>
    </row>
    <row r="77" spans="1:11" ht="30" x14ac:dyDescent="0.25">
      <c r="A77" s="20">
        <f t="shared" si="8"/>
        <v>71</v>
      </c>
      <c r="B77" s="46">
        <v>46109</v>
      </c>
      <c r="C77" s="12">
        <v>8612390</v>
      </c>
      <c r="D77" s="13">
        <v>73085755</v>
      </c>
      <c r="E77" s="14">
        <v>60.3</v>
      </c>
      <c r="F77" s="21">
        <v>903.39</v>
      </c>
      <c r="G77" s="15">
        <f t="shared" si="6"/>
        <v>54474.416999999994</v>
      </c>
      <c r="H77" s="16">
        <v>75336.02</v>
      </c>
      <c r="I77" s="17">
        <f t="shared" si="7"/>
        <v>4542762.0060000001</v>
      </c>
      <c r="J77" s="22" t="s">
        <v>13</v>
      </c>
      <c r="K77" s="23" t="s">
        <v>14</v>
      </c>
    </row>
    <row r="78" spans="1:11" ht="30" x14ac:dyDescent="0.25">
      <c r="A78" s="20">
        <f t="shared" si="8"/>
        <v>72</v>
      </c>
      <c r="B78" s="46">
        <v>46109</v>
      </c>
      <c r="C78" s="12">
        <v>8612391</v>
      </c>
      <c r="D78" s="13">
        <v>73110116</v>
      </c>
      <c r="E78" s="14">
        <v>60.35</v>
      </c>
      <c r="F78" s="21">
        <v>903.39</v>
      </c>
      <c r="G78" s="15">
        <f t="shared" si="6"/>
        <v>54519.586499999998</v>
      </c>
      <c r="H78" s="16">
        <v>75336.02</v>
      </c>
      <c r="I78" s="17">
        <f t="shared" si="7"/>
        <v>4546528.807</v>
      </c>
      <c r="J78" s="22" t="s">
        <v>13</v>
      </c>
      <c r="K78" s="23" t="s">
        <v>14</v>
      </c>
    </row>
    <row r="79" spans="1:11" ht="30" x14ac:dyDescent="0.25">
      <c r="A79" s="20">
        <f t="shared" si="8"/>
        <v>73</v>
      </c>
      <c r="B79" s="46">
        <v>46109</v>
      </c>
      <c r="C79" s="12">
        <v>8612389</v>
      </c>
      <c r="D79" s="13">
        <v>73110736</v>
      </c>
      <c r="E79" s="14">
        <v>60.5</v>
      </c>
      <c r="F79" s="21">
        <v>903.39</v>
      </c>
      <c r="G79" s="15">
        <f t="shared" si="6"/>
        <v>54655.095000000001</v>
      </c>
      <c r="H79" s="16">
        <v>75336.02</v>
      </c>
      <c r="I79" s="17">
        <f t="shared" si="7"/>
        <v>4557829.21</v>
      </c>
      <c r="J79" s="22" t="s">
        <v>13</v>
      </c>
      <c r="K79" s="23" t="s">
        <v>14</v>
      </c>
    </row>
    <row r="80" spans="1:11" ht="30" x14ac:dyDescent="0.25">
      <c r="A80" s="20">
        <f t="shared" si="8"/>
        <v>74</v>
      </c>
      <c r="B80" s="46">
        <v>46109</v>
      </c>
      <c r="C80" s="12">
        <v>8612389</v>
      </c>
      <c r="D80" s="13">
        <v>73114779</v>
      </c>
      <c r="E80" s="14">
        <v>60.3</v>
      </c>
      <c r="F80" s="21">
        <v>903.39</v>
      </c>
      <c r="G80" s="15">
        <f t="shared" si="6"/>
        <v>54474.416999999994</v>
      </c>
      <c r="H80" s="16">
        <v>75336.02</v>
      </c>
      <c r="I80" s="17">
        <f t="shared" si="7"/>
        <v>4542762.0060000001</v>
      </c>
      <c r="J80" s="22" t="s">
        <v>13</v>
      </c>
      <c r="K80" s="23" t="s">
        <v>14</v>
      </c>
    </row>
    <row r="81" spans="1:11" ht="30" x14ac:dyDescent="0.25">
      <c r="A81" s="20">
        <f t="shared" si="8"/>
        <v>75</v>
      </c>
      <c r="B81" s="46">
        <v>46109</v>
      </c>
      <c r="C81" s="12">
        <v>8612389</v>
      </c>
      <c r="D81" s="13">
        <v>73115453</v>
      </c>
      <c r="E81" s="14">
        <v>60.25</v>
      </c>
      <c r="F81" s="21">
        <v>903.39</v>
      </c>
      <c r="G81" s="15">
        <f t="shared" si="6"/>
        <v>54429.247499999998</v>
      </c>
      <c r="H81" s="16">
        <v>75336.02</v>
      </c>
      <c r="I81" s="17">
        <f t="shared" si="7"/>
        <v>4538995.2050000001</v>
      </c>
      <c r="J81" s="22" t="s">
        <v>13</v>
      </c>
      <c r="K81" s="23" t="s">
        <v>14</v>
      </c>
    </row>
    <row r="82" spans="1:11" ht="30" x14ac:dyDescent="0.25">
      <c r="A82" s="20">
        <f t="shared" si="8"/>
        <v>76</v>
      </c>
      <c r="B82" s="46">
        <v>46109</v>
      </c>
      <c r="C82" s="12">
        <v>8612389</v>
      </c>
      <c r="D82" s="13">
        <v>73135212</v>
      </c>
      <c r="E82" s="14">
        <v>60.3</v>
      </c>
      <c r="F82" s="21">
        <v>903.39</v>
      </c>
      <c r="G82" s="15">
        <f t="shared" si="6"/>
        <v>54474.416999999994</v>
      </c>
      <c r="H82" s="16">
        <v>75336.02</v>
      </c>
      <c r="I82" s="17">
        <f t="shared" si="7"/>
        <v>4542762.0060000001</v>
      </c>
      <c r="J82" s="22" t="s">
        <v>13</v>
      </c>
      <c r="K82" s="23" t="s">
        <v>14</v>
      </c>
    </row>
    <row r="83" spans="1:11" ht="30" x14ac:dyDescent="0.25">
      <c r="A83" s="20">
        <f t="shared" si="8"/>
        <v>77</v>
      </c>
      <c r="B83" s="46">
        <v>46109</v>
      </c>
      <c r="C83" s="12">
        <v>8612390</v>
      </c>
      <c r="D83" s="13">
        <v>73156507</v>
      </c>
      <c r="E83" s="14">
        <v>60.55</v>
      </c>
      <c r="F83" s="21">
        <v>903.39</v>
      </c>
      <c r="G83" s="15">
        <f t="shared" si="6"/>
        <v>54700.264499999997</v>
      </c>
      <c r="H83" s="16">
        <v>75336.02</v>
      </c>
      <c r="I83" s="17">
        <f t="shared" si="7"/>
        <v>4561596.0109999999</v>
      </c>
      <c r="J83" s="22" t="s">
        <v>13</v>
      </c>
      <c r="K83" s="23" t="s">
        <v>14</v>
      </c>
    </row>
    <row r="84" spans="1:11" ht="30" x14ac:dyDescent="0.25">
      <c r="A84" s="20">
        <f t="shared" si="8"/>
        <v>78</v>
      </c>
      <c r="B84" s="46">
        <v>46109</v>
      </c>
      <c r="C84" s="12">
        <v>8612391</v>
      </c>
      <c r="D84" s="13">
        <v>73158420</v>
      </c>
      <c r="E84" s="14">
        <v>60.35</v>
      </c>
      <c r="F84" s="21">
        <v>903.39</v>
      </c>
      <c r="G84" s="15">
        <f t="shared" si="6"/>
        <v>54519.586499999998</v>
      </c>
      <c r="H84" s="16">
        <v>75336.02</v>
      </c>
      <c r="I84" s="17">
        <f t="shared" si="7"/>
        <v>4546528.807</v>
      </c>
      <c r="J84" s="22" t="s">
        <v>13</v>
      </c>
      <c r="K84" s="23" t="s">
        <v>14</v>
      </c>
    </row>
    <row r="85" spans="1:11" ht="30" x14ac:dyDescent="0.25">
      <c r="A85" s="20">
        <f t="shared" si="8"/>
        <v>79</v>
      </c>
      <c r="B85" s="46">
        <v>46109</v>
      </c>
      <c r="C85" s="12">
        <v>8612391</v>
      </c>
      <c r="D85" s="13">
        <v>73172363</v>
      </c>
      <c r="E85" s="14">
        <v>60.3</v>
      </c>
      <c r="F85" s="21">
        <v>903.39</v>
      </c>
      <c r="G85" s="15">
        <f t="shared" si="6"/>
        <v>54474.416999999994</v>
      </c>
      <c r="H85" s="16">
        <v>75336.02</v>
      </c>
      <c r="I85" s="17">
        <f t="shared" si="7"/>
        <v>4542762.0060000001</v>
      </c>
      <c r="J85" s="22" t="s">
        <v>13</v>
      </c>
      <c r="K85" s="23" t="s">
        <v>14</v>
      </c>
    </row>
    <row r="86" spans="1:11" ht="30" x14ac:dyDescent="0.25">
      <c r="A86" s="20">
        <f t="shared" si="8"/>
        <v>80</v>
      </c>
      <c r="B86" s="46">
        <v>46109</v>
      </c>
      <c r="C86" s="12">
        <v>8612390</v>
      </c>
      <c r="D86" s="13">
        <v>73180515</v>
      </c>
      <c r="E86" s="14">
        <v>60.55</v>
      </c>
      <c r="F86" s="21">
        <v>903.39</v>
      </c>
      <c r="G86" s="15">
        <f t="shared" si="6"/>
        <v>54700.264499999997</v>
      </c>
      <c r="H86" s="16">
        <v>75336.02</v>
      </c>
      <c r="I86" s="17">
        <f t="shared" si="7"/>
        <v>4561596.0109999999</v>
      </c>
      <c r="J86" s="22" t="s">
        <v>13</v>
      </c>
      <c r="K86" s="23" t="s">
        <v>14</v>
      </c>
    </row>
    <row r="87" spans="1:11" ht="30" x14ac:dyDescent="0.25">
      <c r="A87" s="20">
        <f t="shared" si="8"/>
        <v>81</v>
      </c>
      <c r="B87" s="46">
        <v>46109</v>
      </c>
      <c r="C87" s="12">
        <v>8612389</v>
      </c>
      <c r="D87" s="13">
        <v>73214132</v>
      </c>
      <c r="E87" s="14">
        <v>60.65</v>
      </c>
      <c r="F87" s="21">
        <v>903.39</v>
      </c>
      <c r="G87" s="15">
        <f t="shared" si="6"/>
        <v>54790.603499999997</v>
      </c>
      <c r="H87" s="16">
        <v>75336.02</v>
      </c>
      <c r="I87" s="17">
        <f t="shared" si="7"/>
        <v>4569129.6129999999</v>
      </c>
      <c r="J87" s="22" t="s">
        <v>13</v>
      </c>
      <c r="K87" s="23" t="s">
        <v>14</v>
      </c>
    </row>
    <row r="88" spans="1:11" ht="30" x14ac:dyDescent="0.25">
      <c r="A88" s="20">
        <f t="shared" si="8"/>
        <v>82</v>
      </c>
      <c r="B88" s="46">
        <v>46109</v>
      </c>
      <c r="C88" s="12">
        <v>8612391</v>
      </c>
      <c r="D88" s="13">
        <v>73218547</v>
      </c>
      <c r="E88" s="14">
        <v>59.9</v>
      </c>
      <c r="F88" s="21">
        <v>903.39</v>
      </c>
      <c r="G88" s="15">
        <f t="shared" si="6"/>
        <v>54113.061000000002</v>
      </c>
      <c r="H88" s="16">
        <v>75336.02</v>
      </c>
      <c r="I88" s="17">
        <f t="shared" si="7"/>
        <v>4512627.5980000002</v>
      </c>
      <c r="J88" s="22" t="s">
        <v>13</v>
      </c>
      <c r="K88" s="23" t="s">
        <v>14</v>
      </c>
    </row>
    <row r="89" spans="1:11" ht="30" x14ac:dyDescent="0.25">
      <c r="A89" s="20">
        <f t="shared" si="8"/>
        <v>83</v>
      </c>
      <c r="B89" s="46">
        <v>46109</v>
      </c>
      <c r="C89" s="12">
        <v>8612391</v>
      </c>
      <c r="D89" s="13">
        <v>73222333</v>
      </c>
      <c r="E89" s="14">
        <v>60.35</v>
      </c>
      <c r="F89" s="21">
        <v>903.39</v>
      </c>
      <c r="G89" s="15">
        <f t="shared" si="6"/>
        <v>54519.586499999998</v>
      </c>
      <c r="H89" s="16">
        <v>75336.02</v>
      </c>
      <c r="I89" s="17">
        <f t="shared" si="7"/>
        <v>4546528.807</v>
      </c>
      <c r="J89" s="22" t="s">
        <v>13</v>
      </c>
      <c r="K89" s="23" t="s">
        <v>14</v>
      </c>
    </row>
    <row r="90" spans="1:11" ht="30" x14ac:dyDescent="0.25">
      <c r="A90" s="20">
        <f t="shared" si="8"/>
        <v>84</v>
      </c>
      <c r="B90" s="46">
        <v>46109</v>
      </c>
      <c r="C90" s="12">
        <v>8612390</v>
      </c>
      <c r="D90" s="13">
        <v>73223414</v>
      </c>
      <c r="E90" s="14">
        <v>60.6</v>
      </c>
      <c r="F90" s="21">
        <v>903.39</v>
      </c>
      <c r="G90" s="15">
        <f t="shared" si="6"/>
        <v>54745.434000000001</v>
      </c>
      <c r="H90" s="16">
        <v>75336.02</v>
      </c>
      <c r="I90" s="17">
        <f t="shared" si="7"/>
        <v>4565362.8119999999</v>
      </c>
      <c r="J90" s="22" t="s">
        <v>13</v>
      </c>
      <c r="K90" s="23" t="s">
        <v>14</v>
      </c>
    </row>
    <row r="91" spans="1:11" ht="30" x14ac:dyDescent="0.25">
      <c r="A91" s="20">
        <f t="shared" si="8"/>
        <v>85</v>
      </c>
      <c r="B91" s="46">
        <v>46109</v>
      </c>
      <c r="C91" s="12">
        <v>8612389</v>
      </c>
      <c r="D91" s="13">
        <v>73224016</v>
      </c>
      <c r="E91" s="14">
        <v>60.45</v>
      </c>
      <c r="F91" s="21">
        <v>903.39</v>
      </c>
      <c r="G91" s="15">
        <f t="shared" si="6"/>
        <v>54609.925500000005</v>
      </c>
      <c r="H91" s="16">
        <v>75336.02</v>
      </c>
      <c r="I91" s="17">
        <f t="shared" si="7"/>
        <v>4554062.4090000009</v>
      </c>
      <c r="J91" s="22" t="s">
        <v>13</v>
      </c>
      <c r="K91" s="23" t="s">
        <v>14</v>
      </c>
    </row>
    <row r="92" spans="1:11" ht="30" x14ac:dyDescent="0.25">
      <c r="A92" s="20">
        <f t="shared" si="8"/>
        <v>86</v>
      </c>
      <c r="B92" s="46">
        <v>46109</v>
      </c>
      <c r="C92" s="12">
        <v>8612389</v>
      </c>
      <c r="D92" s="13">
        <v>73224172</v>
      </c>
      <c r="E92" s="14">
        <v>60.3</v>
      </c>
      <c r="F92" s="21">
        <v>903.39</v>
      </c>
      <c r="G92" s="15">
        <f t="shared" si="6"/>
        <v>54474.416999999994</v>
      </c>
      <c r="H92" s="16">
        <v>75336.02</v>
      </c>
      <c r="I92" s="17">
        <f t="shared" si="7"/>
        <v>4542762.0060000001</v>
      </c>
      <c r="J92" s="22" t="s">
        <v>13</v>
      </c>
      <c r="K92" s="23" t="s">
        <v>14</v>
      </c>
    </row>
    <row r="93" spans="1:11" ht="30" x14ac:dyDescent="0.25">
      <c r="A93" s="20">
        <f t="shared" si="8"/>
        <v>87</v>
      </c>
      <c r="B93" s="46">
        <v>46109</v>
      </c>
      <c r="C93" s="12">
        <v>8612391</v>
      </c>
      <c r="D93" s="13">
        <v>73227878</v>
      </c>
      <c r="E93" s="14">
        <v>60.35</v>
      </c>
      <c r="F93" s="21">
        <v>903.39</v>
      </c>
      <c r="G93" s="15">
        <f t="shared" si="6"/>
        <v>54519.586499999998</v>
      </c>
      <c r="H93" s="16">
        <v>75336.02</v>
      </c>
      <c r="I93" s="17">
        <f t="shared" si="7"/>
        <v>4546528.807</v>
      </c>
      <c r="J93" s="22" t="s">
        <v>13</v>
      </c>
      <c r="K93" s="23" t="s">
        <v>14</v>
      </c>
    </row>
    <row r="94" spans="1:11" ht="30" x14ac:dyDescent="0.25">
      <c r="A94" s="20">
        <f t="shared" si="8"/>
        <v>88</v>
      </c>
      <c r="B94" s="46">
        <v>46109</v>
      </c>
      <c r="C94" s="12">
        <v>8612390</v>
      </c>
      <c r="D94" s="13">
        <v>73229981</v>
      </c>
      <c r="E94" s="14">
        <v>60.25</v>
      </c>
      <c r="F94" s="21">
        <v>903.39</v>
      </c>
      <c r="G94" s="15">
        <f t="shared" si="6"/>
        <v>54429.247499999998</v>
      </c>
      <c r="H94" s="16">
        <v>75336.02</v>
      </c>
      <c r="I94" s="17">
        <f t="shared" si="7"/>
        <v>4538995.2050000001</v>
      </c>
      <c r="J94" s="22" t="s">
        <v>13</v>
      </c>
      <c r="K94" s="23" t="s">
        <v>14</v>
      </c>
    </row>
    <row r="95" spans="1:11" ht="30" x14ac:dyDescent="0.25">
      <c r="A95" s="20">
        <f t="shared" si="8"/>
        <v>89</v>
      </c>
      <c r="B95" s="46">
        <v>46109</v>
      </c>
      <c r="C95" s="12">
        <v>8612390</v>
      </c>
      <c r="D95" s="13">
        <v>73230013</v>
      </c>
      <c r="E95" s="14">
        <v>60.55</v>
      </c>
      <c r="F95" s="21">
        <v>903.39</v>
      </c>
      <c r="G95" s="15">
        <f t="shared" si="6"/>
        <v>54700.264499999997</v>
      </c>
      <c r="H95" s="16">
        <v>75336.02</v>
      </c>
      <c r="I95" s="17">
        <f t="shared" si="7"/>
        <v>4561596.0109999999</v>
      </c>
      <c r="J95" s="22" t="s">
        <v>13</v>
      </c>
      <c r="K95" s="23" t="s">
        <v>14</v>
      </c>
    </row>
    <row r="96" spans="1:11" ht="30" x14ac:dyDescent="0.25">
      <c r="A96" s="20">
        <f t="shared" si="8"/>
        <v>90</v>
      </c>
      <c r="B96" s="46">
        <v>46109</v>
      </c>
      <c r="C96" s="12">
        <v>8612391</v>
      </c>
      <c r="D96" s="13">
        <v>73230039</v>
      </c>
      <c r="E96" s="14">
        <v>60.35</v>
      </c>
      <c r="F96" s="21">
        <v>903.39</v>
      </c>
      <c r="G96" s="15">
        <f t="shared" si="6"/>
        <v>54519.586499999998</v>
      </c>
      <c r="H96" s="16">
        <v>75336.02</v>
      </c>
      <c r="I96" s="17">
        <f t="shared" si="7"/>
        <v>4546528.807</v>
      </c>
      <c r="J96" s="22" t="s">
        <v>13</v>
      </c>
      <c r="K96" s="23" t="s">
        <v>14</v>
      </c>
    </row>
    <row r="97" spans="1:11" ht="30" x14ac:dyDescent="0.25">
      <c r="A97" s="20">
        <f t="shared" si="8"/>
        <v>91</v>
      </c>
      <c r="B97" s="46">
        <v>46109</v>
      </c>
      <c r="C97" s="12">
        <v>8612390</v>
      </c>
      <c r="D97" s="13">
        <v>73230047</v>
      </c>
      <c r="E97" s="14">
        <v>60.55</v>
      </c>
      <c r="F97" s="21">
        <v>903.39</v>
      </c>
      <c r="G97" s="15">
        <f t="shared" si="6"/>
        <v>54700.264499999997</v>
      </c>
      <c r="H97" s="16">
        <v>75336.02</v>
      </c>
      <c r="I97" s="17">
        <f t="shared" si="7"/>
        <v>4561596.0109999999</v>
      </c>
      <c r="J97" s="22" t="s">
        <v>13</v>
      </c>
      <c r="K97" s="23" t="s">
        <v>14</v>
      </c>
    </row>
    <row r="98" spans="1:11" ht="30" x14ac:dyDescent="0.25">
      <c r="A98" s="20">
        <f t="shared" si="8"/>
        <v>92</v>
      </c>
      <c r="B98" s="46">
        <v>46109</v>
      </c>
      <c r="C98" s="12">
        <v>8612389</v>
      </c>
      <c r="D98" s="13">
        <v>73233447</v>
      </c>
      <c r="E98" s="14">
        <v>60.55</v>
      </c>
      <c r="F98" s="21">
        <v>903.39</v>
      </c>
      <c r="G98" s="15">
        <f t="shared" si="6"/>
        <v>54700.264499999997</v>
      </c>
      <c r="H98" s="16">
        <v>75336.02</v>
      </c>
      <c r="I98" s="17">
        <f t="shared" si="7"/>
        <v>4561596.0109999999</v>
      </c>
      <c r="J98" s="22" t="s">
        <v>13</v>
      </c>
      <c r="K98" s="23" t="s">
        <v>14</v>
      </c>
    </row>
    <row r="99" spans="1:11" ht="30" x14ac:dyDescent="0.25">
      <c r="A99" s="20">
        <f t="shared" si="8"/>
        <v>93</v>
      </c>
      <c r="B99" s="46">
        <v>46109</v>
      </c>
      <c r="C99" s="12">
        <v>8612389</v>
      </c>
      <c r="D99" s="13">
        <v>73241556</v>
      </c>
      <c r="E99" s="14">
        <v>60.25</v>
      </c>
      <c r="F99" s="21">
        <v>903.39</v>
      </c>
      <c r="G99" s="15">
        <f t="shared" si="6"/>
        <v>54429.247499999998</v>
      </c>
      <c r="H99" s="16">
        <v>75336.02</v>
      </c>
      <c r="I99" s="17">
        <f t="shared" si="7"/>
        <v>4538995.2050000001</v>
      </c>
      <c r="J99" s="22" t="s">
        <v>13</v>
      </c>
      <c r="K99" s="23" t="s">
        <v>14</v>
      </c>
    </row>
    <row r="100" spans="1:11" ht="30" x14ac:dyDescent="0.25">
      <c r="A100" s="20">
        <f t="shared" si="8"/>
        <v>94</v>
      </c>
      <c r="B100" s="46">
        <v>46109</v>
      </c>
      <c r="C100" s="12">
        <v>8612393</v>
      </c>
      <c r="D100" s="13">
        <v>74963836</v>
      </c>
      <c r="E100" s="14">
        <v>59.85</v>
      </c>
      <c r="F100" s="21">
        <v>903.39</v>
      </c>
      <c r="G100" s="15">
        <f t="shared" si="6"/>
        <v>54067.891499999998</v>
      </c>
      <c r="H100" s="16">
        <v>75336.02</v>
      </c>
      <c r="I100" s="17">
        <f t="shared" si="7"/>
        <v>4508860.7970000003</v>
      </c>
      <c r="J100" s="22" t="s">
        <v>13</v>
      </c>
      <c r="K100" s="23" t="s">
        <v>14</v>
      </c>
    </row>
    <row r="101" spans="1:11" ht="30" x14ac:dyDescent="0.25">
      <c r="A101" s="20">
        <f t="shared" si="8"/>
        <v>95</v>
      </c>
      <c r="B101" s="46">
        <v>46109</v>
      </c>
      <c r="C101" s="12">
        <v>8612391</v>
      </c>
      <c r="D101" s="13">
        <v>75260125</v>
      </c>
      <c r="E101" s="14">
        <v>60.6</v>
      </c>
      <c r="F101" s="21">
        <v>903.39</v>
      </c>
      <c r="G101" s="15">
        <f t="shared" si="6"/>
        <v>54745.434000000001</v>
      </c>
      <c r="H101" s="16">
        <v>75336.02</v>
      </c>
      <c r="I101" s="17">
        <f t="shared" si="7"/>
        <v>4565362.8119999999</v>
      </c>
      <c r="J101" s="22" t="s">
        <v>13</v>
      </c>
      <c r="K101" s="23" t="s">
        <v>14</v>
      </c>
    </row>
    <row r="102" spans="1:11" ht="30" x14ac:dyDescent="0.25">
      <c r="A102" s="20">
        <f t="shared" si="8"/>
        <v>96</v>
      </c>
      <c r="B102" s="46">
        <v>46109</v>
      </c>
      <c r="C102" s="12">
        <v>8612389</v>
      </c>
      <c r="D102" s="13">
        <v>75721993</v>
      </c>
      <c r="E102" s="14">
        <v>60.55</v>
      </c>
      <c r="F102" s="21">
        <v>903.39</v>
      </c>
      <c r="G102" s="15">
        <f t="shared" si="6"/>
        <v>54700.264499999997</v>
      </c>
      <c r="H102" s="16">
        <v>75336.02</v>
      </c>
      <c r="I102" s="17">
        <f t="shared" si="7"/>
        <v>4561596.0109999999</v>
      </c>
      <c r="J102" s="22" t="s">
        <v>13</v>
      </c>
      <c r="K102" s="23" t="s">
        <v>14</v>
      </c>
    </row>
    <row r="103" spans="1:11" ht="30" x14ac:dyDescent="0.25">
      <c r="A103" s="20">
        <f t="shared" si="8"/>
        <v>97</v>
      </c>
      <c r="B103" s="46">
        <v>46109</v>
      </c>
      <c r="C103" s="12">
        <v>8612390</v>
      </c>
      <c r="D103" s="13">
        <v>76527795</v>
      </c>
      <c r="E103" s="14">
        <v>60.6</v>
      </c>
      <c r="F103" s="21">
        <v>903.39</v>
      </c>
      <c r="G103" s="15">
        <f t="shared" si="6"/>
        <v>54745.434000000001</v>
      </c>
      <c r="H103" s="16">
        <v>75336.02</v>
      </c>
      <c r="I103" s="17">
        <f t="shared" si="7"/>
        <v>4565362.8119999999</v>
      </c>
      <c r="J103" s="22" t="s">
        <v>13</v>
      </c>
      <c r="K103" s="23" t="s">
        <v>14</v>
      </c>
    </row>
    <row r="104" spans="1:11" ht="30.75" thickBot="1" x14ac:dyDescent="0.3">
      <c r="A104" s="24">
        <f t="shared" si="8"/>
        <v>98</v>
      </c>
      <c r="B104" s="58">
        <v>46109</v>
      </c>
      <c r="C104" s="26">
        <v>8612390</v>
      </c>
      <c r="D104" s="27">
        <v>76575794</v>
      </c>
      <c r="E104" s="28">
        <v>60.65</v>
      </c>
      <c r="F104" s="21">
        <v>903.39</v>
      </c>
      <c r="G104" s="29">
        <f t="shared" si="6"/>
        <v>54790.603499999997</v>
      </c>
      <c r="H104" s="30">
        <v>75336.02</v>
      </c>
      <c r="I104" s="31">
        <f t="shared" si="7"/>
        <v>4569129.6129999999</v>
      </c>
      <c r="J104" s="32" t="s">
        <v>13</v>
      </c>
      <c r="K104" s="33" t="s">
        <v>14</v>
      </c>
    </row>
    <row r="105" spans="1:11" ht="15.75" thickBot="1" x14ac:dyDescent="0.3">
      <c r="A105" s="34"/>
      <c r="B105" s="35"/>
      <c r="C105" s="35"/>
      <c r="D105" s="35"/>
      <c r="E105" s="36"/>
      <c r="F105" s="36"/>
      <c r="G105" s="36"/>
      <c r="H105" s="36"/>
      <c r="I105" s="36"/>
      <c r="J105" s="36"/>
      <c r="K105" s="37"/>
    </row>
    <row r="106" spans="1:11" ht="30" x14ac:dyDescent="0.25">
      <c r="A106" s="38">
        <v>99</v>
      </c>
      <c r="B106" s="11">
        <v>46111</v>
      </c>
      <c r="C106" s="39">
        <v>8612472</v>
      </c>
      <c r="D106" s="40">
        <v>50414085</v>
      </c>
      <c r="E106" s="41">
        <v>60</v>
      </c>
      <c r="F106" s="15">
        <v>903.39</v>
      </c>
      <c r="G106" s="15">
        <f t="shared" ref="G106:G134" si="9">E106*F106</f>
        <v>54203.4</v>
      </c>
      <c r="H106" s="42">
        <v>75336.02</v>
      </c>
      <c r="I106" s="17">
        <f t="shared" ref="I106:I134" si="10">E106*H106</f>
        <v>4520161.2</v>
      </c>
      <c r="J106" s="43" t="s">
        <v>13</v>
      </c>
      <c r="K106" s="44" t="s">
        <v>14</v>
      </c>
    </row>
    <row r="107" spans="1:11" ht="30" x14ac:dyDescent="0.25">
      <c r="A107" s="45">
        <f>A106+1</f>
        <v>100</v>
      </c>
      <c r="B107" s="46">
        <v>46111</v>
      </c>
      <c r="C107" s="12">
        <v>8612471</v>
      </c>
      <c r="D107" s="13">
        <v>51528214</v>
      </c>
      <c r="E107" s="14">
        <v>51.75</v>
      </c>
      <c r="F107" s="21">
        <v>903.39</v>
      </c>
      <c r="G107" s="15">
        <f t="shared" si="9"/>
        <v>46750.432500000003</v>
      </c>
      <c r="H107" s="16">
        <v>75336.02</v>
      </c>
      <c r="I107" s="17">
        <f t="shared" si="10"/>
        <v>3898639.0350000001</v>
      </c>
      <c r="J107" s="22" t="s">
        <v>13</v>
      </c>
      <c r="K107" s="23" t="s">
        <v>14</v>
      </c>
    </row>
    <row r="108" spans="1:11" ht="30" x14ac:dyDescent="0.25">
      <c r="A108" s="45">
        <f t="shared" ref="A108:A134" si="11">A107+1</f>
        <v>101</v>
      </c>
      <c r="B108" s="46">
        <v>46111</v>
      </c>
      <c r="C108" s="12">
        <v>8612471</v>
      </c>
      <c r="D108" s="13">
        <v>73102147</v>
      </c>
      <c r="E108" s="14">
        <v>60.45</v>
      </c>
      <c r="F108" s="21">
        <v>903.39</v>
      </c>
      <c r="G108" s="15">
        <f t="shared" si="9"/>
        <v>54609.925500000005</v>
      </c>
      <c r="H108" s="16">
        <v>75336.02</v>
      </c>
      <c r="I108" s="17">
        <f t="shared" si="10"/>
        <v>4554062.4090000009</v>
      </c>
      <c r="J108" s="22" t="s">
        <v>13</v>
      </c>
      <c r="K108" s="23" t="s">
        <v>14</v>
      </c>
    </row>
    <row r="109" spans="1:11" ht="30" x14ac:dyDescent="0.25">
      <c r="A109" s="45">
        <f t="shared" si="11"/>
        <v>102</v>
      </c>
      <c r="B109" s="46">
        <v>46111</v>
      </c>
      <c r="C109" s="12">
        <v>8612471</v>
      </c>
      <c r="D109" s="13">
        <v>73126328</v>
      </c>
      <c r="E109" s="14">
        <v>60.5</v>
      </c>
      <c r="F109" s="21">
        <v>903.39</v>
      </c>
      <c r="G109" s="15">
        <f t="shared" si="9"/>
        <v>54655.095000000001</v>
      </c>
      <c r="H109" s="16">
        <v>75336.02</v>
      </c>
      <c r="I109" s="17">
        <f t="shared" si="10"/>
        <v>4557829.21</v>
      </c>
      <c r="J109" s="22" t="s">
        <v>13</v>
      </c>
      <c r="K109" s="23" t="s">
        <v>14</v>
      </c>
    </row>
    <row r="110" spans="1:11" ht="30" x14ac:dyDescent="0.25">
      <c r="A110" s="45">
        <f t="shared" si="11"/>
        <v>103</v>
      </c>
      <c r="B110" s="46">
        <v>46111</v>
      </c>
      <c r="C110" s="12">
        <v>8612472</v>
      </c>
      <c r="D110" s="13">
        <v>73135568</v>
      </c>
      <c r="E110" s="14">
        <v>60.45</v>
      </c>
      <c r="F110" s="21">
        <v>903.39</v>
      </c>
      <c r="G110" s="15">
        <f t="shared" si="9"/>
        <v>54609.925500000005</v>
      </c>
      <c r="H110" s="16">
        <v>75336.02</v>
      </c>
      <c r="I110" s="17">
        <f t="shared" si="10"/>
        <v>4554062.4090000009</v>
      </c>
      <c r="J110" s="22" t="s">
        <v>13</v>
      </c>
      <c r="K110" s="23" t="s">
        <v>14</v>
      </c>
    </row>
    <row r="111" spans="1:11" ht="30" x14ac:dyDescent="0.25">
      <c r="A111" s="45">
        <f t="shared" si="11"/>
        <v>104</v>
      </c>
      <c r="B111" s="46">
        <v>46111</v>
      </c>
      <c r="C111" s="12">
        <v>8612471</v>
      </c>
      <c r="D111" s="13">
        <v>73172983</v>
      </c>
      <c r="E111" s="14">
        <v>60.5</v>
      </c>
      <c r="F111" s="21">
        <v>903.39</v>
      </c>
      <c r="G111" s="15">
        <f t="shared" si="9"/>
        <v>54655.095000000001</v>
      </c>
      <c r="H111" s="16">
        <v>75336.02</v>
      </c>
      <c r="I111" s="17">
        <f t="shared" si="10"/>
        <v>4557829.21</v>
      </c>
      <c r="J111" s="22" t="s">
        <v>13</v>
      </c>
      <c r="K111" s="23" t="s">
        <v>14</v>
      </c>
    </row>
    <row r="112" spans="1:11" ht="30" x14ac:dyDescent="0.25">
      <c r="A112" s="45">
        <f t="shared" si="11"/>
        <v>105</v>
      </c>
      <c r="B112" s="46">
        <v>46111</v>
      </c>
      <c r="C112" s="12">
        <v>8612471</v>
      </c>
      <c r="D112" s="13">
        <v>73173650</v>
      </c>
      <c r="E112" s="14">
        <v>60.5</v>
      </c>
      <c r="F112" s="21">
        <v>903.39</v>
      </c>
      <c r="G112" s="15">
        <f t="shared" si="9"/>
        <v>54655.095000000001</v>
      </c>
      <c r="H112" s="16">
        <v>75336.02</v>
      </c>
      <c r="I112" s="17">
        <f t="shared" si="10"/>
        <v>4557829.21</v>
      </c>
      <c r="J112" s="22" t="s">
        <v>13</v>
      </c>
      <c r="K112" s="23" t="s">
        <v>14</v>
      </c>
    </row>
    <row r="113" spans="1:11" ht="30" x14ac:dyDescent="0.25">
      <c r="A113" s="45">
        <f t="shared" si="11"/>
        <v>106</v>
      </c>
      <c r="B113" s="46">
        <v>46111</v>
      </c>
      <c r="C113" s="12">
        <v>8612471</v>
      </c>
      <c r="D113" s="13">
        <v>73176737</v>
      </c>
      <c r="E113" s="14">
        <v>60.35</v>
      </c>
      <c r="F113" s="21">
        <v>903.39</v>
      </c>
      <c r="G113" s="15">
        <f t="shared" si="9"/>
        <v>54519.586499999998</v>
      </c>
      <c r="H113" s="16">
        <v>75336.02</v>
      </c>
      <c r="I113" s="17">
        <f t="shared" si="10"/>
        <v>4546528.807</v>
      </c>
      <c r="J113" s="22" t="s">
        <v>13</v>
      </c>
      <c r="K113" s="23" t="s">
        <v>14</v>
      </c>
    </row>
    <row r="114" spans="1:11" ht="30" x14ac:dyDescent="0.25">
      <c r="A114" s="45">
        <f t="shared" si="11"/>
        <v>107</v>
      </c>
      <c r="B114" s="46">
        <v>46111</v>
      </c>
      <c r="C114" s="12">
        <v>8612472</v>
      </c>
      <c r="D114" s="13">
        <v>73224552</v>
      </c>
      <c r="E114" s="14">
        <v>60.45</v>
      </c>
      <c r="F114" s="21">
        <v>903.39</v>
      </c>
      <c r="G114" s="15">
        <f t="shared" si="9"/>
        <v>54609.925500000005</v>
      </c>
      <c r="H114" s="16">
        <v>75336.02</v>
      </c>
      <c r="I114" s="17">
        <f t="shared" si="10"/>
        <v>4554062.4090000009</v>
      </c>
      <c r="J114" s="22" t="s">
        <v>13</v>
      </c>
      <c r="K114" s="23" t="s">
        <v>14</v>
      </c>
    </row>
    <row r="115" spans="1:11" ht="30" x14ac:dyDescent="0.25">
      <c r="A115" s="45">
        <f t="shared" si="11"/>
        <v>108</v>
      </c>
      <c r="B115" s="46">
        <v>46111</v>
      </c>
      <c r="C115" s="12">
        <v>8612472</v>
      </c>
      <c r="D115" s="13">
        <v>73224644</v>
      </c>
      <c r="E115" s="14">
        <v>60.5</v>
      </c>
      <c r="F115" s="21">
        <v>903.39</v>
      </c>
      <c r="G115" s="15">
        <f t="shared" si="9"/>
        <v>54655.095000000001</v>
      </c>
      <c r="H115" s="16">
        <v>75336.02</v>
      </c>
      <c r="I115" s="17">
        <f t="shared" si="10"/>
        <v>4557829.21</v>
      </c>
      <c r="J115" s="22" t="s">
        <v>13</v>
      </c>
      <c r="K115" s="23" t="s">
        <v>14</v>
      </c>
    </row>
    <row r="116" spans="1:11" ht="30" x14ac:dyDescent="0.25">
      <c r="A116" s="45">
        <f t="shared" si="11"/>
        <v>109</v>
      </c>
      <c r="B116" s="46">
        <v>46111</v>
      </c>
      <c r="C116" s="12">
        <v>8612472</v>
      </c>
      <c r="D116" s="13">
        <v>73228553</v>
      </c>
      <c r="E116" s="14">
        <v>60.55</v>
      </c>
      <c r="F116" s="21">
        <v>903.39</v>
      </c>
      <c r="G116" s="15">
        <f t="shared" si="9"/>
        <v>54700.264499999997</v>
      </c>
      <c r="H116" s="16">
        <v>75336.02</v>
      </c>
      <c r="I116" s="17">
        <f t="shared" si="10"/>
        <v>4561596.0109999999</v>
      </c>
      <c r="J116" s="22" t="s">
        <v>13</v>
      </c>
      <c r="K116" s="23" t="s">
        <v>14</v>
      </c>
    </row>
    <row r="117" spans="1:11" ht="30" x14ac:dyDescent="0.25">
      <c r="A117" s="45">
        <f t="shared" si="11"/>
        <v>110</v>
      </c>
      <c r="B117" s="46">
        <v>46111</v>
      </c>
      <c r="C117" s="12">
        <v>8612472</v>
      </c>
      <c r="D117" s="13">
        <v>75330027</v>
      </c>
      <c r="E117" s="14">
        <v>61</v>
      </c>
      <c r="F117" s="21">
        <v>903.39</v>
      </c>
      <c r="G117" s="15">
        <f t="shared" si="9"/>
        <v>55106.79</v>
      </c>
      <c r="H117" s="16">
        <v>75336.02</v>
      </c>
      <c r="I117" s="17">
        <f t="shared" si="10"/>
        <v>4595497.2200000007</v>
      </c>
      <c r="J117" s="22" t="s">
        <v>13</v>
      </c>
      <c r="K117" s="23" t="s">
        <v>14</v>
      </c>
    </row>
    <row r="118" spans="1:11" ht="30" x14ac:dyDescent="0.25">
      <c r="A118" s="45">
        <f t="shared" si="11"/>
        <v>111</v>
      </c>
      <c r="B118" s="46">
        <v>46111</v>
      </c>
      <c r="C118" s="12">
        <v>8612471</v>
      </c>
      <c r="D118" s="13">
        <v>75330035</v>
      </c>
      <c r="E118" s="14">
        <v>60.95</v>
      </c>
      <c r="F118" s="21">
        <v>903.39</v>
      </c>
      <c r="G118" s="15">
        <f t="shared" si="9"/>
        <v>55061.620500000005</v>
      </c>
      <c r="H118" s="16">
        <v>75336.02</v>
      </c>
      <c r="I118" s="17">
        <f t="shared" si="10"/>
        <v>4591730.4190000007</v>
      </c>
      <c r="J118" s="22" t="s">
        <v>13</v>
      </c>
      <c r="K118" s="23" t="s">
        <v>14</v>
      </c>
    </row>
    <row r="119" spans="1:11" ht="30" x14ac:dyDescent="0.25">
      <c r="A119" s="45">
        <f t="shared" si="11"/>
        <v>112</v>
      </c>
      <c r="B119" s="46">
        <v>46111</v>
      </c>
      <c r="C119" s="12">
        <v>8612472</v>
      </c>
      <c r="D119" s="13">
        <v>75330043</v>
      </c>
      <c r="E119" s="14">
        <v>61</v>
      </c>
      <c r="F119" s="21">
        <v>903.39</v>
      </c>
      <c r="G119" s="15">
        <f t="shared" si="9"/>
        <v>55106.79</v>
      </c>
      <c r="H119" s="16">
        <v>75336.02</v>
      </c>
      <c r="I119" s="17">
        <f t="shared" si="10"/>
        <v>4595497.2200000007</v>
      </c>
      <c r="J119" s="22" t="s">
        <v>13</v>
      </c>
      <c r="K119" s="23" t="s">
        <v>14</v>
      </c>
    </row>
    <row r="120" spans="1:11" ht="30" x14ac:dyDescent="0.25">
      <c r="A120" s="45">
        <f t="shared" si="11"/>
        <v>113</v>
      </c>
      <c r="B120" s="46">
        <v>46111</v>
      </c>
      <c r="C120" s="12">
        <v>8612472</v>
      </c>
      <c r="D120" s="13">
        <v>75330100</v>
      </c>
      <c r="E120" s="14">
        <v>61</v>
      </c>
      <c r="F120" s="21">
        <v>903.39</v>
      </c>
      <c r="G120" s="15">
        <f t="shared" si="9"/>
        <v>55106.79</v>
      </c>
      <c r="H120" s="16">
        <v>75336.02</v>
      </c>
      <c r="I120" s="17">
        <f t="shared" si="10"/>
        <v>4595497.2200000007</v>
      </c>
      <c r="J120" s="22" t="s">
        <v>13</v>
      </c>
      <c r="K120" s="23" t="s">
        <v>14</v>
      </c>
    </row>
    <row r="121" spans="1:11" ht="30" x14ac:dyDescent="0.25">
      <c r="A121" s="45">
        <f t="shared" si="11"/>
        <v>114</v>
      </c>
      <c r="B121" s="46">
        <v>46111</v>
      </c>
      <c r="C121" s="12">
        <v>8612472</v>
      </c>
      <c r="D121" s="13">
        <v>75330126</v>
      </c>
      <c r="E121" s="14">
        <v>60.95</v>
      </c>
      <c r="F121" s="21">
        <v>903.39</v>
      </c>
      <c r="G121" s="15">
        <f t="shared" si="9"/>
        <v>55061.620500000005</v>
      </c>
      <c r="H121" s="16">
        <v>75336.02</v>
      </c>
      <c r="I121" s="17">
        <f t="shared" si="10"/>
        <v>4591730.4190000007</v>
      </c>
      <c r="J121" s="22" t="s">
        <v>13</v>
      </c>
      <c r="K121" s="23" t="s">
        <v>14</v>
      </c>
    </row>
    <row r="122" spans="1:11" ht="30" x14ac:dyDescent="0.25">
      <c r="A122" s="45">
        <f t="shared" si="11"/>
        <v>115</v>
      </c>
      <c r="B122" s="46">
        <v>46111</v>
      </c>
      <c r="C122" s="12">
        <v>8612471</v>
      </c>
      <c r="D122" s="13">
        <v>75330167</v>
      </c>
      <c r="E122" s="14">
        <v>61</v>
      </c>
      <c r="F122" s="21">
        <v>903.39</v>
      </c>
      <c r="G122" s="15">
        <f t="shared" si="9"/>
        <v>55106.79</v>
      </c>
      <c r="H122" s="16">
        <v>75336.02</v>
      </c>
      <c r="I122" s="17">
        <f t="shared" si="10"/>
        <v>4595497.2200000007</v>
      </c>
      <c r="J122" s="22" t="s">
        <v>13</v>
      </c>
      <c r="K122" s="23" t="s">
        <v>14</v>
      </c>
    </row>
    <row r="123" spans="1:11" ht="30" x14ac:dyDescent="0.25">
      <c r="A123" s="45">
        <f t="shared" si="11"/>
        <v>116</v>
      </c>
      <c r="B123" s="46">
        <v>46111</v>
      </c>
      <c r="C123" s="12">
        <v>8612471</v>
      </c>
      <c r="D123" s="13">
        <v>75330217</v>
      </c>
      <c r="E123" s="14">
        <v>60.95</v>
      </c>
      <c r="F123" s="21">
        <v>903.39</v>
      </c>
      <c r="G123" s="15">
        <f t="shared" si="9"/>
        <v>55061.620500000005</v>
      </c>
      <c r="H123" s="16">
        <v>75336.02</v>
      </c>
      <c r="I123" s="17">
        <f t="shared" si="10"/>
        <v>4591730.4190000007</v>
      </c>
      <c r="J123" s="22" t="s">
        <v>13</v>
      </c>
      <c r="K123" s="23" t="s">
        <v>14</v>
      </c>
    </row>
    <row r="124" spans="1:11" ht="30" x14ac:dyDescent="0.25">
      <c r="A124" s="45">
        <f t="shared" si="11"/>
        <v>117</v>
      </c>
      <c r="B124" s="46">
        <v>46111</v>
      </c>
      <c r="C124" s="12">
        <v>8612472</v>
      </c>
      <c r="D124" s="13">
        <v>75330233</v>
      </c>
      <c r="E124" s="14">
        <v>60.6</v>
      </c>
      <c r="F124" s="21">
        <v>903.39</v>
      </c>
      <c r="G124" s="15">
        <f t="shared" si="9"/>
        <v>54745.434000000001</v>
      </c>
      <c r="H124" s="16">
        <v>75336.02</v>
      </c>
      <c r="I124" s="17">
        <f t="shared" si="10"/>
        <v>4565362.8119999999</v>
      </c>
      <c r="J124" s="22" t="s">
        <v>13</v>
      </c>
      <c r="K124" s="23" t="s">
        <v>14</v>
      </c>
    </row>
    <row r="125" spans="1:11" ht="30" x14ac:dyDescent="0.25">
      <c r="A125" s="45">
        <f t="shared" si="11"/>
        <v>118</v>
      </c>
      <c r="B125" s="46">
        <v>46111</v>
      </c>
      <c r="C125" s="12">
        <v>8612471</v>
      </c>
      <c r="D125" s="13">
        <v>75330258</v>
      </c>
      <c r="E125" s="14">
        <v>60.9</v>
      </c>
      <c r="F125" s="21">
        <v>903.39</v>
      </c>
      <c r="G125" s="15">
        <f t="shared" si="9"/>
        <v>55016.451000000001</v>
      </c>
      <c r="H125" s="16">
        <v>75336.02</v>
      </c>
      <c r="I125" s="17">
        <f t="shared" si="10"/>
        <v>4587963.6179999998</v>
      </c>
      <c r="J125" s="22" t="s">
        <v>13</v>
      </c>
      <c r="K125" s="23" t="s">
        <v>14</v>
      </c>
    </row>
    <row r="126" spans="1:11" ht="30" x14ac:dyDescent="0.25">
      <c r="A126" s="45">
        <f t="shared" si="11"/>
        <v>119</v>
      </c>
      <c r="B126" s="46">
        <v>46111</v>
      </c>
      <c r="C126" s="12">
        <v>8612471</v>
      </c>
      <c r="D126" s="13">
        <v>75330266</v>
      </c>
      <c r="E126" s="14">
        <v>60.9</v>
      </c>
      <c r="F126" s="21">
        <v>903.39</v>
      </c>
      <c r="G126" s="15">
        <f t="shared" si="9"/>
        <v>55016.451000000001</v>
      </c>
      <c r="H126" s="16">
        <v>75336.02</v>
      </c>
      <c r="I126" s="17">
        <f t="shared" si="10"/>
        <v>4587963.6179999998</v>
      </c>
      <c r="J126" s="22" t="s">
        <v>13</v>
      </c>
      <c r="K126" s="23" t="s">
        <v>14</v>
      </c>
    </row>
    <row r="127" spans="1:11" ht="30" x14ac:dyDescent="0.25">
      <c r="A127" s="45">
        <f t="shared" si="11"/>
        <v>120</v>
      </c>
      <c r="B127" s="46">
        <v>46111</v>
      </c>
      <c r="C127" s="12">
        <v>8612472</v>
      </c>
      <c r="D127" s="13">
        <v>75330324</v>
      </c>
      <c r="E127" s="14">
        <v>60.95</v>
      </c>
      <c r="F127" s="21">
        <v>903.39</v>
      </c>
      <c r="G127" s="15">
        <f t="shared" si="9"/>
        <v>55061.620500000005</v>
      </c>
      <c r="H127" s="16">
        <v>75336.02</v>
      </c>
      <c r="I127" s="17">
        <f t="shared" si="10"/>
        <v>4591730.4190000007</v>
      </c>
      <c r="J127" s="22" t="s">
        <v>13</v>
      </c>
      <c r="K127" s="23" t="s">
        <v>14</v>
      </c>
    </row>
    <row r="128" spans="1:11" ht="30" x14ac:dyDescent="0.25">
      <c r="A128" s="45">
        <f t="shared" si="11"/>
        <v>121</v>
      </c>
      <c r="B128" s="46">
        <v>46111</v>
      </c>
      <c r="C128" s="12">
        <v>8612472</v>
      </c>
      <c r="D128" s="13">
        <v>75330357</v>
      </c>
      <c r="E128" s="14">
        <v>61</v>
      </c>
      <c r="F128" s="21">
        <v>903.39</v>
      </c>
      <c r="G128" s="15">
        <f t="shared" si="9"/>
        <v>55106.79</v>
      </c>
      <c r="H128" s="16">
        <v>75336.02</v>
      </c>
      <c r="I128" s="17">
        <f t="shared" si="10"/>
        <v>4595497.2200000007</v>
      </c>
      <c r="J128" s="22" t="s">
        <v>13</v>
      </c>
      <c r="K128" s="23" t="s">
        <v>14</v>
      </c>
    </row>
    <row r="129" spans="1:11" ht="30" x14ac:dyDescent="0.25">
      <c r="A129" s="45">
        <f t="shared" si="11"/>
        <v>122</v>
      </c>
      <c r="B129" s="46">
        <v>46111</v>
      </c>
      <c r="C129" s="12">
        <v>8612471</v>
      </c>
      <c r="D129" s="13">
        <v>75330373</v>
      </c>
      <c r="E129" s="14">
        <v>60.95</v>
      </c>
      <c r="F129" s="21">
        <v>903.39</v>
      </c>
      <c r="G129" s="15">
        <f t="shared" si="9"/>
        <v>55061.620500000005</v>
      </c>
      <c r="H129" s="16">
        <v>75336.02</v>
      </c>
      <c r="I129" s="17">
        <f t="shared" si="10"/>
        <v>4591730.4190000007</v>
      </c>
      <c r="J129" s="22" t="s">
        <v>13</v>
      </c>
      <c r="K129" s="23" t="s">
        <v>14</v>
      </c>
    </row>
    <row r="130" spans="1:11" ht="30" x14ac:dyDescent="0.25">
      <c r="A130" s="45">
        <f t="shared" si="11"/>
        <v>123</v>
      </c>
      <c r="B130" s="46">
        <v>46111</v>
      </c>
      <c r="C130" s="12">
        <v>8612471</v>
      </c>
      <c r="D130" s="13">
        <v>75330464</v>
      </c>
      <c r="E130" s="14">
        <v>60.95</v>
      </c>
      <c r="F130" s="21">
        <v>903.39</v>
      </c>
      <c r="G130" s="15">
        <f t="shared" si="9"/>
        <v>55061.620500000005</v>
      </c>
      <c r="H130" s="16">
        <v>75336.02</v>
      </c>
      <c r="I130" s="17">
        <f t="shared" si="10"/>
        <v>4591730.4190000007</v>
      </c>
      <c r="J130" s="22" t="s">
        <v>13</v>
      </c>
      <c r="K130" s="23" t="s">
        <v>14</v>
      </c>
    </row>
    <row r="131" spans="1:11" ht="30" x14ac:dyDescent="0.25">
      <c r="A131" s="45">
        <f t="shared" si="11"/>
        <v>124</v>
      </c>
      <c r="B131" s="46">
        <v>46111</v>
      </c>
      <c r="C131" s="12">
        <v>8612472</v>
      </c>
      <c r="D131" s="13">
        <v>75330522</v>
      </c>
      <c r="E131" s="14">
        <v>61.05</v>
      </c>
      <c r="F131" s="21">
        <v>903.39</v>
      </c>
      <c r="G131" s="15">
        <f t="shared" si="9"/>
        <v>55151.959499999997</v>
      </c>
      <c r="H131" s="16">
        <v>75336.02</v>
      </c>
      <c r="I131" s="17">
        <f t="shared" si="10"/>
        <v>4599264.0209999997</v>
      </c>
      <c r="J131" s="22" t="s">
        <v>13</v>
      </c>
      <c r="K131" s="23" t="s">
        <v>14</v>
      </c>
    </row>
    <row r="132" spans="1:11" ht="30" x14ac:dyDescent="0.25">
      <c r="A132" s="45">
        <f t="shared" si="11"/>
        <v>125</v>
      </c>
      <c r="B132" s="46">
        <v>46111</v>
      </c>
      <c r="C132" s="12">
        <v>8612472</v>
      </c>
      <c r="D132" s="13">
        <v>75332262</v>
      </c>
      <c r="E132" s="14">
        <v>60.9</v>
      </c>
      <c r="F132" s="21">
        <v>903.39</v>
      </c>
      <c r="G132" s="15">
        <f t="shared" si="9"/>
        <v>55016.451000000001</v>
      </c>
      <c r="H132" s="16">
        <v>75336.02</v>
      </c>
      <c r="I132" s="17">
        <f t="shared" si="10"/>
        <v>4587963.6179999998</v>
      </c>
      <c r="J132" s="22" t="s">
        <v>13</v>
      </c>
      <c r="K132" s="23" t="s">
        <v>14</v>
      </c>
    </row>
    <row r="133" spans="1:11" ht="30" x14ac:dyDescent="0.25">
      <c r="A133" s="45">
        <f t="shared" si="11"/>
        <v>126</v>
      </c>
      <c r="B133" s="46">
        <v>46111</v>
      </c>
      <c r="C133" s="12">
        <v>8612472</v>
      </c>
      <c r="D133" s="13">
        <v>76505999</v>
      </c>
      <c r="E133" s="14">
        <v>60.85</v>
      </c>
      <c r="F133" s="21">
        <v>903.39</v>
      </c>
      <c r="G133" s="15">
        <f t="shared" si="9"/>
        <v>54971.281499999997</v>
      </c>
      <c r="H133" s="16">
        <v>75336.02</v>
      </c>
      <c r="I133" s="17">
        <f t="shared" si="10"/>
        <v>4584196.8170000007</v>
      </c>
      <c r="J133" s="22" t="s">
        <v>13</v>
      </c>
      <c r="K133" s="23" t="s">
        <v>14</v>
      </c>
    </row>
    <row r="134" spans="1:11" ht="30.75" thickBot="1" x14ac:dyDescent="0.3">
      <c r="A134" s="47">
        <f t="shared" si="11"/>
        <v>127</v>
      </c>
      <c r="B134" s="48">
        <v>46111</v>
      </c>
      <c r="C134" s="49">
        <v>8612472</v>
      </c>
      <c r="D134" s="50">
        <v>76566595</v>
      </c>
      <c r="E134" s="14">
        <v>60.75</v>
      </c>
      <c r="F134" s="21">
        <v>903.39</v>
      </c>
      <c r="G134" s="52">
        <f t="shared" si="9"/>
        <v>54880.942499999997</v>
      </c>
      <c r="H134" s="53">
        <v>75336.02</v>
      </c>
      <c r="I134" s="54">
        <f t="shared" si="10"/>
        <v>4576663.2149999999</v>
      </c>
      <c r="J134" s="55" t="s">
        <v>13</v>
      </c>
      <c r="K134" s="56" t="s">
        <v>14</v>
      </c>
    </row>
    <row r="135" spans="1:11" ht="15.75" thickBot="1" x14ac:dyDescent="0.3">
      <c r="A135" s="59"/>
      <c r="B135" s="60"/>
      <c r="C135" s="60"/>
      <c r="D135" s="60"/>
      <c r="E135" s="61"/>
      <c r="F135" s="61"/>
      <c r="G135" s="61"/>
      <c r="H135" s="61"/>
      <c r="I135" s="61"/>
      <c r="J135" s="61"/>
      <c r="K135" s="62"/>
    </row>
    <row r="136" spans="1:11" ht="30" x14ac:dyDescent="0.25">
      <c r="A136" s="63">
        <v>128</v>
      </c>
      <c r="B136" s="64">
        <v>46112</v>
      </c>
      <c r="C136" s="65">
        <v>8612494</v>
      </c>
      <c r="D136" s="66">
        <v>51498186</v>
      </c>
      <c r="E136" s="67">
        <v>50.8</v>
      </c>
      <c r="F136" s="68">
        <v>903.39</v>
      </c>
      <c r="G136" s="68">
        <f t="shared" ref="G136:G146" si="12">E136*F136</f>
        <v>45892.212</v>
      </c>
      <c r="H136" s="69">
        <v>75336.02</v>
      </c>
      <c r="I136" s="70">
        <f t="shared" ref="I136:I146" si="13">E136*H136</f>
        <v>3827069.8160000001</v>
      </c>
      <c r="J136" s="71" t="s">
        <v>13</v>
      </c>
      <c r="K136" s="72" t="s">
        <v>14</v>
      </c>
    </row>
    <row r="137" spans="1:11" ht="30" x14ac:dyDescent="0.25">
      <c r="A137" s="45">
        <f>A136+1</f>
        <v>129</v>
      </c>
      <c r="B137" s="46">
        <v>46112</v>
      </c>
      <c r="C137" s="12">
        <v>8612495</v>
      </c>
      <c r="D137" s="13">
        <v>54243985</v>
      </c>
      <c r="E137" s="14">
        <v>60.4</v>
      </c>
      <c r="F137" s="21">
        <v>903.39</v>
      </c>
      <c r="G137" s="21">
        <f t="shared" si="12"/>
        <v>54564.756000000001</v>
      </c>
      <c r="H137" s="16">
        <v>75336.02</v>
      </c>
      <c r="I137" s="73">
        <f t="shared" si="13"/>
        <v>4550295.608</v>
      </c>
      <c r="J137" s="22" t="s">
        <v>13</v>
      </c>
      <c r="K137" s="23" t="s">
        <v>14</v>
      </c>
    </row>
    <row r="138" spans="1:11" ht="30" x14ac:dyDescent="0.25">
      <c r="A138" s="45">
        <f t="shared" ref="A138:A146" si="14">A137+1</f>
        <v>130</v>
      </c>
      <c r="B138" s="46">
        <v>46112</v>
      </c>
      <c r="C138" s="12">
        <v>8612496</v>
      </c>
      <c r="D138" s="13">
        <v>58708462</v>
      </c>
      <c r="E138" s="14">
        <v>60.6</v>
      </c>
      <c r="F138" s="21">
        <v>903.39</v>
      </c>
      <c r="G138" s="21">
        <f t="shared" si="12"/>
        <v>54745.434000000001</v>
      </c>
      <c r="H138" s="16">
        <v>75336.02</v>
      </c>
      <c r="I138" s="73">
        <f t="shared" si="13"/>
        <v>4565362.8119999999</v>
      </c>
      <c r="J138" s="22" t="s">
        <v>13</v>
      </c>
      <c r="K138" s="23" t="s">
        <v>14</v>
      </c>
    </row>
    <row r="139" spans="1:11" ht="30" x14ac:dyDescent="0.25">
      <c r="A139" s="45">
        <f t="shared" si="14"/>
        <v>131</v>
      </c>
      <c r="B139" s="46">
        <v>46112</v>
      </c>
      <c r="C139" s="12">
        <v>8612494</v>
      </c>
      <c r="D139" s="13">
        <v>73007742</v>
      </c>
      <c r="E139" s="14">
        <v>60.65</v>
      </c>
      <c r="F139" s="21">
        <v>903.39</v>
      </c>
      <c r="G139" s="21">
        <f t="shared" si="12"/>
        <v>54790.603499999997</v>
      </c>
      <c r="H139" s="16">
        <v>75336.02</v>
      </c>
      <c r="I139" s="73">
        <f t="shared" si="13"/>
        <v>4569129.6129999999</v>
      </c>
      <c r="J139" s="22" t="s">
        <v>13</v>
      </c>
      <c r="K139" s="23" t="s">
        <v>14</v>
      </c>
    </row>
    <row r="140" spans="1:11" ht="30" x14ac:dyDescent="0.25">
      <c r="A140" s="45">
        <f t="shared" si="14"/>
        <v>132</v>
      </c>
      <c r="B140" s="46">
        <v>46112</v>
      </c>
      <c r="C140" s="12">
        <v>8612494</v>
      </c>
      <c r="D140" s="13">
        <v>73034662</v>
      </c>
      <c r="E140" s="14">
        <v>60.4</v>
      </c>
      <c r="F140" s="21">
        <v>903.39</v>
      </c>
      <c r="G140" s="21">
        <f t="shared" si="12"/>
        <v>54564.756000000001</v>
      </c>
      <c r="H140" s="16">
        <v>75336.02</v>
      </c>
      <c r="I140" s="73">
        <f t="shared" si="13"/>
        <v>4550295.608</v>
      </c>
      <c r="J140" s="22" t="s">
        <v>13</v>
      </c>
      <c r="K140" s="23" t="s">
        <v>14</v>
      </c>
    </row>
    <row r="141" spans="1:11" ht="30" x14ac:dyDescent="0.25">
      <c r="A141" s="45">
        <f t="shared" si="14"/>
        <v>133</v>
      </c>
      <c r="B141" s="46">
        <v>46112</v>
      </c>
      <c r="C141" s="12">
        <v>8612494</v>
      </c>
      <c r="D141" s="13">
        <v>73065823</v>
      </c>
      <c r="E141" s="14">
        <v>60.35</v>
      </c>
      <c r="F141" s="21">
        <v>903.39</v>
      </c>
      <c r="G141" s="21">
        <f t="shared" si="12"/>
        <v>54519.586499999998</v>
      </c>
      <c r="H141" s="16">
        <v>75336.02</v>
      </c>
      <c r="I141" s="73">
        <f t="shared" si="13"/>
        <v>4546528.807</v>
      </c>
      <c r="J141" s="22" t="s">
        <v>13</v>
      </c>
      <c r="K141" s="23" t="s">
        <v>14</v>
      </c>
    </row>
    <row r="142" spans="1:11" ht="30" x14ac:dyDescent="0.25">
      <c r="A142" s="45">
        <f t="shared" si="14"/>
        <v>134</v>
      </c>
      <c r="B142" s="46">
        <v>46112</v>
      </c>
      <c r="C142" s="12">
        <v>8612494</v>
      </c>
      <c r="D142" s="13">
        <v>73081838</v>
      </c>
      <c r="E142" s="14">
        <v>60.6</v>
      </c>
      <c r="F142" s="21">
        <v>903.39</v>
      </c>
      <c r="G142" s="21">
        <f t="shared" si="12"/>
        <v>54745.434000000001</v>
      </c>
      <c r="H142" s="16">
        <v>75336.02</v>
      </c>
      <c r="I142" s="73">
        <f t="shared" si="13"/>
        <v>4565362.8119999999</v>
      </c>
      <c r="J142" s="22" t="s">
        <v>13</v>
      </c>
      <c r="K142" s="23" t="s">
        <v>14</v>
      </c>
    </row>
    <row r="143" spans="1:11" ht="30" x14ac:dyDescent="0.25">
      <c r="A143" s="45">
        <f t="shared" si="14"/>
        <v>135</v>
      </c>
      <c r="B143" s="46">
        <v>46112</v>
      </c>
      <c r="C143" s="12">
        <v>8612494</v>
      </c>
      <c r="D143" s="13">
        <v>73113557</v>
      </c>
      <c r="E143" s="14">
        <v>60.4</v>
      </c>
      <c r="F143" s="21">
        <v>903.39</v>
      </c>
      <c r="G143" s="21">
        <f t="shared" si="12"/>
        <v>54564.756000000001</v>
      </c>
      <c r="H143" s="16">
        <v>75336.02</v>
      </c>
      <c r="I143" s="73">
        <f t="shared" si="13"/>
        <v>4550295.608</v>
      </c>
      <c r="J143" s="22" t="s">
        <v>13</v>
      </c>
      <c r="K143" s="23" t="s">
        <v>14</v>
      </c>
    </row>
    <row r="144" spans="1:11" ht="30" x14ac:dyDescent="0.25">
      <c r="A144" s="45">
        <f t="shared" si="14"/>
        <v>136</v>
      </c>
      <c r="B144" s="46">
        <v>46112</v>
      </c>
      <c r="C144" s="12">
        <v>8612494</v>
      </c>
      <c r="D144" s="13">
        <v>73165417</v>
      </c>
      <c r="E144" s="14">
        <v>60.75</v>
      </c>
      <c r="F144" s="21">
        <v>903.39</v>
      </c>
      <c r="G144" s="21">
        <f t="shared" si="12"/>
        <v>54880.942499999997</v>
      </c>
      <c r="H144" s="16">
        <v>75336.02</v>
      </c>
      <c r="I144" s="73">
        <f t="shared" si="13"/>
        <v>4576663.2149999999</v>
      </c>
      <c r="J144" s="22" t="s">
        <v>13</v>
      </c>
      <c r="K144" s="23" t="s">
        <v>14</v>
      </c>
    </row>
    <row r="145" spans="1:11" ht="30" x14ac:dyDescent="0.25">
      <c r="A145" s="45">
        <f t="shared" si="14"/>
        <v>137</v>
      </c>
      <c r="B145" s="46">
        <v>46112</v>
      </c>
      <c r="C145" s="12">
        <v>8612494</v>
      </c>
      <c r="D145" s="13">
        <v>75330514</v>
      </c>
      <c r="E145" s="14">
        <v>61.15</v>
      </c>
      <c r="F145" s="21">
        <v>903.39</v>
      </c>
      <c r="G145" s="21">
        <f t="shared" si="12"/>
        <v>55242.298499999997</v>
      </c>
      <c r="H145" s="16">
        <v>75336.02</v>
      </c>
      <c r="I145" s="73">
        <f t="shared" si="13"/>
        <v>4606797.6230000006</v>
      </c>
      <c r="J145" s="22" t="s">
        <v>13</v>
      </c>
      <c r="K145" s="23" t="s">
        <v>14</v>
      </c>
    </row>
    <row r="146" spans="1:11" ht="30.75" thickBot="1" x14ac:dyDescent="0.3">
      <c r="A146" s="47">
        <f t="shared" si="14"/>
        <v>138</v>
      </c>
      <c r="B146" s="48">
        <v>46112</v>
      </c>
      <c r="C146" s="49">
        <v>8612494</v>
      </c>
      <c r="D146" s="50">
        <v>76982495</v>
      </c>
      <c r="E146" s="51">
        <v>61</v>
      </c>
      <c r="F146" s="74">
        <v>903.39</v>
      </c>
      <c r="G146" s="74">
        <f t="shared" si="12"/>
        <v>55106.79</v>
      </c>
      <c r="H146" s="53">
        <v>75336.02</v>
      </c>
      <c r="I146" s="75">
        <f t="shared" si="13"/>
        <v>4595497.2200000007</v>
      </c>
      <c r="J146" s="55" t="s">
        <v>13</v>
      </c>
      <c r="K146" s="56" t="s">
        <v>14</v>
      </c>
    </row>
    <row r="147" spans="1:11" ht="15.75" thickBot="1" x14ac:dyDescent="0.3">
      <c r="A147" s="34"/>
      <c r="B147" s="35"/>
      <c r="C147" s="35"/>
      <c r="D147" s="35"/>
      <c r="E147" s="36"/>
      <c r="F147" s="36"/>
      <c r="G147" s="36"/>
      <c r="H147" s="36"/>
      <c r="I147" s="36"/>
      <c r="J147" s="36"/>
      <c r="K147" s="57"/>
    </row>
    <row r="148" spans="1:11" ht="30" x14ac:dyDescent="0.25">
      <c r="A148" s="76">
        <v>139</v>
      </c>
      <c r="B148" s="77">
        <v>46113</v>
      </c>
      <c r="C148" s="65">
        <v>8612511</v>
      </c>
      <c r="D148" s="66">
        <v>51230274</v>
      </c>
      <c r="E148" s="67">
        <v>60.05</v>
      </c>
      <c r="F148" s="68">
        <v>903.39</v>
      </c>
      <c r="G148" s="68">
        <f t="shared" ref="G148:G158" si="15">E148*F148</f>
        <v>54248.569499999998</v>
      </c>
      <c r="H148" s="69">
        <v>75336.02</v>
      </c>
      <c r="I148" s="70">
        <f t="shared" ref="I148:I158" si="16">E148*H148</f>
        <v>4523928.0010000002</v>
      </c>
      <c r="J148" s="71" t="s">
        <v>13</v>
      </c>
      <c r="K148" s="72" t="s">
        <v>14</v>
      </c>
    </row>
    <row r="149" spans="1:11" ht="30" x14ac:dyDescent="0.25">
      <c r="A149" s="45">
        <f>A148+1</f>
        <v>140</v>
      </c>
      <c r="B149" s="46">
        <v>46113</v>
      </c>
      <c r="C149" s="12">
        <v>8612516</v>
      </c>
      <c r="D149" s="13">
        <v>51457430</v>
      </c>
      <c r="E149" s="14">
        <v>59.9</v>
      </c>
      <c r="F149" s="21">
        <v>903.39</v>
      </c>
      <c r="G149" s="21">
        <f t="shared" si="15"/>
        <v>54113.061000000002</v>
      </c>
      <c r="H149" s="16">
        <v>75336.02</v>
      </c>
      <c r="I149" s="73">
        <f t="shared" si="16"/>
        <v>4512627.5980000002</v>
      </c>
      <c r="J149" s="22" t="s">
        <v>13</v>
      </c>
      <c r="K149" s="23" t="s">
        <v>14</v>
      </c>
    </row>
    <row r="150" spans="1:11" ht="30" x14ac:dyDescent="0.25">
      <c r="A150" s="45">
        <f t="shared" ref="A150:A158" si="17">A149+1</f>
        <v>141</v>
      </c>
      <c r="B150" s="46">
        <v>46113</v>
      </c>
      <c r="C150" s="12">
        <v>8612514</v>
      </c>
      <c r="D150" s="13">
        <v>51680908</v>
      </c>
      <c r="E150" s="14">
        <v>51.95</v>
      </c>
      <c r="F150" s="21">
        <v>903.39</v>
      </c>
      <c r="G150" s="21">
        <f t="shared" si="15"/>
        <v>46931.110500000003</v>
      </c>
      <c r="H150" s="16">
        <v>75336.02</v>
      </c>
      <c r="I150" s="73">
        <f t="shared" si="16"/>
        <v>3913706.2390000005</v>
      </c>
      <c r="J150" s="22" t="s">
        <v>13</v>
      </c>
      <c r="K150" s="23" t="s">
        <v>14</v>
      </c>
    </row>
    <row r="151" spans="1:11" ht="30" x14ac:dyDescent="0.25">
      <c r="A151" s="45">
        <f t="shared" si="17"/>
        <v>142</v>
      </c>
      <c r="B151" s="46">
        <v>46113</v>
      </c>
      <c r="C151" s="12">
        <v>8612512</v>
      </c>
      <c r="D151" s="13">
        <v>54092978</v>
      </c>
      <c r="E151" s="14">
        <v>60.15</v>
      </c>
      <c r="F151" s="21">
        <v>903.39</v>
      </c>
      <c r="G151" s="21">
        <f t="shared" si="15"/>
        <v>54338.908499999998</v>
      </c>
      <c r="H151" s="16">
        <v>75336.02</v>
      </c>
      <c r="I151" s="73">
        <f t="shared" si="16"/>
        <v>4531461.6030000001</v>
      </c>
      <c r="J151" s="22" t="s">
        <v>13</v>
      </c>
      <c r="K151" s="23" t="s">
        <v>14</v>
      </c>
    </row>
    <row r="152" spans="1:11" ht="30" x14ac:dyDescent="0.25">
      <c r="A152" s="45">
        <f t="shared" si="17"/>
        <v>143</v>
      </c>
      <c r="B152" s="46">
        <v>46113</v>
      </c>
      <c r="C152" s="12">
        <v>8612510</v>
      </c>
      <c r="D152" s="13">
        <v>54095138</v>
      </c>
      <c r="E152" s="14">
        <v>59.95</v>
      </c>
      <c r="F152" s="21">
        <v>903.39</v>
      </c>
      <c r="G152" s="21">
        <f t="shared" si="15"/>
        <v>54158.230500000005</v>
      </c>
      <c r="H152" s="16">
        <v>75336.02</v>
      </c>
      <c r="I152" s="73">
        <f t="shared" si="16"/>
        <v>4516394.3990000002</v>
      </c>
      <c r="J152" s="22" t="s">
        <v>13</v>
      </c>
      <c r="K152" s="23" t="s">
        <v>14</v>
      </c>
    </row>
    <row r="153" spans="1:11" ht="30" x14ac:dyDescent="0.25">
      <c r="A153" s="45">
        <f t="shared" si="17"/>
        <v>144</v>
      </c>
      <c r="B153" s="46">
        <v>46113</v>
      </c>
      <c r="C153" s="12">
        <v>8612512</v>
      </c>
      <c r="D153" s="13">
        <v>57907479</v>
      </c>
      <c r="E153" s="14">
        <v>60.15</v>
      </c>
      <c r="F153" s="21">
        <v>903.39</v>
      </c>
      <c r="G153" s="21">
        <f t="shared" si="15"/>
        <v>54338.908499999998</v>
      </c>
      <c r="H153" s="16">
        <v>75336.02</v>
      </c>
      <c r="I153" s="73">
        <f t="shared" si="16"/>
        <v>4531461.6030000001</v>
      </c>
      <c r="J153" s="22" t="s">
        <v>13</v>
      </c>
      <c r="K153" s="23" t="s">
        <v>14</v>
      </c>
    </row>
    <row r="154" spans="1:11" ht="30" x14ac:dyDescent="0.25">
      <c r="A154" s="45">
        <f t="shared" si="17"/>
        <v>145</v>
      </c>
      <c r="B154" s="46">
        <v>46113</v>
      </c>
      <c r="C154" s="12">
        <v>8612512</v>
      </c>
      <c r="D154" s="13">
        <v>73228447</v>
      </c>
      <c r="E154" s="14">
        <v>60.45</v>
      </c>
      <c r="F154" s="21">
        <v>903.39</v>
      </c>
      <c r="G154" s="21">
        <f t="shared" si="15"/>
        <v>54609.925500000005</v>
      </c>
      <c r="H154" s="16">
        <v>75336.02</v>
      </c>
      <c r="I154" s="73">
        <f t="shared" si="16"/>
        <v>4554062.4090000009</v>
      </c>
      <c r="J154" s="22" t="s">
        <v>13</v>
      </c>
      <c r="K154" s="23" t="s">
        <v>14</v>
      </c>
    </row>
    <row r="155" spans="1:11" ht="30" x14ac:dyDescent="0.25">
      <c r="A155" s="45">
        <f t="shared" si="17"/>
        <v>146</v>
      </c>
      <c r="B155" s="46">
        <v>46113</v>
      </c>
      <c r="C155" s="12">
        <v>8612512</v>
      </c>
      <c r="D155" s="13">
        <v>73236077</v>
      </c>
      <c r="E155" s="14">
        <v>60.55</v>
      </c>
      <c r="F155" s="21">
        <v>903.39</v>
      </c>
      <c r="G155" s="21">
        <f t="shared" si="15"/>
        <v>54700.264499999997</v>
      </c>
      <c r="H155" s="16">
        <v>75336.02</v>
      </c>
      <c r="I155" s="73">
        <f t="shared" si="16"/>
        <v>4561596.0109999999</v>
      </c>
      <c r="J155" s="22" t="s">
        <v>13</v>
      </c>
      <c r="K155" s="23" t="s">
        <v>14</v>
      </c>
    </row>
    <row r="156" spans="1:11" ht="30" x14ac:dyDescent="0.25">
      <c r="A156" s="45">
        <f t="shared" si="17"/>
        <v>147</v>
      </c>
      <c r="B156" s="46">
        <v>46113</v>
      </c>
      <c r="C156" s="12">
        <v>8612515</v>
      </c>
      <c r="D156" s="13">
        <v>74903931</v>
      </c>
      <c r="E156" s="14">
        <v>60.4</v>
      </c>
      <c r="F156" s="21">
        <v>903.39</v>
      </c>
      <c r="G156" s="21">
        <f t="shared" si="15"/>
        <v>54564.756000000001</v>
      </c>
      <c r="H156" s="16">
        <v>75336.02</v>
      </c>
      <c r="I156" s="73">
        <f t="shared" si="16"/>
        <v>4550295.608</v>
      </c>
      <c r="J156" s="22" t="s">
        <v>13</v>
      </c>
      <c r="K156" s="23" t="s">
        <v>14</v>
      </c>
    </row>
    <row r="157" spans="1:11" ht="30" x14ac:dyDescent="0.25">
      <c r="A157" s="45">
        <f t="shared" si="17"/>
        <v>148</v>
      </c>
      <c r="B157" s="46">
        <v>46113</v>
      </c>
      <c r="C157" s="12">
        <v>8612513</v>
      </c>
      <c r="D157" s="13">
        <v>75094821</v>
      </c>
      <c r="E157" s="14">
        <v>60.4</v>
      </c>
      <c r="F157" s="21">
        <v>903.39</v>
      </c>
      <c r="G157" s="21">
        <f t="shared" si="15"/>
        <v>54564.756000000001</v>
      </c>
      <c r="H157" s="16">
        <v>75336.02</v>
      </c>
      <c r="I157" s="73">
        <f t="shared" si="16"/>
        <v>4550295.608</v>
      </c>
      <c r="J157" s="22" t="s">
        <v>13</v>
      </c>
      <c r="K157" s="23" t="s">
        <v>14</v>
      </c>
    </row>
    <row r="158" spans="1:11" ht="30.75" thickBot="1" x14ac:dyDescent="0.3">
      <c r="A158" s="47">
        <f t="shared" si="17"/>
        <v>149</v>
      </c>
      <c r="B158" s="78">
        <v>46113</v>
      </c>
      <c r="C158" s="49">
        <v>8612512</v>
      </c>
      <c r="D158" s="50">
        <v>76283399</v>
      </c>
      <c r="E158" s="51">
        <v>60.85</v>
      </c>
      <c r="F158" s="74">
        <v>903.39</v>
      </c>
      <c r="G158" s="74">
        <f t="shared" si="15"/>
        <v>54971.281499999997</v>
      </c>
      <c r="H158" s="53">
        <v>75336.02</v>
      </c>
      <c r="I158" s="75">
        <f t="shared" si="16"/>
        <v>4584196.8170000007</v>
      </c>
      <c r="J158" s="55" t="s">
        <v>13</v>
      </c>
      <c r="K158" s="56" t="s">
        <v>14</v>
      </c>
    </row>
    <row r="159" spans="1:11" ht="15.75" thickBot="1" x14ac:dyDescent="0.3">
      <c r="A159" s="59"/>
      <c r="B159" s="60"/>
      <c r="C159" s="60"/>
      <c r="D159" s="60"/>
      <c r="E159" s="61"/>
      <c r="F159" s="61"/>
      <c r="G159" s="61"/>
      <c r="H159" s="61"/>
      <c r="I159" s="61"/>
      <c r="J159" s="61"/>
      <c r="K159" s="62"/>
    </row>
    <row r="160" spans="1:11" ht="30" x14ac:dyDescent="0.25">
      <c r="A160" s="63">
        <v>150</v>
      </c>
      <c r="B160" s="64">
        <v>46113</v>
      </c>
      <c r="C160" s="79">
        <v>8612519</v>
      </c>
      <c r="D160" s="80">
        <v>50198597</v>
      </c>
      <c r="E160" s="81">
        <v>60.65</v>
      </c>
      <c r="F160" s="68">
        <v>903.39</v>
      </c>
      <c r="G160" s="68">
        <f t="shared" ref="G160:G192" si="18">E160*F160</f>
        <v>54790.603499999997</v>
      </c>
      <c r="H160" s="69">
        <v>75336.02</v>
      </c>
      <c r="I160" s="70">
        <f t="shared" ref="I160:I192" si="19">E160*H160</f>
        <v>4569129.6129999999</v>
      </c>
      <c r="J160" s="71" t="s">
        <v>13</v>
      </c>
      <c r="K160" s="72" t="s">
        <v>14</v>
      </c>
    </row>
    <row r="161" spans="1:11" ht="30" x14ac:dyDescent="0.25">
      <c r="A161" s="45">
        <f>A160+1</f>
        <v>151</v>
      </c>
      <c r="B161" s="46">
        <v>46113</v>
      </c>
      <c r="C161" s="82">
        <v>8612520</v>
      </c>
      <c r="D161" s="83">
        <v>50362458</v>
      </c>
      <c r="E161" s="84">
        <v>52.7</v>
      </c>
      <c r="F161" s="21">
        <v>903.39</v>
      </c>
      <c r="G161" s="21">
        <f t="shared" si="18"/>
        <v>47608.652999999998</v>
      </c>
      <c r="H161" s="16">
        <v>75336.02</v>
      </c>
      <c r="I161" s="73">
        <f t="shared" si="19"/>
        <v>3970208.2540000007</v>
      </c>
      <c r="J161" s="22" t="s">
        <v>13</v>
      </c>
      <c r="K161" s="23" t="s">
        <v>14</v>
      </c>
    </row>
    <row r="162" spans="1:11" ht="30" x14ac:dyDescent="0.25">
      <c r="A162" s="45">
        <f t="shared" ref="A162:A192" si="20">A161+1</f>
        <v>152</v>
      </c>
      <c r="B162" s="46">
        <v>46113</v>
      </c>
      <c r="C162" s="82">
        <v>8612520</v>
      </c>
      <c r="D162" s="83">
        <v>50497163</v>
      </c>
      <c r="E162" s="84">
        <v>60.6</v>
      </c>
      <c r="F162" s="21">
        <v>903.39</v>
      </c>
      <c r="G162" s="21">
        <f t="shared" si="18"/>
        <v>54745.434000000001</v>
      </c>
      <c r="H162" s="16">
        <v>75336.02</v>
      </c>
      <c r="I162" s="73">
        <f t="shared" si="19"/>
        <v>4565362.8119999999</v>
      </c>
      <c r="J162" s="22" t="s">
        <v>13</v>
      </c>
      <c r="K162" s="23" t="s">
        <v>14</v>
      </c>
    </row>
    <row r="163" spans="1:11" ht="30" x14ac:dyDescent="0.25">
      <c r="A163" s="45">
        <f t="shared" si="20"/>
        <v>153</v>
      </c>
      <c r="B163" s="46">
        <v>46113</v>
      </c>
      <c r="C163" s="82">
        <v>8612519</v>
      </c>
      <c r="D163" s="83">
        <v>50539865</v>
      </c>
      <c r="E163" s="84">
        <v>60.6</v>
      </c>
      <c r="F163" s="21">
        <v>903.39</v>
      </c>
      <c r="G163" s="21">
        <f t="shared" si="18"/>
        <v>54745.434000000001</v>
      </c>
      <c r="H163" s="16">
        <v>75336.02</v>
      </c>
      <c r="I163" s="73">
        <f t="shared" si="19"/>
        <v>4565362.8119999999</v>
      </c>
      <c r="J163" s="22" t="s">
        <v>13</v>
      </c>
      <c r="K163" s="23" t="s">
        <v>14</v>
      </c>
    </row>
    <row r="164" spans="1:11" ht="30" x14ac:dyDescent="0.25">
      <c r="A164" s="45">
        <f t="shared" si="20"/>
        <v>154</v>
      </c>
      <c r="B164" s="46">
        <v>46113</v>
      </c>
      <c r="C164" s="82">
        <v>8612519</v>
      </c>
      <c r="D164" s="83">
        <v>50749068</v>
      </c>
      <c r="E164" s="84">
        <v>60.35</v>
      </c>
      <c r="F164" s="21">
        <v>903.39</v>
      </c>
      <c r="G164" s="21">
        <f t="shared" si="18"/>
        <v>54519.586499999998</v>
      </c>
      <c r="H164" s="16">
        <v>75336.02</v>
      </c>
      <c r="I164" s="73">
        <f t="shared" si="19"/>
        <v>4546528.807</v>
      </c>
      <c r="J164" s="22" t="s">
        <v>13</v>
      </c>
      <c r="K164" s="23" t="s">
        <v>14</v>
      </c>
    </row>
    <row r="165" spans="1:11" ht="30" x14ac:dyDescent="0.25">
      <c r="A165" s="45">
        <f t="shared" si="20"/>
        <v>155</v>
      </c>
      <c r="B165" s="46">
        <v>46113</v>
      </c>
      <c r="C165" s="82">
        <v>8612520</v>
      </c>
      <c r="D165" s="83">
        <v>50974567</v>
      </c>
      <c r="E165" s="84">
        <v>60.6</v>
      </c>
      <c r="F165" s="21">
        <v>903.39</v>
      </c>
      <c r="G165" s="21">
        <f t="shared" si="18"/>
        <v>54745.434000000001</v>
      </c>
      <c r="H165" s="16">
        <v>75336.02</v>
      </c>
      <c r="I165" s="73">
        <f t="shared" si="19"/>
        <v>4565362.8119999999</v>
      </c>
      <c r="J165" s="22" t="s">
        <v>13</v>
      </c>
      <c r="K165" s="23" t="s">
        <v>14</v>
      </c>
    </row>
    <row r="166" spans="1:11" ht="30" x14ac:dyDescent="0.25">
      <c r="A166" s="45">
        <f t="shared" si="20"/>
        <v>156</v>
      </c>
      <c r="B166" s="46">
        <v>46113</v>
      </c>
      <c r="C166" s="82">
        <v>8612520</v>
      </c>
      <c r="D166" s="83">
        <v>52078698</v>
      </c>
      <c r="E166" s="84">
        <v>60.6</v>
      </c>
      <c r="F166" s="21">
        <v>903.39</v>
      </c>
      <c r="G166" s="21">
        <f t="shared" si="18"/>
        <v>54745.434000000001</v>
      </c>
      <c r="H166" s="16">
        <v>75336.02</v>
      </c>
      <c r="I166" s="73">
        <f t="shared" si="19"/>
        <v>4565362.8119999999</v>
      </c>
      <c r="J166" s="22" t="s">
        <v>13</v>
      </c>
      <c r="K166" s="23" t="s">
        <v>14</v>
      </c>
    </row>
    <row r="167" spans="1:11" ht="30" x14ac:dyDescent="0.25">
      <c r="A167" s="45">
        <f t="shared" si="20"/>
        <v>157</v>
      </c>
      <c r="B167" s="46">
        <v>46113</v>
      </c>
      <c r="C167" s="82">
        <v>8612519</v>
      </c>
      <c r="D167" s="83">
        <v>53873527</v>
      </c>
      <c r="E167" s="84">
        <v>60.6</v>
      </c>
      <c r="F167" s="21">
        <v>903.39</v>
      </c>
      <c r="G167" s="21">
        <f t="shared" si="18"/>
        <v>54745.434000000001</v>
      </c>
      <c r="H167" s="16">
        <v>75336.02</v>
      </c>
      <c r="I167" s="73">
        <f t="shared" si="19"/>
        <v>4565362.8119999999</v>
      </c>
      <c r="J167" s="22" t="s">
        <v>13</v>
      </c>
      <c r="K167" s="23" t="s">
        <v>14</v>
      </c>
    </row>
    <row r="168" spans="1:11" ht="30" x14ac:dyDescent="0.25">
      <c r="A168" s="45">
        <f t="shared" si="20"/>
        <v>158</v>
      </c>
      <c r="B168" s="46">
        <v>46113</v>
      </c>
      <c r="C168" s="82">
        <v>8612522</v>
      </c>
      <c r="D168" s="83">
        <v>54032222</v>
      </c>
      <c r="E168" s="84">
        <v>60.7</v>
      </c>
      <c r="F168" s="21">
        <v>903.39</v>
      </c>
      <c r="G168" s="21">
        <f t="shared" si="18"/>
        <v>54835.773000000001</v>
      </c>
      <c r="H168" s="16">
        <v>75336.02</v>
      </c>
      <c r="I168" s="73">
        <f t="shared" si="19"/>
        <v>4572896.4140000008</v>
      </c>
      <c r="J168" s="22" t="s">
        <v>13</v>
      </c>
      <c r="K168" s="23" t="s">
        <v>14</v>
      </c>
    </row>
    <row r="169" spans="1:11" ht="30" x14ac:dyDescent="0.25">
      <c r="A169" s="45">
        <f t="shared" si="20"/>
        <v>159</v>
      </c>
      <c r="B169" s="46">
        <v>46113</v>
      </c>
      <c r="C169" s="82">
        <v>8612520</v>
      </c>
      <c r="D169" s="83">
        <v>54070933</v>
      </c>
      <c r="E169" s="84">
        <v>60.6</v>
      </c>
      <c r="F169" s="21">
        <v>903.39</v>
      </c>
      <c r="G169" s="21">
        <f t="shared" si="18"/>
        <v>54745.434000000001</v>
      </c>
      <c r="H169" s="16">
        <v>75336.02</v>
      </c>
      <c r="I169" s="73">
        <f t="shared" si="19"/>
        <v>4565362.8119999999</v>
      </c>
      <c r="J169" s="22" t="s">
        <v>13</v>
      </c>
      <c r="K169" s="23" t="s">
        <v>14</v>
      </c>
    </row>
    <row r="170" spans="1:11" ht="30" x14ac:dyDescent="0.25">
      <c r="A170" s="45">
        <f t="shared" si="20"/>
        <v>160</v>
      </c>
      <c r="B170" s="46">
        <v>46113</v>
      </c>
      <c r="C170" s="82">
        <v>8612520</v>
      </c>
      <c r="D170" s="83">
        <v>54092531</v>
      </c>
      <c r="E170" s="84">
        <v>60.6</v>
      </c>
      <c r="F170" s="21">
        <v>903.39</v>
      </c>
      <c r="G170" s="21">
        <f t="shared" si="18"/>
        <v>54745.434000000001</v>
      </c>
      <c r="H170" s="16">
        <v>75336.02</v>
      </c>
      <c r="I170" s="73">
        <f t="shared" si="19"/>
        <v>4565362.8119999999</v>
      </c>
      <c r="J170" s="22" t="s">
        <v>13</v>
      </c>
      <c r="K170" s="23" t="s">
        <v>14</v>
      </c>
    </row>
    <row r="171" spans="1:11" ht="30" x14ac:dyDescent="0.25">
      <c r="A171" s="45">
        <f t="shared" si="20"/>
        <v>161</v>
      </c>
      <c r="B171" s="46">
        <v>46113</v>
      </c>
      <c r="C171" s="82">
        <v>8612520</v>
      </c>
      <c r="D171" s="83">
        <v>54092879</v>
      </c>
      <c r="E171" s="84">
        <v>60.7</v>
      </c>
      <c r="F171" s="21">
        <v>903.39</v>
      </c>
      <c r="G171" s="21">
        <f t="shared" si="18"/>
        <v>54835.773000000001</v>
      </c>
      <c r="H171" s="16">
        <v>75336.02</v>
      </c>
      <c r="I171" s="73">
        <f t="shared" si="19"/>
        <v>4572896.4140000008</v>
      </c>
      <c r="J171" s="22" t="s">
        <v>13</v>
      </c>
      <c r="K171" s="23" t="s">
        <v>14</v>
      </c>
    </row>
    <row r="172" spans="1:11" ht="30" x14ac:dyDescent="0.25">
      <c r="A172" s="45">
        <f t="shared" si="20"/>
        <v>162</v>
      </c>
      <c r="B172" s="46">
        <v>46113</v>
      </c>
      <c r="C172" s="82">
        <v>8612520</v>
      </c>
      <c r="D172" s="83">
        <v>54256474</v>
      </c>
      <c r="E172" s="84">
        <v>60.55</v>
      </c>
      <c r="F172" s="21">
        <v>903.39</v>
      </c>
      <c r="G172" s="21">
        <f t="shared" si="18"/>
        <v>54700.264499999997</v>
      </c>
      <c r="H172" s="16">
        <v>75336.02</v>
      </c>
      <c r="I172" s="73">
        <f t="shared" si="19"/>
        <v>4561596.0109999999</v>
      </c>
      <c r="J172" s="22" t="s">
        <v>13</v>
      </c>
      <c r="K172" s="23" t="s">
        <v>14</v>
      </c>
    </row>
    <row r="173" spans="1:11" ht="30" x14ac:dyDescent="0.25">
      <c r="A173" s="45">
        <f t="shared" si="20"/>
        <v>163</v>
      </c>
      <c r="B173" s="46">
        <v>46113</v>
      </c>
      <c r="C173" s="82">
        <v>8612519</v>
      </c>
      <c r="D173" s="83">
        <v>58708371</v>
      </c>
      <c r="E173" s="84">
        <v>61.05</v>
      </c>
      <c r="F173" s="21">
        <v>903.39</v>
      </c>
      <c r="G173" s="21">
        <f t="shared" si="18"/>
        <v>55151.959499999997</v>
      </c>
      <c r="H173" s="16">
        <v>75336.02</v>
      </c>
      <c r="I173" s="73">
        <f t="shared" si="19"/>
        <v>4599264.0209999997</v>
      </c>
      <c r="J173" s="22" t="s">
        <v>13</v>
      </c>
      <c r="K173" s="23" t="s">
        <v>14</v>
      </c>
    </row>
    <row r="174" spans="1:11" ht="30" x14ac:dyDescent="0.25">
      <c r="A174" s="45">
        <f t="shared" si="20"/>
        <v>164</v>
      </c>
      <c r="B174" s="46">
        <v>46113</v>
      </c>
      <c r="C174" s="82">
        <v>8612520</v>
      </c>
      <c r="D174" s="83">
        <v>73004012</v>
      </c>
      <c r="E174" s="84">
        <v>61.1</v>
      </c>
      <c r="F174" s="21">
        <v>903.39</v>
      </c>
      <c r="G174" s="21">
        <f t="shared" si="18"/>
        <v>55197.129000000001</v>
      </c>
      <c r="H174" s="16">
        <v>75336.02</v>
      </c>
      <c r="I174" s="73">
        <f t="shared" si="19"/>
        <v>4603030.8220000006</v>
      </c>
      <c r="J174" s="22" t="s">
        <v>13</v>
      </c>
      <c r="K174" s="23" t="s">
        <v>14</v>
      </c>
    </row>
    <row r="175" spans="1:11" ht="30" x14ac:dyDescent="0.25">
      <c r="A175" s="45">
        <f t="shared" si="20"/>
        <v>165</v>
      </c>
      <c r="B175" s="46">
        <v>46113</v>
      </c>
      <c r="C175" s="82">
        <v>8612520</v>
      </c>
      <c r="D175" s="83">
        <v>73071755</v>
      </c>
      <c r="E175" s="84">
        <v>61.25</v>
      </c>
      <c r="F175" s="21">
        <v>903.39</v>
      </c>
      <c r="G175" s="21">
        <f t="shared" si="18"/>
        <v>55332.637499999997</v>
      </c>
      <c r="H175" s="16">
        <v>75336.02</v>
      </c>
      <c r="I175" s="73">
        <f t="shared" si="19"/>
        <v>4614331.2250000006</v>
      </c>
      <c r="J175" s="22" t="s">
        <v>13</v>
      </c>
      <c r="K175" s="23" t="s">
        <v>14</v>
      </c>
    </row>
    <row r="176" spans="1:11" ht="30" x14ac:dyDescent="0.25">
      <c r="A176" s="45">
        <f t="shared" si="20"/>
        <v>166</v>
      </c>
      <c r="B176" s="46">
        <v>46113</v>
      </c>
      <c r="C176" s="82">
        <v>8612520</v>
      </c>
      <c r="D176" s="83">
        <v>73083784</v>
      </c>
      <c r="E176" s="84">
        <v>61.15</v>
      </c>
      <c r="F176" s="21">
        <v>903.39</v>
      </c>
      <c r="G176" s="21">
        <f t="shared" si="18"/>
        <v>55242.298499999997</v>
      </c>
      <c r="H176" s="16">
        <v>75336.02</v>
      </c>
      <c r="I176" s="73">
        <f t="shared" si="19"/>
        <v>4606797.6230000006</v>
      </c>
      <c r="J176" s="22" t="s">
        <v>13</v>
      </c>
      <c r="K176" s="23" t="s">
        <v>14</v>
      </c>
    </row>
    <row r="177" spans="1:11" ht="30" x14ac:dyDescent="0.25">
      <c r="A177" s="45">
        <f t="shared" si="20"/>
        <v>167</v>
      </c>
      <c r="B177" s="46">
        <v>46113</v>
      </c>
      <c r="C177" s="82">
        <v>8612520</v>
      </c>
      <c r="D177" s="83">
        <v>73094880</v>
      </c>
      <c r="E177" s="84">
        <v>61.05</v>
      </c>
      <c r="F177" s="21">
        <v>903.39</v>
      </c>
      <c r="G177" s="21">
        <f t="shared" si="18"/>
        <v>55151.959499999997</v>
      </c>
      <c r="H177" s="16">
        <v>75336.02</v>
      </c>
      <c r="I177" s="73">
        <f t="shared" si="19"/>
        <v>4599264.0209999997</v>
      </c>
      <c r="J177" s="22" t="s">
        <v>13</v>
      </c>
      <c r="K177" s="23" t="s">
        <v>14</v>
      </c>
    </row>
    <row r="178" spans="1:11" ht="30" x14ac:dyDescent="0.25">
      <c r="A178" s="45">
        <f t="shared" si="20"/>
        <v>168</v>
      </c>
      <c r="B178" s="46">
        <v>46113</v>
      </c>
      <c r="C178" s="82">
        <v>8612523</v>
      </c>
      <c r="D178" s="83">
        <v>73107617</v>
      </c>
      <c r="E178" s="84">
        <v>61.2</v>
      </c>
      <c r="F178" s="21">
        <v>903.39</v>
      </c>
      <c r="G178" s="21">
        <f t="shared" si="18"/>
        <v>55287.468000000001</v>
      </c>
      <c r="H178" s="16">
        <v>75336.02</v>
      </c>
      <c r="I178" s="73">
        <f t="shared" si="19"/>
        <v>4610564.4240000006</v>
      </c>
      <c r="J178" s="22" t="s">
        <v>13</v>
      </c>
      <c r="K178" s="23" t="s">
        <v>14</v>
      </c>
    </row>
    <row r="179" spans="1:11" ht="30" x14ac:dyDescent="0.25">
      <c r="A179" s="45">
        <f t="shared" si="20"/>
        <v>169</v>
      </c>
      <c r="B179" s="46">
        <v>46113</v>
      </c>
      <c r="C179" s="82">
        <v>8612523</v>
      </c>
      <c r="D179" s="83">
        <v>73113722</v>
      </c>
      <c r="E179" s="84">
        <v>61.1</v>
      </c>
      <c r="F179" s="21">
        <v>903.39</v>
      </c>
      <c r="G179" s="21">
        <f t="shared" si="18"/>
        <v>55197.129000000001</v>
      </c>
      <c r="H179" s="16">
        <v>75336.02</v>
      </c>
      <c r="I179" s="73">
        <f t="shared" si="19"/>
        <v>4603030.8220000006</v>
      </c>
      <c r="J179" s="22" t="s">
        <v>13</v>
      </c>
      <c r="K179" s="23" t="s">
        <v>14</v>
      </c>
    </row>
    <row r="180" spans="1:11" ht="30" x14ac:dyDescent="0.25">
      <c r="A180" s="45">
        <f t="shared" si="20"/>
        <v>170</v>
      </c>
      <c r="B180" s="46">
        <v>46113</v>
      </c>
      <c r="C180" s="82">
        <v>8612523</v>
      </c>
      <c r="D180" s="83">
        <v>73117830</v>
      </c>
      <c r="E180" s="84">
        <v>61.1</v>
      </c>
      <c r="F180" s="21">
        <v>903.39</v>
      </c>
      <c r="G180" s="21">
        <f t="shared" si="18"/>
        <v>55197.129000000001</v>
      </c>
      <c r="H180" s="16">
        <v>75336.02</v>
      </c>
      <c r="I180" s="73">
        <f t="shared" si="19"/>
        <v>4603030.8220000006</v>
      </c>
      <c r="J180" s="22" t="s">
        <v>13</v>
      </c>
      <c r="K180" s="23" t="s">
        <v>14</v>
      </c>
    </row>
    <row r="181" spans="1:11" ht="30" x14ac:dyDescent="0.25">
      <c r="A181" s="45">
        <f t="shared" si="20"/>
        <v>171</v>
      </c>
      <c r="B181" s="46">
        <v>46113</v>
      </c>
      <c r="C181" s="82">
        <v>8612523</v>
      </c>
      <c r="D181" s="83">
        <v>73167116</v>
      </c>
      <c r="E181" s="84">
        <v>61.1</v>
      </c>
      <c r="F181" s="21">
        <v>903.39</v>
      </c>
      <c r="G181" s="21">
        <f t="shared" si="18"/>
        <v>55197.129000000001</v>
      </c>
      <c r="H181" s="16">
        <v>75336.02</v>
      </c>
      <c r="I181" s="73">
        <f t="shared" si="19"/>
        <v>4603030.8220000006</v>
      </c>
      <c r="J181" s="22" t="s">
        <v>13</v>
      </c>
      <c r="K181" s="23" t="s">
        <v>14</v>
      </c>
    </row>
    <row r="182" spans="1:11" ht="30" x14ac:dyDescent="0.25">
      <c r="A182" s="45">
        <f t="shared" si="20"/>
        <v>172</v>
      </c>
      <c r="B182" s="46">
        <v>46113</v>
      </c>
      <c r="C182" s="82">
        <v>8612523</v>
      </c>
      <c r="D182" s="83">
        <v>73172181</v>
      </c>
      <c r="E182" s="84">
        <v>61.1</v>
      </c>
      <c r="F182" s="21">
        <v>903.39</v>
      </c>
      <c r="G182" s="21">
        <f t="shared" si="18"/>
        <v>55197.129000000001</v>
      </c>
      <c r="H182" s="16">
        <v>75336.02</v>
      </c>
      <c r="I182" s="73">
        <f t="shared" si="19"/>
        <v>4603030.8220000006</v>
      </c>
      <c r="J182" s="22" t="s">
        <v>13</v>
      </c>
      <c r="K182" s="23" t="s">
        <v>14</v>
      </c>
    </row>
    <row r="183" spans="1:11" ht="30" x14ac:dyDescent="0.25">
      <c r="A183" s="45">
        <f t="shared" si="20"/>
        <v>173</v>
      </c>
      <c r="B183" s="46">
        <v>46113</v>
      </c>
      <c r="C183" s="82">
        <v>8612520</v>
      </c>
      <c r="D183" s="83">
        <v>73175101</v>
      </c>
      <c r="E183" s="84">
        <v>61.1</v>
      </c>
      <c r="F183" s="21">
        <v>903.39</v>
      </c>
      <c r="G183" s="21">
        <f t="shared" si="18"/>
        <v>55197.129000000001</v>
      </c>
      <c r="H183" s="16">
        <v>75336.02</v>
      </c>
      <c r="I183" s="73">
        <f t="shared" si="19"/>
        <v>4603030.8220000006</v>
      </c>
      <c r="J183" s="22" t="s">
        <v>13</v>
      </c>
      <c r="K183" s="23" t="s">
        <v>14</v>
      </c>
    </row>
    <row r="184" spans="1:11" ht="30" x14ac:dyDescent="0.25">
      <c r="A184" s="45">
        <f t="shared" si="20"/>
        <v>174</v>
      </c>
      <c r="B184" s="46">
        <v>46113</v>
      </c>
      <c r="C184" s="82">
        <v>8612523</v>
      </c>
      <c r="D184" s="83">
        <v>73175481</v>
      </c>
      <c r="E184" s="84">
        <v>61.1</v>
      </c>
      <c r="F184" s="21">
        <v>903.39</v>
      </c>
      <c r="G184" s="21">
        <f t="shared" si="18"/>
        <v>55197.129000000001</v>
      </c>
      <c r="H184" s="16">
        <v>75336.02</v>
      </c>
      <c r="I184" s="73">
        <f t="shared" si="19"/>
        <v>4603030.8220000006</v>
      </c>
      <c r="J184" s="22" t="s">
        <v>13</v>
      </c>
      <c r="K184" s="23" t="s">
        <v>14</v>
      </c>
    </row>
    <row r="185" spans="1:11" ht="30" x14ac:dyDescent="0.25">
      <c r="A185" s="45">
        <f t="shared" si="20"/>
        <v>175</v>
      </c>
      <c r="B185" s="46">
        <v>46113</v>
      </c>
      <c r="C185" s="82">
        <v>8612520</v>
      </c>
      <c r="D185" s="83">
        <v>73221400</v>
      </c>
      <c r="E185" s="84">
        <v>61.05</v>
      </c>
      <c r="F185" s="21">
        <v>903.39</v>
      </c>
      <c r="G185" s="21">
        <f t="shared" si="18"/>
        <v>55151.959499999997</v>
      </c>
      <c r="H185" s="16">
        <v>75336.02</v>
      </c>
      <c r="I185" s="73">
        <f t="shared" si="19"/>
        <v>4599264.0209999997</v>
      </c>
      <c r="J185" s="22" t="s">
        <v>13</v>
      </c>
      <c r="K185" s="23" t="s">
        <v>14</v>
      </c>
    </row>
    <row r="186" spans="1:11" ht="30" x14ac:dyDescent="0.25">
      <c r="A186" s="45">
        <f t="shared" si="20"/>
        <v>176</v>
      </c>
      <c r="B186" s="46">
        <v>46113</v>
      </c>
      <c r="C186" s="82">
        <v>8612523</v>
      </c>
      <c r="D186" s="83">
        <v>73233207</v>
      </c>
      <c r="E186" s="84">
        <v>61.15</v>
      </c>
      <c r="F186" s="21">
        <v>903.39</v>
      </c>
      <c r="G186" s="21">
        <f t="shared" si="18"/>
        <v>55242.298499999997</v>
      </c>
      <c r="H186" s="16">
        <v>75336.02</v>
      </c>
      <c r="I186" s="73">
        <f t="shared" si="19"/>
        <v>4606797.6230000006</v>
      </c>
      <c r="J186" s="22" t="s">
        <v>13</v>
      </c>
      <c r="K186" s="23" t="s">
        <v>14</v>
      </c>
    </row>
    <row r="187" spans="1:11" ht="30" x14ac:dyDescent="0.25">
      <c r="A187" s="45">
        <f t="shared" si="20"/>
        <v>177</v>
      </c>
      <c r="B187" s="46">
        <v>46113</v>
      </c>
      <c r="C187" s="82">
        <v>8612523</v>
      </c>
      <c r="D187" s="83">
        <v>73240103</v>
      </c>
      <c r="E187" s="84">
        <v>61.2</v>
      </c>
      <c r="F187" s="21">
        <v>903.39</v>
      </c>
      <c r="G187" s="21">
        <f t="shared" si="18"/>
        <v>55287.468000000001</v>
      </c>
      <c r="H187" s="16">
        <v>75336.02</v>
      </c>
      <c r="I187" s="73">
        <f t="shared" si="19"/>
        <v>4610564.4240000006</v>
      </c>
      <c r="J187" s="22" t="s">
        <v>13</v>
      </c>
      <c r="K187" s="23" t="s">
        <v>14</v>
      </c>
    </row>
    <row r="188" spans="1:11" ht="30" x14ac:dyDescent="0.25">
      <c r="A188" s="45">
        <f t="shared" si="20"/>
        <v>178</v>
      </c>
      <c r="B188" s="46">
        <v>46113</v>
      </c>
      <c r="C188" s="82">
        <v>8612523</v>
      </c>
      <c r="D188" s="83">
        <v>73240137</v>
      </c>
      <c r="E188" s="84">
        <v>61.15</v>
      </c>
      <c r="F188" s="21">
        <v>903.39</v>
      </c>
      <c r="G188" s="21">
        <f t="shared" si="18"/>
        <v>55242.298499999997</v>
      </c>
      <c r="H188" s="16">
        <v>75336.02</v>
      </c>
      <c r="I188" s="73">
        <f t="shared" si="19"/>
        <v>4606797.6230000006</v>
      </c>
      <c r="J188" s="22" t="s">
        <v>13</v>
      </c>
      <c r="K188" s="23" t="s">
        <v>14</v>
      </c>
    </row>
    <row r="189" spans="1:11" ht="30" x14ac:dyDescent="0.25">
      <c r="A189" s="45">
        <f t="shared" si="20"/>
        <v>179</v>
      </c>
      <c r="B189" s="46">
        <v>46113</v>
      </c>
      <c r="C189" s="82">
        <v>8612521</v>
      </c>
      <c r="D189" s="83">
        <v>73913733</v>
      </c>
      <c r="E189" s="84">
        <v>61.1</v>
      </c>
      <c r="F189" s="21">
        <v>903.39</v>
      </c>
      <c r="G189" s="21">
        <f t="shared" si="18"/>
        <v>55197.129000000001</v>
      </c>
      <c r="H189" s="16">
        <v>75336.02</v>
      </c>
      <c r="I189" s="73">
        <f t="shared" si="19"/>
        <v>4603030.8220000006</v>
      </c>
      <c r="J189" s="22" t="s">
        <v>13</v>
      </c>
      <c r="K189" s="23" t="s">
        <v>14</v>
      </c>
    </row>
    <row r="190" spans="1:11" ht="30" x14ac:dyDescent="0.25">
      <c r="A190" s="45">
        <f t="shared" si="20"/>
        <v>180</v>
      </c>
      <c r="B190" s="46">
        <v>46113</v>
      </c>
      <c r="C190" s="82">
        <v>8612520</v>
      </c>
      <c r="D190" s="83">
        <v>73970626</v>
      </c>
      <c r="E190" s="84">
        <v>60.55</v>
      </c>
      <c r="F190" s="21">
        <v>903.39</v>
      </c>
      <c r="G190" s="21">
        <f t="shared" si="18"/>
        <v>54700.264499999997</v>
      </c>
      <c r="H190" s="16">
        <v>75336.02</v>
      </c>
      <c r="I190" s="73">
        <f t="shared" si="19"/>
        <v>4561596.0109999999</v>
      </c>
      <c r="J190" s="22" t="s">
        <v>13</v>
      </c>
      <c r="K190" s="23" t="s">
        <v>14</v>
      </c>
    </row>
    <row r="191" spans="1:11" ht="30" x14ac:dyDescent="0.25">
      <c r="A191" s="45">
        <f t="shared" si="20"/>
        <v>181</v>
      </c>
      <c r="B191" s="46">
        <v>46113</v>
      </c>
      <c r="C191" s="82">
        <v>8612523</v>
      </c>
      <c r="D191" s="83">
        <v>75213447</v>
      </c>
      <c r="E191" s="84">
        <v>61.5</v>
      </c>
      <c r="F191" s="21">
        <v>903.39</v>
      </c>
      <c r="G191" s="21">
        <f t="shared" si="18"/>
        <v>55558.485000000001</v>
      </c>
      <c r="H191" s="16">
        <v>75336.02</v>
      </c>
      <c r="I191" s="73">
        <f t="shared" si="19"/>
        <v>4633165.2300000004</v>
      </c>
      <c r="J191" s="22" t="s">
        <v>13</v>
      </c>
      <c r="K191" s="23" t="s">
        <v>14</v>
      </c>
    </row>
    <row r="192" spans="1:11" ht="30.75" thickBot="1" x14ac:dyDescent="0.3">
      <c r="A192" s="85">
        <f t="shared" si="20"/>
        <v>182</v>
      </c>
      <c r="B192" s="58">
        <v>46113</v>
      </c>
      <c r="C192" s="86">
        <v>8612520</v>
      </c>
      <c r="D192" s="87">
        <v>76576198</v>
      </c>
      <c r="E192" s="88">
        <v>61.6</v>
      </c>
      <c r="F192" s="89">
        <v>903.39</v>
      </c>
      <c r="G192" s="89">
        <f t="shared" si="18"/>
        <v>55648.824000000001</v>
      </c>
      <c r="H192" s="30">
        <v>75336.02</v>
      </c>
      <c r="I192" s="90">
        <f t="shared" si="19"/>
        <v>4640698.8320000004</v>
      </c>
      <c r="J192" s="32" t="s">
        <v>13</v>
      </c>
      <c r="K192" s="33" t="s">
        <v>14</v>
      </c>
    </row>
    <row r="193" spans="1:11" ht="15.75" thickBot="1" x14ac:dyDescent="0.3">
      <c r="A193" s="34"/>
      <c r="B193" s="35"/>
      <c r="C193" s="35"/>
      <c r="D193" s="35"/>
      <c r="E193" s="36"/>
      <c r="F193" s="36"/>
      <c r="G193" s="36"/>
      <c r="H193" s="36"/>
      <c r="I193" s="36"/>
      <c r="J193" s="36"/>
      <c r="K193" s="57"/>
    </row>
    <row r="194" spans="1:11" ht="30" x14ac:dyDescent="0.25">
      <c r="A194" s="63">
        <v>183</v>
      </c>
      <c r="B194" s="64">
        <v>46119</v>
      </c>
      <c r="C194" s="65">
        <v>8612679</v>
      </c>
      <c r="D194" s="66">
        <v>50032366</v>
      </c>
      <c r="E194" s="67">
        <v>60.25</v>
      </c>
      <c r="F194" s="68">
        <v>903.39</v>
      </c>
      <c r="G194" s="68">
        <f t="shared" ref="G194:G217" si="21">E194*F194</f>
        <v>54429.247499999998</v>
      </c>
      <c r="H194" s="69">
        <v>75336.02</v>
      </c>
      <c r="I194" s="70">
        <f t="shared" ref="I194:I217" si="22">E194*H194</f>
        <v>4538995.2050000001</v>
      </c>
      <c r="J194" s="71" t="s">
        <v>13</v>
      </c>
      <c r="K194" s="72" t="s">
        <v>14</v>
      </c>
    </row>
    <row r="195" spans="1:11" ht="30" x14ac:dyDescent="0.25">
      <c r="A195" s="45">
        <f>A194+1</f>
        <v>184</v>
      </c>
      <c r="B195" s="46">
        <v>46119</v>
      </c>
      <c r="C195" s="12">
        <v>8612680</v>
      </c>
      <c r="D195" s="13">
        <v>50409713</v>
      </c>
      <c r="E195" s="14">
        <v>59.25</v>
      </c>
      <c r="F195" s="21">
        <v>903.39</v>
      </c>
      <c r="G195" s="15">
        <f t="shared" si="21"/>
        <v>53525.857499999998</v>
      </c>
      <c r="H195" s="16">
        <v>75336.02</v>
      </c>
      <c r="I195" s="17">
        <f t="shared" si="22"/>
        <v>4463659.1850000005</v>
      </c>
      <c r="J195" s="22" t="s">
        <v>13</v>
      </c>
      <c r="K195" s="23" t="s">
        <v>14</v>
      </c>
    </row>
    <row r="196" spans="1:11" ht="30" x14ac:dyDescent="0.25">
      <c r="A196" s="45">
        <f t="shared" ref="A196:A217" si="23">A195+1</f>
        <v>185</v>
      </c>
      <c r="B196" s="46">
        <v>46119</v>
      </c>
      <c r="C196" s="12">
        <v>8612679</v>
      </c>
      <c r="D196" s="13">
        <v>50413368</v>
      </c>
      <c r="E196" s="14">
        <v>58.2</v>
      </c>
      <c r="F196" s="21">
        <v>903.39</v>
      </c>
      <c r="G196" s="15">
        <f t="shared" si="21"/>
        <v>52577.298000000003</v>
      </c>
      <c r="H196" s="16">
        <v>75336.02</v>
      </c>
      <c r="I196" s="17">
        <f t="shared" si="22"/>
        <v>4384556.3640000001</v>
      </c>
      <c r="J196" s="22" t="s">
        <v>13</v>
      </c>
      <c r="K196" s="23" t="s">
        <v>14</v>
      </c>
    </row>
    <row r="197" spans="1:11" ht="30" x14ac:dyDescent="0.25">
      <c r="A197" s="45">
        <f t="shared" si="23"/>
        <v>186</v>
      </c>
      <c r="B197" s="46">
        <v>46119</v>
      </c>
      <c r="C197" s="12">
        <v>8612679</v>
      </c>
      <c r="D197" s="13">
        <v>50416536</v>
      </c>
      <c r="E197" s="14">
        <v>58.7</v>
      </c>
      <c r="F197" s="21">
        <v>903.39</v>
      </c>
      <c r="G197" s="15">
        <f t="shared" si="21"/>
        <v>53028.993000000002</v>
      </c>
      <c r="H197" s="16">
        <v>75336.02</v>
      </c>
      <c r="I197" s="17">
        <f t="shared" si="22"/>
        <v>4422224.3740000008</v>
      </c>
      <c r="J197" s="22" t="s">
        <v>13</v>
      </c>
      <c r="K197" s="23" t="s">
        <v>14</v>
      </c>
    </row>
    <row r="198" spans="1:11" ht="30" x14ac:dyDescent="0.25">
      <c r="A198" s="45">
        <f t="shared" si="23"/>
        <v>187</v>
      </c>
      <c r="B198" s="46">
        <v>46119</v>
      </c>
      <c r="C198" s="12">
        <v>8612679</v>
      </c>
      <c r="D198" s="13">
        <v>50913532</v>
      </c>
      <c r="E198" s="14">
        <v>56.65</v>
      </c>
      <c r="F198" s="21">
        <v>903.39</v>
      </c>
      <c r="G198" s="15">
        <f t="shared" si="21"/>
        <v>51177.0435</v>
      </c>
      <c r="H198" s="16">
        <v>75336.02</v>
      </c>
      <c r="I198" s="17">
        <f t="shared" si="22"/>
        <v>4267785.5329999998</v>
      </c>
      <c r="J198" s="22" t="s">
        <v>13</v>
      </c>
      <c r="K198" s="23" t="s">
        <v>14</v>
      </c>
    </row>
    <row r="199" spans="1:11" ht="30" x14ac:dyDescent="0.25">
      <c r="A199" s="45">
        <f t="shared" si="23"/>
        <v>188</v>
      </c>
      <c r="B199" s="46">
        <v>46119</v>
      </c>
      <c r="C199" s="12">
        <v>8612679</v>
      </c>
      <c r="D199" s="13">
        <v>51470623</v>
      </c>
      <c r="E199" s="14">
        <v>49.5</v>
      </c>
      <c r="F199" s="21">
        <v>903.39</v>
      </c>
      <c r="G199" s="15">
        <f t="shared" si="21"/>
        <v>44717.805</v>
      </c>
      <c r="H199" s="16">
        <v>75336.02</v>
      </c>
      <c r="I199" s="17">
        <f t="shared" si="22"/>
        <v>3729132.99</v>
      </c>
      <c r="J199" s="22" t="s">
        <v>13</v>
      </c>
      <c r="K199" s="23" t="s">
        <v>14</v>
      </c>
    </row>
    <row r="200" spans="1:11" ht="30" x14ac:dyDescent="0.25">
      <c r="A200" s="45">
        <f t="shared" si="23"/>
        <v>189</v>
      </c>
      <c r="B200" s="46">
        <v>46119</v>
      </c>
      <c r="C200" s="12">
        <v>8612680</v>
      </c>
      <c r="D200" s="13">
        <v>73012080</v>
      </c>
      <c r="E200" s="14">
        <v>57.75</v>
      </c>
      <c r="F200" s="21">
        <v>903.39</v>
      </c>
      <c r="G200" s="15">
        <f t="shared" si="21"/>
        <v>52170.772499999999</v>
      </c>
      <c r="H200" s="16">
        <v>75336.02</v>
      </c>
      <c r="I200" s="17">
        <f t="shared" si="22"/>
        <v>4350655.1550000003</v>
      </c>
      <c r="J200" s="22" t="s">
        <v>13</v>
      </c>
      <c r="K200" s="23" t="s">
        <v>14</v>
      </c>
    </row>
    <row r="201" spans="1:11" ht="30" x14ac:dyDescent="0.25">
      <c r="A201" s="45">
        <f t="shared" si="23"/>
        <v>190</v>
      </c>
      <c r="B201" s="46">
        <v>46119</v>
      </c>
      <c r="C201" s="12">
        <v>8612680</v>
      </c>
      <c r="D201" s="13">
        <v>73063927</v>
      </c>
      <c r="E201" s="14">
        <v>59.6</v>
      </c>
      <c r="F201" s="21">
        <v>903.39</v>
      </c>
      <c r="G201" s="15">
        <f t="shared" si="21"/>
        <v>53842.044000000002</v>
      </c>
      <c r="H201" s="16">
        <v>75336.02</v>
      </c>
      <c r="I201" s="17">
        <f t="shared" si="22"/>
        <v>4490026.7920000004</v>
      </c>
      <c r="J201" s="22" t="s">
        <v>13</v>
      </c>
      <c r="K201" s="23" t="s">
        <v>14</v>
      </c>
    </row>
    <row r="202" spans="1:11" ht="30" x14ac:dyDescent="0.25">
      <c r="A202" s="45">
        <f t="shared" si="23"/>
        <v>191</v>
      </c>
      <c r="B202" s="46">
        <v>46119</v>
      </c>
      <c r="C202" s="12">
        <v>8612679</v>
      </c>
      <c r="D202" s="13">
        <v>73068710</v>
      </c>
      <c r="E202" s="14">
        <v>59.7</v>
      </c>
      <c r="F202" s="21">
        <v>903.39</v>
      </c>
      <c r="G202" s="15">
        <f t="shared" si="21"/>
        <v>53932.383000000002</v>
      </c>
      <c r="H202" s="16">
        <v>75336.02</v>
      </c>
      <c r="I202" s="17">
        <f t="shared" si="22"/>
        <v>4497560.3940000003</v>
      </c>
      <c r="J202" s="22" t="s">
        <v>13</v>
      </c>
      <c r="K202" s="23" t="s">
        <v>14</v>
      </c>
    </row>
    <row r="203" spans="1:11" ht="30" x14ac:dyDescent="0.25">
      <c r="A203" s="45">
        <f t="shared" si="23"/>
        <v>192</v>
      </c>
      <c r="B203" s="46">
        <v>46119</v>
      </c>
      <c r="C203" s="12">
        <v>8612680</v>
      </c>
      <c r="D203" s="13">
        <v>73072142</v>
      </c>
      <c r="E203" s="14">
        <v>59.25</v>
      </c>
      <c r="F203" s="21">
        <v>903.39</v>
      </c>
      <c r="G203" s="15">
        <f t="shared" si="21"/>
        <v>53525.857499999998</v>
      </c>
      <c r="H203" s="16">
        <v>75336.02</v>
      </c>
      <c r="I203" s="17">
        <f t="shared" si="22"/>
        <v>4463659.1850000005</v>
      </c>
      <c r="J203" s="22" t="s">
        <v>13</v>
      </c>
      <c r="K203" s="23" t="s">
        <v>14</v>
      </c>
    </row>
    <row r="204" spans="1:11" ht="30" x14ac:dyDescent="0.25">
      <c r="A204" s="45">
        <f t="shared" si="23"/>
        <v>193</v>
      </c>
      <c r="B204" s="46">
        <v>46119</v>
      </c>
      <c r="C204" s="12">
        <v>8612679</v>
      </c>
      <c r="D204" s="13">
        <v>73075202</v>
      </c>
      <c r="E204" s="14">
        <v>58.95</v>
      </c>
      <c r="F204" s="21">
        <v>903.39</v>
      </c>
      <c r="G204" s="15">
        <f t="shared" si="21"/>
        <v>53254.840499999998</v>
      </c>
      <c r="H204" s="16">
        <v>75336.02</v>
      </c>
      <c r="I204" s="17">
        <f t="shared" si="22"/>
        <v>4441058.3790000007</v>
      </c>
      <c r="J204" s="22" t="s">
        <v>13</v>
      </c>
      <c r="K204" s="23" t="s">
        <v>14</v>
      </c>
    </row>
    <row r="205" spans="1:11" ht="30" x14ac:dyDescent="0.25">
      <c r="A205" s="45">
        <f t="shared" si="23"/>
        <v>194</v>
      </c>
      <c r="B205" s="46">
        <v>46119</v>
      </c>
      <c r="C205" s="12">
        <v>8612679</v>
      </c>
      <c r="D205" s="13">
        <v>73110686</v>
      </c>
      <c r="E205" s="14">
        <v>58.45</v>
      </c>
      <c r="F205" s="21">
        <v>903.39</v>
      </c>
      <c r="G205" s="15">
        <f t="shared" si="21"/>
        <v>52803.145499999999</v>
      </c>
      <c r="H205" s="16">
        <v>75336.02</v>
      </c>
      <c r="I205" s="17">
        <f t="shared" si="22"/>
        <v>4403390.3690000009</v>
      </c>
      <c r="J205" s="22" t="s">
        <v>13</v>
      </c>
      <c r="K205" s="23" t="s">
        <v>14</v>
      </c>
    </row>
    <row r="206" spans="1:11" ht="30" x14ac:dyDescent="0.25">
      <c r="A206" s="45">
        <f t="shared" si="23"/>
        <v>195</v>
      </c>
      <c r="B206" s="46">
        <v>46119</v>
      </c>
      <c r="C206" s="12">
        <v>8612680</v>
      </c>
      <c r="D206" s="13">
        <v>73114472</v>
      </c>
      <c r="E206" s="14">
        <v>58.45</v>
      </c>
      <c r="F206" s="21">
        <v>903.39</v>
      </c>
      <c r="G206" s="15">
        <f t="shared" si="21"/>
        <v>52803.145499999999</v>
      </c>
      <c r="H206" s="16">
        <v>75336.02</v>
      </c>
      <c r="I206" s="17">
        <f t="shared" si="22"/>
        <v>4403390.3690000009</v>
      </c>
      <c r="J206" s="22" t="s">
        <v>13</v>
      </c>
      <c r="K206" s="23" t="s">
        <v>14</v>
      </c>
    </row>
    <row r="207" spans="1:11" ht="30" x14ac:dyDescent="0.25">
      <c r="A207" s="45">
        <f t="shared" si="23"/>
        <v>196</v>
      </c>
      <c r="B207" s="46">
        <v>46119</v>
      </c>
      <c r="C207" s="12">
        <v>8612679</v>
      </c>
      <c r="D207" s="13">
        <v>73117269</v>
      </c>
      <c r="E207" s="14">
        <v>58.85</v>
      </c>
      <c r="F207" s="21">
        <v>903.39</v>
      </c>
      <c r="G207" s="15">
        <f t="shared" si="21"/>
        <v>53164.501499999998</v>
      </c>
      <c r="H207" s="16">
        <v>75336.02</v>
      </c>
      <c r="I207" s="17">
        <f t="shared" si="22"/>
        <v>4433524.7770000007</v>
      </c>
      <c r="J207" s="22" t="s">
        <v>13</v>
      </c>
      <c r="K207" s="23" t="s">
        <v>14</v>
      </c>
    </row>
    <row r="208" spans="1:11" ht="30" x14ac:dyDescent="0.25">
      <c r="A208" s="45">
        <f t="shared" si="23"/>
        <v>197</v>
      </c>
      <c r="B208" s="46">
        <v>46119</v>
      </c>
      <c r="C208" s="12">
        <v>8612679</v>
      </c>
      <c r="D208" s="13">
        <v>73119117</v>
      </c>
      <c r="E208" s="14">
        <v>57.65</v>
      </c>
      <c r="F208" s="21">
        <v>903.39</v>
      </c>
      <c r="G208" s="15">
        <f t="shared" si="21"/>
        <v>52080.433499999999</v>
      </c>
      <c r="H208" s="16">
        <v>75336.02</v>
      </c>
      <c r="I208" s="17">
        <f t="shared" si="22"/>
        <v>4343121.5530000003</v>
      </c>
      <c r="J208" s="22" t="s">
        <v>13</v>
      </c>
      <c r="K208" s="23" t="s">
        <v>14</v>
      </c>
    </row>
    <row r="209" spans="1:11" ht="30" x14ac:dyDescent="0.25">
      <c r="A209" s="45">
        <f t="shared" si="23"/>
        <v>198</v>
      </c>
      <c r="B209" s="46">
        <v>46119</v>
      </c>
      <c r="C209" s="12">
        <v>8612679</v>
      </c>
      <c r="D209" s="13">
        <v>73131765</v>
      </c>
      <c r="E209" s="14">
        <v>59.4</v>
      </c>
      <c r="F209" s="21">
        <v>903.39</v>
      </c>
      <c r="G209" s="15">
        <f t="shared" si="21"/>
        <v>53661.365999999995</v>
      </c>
      <c r="H209" s="16">
        <v>75336.02</v>
      </c>
      <c r="I209" s="17">
        <f t="shared" si="22"/>
        <v>4474959.5880000005</v>
      </c>
      <c r="J209" s="22" t="s">
        <v>13</v>
      </c>
      <c r="K209" s="23" t="s">
        <v>14</v>
      </c>
    </row>
    <row r="210" spans="1:11" ht="30" x14ac:dyDescent="0.25">
      <c r="A210" s="45">
        <f t="shared" si="23"/>
        <v>199</v>
      </c>
      <c r="B210" s="46">
        <v>46119</v>
      </c>
      <c r="C210" s="12">
        <v>8612679</v>
      </c>
      <c r="D210" s="13">
        <v>73136673</v>
      </c>
      <c r="E210" s="14">
        <v>57.9</v>
      </c>
      <c r="F210" s="21">
        <v>903.39</v>
      </c>
      <c r="G210" s="15">
        <f t="shared" si="21"/>
        <v>52306.280999999995</v>
      </c>
      <c r="H210" s="16">
        <v>75336.02</v>
      </c>
      <c r="I210" s="17">
        <f t="shared" si="22"/>
        <v>4361955.5580000002</v>
      </c>
      <c r="J210" s="22" t="s">
        <v>13</v>
      </c>
      <c r="K210" s="23" t="s">
        <v>14</v>
      </c>
    </row>
    <row r="211" spans="1:11" ht="30" x14ac:dyDescent="0.25">
      <c r="A211" s="45">
        <f t="shared" si="23"/>
        <v>200</v>
      </c>
      <c r="B211" s="46">
        <v>46119</v>
      </c>
      <c r="C211" s="12">
        <v>8612680</v>
      </c>
      <c r="D211" s="13">
        <v>73157646</v>
      </c>
      <c r="E211" s="14">
        <v>58.3</v>
      </c>
      <c r="F211" s="21">
        <v>903.39</v>
      </c>
      <c r="G211" s="15">
        <f t="shared" si="21"/>
        <v>52667.636999999995</v>
      </c>
      <c r="H211" s="16">
        <v>75336.02</v>
      </c>
      <c r="I211" s="17">
        <f t="shared" si="22"/>
        <v>4392089.966</v>
      </c>
      <c r="J211" s="22" t="s">
        <v>13</v>
      </c>
      <c r="K211" s="23" t="s">
        <v>14</v>
      </c>
    </row>
    <row r="212" spans="1:11" ht="30" x14ac:dyDescent="0.25">
      <c r="A212" s="45">
        <f t="shared" si="23"/>
        <v>201</v>
      </c>
      <c r="B212" s="46">
        <v>46119</v>
      </c>
      <c r="C212" s="12">
        <v>8612680</v>
      </c>
      <c r="D212" s="13">
        <v>73175960</v>
      </c>
      <c r="E212" s="14">
        <v>60.2</v>
      </c>
      <c r="F212" s="21">
        <v>903.39</v>
      </c>
      <c r="G212" s="15">
        <f t="shared" si="21"/>
        <v>54384.078000000001</v>
      </c>
      <c r="H212" s="16">
        <v>75336.02</v>
      </c>
      <c r="I212" s="17">
        <f t="shared" si="22"/>
        <v>4535228.4040000001</v>
      </c>
      <c r="J212" s="22" t="s">
        <v>13</v>
      </c>
      <c r="K212" s="23" t="s">
        <v>14</v>
      </c>
    </row>
    <row r="213" spans="1:11" ht="30" x14ac:dyDescent="0.25">
      <c r="A213" s="45">
        <f t="shared" si="23"/>
        <v>202</v>
      </c>
      <c r="B213" s="46">
        <v>46119</v>
      </c>
      <c r="C213" s="12">
        <v>8612680</v>
      </c>
      <c r="D213" s="13">
        <v>73221574</v>
      </c>
      <c r="E213" s="14">
        <v>59</v>
      </c>
      <c r="F213" s="21">
        <v>903.39</v>
      </c>
      <c r="G213" s="15">
        <f t="shared" si="21"/>
        <v>53300.01</v>
      </c>
      <c r="H213" s="16">
        <v>75336.02</v>
      </c>
      <c r="I213" s="17">
        <f t="shared" si="22"/>
        <v>4444825.1800000006</v>
      </c>
      <c r="J213" s="22" t="s">
        <v>13</v>
      </c>
      <c r="K213" s="23" t="s">
        <v>14</v>
      </c>
    </row>
    <row r="214" spans="1:11" ht="30" x14ac:dyDescent="0.25">
      <c r="A214" s="45">
        <f t="shared" si="23"/>
        <v>203</v>
      </c>
      <c r="B214" s="46">
        <v>46119</v>
      </c>
      <c r="C214" s="12">
        <v>8612679</v>
      </c>
      <c r="D214" s="13">
        <v>75219527</v>
      </c>
      <c r="E214" s="14">
        <v>58.85</v>
      </c>
      <c r="F214" s="21">
        <v>903.39</v>
      </c>
      <c r="G214" s="15">
        <f t="shared" si="21"/>
        <v>53164.501499999998</v>
      </c>
      <c r="H214" s="16">
        <v>75336.02</v>
      </c>
      <c r="I214" s="17">
        <f t="shared" si="22"/>
        <v>4433524.7770000007</v>
      </c>
      <c r="J214" s="22" t="s">
        <v>13</v>
      </c>
      <c r="K214" s="23" t="s">
        <v>14</v>
      </c>
    </row>
    <row r="215" spans="1:11" ht="30" x14ac:dyDescent="0.25">
      <c r="A215" s="45">
        <f t="shared" si="23"/>
        <v>204</v>
      </c>
      <c r="B215" s="46">
        <v>46119</v>
      </c>
      <c r="C215" s="12">
        <v>8612680</v>
      </c>
      <c r="D215" s="13">
        <v>75221887</v>
      </c>
      <c r="E215" s="14">
        <v>57.05</v>
      </c>
      <c r="F215" s="21">
        <v>903.39</v>
      </c>
      <c r="G215" s="15">
        <f t="shared" si="21"/>
        <v>51538.3995</v>
      </c>
      <c r="H215" s="16">
        <v>75336.02</v>
      </c>
      <c r="I215" s="17">
        <f t="shared" si="22"/>
        <v>4297919.9409999996</v>
      </c>
      <c r="J215" s="22" t="s">
        <v>13</v>
      </c>
      <c r="K215" s="23" t="s">
        <v>14</v>
      </c>
    </row>
    <row r="216" spans="1:11" ht="30" x14ac:dyDescent="0.25">
      <c r="A216" s="45">
        <f t="shared" si="23"/>
        <v>205</v>
      </c>
      <c r="B216" s="46">
        <v>46119</v>
      </c>
      <c r="C216" s="12">
        <v>8612680</v>
      </c>
      <c r="D216" s="13">
        <v>75227405</v>
      </c>
      <c r="E216" s="14">
        <v>59.55</v>
      </c>
      <c r="F216" s="21">
        <v>903.39</v>
      </c>
      <c r="G216" s="15">
        <f t="shared" si="21"/>
        <v>53796.874499999998</v>
      </c>
      <c r="H216" s="16">
        <v>75336.02</v>
      </c>
      <c r="I216" s="17">
        <f t="shared" si="22"/>
        <v>4486259.9910000004</v>
      </c>
      <c r="J216" s="22" t="s">
        <v>13</v>
      </c>
      <c r="K216" s="23" t="s">
        <v>14</v>
      </c>
    </row>
    <row r="217" spans="1:11" ht="30.75" thickBot="1" x14ac:dyDescent="0.3">
      <c r="A217" s="47">
        <f t="shared" si="23"/>
        <v>206</v>
      </c>
      <c r="B217" s="48">
        <v>46119</v>
      </c>
      <c r="C217" s="49">
        <v>8612679</v>
      </c>
      <c r="D217" s="50">
        <v>75230664</v>
      </c>
      <c r="E217" s="51">
        <v>56.55</v>
      </c>
      <c r="F217" s="74">
        <v>903.39</v>
      </c>
      <c r="G217" s="52">
        <f t="shared" si="21"/>
        <v>51086.7045</v>
      </c>
      <c r="H217" s="53">
        <v>75336.02</v>
      </c>
      <c r="I217" s="54">
        <f t="shared" si="22"/>
        <v>4260251.9309999999</v>
      </c>
      <c r="J217" s="55" t="s">
        <v>13</v>
      </c>
      <c r="K217" s="56" t="s">
        <v>14</v>
      </c>
    </row>
    <row r="218" spans="1:11" ht="15.75" thickBot="1" x14ac:dyDescent="0.3">
      <c r="A218" s="91"/>
      <c r="B218" s="92"/>
      <c r="C218" s="92"/>
      <c r="D218" s="92"/>
      <c r="E218" s="93"/>
      <c r="F218" s="93"/>
      <c r="G218" s="93"/>
      <c r="H218" s="93"/>
      <c r="I218" s="93"/>
      <c r="J218" s="93"/>
      <c r="K218" s="94"/>
    </row>
    <row r="219" spans="1:11" ht="30" x14ac:dyDescent="0.25">
      <c r="A219" s="63">
        <v>207</v>
      </c>
      <c r="B219" s="64">
        <v>46120</v>
      </c>
      <c r="C219" s="65">
        <v>8612589</v>
      </c>
      <c r="D219" s="66">
        <v>73223026</v>
      </c>
      <c r="E219" s="67">
        <v>61</v>
      </c>
      <c r="F219" s="68">
        <v>903.39</v>
      </c>
      <c r="G219" s="68">
        <f t="shared" ref="G219:G222" si="24">E219*F219</f>
        <v>55106.79</v>
      </c>
      <c r="H219" s="69">
        <v>75336.02</v>
      </c>
      <c r="I219" s="70">
        <f t="shared" ref="I219:I222" si="25">E219*H219</f>
        <v>4595497.2200000007</v>
      </c>
      <c r="J219" s="71" t="s">
        <v>13</v>
      </c>
      <c r="K219" s="72" t="s">
        <v>14</v>
      </c>
    </row>
    <row r="220" spans="1:11" ht="30" x14ac:dyDescent="0.25">
      <c r="A220" s="45">
        <f>A219+1</f>
        <v>208</v>
      </c>
      <c r="B220" s="46">
        <v>46120</v>
      </c>
      <c r="C220" s="12">
        <v>8612768</v>
      </c>
      <c r="D220" s="13">
        <v>73231243</v>
      </c>
      <c r="E220" s="14">
        <v>61</v>
      </c>
      <c r="F220" s="21">
        <v>903.39</v>
      </c>
      <c r="G220" s="15">
        <f t="shared" si="24"/>
        <v>55106.79</v>
      </c>
      <c r="H220" s="16">
        <v>75336.02</v>
      </c>
      <c r="I220" s="17">
        <f t="shared" si="25"/>
        <v>4595497.2200000007</v>
      </c>
      <c r="J220" s="22" t="s">
        <v>13</v>
      </c>
      <c r="K220" s="23" t="s">
        <v>14</v>
      </c>
    </row>
    <row r="221" spans="1:11" ht="30" x14ac:dyDescent="0.25">
      <c r="A221" s="45">
        <f t="shared" ref="A221:A222" si="26">A220+1</f>
        <v>209</v>
      </c>
      <c r="B221" s="46">
        <v>46120</v>
      </c>
      <c r="C221" s="12">
        <v>8612766</v>
      </c>
      <c r="D221" s="13">
        <v>73231417</v>
      </c>
      <c r="E221" s="14">
        <v>61.05</v>
      </c>
      <c r="F221" s="21">
        <v>903.39</v>
      </c>
      <c r="G221" s="15">
        <f t="shared" si="24"/>
        <v>55151.959499999997</v>
      </c>
      <c r="H221" s="16">
        <v>75336.02</v>
      </c>
      <c r="I221" s="17">
        <f t="shared" si="25"/>
        <v>4599264.0209999997</v>
      </c>
      <c r="J221" s="22" t="s">
        <v>13</v>
      </c>
      <c r="K221" s="23" t="s">
        <v>14</v>
      </c>
    </row>
    <row r="222" spans="1:11" ht="30.75" thickBot="1" x14ac:dyDescent="0.3">
      <c r="A222" s="47">
        <f t="shared" si="26"/>
        <v>210</v>
      </c>
      <c r="B222" s="48">
        <v>46120</v>
      </c>
      <c r="C222" s="49">
        <v>8612767</v>
      </c>
      <c r="D222" s="50">
        <v>73231425</v>
      </c>
      <c r="E222" s="51">
        <v>61</v>
      </c>
      <c r="F222" s="74">
        <v>903.39</v>
      </c>
      <c r="G222" s="52">
        <f t="shared" si="24"/>
        <v>55106.79</v>
      </c>
      <c r="H222" s="53">
        <v>75336.02</v>
      </c>
      <c r="I222" s="54">
        <f t="shared" si="25"/>
        <v>4595497.2200000007</v>
      </c>
      <c r="J222" s="55" t="s">
        <v>13</v>
      </c>
      <c r="K222" s="56" t="s">
        <v>14</v>
      </c>
    </row>
    <row r="223" spans="1:11" ht="15.75" thickBot="1" x14ac:dyDescent="0.3">
      <c r="A223" s="91"/>
      <c r="B223" s="92"/>
      <c r="C223" s="92"/>
      <c r="D223" s="92"/>
      <c r="E223" s="93"/>
      <c r="F223" s="93"/>
      <c r="G223" s="93"/>
      <c r="H223" s="93"/>
      <c r="I223" s="93"/>
      <c r="J223" s="93"/>
      <c r="K223" s="94"/>
    </row>
    <row r="224" spans="1:11" ht="30" x14ac:dyDescent="0.25">
      <c r="A224" s="63">
        <v>211</v>
      </c>
      <c r="B224" s="64">
        <v>46120</v>
      </c>
      <c r="C224" s="65">
        <v>8612773</v>
      </c>
      <c r="D224" s="66">
        <v>51381804</v>
      </c>
      <c r="E224" s="67">
        <v>52.45</v>
      </c>
      <c r="F224" s="68">
        <v>903.39</v>
      </c>
      <c r="G224" s="68">
        <f t="shared" ref="G224:G235" si="27">E224*F224</f>
        <v>47382.805500000002</v>
      </c>
      <c r="H224" s="69">
        <v>75336.02</v>
      </c>
      <c r="I224" s="70">
        <f t="shared" ref="I224:I235" si="28">E224*H224</f>
        <v>3951374.2490000003</v>
      </c>
      <c r="J224" s="71" t="s">
        <v>13</v>
      </c>
      <c r="K224" s="72" t="s">
        <v>14</v>
      </c>
    </row>
    <row r="225" spans="1:11" ht="30" x14ac:dyDescent="0.25">
      <c r="A225" s="45">
        <f>A224+1</f>
        <v>212</v>
      </c>
      <c r="B225" s="46">
        <v>46120</v>
      </c>
      <c r="C225" s="12">
        <v>8612773</v>
      </c>
      <c r="D225" s="13">
        <v>51497766</v>
      </c>
      <c r="E225" s="14">
        <v>51.2</v>
      </c>
      <c r="F225" s="21">
        <v>903.39</v>
      </c>
      <c r="G225" s="15">
        <f t="shared" si="27"/>
        <v>46253.567999999999</v>
      </c>
      <c r="H225" s="16">
        <v>75336.02</v>
      </c>
      <c r="I225" s="17">
        <f t="shared" si="28"/>
        <v>3857204.2240000004</v>
      </c>
      <c r="J225" s="22" t="s">
        <v>13</v>
      </c>
      <c r="K225" s="23" t="s">
        <v>14</v>
      </c>
    </row>
    <row r="226" spans="1:11" ht="30" x14ac:dyDescent="0.25">
      <c r="A226" s="45">
        <f t="shared" ref="A226:A235" si="29">A225+1</f>
        <v>213</v>
      </c>
      <c r="B226" s="46">
        <v>46120</v>
      </c>
      <c r="C226" s="12">
        <v>8612773</v>
      </c>
      <c r="D226" s="13">
        <v>73072340</v>
      </c>
      <c r="E226" s="14">
        <v>61.2</v>
      </c>
      <c r="F226" s="21">
        <v>903.39</v>
      </c>
      <c r="G226" s="15">
        <f t="shared" si="27"/>
        <v>55287.468000000001</v>
      </c>
      <c r="H226" s="16">
        <v>75336.02</v>
      </c>
      <c r="I226" s="17">
        <f t="shared" si="28"/>
        <v>4610564.4240000006</v>
      </c>
      <c r="J226" s="22" t="s">
        <v>13</v>
      </c>
      <c r="K226" s="23" t="s">
        <v>14</v>
      </c>
    </row>
    <row r="227" spans="1:11" ht="30" x14ac:dyDescent="0.25">
      <c r="A227" s="45">
        <f t="shared" si="29"/>
        <v>214</v>
      </c>
      <c r="B227" s="46">
        <v>46120</v>
      </c>
      <c r="C227" s="12">
        <v>8612773</v>
      </c>
      <c r="D227" s="13">
        <v>73106833</v>
      </c>
      <c r="E227" s="14">
        <v>61.2</v>
      </c>
      <c r="F227" s="21">
        <v>903.39</v>
      </c>
      <c r="G227" s="15">
        <f t="shared" si="27"/>
        <v>55287.468000000001</v>
      </c>
      <c r="H227" s="16">
        <v>75336.02</v>
      </c>
      <c r="I227" s="17">
        <f t="shared" si="28"/>
        <v>4610564.4240000006</v>
      </c>
      <c r="J227" s="22" t="s">
        <v>13</v>
      </c>
      <c r="K227" s="23" t="s">
        <v>14</v>
      </c>
    </row>
    <row r="228" spans="1:11" ht="30" x14ac:dyDescent="0.25">
      <c r="A228" s="45">
        <f t="shared" si="29"/>
        <v>215</v>
      </c>
      <c r="B228" s="46">
        <v>46120</v>
      </c>
      <c r="C228" s="12">
        <v>8612773</v>
      </c>
      <c r="D228" s="13">
        <v>73108078</v>
      </c>
      <c r="E228" s="14">
        <v>61.15</v>
      </c>
      <c r="F228" s="21">
        <v>903.39</v>
      </c>
      <c r="G228" s="15">
        <f t="shared" si="27"/>
        <v>55242.298499999997</v>
      </c>
      <c r="H228" s="16">
        <v>75336.02</v>
      </c>
      <c r="I228" s="17">
        <f t="shared" si="28"/>
        <v>4606797.6230000006</v>
      </c>
      <c r="J228" s="22" t="s">
        <v>13</v>
      </c>
      <c r="K228" s="23" t="s">
        <v>14</v>
      </c>
    </row>
    <row r="229" spans="1:11" ht="30" x14ac:dyDescent="0.25">
      <c r="A229" s="45">
        <f t="shared" si="29"/>
        <v>216</v>
      </c>
      <c r="B229" s="46">
        <v>46120</v>
      </c>
      <c r="C229" s="12">
        <v>8612773</v>
      </c>
      <c r="D229" s="13">
        <v>73111205</v>
      </c>
      <c r="E229" s="14">
        <v>61</v>
      </c>
      <c r="F229" s="21">
        <v>903.39</v>
      </c>
      <c r="G229" s="15">
        <f t="shared" si="27"/>
        <v>55106.79</v>
      </c>
      <c r="H229" s="16">
        <v>75336.02</v>
      </c>
      <c r="I229" s="17">
        <f t="shared" si="28"/>
        <v>4595497.2200000007</v>
      </c>
      <c r="J229" s="22" t="s">
        <v>13</v>
      </c>
      <c r="K229" s="23" t="s">
        <v>14</v>
      </c>
    </row>
    <row r="230" spans="1:11" ht="30" x14ac:dyDescent="0.25">
      <c r="A230" s="45">
        <f t="shared" si="29"/>
        <v>217</v>
      </c>
      <c r="B230" s="46">
        <v>46120</v>
      </c>
      <c r="C230" s="12">
        <v>8612773</v>
      </c>
      <c r="D230" s="13">
        <v>73118614</v>
      </c>
      <c r="E230" s="14">
        <v>61.15</v>
      </c>
      <c r="F230" s="21">
        <v>903.39</v>
      </c>
      <c r="G230" s="15">
        <f t="shared" si="27"/>
        <v>55242.298499999997</v>
      </c>
      <c r="H230" s="16">
        <v>75336.02</v>
      </c>
      <c r="I230" s="17">
        <f t="shared" si="28"/>
        <v>4606797.6230000006</v>
      </c>
      <c r="J230" s="22" t="s">
        <v>13</v>
      </c>
      <c r="K230" s="23" t="s">
        <v>14</v>
      </c>
    </row>
    <row r="231" spans="1:11" ht="30" x14ac:dyDescent="0.25">
      <c r="A231" s="45">
        <f t="shared" si="29"/>
        <v>218</v>
      </c>
      <c r="B231" s="46">
        <v>46120</v>
      </c>
      <c r="C231" s="12">
        <v>8612773</v>
      </c>
      <c r="D231" s="13">
        <v>73118671</v>
      </c>
      <c r="E231" s="14">
        <v>60.95</v>
      </c>
      <c r="F231" s="21">
        <v>903.39</v>
      </c>
      <c r="G231" s="15">
        <f t="shared" si="27"/>
        <v>55061.620500000005</v>
      </c>
      <c r="H231" s="16">
        <v>75336.02</v>
      </c>
      <c r="I231" s="17">
        <f t="shared" si="28"/>
        <v>4591730.4190000007</v>
      </c>
      <c r="J231" s="22" t="s">
        <v>13</v>
      </c>
      <c r="K231" s="23" t="s">
        <v>14</v>
      </c>
    </row>
    <row r="232" spans="1:11" ht="30" x14ac:dyDescent="0.25">
      <c r="A232" s="45">
        <f t="shared" si="29"/>
        <v>219</v>
      </c>
      <c r="B232" s="46">
        <v>46120</v>
      </c>
      <c r="C232" s="12">
        <v>8612773</v>
      </c>
      <c r="D232" s="13">
        <v>73134876</v>
      </c>
      <c r="E232" s="14">
        <v>61</v>
      </c>
      <c r="F232" s="21">
        <v>903.39</v>
      </c>
      <c r="G232" s="15">
        <f t="shared" si="27"/>
        <v>55106.79</v>
      </c>
      <c r="H232" s="16">
        <v>75336.02</v>
      </c>
      <c r="I232" s="17">
        <f t="shared" si="28"/>
        <v>4595497.2200000007</v>
      </c>
      <c r="J232" s="22" t="s">
        <v>13</v>
      </c>
      <c r="K232" s="23" t="s">
        <v>14</v>
      </c>
    </row>
    <row r="233" spans="1:11" ht="30" x14ac:dyDescent="0.25">
      <c r="A233" s="45">
        <f t="shared" si="29"/>
        <v>220</v>
      </c>
      <c r="B233" s="46">
        <v>46120</v>
      </c>
      <c r="C233" s="12">
        <v>8612773</v>
      </c>
      <c r="D233" s="13">
        <v>73235079</v>
      </c>
      <c r="E233" s="14">
        <v>61</v>
      </c>
      <c r="F233" s="21">
        <v>903.39</v>
      </c>
      <c r="G233" s="15">
        <f t="shared" si="27"/>
        <v>55106.79</v>
      </c>
      <c r="H233" s="16">
        <v>75336.02</v>
      </c>
      <c r="I233" s="17">
        <f t="shared" si="28"/>
        <v>4595497.2200000007</v>
      </c>
      <c r="J233" s="22" t="s">
        <v>13</v>
      </c>
      <c r="K233" s="23" t="s">
        <v>14</v>
      </c>
    </row>
    <row r="234" spans="1:11" ht="30" x14ac:dyDescent="0.25">
      <c r="A234" s="45">
        <f t="shared" si="29"/>
        <v>221</v>
      </c>
      <c r="B234" s="46">
        <v>46120</v>
      </c>
      <c r="C234" s="12">
        <v>8612773</v>
      </c>
      <c r="D234" s="13">
        <v>73239352</v>
      </c>
      <c r="E234" s="14">
        <v>61.15</v>
      </c>
      <c r="F234" s="21">
        <v>903.39</v>
      </c>
      <c r="G234" s="15">
        <f t="shared" si="27"/>
        <v>55242.298499999997</v>
      </c>
      <c r="H234" s="16">
        <v>75336.02</v>
      </c>
      <c r="I234" s="17">
        <f t="shared" si="28"/>
        <v>4606797.6230000006</v>
      </c>
      <c r="J234" s="22" t="s">
        <v>13</v>
      </c>
      <c r="K234" s="23" t="s">
        <v>14</v>
      </c>
    </row>
    <row r="235" spans="1:11" ht="30.75" thickBot="1" x14ac:dyDescent="0.3">
      <c r="A235" s="47">
        <f t="shared" si="29"/>
        <v>222</v>
      </c>
      <c r="B235" s="48">
        <v>46120</v>
      </c>
      <c r="C235" s="49">
        <v>8612773</v>
      </c>
      <c r="D235" s="50">
        <v>75598490</v>
      </c>
      <c r="E235" s="51">
        <v>61.2</v>
      </c>
      <c r="F235" s="74">
        <v>903.39</v>
      </c>
      <c r="G235" s="52">
        <f t="shared" si="27"/>
        <v>55287.468000000001</v>
      </c>
      <c r="H235" s="53">
        <v>75336.02</v>
      </c>
      <c r="I235" s="54">
        <f t="shared" si="28"/>
        <v>4610564.4240000006</v>
      </c>
      <c r="J235" s="55" t="s">
        <v>13</v>
      </c>
      <c r="K235" s="56" t="s">
        <v>14</v>
      </c>
    </row>
    <row r="236" spans="1:11" ht="15.75" thickBot="1" x14ac:dyDescent="0.3">
      <c r="A236" s="92"/>
      <c r="B236" s="92"/>
      <c r="C236" s="92"/>
      <c r="D236" s="92"/>
      <c r="E236" s="93"/>
      <c r="F236" s="93"/>
      <c r="G236" s="93"/>
      <c r="H236" s="93"/>
      <c r="I236" s="93"/>
      <c r="J236" s="93"/>
      <c r="K236" s="94"/>
    </row>
    <row r="237" spans="1:11" ht="30" x14ac:dyDescent="0.25">
      <c r="A237" s="63">
        <v>223</v>
      </c>
      <c r="B237" s="64">
        <v>46121</v>
      </c>
      <c r="C237" s="65">
        <v>8612787</v>
      </c>
      <c r="D237" s="66">
        <v>50748003</v>
      </c>
      <c r="E237" s="67">
        <v>51.3</v>
      </c>
      <c r="F237" s="68">
        <v>903.39</v>
      </c>
      <c r="G237" s="68">
        <f t="shared" ref="G237:G252" si="30">E237*F237</f>
        <v>46343.906999999999</v>
      </c>
      <c r="H237" s="69">
        <v>75336.02</v>
      </c>
      <c r="I237" s="70">
        <f t="shared" ref="I237:I252" si="31">E237*H237</f>
        <v>3864737.8259999999</v>
      </c>
      <c r="J237" s="71" t="s">
        <v>13</v>
      </c>
      <c r="K237" s="72" t="s">
        <v>14</v>
      </c>
    </row>
    <row r="238" spans="1:11" ht="30" x14ac:dyDescent="0.25">
      <c r="A238" s="45">
        <f>A237+1</f>
        <v>224</v>
      </c>
      <c r="B238" s="46">
        <v>46121</v>
      </c>
      <c r="C238" s="12">
        <v>8612788</v>
      </c>
      <c r="D238" s="13">
        <v>51528602</v>
      </c>
      <c r="E238" s="14">
        <v>51.85</v>
      </c>
      <c r="F238" s="21">
        <v>903.39</v>
      </c>
      <c r="G238" s="15">
        <f t="shared" si="30"/>
        <v>46840.771500000003</v>
      </c>
      <c r="H238" s="16">
        <v>75336.02</v>
      </c>
      <c r="I238" s="17">
        <f t="shared" si="31"/>
        <v>3906172.6370000001</v>
      </c>
      <c r="J238" s="22" t="s">
        <v>13</v>
      </c>
      <c r="K238" s="23" t="s">
        <v>14</v>
      </c>
    </row>
    <row r="239" spans="1:11" ht="30" x14ac:dyDescent="0.25">
      <c r="A239" s="45">
        <f t="shared" ref="A239:A252" si="32">A238+1</f>
        <v>225</v>
      </c>
      <c r="B239" s="46">
        <v>46121</v>
      </c>
      <c r="C239" s="12">
        <v>8612794</v>
      </c>
      <c r="D239" s="13">
        <v>51744712</v>
      </c>
      <c r="E239" s="14">
        <v>52</v>
      </c>
      <c r="F239" s="21">
        <v>903.39</v>
      </c>
      <c r="G239" s="15">
        <f t="shared" si="30"/>
        <v>46976.28</v>
      </c>
      <c r="H239" s="16">
        <v>75336.02</v>
      </c>
      <c r="I239" s="17">
        <f t="shared" si="31"/>
        <v>3917473.04</v>
      </c>
      <c r="J239" s="22" t="s">
        <v>13</v>
      </c>
      <c r="K239" s="23" t="s">
        <v>14</v>
      </c>
    </row>
    <row r="240" spans="1:11" ht="30" x14ac:dyDescent="0.25">
      <c r="A240" s="45">
        <f t="shared" si="32"/>
        <v>226</v>
      </c>
      <c r="B240" s="46">
        <v>46121</v>
      </c>
      <c r="C240" s="12">
        <v>8612790</v>
      </c>
      <c r="D240" s="13">
        <v>53996021</v>
      </c>
      <c r="E240" s="14">
        <v>50.95</v>
      </c>
      <c r="F240" s="21">
        <v>903.39</v>
      </c>
      <c r="G240" s="15">
        <f t="shared" si="30"/>
        <v>46027.720500000003</v>
      </c>
      <c r="H240" s="16">
        <v>75336.02</v>
      </c>
      <c r="I240" s="17">
        <f t="shared" si="31"/>
        <v>3838370.2190000005</v>
      </c>
      <c r="J240" s="22" t="s">
        <v>13</v>
      </c>
      <c r="K240" s="23" t="s">
        <v>14</v>
      </c>
    </row>
    <row r="241" spans="1:11" ht="30" x14ac:dyDescent="0.25">
      <c r="A241" s="45">
        <f t="shared" si="32"/>
        <v>227</v>
      </c>
      <c r="B241" s="46">
        <v>46121</v>
      </c>
      <c r="C241" s="12">
        <v>8612792</v>
      </c>
      <c r="D241" s="13">
        <v>54630512</v>
      </c>
      <c r="E241" s="14">
        <v>60.6</v>
      </c>
      <c r="F241" s="21">
        <v>903.39</v>
      </c>
      <c r="G241" s="15">
        <f t="shared" si="30"/>
        <v>54745.434000000001</v>
      </c>
      <c r="H241" s="16">
        <v>75336.02</v>
      </c>
      <c r="I241" s="17">
        <f t="shared" si="31"/>
        <v>4565362.8119999999</v>
      </c>
      <c r="J241" s="22" t="s">
        <v>13</v>
      </c>
      <c r="K241" s="23" t="s">
        <v>14</v>
      </c>
    </row>
    <row r="242" spans="1:11" ht="30" x14ac:dyDescent="0.25">
      <c r="A242" s="45">
        <f t="shared" si="32"/>
        <v>228</v>
      </c>
      <c r="B242" s="46">
        <v>46121</v>
      </c>
      <c r="C242" s="12">
        <v>8612793</v>
      </c>
      <c r="D242" s="13">
        <v>54691050</v>
      </c>
      <c r="E242" s="14">
        <v>60.6</v>
      </c>
      <c r="F242" s="21">
        <v>903.39</v>
      </c>
      <c r="G242" s="15">
        <f t="shared" si="30"/>
        <v>54745.434000000001</v>
      </c>
      <c r="H242" s="16">
        <v>75336.02</v>
      </c>
      <c r="I242" s="17">
        <f t="shared" si="31"/>
        <v>4565362.8119999999</v>
      </c>
      <c r="J242" s="22" t="s">
        <v>13</v>
      </c>
      <c r="K242" s="23" t="s">
        <v>14</v>
      </c>
    </row>
    <row r="243" spans="1:11" ht="30" x14ac:dyDescent="0.25">
      <c r="A243" s="45">
        <f t="shared" si="32"/>
        <v>229</v>
      </c>
      <c r="B243" s="46">
        <v>46121</v>
      </c>
      <c r="C243" s="12">
        <v>8612792</v>
      </c>
      <c r="D243" s="13">
        <v>73063414</v>
      </c>
      <c r="E243" s="14">
        <v>61.15</v>
      </c>
      <c r="F243" s="21">
        <v>903.39</v>
      </c>
      <c r="G243" s="15">
        <f t="shared" si="30"/>
        <v>55242.298499999997</v>
      </c>
      <c r="H243" s="16">
        <v>75336.02</v>
      </c>
      <c r="I243" s="17">
        <f t="shared" si="31"/>
        <v>4606797.6230000006</v>
      </c>
      <c r="J243" s="22" t="s">
        <v>13</v>
      </c>
      <c r="K243" s="23" t="s">
        <v>14</v>
      </c>
    </row>
    <row r="244" spans="1:11" ht="30" x14ac:dyDescent="0.25">
      <c r="A244" s="45">
        <f t="shared" si="32"/>
        <v>230</v>
      </c>
      <c r="B244" s="46">
        <v>46121</v>
      </c>
      <c r="C244" s="12">
        <v>8612792</v>
      </c>
      <c r="D244" s="13">
        <v>73169369</v>
      </c>
      <c r="E244" s="14">
        <v>61.05</v>
      </c>
      <c r="F244" s="21">
        <v>903.39</v>
      </c>
      <c r="G244" s="15">
        <f t="shared" si="30"/>
        <v>55151.959499999997</v>
      </c>
      <c r="H244" s="16">
        <v>75336.02</v>
      </c>
      <c r="I244" s="17">
        <f t="shared" si="31"/>
        <v>4599264.0209999997</v>
      </c>
      <c r="J244" s="22" t="s">
        <v>13</v>
      </c>
      <c r="K244" s="23" t="s">
        <v>14</v>
      </c>
    </row>
    <row r="245" spans="1:11" ht="30" x14ac:dyDescent="0.25">
      <c r="A245" s="45">
        <f t="shared" si="32"/>
        <v>231</v>
      </c>
      <c r="B245" s="46">
        <v>46121</v>
      </c>
      <c r="C245" s="12">
        <v>8612786</v>
      </c>
      <c r="D245" s="13">
        <v>73173429</v>
      </c>
      <c r="E245" s="14">
        <v>60.55</v>
      </c>
      <c r="F245" s="21">
        <v>903.39</v>
      </c>
      <c r="G245" s="15">
        <f t="shared" si="30"/>
        <v>54700.264499999997</v>
      </c>
      <c r="H245" s="16">
        <v>75336.02</v>
      </c>
      <c r="I245" s="17">
        <f t="shared" si="31"/>
        <v>4561596.0109999999</v>
      </c>
      <c r="J245" s="22" t="s">
        <v>13</v>
      </c>
      <c r="K245" s="23" t="s">
        <v>14</v>
      </c>
    </row>
    <row r="246" spans="1:11" ht="30" x14ac:dyDescent="0.25">
      <c r="A246" s="45">
        <f t="shared" si="32"/>
        <v>232</v>
      </c>
      <c r="B246" s="46">
        <v>46121</v>
      </c>
      <c r="C246" s="12">
        <v>8612792</v>
      </c>
      <c r="D246" s="13">
        <v>73220006</v>
      </c>
      <c r="E246" s="14">
        <v>61.05</v>
      </c>
      <c r="F246" s="21">
        <v>903.39</v>
      </c>
      <c r="G246" s="15">
        <f t="shared" si="30"/>
        <v>55151.959499999997</v>
      </c>
      <c r="H246" s="16">
        <v>75336.02</v>
      </c>
      <c r="I246" s="17">
        <f t="shared" si="31"/>
        <v>4599264.0209999997</v>
      </c>
      <c r="J246" s="22" t="s">
        <v>13</v>
      </c>
      <c r="K246" s="23" t="s">
        <v>14</v>
      </c>
    </row>
    <row r="247" spans="1:11" ht="30" x14ac:dyDescent="0.25">
      <c r="A247" s="45">
        <f t="shared" si="32"/>
        <v>233</v>
      </c>
      <c r="B247" s="46">
        <v>46121</v>
      </c>
      <c r="C247" s="12">
        <v>8612792</v>
      </c>
      <c r="D247" s="13">
        <v>73224941</v>
      </c>
      <c r="E247" s="14">
        <v>61.15</v>
      </c>
      <c r="F247" s="21">
        <v>903.39</v>
      </c>
      <c r="G247" s="15">
        <f t="shared" si="30"/>
        <v>55242.298499999997</v>
      </c>
      <c r="H247" s="16">
        <v>75336.02</v>
      </c>
      <c r="I247" s="17">
        <f t="shared" si="31"/>
        <v>4606797.6230000006</v>
      </c>
      <c r="J247" s="22" t="s">
        <v>13</v>
      </c>
      <c r="K247" s="23" t="s">
        <v>14</v>
      </c>
    </row>
    <row r="248" spans="1:11" ht="30" x14ac:dyDescent="0.25">
      <c r="A248" s="45">
        <f t="shared" si="32"/>
        <v>234</v>
      </c>
      <c r="B248" s="46">
        <v>46121</v>
      </c>
      <c r="C248" s="12">
        <v>8612792</v>
      </c>
      <c r="D248" s="13">
        <v>75224253</v>
      </c>
      <c r="E248" s="14">
        <v>61.6</v>
      </c>
      <c r="F248" s="21">
        <v>903.39</v>
      </c>
      <c r="G248" s="15">
        <f t="shared" si="30"/>
        <v>55648.824000000001</v>
      </c>
      <c r="H248" s="16">
        <v>75336.02</v>
      </c>
      <c r="I248" s="17">
        <f t="shared" si="31"/>
        <v>4640698.8320000004</v>
      </c>
      <c r="J248" s="22" t="s">
        <v>13</v>
      </c>
      <c r="K248" s="23" t="s">
        <v>14</v>
      </c>
    </row>
    <row r="249" spans="1:11" ht="30" x14ac:dyDescent="0.25">
      <c r="A249" s="45">
        <f t="shared" si="32"/>
        <v>235</v>
      </c>
      <c r="B249" s="46">
        <v>46121</v>
      </c>
      <c r="C249" s="12">
        <v>8612792</v>
      </c>
      <c r="D249" s="13">
        <v>75225904</v>
      </c>
      <c r="E249" s="14">
        <v>61.4</v>
      </c>
      <c r="F249" s="21">
        <v>903.39</v>
      </c>
      <c r="G249" s="15">
        <f t="shared" si="30"/>
        <v>55468.146000000001</v>
      </c>
      <c r="H249" s="16">
        <v>75336.02</v>
      </c>
      <c r="I249" s="17">
        <f t="shared" si="31"/>
        <v>4625631.6280000005</v>
      </c>
      <c r="J249" s="22" t="s">
        <v>13</v>
      </c>
      <c r="K249" s="23" t="s">
        <v>14</v>
      </c>
    </row>
    <row r="250" spans="1:11" ht="30" x14ac:dyDescent="0.25">
      <c r="A250" s="45">
        <f t="shared" si="32"/>
        <v>236</v>
      </c>
      <c r="B250" s="46">
        <v>46121</v>
      </c>
      <c r="C250" s="12">
        <v>8612792</v>
      </c>
      <c r="D250" s="13">
        <v>75226860</v>
      </c>
      <c r="E250" s="14">
        <v>61.4</v>
      </c>
      <c r="F250" s="21">
        <v>903.39</v>
      </c>
      <c r="G250" s="15">
        <f t="shared" si="30"/>
        <v>55468.146000000001</v>
      </c>
      <c r="H250" s="16">
        <v>75336.02</v>
      </c>
      <c r="I250" s="17">
        <f t="shared" si="31"/>
        <v>4625631.6280000005</v>
      </c>
      <c r="J250" s="22" t="s">
        <v>13</v>
      </c>
      <c r="K250" s="23" t="s">
        <v>14</v>
      </c>
    </row>
    <row r="251" spans="1:11" ht="30" x14ac:dyDescent="0.25">
      <c r="A251" s="45">
        <f t="shared" si="32"/>
        <v>237</v>
      </c>
      <c r="B251" s="46">
        <v>46121</v>
      </c>
      <c r="C251" s="12">
        <v>8612792</v>
      </c>
      <c r="D251" s="13">
        <v>76163591</v>
      </c>
      <c r="E251" s="14">
        <v>61.4</v>
      </c>
      <c r="F251" s="21">
        <v>903.39</v>
      </c>
      <c r="G251" s="15">
        <f t="shared" si="30"/>
        <v>55468.146000000001</v>
      </c>
      <c r="H251" s="16">
        <v>75336.02</v>
      </c>
      <c r="I251" s="17">
        <f t="shared" si="31"/>
        <v>4625631.6280000005</v>
      </c>
      <c r="J251" s="22" t="s">
        <v>13</v>
      </c>
      <c r="K251" s="23" t="s">
        <v>14</v>
      </c>
    </row>
    <row r="252" spans="1:11" ht="30.75" thickBot="1" x14ac:dyDescent="0.3">
      <c r="A252" s="47">
        <f t="shared" si="32"/>
        <v>238</v>
      </c>
      <c r="B252" s="48">
        <v>46121</v>
      </c>
      <c r="C252" s="49">
        <v>8612792</v>
      </c>
      <c r="D252" s="50">
        <v>76173095</v>
      </c>
      <c r="E252" s="51">
        <v>61.4</v>
      </c>
      <c r="F252" s="74">
        <v>903.39</v>
      </c>
      <c r="G252" s="52">
        <f t="shared" si="30"/>
        <v>55468.146000000001</v>
      </c>
      <c r="H252" s="53">
        <v>75336.02</v>
      </c>
      <c r="I252" s="54">
        <f t="shared" si="31"/>
        <v>4625631.6280000005</v>
      </c>
      <c r="J252" s="55" t="s">
        <v>13</v>
      </c>
      <c r="K252" s="56" t="s">
        <v>14</v>
      </c>
    </row>
    <row r="253" spans="1:11" ht="15.75" thickBot="1" x14ac:dyDescent="0.3">
      <c r="A253" s="59"/>
      <c r="B253" s="60"/>
      <c r="C253" s="60"/>
      <c r="D253" s="60"/>
      <c r="E253" s="61"/>
      <c r="F253" s="61"/>
      <c r="G253" s="61"/>
      <c r="H253" s="61"/>
      <c r="I253" s="61"/>
      <c r="J253" s="61"/>
      <c r="K253" s="62"/>
    </row>
    <row r="254" spans="1:11" ht="30" x14ac:dyDescent="0.25">
      <c r="A254" s="63">
        <v>239</v>
      </c>
      <c r="B254" s="64">
        <v>46129</v>
      </c>
      <c r="C254" s="65">
        <v>8612948</v>
      </c>
      <c r="D254" s="66">
        <v>50082510</v>
      </c>
      <c r="E254" s="67">
        <v>60.1</v>
      </c>
      <c r="F254" s="68">
        <v>903.39</v>
      </c>
      <c r="G254" s="68">
        <f t="shared" ref="G254:G266" si="33">E254*F254</f>
        <v>54293.739000000001</v>
      </c>
      <c r="H254" s="69">
        <v>75336.02</v>
      </c>
      <c r="I254" s="70">
        <f t="shared" ref="I254:I266" si="34">E254*H254</f>
        <v>4527694.8020000001</v>
      </c>
      <c r="J254" s="71" t="s">
        <v>13</v>
      </c>
      <c r="K254" s="72" t="s">
        <v>14</v>
      </c>
    </row>
    <row r="255" spans="1:11" ht="30" x14ac:dyDescent="0.25">
      <c r="A255" s="45">
        <f>A254+1</f>
        <v>240</v>
      </c>
      <c r="B255" s="46">
        <v>46129</v>
      </c>
      <c r="C255" s="12">
        <v>8612955</v>
      </c>
      <c r="D255" s="13">
        <v>50946094</v>
      </c>
      <c r="E255" s="14">
        <v>59.45</v>
      </c>
      <c r="F255" s="21">
        <v>903.39</v>
      </c>
      <c r="G255" s="15">
        <f t="shared" si="33"/>
        <v>53706.535499999998</v>
      </c>
      <c r="H255" s="16">
        <v>75336.02</v>
      </c>
      <c r="I255" s="17">
        <f t="shared" si="34"/>
        <v>4478726.3890000004</v>
      </c>
      <c r="J255" s="22" t="s">
        <v>13</v>
      </c>
      <c r="K255" s="23" t="s">
        <v>14</v>
      </c>
    </row>
    <row r="256" spans="1:11" ht="30" x14ac:dyDescent="0.25">
      <c r="A256" s="45">
        <f t="shared" ref="A256:A266" si="35">A255+1</f>
        <v>241</v>
      </c>
      <c r="B256" s="46">
        <v>46129</v>
      </c>
      <c r="C256" s="12">
        <v>8612950</v>
      </c>
      <c r="D256" s="13">
        <v>51707586</v>
      </c>
      <c r="E256" s="14">
        <v>50.95</v>
      </c>
      <c r="F256" s="21">
        <v>903.39</v>
      </c>
      <c r="G256" s="15">
        <f t="shared" si="33"/>
        <v>46027.720500000003</v>
      </c>
      <c r="H256" s="16">
        <v>75336.02</v>
      </c>
      <c r="I256" s="17">
        <f t="shared" si="34"/>
        <v>3838370.2190000005</v>
      </c>
      <c r="J256" s="22" t="s">
        <v>13</v>
      </c>
      <c r="K256" s="23" t="s">
        <v>14</v>
      </c>
    </row>
    <row r="257" spans="1:11" ht="30" x14ac:dyDescent="0.25">
      <c r="A257" s="45">
        <f t="shared" si="35"/>
        <v>242</v>
      </c>
      <c r="B257" s="46">
        <v>46129</v>
      </c>
      <c r="C257" s="12">
        <v>8612946</v>
      </c>
      <c r="D257" s="13">
        <v>53888376</v>
      </c>
      <c r="E257" s="14">
        <v>59.6</v>
      </c>
      <c r="F257" s="21">
        <v>903.39</v>
      </c>
      <c r="G257" s="15">
        <f t="shared" si="33"/>
        <v>53842.044000000002</v>
      </c>
      <c r="H257" s="16">
        <v>75336.02</v>
      </c>
      <c r="I257" s="17">
        <f t="shared" si="34"/>
        <v>4490026.7920000004</v>
      </c>
      <c r="J257" s="22" t="s">
        <v>13</v>
      </c>
      <c r="K257" s="23" t="s">
        <v>14</v>
      </c>
    </row>
    <row r="258" spans="1:11" ht="30" x14ac:dyDescent="0.25">
      <c r="A258" s="45">
        <f t="shared" si="35"/>
        <v>243</v>
      </c>
      <c r="B258" s="46">
        <v>46129</v>
      </c>
      <c r="C258" s="12">
        <v>8612949</v>
      </c>
      <c r="D258" s="13">
        <v>54244546</v>
      </c>
      <c r="E258" s="14">
        <v>59.9</v>
      </c>
      <c r="F258" s="21">
        <v>903.39</v>
      </c>
      <c r="G258" s="15">
        <f t="shared" si="33"/>
        <v>54113.061000000002</v>
      </c>
      <c r="H258" s="16">
        <v>75336.02</v>
      </c>
      <c r="I258" s="17">
        <f t="shared" si="34"/>
        <v>4512627.5980000002</v>
      </c>
      <c r="J258" s="22" t="s">
        <v>13</v>
      </c>
      <c r="K258" s="23" t="s">
        <v>14</v>
      </c>
    </row>
    <row r="259" spans="1:11" ht="30" x14ac:dyDescent="0.25">
      <c r="A259" s="45">
        <f t="shared" si="35"/>
        <v>244</v>
      </c>
      <c r="B259" s="46">
        <v>46129</v>
      </c>
      <c r="C259" s="12">
        <v>8612942</v>
      </c>
      <c r="D259" s="13">
        <v>55344592</v>
      </c>
      <c r="E259" s="14">
        <v>60.15</v>
      </c>
      <c r="F259" s="21">
        <v>903.39</v>
      </c>
      <c r="G259" s="15">
        <f t="shared" si="33"/>
        <v>54338.908499999998</v>
      </c>
      <c r="H259" s="16">
        <v>75336.02</v>
      </c>
      <c r="I259" s="17">
        <f t="shared" si="34"/>
        <v>4531461.6030000001</v>
      </c>
      <c r="J259" s="22" t="s">
        <v>13</v>
      </c>
      <c r="K259" s="23" t="s">
        <v>14</v>
      </c>
    </row>
    <row r="260" spans="1:11" ht="30" x14ac:dyDescent="0.25">
      <c r="A260" s="45">
        <f t="shared" si="35"/>
        <v>245</v>
      </c>
      <c r="B260" s="46">
        <v>46129</v>
      </c>
      <c r="C260" s="12">
        <v>8612947</v>
      </c>
      <c r="D260" s="13">
        <v>57191827</v>
      </c>
      <c r="E260" s="14">
        <v>59.65</v>
      </c>
      <c r="F260" s="21">
        <v>903.39</v>
      </c>
      <c r="G260" s="15">
        <f t="shared" si="33"/>
        <v>53887.213499999998</v>
      </c>
      <c r="H260" s="16">
        <v>75336.02</v>
      </c>
      <c r="I260" s="17">
        <f t="shared" si="34"/>
        <v>4493793.5930000003</v>
      </c>
      <c r="J260" s="22" t="s">
        <v>13</v>
      </c>
      <c r="K260" s="23" t="s">
        <v>14</v>
      </c>
    </row>
    <row r="261" spans="1:11" ht="30" x14ac:dyDescent="0.25">
      <c r="A261" s="45">
        <f t="shared" si="35"/>
        <v>246</v>
      </c>
      <c r="B261" s="46">
        <v>46129</v>
      </c>
      <c r="C261" s="12">
        <v>8612945</v>
      </c>
      <c r="D261" s="13">
        <v>57391450</v>
      </c>
      <c r="E261" s="14">
        <v>59.65</v>
      </c>
      <c r="F261" s="21">
        <v>903.39</v>
      </c>
      <c r="G261" s="15">
        <f t="shared" si="33"/>
        <v>53887.213499999998</v>
      </c>
      <c r="H261" s="16">
        <v>75336.02</v>
      </c>
      <c r="I261" s="17">
        <f t="shared" si="34"/>
        <v>4493793.5930000003</v>
      </c>
      <c r="J261" s="22" t="s">
        <v>13</v>
      </c>
      <c r="K261" s="23" t="s">
        <v>14</v>
      </c>
    </row>
    <row r="262" spans="1:11" ht="30" x14ac:dyDescent="0.25">
      <c r="A262" s="45">
        <f t="shared" si="35"/>
        <v>247</v>
      </c>
      <c r="B262" s="46">
        <v>46129</v>
      </c>
      <c r="C262" s="12">
        <v>8612952</v>
      </c>
      <c r="D262" s="13">
        <v>73178113</v>
      </c>
      <c r="E262" s="14">
        <v>59.95</v>
      </c>
      <c r="F262" s="21">
        <v>903.39</v>
      </c>
      <c r="G262" s="15">
        <f t="shared" si="33"/>
        <v>54158.230500000005</v>
      </c>
      <c r="H262" s="16">
        <v>75336.02</v>
      </c>
      <c r="I262" s="17">
        <f t="shared" si="34"/>
        <v>4516394.3990000002</v>
      </c>
      <c r="J262" s="22" t="s">
        <v>13</v>
      </c>
      <c r="K262" s="23" t="s">
        <v>14</v>
      </c>
    </row>
    <row r="263" spans="1:11" ht="30" x14ac:dyDescent="0.25">
      <c r="A263" s="45">
        <f t="shared" si="35"/>
        <v>248</v>
      </c>
      <c r="B263" s="46">
        <v>46129</v>
      </c>
      <c r="C263" s="12">
        <v>8612951</v>
      </c>
      <c r="D263" s="13">
        <v>73186835</v>
      </c>
      <c r="E263" s="14">
        <v>59.9</v>
      </c>
      <c r="F263" s="21">
        <v>903.39</v>
      </c>
      <c r="G263" s="15">
        <f t="shared" si="33"/>
        <v>54113.061000000002</v>
      </c>
      <c r="H263" s="16">
        <v>75336.02</v>
      </c>
      <c r="I263" s="17">
        <f t="shared" si="34"/>
        <v>4512627.5980000002</v>
      </c>
      <c r="J263" s="22" t="s">
        <v>13</v>
      </c>
      <c r="K263" s="23" t="s">
        <v>14</v>
      </c>
    </row>
    <row r="264" spans="1:11" ht="30" x14ac:dyDescent="0.25">
      <c r="A264" s="45">
        <f t="shared" si="35"/>
        <v>249</v>
      </c>
      <c r="B264" s="46">
        <v>46129</v>
      </c>
      <c r="C264" s="12">
        <v>8612954</v>
      </c>
      <c r="D264" s="13">
        <v>74942434</v>
      </c>
      <c r="E264" s="14">
        <v>59.95</v>
      </c>
      <c r="F264" s="21">
        <v>903.39</v>
      </c>
      <c r="G264" s="15">
        <f t="shared" si="33"/>
        <v>54158.230500000005</v>
      </c>
      <c r="H264" s="16">
        <v>75336.02</v>
      </c>
      <c r="I264" s="17">
        <f t="shared" si="34"/>
        <v>4516394.3990000002</v>
      </c>
      <c r="J264" s="22" t="s">
        <v>13</v>
      </c>
      <c r="K264" s="23" t="s">
        <v>14</v>
      </c>
    </row>
    <row r="265" spans="1:11" ht="30" x14ac:dyDescent="0.25">
      <c r="A265" s="45">
        <f t="shared" si="35"/>
        <v>250</v>
      </c>
      <c r="B265" s="46">
        <v>46129</v>
      </c>
      <c r="C265" s="12">
        <v>8612956</v>
      </c>
      <c r="D265" s="13">
        <v>75132902</v>
      </c>
      <c r="E265" s="14">
        <v>59.9</v>
      </c>
      <c r="F265" s="21">
        <v>903.39</v>
      </c>
      <c r="G265" s="15">
        <f t="shared" si="33"/>
        <v>54113.061000000002</v>
      </c>
      <c r="H265" s="16">
        <v>75336.02</v>
      </c>
      <c r="I265" s="17">
        <f t="shared" si="34"/>
        <v>4512627.5980000002</v>
      </c>
      <c r="J265" s="22" t="s">
        <v>13</v>
      </c>
      <c r="K265" s="23" t="s">
        <v>14</v>
      </c>
    </row>
    <row r="266" spans="1:11" ht="30.75" thickBot="1" x14ac:dyDescent="0.3">
      <c r="A266" s="47">
        <f t="shared" si="35"/>
        <v>251</v>
      </c>
      <c r="B266" s="48">
        <v>46129</v>
      </c>
      <c r="C266" s="49">
        <v>8612953</v>
      </c>
      <c r="D266" s="50">
        <v>75224048</v>
      </c>
      <c r="E266" s="51">
        <v>60.45</v>
      </c>
      <c r="F266" s="74">
        <v>903.39</v>
      </c>
      <c r="G266" s="52">
        <f t="shared" si="33"/>
        <v>54609.925500000005</v>
      </c>
      <c r="H266" s="53">
        <v>75336.02</v>
      </c>
      <c r="I266" s="54">
        <f t="shared" si="34"/>
        <v>4554062.4090000009</v>
      </c>
      <c r="J266" s="55" t="s">
        <v>13</v>
      </c>
      <c r="K266" s="56" t="s">
        <v>14</v>
      </c>
    </row>
    <row r="267" spans="1:11" ht="15.75" thickBot="1" x14ac:dyDescent="0.3">
      <c r="A267" s="95"/>
      <c r="B267" s="96"/>
      <c r="C267" s="96"/>
      <c r="D267" s="96"/>
      <c r="E267" s="97"/>
      <c r="F267" s="97"/>
      <c r="G267" s="97"/>
      <c r="H267" s="97"/>
      <c r="I267" s="97"/>
      <c r="J267" s="97"/>
      <c r="K267" s="98"/>
    </row>
    <row r="268" spans="1:11" ht="15.75" thickBot="1" x14ac:dyDescent="0.3">
      <c r="A268" s="99"/>
      <c r="B268" s="100"/>
      <c r="C268" s="100"/>
      <c r="D268" s="100"/>
      <c r="E268" s="101"/>
      <c r="F268" s="101"/>
      <c r="G268" s="101"/>
      <c r="H268" s="101"/>
      <c r="I268" s="101"/>
      <c r="J268" s="101"/>
      <c r="K268" s="102"/>
    </row>
    <row r="269" spans="1:1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1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1:11" x14ac:dyDescent="0.25">
      <c r="A271" s="1"/>
      <c r="B271" s="115" t="s">
        <v>15</v>
      </c>
      <c r="C271" s="116"/>
      <c r="D271" s="103"/>
      <c r="E271" s="104">
        <v>15000</v>
      </c>
      <c r="F271" s="1">
        <v>70</v>
      </c>
      <c r="G271" s="1"/>
      <c r="H271" s="1"/>
      <c r="I271" s="1"/>
      <c r="J271" s="1"/>
      <c r="K271" s="1"/>
    </row>
    <row r="272" spans="1:11" x14ac:dyDescent="0.25">
      <c r="A272" s="1"/>
      <c r="B272" s="105" t="s">
        <v>16</v>
      </c>
      <c r="C272" s="106"/>
      <c r="D272" s="107"/>
      <c r="E272" s="108">
        <f>E268</f>
        <v>0</v>
      </c>
      <c r="F272" s="1"/>
      <c r="G272" s="1"/>
      <c r="H272" s="1"/>
      <c r="I272" s="1"/>
      <c r="J272" s="1"/>
      <c r="K272" s="1"/>
    </row>
    <row r="273" spans="1:11" ht="15.75" thickBot="1" x14ac:dyDescent="0.3">
      <c r="A273" s="1"/>
      <c r="B273" s="109" t="s">
        <v>17</v>
      </c>
      <c r="C273" s="110"/>
      <c r="D273" s="111"/>
      <c r="E273" s="112">
        <f>E271-E272</f>
        <v>15000</v>
      </c>
      <c r="F273" s="1"/>
      <c r="G273" s="1"/>
      <c r="H273" s="1"/>
      <c r="I273" s="1"/>
      <c r="J273" s="1"/>
      <c r="K273" s="1"/>
    </row>
    <row r="274" spans="1:1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</sheetData>
  <mergeCells count="3">
    <mergeCell ref="A1:K1"/>
    <mergeCell ref="A2:K2"/>
    <mergeCell ref="B271:C2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Fawad Seddiqi</dc:creator>
  <cp:lastModifiedBy>Sayed Neman Alemi</cp:lastModifiedBy>
  <dcterms:created xsi:type="dcterms:W3CDTF">2015-06-05T18:17:20Z</dcterms:created>
  <dcterms:modified xsi:type="dcterms:W3CDTF">2026-08-02T07:04:02Z</dcterms:modified>
</cp:coreProperties>
</file>