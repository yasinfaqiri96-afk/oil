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 folder\Contract\2026\BNK KHUMOR\"/>
    </mc:Choice>
  </mc:AlternateContent>
  <xr:revisionPtr revIDLastSave="0" documentId="13_ncr:1_{9C0FE763-5076-49A0-8A00-78EACB5FDD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2" i="1" l="1"/>
  <c r="G182" i="1"/>
  <c r="I181" i="1"/>
  <c r="G181" i="1"/>
  <c r="I179" i="1"/>
  <c r="G179" i="1"/>
  <c r="I178" i="1"/>
  <c r="G178" i="1"/>
  <c r="I177" i="1"/>
  <c r="G177" i="1"/>
  <c r="I176" i="1"/>
  <c r="G176" i="1"/>
  <c r="I175" i="1"/>
  <c r="G175" i="1"/>
  <c r="I174" i="1"/>
  <c r="G174" i="1"/>
  <c r="I173" i="1"/>
  <c r="G173" i="1"/>
  <c r="I172" i="1"/>
  <c r="G172" i="1"/>
  <c r="I171" i="1"/>
  <c r="G171" i="1"/>
  <c r="I170" i="1"/>
  <c r="G170" i="1"/>
  <c r="I169" i="1"/>
  <c r="G169" i="1"/>
  <c r="I168" i="1"/>
  <c r="G168" i="1"/>
  <c r="I167" i="1"/>
  <c r="G167" i="1"/>
  <c r="I166" i="1"/>
  <c r="G166" i="1"/>
  <c r="I165" i="1"/>
  <c r="G165" i="1"/>
  <c r="A165" i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I164" i="1"/>
  <c r="G164" i="1"/>
  <c r="I162" i="1"/>
  <c r="G162" i="1"/>
  <c r="I161" i="1"/>
  <c r="G161" i="1"/>
  <c r="I160" i="1"/>
  <c r="G160" i="1"/>
  <c r="I159" i="1"/>
  <c r="G159" i="1"/>
  <c r="I158" i="1"/>
  <c r="G158" i="1"/>
  <c r="I157" i="1"/>
  <c r="G157" i="1"/>
  <c r="I156" i="1"/>
  <c r="G156" i="1"/>
  <c r="I155" i="1"/>
  <c r="G155" i="1"/>
  <c r="I154" i="1"/>
  <c r="G154" i="1"/>
  <c r="A154" i="1"/>
  <c r="A155" i="1" s="1"/>
  <c r="A156" i="1" s="1"/>
  <c r="A157" i="1" s="1"/>
  <c r="A158" i="1" s="1"/>
  <c r="A159" i="1" s="1"/>
  <c r="A160" i="1" s="1"/>
  <c r="A161" i="1" s="1"/>
  <c r="A162" i="1" s="1"/>
  <c r="I153" i="1"/>
  <c r="G153" i="1"/>
  <c r="I151" i="1"/>
  <c r="G151" i="1"/>
  <c r="I150" i="1"/>
  <c r="G150" i="1"/>
  <c r="I149" i="1"/>
  <c r="G149" i="1"/>
  <c r="A149" i="1"/>
  <c r="A150" i="1" s="1"/>
  <c r="A151" i="1" s="1"/>
  <c r="I148" i="1"/>
  <c r="G148" i="1"/>
  <c r="I146" i="1"/>
  <c r="G146" i="1"/>
  <c r="I145" i="1"/>
  <c r="G145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I133" i="1"/>
  <c r="G133" i="1"/>
  <c r="I132" i="1"/>
  <c r="G132" i="1"/>
  <c r="I131" i="1"/>
  <c r="G131" i="1"/>
  <c r="I130" i="1"/>
  <c r="G130" i="1"/>
  <c r="I129" i="1"/>
  <c r="G129" i="1"/>
  <c r="I128" i="1"/>
  <c r="G128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1" i="1"/>
  <c r="G121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G110" i="1"/>
  <c r="I109" i="1"/>
  <c r="G109" i="1"/>
  <c r="I108" i="1"/>
  <c r="G108" i="1"/>
  <c r="I107" i="1"/>
  <c r="G107" i="1"/>
  <c r="I106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G100" i="1"/>
  <c r="I99" i="1"/>
  <c r="G99" i="1"/>
  <c r="I98" i="1"/>
  <c r="G98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A88" i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I87" i="1"/>
  <c r="G87" i="1"/>
  <c r="A87" i="1"/>
  <c r="I86" i="1"/>
  <c r="G86" i="1"/>
  <c r="A86" i="1"/>
  <c r="I85" i="1"/>
  <c r="G85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A69" i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I68" i="1"/>
  <c r="G68" i="1"/>
  <c r="A68" i="1"/>
  <c r="I67" i="1"/>
  <c r="G67" i="1"/>
  <c r="A67" i="1"/>
  <c r="I66" i="1"/>
  <c r="G66" i="1"/>
  <c r="I64" i="1"/>
  <c r="G64" i="1"/>
  <c r="I63" i="1"/>
  <c r="G63" i="1"/>
  <c r="I62" i="1"/>
  <c r="G62" i="1"/>
  <c r="A62" i="1"/>
  <c r="A63" i="1" s="1"/>
  <c r="A64" i="1" s="1"/>
  <c r="I61" i="1"/>
  <c r="G61" i="1"/>
  <c r="I59" i="1"/>
  <c r="G59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A47" i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I46" i="1"/>
  <c r="G46" i="1"/>
  <c r="A46" i="1"/>
  <c r="I45" i="1"/>
  <c r="G45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I23" i="1"/>
  <c r="G23" i="1"/>
  <c r="E184" i="1"/>
  <c r="E188" i="1" s="1"/>
  <c r="E189" i="1" s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I8" i="1"/>
  <c r="G8" i="1"/>
  <c r="A8" i="1"/>
  <c r="I7" i="1"/>
  <c r="G7" i="1"/>
  <c r="A7" i="1"/>
  <c r="I6" i="1"/>
  <c r="G6" i="1"/>
  <c r="F6" i="1"/>
  <c r="G184" i="1" l="1"/>
  <c r="I184" i="1"/>
</calcChain>
</file>

<file path=xl/sharedStrings.xml><?xml version="1.0" encoding="utf-8"?>
<sst xmlns="http://schemas.openxmlformats.org/spreadsheetml/2006/main" count="354" uniqueCount="19">
  <si>
    <t xml:space="preserve"> Contract BNK-KHM/9-4-12/140 dd 29.07.2022, between "BNK-FZCO" (UAE) and "KHUMOR" LLC (KYRGYZ REPUBLIC) </t>
  </si>
  <si>
    <r>
      <t xml:space="preserve">ADDENDUM № 38-M dd </t>
    </r>
    <r>
      <rPr>
        <b/>
        <sz val="11"/>
        <color rgb="FFFF0000"/>
        <rFont val="Times New Roman"/>
        <family val="1"/>
        <charset val="204"/>
      </rPr>
      <t>22.04.26</t>
    </r>
    <r>
      <rPr>
        <b/>
        <sz val="11"/>
        <rFont val="Times New Roman"/>
        <family val="1"/>
        <charset val="204"/>
      </rPr>
      <t xml:space="preserve"> (DAP TRUSOVO) </t>
    </r>
  </si>
  <si>
    <t>Agreement № 1 dd 22.04.2026</t>
  </si>
  <si>
    <t>-44$</t>
  </si>
  <si>
    <t>№</t>
  </si>
  <si>
    <t>Date</t>
  </si>
  <si>
    <t>RWB No</t>
  </si>
  <si>
    <t xml:space="preserve">Wagons No </t>
  </si>
  <si>
    <t>Loaded quantity (MT)</t>
  </si>
  <si>
    <t>Price in april 01.04.26-30.04.26 $</t>
  </si>
  <si>
    <t>Total</t>
  </si>
  <si>
    <t xml:space="preserve">Fix price in rub </t>
  </si>
  <si>
    <t>Consignee</t>
  </si>
  <si>
    <t>Destination</t>
  </si>
  <si>
    <t>Terminal Ilinka</t>
  </si>
  <si>
    <t>Trusowo</t>
  </si>
  <si>
    <t>FULL TONNAGE</t>
  </si>
  <si>
    <t>LOADED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</si>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</sst>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.mm\.yy"/>
    <numFmt numFmtId="165" formatCode="0.000"/>
    <numFmt numFmtId="166" formatCode="[$$-C09]#,##0.00"/>
    <numFmt numFmtId="167" formatCode="[$$-C09]#,##0.000"/>
    <numFmt numFmtId="168" formatCode="#,##0.0000\ [$₽-419]"/>
    <numFmt numFmtId="169" formatCode="#,##0.000\ &quot;₽&quot;"/>
    <numFmt numFmtId="170" formatCode="#,##0.000"/>
    <numFmt numFmtId="171" formatCode="#,##0.00;[Red]#,##0.00"/>
    <numFmt numFmtId="172" formatCode="#,##0.000;[Red]#,##0.000"/>
  </numFmts>
  <fonts count="9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  <font>
      <b/>
      <i/>
      <sz val="11"/>
      <color rgb="FF00B05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C6E0B4"/>
        <bgColor rgb="FF000000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 wrapText="1"/>
    </xf>
    <xf numFmtId="166" fontId="2" fillId="0" borderId="6" xfId="0" applyNumberFormat="1" applyFont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168" fontId="2" fillId="0" borderId="7" xfId="0" applyNumberFormat="1" applyFont="1" applyBorder="1" applyAlignment="1">
      <alignment horizontal="center" vertical="center"/>
    </xf>
    <xf numFmtId="169" fontId="2" fillId="0" borderId="6" xfId="0" applyNumberFormat="1" applyFont="1" applyBorder="1" applyAlignment="1">
      <alignment horizontal="center"/>
    </xf>
    <xf numFmtId="166" fontId="7" fillId="0" borderId="7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 wrapText="1"/>
    </xf>
    <xf numFmtId="166" fontId="2" fillId="0" borderId="7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7" fontId="1" fillId="2" borderId="13" xfId="0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69" fontId="1" fillId="2" borderId="13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166" fontId="7" fillId="0" borderId="6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165" fontId="2" fillId="0" borderId="17" xfId="0" applyNumberFormat="1" applyFont="1" applyBorder="1" applyAlignment="1">
      <alignment horizontal="center" wrapText="1"/>
    </xf>
    <xf numFmtId="167" fontId="2" fillId="0" borderId="18" xfId="0" applyNumberFormat="1" applyFont="1" applyBorder="1" applyAlignment="1">
      <alignment horizontal="center"/>
    </xf>
    <xf numFmtId="169" fontId="2" fillId="0" borderId="18" xfId="0" applyNumberFormat="1" applyFont="1" applyBorder="1" applyAlignment="1">
      <alignment horizontal="center"/>
    </xf>
    <xf numFmtId="166" fontId="7" fillId="0" borderId="17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170" fontId="1" fillId="2" borderId="13" xfId="0" applyNumberFormat="1" applyFont="1" applyFill="1" applyBorder="1" applyAlignment="1">
      <alignment horizontal="center"/>
    </xf>
    <xf numFmtId="165" fontId="2" fillId="0" borderId="11" xfId="0" applyNumberFormat="1" applyFont="1" applyBorder="1" applyAlignment="1">
      <alignment horizontal="center" wrapText="1"/>
    </xf>
    <xf numFmtId="167" fontId="2" fillId="0" borderId="20" xfId="0" applyNumberFormat="1" applyFont="1" applyBorder="1" applyAlignment="1">
      <alignment horizontal="center"/>
    </xf>
    <xf numFmtId="169" fontId="2" fillId="0" borderId="20" xfId="0" applyNumberFormat="1" applyFont="1" applyBorder="1" applyAlignment="1">
      <alignment horizontal="center"/>
    </xf>
    <xf numFmtId="166" fontId="7" fillId="0" borderId="11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167" fontId="2" fillId="0" borderId="7" xfId="0" applyNumberFormat="1" applyFont="1" applyBorder="1" applyAlignment="1">
      <alignment horizontal="center"/>
    </xf>
    <xf numFmtId="169" fontId="2" fillId="0" borderId="7" xfId="0" applyNumberFormat="1" applyFont="1" applyBorder="1" applyAlignment="1">
      <alignment horizontal="center"/>
    </xf>
    <xf numFmtId="0" fontId="7" fillId="0" borderId="23" xfId="0" applyFont="1" applyBorder="1" applyAlignment="1">
      <alignment horizontal="center" vertical="center" wrapText="1"/>
    </xf>
    <xf numFmtId="167" fontId="2" fillId="0" borderId="17" xfId="0" applyNumberFormat="1" applyFont="1" applyBorder="1" applyAlignment="1">
      <alignment horizontal="center"/>
    </xf>
    <xf numFmtId="169" fontId="2" fillId="0" borderId="17" xfId="0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/>
    </xf>
    <xf numFmtId="14" fontId="2" fillId="0" borderId="26" xfId="0" applyNumberFormat="1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 wrapText="1"/>
    </xf>
    <xf numFmtId="167" fontId="2" fillId="0" borderId="26" xfId="0" applyNumberFormat="1" applyFont="1" applyBorder="1" applyAlignment="1">
      <alignment horizontal="center"/>
    </xf>
    <xf numFmtId="169" fontId="2" fillId="0" borderId="26" xfId="0" applyNumberFormat="1" applyFont="1" applyBorder="1" applyAlignment="1">
      <alignment horizontal="center"/>
    </xf>
    <xf numFmtId="166" fontId="7" fillId="0" borderId="26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170" fontId="1" fillId="2" borderId="29" xfId="0" applyNumberFormat="1" applyFont="1" applyFill="1" applyBorder="1" applyAlignment="1">
      <alignment horizontal="center"/>
    </xf>
    <xf numFmtId="167" fontId="1" fillId="2" borderId="29" xfId="0" applyNumberFormat="1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169" fontId="1" fillId="2" borderId="29" xfId="0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7" fontId="2" fillId="0" borderId="11" xfId="0" applyNumberFormat="1" applyFont="1" applyBorder="1" applyAlignment="1">
      <alignment horizontal="center"/>
    </xf>
    <xf numFmtId="169" fontId="2" fillId="0" borderId="11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170" fontId="1" fillId="2" borderId="20" xfId="0" applyNumberFormat="1" applyFont="1" applyFill="1" applyBorder="1" applyAlignment="1">
      <alignment horizontal="center"/>
    </xf>
    <xf numFmtId="167" fontId="1" fillId="2" borderId="20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169" fontId="1" fillId="2" borderId="20" xfId="0" applyNumberFormat="1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14" fontId="2" fillId="0" borderId="20" xfId="0" applyNumberFormat="1" applyFont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166" fontId="2" fillId="0" borderId="17" xfId="0" applyNumberFormat="1" applyFont="1" applyBorder="1" applyAlignment="1">
      <alignment horizontal="center"/>
    </xf>
    <xf numFmtId="168" fontId="2" fillId="0" borderId="17" xfId="0" applyNumberFormat="1" applyFont="1" applyBorder="1" applyAlignment="1">
      <alignment horizontal="center" vertical="center"/>
    </xf>
    <xf numFmtId="166" fontId="2" fillId="0" borderId="35" xfId="0" applyNumberFormat="1" applyFont="1" applyBorder="1" applyAlignment="1">
      <alignment horizontal="center"/>
    </xf>
    <xf numFmtId="168" fontId="2" fillId="0" borderId="6" xfId="0" applyNumberFormat="1" applyFont="1" applyBorder="1" applyAlignment="1">
      <alignment horizontal="center" vertical="center"/>
    </xf>
    <xf numFmtId="166" fontId="2" fillId="0" borderId="36" xfId="0" applyNumberFormat="1" applyFont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70" fontId="1" fillId="3" borderId="13" xfId="0" applyNumberFormat="1" applyFont="1" applyFill="1" applyBorder="1" applyAlignment="1">
      <alignment horizontal="center"/>
    </xf>
    <xf numFmtId="167" fontId="1" fillId="3" borderId="13" xfId="0" applyNumberFormat="1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169" fontId="1" fillId="3" borderId="13" xfId="0" applyNumberFormat="1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171" fontId="1" fillId="0" borderId="40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172" fontId="1" fillId="0" borderId="44" xfId="0" applyNumberFormat="1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172" fontId="8" fillId="0" borderId="4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i%20Ahmad/Downloads/2026%20-%20Loading%20of%20Khumor%20-%20BNK%20(LAST)-1%20(8).xlsx" TargetMode="External"/><Relationship Id="rId1" Type="http://schemas.openxmlformats.org/officeDocument/2006/relationships/externalLinkPath" Target="/Users/Ali%20Ahmad/Downloads/2026%20-%20Loading%20of%20Khumor%20-%20BNK%20(LAST)-1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3-М"/>
      <sheetName val=" 34-M AI-92"/>
      <sheetName val="35-М Diesel DT-E-K5"/>
      <sheetName val="37-М AI-92 15000"/>
      <sheetName val="38-М "/>
      <sheetName val="39-М"/>
      <sheetName val="Platt's 2026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3">
          <cell r="V33">
            <v>1060.0125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"/>
  <sheetViews>
    <sheetView tabSelected="1" topLeftCell="A172" workbookViewId="0">
      <selection activeCell="G193" sqref="G193"/>
    </sheetView>
  </sheetViews>
  <sheetFormatPr defaultRowHeight="15" x14ac:dyDescent="0.25"/>
  <cols>
    <col min="5" max="5" width="13.28515625" customWidth="1"/>
    <col min="7" max="7" width="18.28515625" customWidth="1"/>
    <col min="8" max="8" width="12.7109375" customWidth="1"/>
    <col min="9" max="9" width="19.85546875" customWidth="1"/>
  </cols>
  <sheetData>
    <row r="1" spans="1:11" x14ac:dyDescent="0.25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x14ac:dyDescent="0.25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x14ac:dyDescent="0.25">
      <c r="A3" s="1"/>
      <c r="B3" s="2"/>
      <c r="C3" s="2"/>
      <c r="D3" s="2"/>
      <c r="E3" s="2"/>
      <c r="F3" s="2"/>
      <c r="G3" s="3" t="s">
        <v>2</v>
      </c>
      <c r="H3" s="2"/>
      <c r="I3" s="2"/>
      <c r="J3" s="2"/>
      <c r="K3" s="2"/>
    </row>
    <row r="4" spans="1:11" ht="15.75" thickBot="1" x14ac:dyDescent="0.3">
      <c r="A4" s="2"/>
      <c r="B4" s="2"/>
      <c r="C4" s="2"/>
      <c r="D4" s="2"/>
      <c r="E4" s="2"/>
      <c r="F4" s="4" t="s">
        <v>3</v>
      </c>
      <c r="G4" s="2"/>
      <c r="H4" s="5"/>
      <c r="I4" s="5"/>
      <c r="J4" s="2"/>
      <c r="K4" s="2"/>
    </row>
    <row r="5" spans="1:11" ht="90.75" thickBot="1" x14ac:dyDescent="0.3">
      <c r="A5" s="6" t="s">
        <v>4</v>
      </c>
      <c r="B5" s="7" t="s">
        <v>5</v>
      </c>
      <c r="C5" s="8" t="s">
        <v>6</v>
      </c>
      <c r="D5" s="7" t="s">
        <v>7</v>
      </c>
      <c r="E5" s="7" t="s">
        <v>8</v>
      </c>
      <c r="F5" s="9" t="s">
        <v>9</v>
      </c>
      <c r="G5" s="9" t="s">
        <v>10</v>
      </c>
      <c r="H5" s="10" t="s">
        <v>11</v>
      </c>
      <c r="I5" s="10" t="s">
        <v>10</v>
      </c>
      <c r="J5" s="7" t="s">
        <v>12</v>
      </c>
      <c r="K5" s="11" t="s">
        <v>13</v>
      </c>
    </row>
    <row r="6" spans="1:11" ht="30" x14ac:dyDescent="0.25">
      <c r="A6" s="12">
        <v>1</v>
      </c>
      <c r="B6" s="13">
        <v>46137</v>
      </c>
      <c r="C6" s="14">
        <v>40000334</v>
      </c>
      <c r="D6" s="14">
        <v>50913581</v>
      </c>
      <c r="E6" s="15">
        <v>59.2</v>
      </c>
      <c r="F6" s="16">
        <f>'[1]Platt''s 2026'!V33-44</f>
        <v>1016.0125</v>
      </c>
      <c r="G6" s="17">
        <f>E6*F6</f>
        <v>60147.94</v>
      </c>
      <c r="H6" s="18">
        <v>76.889799999999994</v>
      </c>
      <c r="I6" s="19">
        <f>E6*H6</f>
        <v>4551.8761599999998</v>
      </c>
      <c r="J6" s="20" t="s">
        <v>14</v>
      </c>
      <c r="K6" s="21" t="s">
        <v>15</v>
      </c>
    </row>
    <row r="7" spans="1:11" ht="30" x14ac:dyDescent="0.25">
      <c r="A7" s="22">
        <f>A6+1</f>
        <v>2</v>
      </c>
      <c r="B7" s="23">
        <v>46137</v>
      </c>
      <c r="C7" s="24">
        <v>40000335</v>
      </c>
      <c r="D7" s="24">
        <v>51513158</v>
      </c>
      <c r="E7" s="25">
        <v>50.05</v>
      </c>
      <c r="F7" s="26">
        <v>1016.01</v>
      </c>
      <c r="G7" s="17">
        <f t="shared" ref="G7:G21" si="0">E7*F7</f>
        <v>50851.300499999998</v>
      </c>
      <c r="H7" s="18">
        <v>76.889799999999994</v>
      </c>
      <c r="I7" s="19">
        <f t="shared" ref="I7:I21" si="1">E7*H7</f>
        <v>3848.3344899999993</v>
      </c>
      <c r="J7" s="20" t="s">
        <v>14</v>
      </c>
      <c r="K7" s="21" t="s">
        <v>15</v>
      </c>
    </row>
    <row r="8" spans="1:11" ht="30" x14ac:dyDescent="0.25">
      <c r="A8" s="22">
        <f t="shared" ref="A8:A21" si="2">A7+1</f>
        <v>3</v>
      </c>
      <c r="B8" s="23">
        <v>46137</v>
      </c>
      <c r="C8" s="24">
        <v>40000335</v>
      </c>
      <c r="D8" s="24">
        <v>54702865</v>
      </c>
      <c r="E8" s="25">
        <v>59.7</v>
      </c>
      <c r="F8" s="26">
        <v>1016.01</v>
      </c>
      <c r="G8" s="17">
        <f t="shared" si="0"/>
        <v>60655.797000000006</v>
      </c>
      <c r="H8" s="18">
        <v>76.889799999999994</v>
      </c>
      <c r="I8" s="19">
        <f t="shared" si="1"/>
        <v>4590.3210600000002</v>
      </c>
      <c r="J8" s="20" t="s">
        <v>14</v>
      </c>
      <c r="K8" s="21" t="s">
        <v>15</v>
      </c>
    </row>
    <row r="9" spans="1:11" ht="30" x14ac:dyDescent="0.25">
      <c r="A9" s="22">
        <f t="shared" si="2"/>
        <v>4</v>
      </c>
      <c r="B9" s="23">
        <v>46137</v>
      </c>
      <c r="C9" s="24">
        <v>40000335</v>
      </c>
      <c r="D9" s="24">
        <v>55052153</v>
      </c>
      <c r="E9" s="25">
        <v>59.8</v>
      </c>
      <c r="F9" s="26">
        <v>1016.01</v>
      </c>
      <c r="G9" s="17">
        <f t="shared" si="0"/>
        <v>60757.397999999994</v>
      </c>
      <c r="H9" s="18">
        <v>76.889799999999994</v>
      </c>
      <c r="I9" s="19">
        <f t="shared" si="1"/>
        <v>4598.0100399999992</v>
      </c>
      <c r="J9" s="20" t="s">
        <v>14</v>
      </c>
      <c r="K9" s="21" t="s">
        <v>15</v>
      </c>
    </row>
    <row r="10" spans="1:11" ht="30" x14ac:dyDescent="0.25">
      <c r="A10" s="22">
        <f t="shared" si="2"/>
        <v>5</v>
      </c>
      <c r="B10" s="23">
        <v>46137</v>
      </c>
      <c r="C10" s="24">
        <v>40000335</v>
      </c>
      <c r="D10" s="24">
        <v>57077968</v>
      </c>
      <c r="E10" s="25">
        <v>59.8</v>
      </c>
      <c r="F10" s="26">
        <v>1016.01</v>
      </c>
      <c r="G10" s="17">
        <f t="shared" si="0"/>
        <v>60757.397999999994</v>
      </c>
      <c r="H10" s="18">
        <v>76.889799999999994</v>
      </c>
      <c r="I10" s="19">
        <f t="shared" si="1"/>
        <v>4598.0100399999992</v>
      </c>
      <c r="J10" s="20" t="s">
        <v>14</v>
      </c>
      <c r="K10" s="21" t="s">
        <v>15</v>
      </c>
    </row>
    <row r="11" spans="1:11" ht="30" x14ac:dyDescent="0.25">
      <c r="A11" s="22">
        <f t="shared" si="2"/>
        <v>6</v>
      </c>
      <c r="B11" s="23">
        <v>46137</v>
      </c>
      <c r="C11" s="24">
        <v>40000335</v>
      </c>
      <c r="D11" s="24">
        <v>57634198</v>
      </c>
      <c r="E11" s="25">
        <v>59.2</v>
      </c>
      <c r="F11" s="26">
        <v>1016.01</v>
      </c>
      <c r="G11" s="17">
        <f t="shared" si="0"/>
        <v>60147.792000000001</v>
      </c>
      <c r="H11" s="18">
        <v>76.889799999999994</v>
      </c>
      <c r="I11" s="19">
        <f t="shared" si="1"/>
        <v>4551.8761599999998</v>
      </c>
      <c r="J11" s="20" t="s">
        <v>14</v>
      </c>
      <c r="K11" s="21" t="s">
        <v>15</v>
      </c>
    </row>
    <row r="12" spans="1:11" ht="30" x14ac:dyDescent="0.25">
      <c r="A12" s="22">
        <f t="shared" si="2"/>
        <v>7</v>
      </c>
      <c r="B12" s="23">
        <v>46137</v>
      </c>
      <c r="C12" s="24">
        <v>40000335</v>
      </c>
      <c r="D12" s="24">
        <v>73187700</v>
      </c>
      <c r="E12" s="25">
        <v>59.8</v>
      </c>
      <c r="F12" s="26">
        <v>1016.01</v>
      </c>
      <c r="G12" s="17">
        <f t="shared" si="0"/>
        <v>60757.397999999994</v>
      </c>
      <c r="H12" s="18">
        <v>76.889799999999994</v>
      </c>
      <c r="I12" s="19">
        <f t="shared" si="1"/>
        <v>4598.0100399999992</v>
      </c>
      <c r="J12" s="20" t="s">
        <v>14</v>
      </c>
      <c r="K12" s="21" t="s">
        <v>15</v>
      </c>
    </row>
    <row r="13" spans="1:11" ht="30" x14ac:dyDescent="0.25">
      <c r="A13" s="22">
        <f t="shared" si="2"/>
        <v>8</v>
      </c>
      <c r="B13" s="23">
        <v>46137</v>
      </c>
      <c r="C13" s="24">
        <v>40000335</v>
      </c>
      <c r="D13" s="24">
        <v>73197956</v>
      </c>
      <c r="E13" s="25">
        <v>59.8</v>
      </c>
      <c r="F13" s="26">
        <v>1016.01</v>
      </c>
      <c r="G13" s="17">
        <f t="shared" si="0"/>
        <v>60757.397999999994</v>
      </c>
      <c r="H13" s="18">
        <v>76.889799999999994</v>
      </c>
      <c r="I13" s="19">
        <f t="shared" si="1"/>
        <v>4598.0100399999992</v>
      </c>
      <c r="J13" s="20" t="s">
        <v>14</v>
      </c>
      <c r="K13" s="21" t="s">
        <v>15</v>
      </c>
    </row>
    <row r="14" spans="1:11" ht="30" x14ac:dyDescent="0.25">
      <c r="A14" s="22">
        <f t="shared" si="2"/>
        <v>9</v>
      </c>
      <c r="B14" s="23">
        <v>46137</v>
      </c>
      <c r="C14" s="24">
        <v>40000335</v>
      </c>
      <c r="D14" s="24">
        <v>73198210</v>
      </c>
      <c r="E14" s="25">
        <v>59.85</v>
      </c>
      <c r="F14" s="26">
        <v>1016.01</v>
      </c>
      <c r="G14" s="17">
        <f t="shared" si="0"/>
        <v>60808.198499999999</v>
      </c>
      <c r="H14" s="18">
        <v>76.889799999999994</v>
      </c>
      <c r="I14" s="19">
        <f t="shared" si="1"/>
        <v>4601.8545299999996</v>
      </c>
      <c r="J14" s="20" t="s">
        <v>14</v>
      </c>
      <c r="K14" s="21" t="s">
        <v>15</v>
      </c>
    </row>
    <row r="15" spans="1:11" ht="30" x14ac:dyDescent="0.25">
      <c r="A15" s="22">
        <f t="shared" si="2"/>
        <v>10</v>
      </c>
      <c r="B15" s="23">
        <v>46137</v>
      </c>
      <c r="C15" s="24">
        <v>40000335</v>
      </c>
      <c r="D15" s="24">
        <v>74084245</v>
      </c>
      <c r="E15" s="25">
        <v>59.8</v>
      </c>
      <c r="F15" s="26">
        <v>1016.01</v>
      </c>
      <c r="G15" s="17">
        <f t="shared" si="0"/>
        <v>60757.397999999994</v>
      </c>
      <c r="H15" s="18">
        <v>76.889799999999994</v>
      </c>
      <c r="I15" s="19">
        <f t="shared" si="1"/>
        <v>4598.0100399999992</v>
      </c>
      <c r="J15" s="20" t="s">
        <v>14</v>
      </c>
      <c r="K15" s="21" t="s">
        <v>15</v>
      </c>
    </row>
    <row r="16" spans="1:11" ht="30" x14ac:dyDescent="0.25">
      <c r="A16" s="22">
        <f t="shared" si="2"/>
        <v>11</v>
      </c>
      <c r="B16" s="23">
        <v>46137</v>
      </c>
      <c r="C16" s="24">
        <v>40000334</v>
      </c>
      <c r="D16" s="24">
        <v>75316208</v>
      </c>
      <c r="E16" s="25">
        <v>60.3</v>
      </c>
      <c r="F16" s="26">
        <v>1016.01</v>
      </c>
      <c r="G16" s="17">
        <f t="shared" si="0"/>
        <v>61265.402999999998</v>
      </c>
      <c r="H16" s="18">
        <v>76.889799999999994</v>
      </c>
      <c r="I16" s="19">
        <f t="shared" si="1"/>
        <v>4636.4549399999996</v>
      </c>
      <c r="J16" s="20" t="s">
        <v>14</v>
      </c>
      <c r="K16" s="21" t="s">
        <v>15</v>
      </c>
    </row>
    <row r="17" spans="1:11" ht="30" x14ac:dyDescent="0.25">
      <c r="A17" s="22">
        <f t="shared" si="2"/>
        <v>12</v>
      </c>
      <c r="B17" s="23">
        <v>46137</v>
      </c>
      <c r="C17" s="24">
        <v>40000334</v>
      </c>
      <c r="D17" s="24">
        <v>75316265</v>
      </c>
      <c r="E17" s="25">
        <v>60.25</v>
      </c>
      <c r="F17" s="26">
        <v>1016.01</v>
      </c>
      <c r="G17" s="17">
        <f t="shared" si="0"/>
        <v>61214.602500000001</v>
      </c>
      <c r="H17" s="18">
        <v>76.889799999999994</v>
      </c>
      <c r="I17" s="19">
        <f t="shared" si="1"/>
        <v>4632.6104499999992</v>
      </c>
      <c r="J17" s="20" t="s">
        <v>14</v>
      </c>
      <c r="K17" s="21" t="s">
        <v>15</v>
      </c>
    </row>
    <row r="18" spans="1:11" ht="30" x14ac:dyDescent="0.25">
      <c r="A18" s="22">
        <f t="shared" si="2"/>
        <v>13</v>
      </c>
      <c r="B18" s="23">
        <v>46137</v>
      </c>
      <c r="C18" s="24">
        <v>40000334</v>
      </c>
      <c r="D18" s="24">
        <v>75316356</v>
      </c>
      <c r="E18" s="25">
        <v>60.45</v>
      </c>
      <c r="F18" s="26">
        <v>1016.01</v>
      </c>
      <c r="G18" s="17">
        <f t="shared" si="0"/>
        <v>61417.804500000006</v>
      </c>
      <c r="H18" s="18">
        <v>76.889799999999994</v>
      </c>
      <c r="I18" s="19">
        <f t="shared" si="1"/>
        <v>4647.9884099999999</v>
      </c>
      <c r="J18" s="20" t="s">
        <v>14</v>
      </c>
      <c r="K18" s="21" t="s">
        <v>15</v>
      </c>
    </row>
    <row r="19" spans="1:11" ht="30" x14ac:dyDescent="0.25">
      <c r="A19" s="22">
        <f t="shared" si="2"/>
        <v>14</v>
      </c>
      <c r="B19" s="23">
        <v>46137</v>
      </c>
      <c r="C19" s="24">
        <v>40000334</v>
      </c>
      <c r="D19" s="24">
        <v>75316463</v>
      </c>
      <c r="E19" s="25">
        <v>60.6</v>
      </c>
      <c r="F19" s="26">
        <v>1016.01</v>
      </c>
      <c r="G19" s="17">
        <f t="shared" si="0"/>
        <v>61570.205999999998</v>
      </c>
      <c r="H19" s="18">
        <v>76.889799999999994</v>
      </c>
      <c r="I19" s="19">
        <f t="shared" si="1"/>
        <v>4659.5218799999993</v>
      </c>
      <c r="J19" s="20" t="s">
        <v>14</v>
      </c>
      <c r="K19" s="21" t="s">
        <v>15</v>
      </c>
    </row>
    <row r="20" spans="1:11" ht="30" x14ac:dyDescent="0.25">
      <c r="A20" s="22">
        <f t="shared" si="2"/>
        <v>15</v>
      </c>
      <c r="B20" s="23">
        <v>46137</v>
      </c>
      <c r="C20" s="24">
        <v>40000334</v>
      </c>
      <c r="D20" s="24">
        <v>75316513</v>
      </c>
      <c r="E20" s="25">
        <v>60.45</v>
      </c>
      <c r="F20" s="26">
        <v>1016.01</v>
      </c>
      <c r="G20" s="17">
        <f t="shared" si="0"/>
        <v>61417.804500000006</v>
      </c>
      <c r="H20" s="18">
        <v>76.889799999999994</v>
      </c>
      <c r="I20" s="19">
        <f t="shared" si="1"/>
        <v>4647.9884099999999</v>
      </c>
      <c r="J20" s="20" t="s">
        <v>14</v>
      </c>
      <c r="K20" s="21" t="s">
        <v>15</v>
      </c>
    </row>
    <row r="21" spans="1:11" ht="30.75" thickBot="1" x14ac:dyDescent="0.3">
      <c r="A21" s="27">
        <f t="shared" si="2"/>
        <v>16</v>
      </c>
      <c r="B21" s="28">
        <v>46137</v>
      </c>
      <c r="C21" s="29">
        <v>40000334</v>
      </c>
      <c r="D21" s="29">
        <v>75318881</v>
      </c>
      <c r="E21" s="25">
        <v>60.3</v>
      </c>
      <c r="F21" s="26">
        <v>1016.01</v>
      </c>
      <c r="G21" s="17">
        <f t="shared" si="0"/>
        <v>61265.402999999998</v>
      </c>
      <c r="H21" s="18">
        <v>76.889799999999994</v>
      </c>
      <c r="I21" s="19">
        <f t="shared" si="1"/>
        <v>4636.4549399999996</v>
      </c>
      <c r="J21" s="20" t="s">
        <v>14</v>
      </c>
      <c r="K21" s="21" t="s">
        <v>15</v>
      </c>
    </row>
    <row r="22" spans="1:11" ht="15.75" thickBot="1" x14ac:dyDescent="0.3">
      <c r="A22" s="30"/>
      <c r="B22" s="31"/>
      <c r="C22" s="31"/>
      <c r="D22" s="31"/>
      <c r="E22" s="32"/>
      <c r="F22" s="31"/>
      <c r="G22" s="33"/>
      <c r="H22" s="34"/>
      <c r="I22" s="35"/>
      <c r="J22" s="31"/>
      <c r="K22" s="36"/>
    </row>
    <row r="23" spans="1:11" ht="30" x14ac:dyDescent="0.25">
      <c r="A23" s="12">
        <v>17</v>
      </c>
      <c r="B23" s="13">
        <v>46139</v>
      </c>
      <c r="C23" s="14">
        <v>40000615</v>
      </c>
      <c r="D23" s="14">
        <v>50175595</v>
      </c>
      <c r="E23" s="15">
        <v>60.3</v>
      </c>
      <c r="F23" s="26">
        <v>1016.01</v>
      </c>
      <c r="G23" s="17">
        <f t="shared" ref="G23:G43" si="3">E23*F23</f>
        <v>61265.402999999998</v>
      </c>
      <c r="H23" s="18">
        <v>76.889799999999994</v>
      </c>
      <c r="I23" s="19">
        <f t="shared" ref="I23:I43" si="4">E23*H23</f>
        <v>4636.4549399999996</v>
      </c>
      <c r="J23" s="37" t="s">
        <v>14</v>
      </c>
      <c r="K23" s="38" t="s">
        <v>15</v>
      </c>
    </row>
    <row r="24" spans="1:11" ht="30" x14ac:dyDescent="0.25">
      <c r="A24" s="22">
        <f>A23+1</f>
        <v>18</v>
      </c>
      <c r="B24" s="23">
        <v>46139</v>
      </c>
      <c r="C24" s="24">
        <v>40000615</v>
      </c>
      <c r="D24" s="24">
        <v>50485044</v>
      </c>
      <c r="E24" s="25">
        <v>59.3</v>
      </c>
      <c r="F24" s="26">
        <v>1016.01</v>
      </c>
      <c r="G24" s="17">
        <f t="shared" si="3"/>
        <v>60249.392999999996</v>
      </c>
      <c r="H24" s="18">
        <v>76.889799999999994</v>
      </c>
      <c r="I24" s="19">
        <f t="shared" si="4"/>
        <v>4559.5651399999997</v>
      </c>
      <c r="J24" s="20" t="s">
        <v>14</v>
      </c>
      <c r="K24" s="21" t="s">
        <v>15</v>
      </c>
    </row>
    <row r="25" spans="1:11" ht="30" x14ac:dyDescent="0.25">
      <c r="A25" s="22">
        <f t="shared" ref="A25:A43" si="5">A24+1</f>
        <v>19</v>
      </c>
      <c r="B25" s="23">
        <v>46139</v>
      </c>
      <c r="C25" s="24">
        <v>40000616</v>
      </c>
      <c r="D25" s="24">
        <v>51247757</v>
      </c>
      <c r="E25" s="25">
        <v>59.4</v>
      </c>
      <c r="F25" s="26">
        <v>1016.01</v>
      </c>
      <c r="G25" s="17">
        <f t="shared" si="3"/>
        <v>60350.993999999999</v>
      </c>
      <c r="H25" s="18">
        <v>76.889799999999994</v>
      </c>
      <c r="I25" s="19">
        <f t="shared" si="4"/>
        <v>4567.2541199999996</v>
      </c>
      <c r="J25" s="20" t="s">
        <v>14</v>
      </c>
      <c r="K25" s="21" t="s">
        <v>15</v>
      </c>
    </row>
    <row r="26" spans="1:11" ht="30" x14ac:dyDescent="0.25">
      <c r="A26" s="22">
        <f t="shared" si="5"/>
        <v>20</v>
      </c>
      <c r="B26" s="23">
        <v>46139</v>
      </c>
      <c r="C26" s="24">
        <v>40000616</v>
      </c>
      <c r="D26" s="24">
        <v>51404655</v>
      </c>
      <c r="E26" s="25">
        <v>59.25</v>
      </c>
      <c r="F26" s="26">
        <v>1016.01</v>
      </c>
      <c r="G26" s="17">
        <f t="shared" si="3"/>
        <v>60198.592499999999</v>
      </c>
      <c r="H26" s="18">
        <v>76.889799999999994</v>
      </c>
      <c r="I26" s="19">
        <f t="shared" si="4"/>
        <v>4555.7206499999993</v>
      </c>
      <c r="J26" s="20" t="s">
        <v>14</v>
      </c>
      <c r="K26" s="21" t="s">
        <v>15</v>
      </c>
    </row>
    <row r="27" spans="1:11" ht="30" x14ac:dyDescent="0.25">
      <c r="A27" s="22">
        <f t="shared" si="5"/>
        <v>21</v>
      </c>
      <c r="B27" s="23">
        <v>46139</v>
      </c>
      <c r="C27" s="24">
        <v>40000615</v>
      </c>
      <c r="D27" s="24">
        <v>51435451</v>
      </c>
      <c r="E27" s="25">
        <v>51</v>
      </c>
      <c r="F27" s="26">
        <v>1016.01</v>
      </c>
      <c r="G27" s="17">
        <f t="shared" si="3"/>
        <v>51816.51</v>
      </c>
      <c r="H27" s="18">
        <v>76.889799999999994</v>
      </c>
      <c r="I27" s="19">
        <f t="shared" si="4"/>
        <v>3921.3797999999997</v>
      </c>
      <c r="J27" s="20" t="s">
        <v>14</v>
      </c>
      <c r="K27" s="21" t="s">
        <v>15</v>
      </c>
    </row>
    <row r="28" spans="1:11" ht="30" x14ac:dyDescent="0.25">
      <c r="A28" s="22">
        <f t="shared" si="5"/>
        <v>22</v>
      </c>
      <c r="B28" s="23">
        <v>46139</v>
      </c>
      <c r="C28" s="24">
        <v>40000615</v>
      </c>
      <c r="D28" s="24">
        <v>51543791</v>
      </c>
      <c r="E28" s="25">
        <v>59.05</v>
      </c>
      <c r="F28" s="26">
        <v>1016.01</v>
      </c>
      <c r="G28" s="17">
        <f t="shared" si="3"/>
        <v>59995.390499999994</v>
      </c>
      <c r="H28" s="18">
        <v>76.889799999999994</v>
      </c>
      <c r="I28" s="19">
        <f t="shared" si="4"/>
        <v>4540.3426899999995</v>
      </c>
      <c r="J28" s="20" t="s">
        <v>14</v>
      </c>
      <c r="K28" s="21" t="s">
        <v>15</v>
      </c>
    </row>
    <row r="29" spans="1:11" ht="30" x14ac:dyDescent="0.25">
      <c r="A29" s="22">
        <f t="shared" si="5"/>
        <v>23</v>
      </c>
      <c r="B29" s="23">
        <v>46139</v>
      </c>
      <c r="C29" s="24">
        <v>40000616</v>
      </c>
      <c r="D29" s="24">
        <v>53872081</v>
      </c>
      <c r="E29" s="25">
        <v>59.25</v>
      </c>
      <c r="F29" s="26">
        <v>1016.01</v>
      </c>
      <c r="G29" s="17">
        <f t="shared" si="3"/>
        <v>60198.592499999999</v>
      </c>
      <c r="H29" s="18">
        <v>76.889799999999994</v>
      </c>
      <c r="I29" s="19">
        <f t="shared" si="4"/>
        <v>4555.7206499999993</v>
      </c>
      <c r="J29" s="20" t="s">
        <v>14</v>
      </c>
      <c r="K29" s="21" t="s">
        <v>15</v>
      </c>
    </row>
    <row r="30" spans="1:11" ht="30" x14ac:dyDescent="0.25">
      <c r="A30" s="22">
        <f t="shared" si="5"/>
        <v>24</v>
      </c>
      <c r="B30" s="23">
        <v>46139</v>
      </c>
      <c r="C30" s="24">
        <v>40000615</v>
      </c>
      <c r="D30" s="24">
        <v>54596887</v>
      </c>
      <c r="E30" s="25">
        <v>59.3</v>
      </c>
      <c r="F30" s="26">
        <v>1016.01</v>
      </c>
      <c r="G30" s="17">
        <f t="shared" si="3"/>
        <v>60249.392999999996</v>
      </c>
      <c r="H30" s="18">
        <v>76.889799999999994</v>
      </c>
      <c r="I30" s="19">
        <f t="shared" si="4"/>
        <v>4559.5651399999997</v>
      </c>
      <c r="J30" s="20" t="s">
        <v>14</v>
      </c>
      <c r="K30" s="21" t="s">
        <v>15</v>
      </c>
    </row>
    <row r="31" spans="1:11" ht="30" x14ac:dyDescent="0.25">
      <c r="A31" s="22">
        <f t="shared" si="5"/>
        <v>25</v>
      </c>
      <c r="B31" s="23">
        <v>46139</v>
      </c>
      <c r="C31" s="24">
        <v>40000616</v>
      </c>
      <c r="D31" s="24">
        <v>57134157</v>
      </c>
      <c r="E31" s="25">
        <v>59.2</v>
      </c>
      <c r="F31" s="26">
        <v>1016.01</v>
      </c>
      <c r="G31" s="17">
        <f t="shared" si="3"/>
        <v>60147.792000000001</v>
      </c>
      <c r="H31" s="18">
        <v>76.889799999999994</v>
      </c>
      <c r="I31" s="19">
        <f t="shared" si="4"/>
        <v>4551.8761599999998</v>
      </c>
      <c r="J31" s="20" t="s">
        <v>14</v>
      </c>
      <c r="K31" s="21" t="s">
        <v>15</v>
      </c>
    </row>
    <row r="32" spans="1:11" ht="30" x14ac:dyDescent="0.25">
      <c r="A32" s="22">
        <f t="shared" si="5"/>
        <v>26</v>
      </c>
      <c r="B32" s="23">
        <v>46139</v>
      </c>
      <c r="C32" s="24">
        <v>40000616</v>
      </c>
      <c r="D32" s="24">
        <v>57173874</v>
      </c>
      <c r="E32" s="25">
        <v>59.7</v>
      </c>
      <c r="F32" s="26">
        <v>1016.01</v>
      </c>
      <c r="G32" s="17">
        <f t="shared" si="3"/>
        <v>60655.797000000006</v>
      </c>
      <c r="H32" s="18">
        <v>76.889799999999994</v>
      </c>
      <c r="I32" s="19">
        <f t="shared" si="4"/>
        <v>4590.3210600000002</v>
      </c>
      <c r="J32" s="20" t="s">
        <v>14</v>
      </c>
      <c r="K32" s="21" t="s">
        <v>15</v>
      </c>
    </row>
    <row r="33" spans="1:11" ht="30" x14ac:dyDescent="0.25">
      <c r="A33" s="22">
        <f t="shared" si="5"/>
        <v>27</v>
      </c>
      <c r="B33" s="23">
        <v>46139</v>
      </c>
      <c r="C33" s="24">
        <v>40000616</v>
      </c>
      <c r="D33" s="24">
        <v>57643892</v>
      </c>
      <c r="E33" s="25">
        <v>59.45</v>
      </c>
      <c r="F33" s="26">
        <v>1016.01</v>
      </c>
      <c r="G33" s="17">
        <f t="shared" si="3"/>
        <v>60401.794500000004</v>
      </c>
      <c r="H33" s="18">
        <v>76.889799999999994</v>
      </c>
      <c r="I33" s="19">
        <f t="shared" si="4"/>
        <v>4571.09861</v>
      </c>
      <c r="J33" s="20" t="s">
        <v>14</v>
      </c>
      <c r="K33" s="21" t="s">
        <v>15</v>
      </c>
    </row>
    <row r="34" spans="1:11" ht="30" x14ac:dyDescent="0.25">
      <c r="A34" s="22">
        <f t="shared" si="5"/>
        <v>28</v>
      </c>
      <c r="B34" s="23">
        <v>46139</v>
      </c>
      <c r="C34" s="24">
        <v>40000616</v>
      </c>
      <c r="D34" s="24">
        <v>58709866</v>
      </c>
      <c r="E34" s="25">
        <v>59.75</v>
      </c>
      <c r="F34" s="26">
        <v>1016.01</v>
      </c>
      <c r="G34" s="17">
        <f t="shared" si="3"/>
        <v>60706.597499999996</v>
      </c>
      <c r="H34" s="18">
        <v>76.889799999999994</v>
      </c>
      <c r="I34" s="19">
        <f t="shared" si="4"/>
        <v>4594.1655499999997</v>
      </c>
      <c r="J34" s="20" t="s">
        <v>14</v>
      </c>
      <c r="K34" s="21" t="s">
        <v>15</v>
      </c>
    </row>
    <row r="35" spans="1:11" ht="30" x14ac:dyDescent="0.25">
      <c r="A35" s="22">
        <f t="shared" si="5"/>
        <v>29</v>
      </c>
      <c r="B35" s="23">
        <v>46139</v>
      </c>
      <c r="C35" s="24">
        <v>40000615</v>
      </c>
      <c r="D35" s="24">
        <v>73036782</v>
      </c>
      <c r="E35" s="25">
        <v>59.75</v>
      </c>
      <c r="F35" s="26">
        <v>1016.01</v>
      </c>
      <c r="G35" s="17">
        <f t="shared" si="3"/>
        <v>60706.597499999996</v>
      </c>
      <c r="H35" s="18">
        <v>76.889799999999994</v>
      </c>
      <c r="I35" s="19">
        <f t="shared" si="4"/>
        <v>4594.1655499999997</v>
      </c>
      <c r="J35" s="20" t="s">
        <v>14</v>
      </c>
      <c r="K35" s="21" t="s">
        <v>15</v>
      </c>
    </row>
    <row r="36" spans="1:11" ht="30" x14ac:dyDescent="0.25">
      <c r="A36" s="22">
        <f t="shared" si="5"/>
        <v>30</v>
      </c>
      <c r="B36" s="23">
        <v>46139</v>
      </c>
      <c r="C36" s="24">
        <v>40000615</v>
      </c>
      <c r="D36" s="24">
        <v>73043010</v>
      </c>
      <c r="E36" s="25">
        <v>59.85</v>
      </c>
      <c r="F36" s="26">
        <v>1016.01</v>
      </c>
      <c r="G36" s="17">
        <f t="shared" si="3"/>
        <v>60808.198499999999</v>
      </c>
      <c r="H36" s="18">
        <v>76.889799999999994</v>
      </c>
      <c r="I36" s="19">
        <f t="shared" si="4"/>
        <v>4601.8545299999996</v>
      </c>
      <c r="J36" s="20" t="s">
        <v>14</v>
      </c>
      <c r="K36" s="21" t="s">
        <v>15</v>
      </c>
    </row>
    <row r="37" spans="1:11" ht="30" x14ac:dyDescent="0.25">
      <c r="A37" s="22">
        <f t="shared" si="5"/>
        <v>31</v>
      </c>
      <c r="B37" s="23">
        <v>46139</v>
      </c>
      <c r="C37" s="24">
        <v>40000615</v>
      </c>
      <c r="D37" s="24">
        <v>73222838</v>
      </c>
      <c r="E37" s="25">
        <v>59.8</v>
      </c>
      <c r="F37" s="26">
        <v>1016.01</v>
      </c>
      <c r="G37" s="17">
        <f t="shared" si="3"/>
        <v>60757.397999999994</v>
      </c>
      <c r="H37" s="18">
        <v>76.889799999999994</v>
      </c>
      <c r="I37" s="19">
        <f t="shared" si="4"/>
        <v>4598.0100399999992</v>
      </c>
      <c r="J37" s="20" t="s">
        <v>14</v>
      </c>
      <c r="K37" s="21" t="s">
        <v>15</v>
      </c>
    </row>
    <row r="38" spans="1:11" ht="30" x14ac:dyDescent="0.25">
      <c r="A38" s="22">
        <f t="shared" si="5"/>
        <v>32</v>
      </c>
      <c r="B38" s="23">
        <v>46139</v>
      </c>
      <c r="C38" s="24">
        <v>40000615</v>
      </c>
      <c r="D38" s="24">
        <v>73224131</v>
      </c>
      <c r="E38" s="25">
        <v>59.8</v>
      </c>
      <c r="F38" s="26">
        <v>1016.01</v>
      </c>
      <c r="G38" s="17">
        <f t="shared" si="3"/>
        <v>60757.397999999994</v>
      </c>
      <c r="H38" s="18">
        <v>76.889799999999994</v>
      </c>
      <c r="I38" s="19">
        <f t="shared" si="4"/>
        <v>4598.0100399999992</v>
      </c>
      <c r="J38" s="20" t="s">
        <v>14</v>
      </c>
      <c r="K38" s="21" t="s">
        <v>15</v>
      </c>
    </row>
    <row r="39" spans="1:11" ht="30" x14ac:dyDescent="0.25">
      <c r="A39" s="22">
        <f t="shared" si="5"/>
        <v>33</v>
      </c>
      <c r="B39" s="23">
        <v>46139</v>
      </c>
      <c r="C39" s="24">
        <v>40000616</v>
      </c>
      <c r="D39" s="24">
        <v>74946351</v>
      </c>
      <c r="E39" s="25">
        <v>59.25</v>
      </c>
      <c r="F39" s="26">
        <v>1016.01</v>
      </c>
      <c r="G39" s="17">
        <f t="shared" si="3"/>
        <v>60198.592499999999</v>
      </c>
      <c r="H39" s="18">
        <v>76.889799999999994</v>
      </c>
      <c r="I39" s="19">
        <f t="shared" si="4"/>
        <v>4555.7206499999993</v>
      </c>
      <c r="J39" s="20" t="s">
        <v>14</v>
      </c>
      <c r="K39" s="21" t="s">
        <v>15</v>
      </c>
    </row>
    <row r="40" spans="1:11" ht="30" x14ac:dyDescent="0.25">
      <c r="A40" s="22">
        <f t="shared" si="5"/>
        <v>34</v>
      </c>
      <c r="B40" s="23">
        <v>46139</v>
      </c>
      <c r="C40" s="24">
        <v>40000616</v>
      </c>
      <c r="D40" s="24">
        <v>75005249</v>
      </c>
      <c r="E40" s="25">
        <v>59.4</v>
      </c>
      <c r="F40" s="26">
        <v>1016.01</v>
      </c>
      <c r="G40" s="17">
        <f t="shared" si="3"/>
        <v>60350.993999999999</v>
      </c>
      <c r="H40" s="18">
        <v>76.889799999999994</v>
      </c>
      <c r="I40" s="19">
        <f t="shared" si="4"/>
        <v>4567.2541199999996</v>
      </c>
      <c r="J40" s="20" t="s">
        <v>14</v>
      </c>
      <c r="K40" s="21" t="s">
        <v>15</v>
      </c>
    </row>
    <row r="41" spans="1:11" ht="30" x14ac:dyDescent="0.25">
      <c r="A41" s="22">
        <f t="shared" si="5"/>
        <v>35</v>
      </c>
      <c r="B41" s="23">
        <v>46139</v>
      </c>
      <c r="C41" s="24">
        <v>40000615</v>
      </c>
      <c r="D41" s="24">
        <v>75330274</v>
      </c>
      <c r="E41" s="25">
        <v>59.8</v>
      </c>
      <c r="F41" s="26">
        <v>1016.01</v>
      </c>
      <c r="G41" s="17">
        <f t="shared" si="3"/>
        <v>60757.397999999994</v>
      </c>
      <c r="H41" s="18">
        <v>76.889799999999994</v>
      </c>
      <c r="I41" s="19">
        <f t="shared" si="4"/>
        <v>4598.0100399999992</v>
      </c>
      <c r="J41" s="20" t="s">
        <v>14</v>
      </c>
      <c r="K41" s="21" t="s">
        <v>15</v>
      </c>
    </row>
    <row r="42" spans="1:11" ht="30" x14ac:dyDescent="0.25">
      <c r="A42" s="22">
        <f t="shared" si="5"/>
        <v>36</v>
      </c>
      <c r="B42" s="23">
        <v>46139</v>
      </c>
      <c r="C42" s="24">
        <v>40000615</v>
      </c>
      <c r="D42" s="24">
        <v>75330340</v>
      </c>
      <c r="E42" s="25">
        <v>60.65</v>
      </c>
      <c r="F42" s="26">
        <v>1016.01</v>
      </c>
      <c r="G42" s="17">
        <f t="shared" si="3"/>
        <v>61621.006499999996</v>
      </c>
      <c r="H42" s="18">
        <v>76.889799999999994</v>
      </c>
      <c r="I42" s="19">
        <f t="shared" si="4"/>
        <v>4663.3663699999997</v>
      </c>
      <c r="J42" s="20" t="s">
        <v>14</v>
      </c>
      <c r="K42" s="21" t="s">
        <v>15</v>
      </c>
    </row>
    <row r="43" spans="1:11" ht="30.75" thickBot="1" x14ac:dyDescent="0.3">
      <c r="A43" s="39">
        <f t="shared" si="5"/>
        <v>37</v>
      </c>
      <c r="B43" s="40">
        <v>46139</v>
      </c>
      <c r="C43" s="41">
        <v>40000615</v>
      </c>
      <c r="D43" s="41">
        <v>75332239</v>
      </c>
      <c r="E43" s="42">
        <v>60.4</v>
      </c>
      <c r="F43" s="26">
        <v>1016.01</v>
      </c>
      <c r="G43" s="43">
        <f t="shared" si="3"/>
        <v>61367.004000000001</v>
      </c>
      <c r="H43" s="18">
        <v>76.889799999999994</v>
      </c>
      <c r="I43" s="44">
        <f t="shared" si="4"/>
        <v>4644.1439199999995</v>
      </c>
      <c r="J43" s="45" t="s">
        <v>14</v>
      </c>
      <c r="K43" s="46" t="s">
        <v>15</v>
      </c>
    </row>
    <row r="44" spans="1:11" ht="15.75" thickBot="1" x14ac:dyDescent="0.3">
      <c r="A44" s="30"/>
      <c r="B44" s="31"/>
      <c r="C44" s="31"/>
      <c r="D44" s="31"/>
      <c r="E44" s="47"/>
      <c r="F44" s="31"/>
      <c r="G44" s="33"/>
      <c r="H44" s="34"/>
      <c r="I44" s="35"/>
      <c r="J44" s="31"/>
      <c r="K44" s="36"/>
    </row>
    <row r="45" spans="1:11" ht="30" x14ac:dyDescent="0.25">
      <c r="A45" s="12">
        <v>38</v>
      </c>
      <c r="B45" s="13">
        <v>46140</v>
      </c>
      <c r="C45" s="14">
        <v>40000620</v>
      </c>
      <c r="D45" s="14">
        <v>50919323</v>
      </c>
      <c r="E45" s="15">
        <v>59.85</v>
      </c>
      <c r="F45" s="26">
        <v>1016.01</v>
      </c>
      <c r="G45" s="17">
        <f t="shared" ref="G45:G59" si="6">E45*F45</f>
        <v>60808.198499999999</v>
      </c>
      <c r="H45" s="18">
        <v>76.889799999999994</v>
      </c>
      <c r="I45" s="19">
        <f t="shared" ref="I45:I59" si="7">E45*H45</f>
        <v>4601.8545299999996</v>
      </c>
      <c r="J45" s="37" t="s">
        <v>14</v>
      </c>
      <c r="K45" s="38" t="s">
        <v>15</v>
      </c>
    </row>
    <row r="46" spans="1:11" ht="30" x14ac:dyDescent="0.25">
      <c r="A46" s="22">
        <f>A45+1</f>
        <v>39</v>
      </c>
      <c r="B46" s="23">
        <v>46140</v>
      </c>
      <c r="C46" s="24">
        <v>40000620</v>
      </c>
      <c r="D46" s="24">
        <v>54695846</v>
      </c>
      <c r="E46" s="25">
        <v>59.9</v>
      </c>
      <c r="F46" s="26">
        <v>1016.01</v>
      </c>
      <c r="G46" s="17">
        <f t="shared" si="6"/>
        <v>60858.998999999996</v>
      </c>
      <c r="H46" s="18">
        <v>76.889799999999994</v>
      </c>
      <c r="I46" s="19">
        <f t="shared" si="7"/>
        <v>4605.6990199999991</v>
      </c>
      <c r="J46" s="20" t="s">
        <v>14</v>
      </c>
      <c r="K46" s="21" t="s">
        <v>15</v>
      </c>
    </row>
    <row r="47" spans="1:11" ht="30" x14ac:dyDescent="0.25">
      <c r="A47" s="22">
        <f t="shared" ref="A47:A59" si="8">A46+1</f>
        <v>40</v>
      </c>
      <c r="B47" s="23">
        <v>46140</v>
      </c>
      <c r="C47" s="24">
        <v>40000620</v>
      </c>
      <c r="D47" s="24">
        <v>55948871</v>
      </c>
      <c r="E47" s="25">
        <v>59.85</v>
      </c>
      <c r="F47" s="26">
        <v>1016.01</v>
      </c>
      <c r="G47" s="17">
        <f t="shared" si="6"/>
        <v>60808.198499999999</v>
      </c>
      <c r="H47" s="18">
        <v>76.889799999999994</v>
      </c>
      <c r="I47" s="19">
        <f t="shared" si="7"/>
        <v>4601.8545299999996</v>
      </c>
      <c r="J47" s="20" t="s">
        <v>14</v>
      </c>
      <c r="K47" s="21" t="s">
        <v>15</v>
      </c>
    </row>
    <row r="48" spans="1:11" ht="30" x14ac:dyDescent="0.25">
      <c r="A48" s="22">
        <f t="shared" si="8"/>
        <v>41</v>
      </c>
      <c r="B48" s="23">
        <v>46140</v>
      </c>
      <c r="C48" s="24">
        <v>40000620</v>
      </c>
      <c r="D48" s="24">
        <v>57261729</v>
      </c>
      <c r="E48" s="25">
        <v>60</v>
      </c>
      <c r="F48" s="26">
        <v>1016.01</v>
      </c>
      <c r="G48" s="17">
        <f t="shared" si="6"/>
        <v>60960.6</v>
      </c>
      <c r="H48" s="18">
        <v>76.889799999999994</v>
      </c>
      <c r="I48" s="19">
        <f t="shared" si="7"/>
        <v>4613.3879999999999</v>
      </c>
      <c r="J48" s="20" t="s">
        <v>14</v>
      </c>
      <c r="K48" s="21" t="s">
        <v>15</v>
      </c>
    </row>
    <row r="49" spans="1:11" ht="30" x14ac:dyDescent="0.25">
      <c r="A49" s="22">
        <f t="shared" si="8"/>
        <v>42</v>
      </c>
      <c r="B49" s="23">
        <v>46140</v>
      </c>
      <c r="C49" s="24">
        <v>40000620</v>
      </c>
      <c r="D49" s="24">
        <v>58294174</v>
      </c>
      <c r="E49" s="25">
        <v>59.95</v>
      </c>
      <c r="F49" s="26">
        <v>1016.01</v>
      </c>
      <c r="G49" s="17">
        <f t="shared" si="6"/>
        <v>60909.799500000001</v>
      </c>
      <c r="H49" s="18">
        <v>76.889799999999994</v>
      </c>
      <c r="I49" s="19">
        <f t="shared" si="7"/>
        <v>4609.5435099999995</v>
      </c>
      <c r="J49" s="20" t="s">
        <v>14</v>
      </c>
      <c r="K49" s="21" t="s">
        <v>15</v>
      </c>
    </row>
    <row r="50" spans="1:11" ht="30" x14ac:dyDescent="0.25">
      <c r="A50" s="22">
        <f t="shared" si="8"/>
        <v>43</v>
      </c>
      <c r="B50" s="23">
        <v>46140</v>
      </c>
      <c r="C50" s="24">
        <v>40000620</v>
      </c>
      <c r="D50" s="24">
        <v>73137572</v>
      </c>
      <c r="E50" s="25">
        <v>59.95</v>
      </c>
      <c r="F50" s="26">
        <v>1016.01</v>
      </c>
      <c r="G50" s="17">
        <f t="shared" si="6"/>
        <v>60909.799500000001</v>
      </c>
      <c r="H50" s="18">
        <v>76.889799999999994</v>
      </c>
      <c r="I50" s="19">
        <f t="shared" si="7"/>
        <v>4609.5435099999995</v>
      </c>
      <c r="J50" s="20" t="s">
        <v>14</v>
      </c>
      <c r="K50" s="21" t="s">
        <v>15</v>
      </c>
    </row>
    <row r="51" spans="1:11" ht="30" x14ac:dyDescent="0.25">
      <c r="A51" s="22">
        <f t="shared" si="8"/>
        <v>44</v>
      </c>
      <c r="B51" s="23">
        <v>46140</v>
      </c>
      <c r="C51" s="24">
        <v>40000620</v>
      </c>
      <c r="D51" s="24">
        <v>73171605</v>
      </c>
      <c r="E51" s="25">
        <v>60</v>
      </c>
      <c r="F51" s="26">
        <v>1016.01</v>
      </c>
      <c r="G51" s="17">
        <f t="shared" si="6"/>
        <v>60960.6</v>
      </c>
      <c r="H51" s="18">
        <v>76.889799999999994</v>
      </c>
      <c r="I51" s="19">
        <f t="shared" si="7"/>
        <v>4613.3879999999999</v>
      </c>
      <c r="J51" s="20" t="s">
        <v>14</v>
      </c>
      <c r="K51" s="21" t="s">
        <v>15</v>
      </c>
    </row>
    <row r="52" spans="1:11" ht="30" x14ac:dyDescent="0.25">
      <c r="A52" s="22">
        <f t="shared" si="8"/>
        <v>45</v>
      </c>
      <c r="B52" s="23">
        <v>46140</v>
      </c>
      <c r="C52" s="24">
        <v>40000620</v>
      </c>
      <c r="D52" s="24">
        <v>73189854</v>
      </c>
      <c r="E52" s="25">
        <v>60.1</v>
      </c>
      <c r="F52" s="26">
        <v>1016.01</v>
      </c>
      <c r="G52" s="17">
        <f t="shared" si="6"/>
        <v>61062.201000000001</v>
      </c>
      <c r="H52" s="18">
        <v>76.889799999999994</v>
      </c>
      <c r="I52" s="19">
        <f t="shared" si="7"/>
        <v>4621.0769799999998</v>
      </c>
      <c r="J52" s="20" t="s">
        <v>14</v>
      </c>
      <c r="K52" s="21" t="s">
        <v>15</v>
      </c>
    </row>
    <row r="53" spans="1:11" ht="30" x14ac:dyDescent="0.25">
      <c r="A53" s="22">
        <f t="shared" si="8"/>
        <v>46</v>
      </c>
      <c r="B53" s="23">
        <v>46140</v>
      </c>
      <c r="C53" s="24">
        <v>40000620</v>
      </c>
      <c r="D53" s="24">
        <v>73190480</v>
      </c>
      <c r="E53" s="25">
        <v>60.15</v>
      </c>
      <c r="F53" s="26">
        <v>1016.01</v>
      </c>
      <c r="G53" s="17">
        <f t="shared" si="6"/>
        <v>61113.001499999998</v>
      </c>
      <c r="H53" s="18">
        <v>76.889799999999994</v>
      </c>
      <c r="I53" s="19">
        <f t="shared" si="7"/>
        <v>4624.9214699999993</v>
      </c>
      <c r="J53" s="20" t="s">
        <v>14</v>
      </c>
      <c r="K53" s="21" t="s">
        <v>15</v>
      </c>
    </row>
    <row r="54" spans="1:11" ht="30" x14ac:dyDescent="0.25">
      <c r="A54" s="22">
        <f t="shared" si="8"/>
        <v>47</v>
      </c>
      <c r="B54" s="23">
        <v>46140</v>
      </c>
      <c r="C54" s="24">
        <v>40000620</v>
      </c>
      <c r="D54" s="24">
        <v>73198905</v>
      </c>
      <c r="E54" s="25">
        <v>59.85</v>
      </c>
      <c r="F54" s="26">
        <v>1016.01</v>
      </c>
      <c r="G54" s="17">
        <f t="shared" si="6"/>
        <v>60808.198499999999</v>
      </c>
      <c r="H54" s="18">
        <v>76.889799999999994</v>
      </c>
      <c r="I54" s="19">
        <f t="shared" si="7"/>
        <v>4601.8545299999996</v>
      </c>
      <c r="J54" s="20" t="s">
        <v>14</v>
      </c>
      <c r="K54" s="21" t="s">
        <v>15</v>
      </c>
    </row>
    <row r="55" spans="1:11" ht="30" x14ac:dyDescent="0.25">
      <c r="A55" s="22">
        <f t="shared" si="8"/>
        <v>48</v>
      </c>
      <c r="B55" s="23">
        <v>46140</v>
      </c>
      <c r="C55" s="24">
        <v>40000620</v>
      </c>
      <c r="D55" s="24">
        <v>73551525</v>
      </c>
      <c r="E55" s="25">
        <v>60.1</v>
      </c>
      <c r="F55" s="26">
        <v>1016.01</v>
      </c>
      <c r="G55" s="17">
        <f t="shared" si="6"/>
        <v>61062.201000000001</v>
      </c>
      <c r="H55" s="18">
        <v>76.889799999999994</v>
      </c>
      <c r="I55" s="19">
        <f t="shared" si="7"/>
        <v>4621.0769799999998</v>
      </c>
      <c r="J55" s="20" t="s">
        <v>14</v>
      </c>
      <c r="K55" s="21" t="s">
        <v>15</v>
      </c>
    </row>
    <row r="56" spans="1:11" ht="30" x14ac:dyDescent="0.25">
      <c r="A56" s="22">
        <f t="shared" si="8"/>
        <v>49</v>
      </c>
      <c r="B56" s="23">
        <v>46140</v>
      </c>
      <c r="C56" s="24">
        <v>40000620</v>
      </c>
      <c r="D56" s="24">
        <v>75229989</v>
      </c>
      <c r="E56" s="25">
        <v>60.35</v>
      </c>
      <c r="F56" s="26">
        <v>1016.01</v>
      </c>
      <c r="G56" s="17">
        <f t="shared" si="6"/>
        <v>61316.203500000003</v>
      </c>
      <c r="H56" s="18">
        <v>76.889799999999994</v>
      </c>
      <c r="I56" s="19">
        <f t="shared" si="7"/>
        <v>4640.29943</v>
      </c>
      <c r="J56" s="20" t="s">
        <v>14</v>
      </c>
      <c r="K56" s="21" t="s">
        <v>15</v>
      </c>
    </row>
    <row r="57" spans="1:11" ht="30" x14ac:dyDescent="0.25">
      <c r="A57" s="22">
        <f t="shared" si="8"/>
        <v>50</v>
      </c>
      <c r="B57" s="23">
        <v>46140</v>
      </c>
      <c r="C57" s="24">
        <v>40000620</v>
      </c>
      <c r="D57" s="24">
        <v>75231902</v>
      </c>
      <c r="E57" s="25">
        <v>60.45</v>
      </c>
      <c r="F57" s="26">
        <v>1016.01</v>
      </c>
      <c r="G57" s="17">
        <f t="shared" si="6"/>
        <v>61417.804500000006</v>
      </c>
      <c r="H57" s="18">
        <v>76.889799999999994</v>
      </c>
      <c r="I57" s="19">
        <f t="shared" si="7"/>
        <v>4647.9884099999999</v>
      </c>
      <c r="J57" s="20" t="s">
        <v>14</v>
      </c>
      <c r="K57" s="21" t="s">
        <v>15</v>
      </c>
    </row>
    <row r="58" spans="1:11" ht="30" x14ac:dyDescent="0.25">
      <c r="A58" s="22">
        <f t="shared" si="8"/>
        <v>51</v>
      </c>
      <c r="B58" s="23">
        <v>46140</v>
      </c>
      <c r="C58" s="24">
        <v>40000620</v>
      </c>
      <c r="D58" s="24">
        <v>75296020</v>
      </c>
      <c r="E58" s="25">
        <v>60.4</v>
      </c>
      <c r="F58" s="26">
        <v>1016.01</v>
      </c>
      <c r="G58" s="17">
        <f t="shared" si="6"/>
        <v>61367.004000000001</v>
      </c>
      <c r="H58" s="18">
        <v>76.889799999999994</v>
      </c>
      <c r="I58" s="19">
        <f t="shared" si="7"/>
        <v>4644.1439199999995</v>
      </c>
      <c r="J58" s="20" t="s">
        <v>14</v>
      </c>
      <c r="K58" s="21" t="s">
        <v>15</v>
      </c>
    </row>
    <row r="59" spans="1:11" ht="30.75" thickBot="1" x14ac:dyDescent="0.3">
      <c r="A59" s="27">
        <f t="shared" si="8"/>
        <v>52</v>
      </c>
      <c r="B59" s="28">
        <v>46140</v>
      </c>
      <c r="C59" s="29">
        <v>40000620</v>
      </c>
      <c r="D59" s="29">
        <v>76366392</v>
      </c>
      <c r="E59" s="48">
        <v>60.4</v>
      </c>
      <c r="F59" s="26">
        <v>1016.01</v>
      </c>
      <c r="G59" s="49">
        <f t="shared" si="6"/>
        <v>61367.004000000001</v>
      </c>
      <c r="H59" s="18">
        <v>76.889799999999994</v>
      </c>
      <c r="I59" s="50">
        <f t="shared" si="7"/>
        <v>4644.1439199999995</v>
      </c>
      <c r="J59" s="51" t="s">
        <v>14</v>
      </c>
      <c r="K59" s="52" t="s">
        <v>15</v>
      </c>
    </row>
    <row r="60" spans="1:11" ht="15.75" thickBot="1" x14ac:dyDescent="0.3">
      <c r="A60" s="30"/>
      <c r="B60" s="31"/>
      <c r="C60" s="31"/>
      <c r="D60" s="31"/>
      <c r="E60" s="32"/>
      <c r="F60" s="31"/>
      <c r="G60" s="33"/>
      <c r="H60" s="34"/>
      <c r="I60" s="35"/>
      <c r="J60" s="31"/>
      <c r="K60" s="36"/>
    </row>
    <row r="61" spans="1:11" ht="30" x14ac:dyDescent="0.25">
      <c r="A61" s="12">
        <v>53</v>
      </c>
      <c r="B61" s="13">
        <v>46140</v>
      </c>
      <c r="C61" s="14">
        <v>40000726</v>
      </c>
      <c r="D61" s="14">
        <v>51818730</v>
      </c>
      <c r="E61" s="15">
        <v>59.45</v>
      </c>
      <c r="F61" s="26">
        <v>1016.01</v>
      </c>
      <c r="G61" s="17">
        <f t="shared" ref="G61:G64" si="9">E61*F61</f>
        <v>60401.794500000004</v>
      </c>
      <c r="H61" s="18">
        <v>76.889799999999994</v>
      </c>
      <c r="I61" s="19">
        <f t="shared" ref="I61:I64" si="10">E61*H61</f>
        <v>4571.09861</v>
      </c>
      <c r="J61" s="37" t="s">
        <v>14</v>
      </c>
      <c r="K61" s="53" t="s">
        <v>15</v>
      </c>
    </row>
    <row r="62" spans="1:11" ht="30" x14ac:dyDescent="0.25">
      <c r="A62" s="22">
        <f>A61+1</f>
        <v>54</v>
      </c>
      <c r="B62" s="23">
        <v>46140</v>
      </c>
      <c r="C62" s="24">
        <v>40000728</v>
      </c>
      <c r="D62" s="24">
        <v>56905094</v>
      </c>
      <c r="E62" s="25">
        <v>59.45</v>
      </c>
      <c r="F62" s="26">
        <v>1016.01</v>
      </c>
      <c r="G62" s="54">
        <f t="shared" si="9"/>
        <v>60401.794500000004</v>
      </c>
      <c r="H62" s="18">
        <v>76.889799999999994</v>
      </c>
      <c r="I62" s="55">
        <f t="shared" si="10"/>
        <v>4571.09861</v>
      </c>
      <c r="J62" s="20" t="s">
        <v>14</v>
      </c>
      <c r="K62" s="56" t="s">
        <v>15</v>
      </c>
    </row>
    <row r="63" spans="1:11" ht="30" x14ac:dyDescent="0.25">
      <c r="A63" s="22">
        <f t="shared" ref="A63:A64" si="11">A62+1</f>
        <v>55</v>
      </c>
      <c r="B63" s="23">
        <v>46140</v>
      </c>
      <c r="C63" s="24">
        <v>40000729</v>
      </c>
      <c r="D63" s="24">
        <v>74944414</v>
      </c>
      <c r="E63" s="25">
        <v>59.85</v>
      </c>
      <c r="F63" s="26">
        <v>1016.01</v>
      </c>
      <c r="G63" s="54">
        <f t="shared" si="9"/>
        <v>60808.198499999999</v>
      </c>
      <c r="H63" s="18">
        <v>76.889799999999994</v>
      </c>
      <c r="I63" s="55">
        <f t="shared" si="10"/>
        <v>4601.8545299999996</v>
      </c>
      <c r="J63" s="20" t="s">
        <v>14</v>
      </c>
      <c r="K63" s="56" t="s">
        <v>15</v>
      </c>
    </row>
    <row r="64" spans="1:11" ht="30.75" thickBot="1" x14ac:dyDescent="0.3">
      <c r="A64" s="39">
        <f t="shared" si="11"/>
        <v>56</v>
      </c>
      <c r="B64" s="40">
        <v>46140</v>
      </c>
      <c r="C64" s="41">
        <v>40000727</v>
      </c>
      <c r="D64" s="41">
        <v>75085357</v>
      </c>
      <c r="E64" s="42">
        <v>60.4</v>
      </c>
      <c r="F64" s="26">
        <v>1016.01</v>
      </c>
      <c r="G64" s="57">
        <f t="shared" si="9"/>
        <v>61367.004000000001</v>
      </c>
      <c r="H64" s="18">
        <v>76.889799999999994</v>
      </c>
      <c r="I64" s="58">
        <f t="shared" si="10"/>
        <v>4644.1439199999995</v>
      </c>
      <c r="J64" s="45" t="s">
        <v>14</v>
      </c>
      <c r="K64" s="59" t="s">
        <v>15</v>
      </c>
    </row>
    <row r="65" spans="1:11" ht="15.75" thickBot="1" x14ac:dyDescent="0.3">
      <c r="A65" s="30"/>
      <c r="B65" s="31"/>
      <c r="C65" s="31"/>
      <c r="D65" s="31"/>
      <c r="E65" s="32"/>
      <c r="F65" s="31"/>
      <c r="G65" s="33"/>
      <c r="H65" s="34"/>
      <c r="I65" s="35"/>
      <c r="J65" s="31"/>
      <c r="K65" s="36"/>
    </row>
    <row r="66" spans="1:11" ht="30" x14ac:dyDescent="0.25">
      <c r="A66" s="60">
        <v>57</v>
      </c>
      <c r="B66" s="61">
        <v>46141</v>
      </c>
      <c r="C66" s="62">
        <v>40000747</v>
      </c>
      <c r="D66" s="62">
        <v>50350404</v>
      </c>
      <c r="E66" s="63">
        <v>59.4</v>
      </c>
      <c r="F66" s="26">
        <v>1016.01</v>
      </c>
      <c r="G66" s="64">
        <f t="shared" ref="G66:G83" si="12">E66*F66</f>
        <v>60350.993999999999</v>
      </c>
      <c r="H66" s="18">
        <v>76.889799999999994</v>
      </c>
      <c r="I66" s="65">
        <f t="shared" ref="I66:I83" si="13">E66*H66</f>
        <v>4567.2541199999996</v>
      </c>
      <c r="J66" s="66" t="s">
        <v>14</v>
      </c>
      <c r="K66" s="67" t="s">
        <v>15</v>
      </c>
    </row>
    <row r="67" spans="1:11" ht="30" x14ac:dyDescent="0.25">
      <c r="A67" s="22">
        <f>A66+1</f>
        <v>58</v>
      </c>
      <c r="B67" s="23">
        <v>46141</v>
      </c>
      <c r="C67" s="24">
        <v>40000744</v>
      </c>
      <c r="D67" s="24">
        <v>50779008</v>
      </c>
      <c r="E67" s="25">
        <v>50.95</v>
      </c>
      <c r="F67" s="26">
        <v>1016.01</v>
      </c>
      <c r="G67" s="54">
        <f t="shared" si="12"/>
        <v>51765.709500000004</v>
      </c>
      <c r="H67" s="18">
        <v>76.889799999999994</v>
      </c>
      <c r="I67" s="55">
        <f t="shared" si="13"/>
        <v>3917.5353099999998</v>
      </c>
      <c r="J67" s="20" t="s">
        <v>14</v>
      </c>
      <c r="K67" s="56" t="s">
        <v>15</v>
      </c>
    </row>
    <row r="68" spans="1:11" ht="30" x14ac:dyDescent="0.25">
      <c r="A68" s="22">
        <f t="shared" ref="A68:A83" si="14">A67+1</f>
        <v>59</v>
      </c>
      <c r="B68" s="23">
        <v>46141</v>
      </c>
      <c r="C68" s="24">
        <v>40000745</v>
      </c>
      <c r="D68" s="24">
        <v>51241842</v>
      </c>
      <c r="E68" s="25">
        <v>59.45</v>
      </c>
      <c r="F68" s="26">
        <v>1016.01</v>
      </c>
      <c r="G68" s="54">
        <f t="shared" si="12"/>
        <v>60401.794500000004</v>
      </c>
      <c r="H68" s="18">
        <v>76.889799999999994</v>
      </c>
      <c r="I68" s="55">
        <f t="shared" si="13"/>
        <v>4571.09861</v>
      </c>
      <c r="J68" s="20" t="s">
        <v>14</v>
      </c>
      <c r="K68" s="56" t="s">
        <v>15</v>
      </c>
    </row>
    <row r="69" spans="1:11" ht="30" x14ac:dyDescent="0.25">
      <c r="A69" s="22">
        <f t="shared" si="14"/>
        <v>60</v>
      </c>
      <c r="B69" s="23">
        <v>46141</v>
      </c>
      <c r="C69" s="24">
        <v>40000747</v>
      </c>
      <c r="D69" s="24">
        <v>51394385</v>
      </c>
      <c r="E69" s="25">
        <v>59.2</v>
      </c>
      <c r="F69" s="26">
        <v>1016.01</v>
      </c>
      <c r="G69" s="54">
        <f t="shared" si="12"/>
        <v>60147.792000000001</v>
      </c>
      <c r="H69" s="18">
        <v>76.889799999999994</v>
      </c>
      <c r="I69" s="55">
        <f t="shared" si="13"/>
        <v>4551.8761599999998</v>
      </c>
      <c r="J69" s="20" t="s">
        <v>14</v>
      </c>
      <c r="K69" s="56" t="s">
        <v>15</v>
      </c>
    </row>
    <row r="70" spans="1:11" ht="30" x14ac:dyDescent="0.25">
      <c r="A70" s="22">
        <f t="shared" si="14"/>
        <v>61</v>
      </c>
      <c r="B70" s="23">
        <v>46141</v>
      </c>
      <c r="C70" s="24">
        <v>40000747</v>
      </c>
      <c r="D70" s="24">
        <v>51548071</v>
      </c>
      <c r="E70" s="25">
        <v>50.25</v>
      </c>
      <c r="F70" s="26">
        <v>1016.01</v>
      </c>
      <c r="G70" s="54">
        <f t="shared" si="12"/>
        <v>51054.502500000002</v>
      </c>
      <c r="H70" s="18">
        <v>76.889799999999994</v>
      </c>
      <c r="I70" s="55">
        <f t="shared" si="13"/>
        <v>3863.7124499999995</v>
      </c>
      <c r="J70" s="20" t="s">
        <v>14</v>
      </c>
      <c r="K70" s="56" t="s">
        <v>15</v>
      </c>
    </row>
    <row r="71" spans="1:11" ht="30" x14ac:dyDescent="0.25">
      <c r="A71" s="22">
        <f t="shared" si="14"/>
        <v>62</v>
      </c>
      <c r="B71" s="23">
        <v>46141</v>
      </c>
      <c r="C71" s="24">
        <v>40000746</v>
      </c>
      <c r="D71" s="24">
        <v>51892578</v>
      </c>
      <c r="E71" s="25">
        <v>59.8</v>
      </c>
      <c r="F71" s="26">
        <v>1016.01</v>
      </c>
      <c r="G71" s="54">
        <f t="shared" si="12"/>
        <v>60757.397999999994</v>
      </c>
      <c r="H71" s="18">
        <v>76.889799999999994</v>
      </c>
      <c r="I71" s="55">
        <f t="shared" si="13"/>
        <v>4598.0100399999992</v>
      </c>
      <c r="J71" s="20" t="s">
        <v>14</v>
      </c>
      <c r="K71" s="56" t="s">
        <v>15</v>
      </c>
    </row>
    <row r="72" spans="1:11" ht="30" x14ac:dyDescent="0.25">
      <c r="A72" s="22">
        <f t="shared" si="14"/>
        <v>63</v>
      </c>
      <c r="B72" s="23">
        <v>46141</v>
      </c>
      <c r="C72" s="24">
        <v>40000747</v>
      </c>
      <c r="D72" s="24">
        <v>53988655</v>
      </c>
      <c r="E72" s="25">
        <v>59.15</v>
      </c>
      <c r="F72" s="26">
        <v>1016.01</v>
      </c>
      <c r="G72" s="54">
        <f t="shared" si="12"/>
        <v>60096.991499999996</v>
      </c>
      <c r="H72" s="18">
        <v>76.889799999999994</v>
      </c>
      <c r="I72" s="55">
        <f t="shared" si="13"/>
        <v>4548.0316699999994</v>
      </c>
      <c r="J72" s="20" t="s">
        <v>14</v>
      </c>
      <c r="K72" s="56" t="s">
        <v>15</v>
      </c>
    </row>
    <row r="73" spans="1:11" ht="30" x14ac:dyDescent="0.25">
      <c r="A73" s="22">
        <f t="shared" si="14"/>
        <v>64</v>
      </c>
      <c r="B73" s="23">
        <v>46141</v>
      </c>
      <c r="C73" s="24">
        <v>40000747</v>
      </c>
      <c r="D73" s="24">
        <v>55303572</v>
      </c>
      <c r="E73" s="25">
        <v>59.35</v>
      </c>
      <c r="F73" s="26">
        <v>1016.01</v>
      </c>
      <c r="G73" s="54">
        <f t="shared" si="12"/>
        <v>60300.193500000001</v>
      </c>
      <c r="H73" s="18">
        <v>76.889799999999994</v>
      </c>
      <c r="I73" s="55">
        <f t="shared" si="13"/>
        <v>4563.4096300000001</v>
      </c>
      <c r="J73" s="20" t="s">
        <v>14</v>
      </c>
      <c r="K73" s="56" t="s">
        <v>15</v>
      </c>
    </row>
    <row r="74" spans="1:11" ht="30" x14ac:dyDescent="0.25">
      <c r="A74" s="22">
        <f t="shared" si="14"/>
        <v>65</v>
      </c>
      <c r="B74" s="23">
        <v>46141</v>
      </c>
      <c r="C74" s="24">
        <v>40000747</v>
      </c>
      <c r="D74" s="24">
        <v>55948368</v>
      </c>
      <c r="E74" s="25">
        <v>59.95</v>
      </c>
      <c r="F74" s="26">
        <v>1016.01</v>
      </c>
      <c r="G74" s="54">
        <f t="shared" si="12"/>
        <v>60909.799500000001</v>
      </c>
      <c r="H74" s="18">
        <v>76.889799999999994</v>
      </c>
      <c r="I74" s="55">
        <f t="shared" si="13"/>
        <v>4609.5435099999995</v>
      </c>
      <c r="J74" s="20" t="s">
        <v>14</v>
      </c>
      <c r="K74" s="56" t="s">
        <v>15</v>
      </c>
    </row>
    <row r="75" spans="1:11" ht="30" x14ac:dyDescent="0.25">
      <c r="A75" s="22">
        <f t="shared" si="14"/>
        <v>66</v>
      </c>
      <c r="B75" s="23">
        <v>46141</v>
      </c>
      <c r="C75" s="24">
        <v>40000747</v>
      </c>
      <c r="D75" s="24">
        <v>73100273</v>
      </c>
      <c r="E75" s="25">
        <v>59.95</v>
      </c>
      <c r="F75" s="26">
        <v>1016.01</v>
      </c>
      <c r="G75" s="54">
        <f t="shared" si="12"/>
        <v>60909.799500000001</v>
      </c>
      <c r="H75" s="18">
        <v>76.889799999999994</v>
      </c>
      <c r="I75" s="55">
        <f t="shared" si="13"/>
        <v>4609.5435099999995</v>
      </c>
      <c r="J75" s="20" t="s">
        <v>14</v>
      </c>
      <c r="K75" s="56" t="s">
        <v>15</v>
      </c>
    </row>
    <row r="76" spans="1:11" ht="30" x14ac:dyDescent="0.25">
      <c r="A76" s="22">
        <f t="shared" si="14"/>
        <v>67</v>
      </c>
      <c r="B76" s="23">
        <v>46141</v>
      </c>
      <c r="C76" s="24">
        <v>40000747</v>
      </c>
      <c r="D76" s="24">
        <v>73201634</v>
      </c>
      <c r="E76" s="25">
        <v>59.9</v>
      </c>
      <c r="F76" s="26">
        <v>1016.01</v>
      </c>
      <c r="G76" s="54">
        <f t="shared" si="12"/>
        <v>60858.998999999996</v>
      </c>
      <c r="H76" s="18">
        <v>76.889799999999994</v>
      </c>
      <c r="I76" s="55">
        <f t="shared" si="13"/>
        <v>4605.6990199999991</v>
      </c>
      <c r="J76" s="20" t="s">
        <v>14</v>
      </c>
      <c r="K76" s="56" t="s">
        <v>15</v>
      </c>
    </row>
    <row r="77" spans="1:11" ht="30" x14ac:dyDescent="0.25">
      <c r="A77" s="22">
        <f t="shared" si="14"/>
        <v>68</v>
      </c>
      <c r="B77" s="23">
        <v>46141</v>
      </c>
      <c r="C77" s="24">
        <v>40000747</v>
      </c>
      <c r="D77" s="24">
        <v>73969925</v>
      </c>
      <c r="E77" s="25">
        <v>59.4</v>
      </c>
      <c r="F77" s="26">
        <v>1016.01</v>
      </c>
      <c r="G77" s="54">
        <f t="shared" si="12"/>
        <v>60350.993999999999</v>
      </c>
      <c r="H77" s="18">
        <v>76.889799999999994</v>
      </c>
      <c r="I77" s="55">
        <f t="shared" si="13"/>
        <v>4567.2541199999996</v>
      </c>
      <c r="J77" s="20" t="s">
        <v>14</v>
      </c>
      <c r="K77" s="56" t="s">
        <v>15</v>
      </c>
    </row>
    <row r="78" spans="1:11" ht="30" x14ac:dyDescent="0.25">
      <c r="A78" s="22">
        <f t="shared" si="14"/>
        <v>69</v>
      </c>
      <c r="B78" s="23">
        <v>46141</v>
      </c>
      <c r="C78" s="24">
        <v>40000747</v>
      </c>
      <c r="D78" s="24">
        <v>75263640</v>
      </c>
      <c r="E78" s="25">
        <v>60.35</v>
      </c>
      <c r="F78" s="26">
        <v>1016.01</v>
      </c>
      <c r="G78" s="54">
        <f t="shared" si="12"/>
        <v>61316.203500000003</v>
      </c>
      <c r="H78" s="18">
        <v>76.889799999999994</v>
      </c>
      <c r="I78" s="55">
        <f t="shared" si="13"/>
        <v>4640.29943</v>
      </c>
      <c r="J78" s="20" t="s">
        <v>14</v>
      </c>
      <c r="K78" s="56" t="s">
        <v>15</v>
      </c>
    </row>
    <row r="79" spans="1:11" ht="30" x14ac:dyDescent="0.25">
      <c r="A79" s="22">
        <f t="shared" si="14"/>
        <v>70</v>
      </c>
      <c r="B79" s="23">
        <v>46141</v>
      </c>
      <c r="C79" s="24">
        <v>40000747</v>
      </c>
      <c r="D79" s="24">
        <v>75267229</v>
      </c>
      <c r="E79" s="25">
        <v>60.4</v>
      </c>
      <c r="F79" s="26">
        <v>1016.01</v>
      </c>
      <c r="G79" s="54">
        <f t="shared" si="12"/>
        <v>61367.004000000001</v>
      </c>
      <c r="H79" s="18">
        <v>76.889799999999994</v>
      </c>
      <c r="I79" s="55">
        <f t="shared" si="13"/>
        <v>4644.1439199999995</v>
      </c>
      <c r="J79" s="20" t="s">
        <v>14</v>
      </c>
      <c r="K79" s="56" t="s">
        <v>15</v>
      </c>
    </row>
    <row r="80" spans="1:11" ht="30" x14ac:dyDescent="0.25">
      <c r="A80" s="22">
        <f t="shared" si="14"/>
        <v>71</v>
      </c>
      <c r="B80" s="23">
        <v>46141</v>
      </c>
      <c r="C80" s="24">
        <v>40000747</v>
      </c>
      <c r="D80" s="24">
        <v>75289561</v>
      </c>
      <c r="E80" s="25">
        <v>60.35</v>
      </c>
      <c r="F80" s="26">
        <v>1016.01</v>
      </c>
      <c r="G80" s="54">
        <f t="shared" si="12"/>
        <v>61316.203500000003</v>
      </c>
      <c r="H80" s="18">
        <v>76.889799999999994</v>
      </c>
      <c r="I80" s="55">
        <f t="shared" si="13"/>
        <v>4640.29943</v>
      </c>
      <c r="J80" s="20" t="s">
        <v>14</v>
      </c>
      <c r="K80" s="56" t="s">
        <v>15</v>
      </c>
    </row>
    <row r="81" spans="1:11" ht="30" x14ac:dyDescent="0.25">
      <c r="A81" s="22">
        <f t="shared" si="14"/>
        <v>72</v>
      </c>
      <c r="B81" s="23">
        <v>46141</v>
      </c>
      <c r="C81" s="24">
        <v>40000747</v>
      </c>
      <c r="D81" s="24">
        <v>76305994</v>
      </c>
      <c r="E81" s="25">
        <v>60.35</v>
      </c>
      <c r="F81" s="26">
        <v>1016.01</v>
      </c>
      <c r="G81" s="54">
        <f t="shared" si="12"/>
        <v>61316.203500000003</v>
      </c>
      <c r="H81" s="18">
        <v>76.889799999999994</v>
      </c>
      <c r="I81" s="55">
        <f t="shared" si="13"/>
        <v>4640.29943</v>
      </c>
      <c r="J81" s="20" t="s">
        <v>14</v>
      </c>
      <c r="K81" s="56" t="s">
        <v>15</v>
      </c>
    </row>
    <row r="82" spans="1:11" ht="30" x14ac:dyDescent="0.25">
      <c r="A82" s="22">
        <f t="shared" si="14"/>
        <v>73</v>
      </c>
      <c r="B82" s="23">
        <v>46141</v>
      </c>
      <c r="C82" s="24">
        <v>40000747</v>
      </c>
      <c r="D82" s="24">
        <v>76801745</v>
      </c>
      <c r="E82" s="25">
        <v>50.25</v>
      </c>
      <c r="F82" s="26">
        <v>1016.01</v>
      </c>
      <c r="G82" s="54">
        <f t="shared" si="12"/>
        <v>51054.502500000002</v>
      </c>
      <c r="H82" s="18">
        <v>76.889799999999994</v>
      </c>
      <c r="I82" s="55">
        <f t="shared" si="13"/>
        <v>3863.7124499999995</v>
      </c>
      <c r="J82" s="20" t="s">
        <v>14</v>
      </c>
      <c r="K82" s="56" t="s">
        <v>15</v>
      </c>
    </row>
    <row r="83" spans="1:11" ht="30.75" thickBot="1" x14ac:dyDescent="0.3">
      <c r="A83" s="39">
        <f t="shared" si="14"/>
        <v>74</v>
      </c>
      <c r="B83" s="40">
        <v>46141</v>
      </c>
      <c r="C83" s="41">
        <v>40000747</v>
      </c>
      <c r="D83" s="41">
        <v>76802214</v>
      </c>
      <c r="E83" s="42">
        <v>50.35</v>
      </c>
      <c r="F83" s="26">
        <v>1016.01</v>
      </c>
      <c r="G83" s="57">
        <f t="shared" si="12"/>
        <v>51156.103499999997</v>
      </c>
      <c r="H83" s="18">
        <v>76.889799999999994</v>
      </c>
      <c r="I83" s="58">
        <f t="shared" si="13"/>
        <v>3871.4014299999999</v>
      </c>
      <c r="J83" s="45" t="s">
        <v>14</v>
      </c>
      <c r="K83" s="59" t="s">
        <v>15</v>
      </c>
    </row>
    <row r="84" spans="1:11" ht="15.75" thickBot="1" x14ac:dyDescent="0.3">
      <c r="A84" s="30"/>
      <c r="B84" s="31"/>
      <c r="C84" s="31"/>
      <c r="D84" s="31"/>
      <c r="E84" s="47"/>
      <c r="F84" s="31"/>
      <c r="G84" s="33"/>
      <c r="H84" s="34"/>
      <c r="I84" s="35"/>
      <c r="J84" s="31"/>
      <c r="K84" s="36"/>
    </row>
    <row r="85" spans="1:11" ht="30" x14ac:dyDescent="0.25">
      <c r="A85" s="12">
        <v>75</v>
      </c>
      <c r="B85" s="13">
        <v>46141</v>
      </c>
      <c r="C85" s="14">
        <v>40000814</v>
      </c>
      <c r="D85" s="14">
        <v>50054543</v>
      </c>
      <c r="E85" s="15">
        <v>61.05</v>
      </c>
      <c r="F85" s="26">
        <v>1016.01</v>
      </c>
      <c r="G85" s="17">
        <f t="shared" ref="G85:G146" si="15">E85*F85</f>
        <v>62027.410499999998</v>
      </c>
      <c r="H85" s="18">
        <v>76.889799999999994</v>
      </c>
      <c r="I85" s="19">
        <f t="shared" ref="I85:I146" si="16">E85*H85</f>
        <v>4694.1222899999993</v>
      </c>
      <c r="J85" s="37" t="s">
        <v>14</v>
      </c>
      <c r="K85" s="53" t="s">
        <v>15</v>
      </c>
    </row>
    <row r="86" spans="1:11" ht="30" x14ac:dyDescent="0.25">
      <c r="A86" s="22">
        <f>A85+1</f>
        <v>76</v>
      </c>
      <c r="B86" s="23">
        <v>46141</v>
      </c>
      <c r="C86" s="24">
        <v>40000814</v>
      </c>
      <c r="D86" s="24">
        <v>50218692</v>
      </c>
      <c r="E86" s="25">
        <v>60.15</v>
      </c>
      <c r="F86" s="26">
        <v>1016.01</v>
      </c>
      <c r="G86" s="54">
        <f t="shared" si="15"/>
        <v>61113.001499999998</v>
      </c>
      <c r="H86" s="18">
        <v>76.889799999999994</v>
      </c>
      <c r="I86" s="55">
        <f t="shared" si="16"/>
        <v>4624.9214699999993</v>
      </c>
      <c r="J86" s="20" t="s">
        <v>14</v>
      </c>
      <c r="K86" s="56" t="s">
        <v>15</v>
      </c>
    </row>
    <row r="87" spans="1:11" ht="30" x14ac:dyDescent="0.25">
      <c r="A87" s="22">
        <f t="shared" ref="A87:A146" si="17">A86+1</f>
        <v>77</v>
      </c>
      <c r="B87" s="23">
        <v>46141</v>
      </c>
      <c r="C87" s="24">
        <v>40000811</v>
      </c>
      <c r="D87" s="24">
        <v>50439231</v>
      </c>
      <c r="E87" s="25">
        <v>61.35</v>
      </c>
      <c r="F87" s="26">
        <v>1016.01</v>
      </c>
      <c r="G87" s="54">
        <f t="shared" si="15"/>
        <v>62332.213499999998</v>
      </c>
      <c r="H87" s="18">
        <v>76.889799999999994</v>
      </c>
      <c r="I87" s="55">
        <f t="shared" si="16"/>
        <v>4717.18923</v>
      </c>
      <c r="J87" s="20" t="s">
        <v>14</v>
      </c>
      <c r="K87" s="56" t="s">
        <v>15</v>
      </c>
    </row>
    <row r="88" spans="1:11" ht="30" x14ac:dyDescent="0.25">
      <c r="A88" s="22">
        <f t="shared" si="17"/>
        <v>78</v>
      </c>
      <c r="B88" s="23">
        <v>46141</v>
      </c>
      <c r="C88" s="24">
        <v>40000813</v>
      </c>
      <c r="D88" s="24">
        <v>50485135</v>
      </c>
      <c r="E88" s="25">
        <v>59.3</v>
      </c>
      <c r="F88" s="26">
        <v>1016.01</v>
      </c>
      <c r="G88" s="54">
        <f t="shared" si="15"/>
        <v>60249.392999999996</v>
      </c>
      <c r="H88" s="18">
        <v>76.889799999999994</v>
      </c>
      <c r="I88" s="55">
        <f t="shared" si="16"/>
        <v>4559.5651399999997</v>
      </c>
      <c r="J88" s="20" t="s">
        <v>14</v>
      </c>
      <c r="K88" s="56" t="s">
        <v>15</v>
      </c>
    </row>
    <row r="89" spans="1:11" ht="30" x14ac:dyDescent="0.25">
      <c r="A89" s="22">
        <f t="shared" si="17"/>
        <v>79</v>
      </c>
      <c r="B89" s="23">
        <v>46141</v>
      </c>
      <c r="C89" s="24">
        <v>40000814</v>
      </c>
      <c r="D89" s="24">
        <v>50497221</v>
      </c>
      <c r="E89" s="25">
        <v>60.3</v>
      </c>
      <c r="F89" s="26">
        <v>1016.01</v>
      </c>
      <c r="G89" s="54">
        <f t="shared" si="15"/>
        <v>61265.402999999998</v>
      </c>
      <c r="H89" s="18">
        <v>76.889799999999994</v>
      </c>
      <c r="I89" s="55">
        <f t="shared" si="16"/>
        <v>4636.4549399999996</v>
      </c>
      <c r="J89" s="20" t="s">
        <v>14</v>
      </c>
      <c r="K89" s="56" t="s">
        <v>15</v>
      </c>
    </row>
    <row r="90" spans="1:11" ht="30" x14ac:dyDescent="0.25">
      <c r="A90" s="22">
        <f t="shared" si="17"/>
        <v>80</v>
      </c>
      <c r="B90" s="23">
        <v>46141</v>
      </c>
      <c r="C90" s="24">
        <v>40000815</v>
      </c>
      <c r="D90" s="24">
        <v>50753151</v>
      </c>
      <c r="E90" s="25">
        <v>59.65</v>
      </c>
      <c r="F90" s="26">
        <v>1016.01</v>
      </c>
      <c r="G90" s="54">
        <f t="shared" si="15"/>
        <v>60604.996500000001</v>
      </c>
      <c r="H90" s="18">
        <v>76.889799999999994</v>
      </c>
      <c r="I90" s="55">
        <f t="shared" si="16"/>
        <v>4586.4765699999998</v>
      </c>
      <c r="J90" s="20" t="s">
        <v>14</v>
      </c>
      <c r="K90" s="56" t="s">
        <v>15</v>
      </c>
    </row>
    <row r="91" spans="1:11" ht="30" x14ac:dyDescent="0.25">
      <c r="A91" s="22">
        <f t="shared" si="17"/>
        <v>81</v>
      </c>
      <c r="B91" s="23">
        <v>46141</v>
      </c>
      <c r="C91" s="24">
        <v>40000815</v>
      </c>
      <c r="D91" s="24">
        <v>51043966</v>
      </c>
      <c r="E91" s="25">
        <v>59.55</v>
      </c>
      <c r="F91" s="26">
        <v>1016.01</v>
      </c>
      <c r="G91" s="54">
        <f t="shared" si="15"/>
        <v>60503.395499999999</v>
      </c>
      <c r="H91" s="18">
        <v>76.889799999999994</v>
      </c>
      <c r="I91" s="55">
        <f t="shared" si="16"/>
        <v>4578.787589999999</v>
      </c>
      <c r="J91" s="20" t="s">
        <v>14</v>
      </c>
      <c r="K91" s="56" t="s">
        <v>15</v>
      </c>
    </row>
    <row r="92" spans="1:11" ht="30" x14ac:dyDescent="0.25">
      <c r="A92" s="22">
        <f t="shared" si="17"/>
        <v>82</v>
      </c>
      <c r="B92" s="23">
        <v>46141</v>
      </c>
      <c r="C92" s="24">
        <v>40000814</v>
      </c>
      <c r="D92" s="24">
        <v>51264380</v>
      </c>
      <c r="E92" s="25">
        <v>60.15</v>
      </c>
      <c r="F92" s="26">
        <v>1016.01</v>
      </c>
      <c r="G92" s="54">
        <f t="shared" si="15"/>
        <v>61113.001499999998</v>
      </c>
      <c r="H92" s="18">
        <v>76.889799999999994</v>
      </c>
      <c r="I92" s="55">
        <f t="shared" si="16"/>
        <v>4624.9214699999993</v>
      </c>
      <c r="J92" s="20" t="s">
        <v>14</v>
      </c>
      <c r="K92" s="56" t="s">
        <v>15</v>
      </c>
    </row>
    <row r="93" spans="1:11" ht="30" x14ac:dyDescent="0.25">
      <c r="A93" s="22">
        <f t="shared" si="17"/>
        <v>83</v>
      </c>
      <c r="B93" s="23">
        <v>46141</v>
      </c>
      <c r="C93" s="24">
        <v>40000815</v>
      </c>
      <c r="D93" s="24">
        <v>51393718</v>
      </c>
      <c r="E93" s="25">
        <v>58.9</v>
      </c>
      <c r="F93" s="26">
        <v>1016.01</v>
      </c>
      <c r="G93" s="54">
        <f t="shared" si="15"/>
        <v>59842.989000000001</v>
      </c>
      <c r="H93" s="18">
        <v>76.889799999999994</v>
      </c>
      <c r="I93" s="55">
        <f t="shared" si="16"/>
        <v>4528.8092199999992</v>
      </c>
      <c r="J93" s="20" t="s">
        <v>14</v>
      </c>
      <c r="K93" s="56" t="s">
        <v>15</v>
      </c>
    </row>
    <row r="94" spans="1:11" ht="30" x14ac:dyDescent="0.25">
      <c r="A94" s="22">
        <f t="shared" si="17"/>
        <v>84</v>
      </c>
      <c r="B94" s="23">
        <v>46141</v>
      </c>
      <c r="C94" s="24">
        <v>40000811</v>
      </c>
      <c r="D94" s="24">
        <v>51401644</v>
      </c>
      <c r="E94" s="25">
        <v>60.1</v>
      </c>
      <c r="F94" s="26">
        <v>1016.01</v>
      </c>
      <c r="G94" s="54">
        <f t="shared" si="15"/>
        <v>61062.201000000001</v>
      </c>
      <c r="H94" s="18">
        <v>76.889799999999994</v>
      </c>
      <c r="I94" s="55">
        <f t="shared" si="16"/>
        <v>4621.0769799999998</v>
      </c>
      <c r="J94" s="20" t="s">
        <v>14</v>
      </c>
      <c r="K94" s="56" t="s">
        <v>15</v>
      </c>
    </row>
    <row r="95" spans="1:11" ht="30" x14ac:dyDescent="0.25">
      <c r="A95" s="22">
        <f t="shared" si="17"/>
        <v>85</v>
      </c>
      <c r="B95" s="23">
        <v>46141</v>
      </c>
      <c r="C95" s="24">
        <v>40000813</v>
      </c>
      <c r="D95" s="24">
        <v>51435352</v>
      </c>
      <c r="E95" s="25">
        <v>52.3</v>
      </c>
      <c r="F95" s="26">
        <v>1016.01</v>
      </c>
      <c r="G95" s="54">
        <f t="shared" si="15"/>
        <v>53137.322999999997</v>
      </c>
      <c r="H95" s="18">
        <v>76.889799999999994</v>
      </c>
      <c r="I95" s="55">
        <f t="shared" si="16"/>
        <v>4021.3365399999993</v>
      </c>
      <c r="J95" s="20" t="s">
        <v>14</v>
      </c>
      <c r="K95" s="56" t="s">
        <v>15</v>
      </c>
    </row>
    <row r="96" spans="1:11" ht="30" x14ac:dyDescent="0.25">
      <c r="A96" s="22">
        <f t="shared" si="17"/>
        <v>86</v>
      </c>
      <c r="B96" s="23">
        <v>46141</v>
      </c>
      <c r="C96" s="24">
        <v>40000812</v>
      </c>
      <c r="D96" s="24">
        <v>51632065</v>
      </c>
      <c r="E96" s="25">
        <v>51.65</v>
      </c>
      <c r="F96" s="26">
        <v>1016.01</v>
      </c>
      <c r="G96" s="54">
        <f t="shared" si="15"/>
        <v>52476.916499999999</v>
      </c>
      <c r="H96" s="18">
        <v>76.889799999999994</v>
      </c>
      <c r="I96" s="55">
        <f t="shared" si="16"/>
        <v>3971.3581699999995</v>
      </c>
      <c r="J96" s="20" t="s">
        <v>14</v>
      </c>
      <c r="K96" s="56" t="s">
        <v>15</v>
      </c>
    </row>
    <row r="97" spans="1:11" ht="30" x14ac:dyDescent="0.25">
      <c r="A97" s="22">
        <f t="shared" si="17"/>
        <v>87</v>
      </c>
      <c r="B97" s="23">
        <v>46141</v>
      </c>
      <c r="C97" s="24">
        <v>40000811</v>
      </c>
      <c r="D97" s="24">
        <v>51769347</v>
      </c>
      <c r="E97" s="25">
        <v>60.5</v>
      </c>
      <c r="F97" s="26">
        <v>1016.01</v>
      </c>
      <c r="G97" s="54">
        <f t="shared" si="15"/>
        <v>61468.604999999996</v>
      </c>
      <c r="H97" s="18">
        <v>76.889799999999994</v>
      </c>
      <c r="I97" s="55">
        <f t="shared" si="16"/>
        <v>4651.8328999999994</v>
      </c>
      <c r="J97" s="20" t="s">
        <v>14</v>
      </c>
      <c r="K97" s="56" t="s">
        <v>15</v>
      </c>
    </row>
    <row r="98" spans="1:11" ht="30" x14ac:dyDescent="0.25">
      <c r="A98" s="22">
        <f t="shared" si="17"/>
        <v>88</v>
      </c>
      <c r="B98" s="23">
        <v>46141</v>
      </c>
      <c r="C98" s="24">
        <v>40000815</v>
      </c>
      <c r="D98" s="24">
        <v>51913853</v>
      </c>
      <c r="E98" s="25">
        <v>59.95</v>
      </c>
      <c r="F98" s="26">
        <v>1016.01</v>
      </c>
      <c r="G98" s="54">
        <f t="shared" si="15"/>
        <v>60909.799500000001</v>
      </c>
      <c r="H98" s="18">
        <v>76.889799999999994</v>
      </c>
      <c r="I98" s="55">
        <f t="shared" si="16"/>
        <v>4609.5435099999995</v>
      </c>
      <c r="J98" s="20" t="s">
        <v>14</v>
      </c>
      <c r="K98" s="56" t="s">
        <v>15</v>
      </c>
    </row>
    <row r="99" spans="1:11" ht="30" x14ac:dyDescent="0.25">
      <c r="A99" s="22">
        <f t="shared" si="17"/>
        <v>89</v>
      </c>
      <c r="B99" s="23">
        <v>46141</v>
      </c>
      <c r="C99" s="24">
        <v>40000811</v>
      </c>
      <c r="D99" s="24">
        <v>53952388</v>
      </c>
      <c r="E99" s="25">
        <v>61.45</v>
      </c>
      <c r="F99" s="26">
        <v>1016.01</v>
      </c>
      <c r="G99" s="54">
        <f t="shared" si="15"/>
        <v>62433.8145</v>
      </c>
      <c r="H99" s="18">
        <v>76.889799999999994</v>
      </c>
      <c r="I99" s="55">
        <f t="shared" si="16"/>
        <v>4724.8782099999999</v>
      </c>
      <c r="J99" s="20" t="s">
        <v>14</v>
      </c>
      <c r="K99" s="56" t="s">
        <v>15</v>
      </c>
    </row>
    <row r="100" spans="1:11" ht="30" x14ac:dyDescent="0.25">
      <c r="A100" s="22">
        <f t="shared" si="17"/>
        <v>90</v>
      </c>
      <c r="B100" s="23">
        <v>46141</v>
      </c>
      <c r="C100" s="24">
        <v>40000811</v>
      </c>
      <c r="D100" s="24">
        <v>53973087</v>
      </c>
      <c r="E100" s="25">
        <v>51.95</v>
      </c>
      <c r="F100" s="26">
        <v>1016.01</v>
      </c>
      <c r="G100" s="54">
        <f t="shared" si="15"/>
        <v>52781.719499999999</v>
      </c>
      <c r="H100" s="18">
        <v>76.889799999999994</v>
      </c>
      <c r="I100" s="55">
        <f t="shared" si="16"/>
        <v>3994.4251099999997</v>
      </c>
      <c r="J100" s="20" t="s">
        <v>14</v>
      </c>
      <c r="K100" s="56" t="s">
        <v>15</v>
      </c>
    </row>
    <row r="101" spans="1:11" ht="30" x14ac:dyDescent="0.25">
      <c r="A101" s="22">
        <f t="shared" si="17"/>
        <v>91</v>
      </c>
      <c r="B101" s="23">
        <v>46141</v>
      </c>
      <c r="C101" s="24">
        <v>40000814</v>
      </c>
      <c r="D101" s="24">
        <v>54630355</v>
      </c>
      <c r="E101" s="25">
        <v>60.4</v>
      </c>
      <c r="F101" s="26">
        <v>1016.01</v>
      </c>
      <c r="G101" s="54">
        <f t="shared" si="15"/>
        <v>61367.004000000001</v>
      </c>
      <c r="H101" s="18">
        <v>76.889799999999994</v>
      </c>
      <c r="I101" s="55">
        <f t="shared" si="16"/>
        <v>4644.1439199999995</v>
      </c>
      <c r="J101" s="20" t="s">
        <v>14</v>
      </c>
      <c r="K101" s="56" t="s">
        <v>15</v>
      </c>
    </row>
    <row r="102" spans="1:11" ht="30" x14ac:dyDescent="0.25">
      <c r="A102" s="22">
        <f t="shared" si="17"/>
        <v>92</v>
      </c>
      <c r="B102" s="23">
        <v>46141</v>
      </c>
      <c r="C102" s="24">
        <v>40000811</v>
      </c>
      <c r="D102" s="24">
        <v>54699319</v>
      </c>
      <c r="E102" s="25">
        <v>61.7</v>
      </c>
      <c r="F102" s="26">
        <v>1016.01</v>
      </c>
      <c r="G102" s="54">
        <f t="shared" si="15"/>
        <v>62687.817000000003</v>
      </c>
      <c r="H102" s="18">
        <v>76.889799999999994</v>
      </c>
      <c r="I102" s="55">
        <f t="shared" si="16"/>
        <v>4744.1006600000001</v>
      </c>
      <c r="J102" s="20" t="s">
        <v>14</v>
      </c>
      <c r="K102" s="56" t="s">
        <v>15</v>
      </c>
    </row>
    <row r="103" spans="1:11" ht="30" x14ac:dyDescent="0.25">
      <c r="A103" s="22">
        <f t="shared" si="17"/>
        <v>93</v>
      </c>
      <c r="B103" s="23">
        <v>46141</v>
      </c>
      <c r="C103" s="24">
        <v>40000811</v>
      </c>
      <c r="D103" s="24">
        <v>56907934</v>
      </c>
      <c r="E103" s="25">
        <v>59.8</v>
      </c>
      <c r="F103" s="26">
        <v>1016.01</v>
      </c>
      <c r="G103" s="54">
        <f t="shared" si="15"/>
        <v>60757.397999999994</v>
      </c>
      <c r="H103" s="18">
        <v>76.889799999999994</v>
      </c>
      <c r="I103" s="55">
        <f t="shared" si="16"/>
        <v>4598.0100399999992</v>
      </c>
      <c r="J103" s="20" t="s">
        <v>14</v>
      </c>
      <c r="K103" s="56" t="s">
        <v>15</v>
      </c>
    </row>
    <row r="104" spans="1:11" ht="30" x14ac:dyDescent="0.25">
      <c r="A104" s="22">
        <f t="shared" si="17"/>
        <v>94</v>
      </c>
      <c r="B104" s="23">
        <v>46141</v>
      </c>
      <c r="C104" s="24">
        <v>40000815</v>
      </c>
      <c r="D104" s="24">
        <v>57175358</v>
      </c>
      <c r="E104" s="25">
        <v>60</v>
      </c>
      <c r="F104" s="26">
        <v>1016.01</v>
      </c>
      <c r="G104" s="54">
        <f t="shared" si="15"/>
        <v>60960.6</v>
      </c>
      <c r="H104" s="18">
        <v>76.889799999999994</v>
      </c>
      <c r="I104" s="55">
        <f t="shared" si="16"/>
        <v>4613.3879999999999</v>
      </c>
      <c r="J104" s="20" t="s">
        <v>14</v>
      </c>
      <c r="K104" s="56" t="s">
        <v>15</v>
      </c>
    </row>
    <row r="105" spans="1:11" ht="30" x14ac:dyDescent="0.25">
      <c r="A105" s="22">
        <f t="shared" si="17"/>
        <v>95</v>
      </c>
      <c r="B105" s="23">
        <v>46141</v>
      </c>
      <c r="C105" s="24">
        <v>40000811</v>
      </c>
      <c r="D105" s="24">
        <v>57191751</v>
      </c>
      <c r="E105" s="25">
        <v>60.3</v>
      </c>
      <c r="F105" s="26">
        <v>1016.01</v>
      </c>
      <c r="G105" s="54">
        <f t="shared" si="15"/>
        <v>61265.402999999998</v>
      </c>
      <c r="H105" s="18">
        <v>76.889799999999994</v>
      </c>
      <c r="I105" s="55">
        <f t="shared" si="16"/>
        <v>4636.4549399999996</v>
      </c>
      <c r="J105" s="20" t="s">
        <v>14</v>
      </c>
      <c r="K105" s="56" t="s">
        <v>15</v>
      </c>
    </row>
    <row r="106" spans="1:11" ht="30" x14ac:dyDescent="0.25">
      <c r="A106" s="22">
        <f t="shared" si="17"/>
        <v>96</v>
      </c>
      <c r="B106" s="23">
        <v>46141</v>
      </c>
      <c r="C106" s="24">
        <v>40000811</v>
      </c>
      <c r="D106" s="24">
        <v>57205486</v>
      </c>
      <c r="E106" s="25">
        <v>60.7</v>
      </c>
      <c r="F106" s="26">
        <v>1016.01</v>
      </c>
      <c r="G106" s="54">
        <f t="shared" si="15"/>
        <v>61671.807000000001</v>
      </c>
      <c r="H106" s="18">
        <v>76.889799999999994</v>
      </c>
      <c r="I106" s="55">
        <f t="shared" si="16"/>
        <v>4667.2108600000001</v>
      </c>
      <c r="J106" s="20" t="s">
        <v>14</v>
      </c>
      <c r="K106" s="56" t="s">
        <v>15</v>
      </c>
    </row>
    <row r="107" spans="1:11" ht="30" x14ac:dyDescent="0.25">
      <c r="A107" s="22">
        <f t="shared" si="17"/>
        <v>97</v>
      </c>
      <c r="B107" s="23">
        <v>46141</v>
      </c>
      <c r="C107" s="24">
        <v>40000814</v>
      </c>
      <c r="D107" s="24">
        <v>57431694</v>
      </c>
      <c r="E107" s="25">
        <v>61.3</v>
      </c>
      <c r="F107" s="26">
        <v>1016.01</v>
      </c>
      <c r="G107" s="54">
        <f t="shared" si="15"/>
        <v>62281.412999999993</v>
      </c>
      <c r="H107" s="18">
        <v>76.889799999999994</v>
      </c>
      <c r="I107" s="55">
        <f t="shared" si="16"/>
        <v>4713.3447399999995</v>
      </c>
      <c r="J107" s="20" t="s">
        <v>14</v>
      </c>
      <c r="K107" s="56" t="s">
        <v>15</v>
      </c>
    </row>
    <row r="108" spans="1:11" ht="30" x14ac:dyDescent="0.25">
      <c r="A108" s="22">
        <f t="shared" si="17"/>
        <v>98</v>
      </c>
      <c r="B108" s="23">
        <v>46141</v>
      </c>
      <c r="C108" s="24">
        <v>40000813</v>
      </c>
      <c r="D108" s="24">
        <v>73000481</v>
      </c>
      <c r="E108" s="25">
        <v>61.6</v>
      </c>
      <c r="F108" s="26">
        <v>1016.01</v>
      </c>
      <c r="G108" s="54">
        <f t="shared" si="15"/>
        <v>62586.216</v>
      </c>
      <c r="H108" s="18">
        <v>76.889799999999994</v>
      </c>
      <c r="I108" s="55">
        <f t="shared" si="16"/>
        <v>4736.4116800000002</v>
      </c>
      <c r="J108" s="20" t="s">
        <v>14</v>
      </c>
      <c r="K108" s="56" t="s">
        <v>15</v>
      </c>
    </row>
    <row r="109" spans="1:11" ht="30" x14ac:dyDescent="0.25">
      <c r="A109" s="22">
        <f t="shared" si="17"/>
        <v>99</v>
      </c>
      <c r="B109" s="23">
        <v>46141</v>
      </c>
      <c r="C109" s="24">
        <v>40000813</v>
      </c>
      <c r="D109" s="24">
        <v>73001307</v>
      </c>
      <c r="E109" s="25">
        <v>63.4</v>
      </c>
      <c r="F109" s="26">
        <v>1016.01</v>
      </c>
      <c r="G109" s="54">
        <f t="shared" si="15"/>
        <v>64415.034</v>
      </c>
      <c r="H109" s="18">
        <v>76.889799999999994</v>
      </c>
      <c r="I109" s="55">
        <f t="shared" si="16"/>
        <v>4874.8133199999993</v>
      </c>
      <c r="J109" s="20" t="s">
        <v>14</v>
      </c>
      <c r="K109" s="56" t="s">
        <v>15</v>
      </c>
    </row>
    <row r="110" spans="1:11" ht="30" x14ac:dyDescent="0.25">
      <c r="A110" s="22">
        <f t="shared" si="17"/>
        <v>100</v>
      </c>
      <c r="B110" s="23">
        <v>46141</v>
      </c>
      <c r="C110" s="24">
        <v>40000813</v>
      </c>
      <c r="D110" s="24">
        <v>73001570</v>
      </c>
      <c r="E110" s="25">
        <v>61.75</v>
      </c>
      <c r="F110" s="26">
        <v>1016.01</v>
      </c>
      <c r="G110" s="54">
        <f t="shared" si="15"/>
        <v>62738.6175</v>
      </c>
      <c r="H110" s="18">
        <v>76.889799999999994</v>
      </c>
      <c r="I110" s="55">
        <f t="shared" si="16"/>
        <v>4747.9451499999996</v>
      </c>
      <c r="J110" s="20" t="s">
        <v>14</v>
      </c>
      <c r="K110" s="56" t="s">
        <v>15</v>
      </c>
    </row>
    <row r="111" spans="1:11" ht="30" x14ac:dyDescent="0.25">
      <c r="A111" s="22">
        <f t="shared" si="17"/>
        <v>101</v>
      </c>
      <c r="B111" s="23">
        <v>46141</v>
      </c>
      <c r="C111" s="24">
        <v>40000813</v>
      </c>
      <c r="D111" s="24">
        <v>73005977</v>
      </c>
      <c r="E111" s="25">
        <v>61.85</v>
      </c>
      <c r="F111" s="26">
        <v>1016.01</v>
      </c>
      <c r="G111" s="54">
        <f t="shared" si="15"/>
        <v>62840.218500000003</v>
      </c>
      <c r="H111" s="18">
        <v>76.889799999999994</v>
      </c>
      <c r="I111" s="55">
        <f t="shared" si="16"/>
        <v>4755.6341299999995</v>
      </c>
      <c r="J111" s="20" t="s">
        <v>14</v>
      </c>
      <c r="K111" s="56" t="s">
        <v>15</v>
      </c>
    </row>
    <row r="112" spans="1:11" ht="30" x14ac:dyDescent="0.25">
      <c r="A112" s="22">
        <f t="shared" si="17"/>
        <v>102</v>
      </c>
      <c r="B112" s="23">
        <v>46141</v>
      </c>
      <c r="C112" s="24">
        <v>40000813</v>
      </c>
      <c r="D112" s="24">
        <v>73007064</v>
      </c>
      <c r="E112" s="25">
        <v>60.25</v>
      </c>
      <c r="F112" s="26">
        <v>1016.01</v>
      </c>
      <c r="G112" s="54">
        <f t="shared" si="15"/>
        <v>61214.602500000001</v>
      </c>
      <c r="H112" s="18">
        <v>76.889799999999994</v>
      </c>
      <c r="I112" s="55">
        <f t="shared" si="16"/>
        <v>4632.6104499999992</v>
      </c>
      <c r="J112" s="20" t="s">
        <v>14</v>
      </c>
      <c r="K112" s="56" t="s">
        <v>15</v>
      </c>
    </row>
    <row r="113" spans="1:11" ht="30" x14ac:dyDescent="0.25">
      <c r="A113" s="22">
        <f t="shared" si="17"/>
        <v>103</v>
      </c>
      <c r="B113" s="23">
        <v>46141</v>
      </c>
      <c r="C113" s="24">
        <v>40000813</v>
      </c>
      <c r="D113" s="24">
        <v>73007684</v>
      </c>
      <c r="E113" s="25">
        <v>59.85</v>
      </c>
      <c r="F113" s="26">
        <v>1016.01</v>
      </c>
      <c r="G113" s="54">
        <f t="shared" si="15"/>
        <v>60808.198499999999</v>
      </c>
      <c r="H113" s="18">
        <v>76.889799999999994</v>
      </c>
      <c r="I113" s="55">
        <f t="shared" si="16"/>
        <v>4601.8545299999996</v>
      </c>
      <c r="J113" s="20" t="s">
        <v>14</v>
      </c>
      <c r="K113" s="56" t="s">
        <v>15</v>
      </c>
    </row>
    <row r="114" spans="1:11" ht="30" x14ac:dyDescent="0.25">
      <c r="A114" s="22">
        <f t="shared" si="17"/>
        <v>104</v>
      </c>
      <c r="B114" s="23">
        <v>46141</v>
      </c>
      <c r="C114" s="24">
        <v>40000813</v>
      </c>
      <c r="D114" s="24">
        <v>73010761</v>
      </c>
      <c r="E114" s="25">
        <v>61.5</v>
      </c>
      <c r="F114" s="26">
        <v>1016.01</v>
      </c>
      <c r="G114" s="54">
        <f t="shared" si="15"/>
        <v>62484.614999999998</v>
      </c>
      <c r="H114" s="18">
        <v>76.889799999999994</v>
      </c>
      <c r="I114" s="55">
        <f t="shared" si="16"/>
        <v>4728.7226999999993</v>
      </c>
      <c r="J114" s="20" t="s">
        <v>14</v>
      </c>
      <c r="K114" s="56" t="s">
        <v>15</v>
      </c>
    </row>
    <row r="115" spans="1:11" ht="30" x14ac:dyDescent="0.25">
      <c r="A115" s="22">
        <f t="shared" si="17"/>
        <v>105</v>
      </c>
      <c r="B115" s="23">
        <v>46141</v>
      </c>
      <c r="C115" s="24">
        <v>40000813</v>
      </c>
      <c r="D115" s="24">
        <v>73010969</v>
      </c>
      <c r="E115" s="25">
        <v>61.65</v>
      </c>
      <c r="F115" s="26">
        <v>1016.01</v>
      </c>
      <c r="G115" s="54">
        <f t="shared" si="15"/>
        <v>62637.016499999998</v>
      </c>
      <c r="H115" s="18">
        <v>76.889799999999994</v>
      </c>
      <c r="I115" s="55">
        <f t="shared" si="16"/>
        <v>4740.2561699999997</v>
      </c>
      <c r="J115" s="20" t="s">
        <v>14</v>
      </c>
      <c r="K115" s="56" t="s">
        <v>15</v>
      </c>
    </row>
    <row r="116" spans="1:11" ht="30" x14ac:dyDescent="0.25">
      <c r="A116" s="22">
        <f t="shared" si="17"/>
        <v>106</v>
      </c>
      <c r="B116" s="23">
        <v>46141</v>
      </c>
      <c r="C116" s="24">
        <v>40000813</v>
      </c>
      <c r="D116" s="24">
        <v>73011827</v>
      </c>
      <c r="E116" s="25">
        <v>61</v>
      </c>
      <c r="F116" s="26">
        <v>1016.01</v>
      </c>
      <c r="G116" s="54">
        <f t="shared" si="15"/>
        <v>61976.61</v>
      </c>
      <c r="H116" s="18">
        <v>76.889799999999994</v>
      </c>
      <c r="I116" s="55">
        <f t="shared" si="16"/>
        <v>4690.2777999999998</v>
      </c>
      <c r="J116" s="20" t="s">
        <v>14</v>
      </c>
      <c r="K116" s="56" t="s">
        <v>15</v>
      </c>
    </row>
    <row r="117" spans="1:11" ht="30" x14ac:dyDescent="0.25">
      <c r="A117" s="22">
        <f t="shared" si="17"/>
        <v>107</v>
      </c>
      <c r="B117" s="23">
        <v>46141</v>
      </c>
      <c r="C117" s="24">
        <v>40000811</v>
      </c>
      <c r="D117" s="24">
        <v>73072803</v>
      </c>
      <c r="E117" s="25">
        <v>61.4</v>
      </c>
      <c r="F117" s="26">
        <v>1016.01</v>
      </c>
      <c r="G117" s="54">
        <f t="shared" si="15"/>
        <v>62383.013999999996</v>
      </c>
      <c r="H117" s="18">
        <v>76.889799999999994</v>
      </c>
      <c r="I117" s="55">
        <f t="shared" si="16"/>
        <v>4721.0337199999994</v>
      </c>
      <c r="J117" s="20" t="s">
        <v>14</v>
      </c>
      <c r="K117" s="56" t="s">
        <v>15</v>
      </c>
    </row>
    <row r="118" spans="1:11" ht="30" x14ac:dyDescent="0.25">
      <c r="A118" s="22">
        <f t="shared" si="17"/>
        <v>108</v>
      </c>
      <c r="B118" s="23">
        <v>46141</v>
      </c>
      <c r="C118" s="24">
        <v>40000814</v>
      </c>
      <c r="D118" s="24">
        <v>73093056</v>
      </c>
      <c r="E118" s="25">
        <v>60.45</v>
      </c>
      <c r="F118" s="26">
        <v>1016.01</v>
      </c>
      <c r="G118" s="54">
        <f t="shared" si="15"/>
        <v>61417.804500000006</v>
      </c>
      <c r="H118" s="18">
        <v>76.889799999999994</v>
      </c>
      <c r="I118" s="55">
        <f t="shared" si="16"/>
        <v>4647.9884099999999</v>
      </c>
      <c r="J118" s="20" t="s">
        <v>14</v>
      </c>
      <c r="K118" s="56" t="s">
        <v>15</v>
      </c>
    </row>
    <row r="119" spans="1:11" ht="30" x14ac:dyDescent="0.25">
      <c r="A119" s="22">
        <f t="shared" si="17"/>
        <v>109</v>
      </c>
      <c r="B119" s="23">
        <v>46141</v>
      </c>
      <c r="C119" s="24">
        <v>40000813</v>
      </c>
      <c r="D119" s="24">
        <v>73094328</v>
      </c>
      <c r="E119" s="25">
        <v>59.75</v>
      </c>
      <c r="F119" s="26">
        <v>1016.01</v>
      </c>
      <c r="G119" s="54">
        <f t="shared" si="15"/>
        <v>60706.597499999996</v>
      </c>
      <c r="H119" s="18">
        <v>76.889799999999994</v>
      </c>
      <c r="I119" s="55">
        <f t="shared" si="16"/>
        <v>4594.1655499999997</v>
      </c>
      <c r="J119" s="20" t="s">
        <v>14</v>
      </c>
      <c r="K119" s="56" t="s">
        <v>15</v>
      </c>
    </row>
    <row r="120" spans="1:11" ht="30" x14ac:dyDescent="0.25">
      <c r="A120" s="22">
        <f t="shared" si="17"/>
        <v>110</v>
      </c>
      <c r="B120" s="23">
        <v>46141</v>
      </c>
      <c r="C120" s="24">
        <v>40000814</v>
      </c>
      <c r="D120" s="24">
        <v>73114944</v>
      </c>
      <c r="E120" s="25">
        <v>59.8</v>
      </c>
      <c r="F120" s="26">
        <v>1016.01</v>
      </c>
      <c r="G120" s="54">
        <f t="shared" si="15"/>
        <v>60757.397999999994</v>
      </c>
      <c r="H120" s="18">
        <v>76.889799999999994</v>
      </c>
      <c r="I120" s="55">
        <f t="shared" si="16"/>
        <v>4598.0100399999992</v>
      </c>
      <c r="J120" s="20" t="s">
        <v>14</v>
      </c>
      <c r="K120" s="56" t="s">
        <v>15</v>
      </c>
    </row>
    <row r="121" spans="1:11" ht="30" x14ac:dyDescent="0.25">
      <c r="A121" s="22">
        <f t="shared" si="17"/>
        <v>111</v>
      </c>
      <c r="B121" s="23">
        <v>46141</v>
      </c>
      <c r="C121" s="24">
        <v>40000813</v>
      </c>
      <c r="D121" s="24">
        <v>73121816</v>
      </c>
      <c r="E121" s="25">
        <v>59.5</v>
      </c>
      <c r="F121" s="26">
        <v>1016.01</v>
      </c>
      <c r="G121" s="54">
        <f t="shared" si="15"/>
        <v>60452.595000000001</v>
      </c>
      <c r="H121" s="18">
        <v>76.889799999999994</v>
      </c>
      <c r="I121" s="55">
        <f t="shared" si="16"/>
        <v>4574.9430999999995</v>
      </c>
      <c r="J121" s="20" t="s">
        <v>14</v>
      </c>
      <c r="K121" s="56" t="s">
        <v>15</v>
      </c>
    </row>
    <row r="122" spans="1:11" ht="30" x14ac:dyDescent="0.25">
      <c r="A122" s="22">
        <f t="shared" si="17"/>
        <v>112</v>
      </c>
      <c r="B122" s="23">
        <v>46141</v>
      </c>
      <c r="C122" s="24">
        <v>40000813</v>
      </c>
      <c r="D122" s="24">
        <v>73131716</v>
      </c>
      <c r="E122" s="25">
        <v>59.6</v>
      </c>
      <c r="F122" s="26">
        <v>1016.01</v>
      </c>
      <c r="G122" s="54">
        <f t="shared" si="15"/>
        <v>60554.196000000004</v>
      </c>
      <c r="H122" s="18">
        <v>76.889799999999994</v>
      </c>
      <c r="I122" s="55">
        <f t="shared" si="16"/>
        <v>4582.6320799999994</v>
      </c>
      <c r="J122" s="20" t="s">
        <v>14</v>
      </c>
      <c r="K122" s="56" t="s">
        <v>15</v>
      </c>
    </row>
    <row r="123" spans="1:11" ht="30" x14ac:dyDescent="0.25">
      <c r="A123" s="22">
        <f t="shared" si="17"/>
        <v>113</v>
      </c>
      <c r="B123" s="23">
        <v>46141</v>
      </c>
      <c r="C123" s="24">
        <v>40000813</v>
      </c>
      <c r="D123" s="24">
        <v>73136087</v>
      </c>
      <c r="E123" s="25">
        <v>59.95</v>
      </c>
      <c r="F123" s="26">
        <v>1016.01</v>
      </c>
      <c r="G123" s="54">
        <f t="shared" si="15"/>
        <v>60909.799500000001</v>
      </c>
      <c r="H123" s="18">
        <v>76.889799999999994</v>
      </c>
      <c r="I123" s="55">
        <f t="shared" si="16"/>
        <v>4609.5435099999995</v>
      </c>
      <c r="J123" s="20" t="s">
        <v>14</v>
      </c>
      <c r="K123" s="56" t="s">
        <v>15</v>
      </c>
    </row>
    <row r="124" spans="1:11" ht="30" x14ac:dyDescent="0.25">
      <c r="A124" s="22">
        <f t="shared" si="17"/>
        <v>114</v>
      </c>
      <c r="B124" s="23">
        <v>46141</v>
      </c>
      <c r="C124" s="24">
        <v>40000811</v>
      </c>
      <c r="D124" s="24">
        <v>73152530</v>
      </c>
      <c r="E124" s="25">
        <v>58.9</v>
      </c>
      <c r="F124" s="26">
        <v>1016.01</v>
      </c>
      <c r="G124" s="54">
        <f t="shared" si="15"/>
        <v>59842.989000000001</v>
      </c>
      <c r="H124" s="18">
        <v>76.889799999999994</v>
      </c>
      <c r="I124" s="55">
        <f t="shared" si="16"/>
        <v>4528.8092199999992</v>
      </c>
      <c r="J124" s="20" t="s">
        <v>14</v>
      </c>
      <c r="K124" s="56" t="s">
        <v>15</v>
      </c>
    </row>
    <row r="125" spans="1:11" ht="30" x14ac:dyDescent="0.25">
      <c r="A125" s="22">
        <f t="shared" si="17"/>
        <v>115</v>
      </c>
      <c r="B125" s="23">
        <v>46141</v>
      </c>
      <c r="C125" s="24">
        <v>40000813</v>
      </c>
      <c r="D125" s="24">
        <v>73171969</v>
      </c>
      <c r="E125" s="25">
        <v>59.85</v>
      </c>
      <c r="F125" s="26">
        <v>1016.01</v>
      </c>
      <c r="G125" s="54">
        <f t="shared" si="15"/>
        <v>60808.198499999999</v>
      </c>
      <c r="H125" s="18">
        <v>76.889799999999994</v>
      </c>
      <c r="I125" s="55">
        <f t="shared" si="16"/>
        <v>4601.8545299999996</v>
      </c>
      <c r="J125" s="20" t="s">
        <v>14</v>
      </c>
      <c r="K125" s="56" t="s">
        <v>15</v>
      </c>
    </row>
    <row r="126" spans="1:11" ht="30" x14ac:dyDescent="0.25">
      <c r="A126" s="22">
        <f t="shared" si="17"/>
        <v>116</v>
      </c>
      <c r="B126" s="23">
        <v>46141</v>
      </c>
      <c r="C126" s="24">
        <v>40000813</v>
      </c>
      <c r="D126" s="24">
        <v>73174047</v>
      </c>
      <c r="E126" s="25">
        <v>59.65</v>
      </c>
      <c r="F126" s="26">
        <v>1016.01</v>
      </c>
      <c r="G126" s="54">
        <f t="shared" si="15"/>
        <v>60604.996500000001</v>
      </c>
      <c r="H126" s="18">
        <v>76.889799999999994</v>
      </c>
      <c r="I126" s="55">
        <f t="shared" si="16"/>
        <v>4586.4765699999998</v>
      </c>
      <c r="J126" s="20" t="s">
        <v>14</v>
      </c>
      <c r="K126" s="56" t="s">
        <v>15</v>
      </c>
    </row>
    <row r="127" spans="1:11" ht="30" x14ac:dyDescent="0.25">
      <c r="A127" s="22">
        <f t="shared" si="17"/>
        <v>117</v>
      </c>
      <c r="B127" s="23">
        <v>46141</v>
      </c>
      <c r="C127" s="24">
        <v>40000814</v>
      </c>
      <c r="D127" s="24">
        <v>73184616</v>
      </c>
      <c r="E127" s="25">
        <v>60.7</v>
      </c>
      <c r="F127" s="26">
        <v>1016.01</v>
      </c>
      <c r="G127" s="54">
        <f t="shared" si="15"/>
        <v>61671.807000000001</v>
      </c>
      <c r="H127" s="18">
        <v>76.889799999999994</v>
      </c>
      <c r="I127" s="55">
        <f t="shared" si="16"/>
        <v>4667.2108600000001</v>
      </c>
      <c r="J127" s="20" t="s">
        <v>14</v>
      </c>
      <c r="K127" s="56" t="s">
        <v>15</v>
      </c>
    </row>
    <row r="128" spans="1:11" ht="30" x14ac:dyDescent="0.25">
      <c r="A128" s="22">
        <f t="shared" si="17"/>
        <v>118</v>
      </c>
      <c r="B128" s="23">
        <v>46141</v>
      </c>
      <c r="C128" s="24">
        <v>40000811</v>
      </c>
      <c r="D128" s="24">
        <v>73187882</v>
      </c>
      <c r="E128" s="25">
        <v>59.75</v>
      </c>
      <c r="F128" s="26">
        <v>1016.01</v>
      </c>
      <c r="G128" s="54">
        <f t="shared" si="15"/>
        <v>60706.597499999996</v>
      </c>
      <c r="H128" s="18">
        <v>76.889799999999994</v>
      </c>
      <c r="I128" s="55">
        <f t="shared" si="16"/>
        <v>4594.1655499999997</v>
      </c>
      <c r="J128" s="20" t="s">
        <v>14</v>
      </c>
      <c r="K128" s="56" t="s">
        <v>15</v>
      </c>
    </row>
    <row r="129" spans="1:11" ht="30" x14ac:dyDescent="0.25">
      <c r="A129" s="22">
        <f t="shared" si="17"/>
        <v>119</v>
      </c>
      <c r="B129" s="23">
        <v>46141</v>
      </c>
      <c r="C129" s="24">
        <v>40000811</v>
      </c>
      <c r="D129" s="24">
        <v>73188765</v>
      </c>
      <c r="E129" s="25">
        <v>60.2</v>
      </c>
      <c r="F129" s="26">
        <v>1016.01</v>
      </c>
      <c r="G129" s="54">
        <f t="shared" si="15"/>
        <v>61163.802000000003</v>
      </c>
      <c r="H129" s="18">
        <v>76.889799999999994</v>
      </c>
      <c r="I129" s="55">
        <f t="shared" si="16"/>
        <v>4628.7659599999997</v>
      </c>
      <c r="J129" s="20" t="s">
        <v>14</v>
      </c>
      <c r="K129" s="56" t="s">
        <v>15</v>
      </c>
    </row>
    <row r="130" spans="1:11" ht="30" x14ac:dyDescent="0.25">
      <c r="A130" s="22">
        <f t="shared" si="17"/>
        <v>120</v>
      </c>
      <c r="B130" s="23">
        <v>46141</v>
      </c>
      <c r="C130" s="24">
        <v>40000811</v>
      </c>
      <c r="D130" s="24">
        <v>73191041</v>
      </c>
      <c r="E130" s="25">
        <v>61.35</v>
      </c>
      <c r="F130" s="26">
        <v>1016.01</v>
      </c>
      <c r="G130" s="54">
        <f t="shared" si="15"/>
        <v>62332.213499999998</v>
      </c>
      <c r="H130" s="18">
        <v>76.889799999999994</v>
      </c>
      <c r="I130" s="55">
        <f t="shared" si="16"/>
        <v>4717.18923</v>
      </c>
      <c r="J130" s="20" t="s">
        <v>14</v>
      </c>
      <c r="K130" s="56" t="s">
        <v>15</v>
      </c>
    </row>
    <row r="131" spans="1:11" ht="30" x14ac:dyDescent="0.25">
      <c r="A131" s="22">
        <f t="shared" si="17"/>
        <v>121</v>
      </c>
      <c r="B131" s="23">
        <v>46141</v>
      </c>
      <c r="C131" s="24">
        <v>40000811</v>
      </c>
      <c r="D131" s="24">
        <v>73191215</v>
      </c>
      <c r="E131" s="25">
        <v>60.2</v>
      </c>
      <c r="F131" s="26">
        <v>1016.01</v>
      </c>
      <c r="G131" s="54">
        <f t="shared" si="15"/>
        <v>61163.802000000003</v>
      </c>
      <c r="H131" s="18">
        <v>76.889799999999994</v>
      </c>
      <c r="I131" s="55">
        <f t="shared" si="16"/>
        <v>4628.7659599999997</v>
      </c>
      <c r="J131" s="20" t="s">
        <v>14</v>
      </c>
      <c r="K131" s="56" t="s">
        <v>15</v>
      </c>
    </row>
    <row r="132" spans="1:11" ht="30" x14ac:dyDescent="0.25">
      <c r="A132" s="22">
        <f t="shared" si="17"/>
        <v>122</v>
      </c>
      <c r="B132" s="23">
        <v>46141</v>
      </c>
      <c r="C132" s="24">
        <v>40000812</v>
      </c>
      <c r="D132" s="24">
        <v>73207268</v>
      </c>
      <c r="E132" s="25">
        <v>60.6</v>
      </c>
      <c r="F132" s="26">
        <v>1016.01</v>
      </c>
      <c r="G132" s="54">
        <f t="shared" si="15"/>
        <v>61570.205999999998</v>
      </c>
      <c r="H132" s="18">
        <v>76.889799999999994</v>
      </c>
      <c r="I132" s="55">
        <f t="shared" si="16"/>
        <v>4659.5218799999993</v>
      </c>
      <c r="J132" s="20" t="s">
        <v>14</v>
      </c>
      <c r="K132" s="56" t="s">
        <v>15</v>
      </c>
    </row>
    <row r="133" spans="1:11" ht="30" x14ac:dyDescent="0.25">
      <c r="A133" s="22">
        <f t="shared" si="17"/>
        <v>123</v>
      </c>
      <c r="B133" s="23">
        <v>46141</v>
      </c>
      <c r="C133" s="24">
        <v>40000813</v>
      </c>
      <c r="D133" s="24">
        <v>73230336</v>
      </c>
      <c r="E133" s="25">
        <v>60.8</v>
      </c>
      <c r="F133" s="26">
        <v>1016.01</v>
      </c>
      <c r="G133" s="54">
        <f t="shared" si="15"/>
        <v>61773.407999999996</v>
      </c>
      <c r="H133" s="18">
        <v>76.889799999999994</v>
      </c>
      <c r="I133" s="55">
        <f t="shared" si="16"/>
        <v>4674.8998399999991</v>
      </c>
      <c r="J133" s="20" t="s">
        <v>14</v>
      </c>
      <c r="K133" s="56" t="s">
        <v>15</v>
      </c>
    </row>
    <row r="134" spans="1:11" ht="30" x14ac:dyDescent="0.25">
      <c r="A134" s="22">
        <f t="shared" si="17"/>
        <v>124</v>
      </c>
      <c r="B134" s="23">
        <v>46141</v>
      </c>
      <c r="C134" s="24">
        <v>40000813</v>
      </c>
      <c r="D134" s="24">
        <v>73241838</v>
      </c>
      <c r="E134" s="25">
        <v>61.35</v>
      </c>
      <c r="F134" s="26">
        <v>1016.01</v>
      </c>
      <c r="G134" s="54">
        <f t="shared" si="15"/>
        <v>62332.213499999998</v>
      </c>
      <c r="H134" s="18">
        <v>76.889799999999994</v>
      </c>
      <c r="I134" s="55">
        <f t="shared" si="16"/>
        <v>4717.18923</v>
      </c>
      <c r="J134" s="20" t="s">
        <v>14</v>
      </c>
      <c r="K134" s="56" t="s">
        <v>15</v>
      </c>
    </row>
    <row r="135" spans="1:11" ht="30" x14ac:dyDescent="0.25">
      <c r="A135" s="22">
        <f t="shared" si="17"/>
        <v>125</v>
      </c>
      <c r="B135" s="23">
        <v>46141</v>
      </c>
      <c r="C135" s="24">
        <v>40000812</v>
      </c>
      <c r="D135" s="24">
        <v>73978488</v>
      </c>
      <c r="E135" s="25">
        <v>60.25</v>
      </c>
      <c r="F135" s="26">
        <v>1016.01</v>
      </c>
      <c r="G135" s="54">
        <f t="shared" si="15"/>
        <v>61214.602500000001</v>
      </c>
      <c r="H135" s="18">
        <v>76.889799999999994</v>
      </c>
      <c r="I135" s="55">
        <f t="shared" si="16"/>
        <v>4632.6104499999992</v>
      </c>
      <c r="J135" s="20" t="s">
        <v>14</v>
      </c>
      <c r="K135" s="56" t="s">
        <v>15</v>
      </c>
    </row>
    <row r="136" spans="1:11" ht="30" x14ac:dyDescent="0.25">
      <c r="A136" s="22">
        <f t="shared" si="17"/>
        <v>126</v>
      </c>
      <c r="B136" s="23">
        <v>46141</v>
      </c>
      <c r="C136" s="24">
        <v>40000815</v>
      </c>
      <c r="D136" s="24">
        <v>74979766</v>
      </c>
      <c r="E136" s="25">
        <v>60.1</v>
      </c>
      <c r="F136" s="26">
        <v>1016.01</v>
      </c>
      <c r="G136" s="54">
        <f t="shared" si="15"/>
        <v>61062.201000000001</v>
      </c>
      <c r="H136" s="18">
        <v>76.889799999999994</v>
      </c>
      <c r="I136" s="55">
        <f t="shared" si="16"/>
        <v>4621.0769799999998</v>
      </c>
      <c r="J136" s="20" t="s">
        <v>14</v>
      </c>
      <c r="K136" s="56" t="s">
        <v>15</v>
      </c>
    </row>
    <row r="137" spans="1:11" ht="30" x14ac:dyDescent="0.25">
      <c r="A137" s="22">
        <f t="shared" si="17"/>
        <v>127</v>
      </c>
      <c r="B137" s="23">
        <v>46141</v>
      </c>
      <c r="C137" s="24">
        <v>40000812</v>
      </c>
      <c r="D137" s="24">
        <v>75109322</v>
      </c>
      <c r="E137" s="25">
        <v>61</v>
      </c>
      <c r="F137" s="26">
        <v>1016.01</v>
      </c>
      <c r="G137" s="54">
        <f t="shared" si="15"/>
        <v>61976.61</v>
      </c>
      <c r="H137" s="18">
        <v>76.889799999999994</v>
      </c>
      <c r="I137" s="55">
        <f t="shared" si="16"/>
        <v>4690.2777999999998</v>
      </c>
      <c r="J137" s="20" t="s">
        <v>14</v>
      </c>
      <c r="K137" s="56" t="s">
        <v>15</v>
      </c>
    </row>
    <row r="138" spans="1:11" ht="30" x14ac:dyDescent="0.25">
      <c r="A138" s="22">
        <f t="shared" si="17"/>
        <v>128</v>
      </c>
      <c r="B138" s="23">
        <v>46141</v>
      </c>
      <c r="C138" s="24">
        <v>40000811</v>
      </c>
      <c r="D138" s="24">
        <v>75112714</v>
      </c>
      <c r="E138" s="25">
        <v>61.3</v>
      </c>
      <c r="F138" s="26">
        <v>1016.01</v>
      </c>
      <c r="G138" s="54">
        <f t="shared" si="15"/>
        <v>62281.412999999993</v>
      </c>
      <c r="H138" s="18">
        <v>76.889799999999994</v>
      </c>
      <c r="I138" s="55">
        <f t="shared" si="16"/>
        <v>4713.3447399999995</v>
      </c>
      <c r="J138" s="20" t="s">
        <v>14</v>
      </c>
      <c r="K138" s="56" t="s">
        <v>15</v>
      </c>
    </row>
    <row r="139" spans="1:11" ht="30" x14ac:dyDescent="0.25">
      <c r="A139" s="22">
        <f t="shared" si="17"/>
        <v>129</v>
      </c>
      <c r="B139" s="23">
        <v>46141</v>
      </c>
      <c r="C139" s="24">
        <v>40000812</v>
      </c>
      <c r="D139" s="24">
        <v>75126763</v>
      </c>
      <c r="E139" s="25">
        <v>60.3</v>
      </c>
      <c r="F139" s="26">
        <v>1016.01</v>
      </c>
      <c r="G139" s="54">
        <f t="shared" si="15"/>
        <v>61265.402999999998</v>
      </c>
      <c r="H139" s="18">
        <v>76.889799999999994</v>
      </c>
      <c r="I139" s="55">
        <f t="shared" si="16"/>
        <v>4636.4549399999996</v>
      </c>
      <c r="J139" s="20" t="s">
        <v>14</v>
      </c>
      <c r="K139" s="56" t="s">
        <v>15</v>
      </c>
    </row>
    <row r="140" spans="1:11" ht="30" x14ac:dyDescent="0.25">
      <c r="A140" s="22">
        <f t="shared" si="17"/>
        <v>130</v>
      </c>
      <c r="B140" s="23">
        <v>46141</v>
      </c>
      <c r="C140" s="24">
        <v>40000812</v>
      </c>
      <c r="D140" s="24">
        <v>75208124</v>
      </c>
      <c r="E140" s="25">
        <v>62.3</v>
      </c>
      <c r="F140" s="26">
        <v>1016.01</v>
      </c>
      <c r="G140" s="54">
        <f t="shared" si="15"/>
        <v>63297.422999999995</v>
      </c>
      <c r="H140" s="18">
        <v>76.889799999999994</v>
      </c>
      <c r="I140" s="55">
        <f t="shared" si="16"/>
        <v>4790.2345399999995</v>
      </c>
      <c r="J140" s="20" t="s">
        <v>14</v>
      </c>
      <c r="K140" s="56" t="s">
        <v>15</v>
      </c>
    </row>
    <row r="141" spans="1:11" ht="30" x14ac:dyDescent="0.25">
      <c r="A141" s="22">
        <f t="shared" si="17"/>
        <v>131</v>
      </c>
      <c r="B141" s="23">
        <v>46141</v>
      </c>
      <c r="C141" s="24">
        <v>40000814</v>
      </c>
      <c r="D141" s="24">
        <v>75223958</v>
      </c>
      <c r="E141" s="25">
        <v>60.95</v>
      </c>
      <c r="F141" s="26">
        <v>1016.01</v>
      </c>
      <c r="G141" s="54">
        <f t="shared" si="15"/>
        <v>61925.809500000003</v>
      </c>
      <c r="H141" s="18">
        <v>76.889799999999994</v>
      </c>
      <c r="I141" s="55">
        <f t="shared" si="16"/>
        <v>4686.4333099999994</v>
      </c>
      <c r="J141" s="20" t="s">
        <v>14</v>
      </c>
      <c r="K141" s="56" t="s">
        <v>15</v>
      </c>
    </row>
    <row r="142" spans="1:11" ht="30" x14ac:dyDescent="0.25">
      <c r="A142" s="22">
        <f t="shared" si="17"/>
        <v>132</v>
      </c>
      <c r="B142" s="23">
        <v>46141</v>
      </c>
      <c r="C142" s="24">
        <v>40000812</v>
      </c>
      <c r="D142" s="24">
        <v>75281378</v>
      </c>
      <c r="E142" s="25">
        <v>61.6</v>
      </c>
      <c r="F142" s="26">
        <v>1016.01</v>
      </c>
      <c r="G142" s="54">
        <f t="shared" si="15"/>
        <v>62586.216</v>
      </c>
      <c r="H142" s="18">
        <v>76.889799999999994</v>
      </c>
      <c r="I142" s="55">
        <f t="shared" si="16"/>
        <v>4736.4116800000002</v>
      </c>
      <c r="J142" s="20" t="s">
        <v>14</v>
      </c>
      <c r="K142" s="56" t="s">
        <v>15</v>
      </c>
    </row>
    <row r="143" spans="1:11" ht="30" x14ac:dyDescent="0.25">
      <c r="A143" s="22">
        <f t="shared" si="17"/>
        <v>133</v>
      </c>
      <c r="B143" s="23">
        <v>46141</v>
      </c>
      <c r="C143" s="24">
        <v>40000812</v>
      </c>
      <c r="D143" s="24">
        <v>75292433</v>
      </c>
      <c r="E143" s="25">
        <v>61.7</v>
      </c>
      <c r="F143" s="26">
        <v>1016.01</v>
      </c>
      <c r="G143" s="54">
        <f t="shared" si="15"/>
        <v>62687.817000000003</v>
      </c>
      <c r="H143" s="18">
        <v>76.889799999999994</v>
      </c>
      <c r="I143" s="55">
        <f t="shared" si="16"/>
        <v>4744.1006600000001</v>
      </c>
      <c r="J143" s="20" t="s">
        <v>14</v>
      </c>
      <c r="K143" s="56" t="s">
        <v>15</v>
      </c>
    </row>
    <row r="144" spans="1:11" ht="30" x14ac:dyDescent="0.25">
      <c r="A144" s="22">
        <f t="shared" si="17"/>
        <v>134</v>
      </c>
      <c r="B144" s="23">
        <v>46141</v>
      </c>
      <c r="C144" s="24">
        <v>40000812</v>
      </c>
      <c r="D144" s="24">
        <v>75857698</v>
      </c>
      <c r="E144" s="25">
        <v>61.7</v>
      </c>
      <c r="F144" s="26">
        <v>1016.01</v>
      </c>
      <c r="G144" s="54">
        <f t="shared" si="15"/>
        <v>62687.817000000003</v>
      </c>
      <c r="H144" s="18">
        <v>76.889799999999994</v>
      </c>
      <c r="I144" s="55">
        <f t="shared" si="16"/>
        <v>4744.1006600000001</v>
      </c>
      <c r="J144" s="20" t="s">
        <v>14</v>
      </c>
      <c r="K144" s="56" t="s">
        <v>15</v>
      </c>
    </row>
    <row r="145" spans="1:11" ht="30" x14ac:dyDescent="0.25">
      <c r="A145" s="22">
        <f t="shared" si="17"/>
        <v>135</v>
      </c>
      <c r="B145" s="23">
        <v>46141</v>
      </c>
      <c r="C145" s="24">
        <v>40000813</v>
      </c>
      <c r="D145" s="24">
        <v>76597798</v>
      </c>
      <c r="E145" s="25">
        <v>60.7</v>
      </c>
      <c r="F145" s="26">
        <v>1016.01</v>
      </c>
      <c r="G145" s="54">
        <f t="shared" si="15"/>
        <v>61671.807000000001</v>
      </c>
      <c r="H145" s="18">
        <v>76.889799999999994</v>
      </c>
      <c r="I145" s="55">
        <f t="shared" si="16"/>
        <v>4667.2108600000001</v>
      </c>
      <c r="J145" s="20" t="s">
        <v>14</v>
      </c>
      <c r="K145" s="56" t="s">
        <v>15</v>
      </c>
    </row>
    <row r="146" spans="1:11" ht="30.75" thickBot="1" x14ac:dyDescent="0.3">
      <c r="A146" s="39">
        <f t="shared" si="17"/>
        <v>136</v>
      </c>
      <c r="B146" s="40">
        <v>46141</v>
      </c>
      <c r="C146" s="41">
        <v>40000812</v>
      </c>
      <c r="D146" s="41">
        <v>76921394</v>
      </c>
      <c r="E146" s="42">
        <v>60.35</v>
      </c>
      <c r="F146" s="26">
        <v>1016.01</v>
      </c>
      <c r="G146" s="57">
        <f t="shared" si="15"/>
        <v>61316.203500000003</v>
      </c>
      <c r="H146" s="18">
        <v>76.889799999999994</v>
      </c>
      <c r="I146" s="58">
        <f t="shared" si="16"/>
        <v>4640.29943</v>
      </c>
      <c r="J146" s="45" t="s">
        <v>14</v>
      </c>
      <c r="K146" s="59" t="s">
        <v>15</v>
      </c>
    </row>
    <row r="147" spans="1:11" ht="15.75" thickBot="1" x14ac:dyDescent="0.3">
      <c r="A147" s="68"/>
      <c r="B147" s="69"/>
      <c r="C147" s="69"/>
      <c r="D147" s="69"/>
      <c r="E147" s="70"/>
      <c r="F147" s="69"/>
      <c r="G147" s="71"/>
      <c r="H147" s="72"/>
      <c r="I147" s="73"/>
      <c r="J147" s="69"/>
      <c r="K147" s="74"/>
    </row>
    <row r="148" spans="1:11" ht="30" x14ac:dyDescent="0.25">
      <c r="A148" s="60">
        <v>137</v>
      </c>
      <c r="B148" s="61">
        <v>46143</v>
      </c>
      <c r="C148" s="62">
        <v>40001022</v>
      </c>
      <c r="D148" s="62">
        <v>50414218</v>
      </c>
      <c r="E148" s="63">
        <v>59.9</v>
      </c>
      <c r="F148" s="75">
        <v>1016.01</v>
      </c>
      <c r="G148" s="64">
        <f t="shared" ref="G148:G151" si="18">E148*F148</f>
        <v>60858.998999999996</v>
      </c>
      <c r="H148" s="18">
        <v>76.889799999999994</v>
      </c>
      <c r="I148" s="65">
        <f t="shared" ref="I148:I151" si="19">E148*H148</f>
        <v>4605.6990199999991</v>
      </c>
      <c r="J148" s="66" t="s">
        <v>14</v>
      </c>
      <c r="K148" s="67" t="s">
        <v>15</v>
      </c>
    </row>
    <row r="149" spans="1:11" ht="30" x14ac:dyDescent="0.25">
      <c r="A149" s="22">
        <f>A148+1</f>
        <v>138</v>
      </c>
      <c r="B149" s="23">
        <v>46143</v>
      </c>
      <c r="C149" s="24">
        <v>40001018</v>
      </c>
      <c r="D149" s="24">
        <v>73011587</v>
      </c>
      <c r="E149" s="25">
        <v>60.25</v>
      </c>
      <c r="F149" s="26">
        <v>1016.01</v>
      </c>
      <c r="G149" s="54">
        <f t="shared" si="18"/>
        <v>61214.602500000001</v>
      </c>
      <c r="H149" s="18">
        <v>76.889799999999994</v>
      </c>
      <c r="I149" s="55">
        <f t="shared" si="19"/>
        <v>4632.6104499999992</v>
      </c>
      <c r="J149" s="20" t="s">
        <v>14</v>
      </c>
      <c r="K149" s="56" t="s">
        <v>15</v>
      </c>
    </row>
    <row r="150" spans="1:11" ht="30" x14ac:dyDescent="0.25">
      <c r="A150" s="22">
        <f t="shared" ref="A150:A151" si="20">A149+1</f>
        <v>139</v>
      </c>
      <c r="B150" s="23">
        <v>46143</v>
      </c>
      <c r="C150" s="24">
        <v>40001020</v>
      </c>
      <c r="D150" s="24">
        <v>75342170</v>
      </c>
      <c r="E150" s="25">
        <v>60.95</v>
      </c>
      <c r="F150" s="26">
        <v>1016.01</v>
      </c>
      <c r="G150" s="54">
        <f t="shared" si="18"/>
        <v>61925.809500000003</v>
      </c>
      <c r="H150" s="18">
        <v>76.889799999999994</v>
      </c>
      <c r="I150" s="55">
        <f t="shared" si="19"/>
        <v>4686.4333099999994</v>
      </c>
      <c r="J150" s="20" t="s">
        <v>14</v>
      </c>
      <c r="K150" s="56" t="s">
        <v>15</v>
      </c>
    </row>
    <row r="151" spans="1:11" ht="30.75" thickBot="1" x14ac:dyDescent="0.3">
      <c r="A151" s="27">
        <f t="shared" si="20"/>
        <v>140</v>
      </c>
      <c r="B151" s="28">
        <v>46143</v>
      </c>
      <c r="C151" s="29">
        <v>40001021</v>
      </c>
      <c r="D151" s="29">
        <v>75342220</v>
      </c>
      <c r="E151" s="48">
        <v>60.75</v>
      </c>
      <c r="F151" s="76">
        <v>1016.01</v>
      </c>
      <c r="G151" s="77">
        <f t="shared" si="18"/>
        <v>61722.607499999998</v>
      </c>
      <c r="H151" s="18">
        <v>76.889799999999994</v>
      </c>
      <c r="I151" s="78">
        <f t="shared" si="19"/>
        <v>4671.0553499999996</v>
      </c>
      <c r="J151" s="51" t="s">
        <v>14</v>
      </c>
      <c r="K151" s="79" t="s">
        <v>15</v>
      </c>
    </row>
    <row r="152" spans="1:11" ht="15.75" thickBot="1" x14ac:dyDescent="0.3">
      <c r="A152" s="80"/>
      <c r="B152" s="81"/>
      <c r="C152" s="81"/>
      <c r="D152" s="81"/>
      <c r="E152" s="82"/>
      <c r="F152" s="81"/>
      <c r="G152" s="83"/>
      <c r="H152" s="84"/>
      <c r="I152" s="85"/>
      <c r="J152" s="81"/>
      <c r="K152" s="86"/>
    </row>
    <row r="153" spans="1:11" ht="30" x14ac:dyDescent="0.25">
      <c r="A153" s="60">
        <v>141</v>
      </c>
      <c r="B153" s="61">
        <v>46145</v>
      </c>
      <c r="C153" s="62">
        <v>40001023</v>
      </c>
      <c r="D153" s="62">
        <v>51487452</v>
      </c>
      <c r="E153" s="63">
        <v>59.55</v>
      </c>
      <c r="F153" s="75">
        <v>1016.01</v>
      </c>
      <c r="G153" s="64">
        <f t="shared" ref="G153:G162" si="21">E153*F153</f>
        <v>60503.395499999999</v>
      </c>
      <c r="H153" s="18">
        <v>76.889799999999994</v>
      </c>
      <c r="I153" s="65">
        <f t="shared" ref="I153:I162" si="22">E153*H153</f>
        <v>4578.787589999999</v>
      </c>
      <c r="J153" s="66" t="s">
        <v>14</v>
      </c>
      <c r="K153" s="67" t="s">
        <v>15</v>
      </c>
    </row>
    <row r="154" spans="1:11" ht="30" x14ac:dyDescent="0.25">
      <c r="A154" s="22">
        <f>A153+1</f>
        <v>142</v>
      </c>
      <c r="B154" s="13">
        <v>46145</v>
      </c>
      <c r="C154" s="24">
        <v>40001023</v>
      </c>
      <c r="D154" s="24">
        <v>51893618</v>
      </c>
      <c r="E154" s="25">
        <v>60.35</v>
      </c>
      <c r="F154" s="26">
        <v>1016.01</v>
      </c>
      <c r="G154" s="54">
        <f t="shared" si="21"/>
        <v>61316.203500000003</v>
      </c>
      <c r="H154" s="18">
        <v>76.889799999999994</v>
      </c>
      <c r="I154" s="55">
        <f t="shared" si="22"/>
        <v>4640.29943</v>
      </c>
      <c r="J154" s="20" t="s">
        <v>14</v>
      </c>
      <c r="K154" s="56" t="s">
        <v>15</v>
      </c>
    </row>
    <row r="155" spans="1:11" ht="30" x14ac:dyDescent="0.25">
      <c r="A155" s="22">
        <f t="shared" ref="A155:A162" si="23">A154+1</f>
        <v>143</v>
      </c>
      <c r="B155" s="13">
        <v>46145</v>
      </c>
      <c r="C155" s="24">
        <v>40001023</v>
      </c>
      <c r="D155" s="24">
        <v>51921211</v>
      </c>
      <c r="E155" s="25">
        <v>51.9</v>
      </c>
      <c r="F155" s="26">
        <v>1016.01</v>
      </c>
      <c r="G155" s="54">
        <f t="shared" si="21"/>
        <v>52730.919000000002</v>
      </c>
      <c r="H155" s="18">
        <v>76.889799999999994</v>
      </c>
      <c r="I155" s="55">
        <f t="shared" si="22"/>
        <v>3990.5806199999997</v>
      </c>
      <c r="J155" s="20" t="s">
        <v>14</v>
      </c>
      <c r="K155" s="56" t="s">
        <v>15</v>
      </c>
    </row>
    <row r="156" spans="1:11" ht="30" x14ac:dyDescent="0.25">
      <c r="A156" s="22">
        <f t="shared" si="23"/>
        <v>144</v>
      </c>
      <c r="B156" s="13">
        <v>46145</v>
      </c>
      <c r="C156" s="24">
        <v>40001023</v>
      </c>
      <c r="D156" s="24">
        <v>53945887</v>
      </c>
      <c r="E156" s="25">
        <v>50.5</v>
      </c>
      <c r="F156" s="26">
        <v>1016.01</v>
      </c>
      <c r="G156" s="54">
        <f t="shared" si="21"/>
        <v>51308.504999999997</v>
      </c>
      <c r="H156" s="18">
        <v>76.889799999999994</v>
      </c>
      <c r="I156" s="55">
        <f t="shared" si="22"/>
        <v>3882.9348999999997</v>
      </c>
      <c r="J156" s="20" t="s">
        <v>14</v>
      </c>
      <c r="K156" s="56" t="s">
        <v>15</v>
      </c>
    </row>
    <row r="157" spans="1:11" ht="30" x14ac:dyDescent="0.25">
      <c r="A157" s="22">
        <f t="shared" si="23"/>
        <v>145</v>
      </c>
      <c r="B157" s="13">
        <v>46145</v>
      </c>
      <c r="C157" s="24">
        <v>40001023</v>
      </c>
      <c r="D157" s="24">
        <v>54027016</v>
      </c>
      <c r="E157" s="25">
        <v>59.8</v>
      </c>
      <c r="F157" s="26">
        <v>1016.01</v>
      </c>
      <c r="G157" s="54">
        <f t="shared" si="21"/>
        <v>60757.397999999994</v>
      </c>
      <c r="H157" s="18">
        <v>76.889799999999994</v>
      </c>
      <c r="I157" s="55">
        <f t="shared" si="22"/>
        <v>4598.0100399999992</v>
      </c>
      <c r="J157" s="20" t="s">
        <v>14</v>
      </c>
      <c r="K157" s="56" t="s">
        <v>15</v>
      </c>
    </row>
    <row r="158" spans="1:11" ht="30" x14ac:dyDescent="0.25">
      <c r="A158" s="22">
        <f t="shared" si="23"/>
        <v>146</v>
      </c>
      <c r="B158" s="13">
        <v>46145</v>
      </c>
      <c r="C158" s="24">
        <v>40001023</v>
      </c>
      <c r="D158" s="24">
        <v>54046370</v>
      </c>
      <c r="E158" s="25">
        <v>59.8</v>
      </c>
      <c r="F158" s="26">
        <v>1016.01</v>
      </c>
      <c r="G158" s="54">
        <f t="shared" si="21"/>
        <v>60757.397999999994</v>
      </c>
      <c r="H158" s="18">
        <v>76.889799999999994</v>
      </c>
      <c r="I158" s="55">
        <f t="shared" si="22"/>
        <v>4598.0100399999992</v>
      </c>
      <c r="J158" s="20" t="s">
        <v>14</v>
      </c>
      <c r="K158" s="56" t="s">
        <v>15</v>
      </c>
    </row>
    <row r="159" spans="1:11" ht="30" x14ac:dyDescent="0.25">
      <c r="A159" s="22">
        <f t="shared" si="23"/>
        <v>147</v>
      </c>
      <c r="B159" s="13">
        <v>46145</v>
      </c>
      <c r="C159" s="24">
        <v>40001023</v>
      </c>
      <c r="D159" s="24">
        <v>58638453</v>
      </c>
      <c r="E159" s="25">
        <v>59.7</v>
      </c>
      <c r="F159" s="26">
        <v>1016.01</v>
      </c>
      <c r="G159" s="54">
        <f t="shared" si="21"/>
        <v>60655.797000000006</v>
      </c>
      <c r="H159" s="18">
        <v>76.889799999999994</v>
      </c>
      <c r="I159" s="55">
        <f t="shared" si="22"/>
        <v>4590.3210600000002</v>
      </c>
      <c r="J159" s="20" t="s">
        <v>14</v>
      </c>
      <c r="K159" s="56" t="s">
        <v>15</v>
      </c>
    </row>
    <row r="160" spans="1:11" ht="30" x14ac:dyDescent="0.25">
      <c r="A160" s="22">
        <f t="shared" si="23"/>
        <v>148</v>
      </c>
      <c r="B160" s="13">
        <v>46145</v>
      </c>
      <c r="C160" s="24">
        <v>40001113</v>
      </c>
      <c r="D160" s="24">
        <v>73117855</v>
      </c>
      <c r="E160" s="25">
        <v>60.25</v>
      </c>
      <c r="F160" s="26">
        <v>1016.01</v>
      </c>
      <c r="G160" s="54">
        <f t="shared" si="21"/>
        <v>61214.602500000001</v>
      </c>
      <c r="H160" s="18">
        <v>76.889799999999994</v>
      </c>
      <c r="I160" s="55">
        <f t="shared" si="22"/>
        <v>4632.6104499999992</v>
      </c>
      <c r="J160" s="20" t="s">
        <v>14</v>
      </c>
      <c r="K160" s="56" t="s">
        <v>15</v>
      </c>
    </row>
    <row r="161" spans="1:11" ht="30" x14ac:dyDescent="0.25">
      <c r="A161" s="22">
        <f t="shared" si="23"/>
        <v>149</v>
      </c>
      <c r="B161" s="13">
        <v>46145</v>
      </c>
      <c r="C161" s="24">
        <v>40001112</v>
      </c>
      <c r="D161" s="24">
        <v>73228405</v>
      </c>
      <c r="E161" s="25">
        <v>60.35</v>
      </c>
      <c r="F161" s="26">
        <v>1016.01</v>
      </c>
      <c r="G161" s="54">
        <f t="shared" si="21"/>
        <v>61316.203500000003</v>
      </c>
      <c r="H161" s="18">
        <v>76.889799999999994</v>
      </c>
      <c r="I161" s="55">
        <f t="shared" si="22"/>
        <v>4640.29943</v>
      </c>
      <c r="J161" s="20" t="s">
        <v>14</v>
      </c>
      <c r="K161" s="56" t="s">
        <v>15</v>
      </c>
    </row>
    <row r="162" spans="1:11" ht="30.75" thickBot="1" x14ac:dyDescent="0.3">
      <c r="A162" s="27">
        <f t="shared" si="23"/>
        <v>150</v>
      </c>
      <c r="B162" s="87">
        <v>46145</v>
      </c>
      <c r="C162" s="29">
        <v>40001023</v>
      </c>
      <c r="D162" s="29">
        <v>74979964</v>
      </c>
      <c r="E162" s="48">
        <v>59.85</v>
      </c>
      <c r="F162" s="76">
        <v>1016.01</v>
      </c>
      <c r="G162" s="77">
        <f t="shared" si="21"/>
        <v>60808.198499999999</v>
      </c>
      <c r="H162" s="18">
        <v>76.889799999999994</v>
      </c>
      <c r="I162" s="78">
        <f t="shared" si="22"/>
        <v>4601.8545299999996</v>
      </c>
      <c r="J162" s="51" t="s">
        <v>14</v>
      </c>
      <c r="K162" s="79" t="s">
        <v>15</v>
      </c>
    </row>
    <row r="163" spans="1:11" ht="15.75" thickBot="1" x14ac:dyDescent="0.3">
      <c r="A163" s="30"/>
      <c r="B163" s="31"/>
      <c r="C163" s="31"/>
      <c r="D163" s="31"/>
      <c r="E163" s="47"/>
      <c r="F163" s="31"/>
      <c r="G163" s="33"/>
      <c r="H163" s="34"/>
      <c r="I163" s="35"/>
      <c r="J163" s="31"/>
      <c r="K163" s="88"/>
    </row>
    <row r="164" spans="1:11" ht="30" x14ac:dyDescent="0.25">
      <c r="A164" s="60">
        <v>151</v>
      </c>
      <c r="B164" s="61">
        <v>46145</v>
      </c>
      <c r="C164" s="62">
        <v>40001182</v>
      </c>
      <c r="D164" s="62">
        <v>50786581</v>
      </c>
      <c r="E164" s="63">
        <v>50.85</v>
      </c>
      <c r="F164" s="75">
        <v>1016.01</v>
      </c>
      <c r="G164" s="64">
        <f t="shared" ref="G164:G179" si="24">E164*F164</f>
        <v>51664.108500000002</v>
      </c>
      <c r="H164" s="18">
        <v>76.889799999999994</v>
      </c>
      <c r="I164" s="65">
        <f t="shared" ref="I164:I179" si="25">E164*H164</f>
        <v>3909.8463299999999</v>
      </c>
      <c r="J164" s="66" t="s">
        <v>14</v>
      </c>
      <c r="K164" s="67" t="s">
        <v>15</v>
      </c>
    </row>
    <row r="165" spans="1:11" ht="30" x14ac:dyDescent="0.25">
      <c r="A165" s="22">
        <f>A164+1</f>
        <v>152</v>
      </c>
      <c r="B165" s="13">
        <v>46145</v>
      </c>
      <c r="C165" s="24">
        <v>40001182</v>
      </c>
      <c r="D165" s="24">
        <v>51427177</v>
      </c>
      <c r="E165" s="25">
        <v>50.5</v>
      </c>
      <c r="F165" s="26">
        <v>1016.01</v>
      </c>
      <c r="G165" s="54">
        <f t="shared" si="24"/>
        <v>51308.504999999997</v>
      </c>
      <c r="H165" s="18">
        <v>76.889799999999994</v>
      </c>
      <c r="I165" s="55">
        <f t="shared" si="25"/>
        <v>3882.9348999999997</v>
      </c>
      <c r="J165" s="20" t="s">
        <v>14</v>
      </c>
      <c r="K165" s="56" t="s">
        <v>15</v>
      </c>
    </row>
    <row r="166" spans="1:11" ht="30" x14ac:dyDescent="0.25">
      <c r="A166" s="22">
        <f t="shared" ref="A166:A179" si="26">A165+1</f>
        <v>153</v>
      </c>
      <c r="B166" s="13">
        <v>46145</v>
      </c>
      <c r="C166" s="24">
        <v>40001182</v>
      </c>
      <c r="D166" s="24">
        <v>51689016</v>
      </c>
      <c r="E166" s="25">
        <v>60</v>
      </c>
      <c r="F166" s="26">
        <v>1016.01</v>
      </c>
      <c r="G166" s="54">
        <f t="shared" si="24"/>
        <v>60960.6</v>
      </c>
      <c r="H166" s="18">
        <v>76.889799999999994</v>
      </c>
      <c r="I166" s="55">
        <f t="shared" si="25"/>
        <v>4613.3879999999999</v>
      </c>
      <c r="J166" s="20" t="s">
        <v>14</v>
      </c>
      <c r="K166" s="56" t="s">
        <v>15</v>
      </c>
    </row>
    <row r="167" spans="1:11" ht="30" x14ac:dyDescent="0.25">
      <c r="A167" s="22">
        <f t="shared" si="26"/>
        <v>154</v>
      </c>
      <c r="B167" s="13">
        <v>46145</v>
      </c>
      <c r="C167" s="24">
        <v>40001182</v>
      </c>
      <c r="D167" s="24">
        <v>51921138</v>
      </c>
      <c r="E167" s="25">
        <v>51.9</v>
      </c>
      <c r="F167" s="26">
        <v>1016.01</v>
      </c>
      <c r="G167" s="54">
        <f t="shared" si="24"/>
        <v>52730.919000000002</v>
      </c>
      <c r="H167" s="18">
        <v>76.889799999999994</v>
      </c>
      <c r="I167" s="55">
        <f t="shared" si="25"/>
        <v>3990.5806199999997</v>
      </c>
      <c r="J167" s="20" t="s">
        <v>14</v>
      </c>
      <c r="K167" s="56" t="s">
        <v>15</v>
      </c>
    </row>
    <row r="168" spans="1:11" ht="30" x14ac:dyDescent="0.25">
      <c r="A168" s="22">
        <f t="shared" si="26"/>
        <v>155</v>
      </c>
      <c r="B168" s="13">
        <v>46145</v>
      </c>
      <c r="C168" s="24">
        <v>40001182</v>
      </c>
      <c r="D168" s="24">
        <v>54047030</v>
      </c>
      <c r="E168" s="25">
        <v>59.75</v>
      </c>
      <c r="F168" s="26">
        <v>1016.01</v>
      </c>
      <c r="G168" s="54">
        <f t="shared" si="24"/>
        <v>60706.597499999996</v>
      </c>
      <c r="H168" s="18">
        <v>76.889799999999994</v>
      </c>
      <c r="I168" s="55">
        <f t="shared" si="25"/>
        <v>4594.1655499999997</v>
      </c>
      <c r="J168" s="20" t="s">
        <v>14</v>
      </c>
      <c r="K168" s="56" t="s">
        <v>15</v>
      </c>
    </row>
    <row r="169" spans="1:11" ht="30" x14ac:dyDescent="0.25">
      <c r="A169" s="22">
        <f t="shared" si="26"/>
        <v>156</v>
      </c>
      <c r="B169" s="13">
        <v>46145</v>
      </c>
      <c r="C169" s="24">
        <v>40001183</v>
      </c>
      <c r="D169" s="24">
        <v>54070727</v>
      </c>
      <c r="E169" s="25">
        <v>59.75</v>
      </c>
      <c r="F169" s="26">
        <v>1016.01</v>
      </c>
      <c r="G169" s="54">
        <f t="shared" si="24"/>
        <v>60706.597499999996</v>
      </c>
      <c r="H169" s="18">
        <v>76.889799999999994</v>
      </c>
      <c r="I169" s="55">
        <f t="shared" si="25"/>
        <v>4594.1655499999997</v>
      </c>
      <c r="J169" s="20" t="s">
        <v>14</v>
      </c>
      <c r="K169" s="56" t="s">
        <v>15</v>
      </c>
    </row>
    <row r="170" spans="1:11" ht="30" x14ac:dyDescent="0.25">
      <c r="A170" s="22">
        <f t="shared" si="26"/>
        <v>157</v>
      </c>
      <c r="B170" s="13">
        <v>46145</v>
      </c>
      <c r="C170" s="24">
        <v>40001182</v>
      </c>
      <c r="D170" s="24">
        <v>54247598</v>
      </c>
      <c r="E170" s="25">
        <v>60.35</v>
      </c>
      <c r="F170" s="26">
        <v>1016.01</v>
      </c>
      <c r="G170" s="54">
        <f t="shared" si="24"/>
        <v>61316.203500000003</v>
      </c>
      <c r="H170" s="18">
        <v>76.889799999999994</v>
      </c>
      <c r="I170" s="55">
        <f t="shared" si="25"/>
        <v>4640.29943</v>
      </c>
      <c r="J170" s="20" t="s">
        <v>14</v>
      </c>
      <c r="K170" s="56" t="s">
        <v>15</v>
      </c>
    </row>
    <row r="171" spans="1:11" ht="30" x14ac:dyDescent="0.25">
      <c r="A171" s="22">
        <f t="shared" si="26"/>
        <v>158</v>
      </c>
      <c r="B171" s="13">
        <v>46145</v>
      </c>
      <c r="C171" s="24">
        <v>40001182</v>
      </c>
      <c r="D171" s="24">
        <v>57134389</v>
      </c>
      <c r="E171" s="25">
        <v>60.05</v>
      </c>
      <c r="F171" s="26">
        <v>1016.01</v>
      </c>
      <c r="G171" s="54">
        <f t="shared" si="24"/>
        <v>61011.400499999996</v>
      </c>
      <c r="H171" s="18">
        <v>76.889799999999994</v>
      </c>
      <c r="I171" s="55">
        <f t="shared" si="25"/>
        <v>4617.2324899999994</v>
      </c>
      <c r="J171" s="20" t="s">
        <v>14</v>
      </c>
      <c r="K171" s="56" t="s">
        <v>15</v>
      </c>
    </row>
    <row r="172" spans="1:11" ht="30" x14ac:dyDescent="0.25">
      <c r="A172" s="22">
        <f t="shared" si="26"/>
        <v>159</v>
      </c>
      <c r="B172" s="13">
        <v>46145</v>
      </c>
      <c r="C172" s="24">
        <v>40001182</v>
      </c>
      <c r="D172" s="24">
        <v>58708447</v>
      </c>
      <c r="E172" s="25">
        <v>60.15</v>
      </c>
      <c r="F172" s="26">
        <v>1016.01</v>
      </c>
      <c r="G172" s="54">
        <f t="shared" si="24"/>
        <v>61113.001499999998</v>
      </c>
      <c r="H172" s="18">
        <v>76.889799999999994</v>
      </c>
      <c r="I172" s="55">
        <f t="shared" si="25"/>
        <v>4624.9214699999993</v>
      </c>
      <c r="J172" s="20" t="s">
        <v>14</v>
      </c>
      <c r="K172" s="56" t="s">
        <v>15</v>
      </c>
    </row>
    <row r="173" spans="1:11" ht="30" x14ac:dyDescent="0.25">
      <c r="A173" s="22">
        <f t="shared" si="26"/>
        <v>160</v>
      </c>
      <c r="B173" s="13">
        <v>46145</v>
      </c>
      <c r="C173" s="24">
        <v>40001183</v>
      </c>
      <c r="D173" s="24">
        <v>73112658</v>
      </c>
      <c r="E173" s="25">
        <v>60.25</v>
      </c>
      <c r="F173" s="26">
        <v>1016.01</v>
      </c>
      <c r="G173" s="54">
        <f t="shared" si="24"/>
        <v>61214.602500000001</v>
      </c>
      <c r="H173" s="18">
        <v>76.889799999999994</v>
      </c>
      <c r="I173" s="55">
        <f t="shared" si="25"/>
        <v>4632.6104499999992</v>
      </c>
      <c r="J173" s="20" t="s">
        <v>14</v>
      </c>
      <c r="K173" s="56" t="s">
        <v>15</v>
      </c>
    </row>
    <row r="174" spans="1:11" ht="30" x14ac:dyDescent="0.25">
      <c r="A174" s="22">
        <f t="shared" si="26"/>
        <v>161</v>
      </c>
      <c r="B174" s="13">
        <v>46145</v>
      </c>
      <c r="C174" s="24">
        <v>40001183</v>
      </c>
      <c r="D174" s="24">
        <v>73179244</v>
      </c>
      <c r="E174" s="25">
        <v>60.45</v>
      </c>
      <c r="F174" s="26">
        <v>1016.01</v>
      </c>
      <c r="G174" s="54">
        <f t="shared" si="24"/>
        <v>61417.804500000006</v>
      </c>
      <c r="H174" s="18">
        <v>76.889799999999994</v>
      </c>
      <c r="I174" s="55">
        <f t="shared" si="25"/>
        <v>4647.9884099999999</v>
      </c>
      <c r="J174" s="20" t="s">
        <v>14</v>
      </c>
      <c r="K174" s="56" t="s">
        <v>15</v>
      </c>
    </row>
    <row r="175" spans="1:11" ht="30" x14ac:dyDescent="0.25">
      <c r="A175" s="22">
        <f t="shared" si="26"/>
        <v>162</v>
      </c>
      <c r="B175" s="13">
        <v>46145</v>
      </c>
      <c r="C175" s="24">
        <v>40001182</v>
      </c>
      <c r="D175" s="24">
        <v>75004911</v>
      </c>
      <c r="E175" s="25">
        <v>59.8</v>
      </c>
      <c r="F175" s="26">
        <v>1016.01</v>
      </c>
      <c r="G175" s="54">
        <f t="shared" si="24"/>
        <v>60757.397999999994</v>
      </c>
      <c r="H175" s="18">
        <v>76.889799999999994</v>
      </c>
      <c r="I175" s="55">
        <f t="shared" si="25"/>
        <v>4598.0100399999992</v>
      </c>
      <c r="J175" s="20" t="s">
        <v>14</v>
      </c>
      <c r="K175" s="56" t="s">
        <v>15</v>
      </c>
    </row>
    <row r="176" spans="1:11" ht="30" x14ac:dyDescent="0.25">
      <c r="A176" s="22">
        <f t="shared" si="26"/>
        <v>163</v>
      </c>
      <c r="B176" s="13">
        <v>46145</v>
      </c>
      <c r="C176" s="24">
        <v>40001182</v>
      </c>
      <c r="D176" s="24">
        <v>75005264</v>
      </c>
      <c r="E176" s="25">
        <v>59.65</v>
      </c>
      <c r="F176" s="26">
        <v>1016.01</v>
      </c>
      <c r="G176" s="54">
        <f t="shared" si="24"/>
        <v>60604.996500000001</v>
      </c>
      <c r="H176" s="18">
        <v>76.889799999999994</v>
      </c>
      <c r="I176" s="55">
        <f t="shared" si="25"/>
        <v>4586.4765699999998</v>
      </c>
      <c r="J176" s="20" t="s">
        <v>14</v>
      </c>
      <c r="K176" s="56" t="s">
        <v>15</v>
      </c>
    </row>
    <row r="177" spans="1:11" ht="30" x14ac:dyDescent="0.25">
      <c r="A177" s="22">
        <f t="shared" si="26"/>
        <v>164</v>
      </c>
      <c r="B177" s="13">
        <v>46145</v>
      </c>
      <c r="C177" s="24">
        <v>40001182</v>
      </c>
      <c r="D177" s="24">
        <v>75046334</v>
      </c>
      <c r="E177" s="25">
        <v>59.7</v>
      </c>
      <c r="F177" s="26">
        <v>1016.01</v>
      </c>
      <c r="G177" s="54">
        <f t="shared" si="24"/>
        <v>60655.797000000006</v>
      </c>
      <c r="H177" s="18">
        <v>76.889799999999994</v>
      </c>
      <c r="I177" s="55">
        <f t="shared" si="25"/>
        <v>4590.3210600000002</v>
      </c>
      <c r="J177" s="20" t="s">
        <v>14</v>
      </c>
      <c r="K177" s="56" t="s">
        <v>15</v>
      </c>
    </row>
    <row r="178" spans="1:11" ht="30" x14ac:dyDescent="0.25">
      <c r="A178" s="22">
        <f t="shared" si="26"/>
        <v>165</v>
      </c>
      <c r="B178" s="13">
        <v>46145</v>
      </c>
      <c r="C178" s="24">
        <v>40001183</v>
      </c>
      <c r="D178" s="24">
        <v>75250639</v>
      </c>
      <c r="E178" s="25">
        <v>60.75</v>
      </c>
      <c r="F178" s="26">
        <v>1016.01</v>
      </c>
      <c r="G178" s="54">
        <f t="shared" si="24"/>
        <v>61722.607499999998</v>
      </c>
      <c r="H178" s="18">
        <v>76.889799999999994</v>
      </c>
      <c r="I178" s="55">
        <f t="shared" si="25"/>
        <v>4671.0553499999996</v>
      </c>
      <c r="J178" s="20" t="s">
        <v>14</v>
      </c>
      <c r="K178" s="56" t="s">
        <v>15</v>
      </c>
    </row>
    <row r="179" spans="1:11" ht="30.75" thickBot="1" x14ac:dyDescent="0.3">
      <c r="A179" s="39">
        <f t="shared" si="26"/>
        <v>166</v>
      </c>
      <c r="B179" s="89">
        <v>46145</v>
      </c>
      <c r="C179" s="41">
        <v>40001183</v>
      </c>
      <c r="D179" s="41">
        <v>75260166</v>
      </c>
      <c r="E179" s="42">
        <v>60.8</v>
      </c>
      <c r="F179" s="90">
        <v>1016.01</v>
      </c>
      <c r="G179" s="57">
        <f t="shared" si="24"/>
        <v>61773.407999999996</v>
      </c>
      <c r="H179" s="91">
        <v>76.889799999999994</v>
      </c>
      <c r="I179" s="58">
        <f t="shared" si="25"/>
        <v>4674.8998399999991</v>
      </c>
      <c r="J179" s="45" t="s">
        <v>14</v>
      </c>
      <c r="K179" s="59" t="s">
        <v>15</v>
      </c>
    </row>
    <row r="180" spans="1:11" ht="15.75" thickBot="1" x14ac:dyDescent="0.3">
      <c r="A180" s="30"/>
      <c r="B180" s="31"/>
      <c r="C180" s="31"/>
      <c r="D180" s="31"/>
      <c r="E180" s="47"/>
      <c r="F180" s="31"/>
      <c r="G180" s="33"/>
      <c r="H180" s="34"/>
      <c r="I180" s="35"/>
      <c r="J180" s="31"/>
      <c r="K180" s="36"/>
    </row>
    <row r="181" spans="1:11" ht="30" x14ac:dyDescent="0.25">
      <c r="A181" s="12">
        <v>167</v>
      </c>
      <c r="B181" s="13">
        <v>46146</v>
      </c>
      <c r="C181" s="14">
        <v>40001190</v>
      </c>
      <c r="D181" s="14">
        <v>73108755</v>
      </c>
      <c r="E181" s="15">
        <v>60.25</v>
      </c>
      <c r="F181" s="92">
        <v>1016.01</v>
      </c>
      <c r="G181" s="17">
        <f t="shared" ref="G181:G182" si="27">E181*F181</f>
        <v>61214.602500000001</v>
      </c>
      <c r="H181" s="93">
        <v>76.889799999999994</v>
      </c>
      <c r="I181" s="19">
        <f t="shared" ref="I181:I182" si="28">E181*H181</f>
        <v>4632.6104499999992</v>
      </c>
      <c r="J181" s="37" t="s">
        <v>14</v>
      </c>
      <c r="K181" s="53" t="s">
        <v>15</v>
      </c>
    </row>
    <row r="182" spans="1:11" ht="30.75" thickBot="1" x14ac:dyDescent="0.3">
      <c r="A182" s="39">
        <v>168</v>
      </c>
      <c r="B182" s="40">
        <v>46146</v>
      </c>
      <c r="C182" s="41">
        <v>40001189</v>
      </c>
      <c r="D182" s="41">
        <v>73166886</v>
      </c>
      <c r="E182" s="42">
        <v>60.2</v>
      </c>
      <c r="F182" s="94">
        <v>1016.01</v>
      </c>
      <c r="G182" s="57">
        <f t="shared" si="27"/>
        <v>61163.802000000003</v>
      </c>
      <c r="H182" s="91">
        <v>76.889799999999994</v>
      </c>
      <c r="I182" s="58">
        <f t="shared" si="28"/>
        <v>4628.7659599999997</v>
      </c>
      <c r="J182" s="45" t="s">
        <v>14</v>
      </c>
      <c r="K182" s="59" t="s">
        <v>15</v>
      </c>
    </row>
    <row r="183" spans="1:11" ht="15.75" thickBot="1" x14ac:dyDescent="0.3">
      <c r="A183" s="30"/>
      <c r="B183" s="31"/>
      <c r="C183" s="31"/>
      <c r="D183" s="31"/>
      <c r="E183" s="47"/>
      <c r="F183" s="31"/>
      <c r="G183" s="33"/>
      <c r="H183" s="34"/>
      <c r="I183" s="35"/>
      <c r="J183" s="31"/>
      <c r="K183" s="36"/>
    </row>
    <row r="184" spans="1:11" ht="15.75" thickBot="1" x14ac:dyDescent="0.3">
      <c r="A184" s="95"/>
      <c r="B184" s="96"/>
      <c r="C184" s="96"/>
      <c r="D184" s="96"/>
      <c r="E184" s="97">
        <f>E22+E44+E60+E65+E84+E147+E152+E163+E180+E183</f>
        <v>0</v>
      </c>
      <c r="F184" s="96"/>
      <c r="G184" s="98">
        <f>G22+G44+G60+G65+G84+G147+G152+G163+G180+G183</f>
        <v>0</v>
      </c>
      <c r="H184" s="99"/>
      <c r="I184" s="100">
        <f>I22+I44+I60+I65+I84+I147+I152+I163+I180+I183</f>
        <v>0</v>
      </c>
      <c r="J184" s="96"/>
      <c r="K184" s="101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114" t="s">
        <v>16</v>
      </c>
      <c r="C187" s="115"/>
      <c r="D187" s="102"/>
      <c r="E187" s="103">
        <v>10000</v>
      </c>
      <c r="F187" s="2"/>
      <c r="G187" s="2"/>
      <c r="H187" s="2"/>
      <c r="I187" s="2"/>
      <c r="J187" s="2"/>
      <c r="K187" s="2"/>
    </row>
    <row r="188" spans="1:11" x14ac:dyDescent="0.25">
      <c r="A188" s="2"/>
      <c r="B188" s="104" t="s">
        <v>17</v>
      </c>
      <c r="C188" s="105"/>
      <c r="D188" s="106"/>
      <c r="E188" s="107">
        <f>E184</f>
        <v>0</v>
      </c>
      <c r="F188" s="2"/>
      <c r="G188" s="2"/>
      <c r="H188" s="2"/>
      <c r="I188" s="2"/>
      <c r="J188" s="2"/>
      <c r="K188" s="2"/>
    </row>
    <row r="189" spans="1:11" ht="15.75" thickBot="1" x14ac:dyDescent="0.3">
      <c r="A189" s="2"/>
      <c r="B189" s="108" t="s">
        <v>18</v>
      </c>
      <c r="C189" s="109"/>
      <c r="D189" s="110"/>
      <c r="E189" s="111">
        <f>E187-E188</f>
        <v>10000</v>
      </c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</sheetData>
  <mergeCells count="3">
    <mergeCell ref="A1:K1"/>
    <mergeCell ref="A2:K2"/>
    <mergeCell ref="B187:C1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Fawad Seddiqi</dc:creator>
  <cp:lastModifiedBy>Sayed Neman Alemi</cp:lastModifiedBy>
  <dcterms:created xsi:type="dcterms:W3CDTF">2015-06-05T18:17:20Z</dcterms:created>
  <dcterms:modified xsi:type="dcterms:W3CDTF">2026-08-02T07:04:45Z</dcterms:modified>
</cp:coreProperties>
</file>