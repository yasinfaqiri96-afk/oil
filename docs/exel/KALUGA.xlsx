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hidePivotFieldList="1" defaultThemeVersion="124226"/>
  <bookViews>
    <workbookView xWindow="240" yWindow="168" windowWidth="14808" windowHeight="7956"/>
  </bookViews>
  <sheets>
    <sheet name="بیلانس" sheetId="10" r:id="rId1"/>
    <sheet name="Company" sheetId="5" r:id="rId2"/>
    <sheet name="Loading Report" sheetId="14" r:id="rId3"/>
  </sheets>
  <definedNames>
    <definedName name="_xlnm._FilterDatabase" localSheetId="2" hidden="1">'Loading Report'!$A$2:$XEK$25</definedName>
    <definedName name="_xlnm.Print_Area" localSheetId="2">'Loading Report'!$A$1:$G$28</definedName>
    <definedName name="_xlnm.Print_Area" localSheetId="0">بیلانس!$A$1:$K$37</definedName>
  </definedNames>
  <calcPr calcId="152511"/>
</workbook>
</file>

<file path=xl/calcChain.xml><?xml version="1.0" encoding="utf-8"?>
<calcChain xmlns="http://schemas.openxmlformats.org/spreadsheetml/2006/main">
  <c r="I25" i="10" l="1"/>
  <c r="G28" i="10" l="1"/>
  <c r="K8" i="10"/>
  <c r="I8" i="10"/>
  <c r="F8" i="10"/>
  <c r="K6" i="10"/>
  <c r="I7" i="10"/>
  <c r="K7" i="10" s="1"/>
  <c r="I6" i="10"/>
  <c r="J28" i="10"/>
  <c r="J32" i="10" s="1"/>
  <c r="I27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0" i="10"/>
  <c r="I9" i="10"/>
  <c r="K9" i="10" l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I29" i="10" s="1"/>
  <c r="K29" i="10" s="1"/>
  <c r="I32" i="10" l="1"/>
  <c r="E28" i="14" l="1"/>
  <c r="G2" i="5" l="1"/>
  <c r="G3" i="5" l="1"/>
  <c r="G4" i="5" s="1"/>
  <c r="K7" i="5"/>
  <c r="K8" i="5" s="1"/>
  <c r="K9" i="5" s="1"/>
  <c r="K10" i="5" s="1"/>
  <c r="K11" i="5" s="1"/>
  <c r="K12" i="5" s="1"/>
  <c r="K13" i="5" s="1"/>
</calcChain>
</file>

<file path=xl/sharedStrings.xml><?xml version="1.0" encoding="utf-8"?>
<sst xmlns="http://schemas.openxmlformats.org/spreadsheetml/2006/main" count="59" uniqueCount="58">
  <si>
    <t>Total Credit</t>
  </si>
  <si>
    <t>Total Debit</t>
  </si>
  <si>
    <t>شماره</t>
  </si>
  <si>
    <t xml:space="preserve">تاریخ </t>
  </si>
  <si>
    <t>تفصیلات داد و ستود</t>
  </si>
  <si>
    <t xml:space="preserve">مقدار تن </t>
  </si>
  <si>
    <t xml:space="preserve">فی تن به $ </t>
  </si>
  <si>
    <t>بیلانس</t>
  </si>
  <si>
    <t>No</t>
  </si>
  <si>
    <t>Date</t>
  </si>
  <si>
    <t>M-Tone</t>
  </si>
  <si>
    <t>Unit Price</t>
  </si>
  <si>
    <t>T-Credit</t>
  </si>
  <si>
    <t>T-Debit</t>
  </si>
  <si>
    <t>Balance</t>
  </si>
  <si>
    <t>مصارف</t>
  </si>
  <si>
    <t>عواید</t>
  </si>
  <si>
    <t>Weight</t>
  </si>
  <si>
    <t xml:space="preserve">     </t>
  </si>
  <si>
    <t>balance</t>
  </si>
  <si>
    <t>Details</t>
  </si>
  <si>
    <t>Exchange Rate</t>
  </si>
  <si>
    <t>Platts</t>
  </si>
  <si>
    <t>NO</t>
  </si>
  <si>
    <t>Date Loading</t>
  </si>
  <si>
    <t>Consignee</t>
  </si>
  <si>
    <t>AED</t>
  </si>
  <si>
    <t>Distination</t>
  </si>
  <si>
    <t>Wagon  - No</t>
  </si>
  <si>
    <t>RWB</t>
  </si>
  <si>
    <t>Rw Expenses</t>
  </si>
  <si>
    <t>کرایه مخازن الینکا</t>
  </si>
  <si>
    <t>آزمایشگاه</t>
  </si>
  <si>
    <t>بازرسی</t>
  </si>
  <si>
    <t xml:space="preserve">COIصدور گواهی </t>
  </si>
  <si>
    <t>ترخیصیه</t>
  </si>
  <si>
    <t>استاندارد</t>
  </si>
  <si>
    <t>راهداری</t>
  </si>
  <si>
    <t>دیماند گمرک</t>
  </si>
  <si>
    <t>پورت</t>
  </si>
  <si>
    <t>پورت مالیات</t>
  </si>
  <si>
    <t xml:space="preserve">ارزیاب گمرک و هزینه آژانس </t>
  </si>
  <si>
    <t>ترخیص کار</t>
  </si>
  <si>
    <t>اداری راهداری</t>
  </si>
  <si>
    <t>مصرف توسط ایجنت FDA NO 718</t>
  </si>
  <si>
    <t>مصرف برای نماینده ایران</t>
  </si>
  <si>
    <t>20/11/1404</t>
  </si>
  <si>
    <t>مصارف تومانی</t>
  </si>
  <si>
    <t>کرایه کشتی - توسط شرکت TRINTI</t>
  </si>
  <si>
    <t>تغییر مسیر از اکریم به نوشهر -  توسط شرکت TRINTI</t>
  </si>
  <si>
    <t>دیمیرج کشتی -  توسط شرکت TRINTI</t>
  </si>
  <si>
    <t>مصارف CASPINFLOT فی تن 35 روبل</t>
  </si>
  <si>
    <t xml:space="preserve">مصارف SURVEYOR </t>
  </si>
  <si>
    <t xml:space="preserve">مفاد قرارداد </t>
  </si>
  <si>
    <t>کشتی KALUGA  از روسیه به ایران</t>
  </si>
  <si>
    <t>خرید پطرول از شرکت BNK - HOMUR</t>
  </si>
  <si>
    <t>خرید پطرول از شرکت Petrogas</t>
  </si>
  <si>
    <t>فروش برای شرکت UZ پطرول مثبت 80 پلتس میانگین 3 روز بعد از بارگیری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</si>
</sst>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_(&quot;$&quot;* #,##0_);_(&quot;$&quot;* \(#,##0\);_(&quot;$&quot;* &quot;-&quot;??_);_(@_)"/>
    <numFmt numFmtId="167" formatCode="_(&quot;$&quot;* #,##0.000_);_(&quot;$&quot;* \(#,##0.000\);_(&quot;$&quot;* &quot;-&quot;??_);_(@_)"/>
    <numFmt numFmtId="168" formatCode="_-* #,##0\ [$₽-419]_-;\-* #,##0\ [$₽-419]_-;_-* &quot;-&quot;??\ [$₽-419]_-;_-@_-"/>
    <numFmt numFmtId="169" formatCode="0.0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color rgb="FF993366"/>
      <name val="Arial"/>
      <family val="2"/>
    </font>
    <font>
      <sz val="10"/>
      <color rgb="FF99336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0"/>
      <color rgb="FFFF00FF"/>
      <name val="Arial"/>
      <family val="2"/>
    </font>
    <font>
      <b/>
      <sz val="11"/>
      <color rgb="FFFF0000"/>
      <name val="Arial"/>
      <family val="2"/>
    </font>
    <font>
      <b/>
      <sz val="10"/>
      <color rgb="FF7030A0"/>
      <name val="Arial"/>
      <family val="2"/>
    </font>
    <font>
      <b/>
      <i/>
      <sz val="11"/>
      <name val="Arial"/>
      <family val="2"/>
    </font>
    <font>
      <b/>
      <sz val="22"/>
      <name val="Arial"/>
      <family val="2"/>
    </font>
    <font>
      <b/>
      <sz val="10"/>
      <color rgb="FF0000FF"/>
      <name val="Arial"/>
      <family val="2"/>
    </font>
    <font>
      <b/>
      <sz val="18"/>
      <name val="B Esfehan"/>
      <charset val="178"/>
    </font>
    <font>
      <b/>
      <sz val="10"/>
      <color rgb="FFFF0000"/>
      <name val="Arial"/>
      <family val="2"/>
    </font>
    <font>
      <b/>
      <sz val="11"/>
      <color rgb="FF632523"/>
      <name val="Times New Roman"/>
      <family val="1"/>
      <charset val="204"/>
    </font>
    <font>
      <b/>
      <sz val="10"/>
      <color rgb="FF963634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  <charset val="204"/>
    </font>
    <font>
      <b/>
      <sz val="14"/>
      <name val="Arial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9"/>
      <color rgb="FF963634"/>
      <name val="Times New Roman"/>
      <family val="1"/>
      <charset val="204"/>
    </font>
    <font>
      <b/>
      <sz val="9"/>
      <color rgb="FF993366"/>
      <name val="Arial"/>
      <family val="2"/>
    </font>
    <font>
      <b/>
      <sz val="9"/>
      <color rgb="FF963634"/>
      <name val="Times New Roman"/>
      <family val="1"/>
    </font>
    <font>
      <b/>
      <sz val="11"/>
      <color rgb="FF000000"/>
      <name val="Calibri"/>
      <family val="2"/>
    </font>
    <font>
      <sz val="18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2">
    <xf numFmtId="0" fontId="0" fillId="0" borderId="0" xfId="0"/>
    <xf numFmtId="0" fontId="8" fillId="0" borderId="0" xfId="0" applyFont="1" applyFill="1" applyBorder="1" applyAlignment="1">
      <alignment horizontal="center"/>
    </xf>
    <xf numFmtId="14" fontId="8" fillId="2" borderId="17" xfId="0" applyNumberFormat="1" applyFont="1" applyFill="1" applyBorder="1" applyAlignment="1">
      <alignment horizontal="center" vertical="center"/>
    </xf>
    <xf numFmtId="0" fontId="2" fillId="3" borderId="0" xfId="0" applyFont="1" applyFill="1" applyBorder="1"/>
    <xf numFmtId="164" fontId="3" fillId="3" borderId="19" xfId="0" applyNumberFormat="1" applyFont="1" applyFill="1" applyBorder="1" applyAlignment="1">
      <alignment horizontal="center" vertical="center" shrinkToFit="1"/>
    </xf>
    <xf numFmtId="0" fontId="2" fillId="3" borderId="0" xfId="0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horizontal="center" vertical="center" shrinkToFit="1"/>
    </xf>
    <xf numFmtId="164" fontId="3" fillId="3" borderId="4" xfId="0" applyNumberFormat="1" applyFont="1" applyFill="1" applyBorder="1" applyAlignment="1">
      <alignment horizontal="center" vertical="center"/>
    </xf>
    <xf numFmtId="164" fontId="4" fillId="3" borderId="29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3" fontId="5" fillId="4" borderId="24" xfId="0" applyNumberFormat="1" applyFont="1" applyFill="1" applyBorder="1" applyAlignment="1">
      <alignment horizontal="center" vertical="center"/>
    </xf>
    <xf numFmtId="166" fontId="5" fillId="4" borderId="24" xfId="1" applyNumberFormat="1" applyFont="1" applyFill="1" applyBorder="1" applyAlignment="1">
      <alignment horizontal="center" vertical="center"/>
    </xf>
    <xf numFmtId="1" fontId="5" fillId="4" borderId="25" xfId="0" applyNumberFormat="1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14" fontId="8" fillId="3" borderId="17" xfId="0" applyNumberFormat="1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left" vertical="center"/>
    </xf>
    <xf numFmtId="168" fontId="19" fillId="3" borderId="17" xfId="0" applyNumberFormat="1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/>
    </xf>
    <xf numFmtId="167" fontId="6" fillId="3" borderId="17" xfId="1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6" fontId="16" fillId="3" borderId="17" xfId="1" applyNumberFormat="1" applyFont="1" applyFill="1" applyBorder="1" applyAlignment="1">
      <alignment horizontal="center" vertical="center"/>
    </xf>
    <xf numFmtId="166" fontId="18" fillId="3" borderId="16" xfId="1" applyNumberFormat="1" applyFont="1" applyFill="1" applyBorder="1" applyAlignment="1">
      <alignment horizontal="center" vertical="center"/>
    </xf>
    <xf numFmtId="166" fontId="13" fillId="3" borderId="21" xfId="1" applyNumberFormat="1" applyFont="1" applyFill="1" applyBorder="1" applyAlignment="1">
      <alignment horizontal="center" vertical="center"/>
    </xf>
    <xf numFmtId="166" fontId="6" fillId="3" borderId="17" xfId="1" applyNumberFormat="1" applyFont="1" applyFill="1" applyBorder="1" applyAlignment="1">
      <alignment horizontal="center" vertical="center"/>
    </xf>
    <xf numFmtId="164" fontId="16" fillId="3" borderId="17" xfId="1" applyNumberFormat="1" applyFont="1" applyFill="1" applyBorder="1" applyAlignment="1">
      <alignment horizontal="center" vertical="center"/>
    </xf>
    <xf numFmtId="164" fontId="11" fillId="3" borderId="26" xfId="0" applyNumberFormat="1" applyFont="1" applyFill="1" applyBorder="1" applyAlignment="1">
      <alignment horizontal="center" vertical="center"/>
    </xf>
    <xf numFmtId="44" fontId="6" fillId="3" borderId="26" xfId="1" applyNumberFormat="1" applyFont="1" applyFill="1" applyBorder="1" applyAlignment="1">
      <alignment horizontal="center" vertical="center"/>
    </xf>
    <xf numFmtId="166" fontId="16" fillId="3" borderId="26" xfId="1" applyNumberFormat="1" applyFont="1" applyFill="1" applyBorder="1" applyAlignment="1">
      <alignment horizontal="center" vertical="center"/>
    </xf>
    <xf numFmtId="166" fontId="18" fillId="3" borderId="26" xfId="1" applyNumberFormat="1" applyFont="1" applyFill="1" applyBorder="1" applyAlignment="1">
      <alignment horizontal="center" vertical="center"/>
    </xf>
    <xf numFmtId="14" fontId="8" fillId="3" borderId="26" xfId="0" applyNumberFormat="1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left" vertical="center"/>
    </xf>
    <xf numFmtId="0" fontId="20" fillId="3" borderId="1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164" fontId="11" fillId="3" borderId="14" xfId="0" applyNumberFormat="1" applyFont="1" applyFill="1" applyBorder="1" applyAlignment="1">
      <alignment horizontal="center" vertical="center"/>
    </xf>
    <xf numFmtId="166" fontId="6" fillId="3" borderId="14" xfId="1" applyNumberFormat="1" applyFont="1" applyFill="1" applyBorder="1" applyAlignment="1">
      <alignment horizontal="center" vertical="center"/>
    </xf>
    <xf numFmtId="166" fontId="3" fillId="3" borderId="14" xfId="1" applyNumberFormat="1" applyFont="1" applyFill="1" applyBorder="1" applyAlignment="1">
      <alignment horizontal="center" vertical="center"/>
    </xf>
    <xf numFmtId="166" fontId="16" fillId="3" borderId="14" xfId="1" applyNumberFormat="1" applyFont="1" applyFill="1" applyBorder="1" applyAlignment="1">
      <alignment horizontal="center" vertical="center"/>
    </xf>
    <xf numFmtId="166" fontId="18" fillId="3" borderId="14" xfId="1" applyNumberFormat="1" applyFont="1" applyFill="1" applyBorder="1" applyAlignment="1">
      <alignment horizontal="center" vertical="center"/>
    </xf>
    <xf numFmtId="165" fontId="3" fillId="3" borderId="15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164" fontId="7" fillId="3" borderId="0" xfId="0" applyNumberFormat="1" applyFont="1" applyFill="1" applyBorder="1" applyAlignment="1">
      <alignment horizontal="center"/>
    </xf>
    <xf numFmtId="3" fontId="2" fillId="3" borderId="0" xfId="0" applyNumberFormat="1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 vertical="top"/>
    </xf>
    <xf numFmtId="165" fontId="2" fillId="3" borderId="0" xfId="0" applyNumberFormat="1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164" fontId="11" fillId="5" borderId="17" xfId="0" applyNumberFormat="1" applyFont="1" applyFill="1" applyBorder="1" applyAlignment="1">
      <alignment horizontal="center" vertical="center"/>
    </xf>
    <xf numFmtId="166" fontId="6" fillId="5" borderId="17" xfId="1" applyNumberFormat="1" applyFont="1" applyFill="1" applyBorder="1" applyAlignment="1">
      <alignment horizontal="center" vertical="center"/>
    </xf>
    <xf numFmtId="164" fontId="3" fillId="5" borderId="16" xfId="0" applyNumberFormat="1" applyFont="1" applyFill="1" applyBorder="1" applyAlignment="1">
      <alignment horizontal="center" vertical="center"/>
    </xf>
    <xf numFmtId="166" fontId="16" fillId="5" borderId="17" xfId="1" applyNumberFormat="1" applyFont="1" applyFill="1" applyBorder="1" applyAlignment="1">
      <alignment horizontal="center" vertical="center"/>
    </xf>
    <xf numFmtId="166" fontId="18" fillId="5" borderId="16" xfId="1" applyNumberFormat="1" applyFont="1" applyFill="1" applyBorder="1" applyAlignment="1">
      <alignment horizontal="center" vertical="center"/>
    </xf>
    <xf numFmtId="44" fontId="6" fillId="5" borderId="17" xfId="1" applyNumberFormat="1" applyFont="1" applyFill="1" applyBorder="1" applyAlignment="1">
      <alignment horizontal="center" vertical="center"/>
    </xf>
    <xf numFmtId="44" fontId="18" fillId="5" borderId="17" xfId="1" applyNumberFormat="1" applyFont="1" applyFill="1" applyBorder="1" applyAlignment="1">
      <alignment horizontal="center" vertical="center"/>
    </xf>
    <xf numFmtId="166" fontId="18" fillId="5" borderId="17" xfId="1" applyNumberFormat="1" applyFont="1" applyFill="1" applyBorder="1" applyAlignment="1">
      <alignment horizontal="center" vertical="center"/>
    </xf>
    <xf numFmtId="0" fontId="20" fillId="5" borderId="30" xfId="0" applyFont="1" applyFill="1" applyBorder="1" applyAlignment="1">
      <alignment horizontal="center" vertical="center"/>
    </xf>
    <xf numFmtId="164" fontId="11" fillId="5" borderId="26" xfId="0" applyNumberFormat="1" applyFont="1" applyFill="1" applyBorder="1" applyAlignment="1">
      <alignment horizontal="center" vertical="center"/>
    </xf>
    <xf numFmtId="44" fontId="6" fillId="5" borderId="26" xfId="1" applyNumberFormat="1" applyFont="1" applyFill="1" applyBorder="1" applyAlignment="1">
      <alignment horizontal="center" vertical="center"/>
    </xf>
    <xf numFmtId="166" fontId="16" fillId="5" borderId="26" xfId="1" applyNumberFormat="1" applyFont="1" applyFill="1" applyBorder="1" applyAlignment="1">
      <alignment horizontal="center" vertical="center"/>
    </xf>
    <xf numFmtId="166" fontId="18" fillId="5" borderId="26" xfId="1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0" borderId="0" xfId="0" applyFont="1" applyFill="1" applyBorder="1"/>
    <xf numFmtId="0" fontId="8" fillId="3" borderId="1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64" fontId="8" fillId="3" borderId="0" xfId="0" applyNumberFormat="1" applyFont="1" applyFill="1" applyBorder="1" applyAlignment="1">
      <alignment horizontal="center"/>
    </xf>
    <xf numFmtId="0" fontId="19" fillId="3" borderId="17" xfId="0" applyNumberFormat="1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164" fontId="8" fillId="2" borderId="17" xfId="1" applyNumberFormat="1" applyFont="1" applyFill="1" applyBorder="1" applyAlignment="1">
      <alignment horizontal="center" vertical="center"/>
    </xf>
    <xf numFmtId="1" fontId="8" fillId="2" borderId="17" xfId="0" applyNumberFormat="1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1" fontId="8" fillId="4" borderId="24" xfId="0" applyNumberFormat="1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4" fillId="3" borderId="15" xfId="0" applyFont="1" applyFill="1" applyBorder="1"/>
    <xf numFmtId="0" fontId="22" fillId="0" borderId="31" xfId="0" applyFont="1" applyFill="1" applyBorder="1" applyAlignment="1">
      <alignment horizontal="center" vertical="center"/>
    </xf>
    <xf numFmtId="14" fontId="8" fillId="2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64" fontId="8" fillId="2" borderId="16" xfId="1" applyNumberFormat="1" applyFont="1" applyFill="1" applyBorder="1" applyAlignment="1">
      <alignment horizontal="center" vertical="center"/>
    </xf>
    <xf numFmtId="1" fontId="8" fillId="2" borderId="16" xfId="0" applyNumberFormat="1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24" fillId="3" borderId="0" xfId="0" applyFont="1" applyFill="1" applyBorder="1"/>
    <xf numFmtId="0" fontId="24" fillId="3" borderId="0" xfId="0" applyFont="1" applyFill="1" applyBorder="1" applyAlignment="1">
      <alignment vertical="center"/>
    </xf>
    <xf numFmtId="164" fontId="5" fillId="3" borderId="0" xfId="0" applyNumberFormat="1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 shrinkToFit="1"/>
    </xf>
    <xf numFmtId="0" fontId="5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 wrapText="1"/>
    </xf>
    <xf numFmtId="164" fontId="5" fillId="6" borderId="0" xfId="0" applyNumberFormat="1" applyFont="1" applyFill="1" applyBorder="1" applyAlignment="1">
      <alignment horizontal="center" vertical="center"/>
    </xf>
    <xf numFmtId="3" fontId="5" fillId="6" borderId="0" xfId="0" applyNumberFormat="1" applyFont="1" applyFill="1" applyBorder="1" applyAlignment="1">
      <alignment horizontal="center" vertical="center"/>
    </xf>
    <xf numFmtId="1" fontId="5" fillId="6" borderId="0" xfId="0" applyNumberFormat="1" applyFont="1" applyFill="1" applyBorder="1" applyAlignment="1">
      <alignment horizontal="center" vertical="center"/>
    </xf>
    <xf numFmtId="165" fontId="5" fillId="6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shrinkToFit="1"/>
    </xf>
    <xf numFmtId="0" fontId="5" fillId="3" borderId="0" xfId="0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center" vertical="center"/>
    </xf>
    <xf numFmtId="1" fontId="5" fillId="3" borderId="0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4" fontId="25" fillId="3" borderId="12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right" vertical="center"/>
    </xf>
    <xf numFmtId="164" fontId="26" fillId="3" borderId="12" xfId="0" applyNumberFormat="1" applyFont="1" applyFill="1" applyBorder="1" applyAlignment="1">
      <alignment horizontal="center" vertical="center"/>
    </xf>
    <xf numFmtId="164" fontId="11" fillId="3" borderId="12" xfId="0" applyNumberFormat="1" applyFont="1" applyFill="1" applyBorder="1" applyAlignment="1">
      <alignment horizontal="center" vertical="center"/>
    </xf>
    <xf numFmtId="44" fontId="27" fillId="3" borderId="12" xfId="1" applyNumberFormat="1" applyFont="1" applyFill="1" applyBorder="1" applyAlignment="1">
      <alignment horizontal="center" vertical="center"/>
    </xf>
    <xf numFmtId="166" fontId="3" fillId="3" borderId="12" xfId="1" applyNumberFormat="1" applyFont="1" applyFill="1" applyBorder="1" applyAlignment="1">
      <alignment horizontal="center" vertical="center"/>
    </xf>
    <xf numFmtId="166" fontId="16" fillId="3" borderId="12" xfId="1" applyNumberFormat="1" applyFont="1" applyFill="1" applyBorder="1" applyAlignment="1">
      <alignment horizontal="center" vertical="center"/>
    </xf>
    <xf numFmtId="166" fontId="18" fillId="3" borderId="12" xfId="1" applyNumberFormat="1" applyFont="1" applyFill="1" applyBorder="1" applyAlignment="1">
      <alignment horizontal="center" vertical="center"/>
    </xf>
    <xf numFmtId="166" fontId="13" fillId="3" borderId="13" xfId="1" applyNumberFormat="1" applyFont="1" applyFill="1" applyBorder="1" applyAlignment="1">
      <alignment horizontal="center" vertical="center"/>
    </xf>
    <xf numFmtId="14" fontId="25" fillId="3" borderId="17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right" vertical="center"/>
    </xf>
    <xf numFmtId="164" fontId="26" fillId="3" borderId="17" xfId="0" applyNumberFormat="1" applyFont="1" applyFill="1" applyBorder="1" applyAlignment="1">
      <alignment horizontal="center" vertical="center"/>
    </xf>
    <xf numFmtId="44" fontId="27" fillId="3" borderId="17" xfId="1" applyNumberFormat="1" applyFont="1" applyFill="1" applyBorder="1" applyAlignment="1">
      <alignment horizontal="center" vertical="center"/>
    </xf>
    <xf numFmtId="166" fontId="3" fillId="3" borderId="17" xfId="1" applyNumberFormat="1" applyFont="1" applyFill="1" applyBorder="1" applyAlignment="1">
      <alignment horizontal="center" vertical="center"/>
    </xf>
    <xf numFmtId="166" fontId="18" fillId="3" borderId="17" xfId="1" applyNumberFormat="1" applyFont="1" applyFill="1" applyBorder="1" applyAlignment="1">
      <alignment horizontal="center" vertical="center"/>
    </xf>
    <xf numFmtId="1" fontId="28" fillId="3" borderId="17" xfId="0" applyNumberFormat="1" applyFont="1" applyFill="1" applyBorder="1" applyAlignment="1">
      <alignment horizontal="center" vertical="center"/>
    </xf>
    <xf numFmtId="0" fontId="27" fillId="3" borderId="17" xfId="1" applyNumberFormat="1" applyFont="1" applyFill="1" applyBorder="1" applyAlignment="1">
      <alignment horizontal="center" vertical="center"/>
    </xf>
    <xf numFmtId="44" fontId="27" fillId="3" borderId="17" xfId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right" vertical="center" wrapText="1"/>
    </xf>
    <xf numFmtId="169" fontId="24" fillId="3" borderId="0" xfId="0" applyNumberFormat="1" applyFont="1" applyFill="1" applyBorder="1"/>
    <xf numFmtId="0" fontId="5" fillId="3" borderId="14" xfId="0" applyFon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right" vertical="center"/>
    </xf>
    <xf numFmtId="164" fontId="3" fillId="3" borderId="14" xfId="0" applyNumberFormat="1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3" fontId="2" fillId="3" borderId="14" xfId="0" applyNumberFormat="1" applyFont="1" applyFill="1" applyBorder="1" applyAlignment="1">
      <alignment horizontal="center" vertical="center"/>
    </xf>
    <xf numFmtId="1" fontId="2" fillId="3" borderId="14" xfId="0" applyNumberFormat="1" applyFont="1" applyFill="1" applyBorder="1" applyAlignment="1">
      <alignment horizontal="center" vertical="center"/>
    </xf>
    <xf numFmtId="165" fontId="4" fillId="3" borderId="15" xfId="0" applyNumberFormat="1" applyFont="1" applyFill="1" applyBorder="1" applyAlignment="1">
      <alignment horizontal="center" vertical="center"/>
    </xf>
    <xf numFmtId="0" fontId="9" fillId="3" borderId="0" xfId="0" applyFont="1" applyFill="1" applyBorder="1"/>
    <xf numFmtId="0" fontId="10" fillId="3" borderId="0" xfId="0" applyFont="1" applyFill="1" applyBorder="1"/>
    <xf numFmtId="166" fontId="16" fillId="3" borderId="0" xfId="1" applyNumberFormat="1" applyFont="1" applyFill="1" applyBorder="1" applyAlignment="1">
      <alignment horizontal="center"/>
    </xf>
    <xf numFmtId="166" fontId="18" fillId="3" borderId="0" xfId="1" applyNumberFormat="1" applyFont="1" applyFill="1" applyBorder="1" applyAlignment="1">
      <alignment horizontal="center" vertical="top"/>
    </xf>
    <xf numFmtId="0" fontId="29" fillId="3" borderId="0" xfId="0" applyFont="1" applyFill="1" applyBorder="1" applyAlignment="1">
      <alignment vertical="center"/>
    </xf>
    <xf numFmtId="166" fontId="16" fillId="3" borderId="0" xfId="1" applyNumberFormat="1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14" fontId="25" fillId="3" borderId="16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right" vertical="center"/>
    </xf>
    <xf numFmtId="164" fontId="26" fillId="3" borderId="16" xfId="0" applyNumberFormat="1" applyFont="1" applyFill="1" applyBorder="1" applyAlignment="1">
      <alignment horizontal="center" vertical="center"/>
    </xf>
    <xf numFmtId="164" fontId="11" fillId="3" borderId="16" xfId="0" applyNumberFormat="1" applyFont="1" applyFill="1" applyBorder="1" applyAlignment="1">
      <alignment horizontal="center" vertical="center"/>
    </xf>
    <xf numFmtId="44" fontId="27" fillId="3" borderId="16" xfId="1" applyNumberFormat="1" applyFont="1" applyFill="1" applyBorder="1" applyAlignment="1">
      <alignment horizontal="center" vertical="center"/>
    </xf>
    <xf numFmtId="166" fontId="3" fillId="3" borderId="16" xfId="1" applyNumberFormat="1" applyFont="1" applyFill="1" applyBorder="1" applyAlignment="1">
      <alignment horizontal="center" vertical="center"/>
    </xf>
    <xf numFmtId="166" fontId="16" fillId="3" borderId="16" xfId="1" applyNumberFormat="1" applyFont="1" applyFill="1" applyBorder="1" applyAlignment="1">
      <alignment horizontal="center" vertical="center"/>
    </xf>
    <xf numFmtId="166" fontId="13" fillId="3" borderId="32" xfId="1" applyNumberFormat="1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top"/>
    </xf>
    <xf numFmtId="0" fontId="14" fillId="3" borderId="18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27" xfId="0" applyFont="1" applyFill="1" applyBorder="1" applyAlignment="1">
      <alignment horizontal="center"/>
    </xf>
    <xf numFmtId="0" fontId="14" fillId="3" borderId="2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right" vertical="top"/>
    </xf>
    <xf numFmtId="0" fontId="15" fillId="3" borderId="1" xfId="0" applyFont="1" applyFill="1" applyBorder="1" applyAlignment="1">
      <alignment horizontal="right" vertical="top"/>
    </xf>
    <xf numFmtId="0" fontId="15" fillId="3" borderId="8" xfId="0" applyFont="1" applyFill="1" applyBorder="1" applyAlignment="1">
      <alignment horizontal="right" vertical="top"/>
    </xf>
    <xf numFmtId="0" fontId="15" fillId="3" borderId="0" xfId="0" applyFont="1" applyFill="1" applyBorder="1" applyAlignment="1">
      <alignment horizontal="right" vertical="top"/>
    </xf>
    <xf numFmtId="166" fontId="16" fillId="3" borderId="2" xfId="1" applyNumberFormat="1" applyFont="1" applyFill="1" applyBorder="1" applyAlignment="1">
      <alignment horizontal="center" vertical="center"/>
    </xf>
    <xf numFmtId="166" fontId="16" fillId="3" borderId="3" xfId="1" applyNumberFormat="1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right" vertical="center"/>
    </xf>
    <xf numFmtId="0" fontId="17" fillId="3" borderId="5" xfId="0" applyFont="1" applyFill="1" applyBorder="1" applyAlignment="1">
      <alignment horizontal="right" vertical="center"/>
    </xf>
    <xf numFmtId="166" fontId="18" fillId="3" borderId="6" xfId="1" applyNumberFormat="1" applyFont="1" applyFill="1" applyBorder="1" applyAlignment="1">
      <alignment horizontal="center" vertical="center"/>
    </xf>
    <xf numFmtId="166" fontId="18" fillId="3" borderId="7" xfId="1" applyNumberFormat="1" applyFont="1" applyFill="1" applyBorder="1" applyAlignment="1">
      <alignment horizontal="center" vertical="center"/>
    </xf>
    <xf numFmtId="166" fontId="13" fillId="3" borderId="6" xfId="1" applyNumberFormat="1" applyFont="1" applyFill="1" applyBorder="1" applyAlignment="1">
      <alignment horizontal="center" vertical="center"/>
    </xf>
    <xf numFmtId="166" fontId="13" fillId="3" borderId="7" xfId="1" applyNumberFormat="1" applyFont="1" applyFill="1" applyBorder="1" applyAlignment="1">
      <alignment horizontal="center" vertical="center"/>
    </xf>
    <xf numFmtId="3" fontId="18" fillId="3" borderId="0" xfId="0" applyNumberFormat="1" applyFont="1" applyFill="1" applyBorder="1" applyAlignment="1">
      <alignment horizontal="center" vertical="center" wrapText="1"/>
    </xf>
    <xf numFmtId="3" fontId="18" fillId="3" borderId="5" xfId="0" applyNumberFormat="1" applyFont="1" applyFill="1" applyBorder="1" applyAlignment="1">
      <alignment horizontal="center" vertical="center" wrapText="1"/>
    </xf>
    <xf numFmtId="49" fontId="3" fillId="3" borderId="10" xfId="1" applyNumberFormat="1" applyFont="1" applyFill="1" applyBorder="1" applyAlignment="1">
      <alignment horizontal="center" vertical="center"/>
    </xf>
    <xf numFmtId="49" fontId="3" fillId="3" borderId="9" xfId="1" applyNumberFormat="1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53341</xdr:colOff>
      <xdr:row>1</xdr:row>
      <xdr:rowOff>0</xdr:rowOff>
    </xdr:from>
    <xdr:to>
      <xdr:col>3</xdr:col>
      <xdr:colOff>2590800</xdr:colOff>
      <xdr:row>2</xdr:row>
      <xdr:rowOff>22860</xdr:rowOff>
    </xdr:to>
    <xdr:sp macro="" textlink="">
      <xdr:nvSpPr>
        <xdr:cNvPr id="3" name="TextBox 2"/>
        <xdr:cNvSpPr txBox="1"/>
      </xdr:nvSpPr>
      <xdr:spPr>
        <a:xfrm>
          <a:off x="9986589120" y="198120"/>
          <a:ext cx="3893819" cy="1158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400" b="1">
              <a:solidFill>
                <a:schemeClr val="tx2">
                  <a:lumMod val="40000"/>
                  <a:lumOff val="60000"/>
                </a:schemeClr>
              </a:solidFill>
            </a:rPr>
            <a:t>  </a:t>
          </a:r>
          <a:endParaRPr lang="en-US" sz="1400" b="1">
            <a:solidFill>
              <a:srgbClr val="7030A0"/>
            </a:solidFill>
          </a:endParaRPr>
        </a:p>
        <a:p>
          <a:pPr algn="r" rtl="1"/>
          <a:r>
            <a:rPr lang="fa-IR" sz="1200" b="1" i="1">
              <a:solidFill>
                <a:srgbClr val="7030A0"/>
              </a:solidFill>
            </a:rPr>
            <a:t>  </a:t>
          </a:r>
          <a:r>
            <a:rPr lang="en-US" sz="1200" b="1" i="1">
              <a:solidFill>
                <a:srgbClr val="7030A0"/>
              </a:solidFill>
            </a:rPr>
            <a:t>  </a:t>
          </a:r>
          <a:r>
            <a:rPr lang="fa-IR" sz="1400" b="1" i="1">
              <a:solidFill>
                <a:srgbClr val="7030A0"/>
              </a:solidFill>
              <a:latin typeface="Engravers MT" panose="02090707080505020304" pitchFamily="18" charset="0"/>
            </a:rPr>
            <a:t>گروپ کمپنی</a:t>
          </a:r>
          <a:r>
            <a:rPr lang="fa-IR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 های</a:t>
          </a:r>
          <a:r>
            <a:rPr lang="en-US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 </a:t>
          </a:r>
          <a:r>
            <a:rPr lang="fa-IR" sz="1400" b="1" i="1" baseline="0">
              <a:solidFill>
                <a:srgbClr val="7030A0"/>
              </a:solidFill>
              <a:latin typeface="Engravers MT" panose="02090707080505020304" pitchFamily="18" charset="0"/>
            </a:rPr>
            <a:t>فواد صدیقی لمیتد</a:t>
          </a:r>
          <a:endParaRPr lang="en-US" sz="1400" b="1" i="1" baseline="0">
            <a:solidFill>
              <a:srgbClr val="7030A0"/>
            </a:solidFill>
            <a:latin typeface="Engravers MT" panose="02090707080505020304" pitchFamily="18" charset="0"/>
          </a:endParaRPr>
        </a:p>
        <a:p>
          <a:pPr algn="r" rtl="1"/>
          <a:endParaRPr lang="en-US" sz="1200" b="1" i="1" baseline="0">
            <a:solidFill>
              <a:srgbClr val="7030A0"/>
            </a:solidFill>
            <a:latin typeface="Engravers MT" panose="02090707080505020304" pitchFamily="18" charset="0"/>
          </a:endParaRPr>
        </a:p>
        <a:p>
          <a:pPr algn="r" rtl="1"/>
          <a:endParaRPr lang="en-US" sz="1000" b="1" baseline="0">
            <a:solidFill>
              <a:schemeClr val="tx2">
                <a:lumMod val="40000"/>
                <a:lumOff val="60000"/>
              </a:schemeClr>
            </a:solidFill>
          </a:endParaRPr>
        </a:p>
        <a:p>
          <a:pPr algn="r" rtl="1"/>
          <a:r>
            <a:rPr lang="en-US" sz="900" b="1" i="0">
              <a:solidFill>
                <a:srgbClr val="FF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100" b="1" i="1">
              <a:solidFill>
                <a:srgbClr val="FF0000"/>
              </a:solidFill>
              <a:latin typeface="Bell MT" pitchFamily="18" charset="0"/>
              <a:ea typeface="+mn-ea"/>
              <a:cs typeface="W_sharq" panose="00000400000000000000" pitchFamily="2" charset="0"/>
            </a:rPr>
            <a:t>Fawad Saddiqi Group of Companies </a:t>
          </a:r>
          <a:r>
            <a:rPr lang="en-US" sz="1050" b="1" i="1">
              <a:solidFill>
                <a:srgbClr val="FF0000"/>
              </a:solidFill>
              <a:latin typeface="Bell MT" pitchFamily="18" charset="0"/>
              <a:ea typeface="+mn-ea"/>
              <a:cs typeface="W_sharq" panose="00000400000000000000" pitchFamily="2" charset="0"/>
            </a:rPr>
            <a:t>  </a:t>
          </a:r>
          <a:endParaRPr lang="en-US" sz="1100" b="1" i="1">
            <a:solidFill>
              <a:srgbClr val="FF0000"/>
            </a:solidFill>
            <a:latin typeface="Bell MT" pitchFamily="18" charset="0"/>
            <a:ea typeface="+mn-ea"/>
            <a:cs typeface="W_sharq" panose="00000400000000000000" pitchFamily="2" charset="0"/>
          </a:endParaRPr>
        </a:p>
        <a:p>
          <a:pPr algn="r" rtl="1"/>
          <a:r>
            <a:rPr lang="en-US" sz="1100" b="1" baseline="0">
              <a:solidFill>
                <a:srgbClr val="FF0000"/>
              </a:solidFill>
            </a:rPr>
            <a:t>           </a:t>
          </a:r>
          <a:endParaRPr lang="en-US" sz="105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1</xdr:row>
      <xdr:rowOff>19050</xdr:rowOff>
    </xdr:from>
    <xdr:to>
      <xdr:col>10</xdr:col>
      <xdr:colOff>990599</xdr:colOff>
      <xdr:row>3</xdr:row>
      <xdr:rowOff>0</xdr:rowOff>
    </xdr:to>
    <xdr:sp macro="" textlink="">
      <xdr:nvSpPr>
        <xdr:cNvPr id="2" name="AutoShape 83" descr="Water droplets"/>
        <xdr:cNvSpPr>
          <a:spLocks noChangeArrowheads="1"/>
        </xdr:cNvSpPr>
      </xdr:nvSpPr>
      <xdr:spPr bwMode="auto">
        <a:xfrm flipH="1">
          <a:off x="7692389" y="201930"/>
          <a:ext cx="2891790" cy="60579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1148" rIns="45720" bIns="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a-IR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 </a:t>
          </a: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/>
              <a:cs typeface="Arial"/>
            </a:rPr>
            <a:t>Customer Name</a:t>
          </a:r>
          <a:r>
            <a:rPr kumimoji="0" lang="fa-IR" sz="13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/>
              <a:cs typeface="Arial"/>
            </a:rPr>
            <a:t>:</a:t>
          </a:r>
        </a:p>
      </xdr:txBody>
    </xdr:sp>
    <xdr:clientData/>
  </xdr:twoCellAnchor>
  <xdr:twoCellAnchor editAs="oneCell">
    <xdr:from>
      <xdr:col>8</xdr:col>
      <xdr:colOff>38099</xdr:colOff>
      <xdr:row>2</xdr:row>
      <xdr:rowOff>379993</xdr:rowOff>
    </xdr:from>
    <xdr:to>
      <xdr:col>10</xdr:col>
      <xdr:colOff>946785</xdr:colOff>
      <xdr:row>3</xdr:row>
      <xdr:rowOff>68570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1439" y="943873"/>
          <a:ext cx="2828926" cy="69577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3</xdr:row>
      <xdr:rowOff>66675</xdr:rowOff>
    </xdr:from>
    <xdr:to>
      <xdr:col>10</xdr:col>
      <xdr:colOff>990598</xdr:colOff>
      <xdr:row>4</xdr:row>
      <xdr:rowOff>358140</xdr:rowOff>
    </xdr:to>
    <xdr:sp macro="" textlink="">
      <xdr:nvSpPr>
        <xdr:cNvPr id="4" name="AutoShape 83" descr="Water droplets"/>
        <xdr:cNvSpPr>
          <a:spLocks noChangeArrowheads="1"/>
        </xdr:cNvSpPr>
      </xdr:nvSpPr>
      <xdr:spPr bwMode="auto">
        <a:xfrm flipH="1">
          <a:off x="7692390" y="1011555"/>
          <a:ext cx="2891788" cy="67246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1148" rIns="45720" bIns="0" anchor="ctr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0</xdr:col>
      <xdr:colOff>168852</xdr:colOff>
      <xdr:row>0</xdr:row>
      <xdr:rowOff>190499</xdr:rowOff>
    </xdr:from>
    <xdr:to>
      <xdr:col>4</xdr:col>
      <xdr:colOff>580159</xdr:colOff>
      <xdr:row>5</xdr:row>
      <xdr:rowOff>38100</xdr:rowOff>
    </xdr:to>
    <xdr:sp macro="" textlink="">
      <xdr:nvSpPr>
        <xdr:cNvPr id="5" name="TextBox 4"/>
        <xdr:cNvSpPr txBox="1"/>
      </xdr:nvSpPr>
      <xdr:spPr>
        <a:xfrm flipH="1">
          <a:off x="168852" y="182879"/>
          <a:ext cx="4990927" cy="128778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b"/>
        <a:lstStyle/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گروپ کمپنی های</a:t>
          </a:r>
          <a:r>
            <a:rPr kumimoji="0" lang="en-US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فواد صدیقی لمیتد</a:t>
          </a: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Bell MT" panose="02020503060305020303" pitchFamily="18" charset="0"/>
              <a:ea typeface="+mn-ea"/>
              <a:cs typeface="Mehr" panose="00000700000000000000" pitchFamily="2" charset="-78"/>
            </a:rPr>
            <a:t>Fawad Saddiqi Group of Companies</a:t>
          </a:r>
          <a:endParaRPr kumimoji="0" lang="en-US" sz="2800" b="1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Bell MT" panose="02020503060305020303" pitchFamily="18" charset="0"/>
            <a:ea typeface="+mn-ea"/>
            <a:cs typeface="Mehr" panose="00000700000000000000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cs typeface="Mehr" panose="00000700000000000000" pitchFamily="2" charset="-78"/>
            </a:rPr>
            <a:t>           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cs typeface="Mehr" panose="00000700000000000000" pitchFamily="2" charset="-78"/>
          </a:endParaRPr>
        </a:p>
      </xdr:txBody>
    </xdr:sp>
    <xdr:clientData/>
  </xdr:twoCellAnchor>
  <xdr:twoCellAnchor editAs="oneCell">
    <xdr:from>
      <xdr:col>3</xdr:col>
      <xdr:colOff>255616</xdr:colOff>
      <xdr:row>1</xdr:row>
      <xdr:rowOff>226396</xdr:rowOff>
    </xdr:from>
    <xdr:to>
      <xdr:col>4</xdr:col>
      <xdr:colOff>731520</xdr:colOff>
      <xdr:row>4</xdr:row>
      <xdr:rowOff>84992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5576" y="409276"/>
          <a:ext cx="1565564" cy="1001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rightToLeft="1" tabSelected="1" topLeftCell="A20" zoomScaleNormal="100" workbookViewId="0">
      <selection activeCell="I30" sqref="I30"/>
    </sheetView>
  </sheetViews>
  <sheetFormatPr defaultRowHeight="14.4"/>
  <cols>
    <col min="1" max="1" width="4.88671875" style="91" customWidth="1"/>
    <col min="2" max="2" width="7" style="91" customWidth="1"/>
    <col min="3" max="3" width="7.88671875" style="91" customWidth="1"/>
    <col min="4" max="4" width="40.77734375" style="91" customWidth="1"/>
    <col min="5" max="5" width="11" style="91" bestFit="1" customWidth="1"/>
    <col min="6" max="6" width="10.88671875" style="91" customWidth="1"/>
    <col min="7" max="7" width="13" style="91" customWidth="1"/>
    <col min="8" max="8" width="0.33203125" style="91" customWidth="1"/>
    <col min="9" max="9" width="15" style="91" customWidth="1"/>
    <col min="10" max="10" width="13.5546875" style="91" customWidth="1"/>
    <col min="11" max="11" width="15" style="91" customWidth="1"/>
    <col min="12" max="16384" width="8.88671875" style="91"/>
  </cols>
  <sheetData>
    <row r="1" spans="1:11" ht="15.6" customHeight="1">
      <c r="A1" s="150">
        <v>786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6.6" customHeight="1">
      <c r="A2" s="46"/>
      <c r="B2" s="46"/>
      <c r="C2" s="46"/>
      <c r="D2" s="46"/>
      <c r="E2" s="88"/>
      <c r="F2" s="47"/>
      <c r="G2" s="46"/>
      <c r="H2" s="46"/>
      <c r="I2" s="46"/>
      <c r="J2" s="89"/>
      <c r="K2" s="90"/>
    </row>
    <row r="3" spans="1:11" ht="39.6" customHeight="1">
      <c r="A3" s="149" t="s">
        <v>54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1" ht="39.6" customHeight="1">
      <c r="A4" s="94" t="s">
        <v>2</v>
      </c>
      <c r="B4" s="95" t="s">
        <v>3</v>
      </c>
      <c r="C4" s="95" t="s">
        <v>3</v>
      </c>
      <c r="D4" s="95" t="s">
        <v>4</v>
      </c>
      <c r="E4" s="96" t="s">
        <v>47</v>
      </c>
      <c r="F4" s="97" t="s">
        <v>5</v>
      </c>
      <c r="G4" s="95" t="s">
        <v>6</v>
      </c>
      <c r="H4" s="97"/>
      <c r="I4" s="98" t="s">
        <v>15</v>
      </c>
      <c r="J4" s="99" t="s">
        <v>16</v>
      </c>
      <c r="K4" s="100" t="s">
        <v>7</v>
      </c>
    </row>
    <row r="5" spans="1:11" ht="1.8" customHeight="1" thickBot="1">
      <c r="A5" s="101"/>
      <c r="B5" s="102"/>
      <c r="C5" s="102"/>
      <c r="D5" s="102"/>
      <c r="E5" s="102"/>
      <c r="F5" s="93"/>
      <c r="G5" s="102"/>
      <c r="H5" s="93"/>
      <c r="I5" s="103"/>
      <c r="J5" s="104"/>
      <c r="K5" s="105"/>
    </row>
    <row r="6" spans="1:11" ht="39.6" customHeight="1">
      <c r="A6" s="106">
        <v>1</v>
      </c>
      <c r="B6" s="107"/>
      <c r="C6" s="107">
        <v>46267</v>
      </c>
      <c r="D6" s="108" t="s">
        <v>55</v>
      </c>
      <c r="E6" s="109"/>
      <c r="F6" s="110">
        <v>1404.5039999999999</v>
      </c>
      <c r="G6" s="111">
        <v>600.73</v>
      </c>
      <c r="H6" s="112">
        <v>1404.5039999999999</v>
      </c>
      <c r="I6" s="113">
        <f>F6*G6</f>
        <v>843727.68791999994</v>
      </c>
      <c r="J6" s="114"/>
      <c r="K6" s="115">
        <f>I6-J6</f>
        <v>843727.68791999994</v>
      </c>
    </row>
    <row r="7" spans="1:11" ht="39.6" customHeight="1">
      <c r="A7" s="140">
        <v>2</v>
      </c>
      <c r="B7" s="141"/>
      <c r="C7" s="141"/>
      <c r="D7" s="142" t="s">
        <v>56</v>
      </c>
      <c r="E7" s="143"/>
      <c r="F7" s="144">
        <v>2740</v>
      </c>
      <c r="G7" s="145">
        <v>570</v>
      </c>
      <c r="H7" s="146"/>
      <c r="I7" s="147">
        <f t="shared" ref="I7:I8" si="0">F7*G7</f>
        <v>1561800</v>
      </c>
      <c r="J7" s="25"/>
      <c r="K7" s="148">
        <f>I7-J7+K6</f>
        <v>2405527.6879199999</v>
      </c>
    </row>
    <row r="8" spans="1:11" ht="39.6" customHeight="1">
      <c r="A8" s="140">
        <v>3</v>
      </c>
      <c r="B8" s="141"/>
      <c r="C8" s="141"/>
      <c r="D8" s="142" t="s">
        <v>31</v>
      </c>
      <c r="E8" s="143"/>
      <c r="F8" s="144">
        <f>F7+F6</f>
        <v>4144.5039999999999</v>
      </c>
      <c r="G8" s="145">
        <v>20</v>
      </c>
      <c r="H8" s="146"/>
      <c r="I8" s="147">
        <f t="shared" si="0"/>
        <v>82890.080000000002</v>
      </c>
      <c r="J8" s="25"/>
      <c r="K8" s="148">
        <f t="shared" ref="K8:K29" si="1">I8-J8+K7</f>
        <v>2488417.76792</v>
      </c>
    </row>
    <row r="9" spans="1:11" ht="40.049999999999997" customHeight="1">
      <c r="A9" s="140">
        <v>4</v>
      </c>
      <c r="B9" s="116"/>
      <c r="C9" s="116"/>
      <c r="D9" s="117" t="s">
        <v>48</v>
      </c>
      <c r="E9" s="118"/>
      <c r="F9" s="21">
        <v>4144.5039999999999</v>
      </c>
      <c r="G9" s="119">
        <v>80</v>
      </c>
      <c r="H9" s="120"/>
      <c r="I9" s="24">
        <f>F9*G9</f>
        <v>331560.32000000001</v>
      </c>
      <c r="J9" s="121"/>
      <c r="K9" s="148">
        <f t="shared" si="1"/>
        <v>2819978.0879199998</v>
      </c>
    </row>
    <row r="10" spans="1:11" ht="40.049999999999997" customHeight="1">
      <c r="A10" s="140">
        <v>5</v>
      </c>
      <c r="B10" s="116"/>
      <c r="C10" s="116"/>
      <c r="D10" s="117" t="s">
        <v>49</v>
      </c>
      <c r="E10" s="118"/>
      <c r="F10" s="21">
        <v>4144.5039999999999</v>
      </c>
      <c r="G10" s="119">
        <v>25</v>
      </c>
      <c r="H10" s="120"/>
      <c r="I10" s="24">
        <f>F10*G10</f>
        <v>103612.59999999999</v>
      </c>
      <c r="J10" s="121"/>
      <c r="K10" s="148">
        <f t="shared" si="1"/>
        <v>2923590.6879199999</v>
      </c>
    </row>
    <row r="11" spans="1:11" ht="40.049999999999997" customHeight="1">
      <c r="A11" s="140">
        <v>6</v>
      </c>
      <c r="B11" s="116"/>
      <c r="C11" s="116"/>
      <c r="D11" s="117" t="s">
        <v>50</v>
      </c>
      <c r="E11" s="118"/>
      <c r="F11" s="21"/>
      <c r="G11" s="119"/>
      <c r="H11" s="120"/>
      <c r="I11" s="24">
        <v>145000</v>
      </c>
      <c r="J11" s="121"/>
      <c r="K11" s="148">
        <f t="shared" si="1"/>
        <v>3068590.6879199999</v>
      </c>
    </row>
    <row r="12" spans="1:11" ht="40.049999999999997" customHeight="1">
      <c r="A12" s="140">
        <v>7</v>
      </c>
      <c r="B12" s="116"/>
      <c r="C12" s="116"/>
      <c r="D12" s="117" t="s">
        <v>51</v>
      </c>
      <c r="E12" s="118"/>
      <c r="F12" s="21">
        <v>4144.5039999999999</v>
      </c>
      <c r="G12" s="119">
        <v>0.45382758182511307</v>
      </c>
      <c r="H12" s="120"/>
      <c r="I12" s="24">
        <f>F12*G12</f>
        <v>1880.8902281845083</v>
      </c>
      <c r="J12" s="121"/>
      <c r="K12" s="148">
        <f t="shared" si="1"/>
        <v>3070471.5781481843</v>
      </c>
    </row>
    <row r="13" spans="1:11" ht="40.049999999999997" customHeight="1">
      <c r="A13" s="140">
        <v>8</v>
      </c>
      <c r="B13" s="116"/>
      <c r="C13" s="116"/>
      <c r="D13" s="117" t="s">
        <v>52</v>
      </c>
      <c r="E13" s="118"/>
      <c r="F13" s="21">
        <v>4144.5039999999999</v>
      </c>
      <c r="G13" s="119">
        <v>0.4</v>
      </c>
      <c r="H13" s="120"/>
      <c r="I13" s="24">
        <f>F13*G13</f>
        <v>1657.8016</v>
      </c>
      <c r="J13" s="121"/>
      <c r="K13" s="148">
        <f t="shared" si="1"/>
        <v>3072129.3797481842</v>
      </c>
    </row>
    <row r="14" spans="1:11" ht="40.049999999999997" customHeight="1">
      <c r="A14" s="140">
        <v>9</v>
      </c>
      <c r="B14" s="17"/>
      <c r="C14" s="17"/>
      <c r="D14" s="117" t="s">
        <v>32</v>
      </c>
      <c r="E14" s="122">
        <v>50000000</v>
      </c>
      <c r="F14" s="21"/>
      <c r="G14" s="123">
        <v>149135</v>
      </c>
      <c r="H14" s="120"/>
      <c r="I14" s="24">
        <f>E14/G14</f>
        <v>335.26670466355984</v>
      </c>
      <c r="J14" s="121"/>
      <c r="K14" s="148">
        <f t="shared" si="1"/>
        <v>3072464.6464528479</v>
      </c>
    </row>
    <row r="15" spans="1:11" ht="40.049999999999997" customHeight="1">
      <c r="A15" s="140">
        <v>10</v>
      </c>
      <c r="B15" s="17"/>
      <c r="C15" s="17"/>
      <c r="D15" s="117" t="s">
        <v>33</v>
      </c>
      <c r="E15" s="122">
        <v>120000000</v>
      </c>
      <c r="F15" s="21"/>
      <c r="G15" s="123">
        <v>149135</v>
      </c>
      <c r="H15" s="120"/>
      <c r="I15" s="24">
        <f t="shared" ref="I15:I25" si="2">E15/G15</f>
        <v>804.64009119254365</v>
      </c>
      <c r="J15" s="121"/>
      <c r="K15" s="148">
        <f t="shared" si="1"/>
        <v>3073269.2865440403</v>
      </c>
    </row>
    <row r="16" spans="1:11" ht="40.049999999999997" customHeight="1">
      <c r="A16" s="140">
        <v>11</v>
      </c>
      <c r="B16" s="17"/>
      <c r="C16" s="17"/>
      <c r="D16" s="117" t="s">
        <v>34</v>
      </c>
      <c r="E16" s="122">
        <v>60000000</v>
      </c>
      <c r="F16" s="21"/>
      <c r="G16" s="123">
        <v>149135</v>
      </c>
      <c r="H16" s="120"/>
      <c r="I16" s="24">
        <f t="shared" si="2"/>
        <v>402.32004559627183</v>
      </c>
      <c r="J16" s="121"/>
      <c r="K16" s="148">
        <f t="shared" si="1"/>
        <v>3073671.6065896368</v>
      </c>
    </row>
    <row r="17" spans="1:14" ht="40.049999999999997" customHeight="1">
      <c r="A17" s="140">
        <v>12</v>
      </c>
      <c r="B17" s="17"/>
      <c r="C17" s="17"/>
      <c r="D17" s="117" t="s">
        <v>35</v>
      </c>
      <c r="E17" s="122">
        <v>8250000</v>
      </c>
      <c r="F17" s="21"/>
      <c r="G17" s="123">
        <v>149135</v>
      </c>
      <c r="H17" s="120"/>
      <c r="I17" s="24">
        <f t="shared" si="2"/>
        <v>55.319006269487375</v>
      </c>
      <c r="J17" s="121"/>
      <c r="K17" s="148">
        <f t="shared" si="1"/>
        <v>3073726.9255959061</v>
      </c>
    </row>
    <row r="18" spans="1:14" ht="40.049999999999997" customHeight="1">
      <c r="A18" s="140">
        <v>13</v>
      </c>
      <c r="B18" s="17"/>
      <c r="C18" s="17"/>
      <c r="D18" s="117" t="s">
        <v>36</v>
      </c>
      <c r="E18" s="122">
        <v>362506318.5</v>
      </c>
      <c r="F18" s="21"/>
      <c r="G18" s="123">
        <v>149135</v>
      </c>
      <c r="H18" s="120"/>
      <c r="I18" s="24">
        <f t="shared" si="2"/>
        <v>2430.7259764642772</v>
      </c>
      <c r="J18" s="121"/>
      <c r="K18" s="148">
        <f t="shared" si="1"/>
        <v>3076157.6515723704</v>
      </c>
    </row>
    <row r="19" spans="1:14" ht="40.049999999999997" customHeight="1">
      <c r="A19" s="140">
        <v>14</v>
      </c>
      <c r="B19" s="17"/>
      <c r="C19" s="17"/>
      <c r="D19" s="117" t="s">
        <v>37</v>
      </c>
      <c r="E19" s="122">
        <v>1004501745.6</v>
      </c>
      <c r="F19" s="21"/>
      <c r="G19" s="123">
        <v>149135</v>
      </c>
      <c r="H19" s="120"/>
      <c r="I19" s="24">
        <f t="shared" si="2"/>
        <v>6735.5198015221113</v>
      </c>
      <c r="J19" s="121"/>
      <c r="K19" s="148">
        <f t="shared" si="1"/>
        <v>3082893.1713738926</v>
      </c>
    </row>
    <row r="20" spans="1:14" ht="40.049999999999997" customHeight="1">
      <c r="A20" s="140">
        <v>15</v>
      </c>
      <c r="B20" s="17"/>
      <c r="C20" s="17"/>
      <c r="D20" s="117" t="s">
        <v>38</v>
      </c>
      <c r="E20" s="122">
        <v>1000000</v>
      </c>
      <c r="F20" s="21"/>
      <c r="G20" s="123">
        <v>149135</v>
      </c>
      <c r="H20" s="120"/>
      <c r="I20" s="24">
        <f t="shared" si="2"/>
        <v>6.7053340932711976</v>
      </c>
      <c r="J20" s="121"/>
      <c r="K20" s="148">
        <f t="shared" si="1"/>
        <v>3082899.876707986</v>
      </c>
    </row>
    <row r="21" spans="1:14" ht="40.049999999999997" customHeight="1">
      <c r="A21" s="140">
        <v>16</v>
      </c>
      <c r="B21" s="17"/>
      <c r="C21" s="17"/>
      <c r="D21" s="117" t="s">
        <v>39</v>
      </c>
      <c r="E21" s="122">
        <v>783950482</v>
      </c>
      <c r="F21" s="21"/>
      <c r="G21" s="123">
        <v>149135</v>
      </c>
      <c r="H21" s="120"/>
      <c r="I21" s="24">
        <f t="shared" si="2"/>
        <v>5256.6498943909883</v>
      </c>
      <c r="J21" s="121"/>
      <c r="K21" s="148">
        <f t="shared" si="1"/>
        <v>3088156.5266023772</v>
      </c>
    </row>
    <row r="22" spans="1:14" ht="40.049999999999997" customHeight="1">
      <c r="A22" s="140">
        <v>17</v>
      </c>
      <c r="B22" s="17"/>
      <c r="C22" s="17"/>
      <c r="D22" s="117" t="s">
        <v>40</v>
      </c>
      <c r="E22" s="122">
        <v>77124978.700000003</v>
      </c>
      <c r="F22" s="21"/>
      <c r="G22" s="123">
        <v>149135</v>
      </c>
      <c r="H22" s="120"/>
      <c r="I22" s="24">
        <f t="shared" si="2"/>
        <v>517.1487491199249</v>
      </c>
      <c r="J22" s="121"/>
      <c r="K22" s="148">
        <f t="shared" si="1"/>
        <v>3088673.6753514973</v>
      </c>
    </row>
    <row r="23" spans="1:14" ht="40.049999999999997" customHeight="1">
      <c r="A23" s="140">
        <v>18</v>
      </c>
      <c r="B23" s="17"/>
      <c r="C23" s="17"/>
      <c r="D23" s="117" t="s">
        <v>41</v>
      </c>
      <c r="E23" s="122">
        <v>3800000</v>
      </c>
      <c r="F23" s="21"/>
      <c r="G23" s="123">
        <v>149135</v>
      </c>
      <c r="H23" s="120"/>
      <c r="I23" s="24">
        <f t="shared" si="2"/>
        <v>25.480269554430549</v>
      </c>
      <c r="J23" s="121"/>
      <c r="K23" s="148">
        <f t="shared" si="1"/>
        <v>3088699.1556210518</v>
      </c>
    </row>
    <row r="24" spans="1:14" ht="40.049999999999997" customHeight="1">
      <c r="A24" s="140">
        <v>19</v>
      </c>
      <c r="B24" s="17"/>
      <c r="C24" s="17"/>
      <c r="D24" s="117" t="s">
        <v>42</v>
      </c>
      <c r="E24" s="122">
        <v>240000000</v>
      </c>
      <c r="F24" s="21"/>
      <c r="G24" s="123">
        <v>149135</v>
      </c>
      <c r="H24" s="120"/>
      <c r="I24" s="24">
        <f t="shared" si="2"/>
        <v>1609.2801823850873</v>
      </c>
      <c r="J24" s="121"/>
      <c r="K24" s="148">
        <f t="shared" si="1"/>
        <v>3090308.4358034367</v>
      </c>
    </row>
    <row r="25" spans="1:14" ht="40.049999999999997" customHeight="1">
      <c r="A25" s="140">
        <v>20</v>
      </c>
      <c r="B25" s="17"/>
      <c r="C25" s="17"/>
      <c r="D25" s="117" t="s">
        <v>43</v>
      </c>
      <c r="E25" s="122">
        <v>1000000</v>
      </c>
      <c r="F25" s="21"/>
      <c r="G25" s="123">
        <v>149135</v>
      </c>
      <c r="H25" s="120"/>
      <c r="I25" s="24">
        <f>E25/G25</f>
        <v>6.7053340932711976</v>
      </c>
      <c r="J25" s="121"/>
      <c r="K25" s="148">
        <f t="shared" si="1"/>
        <v>3090315.1411375301</v>
      </c>
    </row>
    <row r="26" spans="1:14" ht="40.049999999999997" customHeight="1">
      <c r="A26" s="140">
        <v>21</v>
      </c>
      <c r="B26" s="17"/>
      <c r="C26" s="17"/>
      <c r="D26" s="117" t="s">
        <v>44</v>
      </c>
      <c r="E26" s="122"/>
      <c r="F26" s="21"/>
      <c r="G26" s="123"/>
      <c r="H26" s="120"/>
      <c r="I26" s="24">
        <v>14582</v>
      </c>
      <c r="J26" s="121"/>
      <c r="K26" s="148">
        <f t="shared" si="1"/>
        <v>3104897.1411375301</v>
      </c>
    </row>
    <row r="27" spans="1:14" ht="40.049999999999997" customHeight="1">
      <c r="A27" s="140">
        <v>22</v>
      </c>
      <c r="B27" s="17"/>
      <c r="C27" s="17"/>
      <c r="D27" s="117" t="s">
        <v>45</v>
      </c>
      <c r="E27" s="122"/>
      <c r="F27" s="21">
        <v>4110.1149999999998</v>
      </c>
      <c r="G27" s="124">
        <v>1</v>
      </c>
      <c r="H27" s="120"/>
      <c r="I27" s="24">
        <f>F27*G27</f>
        <v>4110.1149999999998</v>
      </c>
      <c r="J27" s="121"/>
      <c r="K27" s="148">
        <f t="shared" si="1"/>
        <v>3109007.2561375303</v>
      </c>
    </row>
    <row r="28" spans="1:14" ht="40.049999999999997" customHeight="1">
      <c r="A28" s="140">
        <v>23</v>
      </c>
      <c r="B28" s="116">
        <v>46267</v>
      </c>
      <c r="C28" s="116" t="s">
        <v>46</v>
      </c>
      <c r="D28" s="125" t="s">
        <v>57</v>
      </c>
      <c r="E28" s="122"/>
      <c r="F28" s="21">
        <v>4110.1149999999998</v>
      </c>
      <c r="G28" s="124">
        <f>803-40</f>
        <v>763</v>
      </c>
      <c r="H28" s="120"/>
      <c r="I28" s="24"/>
      <c r="J28" s="121">
        <f>F28*G28</f>
        <v>3136017.7449999996</v>
      </c>
      <c r="K28" s="148">
        <f t="shared" si="1"/>
        <v>-27010.488862469327</v>
      </c>
    </row>
    <row r="29" spans="1:14" ht="40.049999999999997" customHeight="1">
      <c r="A29" s="140">
        <v>24</v>
      </c>
      <c r="B29" s="17"/>
      <c r="C29" s="17"/>
      <c r="D29" s="117" t="s">
        <v>53</v>
      </c>
      <c r="E29" s="118"/>
      <c r="F29" s="21"/>
      <c r="G29" s="119"/>
      <c r="H29" s="120"/>
      <c r="I29" s="24">
        <f>K28-K28-K28</f>
        <v>27010.488862469327</v>
      </c>
      <c r="J29" s="121"/>
      <c r="K29" s="148">
        <f t="shared" si="1"/>
        <v>0</v>
      </c>
      <c r="N29" s="126"/>
    </row>
    <row r="30" spans="1:14" ht="40.049999999999997" customHeight="1" thickBot="1">
      <c r="A30" s="36"/>
      <c r="B30" s="69"/>
      <c r="C30" s="69"/>
      <c r="D30" s="127"/>
      <c r="E30" s="128"/>
      <c r="F30" s="129"/>
      <c r="G30" s="130"/>
      <c r="H30" s="41"/>
      <c r="I30" s="131"/>
      <c r="J30" s="132"/>
      <c r="K30" s="133"/>
    </row>
    <row r="31" spans="1:14" ht="4.8" customHeight="1">
      <c r="A31" s="3"/>
      <c r="B31" s="134"/>
      <c r="C31" s="66"/>
      <c r="D31" s="135"/>
      <c r="E31" s="3"/>
      <c r="F31" s="47"/>
      <c r="G31" s="48"/>
      <c r="H31" s="47"/>
      <c r="I31" s="49"/>
      <c r="J31" s="50"/>
      <c r="K31" s="51"/>
    </row>
    <row r="32" spans="1:14">
      <c r="A32" s="3"/>
      <c r="B32" s="134"/>
      <c r="C32" s="66"/>
      <c r="D32" s="135"/>
      <c r="E32" s="3"/>
      <c r="F32" s="47"/>
      <c r="G32" s="48"/>
      <c r="H32" s="47"/>
      <c r="I32" s="136">
        <f>SUM(I6:I29)</f>
        <v>3136017.7449999996</v>
      </c>
      <c r="J32" s="137">
        <f>SUM(J6:J29)</f>
        <v>3136017.7449999996</v>
      </c>
      <c r="K32" s="51"/>
    </row>
    <row r="33" spans="4:6">
      <c r="D33" s="138"/>
      <c r="E33" s="92"/>
      <c r="F33" s="139"/>
    </row>
  </sheetData>
  <mergeCells count="2">
    <mergeCell ref="A3:K3"/>
    <mergeCell ref="A1:K1"/>
  </mergeCells>
  <pageMargins left="0" right="0" top="0" bottom="0" header="0.3" footer="0.3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F12" sqref="F12"/>
    </sheetView>
  </sheetViews>
  <sheetFormatPr defaultRowHeight="13.2"/>
  <cols>
    <col min="1" max="1" width="5.5546875" style="3" bestFit="1" customWidth="1"/>
    <col min="2" max="2" width="10.44140625" style="3" customWidth="1"/>
    <col min="3" max="3" width="34.88671875" style="45" customWidth="1"/>
    <col min="4" max="4" width="15.88671875" style="45" customWidth="1"/>
    <col min="5" max="5" width="12.88671875" style="46" customWidth="1"/>
    <col min="6" max="6" width="14.33203125" style="47" customWidth="1"/>
    <col min="7" max="7" width="9.6640625" style="48" customWidth="1"/>
    <col min="8" max="8" width="11.33203125" style="47" customWidth="1"/>
    <col min="9" max="9" width="13.88671875" style="49" customWidth="1"/>
    <col min="10" max="10" width="14.109375" style="50" bestFit="1" customWidth="1"/>
    <col min="11" max="11" width="15.33203125" style="51" customWidth="1"/>
    <col min="12" max="12" width="3.109375" style="3" customWidth="1"/>
    <col min="13" max="13" width="1.109375" style="3" customWidth="1"/>
    <col min="14" max="253" width="8.88671875" style="3"/>
    <col min="254" max="254" width="5.5546875" style="3" bestFit="1" customWidth="1"/>
    <col min="255" max="255" width="9.33203125" style="3" customWidth="1"/>
    <col min="256" max="256" width="24.6640625" style="3" customWidth="1"/>
    <col min="257" max="257" width="11" style="3" bestFit="1" customWidth="1"/>
    <col min="258" max="258" width="7.5546875" style="3" bestFit="1" customWidth="1"/>
    <col min="259" max="259" width="13.5546875" style="3" customWidth="1"/>
    <col min="260" max="260" width="5.44140625" style="3" bestFit="1" customWidth="1"/>
    <col min="261" max="261" width="11.33203125" style="3" bestFit="1" customWidth="1"/>
    <col min="262" max="262" width="5.6640625" style="3" bestFit="1" customWidth="1"/>
    <col min="263" max="263" width="12" style="3" customWidth="1"/>
    <col min="264" max="264" width="15.44140625" style="3" bestFit="1" customWidth="1"/>
    <col min="265" max="266" width="15.109375" style="3" bestFit="1" customWidth="1"/>
    <col min="267" max="267" width="14.33203125" style="3" bestFit="1" customWidth="1"/>
    <col min="268" max="268" width="3.109375" style="3" customWidth="1"/>
    <col min="269" max="269" width="6.44140625" style="3" customWidth="1"/>
    <col min="270" max="509" width="8.88671875" style="3"/>
    <col min="510" max="510" width="5.5546875" style="3" bestFit="1" customWidth="1"/>
    <col min="511" max="511" width="9.33203125" style="3" customWidth="1"/>
    <col min="512" max="512" width="24.6640625" style="3" customWidth="1"/>
    <col min="513" max="513" width="11" style="3" bestFit="1" customWidth="1"/>
    <col min="514" max="514" width="7.5546875" style="3" bestFit="1" customWidth="1"/>
    <col min="515" max="515" width="13.5546875" style="3" customWidth="1"/>
    <col min="516" max="516" width="5.44140625" style="3" bestFit="1" customWidth="1"/>
    <col min="517" max="517" width="11.33203125" style="3" bestFit="1" customWidth="1"/>
    <col min="518" max="518" width="5.6640625" style="3" bestFit="1" customWidth="1"/>
    <col min="519" max="519" width="12" style="3" customWidth="1"/>
    <col min="520" max="520" width="15.44140625" style="3" bestFit="1" customWidth="1"/>
    <col min="521" max="522" width="15.109375" style="3" bestFit="1" customWidth="1"/>
    <col min="523" max="523" width="14.33203125" style="3" bestFit="1" customWidth="1"/>
    <col min="524" max="524" width="3.109375" style="3" customWidth="1"/>
    <col min="525" max="525" width="6.44140625" style="3" customWidth="1"/>
    <col min="526" max="765" width="8.88671875" style="3"/>
    <col min="766" max="766" width="5.5546875" style="3" bestFit="1" customWidth="1"/>
    <col min="767" max="767" width="9.33203125" style="3" customWidth="1"/>
    <col min="768" max="768" width="24.6640625" style="3" customWidth="1"/>
    <col min="769" max="769" width="11" style="3" bestFit="1" customWidth="1"/>
    <col min="770" max="770" width="7.5546875" style="3" bestFit="1" customWidth="1"/>
    <col min="771" max="771" width="13.5546875" style="3" customWidth="1"/>
    <col min="772" max="772" width="5.44140625" style="3" bestFit="1" customWidth="1"/>
    <col min="773" max="773" width="11.33203125" style="3" bestFit="1" customWidth="1"/>
    <col min="774" max="774" width="5.6640625" style="3" bestFit="1" customWidth="1"/>
    <col min="775" max="775" width="12" style="3" customWidth="1"/>
    <col min="776" max="776" width="15.44140625" style="3" bestFit="1" customWidth="1"/>
    <col min="777" max="778" width="15.109375" style="3" bestFit="1" customWidth="1"/>
    <col min="779" max="779" width="14.33203125" style="3" bestFit="1" customWidth="1"/>
    <col min="780" max="780" width="3.109375" style="3" customWidth="1"/>
    <col min="781" max="781" width="6.44140625" style="3" customWidth="1"/>
    <col min="782" max="1021" width="8.88671875" style="3"/>
    <col min="1022" max="1022" width="5.5546875" style="3" bestFit="1" customWidth="1"/>
    <col min="1023" max="1023" width="9.33203125" style="3" customWidth="1"/>
    <col min="1024" max="1024" width="24.6640625" style="3" customWidth="1"/>
    <col min="1025" max="1025" width="11" style="3" bestFit="1" customWidth="1"/>
    <col min="1026" max="1026" width="7.5546875" style="3" bestFit="1" customWidth="1"/>
    <col min="1027" max="1027" width="13.5546875" style="3" customWidth="1"/>
    <col min="1028" max="1028" width="5.44140625" style="3" bestFit="1" customWidth="1"/>
    <col min="1029" max="1029" width="11.33203125" style="3" bestFit="1" customWidth="1"/>
    <col min="1030" max="1030" width="5.6640625" style="3" bestFit="1" customWidth="1"/>
    <col min="1031" max="1031" width="12" style="3" customWidth="1"/>
    <col min="1032" max="1032" width="15.44140625" style="3" bestFit="1" customWidth="1"/>
    <col min="1033" max="1034" width="15.109375" style="3" bestFit="1" customWidth="1"/>
    <col min="1035" max="1035" width="14.33203125" style="3" bestFit="1" customWidth="1"/>
    <col min="1036" max="1036" width="3.109375" style="3" customWidth="1"/>
    <col min="1037" max="1037" width="6.44140625" style="3" customWidth="1"/>
    <col min="1038" max="1277" width="8.88671875" style="3"/>
    <col min="1278" max="1278" width="5.5546875" style="3" bestFit="1" customWidth="1"/>
    <col min="1279" max="1279" width="9.33203125" style="3" customWidth="1"/>
    <col min="1280" max="1280" width="24.6640625" style="3" customWidth="1"/>
    <col min="1281" max="1281" width="11" style="3" bestFit="1" customWidth="1"/>
    <col min="1282" max="1282" width="7.5546875" style="3" bestFit="1" customWidth="1"/>
    <col min="1283" max="1283" width="13.5546875" style="3" customWidth="1"/>
    <col min="1284" max="1284" width="5.44140625" style="3" bestFit="1" customWidth="1"/>
    <col min="1285" max="1285" width="11.33203125" style="3" bestFit="1" customWidth="1"/>
    <col min="1286" max="1286" width="5.6640625" style="3" bestFit="1" customWidth="1"/>
    <col min="1287" max="1287" width="12" style="3" customWidth="1"/>
    <col min="1288" max="1288" width="15.44140625" style="3" bestFit="1" customWidth="1"/>
    <col min="1289" max="1290" width="15.109375" style="3" bestFit="1" customWidth="1"/>
    <col min="1291" max="1291" width="14.33203125" style="3" bestFit="1" customWidth="1"/>
    <col min="1292" max="1292" width="3.109375" style="3" customWidth="1"/>
    <col min="1293" max="1293" width="6.44140625" style="3" customWidth="1"/>
    <col min="1294" max="1533" width="8.88671875" style="3"/>
    <col min="1534" max="1534" width="5.5546875" style="3" bestFit="1" customWidth="1"/>
    <col min="1535" max="1535" width="9.33203125" style="3" customWidth="1"/>
    <col min="1536" max="1536" width="24.6640625" style="3" customWidth="1"/>
    <col min="1537" max="1537" width="11" style="3" bestFit="1" customWidth="1"/>
    <col min="1538" max="1538" width="7.5546875" style="3" bestFit="1" customWidth="1"/>
    <col min="1539" max="1539" width="13.5546875" style="3" customWidth="1"/>
    <col min="1540" max="1540" width="5.44140625" style="3" bestFit="1" customWidth="1"/>
    <col min="1541" max="1541" width="11.33203125" style="3" bestFit="1" customWidth="1"/>
    <col min="1542" max="1542" width="5.6640625" style="3" bestFit="1" customWidth="1"/>
    <col min="1543" max="1543" width="12" style="3" customWidth="1"/>
    <col min="1544" max="1544" width="15.44140625" style="3" bestFit="1" customWidth="1"/>
    <col min="1545" max="1546" width="15.109375" style="3" bestFit="1" customWidth="1"/>
    <col min="1547" max="1547" width="14.33203125" style="3" bestFit="1" customWidth="1"/>
    <col min="1548" max="1548" width="3.109375" style="3" customWidth="1"/>
    <col min="1549" max="1549" width="6.44140625" style="3" customWidth="1"/>
    <col min="1550" max="1789" width="8.88671875" style="3"/>
    <col min="1790" max="1790" width="5.5546875" style="3" bestFit="1" customWidth="1"/>
    <col min="1791" max="1791" width="9.33203125" style="3" customWidth="1"/>
    <col min="1792" max="1792" width="24.6640625" style="3" customWidth="1"/>
    <col min="1793" max="1793" width="11" style="3" bestFit="1" customWidth="1"/>
    <col min="1794" max="1794" width="7.5546875" style="3" bestFit="1" customWidth="1"/>
    <col min="1795" max="1795" width="13.5546875" style="3" customWidth="1"/>
    <col min="1796" max="1796" width="5.44140625" style="3" bestFit="1" customWidth="1"/>
    <col min="1797" max="1797" width="11.33203125" style="3" bestFit="1" customWidth="1"/>
    <col min="1798" max="1798" width="5.6640625" style="3" bestFit="1" customWidth="1"/>
    <col min="1799" max="1799" width="12" style="3" customWidth="1"/>
    <col min="1800" max="1800" width="15.44140625" style="3" bestFit="1" customWidth="1"/>
    <col min="1801" max="1802" width="15.109375" style="3" bestFit="1" customWidth="1"/>
    <col min="1803" max="1803" width="14.33203125" style="3" bestFit="1" customWidth="1"/>
    <col min="1804" max="1804" width="3.109375" style="3" customWidth="1"/>
    <col min="1805" max="1805" width="6.44140625" style="3" customWidth="1"/>
    <col min="1806" max="2045" width="8.88671875" style="3"/>
    <col min="2046" max="2046" width="5.5546875" style="3" bestFit="1" customWidth="1"/>
    <col min="2047" max="2047" width="9.33203125" style="3" customWidth="1"/>
    <col min="2048" max="2048" width="24.6640625" style="3" customWidth="1"/>
    <col min="2049" max="2049" width="11" style="3" bestFit="1" customWidth="1"/>
    <col min="2050" max="2050" width="7.5546875" style="3" bestFit="1" customWidth="1"/>
    <col min="2051" max="2051" width="13.5546875" style="3" customWidth="1"/>
    <col min="2052" max="2052" width="5.44140625" style="3" bestFit="1" customWidth="1"/>
    <col min="2053" max="2053" width="11.33203125" style="3" bestFit="1" customWidth="1"/>
    <col min="2054" max="2054" width="5.6640625" style="3" bestFit="1" customWidth="1"/>
    <col min="2055" max="2055" width="12" style="3" customWidth="1"/>
    <col min="2056" max="2056" width="15.44140625" style="3" bestFit="1" customWidth="1"/>
    <col min="2057" max="2058" width="15.109375" style="3" bestFit="1" customWidth="1"/>
    <col min="2059" max="2059" width="14.33203125" style="3" bestFit="1" customWidth="1"/>
    <col min="2060" max="2060" width="3.109375" style="3" customWidth="1"/>
    <col min="2061" max="2061" width="6.44140625" style="3" customWidth="1"/>
    <col min="2062" max="2301" width="8.88671875" style="3"/>
    <col min="2302" max="2302" width="5.5546875" style="3" bestFit="1" customWidth="1"/>
    <col min="2303" max="2303" width="9.33203125" style="3" customWidth="1"/>
    <col min="2304" max="2304" width="24.6640625" style="3" customWidth="1"/>
    <col min="2305" max="2305" width="11" style="3" bestFit="1" customWidth="1"/>
    <col min="2306" max="2306" width="7.5546875" style="3" bestFit="1" customWidth="1"/>
    <col min="2307" max="2307" width="13.5546875" style="3" customWidth="1"/>
    <col min="2308" max="2308" width="5.44140625" style="3" bestFit="1" customWidth="1"/>
    <col min="2309" max="2309" width="11.33203125" style="3" bestFit="1" customWidth="1"/>
    <col min="2310" max="2310" width="5.6640625" style="3" bestFit="1" customWidth="1"/>
    <col min="2311" max="2311" width="12" style="3" customWidth="1"/>
    <col min="2312" max="2312" width="15.44140625" style="3" bestFit="1" customWidth="1"/>
    <col min="2313" max="2314" width="15.109375" style="3" bestFit="1" customWidth="1"/>
    <col min="2315" max="2315" width="14.33203125" style="3" bestFit="1" customWidth="1"/>
    <col min="2316" max="2316" width="3.109375" style="3" customWidth="1"/>
    <col min="2317" max="2317" width="6.44140625" style="3" customWidth="1"/>
    <col min="2318" max="2557" width="8.88671875" style="3"/>
    <col min="2558" max="2558" width="5.5546875" style="3" bestFit="1" customWidth="1"/>
    <col min="2559" max="2559" width="9.33203125" style="3" customWidth="1"/>
    <col min="2560" max="2560" width="24.6640625" style="3" customWidth="1"/>
    <col min="2561" max="2561" width="11" style="3" bestFit="1" customWidth="1"/>
    <col min="2562" max="2562" width="7.5546875" style="3" bestFit="1" customWidth="1"/>
    <col min="2563" max="2563" width="13.5546875" style="3" customWidth="1"/>
    <col min="2564" max="2564" width="5.44140625" style="3" bestFit="1" customWidth="1"/>
    <col min="2565" max="2565" width="11.33203125" style="3" bestFit="1" customWidth="1"/>
    <col min="2566" max="2566" width="5.6640625" style="3" bestFit="1" customWidth="1"/>
    <col min="2567" max="2567" width="12" style="3" customWidth="1"/>
    <col min="2568" max="2568" width="15.44140625" style="3" bestFit="1" customWidth="1"/>
    <col min="2569" max="2570" width="15.109375" style="3" bestFit="1" customWidth="1"/>
    <col min="2571" max="2571" width="14.33203125" style="3" bestFit="1" customWidth="1"/>
    <col min="2572" max="2572" width="3.109375" style="3" customWidth="1"/>
    <col min="2573" max="2573" width="6.44140625" style="3" customWidth="1"/>
    <col min="2574" max="2813" width="8.88671875" style="3"/>
    <col min="2814" max="2814" width="5.5546875" style="3" bestFit="1" customWidth="1"/>
    <col min="2815" max="2815" width="9.33203125" style="3" customWidth="1"/>
    <col min="2816" max="2816" width="24.6640625" style="3" customWidth="1"/>
    <col min="2817" max="2817" width="11" style="3" bestFit="1" customWidth="1"/>
    <col min="2818" max="2818" width="7.5546875" style="3" bestFit="1" customWidth="1"/>
    <col min="2819" max="2819" width="13.5546875" style="3" customWidth="1"/>
    <col min="2820" max="2820" width="5.44140625" style="3" bestFit="1" customWidth="1"/>
    <col min="2821" max="2821" width="11.33203125" style="3" bestFit="1" customWidth="1"/>
    <col min="2822" max="2822" width="5.6640625" style="3" bestFit="1" customWidth="1"/>
    <col min="2823" max="2823" width="12" style="3" customWidth="1"/>
    <col min="2824" max="2824" width="15.44140625" style="3" bestFit="1" customWidth="1"/>
    <col min="2825" max="2826" width="15.109375" style="3" bestFit="1" customWidth="1"/>
    <col min="2827" max="2827" width="14.33203125" style="3" bestFit="1" customWidth="1"/>
    <col min="2828" max="2828" width="3.109375" style="3" customWidth="1"/>
    <col min="2829" max="2829" width="6.44140625" style="3" customWidth="1"/>
    <col min="2830" max="3069" width="8.88671875" style="3"/>
    <col min="3070" max="3070" width="5.5546875" style="3" bestFit="1" customWidth="1"/>
    <col min="3071" max="3071" width="9.33203125" style="3" customWidth="1"/>
    <col min="3072" max="3072" width="24.6640625" style="3" customWidth="1"/>
    <col min="3073" max="3073" width="11" style="3" bestFit="1" customWidth="1"/>
    <col min="3074" max="3074" width="7.5546875" style="3" bestFit="1" customWidth="1"/>
    <col min="3075" max="3075" width="13.5546875" style="3" customWidth="1"/>
    <col min="3076" max="3076" width="5.44140625" style="3" bestFit="1" customWidth="1"/>
    <col min="3077" max="3077" width="11.33203125" style="3" bestFit="1" customWidth="1"/>
    <col min="3078" max="3078" width="5.6640625" style="3" bestFit="1" customWidth="1"/>
    <col min="3079" max="3079" width="12" style="3" customWidth="1"/>
    <col min="3080" max="3080" width="15.44140625" style="3" bestFit="1" customWidth="1"/>
    <col min="3081" max="3082" width="15.109375" style="3" bestFit="1" customWidth="1"/>
    <col min="3083" max="3083" width="14.33203125" style="3" bestFit="1" customWidth="1"/>
    <col min="3084" max="3084" width="3.109375" style="3" customWidth="1"/>
    <col min="3085" max="3085" width="6.44140625" style="3" customWidth="1"/>
    <col min="3086" max="3325" width="8.88671875" style="3"/>
    <col min="3326" max="3326" width="5.5546875" style="3" bestFit="1" customWidth="1"/>
    <col min="3327" max="3327" width="9.33203125" style="3" customWidth="1"/>
    <col min="3328" max="3328" width="24.6640625" style="3" customWidth="1"/>
    <col min="3329" max="3329" width="11" style="3" bestFit="1" customWidth="1"/>
    <col min="3330" max="3330" width="7.5546875" style="3" bestFit="1" customWidth="1"/>
    <col min="3331" max="3331" width="13.5546875" style="3" customWidth="1"/>
    <col min="3332" max="3332" width="5.44140625" style="3" bestFit="1" customWidth="1"/>
    <col min="3333" max="3333" width="11.33203125" style="3" bestFit="1" customWidth="1"/>
    <col min="3334" max="3334" width="5.6640625" style="3" bestFit="1" customWidth="1"/>
    <col min="3335" max="3335" width="12" style="3" customWidth="1"/>
    <col min="3336" max="3336" width="15.44140625" style="3" bestFit="1" customWidth="1"/>
    <col min="3337" max="3338" width="15.109375" style="3" bestFit="1" customWidth="1"/>
    <col min="3339" max="3339" width="14.33203125" style="3" bestFit="1" customWidth="1"/>
    <col min="3340" max="3340" width="3.109375" style="3" customWidth="1"/>
    <col min="3341" max="3341" width="6.44140625" style="3" customWidth="1"/>
    <col min="3342" max="3581" width="8.88671875" style="3"/>
    <col min="3582" max="3582" width="5.5546875" style="3" bestFit="1" customWidth="1"/>
    <col min="3583" max="3583" width="9.33203125" style="3" customWidth="1"/>
    <col min="3584" max="3584" width="24.6640625" style="3" customWidth="1"/>
    <col min="3585" max="3585" width="11" style="3" bestFit="1" customWidth="1"/>
    <col min="3586" max="3586" width="7.5546875" style="3" bestFit="1" customWidth="1"/>
    <col min="3587" max="3587" width="13.5546875" style="3" customWidth="1"/>
    <col min="3588" max="3588" width="5.44140625" style="3" bestFit="1" customWidth="1"/>
    <col min="3589" max="3589" width="11.33203125" style="3" bestFit="1" customWidth="1"/>
    <col min="3590" max="3590" width="5.6640625" style="3" bestFit="1" customWidth="1"/>
    <col min="3591" max="3591" width="12" style="3" customWidth="1"/>
    <col min="3592" max="3592" width="15.44140625" style="3" bestFit="1" customWidth="1"/>
    <col min="3593" max="3594" width="15.109375" style="3" bestFit="1" customWidth="1"/>
    <col min="3595" max="3595" width="14.33203125" style="3" bestFit="1" customWidth="1"/>
    <col min="3596" max="3596" width="3.109375" style="3" customWidth="1"/>
    <col min="3597" max="3597" width="6.44140625" style="3" customWidth="1"/>
    <col min="3598" max="3837" width="8.88671875" style="3"/>
    <col min="3838" max="3838" width="5.5546875" style="3" bestFit="1" customWidth="1"/>
    <col min="3839" max="3839" width="9.33203125" style="3" customWidth="1"/>
    <col min="3840" max="3840" width="24.6640625" style="3" customWidth="1"/>
    <col min="3841" max="3841" width="11" style="3" bestFit="1" customWidth="1"/>
    <col min="3842" max="3842" width="7.5546875" style="3" bestFit="1" customWidth="1"/>
    <col min="3843" max="3843" width="13.5546875" style="3" customWidth="1"/>
    <col min="3844" max="3844" width="5.44140625" style="3" bestFit="1" customWidth="1"/>
    <col min="3845" max="3845" width="11.33203125" style="3" bestFit="1" customWidth="1"/>
    <col min="3846" max="3846" width="5.6640625" style="3" bestFit="1" customWidth="1"/>
    <col min="3847" max="3847" width="12" style="3" customWidth="1"/>
    <col min="3848" max="3848" width="15.44140625" style="3" bestFit="1" customWidth="1"/>
    <col min="3849" max="3850" width="15.109375" style="3" bestFit="1" customWidth="1"/>
    <col min="3851" max="3851" width="14.33203125" style="3" bestFit="1" customWidth="1"/>
    <col min="3852" max="3852" width="3.109375" style="3" customWidth="1"/>
    <col min="3853" max="3853" width="6.44140625" style="3" customWidth="1"/>
    <col min="3854" max="4093" width="8.88671875" style="3"/>
    <col min="4094" max="4094" width="5.5546875" style="3" bestFit="1" customWidth="1"/>
    <col min="4095" max="4095" width="9.33203125" style="3" customWidth="1"/>
    <col min="4096" max="4096" width="24.6640625" style="3" customWidth="1"/>
    <col min="4097" max="4097" width="11" style="3" bestFit="1" customWidth="1"/>
    <col min="4098" max="4098" width="7.5546875" style="3" bestFit="1" customWidth="1"/>
    <col min="4099" max="4099" width="13.5546875" style="3" customWidth="1"/>
    <col min="4100" max="4100" width="5.44140625" style="3" bestFit="1" customWidth="1"/>
    <col min="4101" max="4101" width="11.33203125" style="3" bestFit="1" customWidth="1"/>
    <col min="4102" max="4102" width="5.6640625" style="3" bestFit="1" customWidth="1"/>
    <col min="4103" max="4103" width="12" style="3" customWidth="1"/>
    <col min="4104" max="4104" width="15.44140625" style="3" bestFit="1" customWidth="1"/>
    <col min="4105" max="4106" width="15.109375" style="3" bestFit="1" customWidth="1"/>
    <col min="4107" max="4107" width="14.33203125" style="3" bestFit="1" customWidth="1"/>
    <col min="4108" max="4108" width="3.109375" style="3" customWidth="1"/>
    <col min="4109" max="4109" width="6.44140625" style="3" customWidth="1"/>
    <col min="4110" max="4349" width="8.88671875" style="3"/>
    <col min="4350" max="4350" width="5.5546875" style="3" bestFit="1" customWidth="1"/>
    <col min="4351" max="4351" width="9.33203125" style="3" customWidth="1"/>
    <col min="4352" max="4352" width="24.6640625" style="3" customWidth="1"/>
    <col min="4353" max="4353" width="11" style="3" bestFit="1" customWidth="1"/>
    <col min="4354" max="4354" width="7.5546875" style="3" bestFit="1" customWidth="1"/>
    <col min="4355" max="4355" width="13.5546875" style="3" customWidth="1"/>
    <col min="4356" max="4356" width="5.44140625" style="3" bestFit="1" customWidth="1"/>
    <col min="4357" max="4357" width="11.33203125" style="3" bestFit="1" customWidth="1"/>
    <col min="4358" max="4358" width="5.6640625" style="3" bestFit="1" customWidth="1"/>
    <col min="4359" max="4359" width="12" style="3" customWidth="1"/>
    <col min="4360" max="4360" width="15.44140625" style="3" bestFit="1" customWidth="1"/>
    <col min="4361" max="4362" width="15.109375" style="3" bestFit="1" customWidth="1"/>
    <col min="4363" max="4363" width="14.33203125" style="3" bestFit="1" customWidth="1"/>
    <col min="4364" max="4364" width="3.109375" style="3" customWidth="1"/>
    <col min="4365" max="4365" width="6.44140625" style="3" customWidth="1"/>
    <col min="4366" max="4605" width="8.88671875" style="3"/>
    <col min="4606" max="4606" width="5.5546875" style="3" bestFit="1" customWidth="1"/>
    <col min="4607" max="4607" width="9.33203125" style="3" customWidth="1"/>
    <col min="4608" max="4608" width="24.6640625" style="3" customWidth="1"/>
    <col min="4609" max="4609" width="11" style="3" bestFit="1" customWidth="1"/>
    <col min="4610" max="4610" width="7.5546875" style="3" bestFit="1" customWidth="1"/>
    <col min="4611" max="4611" width="13.5546875" style="3" customWidth="1"/>
    <col min="4612" max="4612" width="5.44140625" style="3" bestFit="1" customWidth="1"/>
    <col min="4613" max="4613" width="11.33203125" style="3" bestFit="1" customWidth="1"/>
    <col min="4614" max="4614" width="5.6640625" style="3" bestFit="1" customWidth="1"/>
    <col min="4615" max="4615" width="12" style="3" customWidth="1"/>
    <col min="4616" max="4616" width="15.44140625" style="3" bestFit="1" customWidth="1"/>
    <col min="4617" max="4618" width="15.109375" style="3" bestFit="1" customWidth="1"/>
    <col min="4619" max="4619" width="14.33203125" style="3" bestFit="1" customWidth="1"/>
    <col min="4620" max="4620" width="3.109375" style="3" customWidth="1"/>
    <col min="4621" max="4621" width="6.44140625" style="3" customWidth="1"/>
    <col min="4622" max="4861" width="8.88671875" style="3"/>
    <col min="4862" max="4862" width="5.5546875" style="3" bestFit="1" customWidth="1"/>
    <col min="4863" max="4863" width="9.33203125" style="3" customWidth="1"/>
    <col min="4864" max="4864" width="24.6640625" style="3" customWidth="1"/>
    <col min="4865" max="4865" width="11" style="3" bestFit="1" customWidth="1"/>
    <col min="4866" max="4866" width="7.5546875" style="3" bestFit="1" customWidth="1"/>
    <col min="4867" max="4867" width="13.5546875" style="3" customWidth="1"/>
    <col min="4868" max="4868" width="5.44140625" style="3" bestFit="1" customWidth="1"/>
    <col min="4869" max="4869" width="11.33203125" style="3" bestFit="1" customWidth="1"/>
    <col min="4870" max="4870" width="5.6640625" style="3" bestFit="1" customWidth="1"/>
    <col min="4871" max="4871" width="12" style="3" customWidth="1"/>
    <col min="4872" max="4872" width="15.44140625" style="3" bestFit="1" customWidth="1"/>
    <col min="4873" max="4874" width="15.109375" style="3" bestFit="1" customWidth="1"/>
    <col min="4875" max="4875" width="14.33203125" style="3" bestFit="1" customWidth="1"/>
    <col min="4876" max="4876" width="3.109375" style="3" customWidth="1"/>
    <col min="4877" max="4877" width="6.44140625" style="3" customWidth="1"/>
    <col min="4878" max="5117" width="8.88671875" style="3"/>
    <col min="5118" max="5118" width="5.5546875" style="3" bestFit="1" customWidth="1"/>
    <col min="5119" max="5119" width="9.33203125" style="3" customWidth="1"/>
    <col min="5120" max="5120" width="24.6640625" style="3" customWidth="1"/>
    <col min="5121" max="5121" width="11" style="3" bestFit="1" customWidth="1"/>
    <col min="5122" max="5122" width="7.5546875" style="3" bestFit="1" customWidth="1"/>
    <col min="5123" max="5123" width="13.5546875" style="3" customWidth="1"/>
    <col min="5124" max="5124" width="5.44140625" style="3" bestFit="1" customWidth="1"/>
    <col min="5125" max="5125" width="11.33203125" style="3" bestFit="1" customWidth="1"/>
    <col min="5126" max="5126" width="5.6640625" style="3" bestFit="1" customWidth="1"/>
    <col min="5127" max="5127" width="12" style="3" customWidth="1"/>
    <col min="5128" max="5128" width="15.44140625" style="3" bestFit="1" customWidth="1"/>
    <col min="5129" max="5130" width="15.109375" style="3" bestFit="1" customWidth="1"/>
    <col min="5131" max="5131" width="14.33203125" style="3" bestFit="1" customWidth="1"/>
    <col min="5132" max="5132" width="3.109375" style="3" customWidth="1"/>
    <col min="5133" max="5133" width="6.44140625" style="3" customWidth="1"/>
    <col min="5134" max="5373" width="8.88671875" style="3"/>
    <col min="5374" max="5374" width="5.5546875" style="3" bestFit="1" customWidth="1"/>
    <col min="5375" max="5375" width="9.33203125" style="3" customWidth="1"/>
    <col min="5376" max="5376" width="24.6640625" style="3" customWidth="1"/>
    <col min="5377" max="5377" width="11" style="3" bestFit="1" customWidth="1"/>
    <col min="5378" max="5378" width="7.5546875" style="3" bestFit="1" customWidth="1"/>
    <col min="5379" max="5379" width="13.5546875" style="3" customWidth="1"/>
    <col min="5380" max="5380" width="5.44140625" style="3" bestFit="1" customWidth="1"/>
    <col min="5381" max="5381" width="11.33203125" style="3" bestFit="1" customWidth="1"/>
    <col min="5382" max="5382" width="5.6640625" style="3" bestFit="1" customWidth="1"/>
    <col min="5383" max="5383" width="12" style="3" customWidth="1"/>
    <col min="5384" max="5384" width="15.44140625" style="3" bestFit="1" customWidth="1"/>
    <col min="5385" max="5386" width="15.109375" style="3" bestFit="1" customWidth="1"/>
    <col min="5387" max="5387" width="14.33203125" style="3" bestFit="1" customWidth="1"/>
    <col min="5388" max="5388" width="3.109375" style="3" customWidth="1"/>
    <col min="5389" max="5389" width="6.44140625" style="3" customWidth="1"/>
    <col min="5390" max="5629" width="8.88671875" style="3"/>
    <col min="5630" max="5630" width="5.5546875" style="3" bestFit="1" customWidth="1"/>
    <col min="5631" max="5631" width="9.33203125" style="3" customWidth="1"/>
    <col min="5632" max="5632" width="24.6640625" style="3" customWidth="1"/>
    <col min="5633" max="5633" width="11" style="3" bestFit="1" customWidth="1"/>
    <col min="5634" max="5634" width="7.5546875" style="3" bestFit="1" customWidth="1"/>
    <col min="5635" max="5635" width="13.5546875" style="3" customWidth="1"/>
    <col min="5636" max="5636" width="5.44140625" style="3" bestFit="1" customWidth="1"/>
    <col min="5637" max="5637" width="11.33203125" style="3" bestFit="1" customWidth="1"/>
    <col min="5638" max="5638" width="5.6640625" style="3" bestFit="1" customWidth="1"/>
    <col min="5639" max="5639" width="12" style="3" customWidth="1"/>
    <col min="5640" max="5640" width="15.44140625" style="3" bestFit="1" customWidth="1"/>
    <col min="5641" max="5642" width="15.109375" style="3" bestFit="1" customWidth="1"/>
    <col min="5643" max="5643" width="14.33203125" style="3" bestFit="1" customWidth="1"/>
    <col min="5644" max="5644" width="3.109375" style="3" customWidth="1"/>
    <col min="5645" max="5645" width="6.44140625" style="3" customWidth="1"/>
    <col min="5646" max="5885" width="8.88671875" style="3"/>
    <col min="5886" max="5886" width="5.5546875" style="3" bestFit="1" customWidth="1"/>
    <col min="5887" max="5887" width="9.33203125" style="3" customWidth="1"/>
    <col min="5888" max="5888" width="24.6640625" style="3" customWidth="1"/>
    <col min="5889" max="5889" width="11" style="3" bestFit="1" customWidth="1"/>
    <col min="5890" max="5890" width="7.5546875" style="3" bestFit="1" customWidth="1"/>
    <col min="5891" max="5891" width="13.5546875" style="3" customWidth="1"/>
    <col min="5892" max="5892" width="5.44140625" style="3" bestFit="1" customWidth="1"/>
    <col min="5893" max="5893" width="11.33203125" style="3" bestFit="1" customWidth="1"/>
    <col min="5894" max="5894" width="5.6640625" style="3" bestFit="1" customWidth="1"/>
    <col min="5895" max="5895" width="12" style="3" customWidth="1"/>
    <col min="5896" max="5896" width="15.44140625" style="3" bestFit="1" customWidth="1"/>
    <col min="5897" max="5898" width="15.109375" style="3" bestFit="1" customWidth="1"/>
    <col min="5899" max="5899" width="14.33203125" style="3" bestFit="1" customWidth="1"/>
    <col min="5900" max="5900" width="3.109375" style="3" customWidth="1"/>
    <col min="5901" max="5901" width="6.44140625" style="3" customWidth="1"/>
    <col min="5902" max="6141" width="8.88671875" style="3"/>
    <col min="6142" max="6142" width="5.5546875" style="3" bestFit="1" customWidth="1"/>
    <col min="6143" max="6143" width="9.33203125" style="3" customWidth="1"/>
    <col min="6144" max="6144" width="24.6640625" style="3" customWidth="1"/>
    <col min="6145" max="6145" width="11" style="3" bestFit="1" customWidth="1"/>
    <col min="6146" max="6146" width="7.5546875" style="3" bestFit="1" customWidth="1"/>
    <col min="6147" max="6147" width="13.5546875" style="3" customWidth="1"/>
    <col min="6148" max="6148" width="5.44140625" style="3" bestFit="1" customWidth="1"/>
    <col min="6149" max="6149" width="11.33203125" style="3" bestFit="1" customWidth="1"/>
    <col min="6150" max="6150" width="5.6640625" style="3" bestFit="1" customWidth="1"/>
    <col min="6151" max="6151" width="12" style="3" customWidth="1"/>
    <col min="6152" max="6152" width="15.44140625" style="3" bestFit="1" customWidth="1"/>
    <col min="6153" max="6154" width="15.109375" style="3" bestFit="1" customWidth="1"/>
    <col min="6155" max="6155" width="14.33203125" style="3" bestFit="1" customWidth="1"/>
    <col min="6156" max="6156" width="3.109375" style="3" customWidth="1"/>
    <col min="6157" max="6157" width="6.44140625" style="3" customWidth="1"/>
    <col min="6158" max="6397" width="8.88671875" style="3"/>
    <col min="6398" max="6398" width="5.5546875" style="3" bestFit="1" customWidth="1"/>
    <col min="6399" max="6399" width="9.33203125" style="3" customWidth="1"/>
    <col min="6400" max="6400" width="24.6640625" style="3" customWidth="1"/>
    <col min="6401" max="6401" width="11" style="3" bestFit="1" customWidth="1"/>
    <col min="6402" max="6402" width="7.5546875" style="3" bestFit="1" customWidth="1"/>
    <col min="6403" max="6403" width="13.5546875" style="3" customWidth="1"/>
    <col min="6404" max="6404" width="5.44140625" style="3" bestFit="1" customWidth="1"/>
    <col min="6405" max="6405" width="11.33203125" style="3" bestFit="1" customWidth="1"/>
    <col min="6406" max="6406" width="5.6640625" style="3" bestFit="1" customWidth="1"/>
    <col min="6407" max="6407" width="12" style="3" customWidth="1"/>
    <col min="6408" max="6408" width="15.44140625" style="3" bestFit="1" customWidth="1"/>
    <col min="6409" max="6410" width="15.109375" style="3" bestFit="1" customWidth="1"/>
    <col min="6411" max="6411" width="14.33203125" style="3" bestFit="1" customWidth="1"/>
    <col min="6412" max="6412" width="3.109375" style="3" customWidth="1"/>
    <col min="6413" max="6413" width="6.44140625" style="3" customWidth="1"/>
    <col min="6414" max="6653" width="8.88671875" style="3"/>
    <col min="6654" max="6654" width="5.5546875" style="3" bestFit="1" customWidth="1"/>
    <col min="6655" max="6655" width="9.33203125" style="3" customWidth="1"/>
    <col min="6656" max="6656" width="24.6640625" style="3" customWidth="1"/>
    <col min="6657" max="6657" width="11" style="3" bestFit="1" customWidth="1"/>
    <col min="6658" max="6658" width="7.5546875" style="3" bestFit="1" customWidth="1"/>
    <col min="6659" max="6659" width="13.5546875" style="3" customWidth="1"/>
    <col min="6660" max="6660" width="5.44140625" style="3" bestFit="1" customWidth="1"/>
    <col min="6661" max="6661" width="11.33203125" style="3" bestFit="1" customWidth="1"/>
    <col min="6662" max="6662" width="5.6640625" style="3" bestFit="1" customWidth="1"/>
    <col min="6663" max="6663" width="12" style="3" customWidth="1"/>
    <col min="6664" max="6664" width="15.44140625" style="3" bestFit="1" customWidth="1"/>
    <col min="6665" max="6666" width="15.109375" style="3" bestFit="1" customWidth="1"/>
    <col min="6667" max="6667" width="14.33203125" style="3" bestFit="1" customWidth="1"/>
    <col min="6668" max="6668" width="3.109375" style="3" customWidth="1"/>
    <col min="6669" max="6669" width="6.44140625" style="3" customWidth="1"/>
    <col min="6670" max="6909" width="8.88671875" style="3"/>
    <col min="6910" max="6910" width="5.5546875" style="3" bestFit="1" customWidth="1"/>
    <col min="6911" max="6911" width="9.33203125" style="3" customWidth="1"/>
    <col min="6912" max="6912" width="24.6640625" style="3" customWidth="1"/>
    <col min="6913" max="6913" width="11" style="3" bestFit="1" customWidth="1"/>
    <col min="6914" max="6914" width="7.5546875" style="3" bestFit="1" customWidth="1"/>
    <col min="6915" max="6915" width="13.5546875" style="3" customWidth="1"/>
    <col min="6916" max="6916" width="5.44140625" style="3" bestFit="1" customWidth="1"/>
    <col min="6917" max="6917" width="11.33203125" style="3" bestFit="1" customWidth="1"/>
    <col min="6918" max="6918" width="5.6640625" style="3" bestFit="1" customWidth="1"/>
    <col min="6919" max="6919" width="12" style="3" customWidth="1"/>
    <col min="6920" max="6920" width="15.44140625" style="3" bestFit="1" customWidth="1"/>
    <col min="6921" max="6922" width="15.109375" style="3" bestFit="1" customWidth="1"/>
    <col min="6923" max="6923" width="14.33203125" style="3" bestFit="1" customWidth="1"/>
    <col min="6924" max="6924" width="3.109375" style="3" customWidth="1"/>
    <col min="6925" max="6925" width="6.44140625" style="3" customWidth="1"/>
    <col min="6926" max="7165" width="8.88671875" style="3"/>
    <col min="7166" max="7166" width="5.5546875" style="3" bestFit="1" customWidth="1"/>
    <col min="7167" max="7167" width="9.33203125" style="3" customWidth="1"/>
    <col min="7168" max="7168" width="24.6640625" style="3" customWidth="1"/>
    <col min="7169" max="7169" width="11" style="3" bestFit="1" customWidth="1"/>
    <col min="7170" max="7170" width="7.5546875" style="3" bestFit="1" customWidth="1"/>
    <col min="7171" max="7171" width="13.5546875" style="3" customWidth="1"/>
    <col min="7172" max="7172" width="5.44140625" style="3" bestFit="1" customWidth="1"/>
    <col min="7173" max="7173" width="11.33203125" style="3" bestFit="1" customWidth="1"/>
    <col min="7174" max="7174" width="5.6640625" style="3" bestFit="1" customWidth="1"/>
    <col min="7175" max="7175" width="12" style="3" customWidth="1"/>
    <col min="7176" max="7176" width="15.44140625" style="3" bestFit="1" customWidth="1"/>
    <col min="7177" max="7178" width="15.109375" style="3" bestFit="1" customWidth="1"/>
    <col min="7179" max="7179" width="14.33203125" style="3" bestFit="1" customWidth="1"/>
    <col min="7180" max="7180" width="3.109375" style="3" customWidth="1"/>
    <col min="7181" max="7181" width="6.44140625" style="3" customWidth="1"/>
    <col min="7182" max="7421" width="8.88671875" style="3"/>
    <col min="7422" max="7422" width="5.5546875" style="3" bestFit="1" customWidth="1"/>
    <col min="7423" max="7423" width="9.33203125" style="3" customWidth="1"/>
    <col min="7424" max="7424" width="24.6640625" style="3" customWidth="1"/>
    <col min="7425" max="7425" width="11" style="3" bestFit="1" customWidth="1"/>
    <col min="7426" max="7426" width="7.5546875" style="3" bestFit="1" customWidth="1"/>
    <col min="7427" max="7427" width="13.5546875" style="3" customWidth="1"/>
    <col min="7428" max="7428" width="5.44140625" style="3" bestFit="1" customWidth="1"/>
    <col min="7429" max="7429" width="11.33203125" style="3" bestFit="1" customWidth="1"/>
    <col min="7430" max="7430" width="5.6640625" style="3" bestFit="1" customWidth="1"/>
    <col min="7431" max="7431" width="12" style="3" customWidth="1"/>
    <col min="7432" max="7432" width="15.44140625" style="3" bestFit="1" customWidth="1"/>
    <col min="7433" max="7434" width="15.109375" style="3" bestFit="1" customWidth="1"/>
    <col min="7435" max="7435" width="14.33203125" style="3" bestFit="1" customWidth="1"/>
    <col min="7436" max="7436" width="3.109375" style="3" customWidth="1"/>
    <col min="7437" max="7437" width="6.44140625" style="3" customWidth="1"/>
    <col min="7438" max="7677" width="8.88671875" style="3"/>
    <col min="7678" max="7678" width="5.5546875" style="3" bestFit="1" customWidth="1"/>
    <col min="7679" max="7679" width="9.33203125" style="3" customWidth="1"/>
    <col min="7680" max="7680" width="24.6640625" style="3" customWidth="1"/>
    <col min="7681" max="7681" width="11" style="3" bestFit="1" customWidth="1"/>
    <col min="7682" max="7682" width="7.5546875" style="3" bestFit="1" customWidth="1"/>
    <col min="7683" max="7683" width="13.5546875" style="3" customWidth="1"/>
    <col min="7684" max="7684" width="5.44140625" style="3" bestFit="1" customWidth="1"/>
    <col min="7685" max="7685" width="11.33203125" style="3" bestFit="1" customWidth="1"/>
    <col min="7686" max="7686" width="5.6640625" style="3" bestFit="1" customWidth="1"/>
    <col min="7687" max="7687" width="12" style="3" customWidth="1"/>
    <col min="7688" max="7688" width="15.44140625" style="3" bestFit="1" customWidth="1"/>
    <col min="7689" max="7690" width="15.109375" style="3" bestFit="1" customWidth="1"/>
    <col min="7691" max="7691" width="14.33203125" style="3" bestFit="1" customWidth="1"/>
    <col min="7692" max="7692" width="3.109375" style="3" customWidth="1"/>
    <col min="7693" max="7693" width="6.44140625" style="3" customWidth="1"/>
    <col min="7694" max="7933" width="8.88671875" style="3"/>
    <col min="7934" max="7934" width="5.5546875" style="3" bestFit="1" customWidth="1"/>
    <col min="7935" max="7935" width="9.33203125" style="3" customWidth="1"/>
    <col min="7936" max="7936" width="24.6640625" style="3" customWidth="1"/>
    <col min="7937" max="7937" width="11" style="3" bestFit="1" customWidth="1"/>
    <col min="7938" max="7938" width="7.5546875" style="3" bestFit="1" customWidth="1"/>
    <col min="7939" max="7939" width="13.5546875" style="3" customWidth="1"/>
    <col min="7940" max="7940" width="5.44140625" style="3" bestFit="1" customWidth="1"/>
    <col min="7941" max="7941" width="11.33203125" style="3" bestFit="1" customWidth="1"/>
    <col min="7942" max="7942" width="5.6640625" style="3" bestFit="1" customWidth="1"/>
    <col min="7943" max="7943" width="12" style="3" customWidth="1"/>
    <col min="7944" max="7944" width="15.44140625" style="3" bestFit="1" customWidth="1"/>
    <col min="7945" max="7946" width="15.109375" style="3" bestFit="1" customWidth="1"/>
    <col min="7947" max="7947" width="14.33203125" style="3" bestFit="1" customWidth="1"/>
    <col min="7948" max="7948" width="3.109375" style="3" customWidth="1"/>
    <col min="7949" max="7949" width="6.44140625" style="3" customWidth="1"/>
    <col min="7950" max="8189" width="8.88671875" style="3"/>
    <col min="8190" max="8190" width="5.5546875" style="3" bestFit="1" customWidth="1"/>
    <col min="8191" max="8191" width="9.33203125" style="3" customWidth="1"/>
    <col min="8192" max="8192" width="24.6640625" style="3" customWidth="1"/>
    <col min="8193" max="8193" width="11" style="3" bestFit="1" customWidth="1"/>
    <col min="8194" max="8194" width="7.5546875" style="3" bestFit="1" customWidth="1"/>
    <col min="8195" max="8195" width="13.5546875" style="3" customWidth="1"/>
    <col min="8196" max="8196" width="5.44140625" style="3" bestFit="1" customWidth="1"/>
    <col min="8197" max="8197" width="11.33203125" style="3" bestFit="1" customWidth="1"/>
    <col min="8198" max="8198" width="5.6640625" style="3" bestFit="1" customWidth="1"/>
    <col min="8199" max="8199" width="12" style="3" customWidth="1"/>
    <col min="8200" max="8200" width="15.44140625" style="3" bestFit="1" customWidth="1"/>
    <col min="8201" max="8202" width="15.109375" style="3" bestFit="1" customWidth="1"/>
    <col min="8203" max="8203" width="14.33203125" style="3" bestFit="1" customWidth="1"/>
    <col min="8204" max="8204" width="3.109375" style="3" customWidth="1"/>
    <col min="8205" max="8205" width="6.44140625" style="3" customWidth="1"/>
    <col min="8206" max="8445" width="8.88671875" style="3"/>
    <col min="8446" max="8446" width="5.5546875" style="3" bestFit="1" customWidth="1"/>
    <col min="8447" max="8447" width="9.33203125" style="3" customWidth="1"/>
    <col min="8448" max="8448" width="24.6640625" style="3" customWidth="1"/>
    <col min="8449" max="8449" width="11" style="3" bestFit="1" customWidth="1"/>
    <col min="8450" max="8450" width="7.5546875" style="3" bestFit="1" customWidth="1"/>
    <col min="8451" max="8451" width="13.5546875" style="3" customWidth="1"/>
    <col min="8452" max="8452" width="5.44140625" style="3" bestFit="1" customWidth="1"/>
    <col min="8453" max="8453" width="11.33203125" style="3" bestFit="1" customWidth="1"/>
    <col min="8454" max="8454" width="5.6640625" style="3" bestFit="1" customWidth="1"/>
    <col min="8455" max="8455" width="12" style="3" customWidth="1"/>
    <col min="8456" max="8456" width="15.44140625" style="3" bestFit="1" customWidth="1"/>
    <col min="8457" max="8458" width="15.109375" style="3" bestFit="1" customWidth="1"/>
    <col min="8459" max="8459" width="14.33203125" style="3" bestFit="1" customWidth="1"/>
    <col min="8460" max="8460" width="3.109375" style="3" customWidth="1"/>
    <col min="8461" max="8461" width="6.44140625" style="3" customWidth="1"/>
    <col min="8462" max="8701" width="8.88671875" style="3"/>
    <col min="8702" max="8702" width="5.5546875" style="3" bestFit="1" customWidth="1"/>
    <col min="8703" max="8703" width="9.33203125" style="3" customWidth="1"/>
    <col min="8704" max="8704" width="24.6640625" style="3" customWidth="1"/>
    <col min="8705" max="8705" width="11" style="3" bestFit="1" customWidth="1"/>
    <col min="8706" max="8706" width="7.5546875" style="3" bestFit="1" customWidth="1"/>
    <col min="8707" max="8707" width="13.5546875" style="3" customWidth="1"/>
    <col min="8708" max="8708" width="5.44140625" style="3" bestFit="1" customWidth="1"/>
    <col min="8709" max="8709" width="11.33203125" style="3" bestFit="1" customWidth="1"/>
    <col min="8710" max="8710" width="5.6640625" style="3" bestFit="1" customWidth="1"/>
    <col min="8711" max="8711" width="12" style="3" customWidth="1"/>
    <col min="8712" max="8712" width="15.44140625" style="3" bestFit="1" customWidth="1"/>
    <col min="8713" max="8714" width="15.109375" style="3" bestFit="1" customWidth="1"/>
    <col min="8715" max="8715" width="14.33203125" style="3" bestFit="1" customWidth="1"/>
    <col min="8716" max="8716" width="3.109375" style="3" customWidth="1"/>
    <col min="8717" max="8717" width="6.44140625" style="3" customWidth="1"/>
    <col min="8718" max="8957" width="8.88671875" style="3"/>
    <col min="8958" max="8958" width="5.5546875" style="3" bestFit="1" customWidth="1"/>
    <col min="8959" max="8959" width="9.33203125" style="3" customWidth="1"/>
    <col min="8960" max="8960" width="24.6640625" style="3" customWidth="1"/>
    <col min="8961" max="8961" width="11" style="3" bestFit="1" customWidth="1"/>
    <col min="8962" max="8962" width="7.5546875" style="3" bestFit="1" customWidth="1"/>
    <col min="8963" max="8963" width="13.5546875" style="3" customWidth="1"/>
    <col min="8964" max="8964" width="5.44140625" style="3" bestFit="1" customWidth="1"/>
    <col min="8965" max="8965" width="11.33203125" style="3" bestFit="1" customWidth="1"/>
    <col min="8966" max="8966" width="5.6640625" style="3" bestFit="1" customWidth="1"/>
    <col min="8967" max="8967" width="12" style="3" customWidth="1"/>
    <col min="8968" max="8968" width="15.44140625" style="3" bestFit="1" customWidth="1"/>
    <col min="8969" max="8970" width="15.109375" style="3" bestFit="1" customWidth="1"/>
    <col min="8971" max="8971" width="14.33203125" style="3" bestFit="1" customWidth="1"/>
    <col min="8972" max="8972" width="3.109375" style="3" customWidth="1"/>
    <col min="8973" max="8973" width="6.44140625" style="3" customWidth="1"/>
    <col min="8974" max="9213" width="8.88671875" style="3"/>
    <col min="9214" max="9214" width="5.5546875" style="3" bestFit="1" customWidth="1"/>
    <col min="9215" max="9215" width="9.33203125" style="3" customWidth="1"/>
    <col min="9216" max="9216" width="24.6640625" style="3" customWidth="1"/>
    <col min="9217" max="9217" width="11" style="3" bestFit="1" customWidth="1"/>
    <col min="9218" max="9218" width="7.5546875" style="3" bestFit="1" customWidth="1"/>
    <col min="9219" max="9219" width="13.5546875" style="3" customWidth="1"/>
    <col min="9220" max="9220" width="5.44140625" style="3" bestFit="1" customWidth="1"/>
    <col min="9221" max="9221" width="11.33203125" style="3" bestFit="1" customWidth="1"/>
    <col min="9222" max="9222" width="5.6640625" style="3" bestFit="1" customWidth="1"/>
    <col min="9223" max="9223" width="12" style="3" customWidth="1"/>
    <col min="9224" max="9224" width="15.44140625" style="3" bestFit="1" customWidth="1"/>
    <col min="9225" max="9226" width="15.109375" style="3" bestFit="1" customWidth="1"/>
    <col min="9227" max="9227" width="14.33203125" style="3" bestFit="1" customWidth="1"/>
    <col min="9228" max="9228" width="3.109375" style="3" customWidth="1"/>
    <col min="9229" max="9229" width="6.44140625" style="3" customWidth="1"/>
    <col min="9230" max="9469" width="8.88671875" style="3"/>
    <col min="9470" max="9470" width="5.5546875" style="3" bestFit="1" customWidth="1"/>
    <col min="9471" max="9471" width="9.33203125" style="3" customWidth="1"/>
    <col min="9472" max="9472" width="24.6640625" style="3" customWidth="1"/>
    <col min="9473" max="9473" width="11" style="3" bestFit="1" customWidth="1"/>
    <col min="9474" max="9474" width="7.5546875" style="3" bestFit="1" customWidth="1"/>
    <col min="9475" max="9475" width="13.5546875" style="3" customWidth="1"/>
    <col min="9476" max="9476" width="5.44140625" style="3" bestFit="1" customWidth="1"/>
    <col min="9477" max="9477" width="11.33203125" style="3" bestFit="1" customWidth="1"/>
    <col min="9478" max="9478" width="5.6640625" style="3" bestFit="1" customWidth="1"/>
    <col min="9479" max="9479" width="12" style="3" customWidth="1"/>
    <col min="9480" max="9480" width="15.44140625" style="3" bestFit="1" customWidth="1"/>
    <col min="9481" max="9482" width="15.109375" style="3" bestFit="1" customWidth="1"/>
    <col min="9483" max="9483" width="14.33203125" style="3" bestFit="1" customWidth="1"/>
    <col min="9484" max="9484" width="3.109375" style="3" customWidth="1"/>
    <col min="9485" max="9485" width="6.44140625" style="3" customWidth="1"/>
    <col min="9486" max="9725" width="8.88671875" style="3"/>
    <col min="9726" max="9726" width="5.5546875" style="3" bestFit="1" customWidth="1"/>
    <col min="9727" max="9727" width="9.33203125" style="3" customWidth="1"/>
    <col min="9728" max="9728" width="24.6640625" style="3" customWidth="1"/>
    <col min="9729" max="9729" width="11" style="3" bestFit="1" customWidth="1"/>
    <col min="9730" max="9730" width="7.5546875" style="3" bestFit="1" customWidth="1"/>
    <col min="9731" max="9731" width="13.5546875" style="3" customWidth="1"/>
    <col min="9732" max="9732" width="5.44140625" style="3" bestFit="1" customWidth="1"/>
    <col min="9733" max="9733" width="11.33203125" style="3" bestFit="1" customWidth="1"/>
    <col min="9734" max="9734" width="5.6640625" style="3" bestFit="1" customWidth="1"/>
    <col min="9735" max="9735" width="12" style="3" customWidth="1"/>
    <col min="9736" max="9736" width="15.44140625" style="3" bestFit="1" customWidth="1"/>
    <col min="9737" max="9738" width="15.109375" style="3" bestFit="1" customWidth="1"/>
    <col min="9739" max="9739" width="14.33203125" style="3" bestFit="1" customWidth="1"/>
    <col min="9740" max="9740" width="3.109375" style="3" customWidth="1"/>
    <col min="9741" max="9741" width="6.44140625" style="3" customWidth="1"/>
    <col min="9742" max="9981" width="8.88671875" style="3"/>
    <col min="9982" max="9982" width="5.5546875" style="3" bestFit="1" customWidth="1"/>
    <col min="9983" max="9983" width="9.33203125" style="3" customWidth="1"/>
    <col min="9984" max="9984" width="24.6640625" style="3" customWidth="1"/>
    <col min="9985" max="9985" width="11" style="3" bestFit="1" customWidth="1"/>
    <col min="9986" max="9986" width="7.5546875" style="3" bestFit="1" customWidth="1"/>
    <col min="9987" max="9987" width="13.5546875" style="3" customWidth="1"/>
    <col min="9988" max="9988" width="5.44140625" style="3" bestFit="1" customWidth="1"/>
    <col min="9989" max="9989" width="11.33203125" style="3" bestFit="1" customWidth="1"/>
    <col min="9990" max="9990" width="5.6640625" style="3" bestFit="1" customWidth="1"/>
    <col min="9991" max="9991" width="12" style="3" customWidth="1"/>
    <col min="9992" max="9992" width="15.44140625" style="3" bestFit="1" customWidth="1"/>
    <col min="9993" max="9994" width="15.109375" style="3" bestFit="1" customWidth="1"/>
    <col min="9995" max="9995" width="14.33203125" style="3" bestFit="1" customWidth="1"/>
    <col min="9996" max="9996" width="3.109375" style="3" customWidth="1"/>
    <col min="9997" max="9997" width="6.44140625" style="3" customWidth="1"/>
    <col min="9998" max="10237" width="8.88671875" style="3"/>
    <col min="10238" max="10238" width="5.5546875" style="3" bestFit="1" customWidth="1"/>
    <col min="10239" max="10239" width="9.33203125" style="3" customWidth="1"/>
    <col min="10240" max="10240" width="24.6640625" style="3" customWidth="1"/>
    <col min="10241" max="10241" width="11" style="3" bestFit="1" customWidth="1"/>
    <col min="10242" max="10242" width="7.5546875" style="3" bestFit="1" customWidth="1"/>
    <col min="10243" max="10243" width="13.5546875" style="3" customWidth="1"/>
    <col min="10244" max="10244" width="5.44140625" style="3" bestFit="1" customWidth="1"/>
    <col min="10245" max="10245" width="11.33203125" style="3" bestFit="1" customWidth="1"/>
    <col min="10246" max="10246" width="5.6640625" style="3" bestFit="1" customWidth="1"/>
    <col min="10247" max="10247" width="12" style="3" customWidth="1"/>
    <col min="10248" max="10248" width="15.44140625" style="3" bestFit="1" customWidth="1"/>
    <col min="10249" max="10250" width="15.109375" style="3" bestFit="1" customWidth="1"/>
    <col min="10251" max="10251" width="14.33203125" style="3" bestFit="1" customWidth="1"/>
    <col min="10252" max="10252" width="3.109375" style="3" customWidth="1"/>
    <col min="10253" max="10253" width="6.44140625" style="3" customWidth="1"/>
    <col min="10254" max="10493" width="8.88671875" style="3"/>
    <col min="10494" max="10494" width="5.5546875" style="3" bestFit="1" customWidth="1"/>
    <col min="10495" max="10495" width="9.33203125" style="3" customWidth="1"/>
    <col min="10496" max="10496" width="24.6640625" style="3" customWidth="1"/>
    <col min="10497" max="10497" width="11" style="3" bestFit="1" customWidth="1"/>
    <col min="10498" max="10498" width="7.5546875" style="3" bestFit="1" customWidth="1"/>
    <col min="10499" max="10499" width="13.5546875" style="3" customWidth="1"/>
    <col min="10500" max="10500" width="5.44140625" style="3" bestFit="1" customWidth="1"/>
    <col min="10501" max="10501" width="11.33203125" style="3" bestFit="1" customWidth="1"/>
    <col min="10502" max="10502" width="5.6640625" style="3" bestFit="1" customWidth="1"/>
    <col min="10503" max="10503" width="12" style="3" customWidth="1"/>
    <col min="10504" max="10504" width="15.44140625" style="3" bestFit="1" customWidth="1"/>
    <col min="10505" max="10506" width="15.109375" style="3" bestFit="1" customWidth="1"/>
    <col min="10507" max="10507" width="14.33203125" style="3" bestFit="1" customWidth="1"/>
    <col min="10508" max="10508" width="3.109375" style="3" customWidth="1"/>
    <col min="10509" max="10509" width="6.44140625" style="3" customWidth="1"/>
    <col min="10510" max="10749" width="8.88671875" style="3"/>
    <col min="10750" max="10750" width="5.5546875" style="3" bestFit="1" customWidth="1"/>
    <col min="10751" max="10751" width="9.33203125" style="3" customWidth="1"/>
    <col min="10752" max="10752" width="24.6640625" style="3" customWidth="1"/>
    <col min="10753" max="10753" width="11" style="3" bestFit="1" customWidth="1"/>
    <col min="10754" max="10754" width="7.5546875" style="3" bestFit="1" customWidth="1"/>
    <col min="10755" max="10755" width="13.5546875" style="3" customWidth="1"/>
    <col min="10756" max="10756" width="5.44140625" style="3" bestFit="1" customWidth="1"/>
    <col min="10757" max="10757" width="11.33203125" style="3" bestFit="1" customWidth="1"/>
    <col min="10758" max="10758" width="5.6640625" style="3" bestFit="1" customWidth="1"/>
    <col min="10759" max="10759" width="12" style="3" customWidth="1"/>
    <col min="10760" max="10760" width="15.44140625" style="3" bestFit="1" customWidth="1"/>
    <col min="10761" max="10762" width="15.109375" style="3" bestFit="1" customWidth="1"/>
    <col min="10763" max="10763" width="14.33203125" style="3" bestFit="1" customWidth="1"/>
    <col min="10764" max="10764" width="3.109375" style="3" customWidth="1"/>
    <col min="10765" max="10765" width="6.44140625" style="3" customWidth="1"/>
    <col min="10766" max="11005" width="8.88671875" style="3"/>
    <col min="11006" max="11006" width="5.5546875" style="3" bestFit="1" customWidth="1"/>
    <col min="11007" max="11007" width="9.33203125" style="3" customWidth="1"/>
    <col min="11008" max="11008" width="24.6640625" style="3" customWidth="1"/>
    <col min="11009" max="11009" width="11" style="3" bestFit="1" customWidth="1"/>
    <col min="11010" max="11010" width="7.5546875" style="3" bestFit="1" customWidth="1"/>
    <col min="11011" max="11011" width="13.5546875" style="3" customWidth="1"/>
    <col min="11012" max="11012" width="5.44140625" style="3" bestFit="1" customWidth="1"/>
    <col min="11013" max="11013" width="11.33203125" style="3" bestFit="1" customWidth="1"/>
    <col min="11014" max="11014" width="5.6640625" style="3" bestFit="1" customWidth="1"/>
    <col min="11015" max="11015" width="12" style="3" customWidth="1"/>
    <col min="11016" max="11016" width="15.44140625" style="3" bestFit="1" customWidth="1"/>
    <col min="11017" max="11018" width="15.109375" style="3" bestFit="1" customWidth="1"/>
    <col min="11019" max="11019" width="14.33203125" style="3" bestFit="1" customWidth="1"/>
    <col min="11020" max="11020" width="3.109375" style="3" customWidth="1"/>
    <col min="11021" max="11021" width="6.44140625" style="3" customWidth="1"/>
    <col min="11022" max="11261" width="8.88671875" style="3"/>
    <col min="11262" max="11262" width="5.5546875" style="3" bestFit="1" customWidth="1"/>
    <col min="11263" max="11263" width="9.33203125" style="3" customWidth="1"/>
    <col min="11264" max="11264" width="24.6640625" style="3" customWidth="1"/>
    <col min="11265" max="11265" width="11" style="3" bestFit="1" customWidth="1"/>
    <col min="11266" max="11266" width="7.5546875" style="3" bestFit="1" customWidth="1"/>
    <col min="11267" max="11267" width="13.5546875" style="3" customWidth="1"/>
    <col min="11268" max="11268" width="5.44140625" style="3" bestFit="1" customWidth="1"/>
    <col min="11269" max="11269" width="11.33203125" style="3" bestFit="1" customWidth="1"/>
    <col min="11270" max="11270" width="5.6640625" style="3" bestFit="1" customWidth="1"/>
    <col min="11271" max="11271" width="12" style="3" customWidth="1"/>
    <col min="11272" max="11272" width="15.44140625" style="3" bestFit="1" customWidth="1"/>
    <col min="11273" max="11274" width="15.109375" style="3" bestFit="1" customWidth="1"/>
    <col min="11275" max="11275" width="14.33203125" style="3" bestFit="1" customWidth="1"/>
    <col min="11276" max="11276" width="3.109375" style="3" customWidth="1"/>
    <col min="11277" max="11277" width="6.44140625" style="3" customWidth="1"/>
    <col min="11278" max="11517" width="8.88671875" style="3"/>
    <col min="11518" max="11518" width="5.5546875" style="3" bestFit="1" customWidth="1"/>
    <col min="11519" max="11519" width="9.33203125" style="3" customWidth="1"/>
    <col min="11520" max="11520" width="24.6640625" style="3" customWidth="1"/>
    <col min="11521" max="11521" width="11" style="3" bestFit="1" customWidth="1"/>
    <col min="11522" max="11522" width="7.5546875" style="3" bestFit="1" customWidth="1"/>
    <col min="11523" max="11523" width="13.5546875" style="3" customWidth="1"/>
    <col min="11524" max="11524" width="5.44140625" style="3" bestFit="1" customWidth="1"/>
    <col min="11525" max="11525" width="11.33203125" style="3" bestFit="1" customWidth="1"/>
    <col min="11526" max="11526" width="5.6640625" style="3" bestFit="1" customWidth="1"/>
    <col min="11527" max="11527" width="12" style="3" customWidth="1"/>
    <col min="11528" max="11528" width="15.44140625" style="3" bestFit="1" customWidth="1"/>
    <col min="11529" max="11530" width="15.109375" style="3" bestFit="1" customWidth="1"/>
    <col min="11531" max="11531" width="14.33203125" style="3" bestFit="1" customWidth="1"/>
    <col min="11532" max="11532" width="3.109375" style="3" customWidth="1"/>
    <col min="11533" max="11533" width="6.44140625" style="3" customWidth="1"/>
    <col min="11534" max="11773" width="8.88671875" style="3"/>
    <col min="11774" max="11774" width="5.5546875" style="3" bestFit="1" customWidth="1"/>
    <col min="11775" max="11775" width="9.33203125" style="3" customWidth="1"/>
    <col min="11776" max="11776" width="24.6640625" style="3" customWidth="1"/>
    <col min="11777" max="11777" width="11" style="3" bestFit="1" customWidth="1"/>
    <col min="11778" max="11778" width="7.5546875" style="3" bestFit="1" customWidth="1"/>
    <col min="11779" max="11779" width="13.5546875" style="3" customWidth="1"/>
    <col min="11780" max="11780" width="5.44140625" style="3" bestFit="1" customWidth="1"/>
    <col min="11781" max="11781" width="11.33203125" style="3" bestFit="1" customWidth="1"/>
    <col min="11782" max="11782" width="5.6640625" style="3" bestFit="1" customWidth="1"/>
    <col min="11783" max="11783" width="12" style="3" customWidth="1"/>
    <col min="11784" max="11784" width="15.44140625" style="3" bestFit="1" customWidth="1"/>
    <col min="11785" max="11786" width="15.109375" style="3" bestFit="1" customWidth="1"/>
    <col min="11787" max="11787" width="14.33203125" style="3" bestFit="1" customWidth="1"/>
    <col min="11788" max="11788" width="3.109375" style="3" customWidth="1"/>
    <col min="11789" max="11789" width="6.44140625" style="3" customWidth="1"/>
    <col min="11790" max="12029" width="8.88671875" style="3"/>
    <col min="12030" max="12030" width="5.5546875" style="3" bestFit="1" customWidth="1"/>
    <col min="12031" max="12031" width="9.33203125" style="3" customWidth="1"/>
    <col min="12032" max="12032" width="24.6640625" style="3" customWidth="1"/>
    <col min="12033" max="12033" width="11" style="3" bestFit="1" customWidth="1"/>
    <col min="12034" max="12034" width="7.5546875" style="3" bestFit="1" customWidth="1"/>
    <col min="12035" max="12035" width="13.5546875" style="3" customWidth="1"/>
    <col min="12036" max="12036" width="5.44140625" style="3" bestFit="1" customWidth="1"/>
    <col min="12037" max="12037" width="11.33203125" style="3" bestFit="1" customWidth="1"/>
    <col min="12038" max="12038" width="5.6640625" style="3" bestFit="1" customWidth="1"/>
    <col min="12039" max="12039" width="12" style="3" customWidth="1"/>
    <col min="12040" max="12040" width="15.44140625" style="3" bestFit="1" customWidth="1"/>
    <col min="12041" max="12042" width="15.109375" style="3" bestFit="1" customWidth="1"/>
    <col min="12043" max="12043" width="14.33203125" style="3" bestFit="1" customWidth="1"/>
    <col min="12044" max="12044" width="3.109375" style="3" customWidth="1"/>
    <col min="12045" max="12045" width="6.44140625" style="3" customWidth="1"/>
    <col min="12046" max="12285" width="8.88671875" style="3"/>
    <col min="12286" max="12286" width="5.5546875" style="3" bestFit="1" customWidth="1"/>
    <col min="12287" max="12287" width="9.33203125" style="3" customWidth="1"/>
    <col min="12288" max="12288" width="24.6640625" style="3" customWidth="1"/>
    <col min="12289" max="12289" width="11" style="3" bestFit="1" customWidth="1"/>
    <col min="12290" max="12290" width="7.5546875" style="3" bestFit="1" customWidth="1"/>
    <col min="12291" max="12291" width="13.5546875" style="3" customWidth="1"/>
    <col min="12292" max="12292" width="5.44140625" style="3" bestFit="1" customWidth="1"/>
    <col min="12293" max="12293" width="11.33203125" style="3" bestFit="1" customWidth="1"/>
    <col min="12294" max="12294" width="5.6640625" style="3" bestFit="1" customWidth="1"/>
    <col min="12295" max="12295" width="12" style="3" customWidth="1"/>
    <col min="12296" max="12296" width="15.44140625" style="3" bestFit="1" customWidth="1"/>
    <col min="12297" max="12298" width="15.109375" style="3" bestFit="1" customWidth="1"/>
    <col min="12299" max="12299" width="14.33203125" style="3" bestFit="1" customWidth="1"/>
    <col min="12300" max="12300" width="3.109375" style="3" customWidth="1"/>
    <col min="12301" max="12301" width="6.44140625" style="3" customWidth="1"/>
    <col min="12302" max="12541" width="8.88671875" style="3"/>
    <col min="12542" max="12542" width="5.5546875" style="3" bestFit="1" customWidth="1"/>
    <col min="12543" max="12543" width="9.33203125" style="3" customWidth="1"/>
    <col min="12544" max="12544" width="24.6640625" style="3" customWidth="1"/>
    <col min="12545" max="12545" width="11" style="3" bestFit="1" customWidth="1"/>
    <col min="12546" max="12546" width="7.5546875" style="3" bestFit="1" customWidth="1"/>
    <col min="12547" max="12547" width="13.5546875" style="3" customWidth="1"/>
    <col min="12548" max="12548" width="5.44140625" style="3" bestFit="1" customWidth="1"/>
    <col min="12549" max="12549" width="11.33203125" style="3" bestFit="1" customWidth="1"/>
    <col min="12550" max="12550" width="5.6640625" style="3" bestFit="1" customWidth="1"/>
    <col min="12551" max="12551" width="12" style="3" customWidth="1"/>
    <col min="12552" max="12552" width="15.44140625" style="3" bestFit="1" customWidth="1"/>
    <col min="12553" max="12554" width="15.109375" style="3" bestFit="1" customWidth="1"/>
    <col min="12555" max="12555" width="14.33203125" style="3" bestFit="1" customWidth="1"/>
    <col min="12556" max="12556" width="3.109375" style="3" customWidth="1"/>
    <col min="12557" max="12557" width="6.44140625" style="3" customWidth="1"/>
    <col min="12558" max="12797" width="8.88671875" style="3"/>
    <col min="12798" max="12798" width="5.5546875" style="3" bestFit="1" customWidth="1"/>
    <col min="12799" max="12799" width="9.33203125" style="3" customWidth="1"/>
    <col min="12800" max="12800" width="24.6640625" style="3" customWidth="1"/>
    <col min="12801" max="12801" width="11" style="3" bestFit="1" customWidth="1"/>
    <col min="12802" max="12802" width="7.5546875" style="3" bestFit="1" customWidth="1"/>
    <col min="12803" max="12803" width="13.5546875" style="3" customWidth="1"/>
    <col min="12804" max="12804" width="5.44140625" style="3" bestFit="1" customWidth="1"/>
    <col min="12805" max="12805" width="11.33203125" style="3" bestFit="1" customWidth="1"/>
    <col min="12806" max="12806" width="5.6640625" style="3" bestFit="1" customWidth="1"/>
    <col min="12807" max="12807" width="12" style="3" customWidth="1"/>
    <col min="12808" max="12808" width="15.44140625" style="3" bestFit="1" customWidth="1"/>
    <col min="12809" max="12810" width="15.109375" style="3" bestFit="1" customWidth="1"/>
    <col min="12811" max="12811" width="14.33203125" style="3" bestFit="1" customWidth="1"/>
    <col min="12812" max="12812" width="3.109375" style="3" customWidth="1"/>
    <col min="12813" max="12813" width="6.44140625" style="3" customWidth="1"/>
    <col min="12814" max="13053" width="8.88671875" style="3"/>
    <col min="13054" max="13054" width="5.5546875" style="3" bestFit="1" customWidth="1"/>
    <col min="13055" max="13055" width="9.33203125" style="3" customWidth="1"/>
    <col min="13056" max="13056" width="24.6640625" style="3" customWidth="1"/>
    <col min="13057" max="13057" width="11" style="3" bestFit="1" customWidth="1"/>
    <col min="13058" max="13058" width="7.5546875" style="3" bestFit="1" customWidth="1"/>
    <col min="13059" max="13059" width="13.5546875" style="3" customWidth="1"/>
    <col min="13060" max="13060" width="5.44140625" style="3" bestFit="1" customWidth="1"/>
    <col min="13061" max="13061" width="11.33203125" style="3" bestFit="1" customWidth="1"/>
    <col min="13062" max="13062" width="5.6640625" style="3" bestFit="1" customWidth="1"/>
    <col min="13063" max="13063" width="12" style="3" customWidth="1"/>
    <col min="13064" max="13064" width="15.44140625" style="3" bestFit="1" customWidth="1"/>
    <col min="13065" max="13066" width="15.109375" style="3" bestFit="1" customWidth="1"/>
    <col min="13067" max="13067" width="14.33203125" style="3" bestFit="1" customWidth="1"/>
    <col min="13068" max="13068" width="3.109375" style="3" customWidth="1"/>
    <col min="13069" max="13069" width="6.44140625" style="3" customWidth="1"/>
    <col min="13070" max="13309" width="8.88671875" style="3"/>
    <col min="13310" max="13310" width="5.5546875" style="3" bestFit="1" customWidth="1"/>
    <col min="13311" max="13311" width="9.33203125" style="3" customWidth="1"/>
    <col min="13312" max="13312" width="24.6640625" style="3" customWidth="1"/>
    <col min="13313" max="13313" width="11" style="3" bestFit="1" customWidth="1"/>
    <col min="13314" max="13314" width="7.5546875" style="3" bestFit="1" customWidth="1"/>
    <col min="13315" max="13315" width="13.5546875" style="3" customWidth="1"/>
    <col min="13316" max="13316" width="5.44140625" style="3" bestFit="1" customWidth="1"/>
    <col min="13317" max="13317" width="11.33203125" style="3" bestFit="1" customWidth="1"/>
    <col min="13318" max="13318" width="5.6640625" style="3" bestFit="1" customWidth="1"/>
    <col min="13319" max="13319" width="12" style="3" customWidth="1"/>
    <col min="13320" max="13320" width="15.44140625" style="3" bestFit="1" customWidth="1"/>
    <col min="13321" max="13322" width="15.109375" style="3" bestFit="1" customWidth="1"/>
    <col min="13323" max="13323" width="14.33203125" style="3" bestFit="1" customWidth="1"/>
    <col min="13324" max="13324" width="3.109375" style="3" customWidth="1"/>
    <col min="13325" max="13325" width="6.44140625" style="3" customWidth="1"/>
    <col min="13326" max="13565" width="8.88671875" style="3"/>
    <col min="13566" max="13566" width="5.5546875" style="3" bestFit="1" customWidth="1"/>
    <col min="13567" max="13567" width="9.33203125" style="3" customWidth="1"/>
    <col min="13568" max="13568" width="24.6640625" style="3" customWidth="1"/>
    <col min="13569" max="13569" width="11" style="3" bestFit="1" customWidth="1"/>
    <col min="13570" max="13570" width="7.5546875" style="3" bestFit="1" customWidth="1"/>
    <col min="13571" max="13571" width="13.5546875" style="3" customWidth="1"/>
    <col min="13572" max="13572" width="5.44140625" style="3" bestFit="1" customWidth="1"/>
    <col min="13573" max="13573" width="11.33203125" style="3" bestFit="1" customWidth="1"/>
    <col min="13574" max="13574" width="5.6640625" style="3" bestFit="1" customWidth="1"/>
    <col min="13575" max="13575" width="12" style="3" customWidth="1"/>
    <col min="13576" max="13576" width="15.44140625" style="3" bestFit="1" customWidth="1"/>
    <col min="13577" max="13578" width="15.109375" style="3" bestFit="1" customWidth="1"/>
    <col min="13579" max="13579" width="14.33203125" style="3" bestFit="1" customWidth="1"/>
    <col min="13580" max="13580" width="3.109375" style="3" customWidth="1"/>
    <col min="13581" max="13581" width="6.44140625" style="3" customWidth="1"/>
    <col min="13582" max="13821" width="8.88671875" style="3"/>
    <col min="13822" max="13822" width="5.5546875" style="3" bestFit="1" customWidth="1"/>
    <col min="13823" max="13823" width="9.33203125" style="3" customWidth="1"/>
    <col min="13824" max="13824" width="24.6640625" style="3" customWidth="1"/>
    <col min="13825" max="13825" width="11" style="3" bestFit="1" customWidth="1"/>
    <col min="13826" max="13826" width="7.5546875" style="3" bestFit="1" customWidth="1"/>
    <col min="13827" max="13827" width="13.5546875" style="3" customWidth="1"/>
    <col min="13828" max="13828" width="5.44140625" style="3" bestFit="1" customWidth="1"/>
    <col min="13829" max="13829" width="11.33203125" style="3" bestFit="1" customWidth="1"/>
    <col min="13830" max="13830" width="5.6640625" style="3" bestFit="1" customWidth="1"/>
    <col min="13831" max="13831" width="12" style="3" customWidth="1"/>
    <col min="13832" max="13832" width="15.44140625" style="3" bestFit="1" customWidth="1"/>
    <col min="13833" max="13834" width="15.109375" style="3" bestFit="1" customWidth="1"/>
    <col min="13835" max="13835" width="14.33203125" style="3" bestFit="1" customWidth="1"/>
    <col min="13836" max="13836" width="3.109375" style="3" customWidth="1"/>
    <col min="13837" max="13837" width="6.44140625" style="3" customWidth="1"/>
    <col min="13838" max="14077" width="8.88671875" style="3"/>
    <col min="14078" max="14078" width="5.5546875" style="3" bestFit="1" customWidth="1"/>
    <col min="14079" max="14079" width="9.33203125" style="3" customWidth="1"/>
    <col min="14080" max="14080" width="24.6640625" style="3" customWidth="1"/>
    <col min="14081" max="14081" width="11" style="3" bestFit="1" customWidth="1"/>
    <col min="14082" max="14082" width="7.5546875" style="3" bestFit="1" customWidth="1"/>
    <col min="14083" max="14083" width="13.5546875" style="3" customWidth="1"/>
    <col min="14084" max="14084" width="5.44140625" style="3" bestFit="1" customWidth="1"/>
    <col min="14085" max="14085" width="11.33203125" style="3" bestFit="1" customWidth="1"/>
    <col min="14086" max="14086" width="5.6640625" style="3" bestFit="1" customWidth="1"/>
    <col min="14087" max="14087" width="12" style="3" customWidth="1"/>
    <col min="14088" max="14088" width="15.44140625" style="3" bestFit="1" customWidth="1"/>
    <col min="14089" max="14090" width="15.109375" style="3" bestFit="1" customWidth="1"/>
    <col min="14091" max="14091" width="14.33203125" style="3" bestFit="1" customWidth="1"/>
    <col min="14092" max="14092" width="3.109375" style="3" customWidth="1"/>
    <col min="14093" max="14093" width="6.44140625" style="3" customWidth="1"/>
    <col min="14094" max="14333" width="8.88671875" style="3"/>
    <col min="14334" max="14334" width="5.5546875" style="3" bestFit="1" customWidth="1"/>
    <col min="14335" max="14335" width="9.33203125" style="3" customWidth="1"/>
    <col min="14336" max="14336" width="24.6640625" style="3" customWidth="1"/>
    <col min="14337" max="14337" width="11" style="3" bestFit="1" customWidth="1"/>
    <col min="14338" max="14338" width="7.5546875" style="3" bestFit="1" customWidth="1"/>
    <col min="14339" max="14339" width="13.5546875" style="3" customWidth="1"/>
    <col min="14340" max="14340" width="5.44140625" style="3" bestFit="1" customWidth="1"/>
    <col min="14341" max="14341" width="11.33203125" style="3" bestFit="1" customWidth="1"/>
    <col min="14342" max="14342" width="5.6640625" style="3" bestFit="1" customWidth="1"/>
    <col min="14343" max="14343" width="12" style="3" customWidth="1"/>
    <col min="14344" max="14344" width="15.44140625" style="3" bestFit="1" customWidth="1"/>
    <col min="14345" max="14346" width="15.109375" style="3" bestFit="1" customWidth="1"/>
    <col min="14347" max="14347" width="14.33203125" style="3" bestFit="1" customWidth="1"/>
    <col min="14348" max="14348" width="3.109375" style="3" customWidth="1"/>
    <col min="14349" max="14349" width="6.44140625" style="3" customWidth="1"/>
    <col min="14350" max="14589" width="8.88671875" style="3"/>
    <col min="14590" max="14590" width="5.5546875" style="3" bestFit="1" customWidth="1"/>
    <col min="14591" max="14591" width="9.33203125" style="3" customWidth="1"/>
    <col min="14592" max="14592" width="24.6640625" style="3" customWidth="1"/>
    <col min="14593" max="14593" width="11" style="3" bestFit="1" customWidth="1"/>
    <col min="14594" max="14594" width="7.5546875" style="3" bestFit="1" customWidth="1"/>
    <col min="14595" max="14595" width="13.5546875" style="3" customWidth="1"/>
    <col min="14596" max="14596" width="5.44140625" style="3" bestFit="1" customWidth="1"/>
    <col min="14597" max="14597" width="11.33203125" style="3" bestFit="1" customWidth="1"/>
    <col min="14598" max="14598" width="5.6640625" style="3" bestFit="1" customWidth="1"/>
    <col min="14599" max="14599" width="12" style="3" customWidth="1"/>
    <col min="14600" max="14600" width="15.44140625" style="3" bestFit="1" customWidth="1"/>
    <col min="14601" max="14602" width="15.109375" style="3" bestFit="1" customWidth="1"/>
    <col min="14603" max="14603" width="14.33203125" style="3" bestFit="1" customWidth="1"/>
    <col min="14604" max="14604" width="3.109375" style="3" customWidth="1"/>
    <col min="14605" max="14605" width="6.44140625" style="3" customWidth="1"/>
    <col min="14606" max="14845" width="8.88671875" style="3"/>
    <col min="14846" max="14846" width="5.5546875" style="3" bestFit="1" customWidth="1"/>
    <col min="14847" max="14847" width="9.33203125" style="3" customWidth="1"/>
    <col min="14848" max="14848" width="24.6640625" style="3" customWidth="1"/>
    <col min="14849" max="14849" width="11" style="3" bestFit="1" customWidth="1"/>
    <col min="14850" max="14850" width="7.5546875" style="3" bestFit="1" customWidth="1"/>
    <col min="14851" max="14851" width="13.5546875" style="3" customWidth="1"/>
    <col min="14852" max="14852" width="5.44140625" style="3" bestFit="1" customWidth="1"/>
    <col min="14853" max="14853" width="11.33203125" style="3" bestFit="1" customWidth="1"/>
    <col min="14854" max="14854" width="5.6640625" style="3" bestFit="1" customWidth="1"/>
    <col min="14855" max="14855" width="12" style="3" customWidth="1"/>
    <col min="14856" max="14856" width="15.44140625" style="3" bestFit="1" customWidth="1"/>
    <col min="14857" max="14858" width="15.109375" style="3" bestFit="1" customWidth="1"/>
    <col min="14859" max="14859" width="14.33203125" style="3" bestFit="1" customWidth="1"/>
    <col min="14860" max="14860" width="3.109375" style="3" customWidth="1"/>
    <col min="14861" max="14861" width="6.44140625" style="3" customWidth="1"/>
    <col min="14862" max="15101" width="8.88671875" style="3"/>
    <col min="15102" max="15102" width="5.5546875" style="3" bestFit="1" customWidth="1"/>
    <col min="15103" max="15103" width="9.33203125" style="3" customWidth="1"/>
    <col min="15104" max="15104" width="24.6640625" style="3" customWidth="1"/>
    <col min="15105" max="15105" width="11" style="3" bestFit="1" customWidth="1"/>
    <col min="15106" max="15106" width="7.5546875" style="3" bestFit="1" customWidth="1"/>
    <col min="15107" max="15107" width="13.5546875" style="3" customWidth="1"/>
    <col min="15108" max="15108" width="5.44140625" style="3" bestFit="1" customWidth="1"/>
    <col min="15109" max="15109" width="11.33203125" style="3" bestFit="1" customWidth="1"/>
    <col min="15110" max="15110" width="5.6640625" style="3" bestFit="1" customWidth="1"/>
    <col min="15111" max="15111" width="12" style="3" customWidth="1"/>
    <col min="15112" max="15112" width="15.44140625" style="3" bestFit="1" customWidth="1"/>
    <col min="15113" max="15114" width="15.109375" style="3" bestFit="1" customWidth="1"/>
    <col min="15115" max="15115" width="14.33203125" style="3" bestFit="1" customWidth="1"/>
    <col min="15116" max="15116" width="3.109375" style="3" customWidth="1"/>
    <col min="15117" max="15117" width="6.44140625" style="3" customWidth="1"/>
    <col min="15118" max="15357" width="8.88671875" style="3"/>
    <col min="15358" max="15358" width="5.5546875" style="3" bestFit="1" customWidth="1"/>
    <col min="15359" max="15359" width="9.33203125" style="3" customWidth="1"/>
    <col min="15360" max="15360" width="24.6640625" style="3" customWidth="1"/>
    <col min="15361" max="15361" width="11" style="3" bestFit="1" customWidth="1"/>
    <col min="15362" max="15362" width="7.5546875" style="3" bestFit="1" customWidth="1"/>
    <col min="15363" max="15363" width="13.5546875" style="3" customWidth="1"/>
    <col min="15364" max="15364" width="5.44140625" style="3" bestFit="1" customWidth="1"/>
    <col min="15365" max="15365" width="11.33203125" style="3" bestFit="1" customWidth="1"/>
    <col min="15366" max="15366" width="5.6640625" style="3" bestFit="1" customWidth="1"/>
    <col min="15367" max="15367" width="12" style="3" customWidth="1"/>
    <col min="15368" max="15368" width="15.44140625" style="3" bestFit="1" customWidth="1"/>
    <col min="15369" max="15370" width="15.109375" style="3" bestFit="1" customWidth="1"/>
    <col min="15371" max="15371" width="14.33203125" style="3" bestFit="1" customWidth="1"/>
    <col min="15372" max="15372" width="3.109375" style="3" customWidth="1"/>
    <col min="15373" max="15373" width="6.44140625" style="3" customWidth="1"/>
    <col min="15374" max="15613" width="8.88671875" style="3"/>
    <col min="15614" max="15614" width="5.5546875" style="3" bestFit="1" customWidth="1"/>
    <col min="15615" max="15615" width="9.33203125" style="3" customWidth="1"/>
    <col min="15616" max="15616" width="24.6640625" style="3" customWidth="1"/>
    <col min="15617" max="15617" width="11" style="3" bestFit="1" customWidth="1"/>
    <col min="15618" max="15618" width="7.5546875" style="3" bestFit="1" customWidth="1"/>
    <col min="15619" max="15619" width="13.5546875" style="3" customWidth="1"/>
    <col min="15620" max="15620" width="5.44140625" style="3" bestFit="1" customWidth="1"/>
    <col min="15621" max="15621" width="11.33203125" style="3" bestFit="1" customWidth="1"/>
    <col min="15622" max="15622" width="5.6640625" style="3" bestFit="1" customWidth="1"/>
    <col min="15623" max="15623" width="12" style="3" customWidth="1"/>
    <col min="15624" max="15624" width="15.44140625" style="3" bestFit="1" customWidth="1"/>
    <col min="15625" max="15626" width="15.109375" style="3" bestFit="1" customWidth="1"/>
    <col min="15627" max="15627" width="14.33203125" style="3" bestFit="1" customWidth="1"/>
    <col min="15628" max="15628" width="3.109375" style="3" customWidth="1"/>
    <col min="15629" max="15629" width="6.44140625" style="3" customWidth="1"/>
    <col min="15630" max="15869" width="8.88671875" style="3"/>
    <col min="15870" max="15870" width="5.5546875" style="3" bestFit="1" customWidth="1"/>
    <col min="15871" max="15871" width="9.33203125" style="3" customWidth="1"/>
    <col min="15872" max="15872" width="24.6640625" style="3" customWidth="1"/>
    <col min="15873" max="15873" width="11" style="3" bestFit="1" customWidth="1"/>
    <col min="15874" max="15874" width="7.5546875" style="3" bestFit="1" customWidth="1"/>
    <col min="15875" max="15875" width="13.5546875" style="3" customWidth="1"/>
    <col min="15876" max="15876" width="5.44140625" style="3" bestFit="1" customWidth="1"/>
    <col min="15877" max="15877" width="11.33203125" style="3" bestFit="1" customWidth="1"/>
    <col min="15878" max="15878" width="5.6640625" style="3" bestFit="1" customWidth="1"/>
    <col min="15879" max="15879" width="12" style="3" customWidth="1"/>
    <col min="15880" max="15880" width="15.44140625" style="3" bestFit="1" customWidth="1"/>
    <col min="15881" max="15882" width="15.109375" style="3" bestFit="1" customWidth="1"/>
    <col min="15883" max="15883" width="14.33203125" style="3" bestFit="1" customWidth="1"/>
    <col min="15884" max="15884" width="3.109375" style="3" customWidth="1"/>
    <col min="15885" max="15885" width="6.44140625" style="3" customWidth="1"/>
    <col min="15886" max="16125" width="8.88671875" style="3"/>
    <col min="16126" max="16126" width="5.5546875" style="3" bestFit="1" customWidth="1"/>
    <col min="16127" max="16127" width="9.33203125" style="3" customWidth="1"/>
    <col min="16128" max="16128" width="24.6640625" style="3" customWidth="1"/>
    <col min="16129" max="16129" width="11" style="3" bestFit="1" customWidth="1"/>
    <col min="16130" max="16130" width="7.5546875" style="3" bestFit="1" customWidth="1"/>
    <col min="16131" max="16131" width="13.5546875" style="3" customWidth="1"/>
    <col min="16132" max="16132" width="5.44140625" style="3" bestFit="1" customWidth="1"/>
    <col min="16133" max="16133" width="11.33203125" style="3" bestFit="1" customWidth="1"/>
    <col min="16134" max="16134" width="5.6640625" style="3" bestFit="1" customWidth="1"/>
    <col min="16135" max="16135" width="12" style="3" customWidth="1"/>
    <col min="16136" max="16136" width="15.44140625" style="3" bestFit="1" customWidth="1"/>
    <col min="16137" max="16138" width="15.109375" style="3" bestFit="1" customWidth="1"/>
    <col min="16139" max="16139" width="14.33203125" style="3" bestFit="1" customWidth="1"/>
    <col min="16140" max="16140" width="3.109375" style="3" customWidth="1"/>
    <col min="16141" max="16141" width="6.44140625" style="3" customWidth="1"/>
    <col min="16142" max="16384" width="8.88671875" style="3"/>
  </cols>
  <sheetData>
    <row r="1" spans="1:13" ht="14.4" thickBot="1">
      <c r="A1" s="151"/>
      <c r="B1" s="152"/>
      <c r="C1" s="152"/>
      <c r="D1" s="152"/>
      <c r="E1" s="152"/>
      <c r="F1" s="152"/>
      <c r="G1" s="152"/>
      <c r="H1" s="152"/>
      <c r="I1" s="153"/>
      <c r="J1" s="153"/>
      <c r="K1" s="154"/>
    </row>
    <row r="2" spans="1:13" s="5" customFormat="1" ht="30" customHeight="1" thickBot="1">
      <c r="A2" s="155" t="s">
        <v>18</v>
      </c>
      <c r="B2" s="156"/>
      <c r="C2" s="156"/>
      <c r="D2" s="156"/>
      <c r="E2" s="156"/>
      <c r="F2" s="4" t="s">
        <v>0</v>
      </c>
      <c r="G2" s="159">
        <f>SUM(I7:I14)</f>
        <v>0</v>
      </c>
      <c r="H2" s="160"/>
      <c r="I2" s="161"/>
      <c r="J2" s="161"/>
      <c r="K2" s="162"/>
    </row>
    <row r="3" spans="1:13" s="5" customFormat="1" ht="30" customHeight="1" thickTop="1" thickBot="1">
      <c r="A3" s="157"/>
      <c r="B3" s="158"/>
      <c r="C3" s="158"/>
      <c r="D3" s="158"/>
      <c r="E3" s="158"/>
      <c r="F3" s="6" t="s">
        <v>1</v>
      </c>
      <c r="G3" s="163">
        <f>SUM(J7:J14)</f>
        <v>0</v>
      </c>
      <c r="H3" s="164"/>
      <c r="I3" s="161"/>
      <c r="J3" s="161"/>
      <c r="K3" s="162"/>
    </row>
    <row r="4" spans="1:13" s="5" customFormat="1" ht="30" customHeight="1" thickTop="1" thickBot="1">
      <c r="A4" s="157"/>
      <c r="B4" s="158"/>
      <c r="C4" s="158"/>
      <c r="D4" s="158"/>
      <c r="E4" s="158"/>
      <c r="F4" s="7" t="s">
        <v>19</v>
      </c>
      <c r="G4" s="165">
        <f>G2-G3</f>
        <v>0</v>
      </c>
      <c r="H4" s="166"/>
      <c r="I4" s="167"/>
      <c r="J4" s="167"/>
      <c r="K4" s="168"/>
    </row>
    <row r="5" spans="1:13" s="5" customFormat="1" ht="30" customHeight="1" thickTop="1" thickBot="1">
      <c r="A5" s="157"/>
      <c r="B5" s="158"/>
      <c r="C5" s="158"/>
      <c r="D5" s="158"/>
      <c r="E5" s="158"/>
      <c r="F5" s="8"/>
      <c r="G5" s="169"/>
      <c r="H5" s="170"/>
      <c r="I5" s="167"/>
      <c r="J5" s="167"/>
      <c r="K5" s="168"/>
      <c r="M5" s="3"/>
    </row>
    <row r="6" spans="1:13" ht="38.4" customHeight="1" thickBot="1">
      <c r="A6" s="9" t="s">
        <v>8</v>
      </c>
      <c r="B6" s="10" t="s">
        <v>9</v>
      </c>
      <c r="C6" s="10" t="s">
        <v>20</v>
      </c>
      <c r="D6" s="11" t="s">
        <v>26</v>
      </c>
      <c r="E6" s="12" t="s">
        <v>21</v>
      </c>
      <c r="F6" s="11" t="s">
        <v>10</v>
      </c>
      <c r="G6" s="11" t="s">
        <v>22</v>
      </c>
      <c r="H6" s="11" t="s">
        <v>11</v>
      </c>
      <c r="I6" s="13" t="s">
        <v>12</v>
      </c>
      <c r="J6" s="14" t="s">
        <v>13</v>
      </c>
      <c r="K6" s="15" t="s">
        <v>14</v>
      </c>
    </row>
    <row r="7" spans="1:13" s="5" customFormat="1" ht="34.950000000000003" customHeight="1">
      <c r="A7" s="16">
        <v>1</v>
      </c>
      <c r="B7" s="17"/>
      <c r="C7" s="18"/>
      <c r="D7" s="72"/>
      <c r="E7" s="20"/>
      <c r="F7" s="21"/>
      <c r="G7" s="22"/>
      <c r="H7" s="23"/>
      <c r="I7" s="24"/>
      <c r="J7" s="25"/>
      <c r="K7" s="26">
        <f>I7-J7</f>
        <v>0</v>
      </c>
    </row>
    <row r="8" spans="1:13" s="5" customFormat="1" ht="34.950000000000003" customHeight="1">
      <c r="A8" s="16">
        <v>2</v>
      </c>
      <c r="B8" s="17"/>
      <c r="C8" s="18"/>
      <c r="D8" s="19"/>
      <c r="E8" s="20"/>
      <c r="F8" s="21"/>
      <c r="G8" s="27"/>
      <c r="H8" s="23"/>
      <c r="I8" s="24"/>
      <c r="J8" s="25"/>
      <c r="K8" s="26">
        <f>I8-J8+K7</f>
        <v>0</v>
      </c>
    </row>
    <row r="9" spans="1:13" s="5" customFormat="1" ht="34.950000000000003" customHeight="1">
      <c r="A9" s="16">
        <v>3</v>
      </c>
      <c r="B9" s="17"/>
      <c r="C9" s="18"/>
      <c r="D9" s="19"/>
      <c r="E9" s="52"/>
      <c r="F9" s="53"/>
      <c r="G9" s="54"/>
      <c r="H9" s="55"/>
      <c r="I9" s="56"/>
      <c r="J9" s="57"/>
      <c r="K9" s="26">
        <f t="shared" ref="K9:K13" si="0">I9-J9+K8</f>
        <v>0</v>
      </c>
    </row>
    <row r="10" spans="1:13" ht="34.950000000000003" customHeight="1">
      <c r="A10" s="16">
        <v>4</v>
      </c>
      <c r="B10" s="17"/>
      <c r="C10" s="18"/>
      <c r="D10" s="19"/>
      <c r="E10" s="52"/>
      <c r="F10" s="53"/>
      <c r="G10" s="58"/>
      <c r="H10" s="58"/>
      <c r="I10" s="56"/>
      <c r="J10" s="59"/>
      <c r="K10" s="26">
        <f t="shared" si="0"/>
        <v>0</v>
      </c>
    </row>
    <row r="11" spans="1:13" ht="34.950000000000003" customHeight="1">
      <c r="A11" s="16">
        <v>5</v>
      </c>
      <c r="B11" s="17"/>
      <c r="C11" s="18"/>
      <c r="D11" s="19"/>
      <c r="E11" s="52"/>
      <c r="F11" s="53"/>
      <c r="G11" s="58"/>
      <c r="H11" s="58"/>
      <c r="I11" s="56"/>
      <c r="J11" s="60"/>
      <c r="K11" s="26">
        <f t="shared" si="0"/>
        <v>0</v>
      </c>
    </row>
    <row r="12" spans="1:13" ht="34.950000000000003" customHeight="1">
      <c r="A12" s="16">
        <v>6</v>
      </c>
      <c r="B12" s="17"/>
      <c r="C12" s="18"/>
      <c r="D12" s="28"/>
      <c r="E12" s="61"/>
      <c r="F12" s="62"/>
      <c r="G12" s="63"/>
      <c r="H12" s="63"/>
      <c r="I12" s="64"/>
      <c r="J12" s="65"/>
      <c r="K12" s="26">
        <f t="shared" si="0"/>
        <v>0</v>
      </c>
    </row>
    <row r="13" spans="1:13" ht="34.950000000000003" customHeight="1">
      <c r="A13" s="16">
        <v>7</v>
      </c>
      <c r="B13" s="33"/>
      <c r="C13" s="34"/>
      <c r="D13" s="19"/>
      <c r="E13" s="35"/>
      <c r="F13" s="29"/>
      <c r="G13" s="30"/>
      <c r="H13" s="30"/>
      <c r="I13" s="31"/>
      <c r="J13" s="32"/>
      <c r="K13" s="26">
        <f t="shared" si="0"/>
        <v>0</v>
      </c>
    </row>
    <row r="14" spans="1:13" ht="34.950000000000003" customHeight="1" thickBot="1">
      <c r="A14" s="36"/>
      <c r="B14" s="37"/>
      <c r="C14" s="38"/>
      <c r="D14" s="38"/>
      <c r="E14" s="37"/>
      <c r="F14" s="39"/>
      <c r="G14" s="40"/>
      <c r="H14" s="41"/>
      <c r="I14" s="42"/>
      <c r="J14" s="43"/>
      <c r="K14" s="44"/>
    </row>
  </sheetData>
  <mergeCells count="8">
    <mergeCell ref="A1:K1"/>
    <mergeCell ref="A2:E5"/>
    <mergeCell ref="G2:H2"/>
    <mergeCell ref="I2:K3"/>
    <mergeCell ref="G3:H3"/>
    <mergeCell ref="G4:H4"/>
    <mergeCell ref="I4:K5"/>
    <mergeCell ref="G5:H5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workbookViewId="0">
      <selection activeCell="E12" sqref="E12"/>
    </sheetView>
  </sheetViews>
  <sheetFormatPr defaultRowHeight="15.6"/>
  <cols>
    <col min="1" max="1" width="5" style="1" customWidth="1"/>
    <col min="2" max="2" width="16.5546875" style="1" customWidth="1"/>
    <col min="3" max="3" width="15.21875" style="1" customWidth="1"/>
    <col min="4" max="4" width="14.33203125" style="1" customWidth="1"/>
    <col min="5" max="5" width="13.5546875" style="1" customWidth="1"/>
    <col min="6" max="6" width="28.21875" style="1" bestFit="1" customWidth="1"/>
    <col min="7" max="7" width="20.44140625" style="1" customWidth="1"/>
    <col min="8" max="8" width="17" style="68" customWidth="1"/>
    <col min="9" max="9" width="9.6640625" style="68" bestFit="1" customWidth="1"/>
    <col min="10" max="10" width="8.88671875" style="68"/>
    <col min="11" max="11" width="9.5546875" style="68" bestFit="1" customWidth="1"/>
    <col min="12" max="235" width="8.88671875" style="68"/>
    <col min="236" max="236" width="7.6640625" style="68" customWidth="1"/>
    <col min="237" max="237" width="12.5546875" style="68" customWidth="1"/>
    <col min="238" max="238" width="9.33203125" style="68" customWidth="1"/>
    <col min="239" max="239" width="9.88671875" style="68" customWidth="1"/>
    <col min="240" max="240" width="10.33203125" style="68" bestFit="1" customWidth="1"/>
    <col min="241" max="241" width="11.88671875" style="68" customWidth="1"/>
    <col min="242" max="242" width="10.5546875" style="68" customWidth="1"/>
    <col min="243" max="243" width="13.33203125" style="68" customWidth="1"/>
    <col min="244" max="245" width="10.5546875" style="68" customWidth="1"/>
    <col min="246" max="246" width="10.6640625" style="68" customWidth="1"/>
    <col min="247" max="247" width="12.109375" style="68" customWidth="1"/>
    <col min="248" max="251" width="10.5546875" style="68" customWidth="1"/>
    <col min="252" max="252" width="12.109375" style="68" bestFit="1" customWidth="1"/>
    <col min="253" max="253" width="10.5546875" style="68" customWidth="1"/>
    <col min="254" max="254" width="11.33203125" style="68" customWidth="1"/>
    <col min="255" max="255" width="14.33203125" style="68" bestFit="1" customWidth="1"/>
    <col min="256" max="491" width="8.88671875" style="68"/>
    <col min="492" max="492" width="7.6640625" style="68" customWidth="1"/>
    <col min="493" max="493" width="12.5546875" style="68" customWidth="1"/>
    <col min="494" max="494" width="9.33203125" style="68" customWidth="1"/>
    <col min="495" max="495" width="9.88671875" style="68" customWidth="1"/>
    <col min="496" max="496" width="10.33203125" style="68" bestFit="1" customWidth="1"/>
    <col min="497" max="497" width="11.88671875" style="68" customWidth="1"/>
    <col min="498" max="498" width="10.5546875" style="68" customWidth="1"/>
    <col min="499" max="499" width="13.33203125" style="68" customWidth="1"/>
    <col min="500" max="501" width="10.5546875" style="68" customWidth="1"/>
    <col min="502" max="502" width="10.6640625" style="68" customWidth="1"/>
    <col min="503" max="503" width="12.109375" style="68" customWidth="1"/>
    <col min="504" max="507" width="10.5546875" style="68" customWidth="1"/>
    <col min="508" max="508" width="12.109375" style="68" bestFit="1" customWidth="1"/>
    <col min="509" max="509" width="10.5546875" style="68" customWidth="1"/>
    <col min="510" max="510" width="11.33203125" style="68" customWidth="1"/>
    <col min="511" max="511" width="14.33203125" style="68" bestFit="1" customWidth="1"/>
    <col min="512" max="747" width="8.88671875" style="68"/>
    <col min="748" max="748" width="7.6640625" style="68" customWidth="1"/>
    <col min="749" max="749" width="12.5546875" style="68" customWidth="1"/>
    <col min="750" max="750" width="9.33203125" style="68" customWidth="1"/>
    <col min="751" max="751" width="9.88671875" style="68" customWidth="1"/>
    <col min="752" max="752" width="10.33203125" style="68" bestFit="1" customWidth="1"/>
    <col min="753" max="753" width="11.88671875" style="68" customWidth="1"/>
    <col min="754" max="754" width="10.5546875" style="68" customWidth="1"/>
    <col min="755" max="755" width="13.33203125" style="68" customWidth="1"/>
    <col min="756" max="757" width="10.5546875" style="68" customWidth="1"/>
    <col min="758" max="758" width="10.6640625" style="68" customWidth="1"/>
    <col min="759" max="759" width="12.109375" style="68" customWidth="1"/>
    <col min="760" max="763" width="10.5546875" style="68" customWidth="1"/>
    <col min="764" max="764" width="12.109375" style="68" bestFit="1" customWidth="1"/>
    <col min="765" max="765" width="10.5546875" style="68" customWidth="1"/>
    <col min="766" max="766" width="11.33203125" style="68" customWidth="1"/>
    <col min="767" max="767" width="14.33203125" style="68" bestFit="1" customWidth="1"/>
    <col min="768" max="1003" width="8.88671875" style="68"/>
    <col min="1004" max="1004" width="7.6640625" style="68" customWidth="1"/>
    <col min="1005" max="1005" width="12.5546875" style="68" customWidth="1"/>
    <col min="1006" max="1006" width="9.33203125" style="68" customWidth="1"/>
    <col min="1007" max="1007" width="9.88671875" style="68" customWidth="1"/>
    <col min="1008" max="1008" width="10.33203125" style="68" bestFit="1" customWidth="1"/>
    <col min="1009" max="1009" width="11.88671875" style="68" customWidth="1"/>
    <col min="1010" max="1010" width="10.5546875" style="68" customWidth="1"/>
    <col min="1011" max="1011" width="13.33203125" style="68" customWidth="1"/>
    <col min="1012" max="1013" width="10.5546875" style="68" customWidth="1"/>
    <col min="1014" max="1014" width="10.6640625" style="68" customWidth="1"/>
    <col min="1015" max="1015" width="12.109375" style="68" customWidth="1"/>
    <col min="1016" max="1019" width="10.5546875" style="68" customWidth="1"/>
    <col min="1020" max="1020" width="12.109375" style="68" bestFit="1" customWidth="1"/>
    <col min="1021" max="1021" width="10.5546875" style="68" customWidth="1"/>
    <col min="1022" max="1022" width="11.33203125" style="68" customWidth="1"/>
    <col min="1023" max="1023" width="14.33203125" style="68" bestFit="1" customWidth="1"/>
    <col min="1024" max="1259" width="8.88671875" style="68"/>
    <col min="1260" max="1260" width="7.6640625" style="68" customWidth="1"/>
    <col min="1261" max="1261" width="12.5546875" style="68" customWidth="1"/>
    <col min="1262" max="1262" width="9.33203125" style="68" customWidth="1"/>
    <col min="1263" max="1263" width="9.88671875" style="68" customWidth="1"/>
    <col min="1264" max="1264" width="10.33203125" style="68" bestFit="1" customWidth="1"/>
    <col min="1265" max="1265" width="11.88671875" style="68" customWidth="1"/>
    <col min="1266" max="1266" width="10.5546875" style="68" customWidth="1"/>
    <col min="1267" max="1267" width="13.33203125" style="68" customWidth="1"/>
    <col min="1268" max="1269" width="10.5546875" style="68" customWidth="1"/>
    <col min="1270" max="1270" width="10.6640625" style="68" customWidth="1"/>
    <col min="1271" max="1271" width="12.109375" style="68" customWidth="1"/>
    <col min="1272" max="1275" width="10.5546875" style="68" customWidth="1"/>
    <col min="1276" max="1276" width="12.109375" style="68" bestFit="1" customWidth="1"/>
    <col min="1277" max="1277" width="10.5546875" style="68" customWidth="1"/>
    <col min="1278" max="1278" width="11.33203125" style="68" customWidth="1"/>
    <col min="1279" max="1279" width="14.33203125" style="68" bestFit="1" customWidth="1"/>
    <col min="1280" max="1515" width="8.88671875" style="68"/>
    <col min="1516" max="1516" width="7.6640625" style="68" customWidth="1"/>
    <col min="1517" max="1517" width="12.5546875" style="68" customWidth="1"/>
    <col min="1518" max="1518" width="9.33203125" style="68" customWidth="1"/>
    <col min="1519" max="1519" width="9.88671875" style="68" customWidth="1"/>
    <col min="1520" max="1520" width="10.33203125" style="68" bestFit="1" customWidth="1"/>
    <col min="1521" max="1521" width="11.88671875" style="68" customWidth="1"/>
    <col min="1522" max="1522" width="10.5546875" style="68" customWidth="1"/>
    <col min="1523" max="1523" width="13.33203125" style="68" customWidth="1"/>
    <col min="1524" max="1525" width="10.5546875" style="68" customWidth="1"/>
    <col min="1526" max="1526" width="10.6640625" style="68" customWidth="1"/>
    <col min="1527" max="1527" width="12.109375" style="68" customWidth="1"/>
    <col min="1528" max="1531" width="10.5546875" style="68" customWidth="1"/>
    <col min="1532" max="1532" width="12.109375" style="68" bestFit="1" customWidth="1"/>
    <col min="1533" max="1533" width="10.5546875" style="68" customWidth="1"/>
    <col min="1534" max="1534" width="11.33203125" style="68" customWidth="1"/>
    <col min="1535" max="1535" width="14.33203125" style="68" bestFit="1" customWidth="1"/>
    <col min="1536" max="1771" width="8.88671875" style="68"/>
    <col min="1772" max="1772" width="7.6640625" style="68" customWidth="1"/>
    <col min="1773" max="1773" width="12.5546875" style="68" customWidth="1"/>
    <col min="1774" max="1774" width="9.33203125" style="68" customWidth="1"/>
    <col min="1775" max="1775" width="9.88671875" style="68" customWidth="1"/>
    <col min="1776" max="1776" width="10.33203125" style="68" bestFit="1" customWidth="1"/>
    <col min="1777" max="1777" width="11.88671875" style="68" customWidth="1"/>
    <col min="1778" max="1778" width="10.5546875" style="68" customWidth="1"/>
    <col min="1779" max="1779" width="13.33203125" style="68" customWidth="1"/>
    <col min="1780" max="1781" width="10.5546875" style="68" customWidth="1"/>
    <col min="1782" max="1782" width="10.6640625" style="68" customWidth="1"/>
    <col min="1783" max="1783" width="12.109375" style="68" customWidth="1"/>
    <col min="1784" max="1787" width="10.5546875" style="68" customWidth="1"/>
    <col min="1788" max="1788" width="12.109375" style="68" bestFit="1" customWidth="1"/>
    <col min="1789" max="1789" width="10.5546875" style="68" customWidth="1"/>
    <col min="1790" max="1790" width="11.33203125" style="68" customWidth="1"/>
    <col min="1791" max="1791" width="14.33203125" style="68" bestFit="1" customWidth="1"/>
    <col min="1792" max="2027" width="8.88671875" style="68"/>
    <col min="2028" max="2028" width="7.6640625" style="68" customWidth="1"/>
    <col min="2029" max="2029" width="12.5546875" style="68" customWidth="1"/>
    <col min="2030" max="2030" width="9.33203125" style="68" customWidth="1"/>
    <col min="2031" max="2031" width="9.88671875" style="68" customWidth="1"/>
    <col min="2032" max="2032" width="10.33203125" style="68" bestFit="1" customWidth="1"/>
    <col min="2033" max="2033" width="11.88671875" style="68" customWidth="1"/>
    <col min="2034" max="2034" width="10.5546875" style="68" customWidth="1"/>
    <col min="2035" max="2035" width="13.33203125" style="68" customWidth="1"/>
    <col min="2036" max="2037" width="10.5546875" style="68" customWidth="1"/>
    <col min="2038" max="2038" width="10.6640625" style="68" customWidth="1"/>
    <col min="2039" max="2039" width="12.109375" style="68" customWidth="1"/>
    <col min="2040" max="2043" width="10.5546875" style="68" customWidth="1"/>
    <col min="2044" max="2044" width="12.109375" style="68" bestFit="1" customWidth="1"/>
    <col min="2045" max="2045" width="10.5546875" style="68" customWidth="1"/>
    <col min="2046" max="2046" width="11.33203125" style="68" customWidth="1"/>
    <col min="2047" max="2047" width="14.33203125" style="68" bestFit="1" customWidth="1"/>
    <col min="2048" max="2283" width="8.88671875" style="68"/>
    <col min="2284" max="2284" width="7.6640625" style="68" customWidth="1"/>
    <col min="2285" max="2285" width="12.5546875" style="68" customWidth="1"/>
    <col min="2286" max="2286" width="9.33203125" style="68" customWidth="1"/>
    <col min="2287" max="2287" width="9.88671875" style="68" customWidth="1"/>
    <col min="2288" max="2288" width="10.33203125" style="68" bestFit="1" customWidth="1"/>
    <col min="2289" max="2289" width="11.88671875" style="68" customWidth="1"/>
    <col min="2290" max="2290" width="10.5546875" style="68" customWidth="1"/>
    <col min="2291" max="2291" width="13.33203125" style="68" customWidth="1"/>
    <col min="2292" max="2293" width="10.5546875" style="68" customWidth="1"/>
    <col min="2294" max="2294" width="10.6640625" style="68" customWidth="1"/>
    <col min="2295" max="2295" width="12.109375" style="68" customWidth="1"/>
    <col min="2296" max="2299" width="10.5546875" style="68" customWidth="1"/>
    <col min="2300" max="2300" width="12.109375" style="68" bestFit="1" customWidth="1"/>
    <col min="2301" max="2301" width="10.5546875" style="68" customWidth="1"/>
    <col min="2302" max="2302" width="11.33203125" style="68" customWidth="1"/>
    <col min="2303" max="2303" width="14.33203125" style="68" bestFit="1" customWidth="1"/>
    <col min="2304" max="2539" width="8.88671875" style="68"/>
    <col min="2540" max="2540" width="7.6640625" style="68" customWidth="1"/>
    <col min="2541" max="2541" width="12.5546875" style="68" customWidth="1"/>
    <col min="2542" max="2542" width="9.33203125" style="68" customWidth="1"/>
    <col min="2543" max="2543" width="9.88671875" style="68" customWidth="1"/>
    <col min="2544" max="2544" width="10.33203125" style="68" bestFit="1" customWidth="1"/>
    <col min="2545" max="2545" width="11.88671875" style="68" customWidth="1"/>
    <col min="2546" max="2546" width="10.5546875" style="68" customWidth="1"/>
    <col min="2547" max="2547" width="13.33203125" style="68" customWidth="1"/>
    <col min="2548" max="2549" width="10.5546875" style="68" customWidth="1"/>
    <col min="2550" max="2550" width="10.6640625" style="68" customWidth="1"/>
    <col min="2551" max="2551" width="12.109375" style="68" customWidth="1"/>
    <col min="2552" max="2555" width="10.5546875" style="68" customWidth="1"/>
    <col min="2556" max="2556" width="12.109375" style="68" bestFit="1" customWidth="1"/>
    <col min="2557" max="2557" width="10.5546875" style="68" customWidth="1"/>
    <col min="2558" max="2558" width="11.33203125" style="68" customWidth="1"/>
    <col min="2559" max="2559" width="14.33203125" style="68" bestFit="1" customWidth="1"/>
    <col min="2560" max="2795" width="8.88671875" style="68"/>
    <col min="2796" max="2796" width="7.6640625" style="68" customWidth="1"/>
    <col min="2797" max="2797" width="12.5546875" style="68" customWidth="1"/>
    <col min="2798" max="2798" width="9.33203125" style="68" customWidth="1"/>
    <col min="2799" max="2799" width="9.88671875" style="68" customWidth="1"/>
    <col min="2800" max="2800" width="10.33203125" style="68" bestFit="1" customWidth="1"/>
    <col min="2801" max="2801" width="11.88671875" style="68" customWidth="1"/>
    <col min="2802" max="2802" width="10.5546875" style="68" customWidth="1"/>
    <col min="2803" max="2803" width="13.33203125" style="68" customWidth="1"/>
    <col min="2804" max="2805" width="10.5546875" style="68" customWidth="1"/>
    <col min="2806" max="2806" width="10.6640625" style="68" customWidth="1"/>
    <col min="2807" max="2807" width="12.109375" style="68" customWidth="1"/>
    <col min="2808" max="2811" width="10.5546875" style="68" customWidth="1"/>
    <col min="2812" max="2812" width="12.109375" style="68" bestFit="1" customWidth="1"/>
    <col min="2813" max="2813" width="10.5546875" style="68" customWidth="1"/>
    <col min="2814" max="2814" width="11.33203125" style="68" customWidth="1"/>
    <col min="2815" max="2815" width="14.33203125" style="68" bestFit="1" customWidth="1"/>
    <col min="2816" max="3051" width="8.88671875" style="68"/>
    <col min="3052" max="3052" width="7.6640625" style="68" customWidth="1"/>
    <col min="3053" max="3053" width="12.5546875" style="68" customWidth="1"/>
    <col min="3054" max="3054" width="9.33203125" style="68" customWidth="1"/>
    <col min="3055" max="3055" width="9.88671875" style="68" customWidth="1"/>
    <col min="3056" max="3056" width="10.33203125" style="68" bestFit="1" customWidth="1"/>
    <col min="3057" max="3057" width="11.88671875" style="68" customWidth="1"/>
    <col min="3058" max="3058" width="10.5546875" style="68" customWidth="1"/>
    <col min="3059" max="3059" width="13.33203125" style="68" customWidth="1"/>
    <col min="3060" max="3061" width="10.5546875" style="68" customWidth="1"/>
    <col min="3062" max="3062" width="10.6640625" style="68" customWidth="1"/>
    <col min="3063" max="3063" width="12.109375" style="68" customWidth="1"/>
    <col min="3064" max="3067" width="10.5546875" style="68" customWidth="1"/>
    <col min="3068" max="3068" width="12.109375" style="68" bestFit="1" customWidth="1"/>
    <col min="3069" max="3069" width="10.5546875" style="68" customWidth="1"/>
    <col min="3070" max="3070" width="11.33203125" style="68" customWidth="1"/>
    <col min="3071" max="3071" width="14.33203125" style="68" bestFit="1" customWidth="1"/>
    <col min="3072" max="3307" width="8.88671875" style="68"/>
    <col min="3308" max="3308" width="7.6640625" style="68" customWidth="1"/>
    <col min="3309" max="3309" width="12.5546875" style="68" customWidth="1"/>
    <col min="3310" max="3310" width="9.33203125" style="68" customWidth="1"/>
    <col min="3311" max="3311" width="9.88671875" style="68" customWidth="1"/>
    <col min="3312" max="3312" width="10.33203125" style="68" bestFit="1" customWidth="1"/>
    <col min="3313" max="3313" width="11.88671875" style="68" customWidth="1"/>
    <col min="3314" max="3314" width="10.5546875" style="68" customWidth="1"/>
    <col min="3315" max="3315" width="13.33203125" style="68" customWidth="1"/>
    <col min="3316" max="3317" width="10.5546875" style="68" customWidth="1"/>
    <col min="3318" max="3318" width="10.6640625" style="68" customWidth="1"/>
    <col min="3319" max="3319" width="12.109375" style="68" customWidth="1"/>
    <col min="3320" max="3323" width="10.5546875" style="68" customWidth="1"/>
    <col min="3324" max="3324" width="12.109375" style="68" bestFit="1" customWidth="1"/>
    <col min="3325" max="3325" width="10.5546875" style="68" customWidth="1"/>
    <col min="3326" max="3326" width="11.33203125" style="68" customWidth="1"/>
    <col min="3327" max="3327" width="14.33203125" style="68" bestFit="1" customWidth="1"/>
    <col min="3328" max="3563" width="8.88671875" style="68"/>
    <col min="3564" max="3564" width="7.6640625" style="68" customWidth="1"/>
    <col min="3565" max="3565" width="12.5546875" style="68" customWidth="1"/>
    <col min="3566" max="3566" width="9.33203125" style="68" customWidth="1"/>
    <col min="3567" max="3567" width="9.88671875" style="68" customWidth="1"/>
    <col min="3568" max="3568" width="10.33203125" style="68" bestFit="1" customWidth="1"/>
    <col min="3569" max="3569" width="11.88671875" style="68" customWidth="1"/>
    <col min="3570" max="3570" width="10.5546875" style="68" customWidth="1"/>
    <col min="3571" max="3571" width="13.33203125" style="68" customWidth="1"/>
    <col min="3572" max="3573" width="10.5546875" style="68" customWidth="1"/>
    <col min="3574" max="3574" width="10.6640625" style="68" customWidth="1"/>
    <col min="3575" max="3575" width="12.109375" style="68" customWidth="1"/>
    <col min="3576" max="3579" width="10.5546875" style="68" customWidth="1"/>
    <col min="3580" max="3580" width="12.109375" style="68" bestFit="1" customWidth="1"/>
    <col min="3581" max="3581" width="10.5546875" style="68" customWidth="1"/>
    <col min="3582" max="3582" width="11.33203125" style="68" customWidth="1"/>
    <col min="3583" max="3583" width="14.33203125" style="68" bestFit="1" customWidth="1"/>
    <col min="3584" max="3819" width="8.88671875" style="68"/>
    <col min="3820" max="3820" width="7.6640625" style="68" customWidth="1"/>
    <col min="3821" max="3821" width="12.5546875" style="68" customWidth="1"/>
    <col min="3822" max="3822" width="9.33203125" style="68" customWidth="1"/>
    <col min="3823" max="3823" width="9.88671875" style="68" customWidth="1"/>
    <col min="3824" max="3824" width="10.33203125" style="68" bestFit="1" customWidth="1"/>
    <col min="3825" max="3825" width="11.88671875" style="68" customWidth="1"/>
    <col min="3826" max="3826" width="10.5546875" style="68" customWidth="1"/>
    <col min="3827" max="3827" width="13.33203125" style="68" customWidth="1"/>
    <col min="3828" max="3829" width="10.5546875" style="68" customWidth="1"/>
    <col min="3830" max="3830" width="10.6640625" style="68" customWidth="1"/>
    <col min="3831" max="3831" width="12.109375" style="68" customWidth="1"/>
    <col min="3832" max="3835" width="10.5546875" style="68" customWidth="1"/>
    <col min="3836" max="3836" width="12.109375" style="68" bestFit="1" customWidth="1"/>
    <col min="3837" max="3837" width="10.5546875" style="68" customWidth="1"/>
    <col min="3838" max="3838" width="11.33203125" style="68" customWidth="1"/>
    <col min="3839" max="3839" width="14.33203125" style="68" bestFit="1" customWidth="1"/>
    <col min="3840" max="4075" width="8.88671875" style="68"/>
    <col min="4076" max="4076" width="7.6640625" style="68" customWidth="1"/>
    <col min="4077" max="4077" width="12.5546875" style="68" customWidth="1"/>
    <col min="4078" max="4078" width="9.33203125" style="68" customWidth="1"/>
    <col min="4079" max="4079" width="9.88671875" style="68" customWidth="1"/>
    <col min="4080" max="4080" width="10.33203125" style="68" bestFit="1" customWidth="1"/>
    <col min="4081" max="4081" width="11.88671875" style="68" customWidth="1"/>
    <col min="4082" max="4082" width="10.5546875" style="68" customWidth="1"/>
    <col min="4083" max="4083" width="13.33203125" style="68" customWidth="1"/>
    <col min="4084" max="4085" width="10.5546875" style="68" customWidth="1"/>
    <col min="4086" max="4086" width="10.6640625" style="68" customWidth="1"/>
    <col min="4087" max="4087" width="12.109375" style="68" customWidth="1"/>
    <col min="4088" max="4091" width="10.5546875" style="68" customWidth="1"/>
    <col min="4092" max="4092" width="12.109375" style="68" bestFit="1" customWidth="1"/>
    <col min="4093" max="4093" width="10.5546875" style="68" customWidth="1"/>
    <col min="4094" max="4094" width="11.33203125" style="68" customWidth="1"/>
    <col min="4095" max="4095" width="14.33203125" style="68" bestFit="1" customWidth="1"/>
    <col min="4096" max="4331" width="8.88671875" style="68"/>
    <col min="4332" max="4332" width="7.6640625" style="68" customWidth="1"/>
    <col min="4333" max="4333" width="12.5546875" style="68" customWidth="1"/>
    <col min="4334" max="4334" width="9.33203125" style="68" customWidth="1"/>
    <col min="4335" max="4335" width="9.88671875" style="68" customWidth="1"/>
    <col min="4336" max="4336" width="10.33203125" style="68" bestFit="1" customWidth="1"/>
    <col min="4337" max="4337" width="11.88671875" style="68" customWidth="1"/>
    <col min="4338" max="4338" width="10.5546875" style="68" customWidth="1"/>
    <col min="4339" max="4339" width="13.33203125" style="68" customWidth="1"/>
    <col min="4340" max="4341" width="10.5546875" style="68" customWidth="1"/>
    <col min="4342" max="4342" width="10.6640625" style="68" customWidth="1"/>
    <col min="4343" max="4343" width="12.109375" style="68" customWidth="1"/>
    <col min="4344" max="4347" width="10.5546875" style="68" customWidth="1"/>
    <col min="4348" max="4348" width="12.109375" style="68" bestFit="1" customWidth="1"/>
    <col min="4349" max="4349" width="10.5546875" style="68" customWidth="1"/>
    <col min="4350" max="4350" width="11.33203125" style="68" customWidth="1"/>
    <col min="4351" max="4351" width="14.33203125" style="68" bestFit="1" customWidth="1"/>
    <col min="4352" max="4587" width="8.88671875" style="68"/>
    <col min="4588" max="4588" width="7.6640625" style="68" customWidth="1"/>
    <col min="4589" max="4589" width="12.5546875" style="68" customWidth="1"/>
    <col min="4590" max="4590" width="9.33203125" style="68" customWidth="1"/>
    <col min="4591" max="4591" width="9.88671875" style="68" customWidth="1"/>
    <col min="4592" max="4592" width="10.33203125" style="68" bestFit="1" customWidth="1"/>
    <col min="4593" max="4593" width="11.88671875" style="68" customWidth="1"/>
    <col min="4594" max="4594" width="10.5546875" style="68" customWidth="1"/>
    <col min="4595" max="4595" width="13.33203125" style="68" customWidth="1"/>
    <col min="4596" max="4597" width="10.5546875" style="68" customWidth="1"/>
    <col min="4598" max="4598" width="10.6640625" style="68" customWidth="1"/>
    <col min="4599" max="4599" width="12.109375" style="68" customWidth="1"/>
    <col min="4600" max="4603" width="10.5546875" style="68" customWidth="1"/>
    <col min="4604" max="4604" width="12.109375" style="68" bestFit="1" customWidth="1"/>
    <col min="4605" max="4605" width="10.5546875" style="68" customWidth="1"/>
    <col min="4606" max="4606" width="11.33203125" style="68" customWidth="1"/>
    <col min="4607" max="4607" width="14.33203125" style="68" bestFit="1" customWidth="1"/>
    <col min="4608" max="4843" width="8.88671875" style="68"/>
    <col min="4844" max="4844" width="7.6640625" style="68" customWidth="1"/>
    <col min="4845" max="4845" width="12.5546875" style="68" customWidth="1"/>
    <col min="4846" max="4846" width="9.33203125" style="68" customWidth="1"/>
    <col min="4847" max="4847" width="9.88671875" style="68" customWidth="1"/>
    <col min="4848" max="4848" width="10.33203125" style="68" bestFit="1" customWidth="1"/>
    <col min="4849" max="4849" width="11.88671875" style="68" customWidth="1"/>
    <col min="4850" max="4850" width="10.5546875" style="68" customWidth="1"/>
    <col min="4851" max="4851" width="13.33203125" style="68" customWidth="1"/>
    <col min="4852" max="4853" width="10.5546875" style="68" customWidth="1"/>
    <col min="4854" max="4854" width="10.6640625" style="68" customWidth="1"/>
    <col min="4855" max="4855" width="12.109375" style="68" customWidth="1"/>
    <col min="4856" max="4859" width="10.5546875" style="68" customWidth="1"/>
    <col min="4860" max="4860" width="12.109375" style="68" bestFit="1" customWidth="1"/>
    <col min="4861" max="4861" width="10.5546875" style="68" customWidth="1"/>
    <col min="4862" max="4862" width="11.33203125" style="68" customWidth="1"/>
    <col min="4863" max="4863" width="14.33203125" style="68" bestFit="1" customWidth="1"/>
    <col min="4864" max="5099" width="8.88671875" style="68"/>
    <col min="5100" max="5100" width="7.6640625" style="68" customWidth="1"/>
    <col min="5101" max="5101" width="12.5546875" style="68" customWidth="1"/>
    <col min="5102" max="5102" width="9.33203125" style="68" customWidth="1"/>
    <col min="5103" max="5103" width="9.88671875" style="68" customWidth="1"/>
    <col min="5104" max="5104" width="10.33203125" style="68" bestFit="1" customWidth="1"/>
    <col min="5105" max="5105" width="11.88671875" style="68" customWidth="1"/>
    <col min="5106" max="5106" width="10.5546875" style="68" customWidth="1"/>
    <col min="5107" max="5107" width="13.33203125" style="68" customWidth="1"/>
    <col min="5108" max="5109" width="10.5546875" style="68" customWidth="1"/>
    <col min="5110" max="5110" width="10.6640625" style="68" customWidth="1"/>
    <col min="5111" max="5111" width="12.109375" style="68" customWidth="1"/>
    <col min="5112" max="5115" width="10.5546875" style="68" customWidth="1"/>
    <col min="5116" max="5116" width="12.109375" style="68" bestFit="1" customWidth="1"/>
    <col min="5117" max="5117" width="10.5546875" style="68" customWidth="1"/>
    <col min="5118" max="5118" width="11.33203125" style="68" customWidth="1"/>
    <col min="5119" max="5119" width="14.33203125" style="68" bestFit="1" customWidth="1"/>
    <col min="5120" max="5355" width="8.88671875" style="68"/>
    <col min="5356" max="5356" width="7.6640625" style="68" customWidth="1"/>
    <col min="5357" max="5357" width="12.5546875" style="68" customWidth="1"/>
    <col min="5358" max="5358" width="9.33203125" style="68" customWidth="1"/>
    <col min="5359" max="5359" width="9.88671875" style="68" customWidth="1"/>
    <col min="5360" max="5360" width="10.33203125" style="68" bestFit="1" customWidth="1"/>
    <col min="5361" max="5361" width="11.88671875" style="68" customWidth="1"/>
    <col min="5362" max="5362" width="10.5546875" style="68" customWidth="1"/>
    <col min="5363" max="5363" width="13.33203125" style="68" customWidth="1"/>
    <col min="5364" max="5365" width="10.5546875" style="68" customWidth="1"/>
    <col min="5366" max="5366" width="10.6640625" style="68" customWidth="1"/>
    <col min="5367" max="5367" width="12.109375" style="68" customWidth="1"/>
    <col min="5368" max="5371" width="10.5546875" style="68" customWidth="1"/>
    <col min="5372" max="5372" width="12.109375" style="68" bestFit="1" customWidth="1"/>
    <col min="5373" max="5373" width="10.5546875" style="68" customWidth="1"/>
    <col min="5374" max="5374" width="11.33203125" style="68" customWidth="1"/>
    <col min="5375" max="5375" width="14.33203125" style="68" bestFit="1" customWidth="1"/>
    <col min="5376" max="5611" width="8.88671875" style="68"/>
    <col min="5612" max="5612" width="7.6640625" style="68" customWidth="1"/>
    <col min="5613" max="5613" width="12.5546875" style="68" customWidth="1"/>
    <col min="5614" max="5614" width="9.33203125" style="68" customWidth="1"/>
    <col min="5615" max="5615" width="9.88671875" style="68" customWidth="1"/>
    <col min="5616" max="5616" width="10.33203125" style="68" bestFit="1" customWidth="1"/>
    <col min="5617" max="5617" width="11.88671875" style="68" customWidth="1"/>
    <col min="5618" max="5618" width="10.5546875" style="68" customWidth="1"/>
    <col min="5619" max="5619" width="13.33203125" style="68" customWidth="1"/>
    <col min="5620" max="5621" width="10.5546875" style="68" customWidth="1"/>
    <col min="5622" max="5622" width="10.6640625" style="68" customWidth="1"/>
    <col min="5623" max="5623" width="12.109375" style="68" customWidth="1"/>
    <col min="5624" max="5627" width="10.5546875" style="68" customWidth="1"/>
    <col min="5628" max="5628" width="12.109375" style="68" bestFit="1" customWidth="1"/>
    <col min="5629" max="5629" width="10.5546875" style="68" customWidth="1"/>
    <col min="5630" max="5630" width="11.33203125" style="68" customWidth="1"/>
    <col min="5631" max="5631" width="14.33203125" style="68" bestFit="1" customWidth="1"/>
    <col min="5632" max="5867" width="8.88671875" style="68"/>
    <col min="5868" max="5868" width="7.6640625" style="68" customWidth="1"/>
    <col min="5869" max="5869" width="12.5546875" style="68" customWidth="1"/>
    <col min="5870" max="5870" width="9.33203125" style="68" customWidth="1"/>
    <col min="5871" max="5871" width="9.88671875" style="68" customWidth="1"/>
    <col min="5872" max="5872" width="10.33203125" style="68" bestFit="1" customWidth="1"/>
    <col min="5873" max="5873" width="11.88671875" style="68" customWidth="1"/>
    <col min="5874" max="5874" width="10.5546875" style="68" customWidth="1"/>
    <col min="5875" max="5875" width="13.33203125" style="68" customWidth="1"/>
    <col min="5876" max="5877" width="10.5546875" style="68" customWidth="1"/>
    <col min="5878" max="5878" width="10.6640625" style="68" customWidth="1"/>
    <col min="5879" max="5879" width="12.109375" style="68" customWidth="1"/>
    <col min="5880" max="5883" width="10.5546875" style="68" customWidth="1"/>
    <col min="5884" max="5884" width="12.109375" style="68" bestFit="1" customWidth="1"/>
    <col min="5885" max="5885" width="10.5546875" style="68" customWidth="1"/>
    <col min="5886" max="5886" width="11.33203125" style="68" customWidth="1"/>
    <col min="5887" max="5887" width="14.33203125" style="68" bestFit="1" customWidth="1"/>
    <col min="5888" max="6123" width="8.88671875" style="68"/>
    <col min="6124" max="6124" width="7.6640625" style="68" customWidth="1"/>
    <col min="6125" max="6125" width="12.5546875" style="68" customWidth="1"/>
    <col min="6126" max="6126" width="9.33203125" style="68" customWidth="1"/>
    <col min="6127" max="6127" width="9.88671875" style="68" customWidth="1"/>
    <col min="6128" max="6128" width="10.33203125" style="68" bestFit="1" customWidth="1"/>
    <col min="6129" max="6129" width="11.88671875" style="68" customWidth="1"/>
    <col min="6130" max="6130" width="10.5546875" style="68" customWidth="1"/>
    <col min="6131" max="6131" width="13.33203125" style="68" customWidth="1"/>
    <col min="6132" max="6133" width="10.5546875" style="68" customWidth="1"/>
    <col min="6134" max="6134" width="10.6640625" style="68" customWidth="1"/>
    <col min="6135" max="6135" width="12.109375" style="68" customWidth="1"/>
    <col min="6136" max="6139" width="10.5546875" style="68" customWidth="1"/>
    <col min="6140" max="6140" width="12.109375" style="68" bestFit="1" customWidth="1"/>
    <col min="6141" max="6141" width="10.5546875" style="68" customWidth="1"/>
    <col min="6142" max="6142" width="11.33203125" style="68" customWidth="1"/>
    <col min="6143" max="6143" width="14.33203125" style="68" bestFit="1" customWidth="1"/>
    <col min="6144" max="6379" width="8.88671875" style="68"/>
    <col min="6380" max="6380" width="7.6640625" style="68" customWidth="1"/>
    <col min="6381" max="6381" width="12.5546875" style="68" customWidth="1"/>
    <col min="6382" max="6382" width="9.33203125" style="68" customWidth="1"/>
    <col min="6383" max="6383" width="9.88671875" style="68" customWidth="1"/>
    <col min="6384" max="6384" width="10.33203125" style="68" bestFit="1" customWidth="1"/>
    <col min="6385" max="6385" width="11.88671875" style="68" customWidth="1"/>
    <col min="6386" max="6386" width="10.5546875" style="68" customWidth="1"/>
    <col min="6387" max="6387" width="13.33203125" style="68" customWidth="1"/>
    <col min="6388" max="6389" width="10.5546875" style="68" customWidth="1"/>
    <col min="6390" max="6390" width="10.6640625" style="68" customWidth="1"/>
    <col min="6391" max="6391" width="12.109375" style="68" customWidth="1"/>
    <col min="6392" max="6395" width="10.5546875" style="68" customWidth="1"/>
    <col min="6396" max="6396" width="12.109375" style="68" bestFit="1" customWidth="1"/>
    <col min="6397" max="6397" width="10.5546875" style="68" customWidth="1"/>
    <col min="6398" max="6398" width="11.33203125" style="68" customWidth="1"/>
    <col min="6399" max="6399" width="14.33203125" style="68" bestFit="1" customWidth="1"/>
    <col min="6400" max="6635" width="8.88671875" style="68"/>
    <col min="6636" max="6636" width="7.6640625" style="68" customWidth="1"/>
    <col min="6637" max="6637" width="12.5546875" style="68" customWidth="1"/>
    <col min="6638" max="6638" width="9.33203125" style="68" customWidth="1"/>
    <col min="6639" max="6639" width="9.88671875" style="68" customWidth="1"/>
    <col min="6640" max="6640" width="10.33203125" style="68" bestFit="1" customWidth="1"/>
    <col min="6641" max="6641" width="11.88671875" style="68" customWidth="1"/>
    <col min="6642" max="6642" width="10.5546875" style="68" customWidth="1"/>
    <col min="6643" max="6643" width="13.33203125" style="68" customWidth="1"/>
    <col min="6644" max="6645" width="10.5546875" style="68" customWidth="1"/>
    <col min="6646" max="6646" width="10.6640625" style="68" customWidth="1"/>
    <col min="6647" max="6647" width="12.109375" style="68" customWidth="1"/>
    <col min="6648" max="6651" width="10.5546875" style="68" customWidth="1"/>
    <col min="6652" max="6652" width="12.109375" style="68" bestFit="1" customWidth="1"/>
    <col min="6653" max="6653" width="10.5546875" style="68" customWidth="1"/>
    <col min="6654" max="6654" width="11.33203125" style="68" customWidth="1"/>
    <col min="6655" max="6655" width="14.33203125" style="68" bestFit="1" customWidth="1"/>
    <col min="6656" max="6891" width="8.88671875" style="68"/>
    <col min="6892" max="6892" width="7.6640625" style="68" customWidth="1"/>
    <col min="6893" max="6893" width="12.5546875" style="68" customWidth="1"/>
    <col min="6894" max="6894" width="9.33203125" style="68" customWidth="1"/>
    <col min="6895" max="6895" width="9.88671875" style="68" customWidth="1"/>
    <col min="6896" max="6896" width="10.33203125" style="68" bestFit="1" customWidth="1"/>
    <col min="6897" max="6897" width="11.88671875" style="68" customWidth="1"/>
    <col min="6898" max="6898" width="10.5546875" style="68" customWidth="1"/>
    <col min="6899" max="6899" width="13.33203125" style="68" customWidth="1"/>
    <col min="6900" max="6901" width="10.5546875" style="68" customWidth="1"/>
    <col min="6902" max="6902" width="10.6640625" style="68" customWidth="1"/>
    <col min="6903" max="6903" width="12.109375" style="68" customWidth="1"/>
    <col min="6904" max="6907" width="10.5546875" style="68" customWidth="1"/>
    <col min="6908" max="6908" width="12.109375" style="68" bestFit="1" customWidth="1"/>
    <col min="6909" max="6909" width="10.5546875" style="68" customWidth="1"/>
    <col min="6910" max="6910" width="11.33203125" style="68" customWidth="1"/>
    <col min="6911" max="6911" width="14.33203125" style="68" bestFit="1" customWidth="1"/>
    <col min="6912" max="7147" width="8.88671875" style="68"/>
    <col min="7148" max="7148" width="7.6640625" style="68" customWidth="1"/>
    <col min="7149" max="7149" width="12.5546875" style="68" customWidth="1"/>
    <col min="7150" max="7150" width="9.33203125" style="68" customWidth="1"/>
    <col min="7151" max="7151" width="9.88671875" style="68" customWidth="1"/>
    <col min="7152" max="7152" width="10.33203125" style="68" bestFit="1" customWidth="1"/>
    <col min="7153" max="7153" width="11.88671875" style="68" customWidth="1"/>
    <col min="7154" max="7154" width="10.5546875" style="68" customWidth="1"/>
    <col min="7155" max="7155" width="13.33203125" style="68" customWidth="1"/>
    <col min="7156" max="7157" width="10.5546875" style="68" customWidth="1"/>
    <col min="7158" max="7158" width="10.6640625" style="68" customWidth="1"/>
    <col min="7159" max="7159" width="12.109375" style="68" customWidth="1"/>
    <col min="7160" max="7163" width="10.5546875" style="68" customWidth="1"/>
    <col min="7164" max="7164" width="12.109375" style="68" bestFit="1" customWidth="1"/>
    <col min="7165" max="7165" width="10.5546875" style="68" customWidth="1"/>
    <col min="7166" max="7166" width="11.33203125" style="68" customWidth="1"/>
    <col min="7167" max="7167" width="14.33203125" style="68" bestFit="1" customWidth="1"/>
    <col min="7168" max="7403" width="8.88671875" style="68"/>
    <col min="7404" max="7404" width="7.6640625" style="68" customWidth="1"/>
    <col min="7405" max="7405" width="12.5546875" style="68" customWidth="1"/>
    <col min="7406" max="7406" width="9.33203125" style="68" customWidth="1"/>
    <col min="7407" max="7407" width="9.88671875" style="68" customWidth="1"/>
    <col min="7408" max="7408" width="10.33203125" style="68" bestFit="1" customWidth="1"/>
    <col min="7409" max="7409" width="11.88671875" style="68" customWidth="1"/>
    <col min="7410" max="7410" width="10.5546875" style="68" customWidth="1"/>
    <col min="7411" max="7411" width="13.33203125" style="68" customWidth="1"/>
    <col min="7412" max="7413" width="10.5546875" style="68" customWidth="1"/>
    <col min="7414" max="7414" width="10.6640625" style="68" customWidth="1"/>
    <col min="7415" max="7415" width="12.109375" style="68" customWidth="1"/>
    <col min="7416" max="7419" width="10.5546875" style="68" customWidth="1"/>
    <col min="7420" max="7420" width="12.109375" style="68" bestFit="1" customWidth="1"/>
    <col min="7421" max="7421" width="10.5546875" style="68" customWidth="1"/>
    <col min="7422" max="7422" width="11.33203125" style="68" customWidth="1"/>
    <col min="7423" max="7423" width="14.33203125" style="68" bestFit="1" customWidth="1"/>
    <col min="7424" max="7659" width="8.88671875" style="68"/>
    <col min="7660" max="7660" width="7.6640625" style="68" customWidth="1"/>
    <col min="7661" max="7661" width="12.5546875" style="68" customWidth="1"/>
    <col min="7662" max="7662" width="9.33203125" style="68" customWidth="1"/>
    <col min="7663" max="7663" width="9.88671875" style="68" customWidth="1"/>
    <col min="7664" max="7664" width="10.33203125" style="68" bestFit="1" customWidth="1"/>
    <col min="7665" max="7665" width="11.88671875" style="68" customWidth="1"/>
    <col min="7666" max="7666" width="10.5546875" style="68" customWidth="1"/>
    <col min="7667" max="7667" width="13.33203125" style="68" customWidth="1"/>
    <col min="7668" max="7669" width="10.5546875" style="68" customWidth="1"/>
    <col min="7670" max="7670" width="10.6640625" style="68" customWidth="1"/>
    <col min="7671" max="7671" width="12.109375" style="68" customWidth="1"/>
    <col min="7672" max="7675" width="10.5546875" style="68" customWidth="1"/>
    <col min="7676" max="7676" width="12.109375" style="68" bestFit="1" customWidth="1"/>
    <col min="7677" max="7677" width="10.5546875" style="68" customWidth="1"/>
    <col min="7678" max="7678" width="11.33203125" style="68" customWidth="1"/>
    <col min="7679" max="7679" width="14.33203125" style="68" bestFit="1" customWidth="1"/>
    <col min="7680" max="7915" width="8.88671875" style="68"/>
    <col min="7916" max="7916" width="7.6640625" style="68" customWidth="1"/>
    <col min="7917" max="7917" width="12.5546875" style="68" customWidth="1"/>
    <col min="7918" max="7918" width="9.33203125" style="68" customWidth="1"/>
    <col min="7919" max="7919" width="9.88671875" style="68" customWidth="1"/>
    <col min="7920" max="7920" width="10.33203125" style="68" bestFit="1" customWidth="1"/>
    <col min="7921" max="7921" width="11.88671875" style="68" customWidth="1"/>
    <col min="7922" max="7922" width="10.5546875" style="68" customWidth="1"/>
    <col min="7923" max="7923" width="13.33203125" style="68" customWidth="1"/>
    <col min="7924" max="7925" width="10.5546875" style="68" customWidth="1"/>
    <col min="7926" max="7926" width="10.6640625" style="68" customWidth="1"/>
    <col min="7927" max="7927" width="12.109375" style="68" customWidth="1"/>
    <col min="7928" max="7931" width="10.5546875" style="68" customWidth="1"/>
    <col min="7932" max="7932" width="12.109375" style="68" bestFit="1" customWidth="1"/>
    <col min="7933" max="7933" width="10.5546875" style="68" customWidth="1"/>
    <col min="7934" max="7934" width="11.33203125" style="68" customWidth="1"/>
    <col min="7935" max="7935" width="14.33203125" style="68" bestFit="1" customWidth="1"/>
    <col min="7936" max="8171" width="8.88671875" style="68"/>
    <col min="8172" max="8172" width="7.6640625" style="68" customWidth="1"/>
    <col min="8173" max="8173" width="12.5546875" style="68" customWidth="1"/>
    <col min="8174" max="8174" width="9.33203125" style="68" customWidth="1"/>
    <col min="8175" max="8175" width="9.88671875" style="68" customWidth="1"/>
    <col min="8176" max="8176" width="10.33203125" style="68" bestFit="1" customWidth="1"/>
    <col min="8177" max="8177" width="11.88671875" style="68" customWidth="1"/>
    <col min="8178" max="8178" width="10.5546875" style="68" customWidth="1"/>
    <col min="8179" max="8179" width="13.33203125" style="68" customWidth="1"/>
    <col min="8180" max="8181" width="10.5546875" style="68" customWidth="1"/>
    <col min="8182" max="8182" width="10.6640625" style="68" customWidth="1"/>
    <col min="8183" max="8183" width="12.109375" style="68" customWidth="1"/>
    <col min="8184" max="8187" width="10.5546875" style="68" customWidth="1"/>
    <col min="8188" max="8188" width="12.109375" style="68" bestFit="1" customWidth="1"/>
    <col min="8189" max="8189" width="10.5546875" style="68" customWidth="1"/>
    <col min="8190" max="8190" width="11.33203125" style="68" customWidth="1"/>
    <col min="8191" max="8191" width="14.33203125" style="68" bestFit="1" customWidth="1"/>
    <col min="8192" max="8427" width="8.88671875" style="68"/>
    <col min="8428" max="8428" width="7.6640625" style="68" customWidth="1"/>
    <col min="8429" max="8429" width="12.5546875" style="68" customWidth="1"/>
    <col min="8430" max="8430" width="9.33203125" style="68" customWidth="1"/>
    <col min="8431" max="8431" width="9.88671875" style="68" customWidth="1"/>
    <col min="8432" max="8432" width="10.33203125" style="68" bestFit="1" customWidth="1"/>
    <col min="8433" max="8433" width="11.88671875" style="68" customWidth="1"/>
    <col min="8434" max="8434" width="10.5546875" style="68" customWidth="1"/>
    <col min="8435" max="8435" width="13.33203125" style="68" customWidth="1"/>
    <col min="8436" max="8437" width="10.5546875" style="68" customWidth="1"/>
    <col min="8438" max="8438" width="10.6640625" style="68" customWidth="1"/>
    <col min="8439" max="8439" width="12.109375" style="68" customWidth="1"/>
    <col min="8440" max="8443" width="10.5546875" style="68" customWidth="1"/>
    <col min="8444" max="8444" width="12.109375" style="68" bestFit="1" customWidth="1"/>
    <col min="8445" max="8445" width="10.5546875" style="68" customWidth="1"/>
    <col min="8446" max="8446" width="11.33203125" style="68" customWidth="1"/>
    <col min="8447" max="8447" width="14.33203125" style="68" bestFit="1" customWidth="1"/>
    <col min="8448" max="8683" width="8.88671875" style="68"/>
    <col min="8684" max="8684" width="7.6640625" style="68" customWidth="1"/>
    <col min="8685" max="8685" width="12.5546875" style="68" customWidth="1"/>
    <col min="8686" max="8686" width="9.33203125" style="68" customWidth="1"/>
    <col min="8687" max="8687" width="9.88671875" style="68" customWidth="1"/>
    <col min="8688" max="8688" width="10.33203125" style="68" bestFit="1" customWidth="1"/>
    <col min="8689" max="8689" width="11.88671875" style="68" customWidth="1"/>
    <col min="8690" max="8690" width="10.5546875" style="68" customWidth="1"/>
    <col min="8691" max="8691" width="13.33203125" style="68" customWidth="1"/>
    <col min="8692" max="8693" width="10.5546875" style="68" customWidth="1"/>
    <col min="8694" max="8694" width="10.6640625" style="68" customWidth="1"/>
    <col min="8695" max="8695" width="12.109375" style="68" customWidth="1"/>
    <col min="8696" max="8699" width="10.5546875" style="68" customWidth="1"/>
    <col min="8700" max="8700" width="12.109375" style="68" bestFit="1" customWidth="1"/>
    <col min="8701" max="8701" width="10.5546875" style="68" customWidth="1"/>
    <col min="8702" max="8702" width="11.33203125" style="68" customWidth="1"/>
    <col min="8703" max="8703" width="14.33203125" style="68" bestFit="1" customWidth="1"/>
    <col min="8704" max="8939" width="8.88671875" style="68"/>
    <col min="8940" max="8940" width="7.6640625" style="68" customWidth="1"/>
    <col min="8941" max="8941" width="12.5546875" style="68" customWidth="1"/>
    <col min="8942" max="8942" width="9.33203125" style="68" customWidth="1"/>
    <col min="8943" max="8943" width="9.88671875" style="68" customWidth="1"/>
    <col min="8944" max="8944" width="10.33203125" style="68" bestFit="1" customWidth="1"/>
    <col min="8945" max="8945" width="11.88671875" style="68" customWidth="1"/>
    <col min="8946" max="8946" width="10.5546875" style="68" customWidth="1"/>
    <col min="8947" max="8947" width="13.33203125" style="68" customWidth="1"/>
    <col min="8948" max="8949" width="10.5546875" style="68" customWidth="1"/>
    <col min="8950" max="8950" width="10.6640625" style="68" customWidth="1"/>
    <col min="8951" max="8951" width="12.109375" style="68" customWidth="1"/>
    <col min="8952" max="8955" width="10.5546875" style="68" customWidth="1"/>
    <col min="8956" max="8956" width="12.109375" style="68" bestFit="1" customWidth="1"/>
    <col min="8957" max="8957" width="10.5546875" style="68" customWidth="1"/>
    <col min="8958" max="8958" width="11.33203125" style="68" customWidth="1"/>
    <col min="8959" max="8959" width="14.33203125" style="68" bestFit="1" customWidth="1"/>
    <col min="8960" max="9195" width="8.88671875" style="68"/>
    <col min="9196" max="9196" width="7.6640625" style="68" customWidth="1"/>
    <col min="9197" max="9197" width="12.5546875" style="68" customWidth="1"/>
    <col min="9198" max="9198" width="9.33203125" style="68" customWidth="1"/>
    <col min="9199" max="9199" width="9.88671875" style="68" customWidth="1"/>
    <col min="9200" max="9200" width="10.33203125" style="68" bestFit="1" customWidth="1"/>
    <col min="9201" max="9201" width="11.88671875" style="68" customWidth="1"/>
    <col min="9202" max="9202" width="10.5546875" style="68" customWidth="1"/>
    <col min="9203" max="9203" width="13.33203125" style="68" customWidth="1"/>
    <col min="9204" max="9205" width="10.5546875" style="68" customWidth="1"/>
    <col min="9206" max="9206" width="10.6640625" style="68" customWidth="1"/>
    <col min="9207" max="9207" width="12.109375" style="68" customWidth="1"/>
    <col min="9208" max="9211" width="10.5546875" style="68" customWidth="1"/>
    <col min="9212" max="9212" width="12.109375" style="68" bestFit="1" customWidth="1"/>
    <col min="9213" max="9213" width="10.5546875" style="68" customWidth="1"/>
    <col min="9214" max="9214" width="11.33203125" style="68" customWidth="1"/>
    <col min="9215" max="9215" width="14.33203125" style="68" bestFit="1" customWidth="1"/>
    <col min="9216" max="9451" width="8.88671875" style="68"/>
    <col min="9452" max="9452" width="7.6640625" style="68" customWidth="1"/>
    <col min="9453" max="9453" width="12.5546875" style="68" customWidth="1"/>
    <col min="9454" max="9454" width="9.33203125" style="68" customWidth="1"/>
    <col min="9455" max="9455" width="9.88671875" style="68" customWidth="1"/>
    <col min="9456" max="9456" width="10.33203125" style="68" bestFit="1" customWidth="1"/>
    <col min="9457" max="9457" width="11.88671875" style="68" customWidth="1"/>
    <col min="9458" max="9458" width="10.5546875" style="68" customWidth="1"/>
    <col min="9459" max="9459" width="13.33203125" style="68" customWidth="1"/>
    <col min="9460" max="9461" width="10.5546875" style="68" customWidth="1"/>
    <col min="9462" max="9462" width="10.6640625" style="68" customWidth="1"/>
    <col min="9463" max="9463" width="12.109375" style="68" customWidth="1"/>
    <col min="9464" max="9467" width="10.5546875" style="68" customWidth="1"/>
    <col min="9468" max="9468" width="12.109375" style="68" bestFit="1" customWidth="1"/>
    <col min="9469" max="9469" width="10.5546875" style="68" customWidth="1"/>
    <col min="9470" max="9470" width="11.33203125" style="68" customWidth="1"/>
    <col min="9471" max="9471" width="14.33203125" style="68" bestFit="1" customWidth="1"/>
    <col min="9472" max="9707" width="8.88671875" style="68"/>
    <col min="9708" max="9708" width="7.6640625" style="68" customWidth="1"/>
    <col min="9709" max="9709" width="12.5546875" style="68" customWidth="1"/>
    <col min="9710" max="9710" width="9.33203125" style="68" customWidth="1"/>
    <col min="9711" max="9711" width="9.88671875" style="68" customWidth="1"/>
    <col min="9712" max="9712" width="10.33203125" style="68" bestFit="1" customWidth="1"/>
    <col min="9713" max="9713" width="11.88671875" style="68" customWidth="1"/>
    <col min="9714" max="9714" width="10.5546875" style="68" customWidth="1"/>
    <col min="9715" max="9715" width="13.33203125" style="68" customWidth="1"/>
    <col min="9716" max="9717" width="10.5546875" style="68" customWidth="1"/>
    <col min="9718" max="9718" width="10.6640625" style="68" customWidth="1"/>
    <col min="9719" max="9719" width="12.109375" style="68" customWidth="1"/>
    <col min="9720" max="9723" width="10.5546875" style="68" customWidth="1"/>
    <col min="9724" max="9724" width="12.109375" style="68" bestFit="1" customWidth="1"/>
    <col min="9725" max="9725" width="10.5546875" style="68" customWidth="1"/>
    <col min="9726" max="9726" width="11.33203125" style="68" customWidth="1"/>
    <col min="9727" max="9727" width="14.33203125" style="68" bestFit="1" customWidth="1"/>
    <col min="9728" max="9963" width="8.88671875" style="68"/>
    <col min="9964" max="9964" width="7.6640625" style="68" customWidth="1"/>
    <col min="9965" max="9965" width="12.5546875" style="68" customWidth="1"/>
    <col min="9966" max="9966" width="9.33203125" style="68" customWidth="1"/>
    <col min="9967" max="9967" width="9.88671875" style="68" customWidth="1"/>
    <col min="9968" max="9968" width="10.33203125" style="68" bestFit="1" customWidth="1"/>
    <col min="9969" max="9969" width="11.88671875" style="68" customWidth="1"/>
    <col min="9970" max="9970" width="10.5546875" style="68" customWidth="1"/>
    <col min="9971" max="9971" width="13.33203125" style="68" customWidth="1"/>
    <col min="9972" max="9973" width="10.5546875" style="68" customWidth="1"/>
    <col min="9974" max="9974" width="10.6640625" style="68" customWidth="1"/>
    <col min="9975" max="9975" width="12.109375" style="68" customWidth="1"/>
    <col min="9976" max="9979" width="10.5546875" style="68" customWidth="1"/>
    <col min="9980" max="9980" width="12.109375" style="68" bestFit="1" customWidth="1"/>
    <col min="9981" max="9981" width="10.5546875" style="68" customWidth="1"/>
    <col min="9982" max="9982" width="11.33203125" style="68" customWidth="1"/>
    <col min="9983" max="9983" width="14.33203125" style="68" bestFit="1" customWidth="1"/>
    <col min="9984" max="10219" width="8.88671875" style="68"/>
    <col min="10220" max="10220" width="7.6640625" style="68" customWidth="1"/>
    <col min="10221" max="10221" width="12.5546875" style="68" customWidth="1"/>
    <col min="10222" max="10222" width="9.33203125" style="68" customWidth="1"/>
    <col min="10223" max="10223" width="9.88671875" style="68" customWidth="1"/>
    <col min="10224" max="10224" width="10.33203125" style="68" bestFit="1" customWidth="1"/>
    <col min="10225" max="10225" width="11.88671875" style="68" customWidth="1"/>
    <col min="10226" max="10226" width="10.5546875" style="68" customWidth="1"/>
    <col min="10227" max="10227" width="13.33203125" style="68" customWidth="1"/>
    <col min="10228" max="10229" width="10.5546875" style="68" customWidth="1"/>
    <col min="10230" max="10230" width="10.6640625" style="68" customWidth="1"/>
    <col min="10231" max="10231" width="12.109375" style="68" customWidth="1"/>
    <col min="10232" max="10235" width="10.5546875" style="68" customWidth="1"/>
    <col min="10236" max="10236" width="12.109375" style="68" bestFit="1" customWidth="1"/>
    <col min="10237" max="10237" width="10.5546875" style="68" customWidth="1"/>
    <col min="10238" max="10238" width="11.33203125" style="68" customWidth="1"/>
    <col min="10239" max="10239" width="14.33203125" style="68" bestFit="1" customWidth="1"/>
    <col min="10240" max="10475" width="8.88671875" style="68"/>
    <col min="10476" max="10476" width="7.6640625" style="68" customWidth="1"/>
    <col min="10477" max="10477" width="12.5546875" style="68" customWidth="1"/>
    <col min="10478" max="10478" width="9.33203125" style="68" customWidth="1"/>
    <col min="10479" max="10479" width="9.88671875" style="68" customWidth="1"/>
    <col min="10480" max="10480" width="10.33203125" style="68" bestFit="1" customWidth="1"/>
    <col min="10481" max="10481" width="11.88671875" style="68" customWidth="1"/>
    <col min="10482" max="10482" width="10.5546875" style="68" customWidth="1"/>
    <col min="10483" max="10483" width="13.33203125" style="68" customWidth="1"/>
    <col min="10484" max="10485" width="10.5546875" style="68" customWidth="1"/>
    <col min="10486" max="10486" width="10.6640625" style="68" customWidth="1"/>
    <col min="10487" max="10487" width="12.109375" style="68" customWidth="1"/>
    <col min="10488" max="10491" width="10.5546875" style="68" customWidth="1"/>
    <col min="10492" max="10492" width="12.109375" style="68" bestFit="1" customWidth="1"/>
    <col min="10493" max="10493" width="10.5546875" style="68" customWidth="1"/>
    <col min="10494" max="10494" width="11.33203125" style="68" customWidth="1"/>
    <col min="10495" max="10495" width="14.33203125" style="68" bestFit="1" customWidth="1"/>
    <col min="10496" max="10731" width="8.88671875" style="68"/>
    <col min="10732" max="10732" width="7.6640625" style="68" customWidth="1"/>
    <col min="10733" max="10733" width="12.5546875" style="68" customWidth="1"/>
    <col min="10734" max="10734" width="9.33203125" style="68" customWidth="1"/>
    <col min="10735" max="10735" width="9.88671875" style="68" customWidth="1"/>
    <col min="10736" max="10736" width="10.33203125" style="68" bestFit="1" customWidth="1"/>
    <col min="10737" max="10737" width="11.88671875" style="68" customWidth="1"/>
    <col min="10738" max="10738" width="10.5546875" style="68" customWidth="1"/>
    <col min="10739" max="10739" width="13.33203125" style="68" customWidth="1"/>
    <col min="10740" max="10741" width="10.5546875" style="68" customWidth="1"/>
    <col min="10742" max="10742" width="10.6640625" style="68" customWidth="1"/>
    <col min="10743" max="10743" width="12.109375" style="68" customWidth="1"/>
    <col min="10744" max="10747" width="10.5546875" style="68" customWidth="1"/>
    <col min="10748" max="10748" width="12.109375" style="68" bestFit="1" customWidth="1"/>
    <col min="10749" max="10749" width="10.5546875" style="68" customWidth="1"/>
    <col min="10750" max="10750" width="11.33203125" style="68" customWidth="1"/>
    <col min="10751" max="10751" width="14.33203125" style="68" bestFit="1" customWidth="1"/>
    <col min="10752" max="10987" width="8.88671875" style="68"/>
    <col min="10988" max="10988" width="7.6640625" style="68" customWidth="1"/>
    <col min="10989" max="10989" width="12.5546875" style="68" customWidth="1"/>
    <col min="10990" max="10990" width="9.33203125" style="68" customWidth="1"/>
    <col min="10991" max="10991" width="9.88671875" style="68" customWidth="1"/>
    <col min="10992" max="10992" width="10.33203125" style="68" bestFit="1" customWidth="1"/>
    <col min="10993" max="10993" width="11.88671875" style="68" customWidth="1"/>
    <col min="10994" max="10994" width="10.5546875" style="68" customWidth="1"/>
    <col min="10995" max="10995" width="13.33203125" style="68" customWidth="1"/>
    <col min="10996" max="10997" width="10.5546875" style="68" customWidth="1"/>
    <col min="10998" max="10998" width="10.6640625" style="68" customWidth="1"/>
    <col min="10999" max="10999" width="12.109375" style="68" customWidth="1"/>
    <col min="11000" max="11003" width="10.5546875" style="68" customWidth="1"/>
    <col min="11004" max="11004" width="12.109375" style="68" bestFit="1" customWidth="1"/>
    <col min="11005" max="11005" width="10.5546875" style="68" customWidth="1"/>
    <col min="11006" max="11006" width="11.33203125" style="68" customWidth="1"/>
    <col min="11007" max="11007" width="14.33203125" style="68" bestFit="1" customWidth="1"/>
    <col min="11008" max="11243" width="8.88671875" style="68"/>
    <col min="11244" max="11244" width="7.6640625" style="68" customWidth="1"/>
    <col min="11245" max="11245" width="12.5546875" style="68" customWidth="1"/>
    <col min="11246" max="11246" width="9.33203125" style="68" customWidth="1"/>
    <col min="11247" max="11247" width="9.88671875" style="68" customWidth="1"/>
    <col min="11248" max="11248" width="10.33203125" style="68" bestFit="1" customWidth="1"/>
    <col min="11249" max="11249" width="11.88671875" style="68" customWidth="1"/>
    <col min="11250" max="11250" width="10.5546875" style="68" customWidth="1"/>
    <col min="11251" max="11251" width="13.33203125" style="68" customWidth="1"/>
    <col min="11252" max="11253" width="10.5546875" style="68" customWidth="1"/>
    <col min="11254" max="11254" width="10.6640625" style="68" customWidth="1"/>
    <col min="11255" max="11255" width="12.109375" style="68" customWidth="1"/>
    <col min="11256" max="11259" width="10.5546875" style="68" customWidth="1"/>
    <col min="11260" max="11260" width="12.109375" style="68" bestFit="1" customWidth="1"/>
    <col min="11261" max="11261" width="10.5546875" style="68" customWidth="1"/>
    <col min="11262" max="11262" width="11.33203125" style="68" customWidth="1"/>
    <col min="11263" max="11263" width="14.33203125" style="68" bestFit="1" customWidth="1"/>
    <col min="11264" max="11499" width="8.88671875" style="68"/>
    <col min="11500" max="11500" width="7.6640625" style="68" customWidth="1"/>
    <col min="11501" max="11501" width="12.5546875" style="68" customWidth="1"/>
    <col min="11502" max="11502" width="9.33203125" style="68" customWidth="1"/>
    <col min="11503" max="11503" width="9.88671875" style="68" customWidth="1"/>
    <col min="11504" max="11504" width="10.33203125" style="68" bestFit="1" customWidth="1"/>
    <col min="11505" max="11505" width="11.88671875" style="68" customWidth="1"/>
    <col min="11506" max="11506" width="10.5546875" style="68" customWidth="1"/>
    <col min="11507" max="11507" width="13.33203125" style="68" customWidth="1"/>
    <col min="11508" max="11509" width="10.5546875" style="68" customWidth="1"/>
    <col min="11510" max="11510" width="10.6640625" style="68" customWidth="1"/>
    <col min="11511" max="11511" width="12.109375" style="68" customWidth="1"/>
    <col min="11512" max="11515" width="10.5546875" style="68" customWidth="1"/>
    <col min="11516" max="11516" width="12.109375" style="68" bestFit="1" customWidth="1"/>
    <col min="11517" max="11517" width="10.5546875" style="68" customWidth="1"/>
    <col min="11518" max="11518" width="11.33203125" style="68" customWidth="1"/>
    <col min="11519" max="11519" width="14.33203125" style="68" bestFit="1" customWidth="1"/>
    <col min="11520" max="11755" width="8.88671875" style="68"/>
    <col min="11756" max="11756" width="7.6640625" style="68" customWidth="1"/>
    <col min="11757" max="11757" width="12.5546875" style="68" customWidth="1"/>
    <col min="11758" max="11758" width="9.33203125" style="68" customWidth="1"/>
    <col min="11759" max="11759" width="9.88671875" style="68" customWidth="1"/>
    <col min="11760" max="11760" width="10.33203125" style="68" bestFit="1" customWidth="1"/>
    <col min="11761" max="11761" width="11.88671875" style="68" customWidth="1"/>
    <col min="11762" max="11762" width="10.5546875" style="68" customWidth="1"/>
    <col min="11763" max="11763" width="13.33203125" style="68" customWidth="1"/>
    <col min="11764" max="11765" width="10.5546875" style="68" customWidth="1"/>
    <col min="11766" max="11766" width="10.6640625" style="68" customWidth="1"/>
    <col min="11767" max="11767" width="12.109375" style="68" customWidth="1"/>
    <col min="11768" max="11771" width="10.5546875" style="68" customWidth="1"/>
    <col min="11772" max="11772" width="12.109375" style="68" bestFit="1" customWidth="1"/>
    <col min="11773" max="11773" width="10.5546875" style="68" customWidth="1"/>
    <col min="11774" max="11774" width="11.33203125" style="68" customWidth="1"/>
    <col min="11775" max="11775" width="14.33203125" style="68" bestFit="1" customWidth="1"/>
    <col min="11776" max="12011" width="8.88671875" style="68"/>
    <col min="12012" max="12012" width="7.6640625" style="68" customWidth="1"/>
    <col min="12013" max="12013" width="12.5546875" style="68" customWidth="1"/>
    <col min="12014" max="12014" width="9.33203125" style="68" customWidth="1"/>
    <col min="12015" max="12015" width="9.88671875" style="68" customWidth="1"/>
    <col min="12016" max="12016" width="10.33203125" style="68" bestFit="1" customWidth="1"/>
    <col min="12017" max="12017" width="11.88671875" style="68" customWidth="1"/>
    <col min="12018" max="12018" width="10.5546875" style="68" customWidth="1"/>
    <col min="12019" max="12019" width="13.33203125" style="68" customWidth="1"/>
    <col min="12020" max="12021" width="10.5546875" style="68" customWidth="1"/>
    <col min="12022" max="12022" width="10.6640625" style="68" customWidth="1"/>
    <col min="12023" max="12023" width="12.109375" style="68" customWidth="1"/>
    <col min="12024" max="12027" width="10.5546875" style="68" customWidth="1"/>
    <col min="12028" max="12028" width="12.109375" style="68" bestFit="1" customWidth="1"/>
    <col min="12029" max="12029" width="10.5546875" style="68" customWidth="1"/>
    <col min="12030" max="12030" width="11.33203125" style="68" customWidth="1"/>
    <col min="12031" max="12031" width="14.33203125" style="68" bestFit="1" customWidth="1"/>
    <col min="12032" max="12267" width="8.88671875" style="68"/>
    <col min="12268" max="12268" width="7.6640625" style="68" customWidth="1"/>
    <col min="12269" max="12269" width="12.5546875" style="68" customWidth="1"/>
    <col min="12270" max="12270" width="9.33203125" style="68" customWidth="1"/>
    <col min="12271" max="12271" width="9.88671875" style="68" customWidth="1"/>
    <col min="12272" max="12272" width="10.33203125" style="68" bestFit="1" customWidth="1"/>
    <col min="12273" max="12273" width="11.88671875" style="68" customWidth="1"/>
    <col min="12274" max="12274" width="10.5546875" style="68" customWidth="1"/>
    <col min="12275" max="12275" width="13.33203125" style="68" customWidth="1"/>
    <col min="12276" max="12277" width="10.5546875" style="68" customWidth="1"/>
    <col min="12278" max="12278" width="10.6640625" style="68" customWidth="1"/>
    <col min="12279" max="12279" width="12.109375" style="68" customWidth="1"/>
    <col min="12280" max="12283" width="10.5546875" style="68" customWidth="1"/>
    <col min="12284" max="12284" width="12.109375" style="68" bestFit="1" customWidth="1"/>
    <col min="12285" max="12285" width="10.5546875" style="68" customWidth="1"/>
    <col min="12286" max="12286" width="11.33203125" style="68" customWidth="1"/>
    <col min="12287" max="12287" width="14.33203125" style="68" bestFit="1" customWidth="1"/>
    <col min="12288" max="12523" width="8.88671875" style="68"/>
    <col min="12524" max="12524" width="7.6640625" style="68" customWidth="1"/>
    <col min="12525" max="12525" width="12.5546875" style="68" customWidth="1"/>
    <col min="12526" max="12526" width="9.33203125" style="68" customWidth="1"/>
    <col min="12527" max="12527" width="9.88671875" style="68" customWidth="1"/>
    <col min="12528" max="12528" width="10.33203125" style="68" bestFit="1" customWidth="1"/>
    <col min="12529" max="12529" width="11.88671875" style="68" customWidth="1"/>
    <col min="12530" max="12530" width="10.5546875" style="68" customWidth="1"/>
    <col min="12531" max="12531" width="13.33203125" style="68" customWidth="1"/>
    <col min="12532" max="12533" width="10.5546875" style="68" customWidth="1"/>
    <col min="12534" max="12534" width="10.6640625" style="68" customWidth="1"/>
    <col min="12535" max="12535" width="12.109375" style="68" customWidth="1"/>
    <col min="12536" max="12539" width="10.5546875" style="68" customWidth="1"/>
    <col min="12540" max="12540" width="12.109375" style="68" bestFit="1" customWidth="1"/>
    <col min="12541" max="12541" width="10.5546875" style="68" customWidth="1"/>
    <col min="12542" max="12542" width="11.33203125" style="68" customWidth="1"/>
    <col min="12543" max="12543" width="14.33203125" style="68" bestFit="1" customWidth="1"/>
    <col min="12544" max="12779" width="8.88671875" style="68"/>
    <col min="12780" max="12780" width="7.6640625" style="68" customWidth="1"/>
    <col min="12781" max="12781" width="12.5546875" style="68" customWidth="1"/>
    <col min="12782" max="12782" width="9.33203125" style="68" customWidth="1"/>
    <col min="12783" max="12783" width="9.88671875" style="68" customWidth="1"/>
    <col min="12784" max="12784" width="10.33203125" style="68" bestFit="1" customWidth="1"/>
    <col min="12785" max="12785" width="11.88671875" style="68" customWidth="1"/>
    <col min="12786" max="12786" width="10.5546875" style="68" customWidth="1"/>
    <col min="12787" max="12787" width="13.33203125" style="68" customWidth="1"/>
    <col min="12788" max="12789" width="10.5546875" style="68" customWidth="1"/>
    <col min="12790" max="12790" width="10.6640625" style="68" customWidth="1"/>
    <col min="12791" max="12791" width="12.109375" style="68" customWidth="1"/>
    <col min="12792" max="12795" width="10.5546875" style="68" customWidth="1"/>
    <col min="12796" max="12796" width="12.109375" style="68" bestFit="1" customWidth="1"/>
    <col min="12797" max="12797" width="10.5546875" style="68" customWidth="1"/>
    <col min="12798" max="12798" width="11.33203125" style="68" customWidth="1"/>
    <col min="12799" max="12799" width="14.33203125" style="68" bestFit="1" customWidth="1"/>
    <col min="12800" max="13035" width="8.88671875" style="68"/>
    <col min="13036" max="13036" width="7.6640625" style="68" customWidth="1"/>
    <col min="13037" max="13037" width="12.5546875" style="68" customWidth="1"/>
    <col min="13038" max="13038" width="9.33203125" style="68" customWidth="1"/>
    <col min="13039" max="13039" width="9.88671875" style="68" customWidth="1"/>
    <col min="13040" max="13040" width="10.33203125" style="68" bestFit="1" customWidth="1"/>
    <col min="13041" max="13041" width="11.88671875" style="68" customWidth="1"/>
    <col min="13042" max="13042" width="10.5546875" style="68" customWidth="1"/>
    <col min="13043" max="13043" width="13.33203125" style="68" customWidth="1"/>
    <col min="13044" max="13045" width="10.5546875" style="68" customWidth="1"/>
    <col min="13046" max="13046" width="10.6640625" style="68" customWidth="1"/>
    <col min="13047" max="13047" width="12.109375" style="68" customWidth="1"/>
    <col min="13048" max="13051" width="10.5546875" style="68" customWidth="1"/>
    <col min="13052" max="13052" width="12.109375" style="68" bestFit="1" customWidth="1"/>
    <col min="13053" max="13053" width="10.5546875" style="68" customWidth="1"/>
    <col min="13054" max="13054" width="11.33203125" style="68" customWidth="1"/>
    <col min="13055" max="13055" width="14.33203125" style="68" bestFit="1" customWidth="1"/>
    <col min="13056" max="13291" width="8.88671875" style="68"/>
    <col min="13292" max="13292" width="7.6640625" style="68" customWidth="1"/>
    <col min="13293" max="13293" width="12.5546875" style="68" customWidth="1"/>
    <col min="13294" max="13294" width="9.33203125" style="68" customWidth="1"/>
    <col min="13295" max="13295" width="9.88671875" style="68" customWidth="1"/>
    <col min="13296" max="13296" width="10.33203125" style="68" bestFit="1" customWidth="1"/>
    <col min="13297" max="13297" width="11.88671875" style="68" customWidth="1"/>
    <col min="13298" max="13298" width="10.5546875" style="68" customWidth="1"/>
    <col min="13299" max="13299" width="13.33203125" style="68" customWidth="1"/>
    <col min="13300" max="13301" width="10.5546875" style="68" customWidth="1"/>
    <col min="13302" max="13302" width="10.6640625" style="68" customWidth="1"/>
    <col min="13303" max="13303" width="12.109375" style="68" customWidth="1"/>
    <col min="13304" max="13307" width="10.5546875" style="68" customWidth="1"/>
    <col min="13308" max="13308" width="12.109375" style="68" bestFit="1" customWidth="1"/>
    <col min="13309" max="13309" width="10.5546875" style="68" customWidth="1"/>
    <col min="13310" max="13310" width="11.33203125" style="68" customWidth="1"/>
    <col min="13311" max="13311" width="14.33203125" style="68" bestFit="1" customWidth="1"/>
    <col min="13312" max="13547" width="8.88671875" style="68"/>
    <col min="13548" max="13548" width="7.6640625" style="68" customWidth="1"/>
    <col min="13549" max="13549" width="12.5546875" style="68" customWidth="1"/>
    <col min="13550" max="13550" width="9.33203125" style="68" customWidth="1"/>
    <col min="13551" max="13551" width="9.88671875" style="68" customWidth="1"/>
    <col min="13552" max="13552" width="10.33203125" style="68" bestFit="1" customWidth="1"/>
    <col min="13553" max="13553" width="11.88671875" style="68" customWidth="1"/>
    <col min="13554" max="13554" width="10.5546875" style="68" customWidth="1"/>
    <col min="13555" max="13555" width="13.33203125" style="68" customWidth="1"/>
    <col min="13556" max="13557" width="10.5546875" style="68" customWidth="1"/>
    <col min="13558" max="13558" width="10.6640625" style="68" customWidth="1"/>
    <col min="13559" max="13559" width="12.109375" style="68" customWidth="1"/>
    <col min="13560" max="13563" width="10.5546875" style="68" customWidth="1"/>
    <col min="13564" max="13564" width="12.109375" style="68" bestFit="1" customWidth="1"/>
    <col min="13565" max="13565" width="10.5546875" style="68" customWidth="1"/>
    <col min="13566" max="13566" width="11.33203125" style="68" customWidth="1"/>
    <col min="13567" max="13567" width="14.33203125" style="68" bestFit="1" customWidth="1"/>
    <col min="13568" max="13803" width="8.88671875" style="68"/>
    <col min="13804" max="13804" width="7.6640625" style="68" customWidth="1"/>
    <col min="13805" max="13805" width="12.5546875" style="68" customWidth="1"/>
    <col min="13806" max="13806" width="9.33203125" style="68" customWidth="1"/>
    <col min="13807" max="13807" width="9.88671875" style="68" customWidth="1"/>
    <col min="13808" max="13808" width="10.33203125" style="68" bestFit="1" customWidth="1"/>
    <col min="13809" max="13809" width="11.88671875" style="68" customWidth="1"/>
    <col min="13810" max="13810" width="10.5546875" style="68" customWidth="1"/>
    <col min="13811" max="13811" width="13.33203125" style="68" customWidth="1"/>
    <col min="13812" max="13813" width="10.5546875" style="68" customWidth="1"/>
    <col min="13814" max="13814" width="10.6640625" style="68" customWidth="1"/>
    <col min="13815" max="13815" width="12.109375" style="68" customWidth="1"/>
    <col min="13816" max="13819" width="10.5546875" style="68" customWidth="1"/>
    <col min="13820" max="13820" width="12.109375" style="68" bestFit="1" customWidth="1"/>
    <col min="13821" max="13821" width="10.5546875" style="68" customWidth="1"/>
    <col min="13822" max="13822" width="11.33203125" style="68" customWidth="1"/>
    <col min="13823" max="13823" width="14.33203125" style="68" bestFit="1" customWidth="1"/>
    <col min="13824" max="14059" width="8.88671875" style="68"/>
    <col min="14060" max="14060" width="7.6640625" style="68" customWidth="1"/>
    <col min="14061" max="14061" width="12.5546875" style="68" customWidth="1"/>
    <col min="14062" max="14062" width="9.33203125" style="68" customWidth="1"/>
    <col min="14063" max="14063" width="9.88671875" style="68" customWidth="1"/>
    <col min="14064" max="14064" width="10.33203125" style="68" bestFit="1" customWidth="1"/>
    <col min="14065" max="14065" width="11.88671875" style="68" customWidth="1"/>
    <col min="14066" max="14066" width="10.5546875" style="68" customWidth="1"/>
    <col min="14067" max="14067" width="13.33203125" style="68" customWidth="1"/>
    <col min="14068" max="14069" width="10.5546875" style="68" customWidth="1"/>
    <col min="14070" max="14070" width="10.6640625" style="68" customWidth="1"/>
    <col min="14071" max="14071" width="12.109375" style="68" customWidth="1"/>
    <col min="14072" max="14075" width="10.5546875" style="68" customWidth="1"/>
    <col min="14076" max="14076" width="12.109375" style="68" bestFit="1" customWidth="1"/>
    <col min="14077" max="14077" width="10.5546875" style="68" customWidth="1"/>
    <col min="14078" max="14078" width="11.33203125" style="68" customWidth="1"/>
    <col min="14079" max="14079" width="14.33203125" style="68" bestFit="1" customWidth="1"/>
    <col min="14080" max="14315" width="8.88671875" style="68"/>
    <col min="14316" max="14316" width="7.6640625" style="68" customWidth="1"/>
    <col min="14317" max="14317" width="12.5546875" style="68" customWidth="1"/>
    <col min="14318" max="14318" width="9.33203125" style="68" customWidth="1"/>
    <col min="14319" max="14319" width="9.88671875" style="68" customWidth="1"/>
    <col min="14320" max="14320" width="10.33203125" style="68" bestFit="1" customWidth="1"/>
    <col min="14321" max="14321" width="11.88671875" style="68" customWidth="1"/>
    <col min="14322" max="14322" width="10.5546875" style="68" customWidth="1"/>
    <col min="14323" max="14323" width="13.33203125" style="68" customWidth="1"/>
    <col min="14324" max="14325" width="10.5546875" style="68" customWidth="1"/>
    <col min="14326" max="14326" width="10.6640625" style="68" customWidth="1"/>
    <col min="14327" max="14327" width="12.109375" style="68" customWidth="1"/>
    <col min="14328" max="14331" width="10.5546875" style="68" customWidth="1"/>
    <col min="14332" max="14332" width="12.109375" style="68" bestFit="1" customWidth="1"/>
    <col min="14333" max="14333" width="10.5546875" style="68" customWidth="1"/>
    <col min="14334" max="14334" width="11.33203125" style="68" customWidth="1"/>
    <col min="14335" max="14335" width="14.33203125" style="68" bestFit="1" customWidth="1"/>
    <col min="14336" max="14571" width="8.88671875" style="68"/>
    <col min="14572" max="14572" width="7.6640625" style="68" customWidth="1"/>
    <col min="14573" max="14573" width="12.5546875" style="68" customWidth="1"/>
    <col min="14574" max="14574" width="9.33203125" style="68" customWidth="1"/>
    <col min="14575" max="14575" width="9.88671875" style="68" customWidth="1"/>
    <col min="14576" max="14576" width="10.33203125" style="68" bestFit="1" customWidth="1"/>
    <col min="14577" max="14577" width="11.88671875" style="68" customWidth="1"/>
    <col min="14578" max="14578" width="10.5546875" style="68" customWidth="1"/>
    <col min="14579" max="14579" width="13.33203125" style="68" customWidth="1"/>
    <col min="14580" max="14581" width="10.5546875" style="68" customWidth="1"/>
    <col min="14582" max="14582" width="10.6640625" style="68" customWidth="1"/>
    <col min="14583" max="14583" width="12.109375" style="68" customWidth="1"/>
    <col min="14584" max="14587" width="10.5546875" style="68" customWidth="1"/>
    <col min="14588" max="14588" width="12.109375" style="68" bestFit="1" customWidth="1"/>
    <col min="14589" max="14589" width="10.5546875" style="68" customWidth="1"/>
    <col min="14590" max="14590" width="11.33203125" style="68" customWidth="1"/>
    <col min="14591" max="14591" width="14.33203125" style="68" bestFit="1" customWidth="1"/>
    <col min="14592" max="14827" width="8.88671875" style="68"/>
    <col min="14828" max="14828" width="7.6640625" style="68" customWidth="1"/>
    <col min="14829" max="14829" width="12.5546875" style="68" customWidth="1"/>
    <col min="14830" max="14830" width="9.33203125" style="68" customWidth="1"/>
    <col min="14831" max="14831" width="9.88671875" style="68" customWidth="1"/>
    <col min="14832" max="14832" width="10.33203125" style="68" bestFit="1" customWidth="1"/>
    <col min="14833" max="14833" width="11.88671875" style="68" customWidth="1"/>
    <col min="14834" max="14834" width="10.5546875" style="68" customWidth="1"/>
    <col min="14835" max="14835" width="13.33203125" style="68" customWidth="1"/>
    <col min="14836" max="14837" width="10.5546875" style="68" customWidth="1"/>
    <col min="14838" max="14838" width="10.6640625" style="68" customWidth="1"/>
    <col min="14839" max="14839" width="12.109375" style="68" customWidth="1"/>
    <col min="14840" max="14843" width="10.5546875" style="68" customWidth="1"/>
    <col min="14844" max="14844" width="12.109375" style="68" bestFit="1" customWidth="1"/>
    <col min="14845" max="14845" width="10.5546875" style="68" customWidth="1"/>
    <col min="14846" max="14846" width="11.33203125" style="68" customWidth="1"/>
    <col min="14847" max="14847" width="14.33203125" style="68" bestFit="1" customWidth="1"/>
    <col min="14848" max="15083" width="8.88671875" style="68"/>
    <col min="15084" max="15084" width="7.6640625" style="68" customWidth="1"/>
    <col min="15085" max="15085" width="12.5546875" style="68" customWidth="1"/>
    <col min="15086" max="15086" width="9.33203125" style="68" customWidth="1"/>
    <col min="15087" max="15087" width="9.88671875" style="68" customWidth="1"/>
    <col min="15088" max="15088" width="10.33203125" style="68" bestFit="1" customWidth="1"/>
    <col min="15089" max="15089" width="11.88671875" style="68" customWidth="1"/>
    <col min="15090" max="15090" width="10.5546875" style="68" customWidth="1"/>
    <col min="15091" max="15091" width="13.33203125" style="68" customWidth="1"/>
    <col min="15092" max="15093" width="10.5546875" style="68" customWidth="1"/>
    <col min="15094" max="15094" width="10.6640625" style="68" customWidth="1"/>
    <col min="15095" max="15095" width="12.109375" style="68" customWidth="1"/>
    <col min="15096" max="15099" width="10.5546875" style="68" customWidth="1"/>
    <col min="15100" max="15100" width="12.109375" style="68" bestFit="1" customWidth="1"/>
    <col min="15101" max="15101" width="10.5546875" style="68" customWidth="1"/>
    <col min="15102" max="15102" width="11.33203125" style="68" customWidth="1"/>
    <col min="15103" max="15103" width="14.33203125" style="68" bestFit="1" customWidth="1"/>
    <col min="15104" max="15339" width="8.88671875" style="68"/>
    <col min="15340" max="15340" width="7.6640625" style="68" customWidth="1"/>
    <col min="15341" max="15341" width="12.5546875" style="68" customWidth="1"/>
    <col min="15342" max="15342" width="9.33203125" style="68" customWidth="1"/>
    <col min="15343" max="15343" width="9.88671875" style="68" customWidth="1"/>
    <col min="15344" max="15344" width="10.33203125" style="68" bestFit="1" customWidth="1"/>
    <col min="15345" max="15345" width="11.88671875" style="68" customWidth="1"/>
    <col min="15346" max="15346" width="10.5546875" style="68" customWidth="1"/>
    <col min="15347" max="15347" width="13.33203125" style="68" customWidth="1"/>
    <col min="15348" max="15349" width="10.5546875" style="68" customWidth="1"/>
    <col min="15350" max="15350" width="10.6640625" style="68" customWidth="1"/>
    <col min="15351" max="15351" width="12.109375" style="68" customWidth="1"/>
    <col min="15352" max="15355" width="10.5546875" style="68" customWidth="1"/>
    <col min="15356" max="15356" width="12.109375" style="68" bestFit="1" customWidth="1"/>
    <col min="15357" max="15357" width="10.5546875" style="68" customWidth="1"/>
    <col min="15358" max="15358" width="11.33203125" style="68" customWidth="1"/>
    <col min="15359" max="15359" width="14.33203125" style="68" bestFit="1" customWidth="1"/>
    <col min="15360" max="15595" width="8.88671875" style="68"/>
    <col min="15596" max="15596" width="7.6640625" style="68" customWidth="1"/>
    <col min="15597" max="15597" width="12.5546875" style="68" customWidth="1"/>
    <col min="15598" max="15598" width="9.33203125" style="68" customWidth="1"/>
    <col min="15599" max="15599" width="9.88671875" style="68" customWidth="1"/>
    <col min="15600" max="15600" width="10.33203125" style="68" bestFit="1" customWidth="1"/>
    <col min="15601" max="15601" width="11.88671875" style="68" customWidth="1"/>
    <col min="15602" max="15602" width="10.5546875" style="68" customWidth="1"/>
    <col min="15603" max="15603" width="13.33203125" style="68" customWidth="1"/>
    <col min="15604" max="15605" width="10.5546875" style="68" customWidth="1"/>
    <col min="15606" max="15606" width="10.6640625" style="68" customWidth="1"/>
    <col min="15607" max="15607" width="12.109375" style="68" customWidth="1"/>
    <col min="15608" max="15611" width="10.5546875" style="68" customWidth="1"/>
    <col min="15612" max="15612" width="12.109375" style="68" bestFit="1" customWidth="1"/>
    <col min="15613" max="15613" width="10.5546875" style="68" customWidth="1"/>
    <col min="15614" max="15614" width="11.33203125" style="68" customWidth="1"/>
    <col min="15615" max="15615" width="14.33203125" style="68" bestFit="1" customWidth="1"/>
    <col min="15616" max="15851" width="8.88671875" style="68"/>
    <col min="15852" max="15852" width="7.6640625" style="68" customWidth="1"/>
    <col min="15853" max="15853" width="12.5546875" style="68" customWidth="1"/>
    <col min="15854" max="15854" width="9.33203125" style="68" customWidth="1"/>
    <col min="15855" max="15855" width="9.88671875" style="68" customWidth="1"/>
    <col min="15856" max="15856" width="10.33203125" style="68" bestFit="1" customWidth="1"/>
    <col min="15857" max="15857" width="11.88671875" style="68" customWidth="1"/>
    <col min="15858" max="15858" width="10.5546875" style="68" customWidth="1"/>
    <col min="15859" max="15859" width="13.33203125" style="68" customWidth="1"/>
    <col min="15860" max="15861" width="10.5546875" style="68" customWidth="1"/>
    <col min="15862" max="15862" width="10.6640625" style="68" customWidth="1"/>
    <col min="15863" max="15863" width="12.109375" style="68" customWidth="1"/>
    <col min="15864" max="15867" width="10.5546875" style="68" customWidth="1"/>
    <col min="15868" max="15868" width="12.109375" style="68" bestFit="1" customWidth="1"/>
    <col min="15869" max="15869" width="10.5546875" style="68" customWidth="1"/>
    <col min="15870" max="15870" width="11.33203125" style="68" customWidth="1"/>
    <col min="15871" max="15871" width="14.33203125" style="68" bestFit="1" customWidth="1"/>
    <col min="15872" max="16107" width="8.88671875" style="68"/>
    <col min="16108" max="16108" width="7.6640625" style="68" customWidth="1"/>
    <col min="16109" max="16109" width="12.5546875" style="68" customWidth="1"/>
    <col min="16110" max="16110" width="9.33203125" style="68" customWidth="1"/>
    <col min="16111" max="16111" width="9.88671875" style="68" customWidth="1"/>
    <col min="16112" max="16112" width="10.33203125" style="68" bestFit="1" customWidth="1"/>
    <col min="16113" max="16113" width="11.88671875" style="68" customWidth="1"/>
    <col min="16114" max="16114" width="10.5546875" style="68" customWidth="1"/>
    <col min="16115" max="16115" width="13.33203125" style="68" customWidth="1"/>
    <col min="16116" max="16117" width="10.5546875" style="68" customWidth="1"/>
    <col min="16118" max="16118" width="10.6640625" style="68" customWidth="1"/>
    <col min="16119" max="16119" width="12.109375" style="68" customWidth="1"/>
    <col min="16120" max="16123" width="10.5546875" style="68" customWidth="1"/>
    <col min="16124" max="16124" width="12.109375" style="68" bestFit="1" customWidth="1"/>
    <col min="16125" max="16125" width="10.5546875" style="68" customWidth="1"/>
    <col min="16126" max="16126" width="11.33203125" style="68" customWidth="1"/>
    <col min="16127" max="16127" width="14.33203125" style="68" bestFit="1" customWidth="1"/>
    <col min="16128" max="16365" width="8.88671875" style="68"/>
    <col min="16366" max="16384" width="9.109375" style="68" customWidth="1"/>
  </cols>
  <sheetData>
    <row r="1" spans="1:12" s="67" customFormat="1" ht="50.4" customHeight="1" thickBot="1">
      <c r="A1" s="171"/>
      <c r="B1" s="171"/>
      <c r="C1" s="171"/>
      <c r="D1" s="171"/>
      <c r="E1" s="171"/>
      <c r="F1" s="171"/>
      <c r="G1" s="171"/>
    </row>
    <row r="2" spans="1:12" ht="33.6" customHeight="1" thickBot="1">
      <c r="A2" s="77" t="s">
        <v>23</v>
      </c>
      <c r="B2" s="12" t="s">
        <v>24</v>
      </c>
      <c r="C2" s="78" t="s">
        <v>29</v>
      </c>
      <c r="D2" s="79" t="s">
        <v>28</v>
      </c>
      <c r="E2" s="79" t="s">
        <v>17</v>
      </c>
      <c r="F2" s="79" t="s">
        <v>25</v>
      </c>
      <c r="G2" s="79" t="s">
        <v>27</v>
      </c>
      <c r="H2" s="80" t="s">
        <v>30</v>
      </c>
      <c r="I2" s="67"/>
      <c r="J2" s="67"/>
      <c r="K2" s="67"/>
      <c r="L2" s="67"/>
    </row>
    <row r="3" spans="1:12" ht="30" customHeight="1">
      <c r="A3" s="82">
        <v>1</v>
      </c>
      <c r="B3" s="83"/>
      <c r="C3" s="84"/>
      <c r="D3" s="84"/>
      <c r="E3" s="85"/>
      <c r="F3" s="86"/>
      <c r="G3" s="83"/>
      <c r="H3" s="87"/>
      <c r="I3" s="67"/>
      <c r="J3" s="67"/>
      <c r="K3" s="67"/>
      <c r="L3" s="67"/>
    </row>
    <row r="4" spans="1:12" ht="30" customHeight="1">
      <c r="A4" s="70">
        <v>2</v>
      </c>
      <c r="B4" s="2"/>
      <c r="C4" s="74"/>
      <c r="D4" s="74"/>
      <c r="E4" s="75"/>
      <c r="F4" s="76"/>
      <c r="G4" s="2"/>
      <c r="H4" s="87"/>
      <c r="I4" s="67"/>
      <c r="J4" s="67"/>
      <c r="K4" s="67"/>
      <c r="L4" s="67"/>
    </row>
    <row r="5" spans="1:12" ht="30" customHeight="1">
      <c r="A5" s="70">
        <v>3</v>
      </c>
      <c r="B5" s="2"/>
      <c r="C5" s="74"/>
      <c r="D5" s="74"/>
      <c r="E5" s="75"/>
      <c r="F5" s="76"/>
      <c r="G5" s="2"/>
      <c r="H5" s="87"/>
      <c r="I5" s="67"/>
      <c r="J5" s="67"/>
      <c r="K5" s="67"/>
      <c r="L5" s="67"/>
    </row>
    <row r="6" spans="1:12" ht="30" customHeight="1">
      <c r="A6" s="70">
        <v>4</v>
      </c>
      <c r="B6" s="2"/>
      <c r="C6" s="74"/>
      <c r="D6" s="74"/>
      <c r="E6" s="75"/>
      <c r="F6" s="76"/>
      <c r="G6" s="2"/>
      <c r="H6" s="87"/>
      <c r="I6" s="67"/>
      <c r="J6" s="67"/>
      <c r="K6" s="67"/>
      <c r="L6" s="67"/>
    </row>
    <row r="7" spans="1:12" ht="30" customHeight="1">
      <c r="A7" s="70">
        <v>5</v>
      </c>
      <c r="B7" s="2"/>
      <c r="C7" s="74"/>
      <c r="D7" s="74"/>
      <c r="E7" s="75"/>
      <c r="F7" s="76"/>
      <c r="G7" s="2"/>
      <c r="H7" s="87"/>
      <c r="I7" s="67"/>
      <c r="J7" s="67"/>
      <c r="K7" s="67"/>
      <c r="L7" s="67"/>
    </row>
    <row r="8" spans="1:12" ht="30" customHeight="1">
      <c r="A8" s="70">
        <v>6</v>
      </c>
      <c r="B8" s="2"/>
      <c r="C8" s="74"/>
      <c r="D8" s="74"/>
      <c r="E8" s="75"/>
      <c r="F8" s="76"/>
      <c r="G8" s="2"/>
      <c r="H8" s="87"/>
      <c r="I8" s="67"/>
      <c r="J8" s="67"/>
      <c r="K8" s="67"/>
      <c r="L8" s="67"/>
    </row>
    <row r="9" spans="1:12" ht="30" customHeight="1">
      <c r="A9" s="70">
        <v>7</v>
      </c>
      <c r="B9" s="2"/>
      <c r="C9" s="74"/>
      <c r="D9" s="74"/>
      <c r="E9" s="75"/>
      <c r="F9" s="76"/>
      <c r="G9" s="2"/>
      <c r="H9" s="87"/>
      <c r="I9" s="67"/>
      <c r="J9" s="67"/>
      <c r="K9" s="67"/>
      <c r="L9" s="67"/>
    </row>
    <row r="10" spans="1:12" ht="30" customHeight="1">
      <c r="A10" s="70">
        <v>8</v>
      </c>
      <c r="B10" s="2"/>
      <c r="C10" s="74"/>
      <c r="D10" s="74"/>
      <c r="E10" s="75"/>
      <c r="F10" s="76"/>
      <c r="G10" s="2"/>
      <c r="H10" s="87"/>
      <c r="I10" s="67"/>
      <c r="J10" s="67"/>
      <c r="K10" s="67"/>
      <c r="L10" s="67"/>
    </row>
    <row r="11" spans="1:12" ht="30" customHeight="1">
      <c r="A11" s="70">
        <v>9</v>
      </c>
      <c r="B11" s="2"/>
      <c r="C11" s="74"/>
      <c r="D11" s="74"/>
      <c r="E11" s="75"/>
      <c r="F11" s="76"/>
      <c r="G11" s="2"/>
      <c r="H11" s="87"/>
      <c r="I11" s="67"/>
      <c r="J11" s="67"/>
      <c r="K11" s="67"/>
      <c r="L11" s="67"/>
    </row>
    <row r="12" spans="1:12" ht="30" customHeight="1">
      <c r="A12" s="70">
        <v>10</v>
      </c>
      <c r="B12" s="2"/>
      <c r="C12" s="74"/>
      <c r="D12" s="74"/>
      <c r="E12" s="75"/>
      <c r="F12" s="76"/>
      <c r="G12" s="2"/>
      <c r="H12" s="87"/>
      <c r="I12" s="67"/>
      <c r="J12" s="67"/>
      <c r="K12" s="67"/>
      <c r="L12" s="67"/>
    </row>
    <row r="13" spans="1:12" ht="30" customHeight="1">
      <c r="A13" s="70">
        <v>11</v>
      </c>
      <c r="B13" s="2"/>
      <c r="C13" s="74"/>
      <c r="D13" s="74"/>
      <c r="E13" s="75"/>
      <c r="F13" s="76"/>
      <c r="G13" s="2"/>
      <c r="H13" s="87"/>
      <c r="I13" s="67"/>
      <c r="J13" s="67"/>
      <c r="K13" s="67"/>
      <c r="L13" s="67"/>
    </row>
    <row r="14" spans="1:12" ht="30" customHeight="1">
      <c r="A14" s="70">
        <v>12</v>
      </c>
      <c r="B14" s="2"/>
      <c r="C14" s="74"/>
      <c r="D14" s="74"/>
      <c r="E14" s="75"/>
      <c r="F14" s="76"/>
      <c r="G14" s="2"/>
      <c r="H14" s="87"/>
      <c r="I14" s="67"/>
      <c r="J14" s="67"/>
      <c r="K14" s="67"/>
      <c r="L14" s="67"/>
    </row>
    <row r="15" spans="1:12" ht="30" customHeight="1">
      <c r="A15" s="70">
        <v>13</v>
      </c>
      <c r="B15" s="2"/>
      <c r="C15" s="74"/>
      <c r="D15" s="74"/>
      <c r="E15" s="75"/>
      <c r="F15" s="76"/>
      <c r="G15" s="2"/>
      <c r="H15" s="87"/>
      <c r="I15" s="67"/>
      <c r="J15" s="67"/>
      <c r="K15" s="67"/>
      <c r="L15" s="67"/>
    </row>
    <row r="16" spans="1:12" ht="30" customHeight="1">
      <c r="A16" s="70">
        <v>14</v>
      </c>
      <c r="B16" s="2"/>
      <c r="C16" s="74"/>
      <c r="D16" s="74"/>
      <c r="E16" s="75"/>
      <c r="F16" s="76"/>
      <c r="G16" s="2"/>
      <c r="H16" s="87"/>
      <c r="I16" s="67"/>
      <c r="J16" s="67"/>
      <c r="K16" s="67"/>
      <c r="L16" s="67"/>
    </row>
    <row r="17" spans="1:12" ht="30" customHeight="1">
      <c r="A17" s="70">
        <v>15</v>
      </c>
      <c r="B17" s="2"/>
      <c r="C17" s="74"/>
      <c r="D17" s="74"/>
      <c r="E17" s="75"/>
      <c r="F17" s="76"/>
      <c r="G17" s="2"/>
      <c r="H17" s="87"/>
      <c r="I17" s="67"/>
      <c r="J17" s="67"/>
      <c r="K17" s="67"/>
      <c r="L17" s="67"/>
    </row>
    <row r="18" spans="1:12" ht="30" customHeight="1">
      <c r="A18" s="70">
        <v>16</v>
      </c>
      <c r="B18" s="2"/>
      <c r="C18" s="74"/>
      <c r="D18" s="74"/>
      <c r="E18" s="75"/>
      <c r="F18" s="76"/>
      <c r="G18" s="2"/>
      <c r="H18" s="87"/>
      <c r="I18" s="67"/>
      <c r="J18" s="67"/>
      <c r="K18" s="67"/>
      <c r="L18" s="67"/>
    </row>
    <row r="19" spans="1:12" ht="30" customHeight="1">
      <c r="A19" s="70">
        <v>17</v>
      </c>
      <c r="B19" s="2"/>
      <c r="C19" s="74"/>
      <c r="D19" s="74"/>
      <c r="E19" s="75"/>
      <c r="F19" s="76"/>
      <c r="G19" s="2"/>
      <c r="H19" s="87"/>
      <c r="I19" s="67"/>
      <c r="J19" s="67"/>
      <c r="K19" s="67"/>
      <c r="L19" s="67"/>
    </row>
    <row r="20" spans="1:12" ht="30" customHeight="1">
      <c r="A20" s="70">
        <v>18</v>
      </c>
      <c r="B20" s="2"/>
      <c r="C20" s="74"/>
      <c r="D20" s="74"/>
      <c r="E20" s="75"/>
      <c r="F20" s="76"/>
      <c r="G20" s="2"/>
      <c r="H20" s="87"/>
      <c r="I20" s="67"/>
      <c r="J20" s="67"/>
      <c r="K20" s="67"/>
      <c r="L20" s="67"/>
    </row>
    <row r="21" spans="1:12" ht="30" customHeight="1">
      <c r="A21" s="70">
        <v>19</v>
      </c>
      <c r="B21" s="2"/>
      <c r="C21" s="74"/>
      <c r="D21" s="74"/>
      <c r="E21" s="75"/>
      <c r="F21" s="76"/>
      <c r="G21" s="2"/>
      <c r="H21" s="87"/>
      <c r="I21" s="67"/>
      <c r="J21" s="67"/>
      <c r="K21" s="67"/>
      <c r="L21" s="67"/>
    </row>
    <row r="22" spans="1:12" ht="30" customHeight="1">
      <c r="A22" s="70">
        <v>20</v>
      </c>
      <c r="B22" s="2"/>
      <c r="C22" s="74"/>
      <c r="D22" s="74"/>
      <c r="E22" s="75"/>
      <c r="F22" s="76"/>
      <c r="G22" s="2"/>
      <c r="H22" s="87"/>
      <c r="I22" s="67"/>
      <c r="J22" s="67"/>
      <c r="K22" s="67"/>
      <c r="L22" s="67"/>
    </row>
    <row r="23" spans="1:12" ht="30" customHeight="1">
      <c r="A23" s="70">
        <v>21</v>
      </c>
      <c r="B23" s="2"/>
      <c r="C23" s="74"/>
      <c r="D23" s="74"/>
      <c r="E23" s="75"/>
      <c r="F23" s="76"/>
      <c r="G23" s="2"/>
      <c r="H23" s="87"/>
      <c r="I23" s="67"/>
      <c r="J23" s="67"/>
      <c r="K23" s="67"/>
      <c r="L23" s="67"/>
    </row>
    <row r="24" spans="1:12" ht="30" customHeight="1">
      <c r="A24" s="70">
        <v>22</v>
      </c>
      <c r="B24" s="2"/>
      <c r="C24" s="74"/>
      <c r="D24" s="74"/>
      <c r="E24" s="75"/>
      <c r="F24" s="76"/>
      <c r="G24" s="2"/>
      <c r="H24" s="87"/>
      <c r="I24" s="67"/>
      <c r="J24" s="67"/>
      <c r="K24" s="67"/>
      <c r="L24" s="67"/>
    </row>
    <row r="25" spans="1:12" ht="30" customHeight="1">
      <c r="A25" s="70">
        <v>23</v>
      </c>
      <c r="B25" s="2"/>
      <c r="C25" s="74"/>
      <c r="D25" s="74"/>
      <c r="E25" s="75"/>
      <c r="F25" s="76"/>
      <c r="G25" s="2"/>
      <c r="H25" s="87"/>
      <c r="I25" s="67"/>
      <c r="J25" s="67"/>
      <c r="K25" s="67"/>
      <c r="L25" s="67"/>
    </row>
    <row r="26" spans="1:12" ht="30" customHeight="1" thickBot="1">
      <c r="A26" s="73"/>
      <c r="B26" s="69"/>
      <c r="C26" s="69"/>
      <c r="D26" s="69"/>
      <c r="E26" s="69"/>
      <c r="F26" s="69"/>
      <c r="G26" s="69"/>
      <c r="H26" s="81"/>
      <c r="I26" s="67"/>
      <c r="J26" s="67"/>
      <c r="K26" s="67"/>
      <c r="L26" s="67"/>
    </row>
    <row r="27" spans="1:12" ht="9.6" customHeight="1">
      <c r="A27" s="66"/>
      <c r="B27" s="66"/>
      <c r="C27" s="66"/>
      <c r="D27" s="66"/>
      <c r="E27" s="66"/>
      <c r="F27" s="66"/>
      <c r="G27" s="66"/>
      <c r="H27" s="67"/>
      <c r="I27" s="67"/>
      <c r="J27" s="67"/>
      <c r="K27" s="67"/>
      <c r="L27" s="67"/>
    </row>
    <row r="28" spans="1:12">
      <c r="A28" s="66"/>
      <c r="B28" s="66"/>
      <c r="C28" s="66"/>
      <c r="D28" s="66"/>
      <c r="E28" s="71">
        <f>SUM(E3:E27)</f>
        <v>0</v>
      </c>
      <c r="F28" s="66"/>
      <c r="G28" s="66"/>
      <c r="H28" s="67"/>
      <c r="I28" s="67"/>
      <c r="J28" s="67"/>
      <c r="K28" s="67"/>
      <c r="L28" s="67"/>
    </row>
    <row r="29" spans="1:12">
      <c r="A29" s="66"/>
      <c r="B29" s="66"/>
      <c r="C29" s="66"/>
      <c r="D29" s="66"/>
      <c r="E29" s="68"/>
      <c r="F29" s="66"/>
      <c r="G29" s="66"/>
      <c r="H29" s="67"/>
      <c r="I29" s="67"/>
      <c r="J29" s="67"/>
      <c r="K29" s="67"/>
      <c r="L29" s="67"/>
    </row>
    <row r="30" spans="1:12">
      <c r="A30" s="66"/>
      <c r="B30" s="66"/>
      <c r="C30" s="66"/>
      <c r="D30" s="66"/>
      <c r="E30" s="66"/>
      <c r="F30" s="66"/>
      <c r="G30" s="66"/>
      <c r="H30" s="67"/>
      <c r="I30" s="67"/>
      <c r="J30" s="67"/>
      <c r="K30" s="67"/>
      <c r="L30" s="67"/>
    </row>
    <row r="31" spans="1:12">
      <c r="A31" s="66"/>
      <c r="B31" s="66"/>
      <c r="C31" s="66"/>
      <c r="D31" s="66"/>
      <c r="E31" s="66"/>
      <c r="F31" s="66"/>
      <c r="G31" s="66"/>
      <c r="H31" s="67"/>
      <c r="I31" s="67"/>
      <c r="J31" s="67"/>
      <c r="K31" s="67"/>
      <c r="L31" s="67"/>
    </row>
    <row r="32" spans="1:12">
      <c r="A32" s="66"/>
      <c r="B32" s="66"/>
      <c r="C32" s="66"/>
      <c r="D32" s="66"/>
      <c r="E32" s="66"/>
      <c r="F32" s="66"/>
      <c r="G32" s="66"/>
      <c r="H32" s="67"/>
      <c r="I32" s="67"/>
      <c r="J32" s="67"/>
      <c r="K32" s="67"/>
      <c r="L32" s="67"/>
    </row>
    <row r="33" spans="1:12">
      <c r="A33" s="66"/>
      <c r="B33" s="66"/>
      <c r="C33" s="66"/>
      <c r="D33" s="66"/>
      <c r="E33" s="66"/>
      <c r="F33" s="66"/>
      <c r="G33" s="66"/>
      <c r="H33" s="67"/>
      <c r="I33" s="67"/>
      <c r="J33" s="67"/>
      <c r="K33" s="67"/>
      <c r="L33" s="67"/>
    </row>
    <row r="34" spans="1:12">
      <c r="A34" s="66"/>
      <c r="B34" s="66"/>
      <c r="C34" s="66"/>
      <c r="D34" s="66"/>
      <c r="E34" s="66"/>
      <c r="F34" s="66"/>
      <c r="G34" s="66"/>
      <c r="H34" s="67"/>
      <c r="I34" s="67"/>
      <c r="J34" s="67"/>
      <c r="K34" s="67"/>
      <c r="L34" s="67"/>
    </row>
    <row r="35" spans="1:12">
      <c r="A35" s="66"/>
      <c r="B35" s="66"/>
      <c r="C35" s="66"/>
      <c r="D35" s="66"/>
      <c r="E35" s="66"/>
      <c r="F35" s="66"/>
      <c r="G35" s="66"/>
      <c r="H35" s="67"/>
      <c r="I35" s="67"/>
      <c r="J35" s="67"/>
      <c r="K35" s="67"/>
      <c r="L35" s="67"/>
    </row>
    <row r="36" spans="1:12">
      <c r="A36" s="66"/>
      <c r="B36" s="66"/>
      <c r="C36" s="66"/>
      <c r="D36" s="66"/>
      <c r="E36" s="66"/>
      <c r="F36" s="66"/>
      <c r="G36" s="66"/>
      <c r="H36" s="67"/>
      <c r="I36" s="67"/>
      <c r="J36" s="67"/>
      <c r="K36" s="67"/>
      <c r="L36" s="67"/>
    </row>
    <row r="37" spans="1:12">
      <c r="A37" s="66"/>
      <c r="B37" s="66"/>
      <c r="C37" s="66"/>
      <c r="D37" s="66"/>
      <c r="E37" s="66"/>
      <c r="F37" s="66"/>
      <c r="G37" s="66"/>
      <c r="H37" s="67"/>
      <c r="I37" s="67"/>
      <c r="J37" s="67"/>
      <c r="K37" s="67"/>
      <c r="L37" s="67"/>
    </row>
    <row r="38" spans="1:12">
      <c r="A38" s="66"/>
      <c r="B38" s="66"/>
      <c r="C38" s="66"/>
      <c r="D38" s="66"/>
      <c r="E38" s="66"/>
      <c r="F38" s="66"/>
      <c r="G38" s="66"/>
      <c r="H38" s="67"/>
      <c r="I38" s="67"/>
      <c r="J38" s="67"/>
      <c r="K38" s="67"/>
      <c r="L38" s="67"/>
    </row>
    <row r="39" spans="1:12">
      <c r="A39" s="66"/>
      <c r="B39" s="66"/>
      <c r="C39" s="66"/>
      <c r="D39" s="66"/>
      <c r="E39" s="66"/>
      <c r="F39" s="66"/>
      <c r="G39" s="66"/>
      <c r="H39" s="67"/>
      <c r="I39" s="67"/>
      <c r="J39" s="67"/>
      <c r="K39" s="67"/>
      <c r="L39" s="67"/>
    </row>
    <row r="40" spans="1:12">
      <c r="A40" s="66"/>
      <c r="B40" s="66"/>
      <c r="C40" s="66"/>
      <c r="D40" s="66"/>
      <c r="E40" s="66"/>
      <c r="F40" s="66"/>
      <c r="G40" s="66"/>
      <c r="H40" s="67"/>
      <c r="I40" s="67"/>
      <c r="J40" s="67"/>
      <c r="K40" s="67"/>
      <c r="L40" s="67"/>
    </row>
    <row r="41" spans="1:12">
      <c r="A41" s="66"/>
      <c r="B41" s="66"/>
      <c r="C41" s="66"/>
      <c r="D41" s="66"/>
      <c r="E41" s="66"/>
      <c r="F41" s="66"/>
      <c r="G41" s="66"/>
      <c r="H41" s="67"/>
      <c r="I41" s="67"/>
      <c r="J41" s="67"/>
      <c r="K41" s="67"/>
      <c r="L41" s="67"/>
    </row>
    <row r="42" spans="1:12">
      <c r="A42" s="66"/>
      <c r="B42" s="66"/>
      <c r="C42" s="66"/>
      <c r="D42" s="66"/>
      <c r="E42" s="66"/>
      <c r="F42" s="66"/>
      <c r="G42" s="66"/>
      <c r="H42" s="67"/>
      <c r="I42" s="67"/>
      <c r="J42" s="67"/>
      <c r="K42" s="67"/>
      <c r="L42" s="67"/>
    </row>
    <row r="43" spans="1:12">
      <c r="A43" s="66"/>
      <c r="B43" s="66"/>
      <c r="C43" s="66"/>
      <c r="D43" s="66"/>
      <c r="E43" s="66"/>
      <c r="F43" s="66"/>
      <c r="G43" s="66"/>
      <c r="H43" s="67"/>
      <c r="I43" s="67"/>
      <c r="J43" s="67"/>
      <c r="K43" s="67"/>
      <c r="L43" s="67"/>
    </row>
    <row r="44" spans="1:12">
      <c r="A44" s="66"/>
      <c r="B44" s="66"/>
      <c r="C44" s="66"/>
      <c r="D44" s="66"/>
      <c r="E44" s="66"/>
      <c r="F44" s="66"/>
      <c r="G44" s="66"/>
      <c r="H44" s="67"/>
      <c r="I44" s="67"/>
      <c r="J44" s="67"/>
      <c r="K44" s="67"/>
      <c r="L44" s="67"/>
    </row>
    <row r="45" spans="1:12">
      <c r="A45" s="66"/>
      <c r="B45" s="66"/>
      <c r="C45" s="66"/>
      <c r="D45" s="66"/>
      <c r="E45" s="66"/>
      <c r="F45" s="66"/>
      <c r="G45" s="66"/>
      <c r="H45" s="67"/>
      <c r="I45" s="67"/>
      <c r="J45" s="67"/>
      <c r="K45" s="67"/>
      <c r="L45" s="67"/>
    </row>
    <row r="46" spans="1:12">
      <c r="A46" s="66"/>
      <c r="B46" s="66"/>
      <c r="C46" s="66"/>
      <c r="D46" s="66"/>
      <c r="E46" s="66"/>
      <c r="F46" s="66"/>
      <c r="G46" s="66"/>
      <c r="H46" s="67"/>
      <c r="I46" s="67"/>
      <c r="J46" s="67"/>
      <c r="K46" s="67"/>
      <c r="L46" s="67"/>
    </row>
    <row r="47" spans="1:12">
      <c r="A47" s="66"/>
      <c r="B47" s="66"/>
      <c r="C47" s="66"/>
      <c r="D47" s="66"/>
      <c r="E47" s="66"/>
      <c r="F47" s="66"/>
      <c r="G47" s="66"/>
      <c r="H47" s="67"/>
      <c r="I47" s="67"/>
      <c r="J47" s="67"/>
      <c r="K47" s="67"/>
      <c r="L47" s="67"/>
    </row>
    <row r="48" spans="1:12">
      <c r="A48" s="66"/>
      <c r="B48" s="66"/>
      <c r="C48" s="66"/>
      <c r="D48" s="66"/>
      <c r="E48" s="66"/>
      <c r="F48" s="66"/>
      <c r="G48" s="66"/>
      <c r="H48" s="67"/>
      <c r="I48" s="67"/>
      <c r="J48" s="67"/>
      <c r="K48" s="67"/>
      <c r="L48" s="67"/>
    </row>
    <row r="49" spans="1:12">
      <c r="A49" s="66"/>
      <c r="B49" s="66"/>
      <c r="C49" s="66"/>
      <c r="D49" s="66"/>
      <c r="E49" s="66"/>
      <c r="F49" s="66"/>
      <c r="G49" s="66"/>
      <c r="H49" s="67"/>
      <c r="I49" s="67"/>
      <c r="J49" s="67"/>
      <c r="K49" s="67"/>
      <c r="L49" s="67"/>
    </row>
    <row r="50" spans="1:12">
      <c r="A50" s="66"/>
      <c r="B50" s="66"/>
      <c r="C50" s="66"/>
      <c r="D50" s="66"/>
      <c r="E50" s="66"/>
      <c r="F50" s="66"/>
      <c r="G50" s="66"/>
      <c r="H50" s="67"/>
      <c r="I50" s="67"/>
      <c r="J50" s="67"/>
      <c r="K50" s="67"/>
      <c r="L50" s="67"/>
    </row>
    <row r="51" spans="1:12">
      <c r="A51" s="66"/>
      <c r="B51" s="66"/>
      <c r="C51" s="66"/>
      <c r="D51" s="66"/>
      <c r="E51" s="66"/>
      <c r="F51" s="66"/>
      <c r="G51" s="66"/>
      <c r="H51" s="67"/>
      <c r="I51" s="67"/>
      <c r="J51" s="67"/>
      <c r="K51" s="67"/>
      <c r="L51" s="67"/>
    </row>
    <row r="52" spans="1:12">
      <c r="A52" s="66"/>
      <c r="B52" s="66"/>
      <c r="C52" s="66"/>
      <c r="D52" s="66"/>
      <c r="E52" s="66"/>
      <c r="F52" s="66"/>
      <c r="G52" s="66"/>
      <c r="H52" s="67"/>
      <c r="I52" s="67"/>
      <c r="J52" s="67"/>
      <c r="K52" s="67"/>
      <c r="L52" s="67"/>
    </row>
    <row r="53" spans="1:12">
      <c r="A53" s="66"/>
      <c r="B53" s="66"/>
      <c r="C53" s="66"/>
      <c r="D53" s="66"/>
      <c r="E53" s="66"/>
      <c r="F53" s="66"/>
      <c r="G53" s="66"/>
      <c r="H53" s="67"/>
      <c r="I53" s="67"/>
      <c r="J53" s="67"/>
      <c r="K53" s="67"/>
      <c r="L53" s="67"/>
    </row>
    <row r="54" spans="1:12">
      <c r="A54" s="66"/>
      <c r="B54" s="66"/>
      <c r="C54" s="66"/>
      <c r="D54" s="66"/>
      <c r="E54" s="66"/>
      <c r="F54" s="66"/>
      <c r="G54" s="66"/>
      <c r="H54" s="67"/>
      <c r="I54" s="67"/>
      <c r="J54" s="67"/>
      <c r="K54" s="67"/>
      <c r="L54" s="67"/>
    </row>
    <row r="55" spans="1:12">
      <c r="A55" s="66"/>
      <c r="B55" s="66"/>
      <c r="C55" s="66"/>
      <c r="D55" s="66"/>
      <c r="E55" s="66"/>
      <c r="F55" s="66"/>
      <c r="G55" s="66"/>
      <c r="H55" s="67"/>
      <c r="I55" s="67"/>
      <c r="J55" s="67"/>
      <c r="K55" s="67"/>
      <c r="L55" s="67"/>
    </row>
    <row r="56" spans="1:12">
      <c r="A56" s="66"/>
      <c r="B56" s="66"/>
      <c r="C56" s="66"/>
      <c r="D56" s="66"/>
      <c r="E56" s="66"/>
      <c r="F56" s="66"/>
      <c r="G56" s="66"/>
      <c r="H56" s="67"/>
      <c r="I56" s="67"/>
      <c r="J56" s="67"/>
      <c r="K56" s="67"/>
      <c r="L56" s="67"/>
    </row>
    <row r="57" spans="1:12">
      <c r="A57" s="66"/>
      <c r="B57" s="66"/>
      <c r="C57" s="66"/>
      <c r="D57" s="66"/>
      <c r="E57" s="66"/>
      <c r="F57" s="66"/>
      <c r="G57" s="66"/>
      <c r="H57" s="67"/>
      <c r="I57" s="67"/>
      <c r="J57" s="67"/>
      <c r="K57" s="67"/>
      <c r="L57" s="67"/>
    </row>
    <row r="58" spans="1:12">
      <c r="A58" s="66"/>
      <c r="B58" s="66"/>
      <c r="C58" s="66"/>
      <c r="D58" s="66"/>
      <c r="E58" s="66"/>
      <c r="F58" s="66"/>
      <c r="G58" s="66"/>
      <c r="H58" s="67"/>
      <c r="I58" s="67"/>
      <c r="J58" s="67"/>
      <c r="K58" s="67"/>
      <c r="L58" s="67"/>
    </row>
    <row r="59" spans="1:12">
      <c r="A59" s="66"/>
      <c r="B59" s="66"/>
      <c r="C59" s="66"/>
      <c r="D59" s="66"/>
      <c r="E59" s="66"/>
      <c r="F59" s="66"/>
      <c r="G59" s="66"/>
      <c r="H59" s="67"/>
      <c r="I59" s="67"/>
      <c r="J59" s="67"/>
      <c r="K59" s="67"/>
      <c r="L59" s="67"/>
    </row>
    <row r="60" spans="1:12">
      <c r="A60" s="66"/>
      <c r="B60" s="66"/>
      <c r="C60" s="66"/>
      <c r="D60" s="66"/>
      <c r="E60" s="66"/>
      <c r="F60" s="66"/>
      <c r="G60" s="66"/>
      <c r="H60" s="67"/>
      <c r="I60" s="67"/>
      <c r="J60" s="67"/>
      <c r="K60" s="67"/>
      <c r="L60" s="67"/>
    </row>
    <row r="61" spans="1:12">
      <c r="A61" s="66"/>
      <c r="B61" s="66"/>
      <c r="C61" s="66"/>
      <c r="D61" s="66"/>
      <c r="E61" s="66"/>
      <c r="F61" s="66"/>
      <c r="G61" s="66"/>
      <c r="H61" s="67"/>
      <c r="I61" s="67"/>
      <c r="J61" s="67"/>
      <c r="K61" s="67"/>
      <c r="L61" s="67"/>
    </row>
    <row r="62" spans="1:12">
      <c r="A62" s="66"/>
      <c r="B62" s="66"/>
      <c r="C62" s="66"/>
      <c r="D62" s="66"/>
      <c r="E62" s="66"/>
      <c r="F62" s="66"/>
      <c r="G62" s="66"/>
      <c r="H62" s="67"/>
      <c r="I62" s="67"/>
      <c r="J62" s="67"/>
      <c r="K62" s="67"/>
      <c r="L62" s="67"/>
    </row>
    <row r="63" spans="1:12">
      <c r="A63" s="66"/>
      <c r="B63" s="66"/>
      <c r="C63" s="66"/>
      <c r="D63" s="66"/>
      <c r="E63" s="66"/>
      <c r="F63" s="66"/>
      <c r="G63" s="66"/>
      <c r="H63" s="67"/>
      <c r="I63" s="67"/>
      <c r="J63" s="67"/>
      <c r="K63" s="67"/>
      <c r="L63" s="67"/>
    </row>
    <row r="64" spans="1:12">
      <c r="A64" s="66"/>
      <c r="B64" s="66"/>
      <c r="C64" s="66"/>
      <c r="D64" s="66"/>
      <c r="E64" s="66"/>
      <c r="F64" s="66"/>
      <c r="G64" s="66"/>
      <c r="H64" s="67"/>
      <c r="I64" s="67"/>
      <c r="J64" s="67"/>
      <c r="K64" s="67"/>
      <c r="L64" s="67"/>
    </row>
    <row r="65" spans="1:12">
      <c r="A65" s="66"/>
      <c r="B65" s="66"/>
      <c r="C65" s="66"/>
      <c r="D65" s="66"/>
      <c r="E65" s="66"/>
      <c r="F65" s="66"/>
      <c r="G65" s="66"/>
      <c r="H65" s="67"/>
      <c r="I65" s="67"/>
      <c r="J65" s="67"/>
      <c r="K65" s="67"/>
      <c r="L65" s="67"/>
    </row>
    <row r="66" spans="1:12">
      <c r="A66" s="66"/>
      <c r="B66" s="66"/>
      <c r="C66" s="66"/>
      <c r="D66" s="66"/>
      <c r="E66" s="66"/>
      <c r="F66" s="66"/>
      <c r="G66" s="66"/>
      <c r="H66" s="67"/>
      <c r="I66" s="67"/>
      <c r="J66" s="67"/>
      <c r="K66" s="67"/>
      <c r="L66" s="67"/>
    </row>
    <row r="67" spans="1:12">
      <c r="A67" s="66"/>
      <c r="B67" s="66"/>
      <c r="C67" s="66"/>
      <c r="D67" s="66"/>
      <c r="E67" s="66"/>
      <c r="F67" s="66"/>
      <c r="G67" s="66"/>
      <c r="H67" s="67"/>
      <c r="I67" s="67"/>
      <c r="J67" s="67"/>
      <c r="K67" s="67"/>
      <c r="L67" s="67"/>
    </row>
    <row r="68" spans="1:12">
      <c r="A68" s="66"/>
      <c r="B68" s="66"/>
      <c r="C68" s="66"/>
      <c r="D68" s="66"/>
      <c r="E68" s="66"/>
      <c r="F68" s="66"/>
      <c r="G68" s="66"/>
      <c r="H68" s="67"/>
      <c r="I68" s="67"/>
      <c r="J68" s="67"/>
      <c r="K68" s="67"/>
      <c r="L68" s="67"/>
    </row>
    <row r="69" spans="1:12">
      <c r="A69" s="66"/>
      <c r="B69" s="66"/>
      <c r="C69" s="66"/>
      <c r="D69" s="66"/>
      <c r="E69" s="66"/>
      <c r="F69" s="66"/>
      <c r="G69" s="66"/>
      <c r="H69" s="67"/>
      <c r="I69" s="67"/>
      <c r="J69" s="67"/>
      <c r="K69" s="67"/>
      <c r="L69" s="67"/>
    </row>
    <row r="70" spans="1:12">
      <c r="A70" s="66"/>
      <c r="B70" s="66"/>
      <c r="C70" s="66"/>
      <c r="D70" s="66"/>
      <c r="E70" s="66"/>
      <c r="F70" s="66"/>
      <c r="G70" s="66"/>
      <c r="H70" s="67"/>
      <c r="I70" s="67"/>
      <c r="J70" s="67"/>
      <c r="K70" s="67"/>
      <c r="L70" s="67"/>
    </row>
    <row r="71" spans="1:12">
      <c r="A71" s="66"/>
      <c r="B71" s="66"/>
      <c r="C71" s="66"/>
      <c r="D71" s="66"/>
      <c r="E71" s="66"/>
      <c r="F71" s="66"/>
      <c r="G71" s="66"/>
      <c r="H71" s="67"/>
      <c r="I71" s="67"/>
      <c r="J71" s="67"/>
      <c r="K71" s="67"/>
      <c r="L71" s="67"/>
    </row>
    <row r="72" spans="1:12">
      <c r="A72" s="66"/>
      <c r="B72" s="66"/>
      <c r="C72" s="66"/>
      <c r="D72" s="66"/>
      <c r="E72" s="66"/>
      <c r="F72" s="66"/>
      <c r="G72" s="66"/>
      <c r="H72" s="67"/>
      <c r="I72" s="67"/>
      <c r="J72" s="67"/>
      <c r="K72" s="67"/>
      <c r="L72" s="67"/>
    </row>
    <row r="73" spans="1:12">
      <c r="A73" s="66"/>
      <c r="B73" s="66"/>
      <c r="C73" s="66"/>
      <c r="D73" s="66"/>
      <c r="E73" s="66"/>
      <c r="F73" s="66"/>
      <c r="G73" s="66"/>
      <c r="H73" s="67"/>
      <c r="I73" s="67"/>
      <c r="J73" s="67"/>
      <c r="K73" s="67"/>
      <c r="L73" s="67"/>
    </row>
    <row r="74" spans="1:12">
      <c r="A74" s="66"/>
      <c r="B74" s="66"/>
      <c r="C74" s="66"/>
      <c r="D74" s="66"/>
      <c r="E74" s="66"/>
      <c r="F74" s="66"/>
      <c r="G74" s="66"/>
      <c r="H74" s="67"/>
      <c r="I74" s="67"/>
      <c r="J74" s="67"/>
      <c r="K74" s="67"/>
      <c r="L74" s="67"/>
    </row>
    <row r="75" spans="1:12">
      <c r="A75" s="66"/>
      <c r="B75" s="66"/>
      <c r="C75" s="66"/>
      <c r="D75" s="66"/>
      <c r="E75" s="66"/>
      <c r="F75" s="66"/>
      <c r="G75" s="66"/>
      <c r="H75" s="67"/>
      <c r="I75" s="67"/>
      <c r="J75" s="67"/>
      <c r="K75" s="67"/>
      <c r="L75" s="67"/>
    </row>
    <row r="76" spans="1:12">
      <c r="A76" s="66"/>
      <c r="B76" s="66"/>
      <c r="C76" s="66"/>
      <c r="D76" s="66"/>
      <c r="E76" s="66"/>
      <c r="F76" s="66"/>
      <c r="G76" s="66"/>
      <c r="H76" s="67"/>
      <c r="I76" s="67"/>
      <c r="J76" s="67"/>
      <c r="K76" s="67"/>
      <c r="L76" s="67"/>
    </row>
    <row r="77" spans="1:12">
      <c r="A77" s="66"/>
      <c r="B77" s="66"/>
      <c r="C77" s="66"/>
      <c r="D77" s="66"/>
      <c r="E77" s="66"/>
      <c r="F77" s="66"/>
      <c r="G77" s="66"/>
      <c r="H77" s="67"/>
      <c r="I77" s="67"/>
      <c r="J77" s="67"/>
      <c r="K77" s="67"/>
      <c r="L77" s="67"/>
    </row>
    <row r="78" spans="1:12">
      <c r="A78" s="66"/>
      <c r="B78" s="66"/>
      <c r="C78" s="66"/>
      <c r="D78" s="66"/>
      <c r="E78" s="66"/>
      <c r="F78" s="66"/>
      <c r="G78" s="66"/>
      <c r="H78" s="67"/>
      <c r="I78" s="67"/>
      <c r="J78" s="67"/>
      <c r="K78" s="67"/>
      <c r="L78" s="67"/>
    </row>
    <row r="79" spans="1:12">
      <c r="A79" s="66"/>
      <c r="B79" s="66"/>
      <c r="C79" s="66"/>
      <c r="D79" s="66"/>
      <c r="E79" s="66"/>
      <c r="F79" s="66"/>
      <c r="G79" s="66"/>
      <c r="H79" s="67"/>
      <c r="I79" s="67"/>
      <c r="J79" s="67"/>
      <c r="K79" s="67"/>
      <c r="L79" s="67"/>
    </row>
    <row r="80" spans="1:12">
      <c r="A80" s="66"/>
      <c r="B80" s="66"/>
      <c r="C80" s="66"/>
      <c r="D80" s="66"/>
      <c r="E80" s="66"/>
      <c r="F80" s="66"/>
      <c r="G80" s="66"/>
      <c r="H80" s="67"/>
      <c r="I80" s="67"/>
      <c r="J80" s="67"/>
      <c r="K80" s="67"/>
      <c r="L80" s="67"/>
    </row>
    <row r="81" spans="1:12">
      <c r="A81" s="66"/>
      <c r="B81" s="66"/>
      <c r="C81" s="66"/>
      <c r="D81" s="66"/>
      <c r="E81" s="66"/>
      <c r="F81" s="66"/>
      <c r="G81" s="66"/>
      <c r="H81" s="67"/>
      <c r="I81" s="67"/>
      <c r="J81" s="67"/>
      <c r="K81" s="67"/>
      <c r="L81" s="67"/>
    </row>
    <row r="82" spans="1:12">
      <c r="A82" s="66"/>
      <c r="B82" s="66"/>
      <c r="C82" s="66"/>
      <c r="D82" s="66"/>
      <c r="E82" s="66"/>
      <c r="F82" s="66"/>
      <c r="G82" s="66"/>
      <c r="H82" s="67"/>
      <c r="I82" s="67"/>
      <c r="J82" s="67"/>
      <c r="K82" s="67"/>
      <c r="L82" s="67"/>
    </row>
    <row r="83" spans="1:12">
      <c r="A83" s="66"/>
      <c r="B83" s="66"/>
      <c r="C83" s="66"/>
      <c r="D83" s="66"/>
      <c r="E83" s="66"/>
      <c r="F83" s="66"/>
      <c r="G83" s="66"/>
      <c r="H83" s="67"/>
      <c r="I83" s="67"/>
      <c r="J83" s="67"/>
      <c r="K83" s="67"/>
      <c r="L83" s="67"/>
    </row>
    <row r="84" spans="1:12">
      <c r="A84" s="66"/>
      <c r="B84" s="66"/>
      <c r="C84" s="66"/>
      <c r="D84" s="66"/>
      <c r="E84" s="66"/>
      <c r="F84" s="66"/>
      <c r="G84" s="66"/>
      <c r="H84" s="67"/>
      <c r="I84" s="67"/>
      <c r="J84" s="67"/>
      <c r="K84" s="67"/>
      <c r="L84" s="67"/>
    </row>
    <row r="85" spans="1:12">
      <c r="A85" s="66"/>
      <c r="B85" s="66"/>
      <c r="C85" s="66"/>
      <c r="D85" s="66"/>
      <c r="E85" s="66"/>
      <c r="F85" s="66"/>
      <c r="G85" s="66"/>
      <c r="H85" s="67"/>
      <c r="I85" s="67"/>
      <c r="J85" s="67"/>
      <c r="K85" s="67"/>
      <c r="L85" s="67"/>
    </row>
    <row r="86" spans="1:12">
      <c r="A86" s="66"/>
      <c r="B86" s="66"/>
      <c r="C86" s="66"/>
      <c r="D86" s="66"/>
      <c r="E86" s="66"/>
      <c r="F86" s="66"/>
      <c r="G86" s="66"/>
      <c r="H86" s="67"/>
      <c r="I86" s="67"/>
      <c r="J86" s="67"/>
      <c r="K86" s="67"/>
      <c r="L86" s="67"/>
    </row>
    <row r="87" spans="1:12">
      <c r="A87" s="66"/>
      <c r="B87" s="66"/>
      <c r="C87" s="66"/>
      <c r="D87" s="66"/>
      <c r="E87" s="66"/>
      <c r="F87" s="66"/>
      <c r="G87" s="66"/>
      <c r="H87" s="67"/>
      <c r="I87" s="67"/>
      <c r="J87" s="67"/>
      <c r="K87" s="67"/>
      <c r="L87" s="67"/>
    </row>
    <row r="88" spans="1:12">
      <c r="A88" s="66"/>
      <c r="B88" s="66"/>
      <c r="C88" s="66"/>
      <c r="D88" s="66"/>
      <c r="E88" s="66"/>
      <c r="F88" s="66"/>
      <c r="G88" s="66"/>
      <c r="H88" s="67"/>
      <c r="I88" s="67"/>
      <c r="J88" s="67"/>
      <c r="K88" s="67"/>
      <c r="L88" s="67"/>
    </row>
    <row r="89" spans="1:12">
      <c r="A89" s="66"/>
      <c r="B89" s="66"/>
      <c r="C89" s="66"/>
      <c r="D89" s="66"/>
      <c r="E89" s="66"/>
      <c r="F89" s="66"/>
      <c r="G89" s="66"/>
      <c r="H89" s="67"/>
      <c r="I89" s="67"/>
      <c r="J89" s="67"/>
      <c r="K89" s="67"/>
      <c r="L89" s="67"/>
    </row>
    <row r="90" spans="1:12">
      <c r="A90" s="66"/>
      <c r="B90" s="66"/>
      <c r="C90" s="66"/>
      <c r="D90" s="66"/>
      <c r="E90" s="66"/>
      <c r="F90" s="66"/>
      <c r="G90" s="66"/>
      <c r="H90" s="67"/>
      <c r="I90" s="67"/>
      <c r="J90" s="67"/>
      <c r="K90" s="67"/>
      <c r="L90" s="67"/>
    </row>
    <row r="91" spans="1:12">
      <c r="A91" s="66"/>
      <c r="B91" s="66"/>
      <c r="C91" s="66"/>
      <c r="D91" s="66"/>
      <c r="E91" s="66"/>
      <c r="F91" s="66"/>
      <c r="G91" s="66"/>
      <c r="H91" s="67"/>
      <c r="I91" s="67"/>
      <c r="J91" s="67"/>
      <c r="K91" s="67"/>
      <c r="L91" s="67"/>
    </row>
  </sheetData>
  <autoFilter ref="A2:XEK25"/>
  <mergeCells count="1">
    <mergeCell ref="A1:G1"/>
  </mergeCells>
  <conditionalFormatting sqref="D26:D1048576 D2 A1">
    <cfRule type="duplicateValues" dxfId="8" priority="3"/>
  </conditionalFormatting>
  <conditionalFormatting sqref="D7:D25">
    <cfRule type="duplicateValues" dxfId="7" priority="157"/>
  </conditionalFormatting>
  <conditionalFormatting sqref="D7:D25">
    <cfRule type="duplicateValues" dxfId="6" priority="158"/>
    <cfRule type="duplicateValues" dxfId="5" priority="159"/>
  </conditionalFormatting>
  <conditionalFormatting sqref="D3:D6 C2:C1048576">
    <cfRule type="duplicateValues" dxfId="4" priority="162"/>
  </conditionalFormatting>
  <conditionalFormatting sqref="D3:D6 C2:C1048576">
    <cfRule type="duplicateValues" dxfId="3" priority="167"/>
    <cfRule type="duplicateValues" dxfId="2" priority="168"/>
  </conditionalFormatting>
  <conditionalFormatting sqref="K1:K1048576 D1:D1048576">
    <cfRule type="duplicateValues" dxfId="1" priority="1"/>
    <cfRule type="duplicateValues" dxfId="0" priority="2"/>
  </conditionalFormatting>
  <pageMargins left="0.7" right="0.7" top="0.75" bottom="0.75" header="0.3" footer="0.3"/>
  <pageSetup paperSize="9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بیلانس</vt:lpstr>
      <vt:lpstr>Company</vt:lpstr>
      <vt:lpstr>Loading Report</vt:lpstr>
      <vt:lpstr>'Loading Report'!Print_Area</vt:lpstr>
      <vt:lpstr>بیلانس!Print_Area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2026-04-18T11:06:55Z</dcterms:modified>
</cp:coreProperties>
</file>